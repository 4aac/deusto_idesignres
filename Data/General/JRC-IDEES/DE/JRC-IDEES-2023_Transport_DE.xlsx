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DE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88" i="8"/>
  <c r="X87" i="8"/>
  <c r="X86" i="8"/>
  <c r="X84" i="8"/>
  <c r="Y12" i="3"/>
  <c r="X12" i="3"/>
  <c r="X31" i="9"/>
  <c r="X17" i="9"/>
  <c r="X51" i="3" s="1"/>
  <c r="X29" i="9"/>
  <c r="Y49" i="9"/>
  <c r="Y40" i="3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67" i="11"/>
  <c r="X101" i="11"/>
  <c r="Y18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X46" i="3"/>
  <c r="Y45" i="3"/>
  <c r="X45" i="3"/>
  <c r="X48" i="13"/>
  <c r="X83" i="3"/>
  <c r="Y76" i="3"/>
  <c r="X76" i="3"/>
  <c r="Y24" i="13"/>
  <c r="X5" i="13"/>
  <c r="Y23" i="13"/>
  <c r="Y7" i="15"/>
  <c r="X28" i="3"/>
  <c r="Y27" i="3"/>
  <c r="X27" i="3"/>
  <c r="Y15" i="17"/>
  <c r="X88" i="3"/>
  <c r="Y14" i="17"/>
  <c r="X14" i="17"/>
  <c r="X31" i="3"/>
  <c r="Y3" i="18"/>
  <c r="Y17" i="18" s="1"/>
  <c r="X10" i="19"/>
  <c r="Y4" i="19"/>
  <c r="Y90" i="3"/>
  <c r="X90" i="3"/>
  <c r="Y85" i="3"/>
  <c r="X85" i="3"/>
  <c r="Y75" i="3"/>
  <c r="Y44" i="3"/>
  <c r="X44" i="3"/>
  <c r="Y42" i="3"/>
  <c r="Y31" i="3"/>
  <c r="Y30" i="3"/>
  <c r="Y25" i="3"/>
  <c r="Y10" i="3"/>
  <c r="Y41" i="12" l="1"/>
  <c r="Y15" i="14"/>
  <c r="Y21" i="14" s="1"/>
  <c r="X27" i="9"/>
  <c r="Y69" i="11"/>
  <c r="X25" i="9"/>
  <c r="Y55" i="3"/>
  <c r="Y207" i="3" s="1"/>
  <c r="X90" i="8"/>
  <c r="Y44" i="12"/>
  <c r="Y57" i="8"/>
  <c r="Y79" i="8" s="1"/>
  <c r="Y54" i="3"/>
  <c r="Y29" i="9"/>
  <c r="X91" i="8"/>
  <c r="Y91" i="8"/>
  <c r="X75" i="3"/>
  <c r="X227" i="3" s="1"/>
  <c r="Y53" i="9"/>
  <c r="X53" i="3"/>
  <c r="X84" i="3"/>
  <c r="X82" i="3" s="1"/>
  <c r="Y44" i="11"/>
  <c r="X28" i="8"/>
  <c r="X26" i="8" s="1"/>
  <c r="X61" i="8" s="1"/>
  <c r="Y43" i="9"/>
  <c r="X55" i="3"/>
  <c r="X207" i="3" s="1"/>
  <c r="X41" i="12"/>
  <c r="X19" i="12"/>
  <c r="X69" i="12" s="1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3" i="15" s="1"/>
  <c r="X13" i="14"/>
  <c r="X19" i="14" s="1"/>
  <c r="Y15" i="3"/>
  <c r="Y227" i="3" s="1"/>
  <c r="X23" i="3"/>
  <c r="X22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X29" i="19" s="1"/>
  <c r="Y10" i="19"/>
  <c r="Y3" i="19" s="1"/>
  <c r="Y28" i="19" s="1"/>
  <c r="X15" i="20"/>
  <c r="Y14" i="20"/>
  <c r="X14" i="3"/>
  <c r="X196" i="3" s="1"/>
  <c r="X206" i="3"/>
  <c r="Y74" i="3"/>
  <c r="Y73" i="3" s="1"/>
  <c r="Y6" i="13"/>
  <c r="Y25" i="13"/>
  <c r="X44" i="13"/>
  <c r="Y45" i="12"/>
  <c r="X31" i="12"/>
  <c r="Y14" i="11"/>
  <c r="Y116" i="11" s="1"/>
  <c r="Y24" i="1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Y47" i="13"/>
  <c r="Y27" i="13"/>
  <c r="Y83" i="3"/>
  <c r="Y235" i="3" s="1"/>
  <c r="Y10" i="13"/>
  <c r="Y37" i="13"/>
  <c r="X228" i="3"/>
  <c r="X55" i="10"/>
  <c r="X81" i="3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X43" i="3"/>
  <c r="X198" i="3"/>
  <c r="Y91" i="3"/>
  <c r="Y243" i="3" s="1"/>
  <c r="Y19" i="20"/>
  <c r="Y3" i="20"/>
  <c r="Y23" i="20" s="1"/>
  <c r="Y15" i="20"/>
  <c r="Y28" i="11"/>
  <c r="Y80" i="11" s="1"/>
  <c r="Y101" i="11"/>
  <c r="X4" i="10"/>
  <c r="X23" i="10"/>
  <c r="X7" i="18"/>
  <c r="X110" i="11"/>
  <c r="X111" i="11"/>
  <c r="Y120" i="11"/>
  <c r="Y123" i="11"/>
  <c r="Y12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97" i="11"/>
  <c r="X58" i="11"/>
  <c r="X69" i="11"/>
  <c r="X113" i="11"/>
  <c r="Y4" i="10"/>
  <c r="Y50" i="10"/>
  <c r="Y61" i="10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Y205" i="3"/>
  <c r="Y18" i="20"/>
  <c r="Y14" i="18"/>
  <c r="Y15" i="15"/>
  <c r="X45" i="13"/>
  <c r="X35" i="13"/>
  <c r="X25" i="13"/>
  <c r="Y43" i="12"/>
  <c r="Y122" i="11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7" i="8"/>
  <c r="X21" i="8"/>
  <c r="X123" i="8" s="1"/>
  <c r="X97" i="8"/>
  <c r="X101" i="8"/>
  <c r="X48" i="9" l="1"/>
  <c r="Y96" i="11"/>
  <c r="Y36" i="8"/>
  <c r="X63" i="8"/>
  <c r="X117" i="11"/>
  <c r="X52" i="3"/>
  <c r="X204" i="3" s="1"/>
  <c r="X236" i="3"/>
  <c r="X116" i="11"/>
  <c r="Y11" i="20"/>
  <c r="X11" i="17"/>
  <c r="X25" i="8"/>
  <c r="X36" i="8"/>
  <c r="Y197" i="3"/>
  <c r="Y3" i="16"/>
  <c r="Y27" i="16" s="1"/>
  <c r="X235" i="3"/>
  <c r="Y52" i="3"/>
  <c r="Y204" i="3" s="1"/>
  <c r="Y22" i="18"/>
  <c r="X80" i="11"/>
  <c r="X89" i="3"/>
  <c r="X181" i="3" s="1"/>
  <c r="X23" i="20"/>
  <c r="X21" i="20"/>
  <c r="Y25" i="19"/>
  <c r="X24" i="19"/>
  <c r="X10" i="20"/>
  <c r="X20" i="19"/>
  <c r="X60" i="3"/>
  <c r="X212" i="3" s="1"/>
  <c r="Y13" i="18"/>
  <c r="X86" i="3"/>
  <c r="X238" i="3" s="1"/>
  <c r="Y20" i="16"/>
  <c r="X3" i="16"/>
  <c r="X28" i="16" s="1"/>
  <c r="Y57" i="3"/>
  <c r="Y209" i="3" s="1"/>
  <c r="Y10" i="17"/>
  <c r="X22" i="15"/>
  <c r="Y13" i="15"/>
  <c r="X21" i="15"/>
  <c r="Y17" i="15"/>
  <c r="Y18" i="15"/>
  <c r="X25" i="14"/>
  <c r="Y25" i="14"/>
  <c r="Y27" i="14"/>
  <c r="Y206" i="3"/>
  <c r="Y3" i="12"/>
  <c r="Y52" i="12" s="1"/>
  <c r="X122" i="11"/>
  <c r="X43" i="11"/>
  <c r="Y20" i="14"/>
  <c r="X22" i="10"/>
  <c r="X4" i="8"/>
  <c r="X108" i="8" s="1"/>
  <c r="X96" i="8"/>
  <c r="X41" i="9"/>
  <c r="X192" i="3"/>
  <c r="Y22" i="13"/>
  <c r="X9" i="20"/>
  <c r="X112" i="8"/>
  <c r="X233" i="3"/>
  <c r="X22" i="17"/>
  <c r="X13" i="20"/>
  <c r="X44" i="10"/>
  <c r="X205" i="3"/>
  <c r="Y13" i="3"/>
  <c r="Y225" i="3" s="1"/>
  <c r="Y43" i="11"/>
  <c r="X100" i="8"/>
  <c r="Y198" i="3"/>
  <c r="X111" i="8"/>
  <c r="X76" i="11"/>
  <c r="X41" i="3"/>
  <c r="X193" i="3" s="1"/>
  <c r="X11" i="9"/>
  <c r="X46" i="9" s="1"/>
  <c r="X113" i="8"/>
  <c r="Y21" i="18"/>
  <c r="X118" i="11"/>
  <c r="X13" i="11"/>
  <c r="X224" i="3"/>
  <c r="Y111" i="11"/>
  <c r="Y42" i="13"/>
  <c r="Y12" i="14"/>
  <c r="Y18" i="14" s="1"/>
  <c r="X13" i="3"/>
  <c r="X195" i="3" s="1"/>
  <c r="X37" i="9"/>
  <c r="X3" i="12"/>
  <c r="X49" i="12" s="1"/>
  <c r="Y23" i="10"/>
  <c r="Y22" i="10"/>
  <c r="Y117" i="11"/>
  <c r="Y29" i="19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X213" i="3"/>
  <c r="X73" i="3"/>
  <c r="X226" i="3"/>
  <c r="X13" i="18"/>
  <c r="X17" i="18"/>
  <c r="X19" i="18"/>
  <c r="Y27" i="19"/>
  <c r="Y23" i="19"/>
  <c r="Y19" i="19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Y21" i="16"/>
  <c r="Y11" i="17"/>
  <c r="Y29" i="16"/>
  <c r="Y25" i="16"/>
  <c r="Y58" i="3"/>
  <c r="Y21" i="20"/>
  <c r="Y13" i="20"/>
  <c r="Y17" i="20"/>
  <c r="Y9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Y22" i="17"/>
  <c r="X23" i="18"/>
  <c r="X28" i="19"/>
  <c r="X9" i="17" l="1"/>
  <c r="Y56" i="3"/>
  <c r="Y208" i="3" s="1"/>
  <c r="X23" i="16"/>
  <c r="X62" i="10"/>
  <c r="X27" i="16"/>
  <c r="X95" i="11"/>
  <c r="X19" i="16"/>
  <c r="Y49" i="12"/>
  <c r="Y51" i="12"/>
  <c r="Y28" i="16"/>
  <c r="Y23" i="16"/>
  <c r="Y55" i="12"/>
  <c r="Y53" i="12"/>
  <c r="X51" i="12"/>
  <c r="Y48" i="12"/>
  <c r="Y47" i="12"/>
  <c r="Y54" i="12"/>
  <c r="Y9" i="17"/>
  <c r="Y19" i="16"/>
  <c r="X29" i="16"/>
  <c r="Y50" i="12"/>
  <c r="X109" i="8"/>
  <c r="X183" i="3"/>
  <c r="Y195" i="3"/>
  <c r="X94" i="8"/>
  <c r="X182" i="3"/>
  <c r="X106" i="8"/>
  <c r="X110" i="8"/>
  <c r="X59" i="3"/>
  <c r="X153" i="3" s="1"/>
  <c r="Y17" i="12"/>
  <c r="Y67" i="12" s="1"/>
  <c r="X105" i="8"/>
  <c r="X107" i="8"/>
  <c r="X38" i="10"/>
  <c r="X225" i="3"/>
  <c r="Y24" i="14"/>
  <c r="X24" i="9"/>
  <c r="X10" i="9"/>
  <c r="X57" i="9" s="1"/>
  <c r="X35" i="9"/>
  <c r="X56" i="3"/>
  <c r="X208" i="3" s="1"/>
  <c r="Y95" i="11"/>
  <c r="X39" i="3"/>
  <c r="X191" i="3" s="1"/>
  <c r="Y37" i="12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X62" i="9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64" i="9" l="1"/>
  <c r="X56" i="9"/>
  <c r="X60" i="9"/>
  <c r="X211" i="3"/>
  <c r="X151" i="3"/>
  <c r="X152" i="3"/>
  <c r="X65" i="9"/>
  <c r="X61" i="9"/>
  <c r="X59" i="9"/>
  <c r="X63" i="9"/>
  <c r="X58" i="9"/>
  <c r="X45" i="9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4" i="1"/>
  <c r="B26" i="1"/>
  <c r="S242" i="3" l="1"/>
  <c r="C242" i="3"/>
  <c r="O14" i="18"/>
  <c r="I15" i="18"/>
  <c r="E3" i="18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L20" i="19"/>
  <c r="L10" i="20"/>
  <c r="Q25" i="19"/>
  <c r="Q21" i="19"/>
  <c r="Q14" i="20"/>
  <c r="Q3" i="20"/>
  <c r="Q22" i="20" s="1"/>
  <c r="C19" i="20"/>
  <c r="E14" i="18"/>
  <c r="M14" i="18"/>
  <c r="E19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E23" i="18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E13" i="18" l="1"/>
  <c r="W23" i="20"/>
  <c r="R25" i="19"/>
  <c r="F24" i="19"/>
  <c r="F20" i="19"/>
  <c r="N29" i="3"/>
  <c r="N123" i="3" s="1"/>
  <c r="U18" i="18"/>
  <c r="M22" i="20"/>
  <c r="I22" i="18"/>
  <c r="J11" i="20"/>
  <c r="M23" i="20"/>
  <c r="R21" i="19"/>
  <c r="W24" i="19"/>
  <c r="P10" i="20"/>
  <c r="G18" i="18"/>
  <c r="U19" i="18"/>
  <c r="H20" i="19"/>
  <c r="F22" i="20"/>
  <c r="N13" i="20"/>
  <c r="K23" i="18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N122" i="3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N27" i="19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U121" i="3" l="1"/>
  <c r="U122" i="3"/>
  <c r="F183" i="3"/>
  <c r="N241" i="3"/>
  <c r="E23" i="19"/>
  <c r="Q9" i="20"/>
  <c r="E27" i="19"/>
  <c r="N19" i="19"/>
  <c r="F182" i="3"/>
  <c r="N9" i="20"/>
  <c r="W9" i="20"/>
  <c r="M28" i="19"/>
  <c r="N29" i="19"/>
  <c r="M9" i="20"/>
  <c r="M29" i="19"/>
  <c r="W29" i="19"/>
  <c r="M23" i="19"/>
  <c r="Q23" i="19"/>
  <c r="H27" i="19"/>
  <c r="H19" i="19"/>
  <c r="M19" i="19"/>
  <c r="H23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60" i="9" s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193" i="3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9" i="9" l="1"/>
  <c r="W62" i="9"/>
  <c r="W45" i="9"/>
  <c r="W64" i="9"/>
  <c r="W63" i="9"/>
  <c r="W58" i="9"/>
  <c r="W65" i="9"/>
  <c r="W61" i="9"/>
  <c r="W56" i="9"/>
  <c r="W57" i="9"/>
  <c r="W52" i="12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J36" i="8" l="1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O14" i="8"/>
  <c r="O26" i="10" s="1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E36" i="8" l="1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G4" i="16"/>
  <c r="K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S76" i="8" s="1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7" i="1"/>
  <c r="B22" i="1"/>
  <c r="B9" i="1"/>
  <c r="B4" i="1"/>
  <c r="B6" i="1"/>
  <c r="B7" i="1"/>
  <c r="B21" i="1"/>
  <c r="B20" i="1"/>
  <c r="B8" i="1"/>
  <c r="B12" i="1"/>
  <c r="B16" i="1"/>
  <c r="B15" i="1"/>
  <c r="B18" i="1"/>
  <c r="B11" i="1"/>
  <c r="B13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18" i="15" s="1"/>
  <c r="H27" i="3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K16" i="4"/>
  <c r="K14" i="4"/>
  <c r="L13" i="4" l="1"/>
  <c r="L150" i="4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243" i="4" s="1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P7" i="4"/>
  <c r="H24" i="4"/>
  <c r="L11" i="4"/>
  <c r="I22" i="4"/>
  <c r="H47" i="4"/>
  <c r="L33" i="4"/>
  <c r="J20" i="4" l="1"/>
  <c r="J19" i="4" s="1"/>
  <c r="J211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16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J241" i="4" l="1"/>
  <c r="J238" i="4"/>
  <c r="J243" i="4"/>
  <c r="J157" i="4"/>
  <c r="H270" i="4"/>
  <c r="G215" i="4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 s="1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31" i="4" l="1"/>
  <c r="U226" i="4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184" i="4"/>
  <c r="X187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X268" i="4" l="1"/>
  <c r="X265" i="4"/>
  <c r="D131" i="5"/>
  <c r="D77" i="5"/>
  <c r="D132" i="7" s="1"/>
  <c r="D49" i="3"/>
  <c r="D104" i="5"/>
  <c r="C187" i="3"/>
  <c r="C34" i="3"/>
  <c r="C127" i="3" s="1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184" i="4"/>
  <c r="Y265" i="4"/>
  <c r="G127" i="6"/>
  <c r="G73" i="6"/>
  <c r="G215" i="7" s="1"/>
  <c r="G100" i="6"/>
  <c r="G34" i="6"/>
  <c r="Y186" i="4"/>
  <c r="Y267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 s="1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 s="1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 s="1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 s="1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<sst xmlns="http://schemas.openxmlformats.org/spreadsheetml/2006/main" count="2657" uniqueCount="1169">
  <si>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</si>
  <si>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</si>
  <si>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</si>
  <si>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</si>
  <si>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</si>
  <si>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</si>
  <si>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</si>
  <si>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</si>
  <si>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</si>
  <si>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</si>
  <si>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</si>
  <si>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</si>
  <si>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</si>
  <si>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</si>
  <si>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</si>
  <si>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</si>
  <si>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</si>
  <si>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</si>
  <si>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</si>
  <si>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</si>
  <si>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</si>
  <si>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</si>
  <si>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</si>
  <si>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</si>
  <si>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</si>
  <si>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</si>
  <si>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</si>
  <si>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</si>
  <si>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</si>
  <si>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</si>
  <si>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</si>
  <si>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</si>
  <si>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</si>
  <si>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</si>
  <si>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</si>
  <si>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</si>
  <si>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</si>
  <si>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</si>
  <si>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</si>
  <si>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</si>
  <si>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</si>
  <si>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</si>
  <si>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</si>
  <si>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</si>
  <si>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</si>
  <si>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</si>
  <si>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</si>
  <si>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</si>
  <si>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</si>
  <si>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</si>
  <si>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</si>
  <si>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</si>
  <si>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</si>
  <si>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</si>
  <si>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</si>
  <si>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</si>
  <si>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</si>
  <si>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</si>
  <si>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</si>
  <si>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</si>
  <si>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</si>
  <si>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</si>
  <si>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</si>
  <si>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</si>
  <si>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</si>
  <si>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</si>
  <si>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</si>
  <si>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</si>
  <si>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</si>
  <si>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</si>
  <si>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</si>
  <si>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</si>
  <si>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</si>
  <si>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</si>
  <si>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</si>
  <si>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</si>
  <si>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</si>
  <si>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</si>
  <si>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</si>
  <si>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</si>
  <si>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</si>
  <si>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</si>
  <si>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</si>
  <si>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</si>
  <si>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</si>
  <si>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</si>
  <si>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</si>
  <si>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</si>
  <si>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</si>
  <si>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</si>
  <si>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</si>
  <si>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</si>
  <si>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</si>
  <si>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</si>
  <si>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</si>
  <si>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</si>
  <si>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</si>
  <si>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</si>
  <si>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</si>
  <si>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</si>
  <si>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</si>
  <si>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</si>
  <si>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</si>
  <si>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</si>
  <si>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</si>
  <si>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</si>
  <si>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</si>
  <si>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</si>
  <si>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</si>
  <si>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</si>
  <si>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</si>
  <si>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</si>
  <si>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</si>
  <si>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</si>
  <si>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</si>
  <si>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</si>
  <si>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</si>
  <si>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</si>
  <si>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</si>
  <si>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</si>
  <si>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</si>
  <si>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</si>
  <si>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</si>
  <si>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</si>
  <si>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</si>
  <si>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</si>
  <si>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</si>
  <si>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</si>
  <si>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</si>
  <si>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</si>
  <si>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</si>
  <si>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</si>
  <si>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</si>
  <si>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</si>
  <si>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</si>
  <si>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</si>
  <si>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</si>
  <si>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</si>
  <si>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</si>
  <si>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</si>
  <si>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</si>
  <si>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</si>
  <si>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</si>
  <si>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</si>
  <si>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</si>
  <si>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</si>
  <si>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</si>
  <si>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</si>
  <si>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</si>
  <si>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</si>
  <si>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</si>
  <si>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</si>
  <si>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</si>
  <si>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</si>
  <si>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</si>
  <si>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</si>
  <si>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</si>
  <si>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</si>
  <si>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</si>
  <si>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</si>
  <si>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</si>
  <si>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</si>
  <si>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</si>
  <si>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</si>
  <si>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</si>
  <si>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</si>
  <si>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</si>
  <si>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</si>
  <si>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</si>
  <si>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</si>
  <si>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</si>
  <si>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</si>
  <si>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</si>
  <si>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</si>
  <si>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</si>
  <si>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</si>
  <si>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</si>
  <si>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</si>
  <si>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</si>
  <si>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</si>
  <si>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</si>
  <si>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</si>
  <si>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</si>
  <si>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</si>
  <si>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</si>
  <si>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</si>
  <si>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</si>
  <si>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DE</t>
  </si>
  <si>
    <t>Germany</t>
  </si>
  <si>
    <t>Aviation - DE - Germany</t>
  </si>
  <si>
    <t>Activity.Mpkm.DE.Tr.Avia.Passenger</t>
  </si>
  <si>
    <t>Activity.Mpkm.DE.Tr.Avia.Passenger.Domestic</t>
  </si>
  <si>
    <t>Activity.Mpkm.DE.Tr.Avia.Passenger.IntraEEAwCHUK</t>
  </si>
  <si>
    <t>Activity.Mpkm.DE.Tr.Avia.Passenger.ExtraEEAwCHUK</t>
  </si>
  <si>
    <t>Activity.Mtkm.DE.Tr.Avia.Freight</t>
  </si>
  <si>
    <t>Activity.Mtkm.DE.Tr.Avia.Freight.Domestic</t>
  </si>
  <si>
    <t>Activity.Mtkm.DE.Tr.Avia.Freight.IntraEEAwCHUK</t>
  </si>
  <si>
    <t>Activity.Mtkm.DE.Tr.Avia.Freight.ExtraEEAwCHUK</t>
  </si>
  <si>
    <t>VehicleKm.Mkm.DE.Tr.Avia</t>
  </si>
  <si>
    <t>VehicleKm.Mkm.DE.Tr.Avia.Passenger</t>
  </si>
  <si>
    <t>VehicleKm.Mkm.DE.Tr.Avia.Passenger.Domestic</t>
  </si>
  <si>
    <t>VehicleKm.Mkm.DE.Tr.Avia.Passenger.IntraEEAwCHUK</t>
  </si>
  <si>
    <t>VehicleKm.Mkm.DE.Tr.Avia.Passenger.ExtraEEAwCHUK</t>
  </si>
  <si>
    <t>VehicleKm.Mkm.DE.Tr.Avia.Freight</t>
  </si>
  <si>
    <t>VehicleKm.Mkm.DE.Tr.Avia.Freight.Domestic</t>
  </si>
  <si>
    <t>VehicleKm.Mkm.DE.Tr.Avia.Freight.IntraEEAwCHUK</t>
  </si>
  <si>
    <t>VehicleKm.Mkm.DE.Tr.Avia.Freight.ExtraEEAwCHUK</t>
  </si>
  <si>
    <t>Flights.number.DE.Tr.Avia</t>
  </si>
  <si>
    <t>Flights.number.DE.Tr.Avia.Passenger</t>
  </si>
  <si>
    <t>Flights.number.DE.Tr.Avia.Passenger.Domestic</t>
  </si>
  <si>
    <t>Flights.number.DE.Tr.Avia.Passenger.IntraEEAwCHUK</t>
  </si>
  <si>
    <t>Flights.number.DE.Tr.Avia.Passenger.ExtraEEAwCHUK</t>
  </si>
  <si>
    <t>Flights.number.DE.Tr.Avia.Freight</t>
  </si>
  <si>
    <t>Flights.number.DE.Tr.Avia.Freight.Domestic</t>
  </si>
  <si>
    <t>Flights.number.DE.Tr.Avia.Freight.IntraEEAwCHUK</t>
  </si>
  <si>
    <t>Flights.number.DE.Tr.Avia.Freight.ExtraEEAwCHUK</t>
  </si>
  <si>
    <t>VolCarried.passenger.DE.Tr.Avia.Passenger</t>
  </si>
  <si>
    <t>VolCarried.passenger.DE.Tr.Avia.Passenger.Domestic</t>
  </si>
  <si>
    <t>VolCarried.passenger.DE.Tr.Avia.Passenger.IntraEEAwCHUK</t>
  </si>
  <si>
    <t>VolCarried.passenger.DE.Tr.Avia.Passenger.ExtraEEAwCHUK</t>
  </si>
  <si>
    <t>VolCarried.t.DE.Tr.Avia.Freight</t>
  </si>
  <si>
    <t>VolCarried.t.DE.Tr.Avia.Freight.Domestic</t>
  </si>
  <si>
    <t>VolCarried.t.DE.Tr.Avia.Freight.IntraEEAwCHUK</t>
  </si>
  <si>
    <t>VolCarried.t.DE.Tr.Avia.Freight.ExtraEEAwCHUK</t>
  </si>
  <si>
    <t>Stock.number.DE.Tr.Avia</t>
  </si>
  <si>
    <t>Stock.number.DE.Tr.Avia.Passenger</t>
  </si>
  <si>
    <t>Stock.number.DE.Tr.Avia.Passenger.Domestic</t>
  </si>
  <si>
    <t>Stock.number.DE.Tr.Avia.Passenger.IntraEEAwCHUK</t>
  </si>
  <si>
    <t>Stock.number.DE.Tr.Avia.Passenger.ExtraEEAwCHUK</t>
  </si>
  <si>
    <t>Stock.number.DE.Tr.Avia.Freight</t>
  </si>
  <si>
    <t>Stock.number.DE.Tr.Avia.Freight.Domestic</t>
  </si>
  <si>
    <t>Stock.number.DE.Tr.Avia.Freight.IntraEEAwCHUK</t>
  </si>
  <si>
    <t>Stock.number.DE.Tr.Avia.Freight.ExtraEEAwCHUK</t>
  </si>
  <si>
    <t>StockNew.number.DE.Tr.Avia</t>
  </si>
  <si>
    <t>StockNew.number.DE.Tr.Avia.Passenger</t>
  </si>
  <si>
    <t>StockNew.number.DE.Tr.Avia.Passenger.Domestic</t>
  </si>
  <si>
    <t>StockNew.number.DE.Tr.Avia.Passenger.IntraEEAwCHUK</t>
  </si>
  <si>
    <t>StockNew.number.DE.Tr.Avia.Passenger.ExtraEEAwCHUK</t>
  </si>
  <si>
    <t>StockNew.number.DE.Tr.Avia.Freight</t>
  </si>
  <si>
    <t>StockNew.number.DE.Tr.Avia.Freight.Domestic</t>
  </si>
  <si>
    <t>StockNew.number.DE.Tr.Avia.Freight.IntraEEAwCHUK</t>
  </si>
  <si>
    <t>StockNew.number.DE.Tr.Avia.Freight.ExtraEEAwCHUK</t>
  </si>
  <si>
    <t>Load.passenger_per_movement.DE.Tr.Avia.Passenger</t>
  </si>
  <si>
    <t>Load.passenger_per_movement.DE.Tr.Avia.Passenger.Domestic</t>
  </si>
  <si>
    <t>Load.passenger_per_movement.DE.Tr.Avia.Passenger.IntraEEAwCHUK</t>
  </si>
  <si>
    <t>Load.passenger_per_movement.DE.Tr.Avia.Passenger.ExtraEEAwCHUK</t>
  </si>
  <si>
    <t>Load.t_per_movement.DE.Tr.Avia.Freight</t>
  </si>
  <si>
    <t>Load.t_per_movement.DE.Tr.Avia.Freight.Domestic</t>
  </si>
  <si>
    <t>Load.t_per_movement.DE.Tr.Avia.Freight.IntraEEAwCHUK</t>
  </si>
  <si>
    <t>Load.t_per_movement.DE.Tr.Avia.Freight.ExtraEEAwCHUK</t>
  </si>
  <si>
    <t>VehicleKm_per_flight.km.DE.Tr.Avia</t>
  </si>
  <si>
    <t>VehicleKm_per_flight.km.DE.Tr.Avia.Passenger</t>
  </si>
  <si>
    <t>VehicleKm_per_flight.km.DE.Tr.Avia.Passenger.Domestic</t>
  </si>
  <si>
    <t>VehicleKm_per_flight.km.DE.Tr.Avia.Passenger.IntraEEAwCHUK</t>
  </si>
  <si>
    <t>VehicleKm_per_flight.km.DE.Tr.Avia.Passenger.ExtraEEAwCHUK</t>
  </si>
  <si>
    <t>VehicleKm_per_flight.km.DE.Tr.Avia.Freight</t>
  </si>
  <si>
    <t>VehicleKm_per_flight.km.DE.Tr.Avia.Freight.Domestic</t>
  </si>
  <si>
    <t>VehicleKm_per_flight.km.DE.Tr.Avia.Freight.IntraEEAwCHUK</t>
  </si>
  <si>
    <t>VehicleKm_per_flight.km.DE.Tr.Avia.Freight.ExtraEEAwCHUK</t>
  </si>
  <si>
    <t>Activity_per_flight.pkm.DE.Tr.Avia.Passenger</t>
  </si>
  <si>
    <t>Activity_per_flight.pkm.DE.Tr.Avia.Passenger.Domestic</t>
  </si>
  <si>
    <t>Activity_per_flight.pkm.DE.Tr.Avia.Passenger.IntraEEAwCHUK</t>
  </si>
  <si>
    <t>Activity_per_flight.pkm.DE.Tr.Avia.Passenger.ExtraEEAwCHUK</t>
  </si>
  <si>
    <t>Activity_per_flight.tkm.DE.Tr.Avia.Freight</t>
  </si>
  <si>
    <t>Activity_per_flight.tkm.DE.Tr.Avia.Freight.Domestic</t>
  </si>
  <si>
    <t>Activity_per_flight.tkm.DE.Tr.Avia.Freight.IntraEEAwCHUK</t>
  </si>
  <si>
    <t>Activity_per_flight.tkm.DE.Tr.Avia.Freight.ExtraEEAwCHUK</t>
  </si>
  <si>
    <t>Flights_per_vehicle.number.DE.Tr.Avia</t>
  </si>
  <si>
    <t>Flights_per_vehicle.number.DE.Tr.Avia.Passenger</t>
  </si>
  <si>
    <t>Flights_per_vehicle.number.DE.Tr.Avia.Passenger.Domestic</t>
  </si>
  <si>
    <t>Flights_per_vehicle.number.DE.Tr.Avia.Passenger.IntraEEAwCHUK</t>
  </si>
  <si>
    <t>Flights_per_vehicle.number.DE.Tr.Avia.Passenger.ExtraEEAwCHUK</t>
  </si>
  <si>
    <t>Flights_per_vehicle.number.DE.Tr.Avia.Freight</t>
  </si>
  <si>
    <t>Flights_per_vehicle.number.DE.Tr.Avia.Freight.Domestic</t>
  </si>
  <si>
    <t>Flights_per_vehicle.number.DE.Tr.Avia.Freight.IntraEEAwCHUK</t>
  </si>
  <si>
    <t>Flights_per_vehicle.number.DE.Tr.Avia.Freight.ExtraEEAwCHUK</t>
  </si>
  <si>
    <t>Aviation / energy consumption - DE - Germany</t>
  </si>
  <si>
    <t>FEC.ktoe.DE.Tr.Avia</t>
  </si>
  <si>
    <t>FEC.ktoe.DE.Tr.Avia.Domestic</t>
  </si>
  <si>
    <t>FEC.ktoe.DE.Tr.Avia.International</t>
  </si>
  <si>
    <t>FEC.ktoe.DE.Tr.Avia.Passenger</t>
  </si>
  <si>
    <t>FEC.ktoe.DE.Tr.Avia.Passenger.Domestic</t>
  </si>
  <si>
    <t>FEC.ktoe.DE.Tr.Avia.Passenger.IntraEEAwCHUK</t>
  </si>
  <si>
    <t>FEC.ktoe.DE.Tr.Avia.Passenger.ExtraEEAwCHUK</t>
  </si>
  <si>
    <t>FEC.ktoe.DE.Tr.Avia.Freight</t>
  </si>
  <si>
    <t>FEC.ktoe.DE.Tr.Avia.Freight.Domestic</t>
  </si>
  <si>
    <t>FEC.ktoe.DE.Tr.Avia.Freight.IntraEEAwCHUK</t>
  </si>
  <si>
    <t>FEC.ktoe.DE.Tr.Avia.Freight.ExtraEEAwCHUK</t>
  </si>
  <si>
    <t>Eff.kgoe_per_100km.DE.Tr.Avia</t>
  </si>
  <si>
    <t>Eff.kgoe_per_100km.DE.Tr.Avia.Passenger</t>
  </si>
  <si>
    <t>Eff.kgoe_per_100km.DE.Tr.Avia.Passenger.Domestic</t>
  </si>
  <si>
    <t>Eff.kgoe_per_100km.DE.Tr.Avia.Passenger.IntraEEAwCHUK</t>
  </si>
  <si>
    <t>Eff.kgoe_per_100km.DE.Tr.Avia.Passenger.ExtraEEAwCHUK</t>
  </si>
  <si>
    <t>Eff.kgoe_per_100km.DE.Tr.Avia.Freight</t>
  </si>
  <si>
    <t>Eff.kgoe_per_100km.DE.Tr.Avia.Freight.Domestic</t>
  </si>
  <si>
    <t>Eff.kgoe_per_100km.DE.Tr.Avia.Freight.IntraEEAwCHUK</t>
  </si>
  <si>
    <t>Eff.kgoe_per_100km.DE.Tr.Avia.Freight.ExtraEEAwCHUK</t>
  </si>
  <si>
    <t>Eff.kgoe_per_kpkm.DE.Tr.Avia.Passenger</t>
  </si>
  <si>
    <t>Eff.kgoe_per_kpkm.DE.Tr.Avia.Passenger.Domestic</t>
  </si>
  <si>
    <t>Eff.kgoe_per_kpkm.DE.Tr.Avia.Passenger.IntraEEAwCHUK</t>
  </si>
  <si>
    <t>Eff.kgoe_per_kpkm.DE.Tr.Avia.Passenger.ExtraEEAwCHUK</t>
  </si>
  <si>
    <t>Eff.kgoe_per_ktkm.DE.Tr.Avia.Freight</t>
  </si>
  <si>
    <t>Eff.kgoe_per_ktkm.DE.Tr.Avia.Freight.Domestic</t>
  </si>
  <si>
    <t>Eff.kgoe_per_ktkm.DE.Tr.Avia.Freight.IntraEEAwCHUK</t>
  </si>
  <si>
    <t>Eff.kgoe_per_ktkm.DE.Tr.Avia.Freight.ExtraEEAwCHUK</t>
  </si>
  <si>
    <t>FEC_per_flight.kgoe.DE.Tr.Avia</t>
  </si>
  <si>
    <t>FEC_per_flight.kgoe.DE.Tr.Avia.Passenger</t>
  </si>
  <si>
    <t>FEC_per_flight.kgoe.DE.Tr.Avia.Passenger.Domestic</t>
  </si>
  <si>
    <t>FEC_per_flight.kgoe.DE.Tr.Avia.Passenger.IntraEEAwCHUK</t>
  </si>
  <si>
    <t>FEC_per_flight.kgoe.DE.Tr.Avia.Passenger.ExtraEEAwCHUK</t>
  </si>
  <si>
    <t>FEC_per_flight.kgoe.DE.Tr.Avia.Freight</t>
  </si>
  <si>
    <t>FEC_per_flight.kgoe.DE.Tr.Avia.Freight.Domestic</t>
  </si>
  <si>
    <t>FEC_per_flight.kgoe.DE.Tr.Avia.Freight.IntraEEAwCHUK</t>
  </si>
  <si>
    <t>FEC_per_flight.kgoe.DE.Tr.Avia.Freight.ExtraEEAwCHUK</t>
  </si>
  <si>
    <t>Eff_theor.kgoe_per_100km.DE.Tr.Avia</t>
  </si>
  <si>
    <t>Eff_theor.kgoe_per_100km.DE.Tr.Avia.Passenger</t>
  </si>
  <si>
    <t>Eff_theor.kgoe_per_100km.DE.Tr.Avia.Passenger.Domestic</t>
  </si>
  <si>
    <t>Eff_theor.kgoe_per_100km.DE.Tr.Avia.Passenger.IntraEEAwCHUK</t>
  </si>
  <si>
    <t>Eff_theor.kgoe_per_100km.DE.Tr.Avia.Passenger.ExtraEEAwCHUK</t>
  </si>
  <si>
    <t>Eff_theor.kgoe_per_100km.DE.Tr.Avia.Freight</t>
  </si>
  <si>
    <t>Eff_theor.kgoe_per_100km.DE.Tr.Avia.Freight.Domestic</t>
  </si>
  <si>
    <t>Eff_theor.kgoe_per_100km.DE.Tr.Avia.Freight.IntraEEAwCHUK</t>
  </si>
  <si>
    <t>Eff_theor.kgoe_per_100km.DE.Tr.Avia.Freight.ExtraEEAwCHUK</t>
  </si>
  <si>
    <t>Aviation / CO2 emissions - DE - Germany</t>
  </si>
  <si>
    <t>EMI.ktCO2.DE.Tr.Avia</t>
  </si>
  <si>
    <t>EMI.ktCO2.DE.Tr.Avia.Domestic</t>
  </si>
  <si>
    <t>EMI.ktCO2.DE.Tr.Avia.International</t>
  </si>
  <si>
    <t>EMI.ktCO2.DE.Tr.Avia.Passenger</t>
  </si>
  <si>
    <t>EMI.ktCO2.DE.Tr.Avia.Passenger.Domestic</t>
  </si>
  <si>
    <t>EMI.ktCO2.DE.Tr.Avia.Passenger.IntraEEAwCHUK</t>
  </si>
  <si>
    <t>EMI.ktCO2.DE.Tr.Avia.Passenger.ExtraEEAwCHUK</t>
  </si>
  <si>
    <t>EMI.ktCO2.DE.Tr.Avia.Freight</t>
  </si>
  <si>
    <t>EMI.ktCO2.DE.Tr.Avia.Freight.Domestic</t>
  </si>
  <si>
    <t>EMI.ktCO2.DE.Tr.Avia.Freight.IntraEEAwCHUK</t>
  </si>
  <si>
    <t>EMI.ktCO2.DE.Tr.Avia.Freight.ExtraEEAwCHUK</t>
  </si>
  <si>
    <t>EMIint.gCO2_per_km.DE.Tr.Avia</t>
  </si>
  <si>
    <t>EMIint.gCO2_per_km.DE.Tr.Avia.Passenger</t>
  </si>
  <si>
    <t>EMIint.gCO2_per_km.DE.Tr.Avia.Passenger.Domestic</t>
  </si>
  <si>
    <t>EMIint.gCO2_per_km.DE.Tr.Avia.Passenger.IntraEEAwCHUK</t>
  </si>
  <si>
    <t>EMIint.gCO2_per_km.DE.Tr.Avia.Passenger.ExtraEEAwCHUK</t>
  </si>
  <si>
    <t>EMIint.gCO2_per_km.DE.Tr.Avia.Freight</t>
  </si>
  <si>
    <t>EMIint.gCO2_per_km.DE.Tr.Avia.Freight.Domestic</t>
  </si>
  <si>
    <t>EMIint.gCO2_per_km.DE.Tr.Avia.Freight.IntraEEAwCHUK</t>
  </si>
  <si>
    <t>EMIint.gCO2_per_km.DE.Tr.Avia.Freight.ExtraEEAwCHUK</t>
  </si>
  <si>
    <t>EMIint.gCO2_per_pkm.DE.Tr.Avia.Passenger</t>
  </si>
  <si>
    <t>EMIint.gCO2_per_pkm.DE.Tr.Avia.Passenger.Domestic</t>
  </si>
  <si>
    <t>EMIint.gCO2_per_pkm.DE.Tr.Avia.Passenger.IntraEEAwCHUK</t>
  </si>
  <si>
    <t>EMIint.gCO2_per_pkm.DE.Tr.Avia.Passenger.ExtraEEAwCHUK</t>
  </si>
  <si>
    <t>EMIint.gCO2_per_tkm.DE.Tr.Avia.Freight</t>
  </si>
  <si>
    <t>EMIint.gCO2_per_tkm.DE.Tr.Avia.Freight.Domestic</t>
  </si>
  <si>
    <t>EMIint.gCO2_per_tkm.DE.Tr.Avia.Freight.IntraEEAwCHUK</t>
  </si>
  <si>
    <t>EMIint.gCO2_per_tkm.DE.Tr.Avia.Freight.ExtraEEAwCHUK</t>
  </si>
  <si>
    <t>EMI_per_flight.kgCO2.DE.Tr.Avia</t>
  </si>
  <si>
    <t>EMI_per_flight.kgCO2.DE.Tr.Avia.Passenger</t>
  </si>
  <si>
    <t>EMI_per_flight.kgCO2.DE.Tr.Avia.Passenger.Domestic</t>
  </si>
  <si>
    <t>EMI_per_flight.kgCO2.DE.Tr.Avia.Passenger.IntraEEAwCHUK</t>
  </si>
  <si>
    <t>EMI_per_flight.kgCO2.DE.Tr.Avia.Passenger.ExtraEEAwCHUK</t>
  </si>
  <si>
    <t>EMI_per_flight.kgCO2.DE.Tr.Avia.Freight</t>
  </si>
  <si>
    <t>EMI_per_flight.kgCO2.DE.Tr.Avia.Freight.Domestic</t>
  </si>
  <si>
    <t>EMI_per_flight.kgCO2.DE.Tr.Avia.Freight.IntraEEAwCHUK</t>
  </si>
  <si>
    <t>EMI_per_flight.kgCO2.DE.Tr.Avia.Freight.ExtraEEAwCHUK</t>
  </si>
  <si>
    <t>Aviation / passenger transport specific data - DE - Germany</t>
  </si>
  <si>
    <t>TrCap.seats.DE.Tr.Avia.Passenger</t>
  </si>
  <si>
    <t>TrCap.seats.DE.Tr.Avia.Passenger.Domestic</t>
  </si>
  <si>
    <t>TrCap.seats.DE.Tr.Avia.Passenger.IntraEEAwCHUK</t>
  </si>
  <si>
    <t>TrCap.seats.DE.Tr.Avia.Passenger.ExtraEEAwCHUK</t>
  </si>
  <si>
    <t>TrCap_per_flight.seats.DE.Tr.Avia.Passenger</t>
  </si>
  <si>
    <t>TrCap_per_flight.seats.DE.Tr.Avia.Passenger.Domestic</t>
  </si>
  <si>
    <t>TrCap_per_flight.seats.DE.Tr.Avia.Passenger.IntraEEAwCHUK</t>
  </si>
  <si>
    <t>TrCap_per_flight.seats.DE.Tr.Avia.Passenger.ExtraEEAwCHUK</t>
  </si>
  <si>
    <t>Transport overview - DE - Germany</t>
  </si>
  <si>
    <t>Activity.Mpkm.DE.Tr</t>
  </si>
  <si>
    <t>Activity.Mpkm.DE.Tr.Road.Passenger</t>
  </si>
  <si>
    <t>Activity.Mpkm.DE.Tr.Road.Passenger.P2W</t>
  </si>
  <si>
    <t>Activity.Mpkm.DE.Tr.Road.Passenger.Car</t>
  </si>
  <si>
    <t>Activity.Mpkm.DE.Tr.Road.Passenger.Bus</t>
  </si>
  <si>
    <t>Activity.Mpkm.DE.Tr.Rail.Passenger</t>
  </si>
  <si>
    <t>Activity.Mpkm.DE.Tr.Rail.Passenger.MTU</t>
  </si>
  <si>
    <t>Activity.Mpkm.DE.Tr.Rail.Passenger.CPT</t>
  </si>
  <si>
    <t>Activity.Mpkm.DE.Tr.Rail.Passenger.HST</t>
  </si>
  <si>
    <t>Activity.Mtkm.DE.Tr</t>
  </si>
  <si>
    <t>Activity.Mtkm.DE.Tr.Road.Freight</t>
  </si>
  <si>
    <t>Activity.Mtkm.DE.Tr.Road.Freight.LCV</t>
  </si>
  <si>
    <t>Activity.Mtkm.DE.Tr.Road.Freight.HGV_All</t>
  </si>
  <si>
    <t>Activity.Mtkm.DE.Tr.Rail.Freight</t>
  </si>
  <si>
    <t>Activity.Mtkm.DE.Tr.DNavi.Freight</t>
  </si>
  <si>
    <t>Activity.Mtkm.DE.Tr.DNavi.Freight.DCS</t>
  </si>
  <si>
    <t>Activity.Mtkm.DE.Tr.DNavi.Freight.IWW</t>
  </si>
  <si>
    <t>Activity.Mtkm.DE.MBunk.Freight</t>
  </si>
  <si>
    <t>Activity.Mtkm.DE.MBunk.Freight.IntraEEA</t>
  </si>
  <si>
    <t>Activity.Mtkm.DE.MBunk.Freight.ExtraEEA</t>
  </si>
  <si>
    <t>FEC.ktoe.DE.Tr.Road.Passenger</t>
  </si>
  <si>
    <t>FEC.ktoe.DE.Tr.Road.Passenger.P2W</t>
  </si>
  <si>
    <t>FEC.ktoe.DE.Tr.Road.Passenger.Car</t>
  </si>
  <si>
    <t>FEC.ktoe.DE.Tr.Road.Passenger.Bus</t>
  </si>
  <si>
    <t>FEC.ktoe.DE.Tr.Rail.Passenger</t>
  </si>
  <si>
    <t>FEC.ktoe.DE.Tr.Rail.Passenger.MTU</t>
  </si>
  <si>
    <t>FEC.ktoe.DE.Tr.Rail.Passenger.CPT</t>
  </si>
  <si>
    <t>FEC.ktoe.DE.Tr.Rail.Passenger.HST</t>
  </si>
  <si>
    <t>FEC.ktoe.DE.Tr.Road.Freight</t>
  </si>
  <si>
    <t>FEC.ktoe.DE.Tr.Road.Freight.LCV</t>
  </si>
  <si>
    <t>FEC.ktoe.DE.Tr.Road.Freight.HGV_All</t>
  </si>
  <si>
    <t>FEC.ktoe.DE.Tr.Rail.Freight</t>
  </si>
  <si>
    <t>EMI.ktCO2.DE.Tr.Road.Passenger</t>
  </si>
  <si>
    <t>EMI.ktCO2.DE.Tr.Road.Passenger.P2W</t>
  </si>
  <si>
    <t>EMI.ktCO2.DE.Tr.Road.Passenger.Car</t>
  </si>
  <si>
    <t>EMI.ktCO2.DE.Tr.Road.Passenger.Bus</t>
  </si>
  <si>
    <t>EMI.ktCO2.DE.Tr.Rail.Passenger</t>
  </si>
  <si>
    <t>EMI.ktCO2.DE.Tr.Rail.Passenger.MTU</t>
  </si>
  <si>
    <t>EMI.ktCO2.DE.Tr.Rail.Passenger.CPT</t>
  </si>
  <si>
    <t>EMI.ktCO2.DE.Tr.Rail.Passenger.HST</t>
  </si>
  <si>
    <t>EMI.ktCO2.DE.Tr.Road.Freight</t>
  </si>
  <si>
    <t>EMI.ktCO2.DE.Tr.Road.Freight.LCV</t>
  </si>
  <si>
    <t>EMI.ktCO2.DE.Tr.Road.Freight.HGV_All</t>
  </si>
  <si>
    <t>EMI.ktCO2.DE.Tr.Rail.Freight</t>
  </si>
  <si>
    <t>Eff.kgoe_per_kpkm.DE.Tr</t>
  </si>
  <si>
    <t>Eff.kgoe_per_kpkm.DE.Tr.Road.Passenger</t>
  </si>
  <si>
    <t>Eff.kgoe_per_kpkm.DE.Tr.Road.Passenger.P2W</t>
  </si>
  <si>
    <t>Eff.kgoe_per_kpkm.DE.Tr.Road.Passenger.Car</t>
  </si>
  <si>
    <t>Eff.kgoe_per_kpkm.DE.Tr.Road.Passenger.Bus</t>
  </si>
  <si>
    <t>Eff.kgoe_per_kpkm.DE.Tr.Rail.Passenger</t>
  </si>
  <si>
    <t>Eff.kgoe_per_kpkm.DE.Tr.Rail.Passenger.MTU</t>
  </si>
  <si>
    <t>Eff.kgoe_per_kpkm.DE.Tr.Rail.Passenger.CPT</t>
  </si>
  <si>
    <t>Eff.kgoe_per_kpkm.DE.Tr.Rail.Passenger.HST</t>
  </si>
  <si>
    <t>Eff.kgoe_per_ktkm.DE.Tr</t>
  </si>
  <si>
    <t>Eff.kgoe_per_ktkm.DE.Tr.Road.Freight</t>
  </si>
  <si>
    <t>Eff.kgoe_per_ktkm.DE.Tr.Road.Freight.LCV</t>
  </si>
  <si>
    <t>Eff.kgoe_per_ktkm.DE.Tr.Road.Freight.HGV_All</t>
  </si>
  <si>
    <t>Eff.kgoe_per_ktkm.DE.Tr.Rail.Freight</t>
  </si>
  <si>
    <t>Eff.kgoe_per_ktkm.DE.Tr.DNavi.Freight</t>
  </si>
  <si>
    <t>Eff.kgoe_per_ktkm.DE.Tr.DNavi.Freight.DCS</t>
  </si>
  <si>
    <t>Eff.kgoe_per_ktkm.DE.Tr.DNavi.Freight.IWW</t>
  </si>
  <si>
    <t>Eff.kgoe_per_ktkm.DE.MBunk.Freight</t>
  </si>
  <si>
    <t>Eff.kgoe_per_ktkm.DE.MBunk.Freight.IntraEEA</t>
  </si>
  <si>
    <t>Eff.kgoe_per_ktkm.DE.MBunk.Freight.ExtraEEA</t>
  </si>
  <si>
    <t>EMIint.gCO2_per_pkm.DE.Tr</t>
  </si>
  <si>
    <t>EMIint.gCO2_per_pkm.DE.Tr.Road.Passenger</t>
  </si>
  <si>
    <t>EMIint.gCO2_per_pkm.DE.Tr.Road.Passenger.P2W</t>
  </si>
  <si>
    <t>EMIint.gCO2_per_pkm.DE.Tr.Road.Passenger.Car</t>
  </si>
  <si>
    <t>EMIint.gCO2_per_pkm.DE.Tr.Road.Passenger.Bus</t>
  </si>
  <si>
    <t>EMIint.gCO2_per_pkm.DE.Tr.Rail.Passenger</t>
  </si>
  <si>
    <t>EMIint.gCO2_per_pkm.DE.Tr.Rail.Passenger.MTU</t>
  </si>
  <si>
    <t>EMIint.gCO2_per_pkm.DE.Tr.Rail.Passenger.CPT</t>
  </si>
  <si>
    <t>EMIint.gCO2_per_pkm.DE.Tr.Rail.Passenger.HST</t>
  </si>
  <si>
    <t>EMIint.gCO2_per_tkm.DE.Tr</t>
  </si>
  <si>
    <t>EMIint.gCO2_per_tkm.DE.Tr.Road.Freight</t>
  </si>
  <si>
    <t>EMIint.gCO2_per_tkm.DE.Tr.Road.Freight.LCV</t>
  </si>
  <si>
    <t>EMIint.gCO2_per_tkm.DE.Tr.Road.Freight.HGV_All</t>
  </si>
  <si>
    <t>EMIint.gCO2_per_tkm.DE.Tr.Rail.Freight</t>
  </si>
  <si>
    <t>EMIint.gCO2_per_tkm.DE.Tr.DNavi.Freight</t>
  </si>
  <si>
    <t>EMIint.gCO2_per_tkm.DE.Tr.DNavi.Freight.DCS</t>
  </si>
  <si>
    <t>EMIint.gCO2_per_tkm.DE.Tr.DNavi.Freight.IWW</t>
  </si>
  <si>
    <t>EMIint.gCO2_per_tkm.DE.MBunk.Freight</t>
  </si>
  <si>
    <t>EMIint.gCO2_per_tkm.DE.MBunk.Freight.IntraEEA</t>
  </si>
  <si>
    <t>EMIint.gCO2_per_tkm.DE.MBunk.Freight.ExtraEEA</t>
  </si>
  <si>
    <t>Road transport - DE - Germany</t>
  </si>
  <si>
    <t>Activity.Mpkm.DE.Tr.Road.Passenger.Car.ICE.Gasoline</t>
  </si>
  <si>
    <t>Activity.Mpkm.DE.Tr.Road.Passenger.Car.ICE.Diesel</t>
  </si>
  <si>
    <t>Activity.Mpkm.DE.Tr.Road.Passenger.Car.ICE.LPG</t>
  </si>
  <si>
    <t>Activity.Mpkm.DE.Tr.Road.Passenger.Car.ICE.NGas</t>
  </si>
  <si>
    <t>Activity.Mpkm.DE.Tr.Road.Passenger.Car.PHEV.Gasoline</t>
  </si>
  <si>
    <t>Activity.Mpkm.DE.Tr.Road.Passenger.Car.BEV</t>
  </si>
  <si>
    <t>Activity.Mpkm.DE.Tr.Road.Passenger.Bus.ICE.Gasoline</t>
  </si>
  <si>
    <t>Activity.Mpkm.DE.Tr.Road.Passenger.Bus.ICE.Diesel</t>
  </si>
  <si>
    <t>Activity.Mpkm.DE.Tr.Road.Passenger.Bus.ICE.LPG</t>
  </si>
  <si>
    <t>Activity.Mpkm.DE.Tr.Road.Passenger.Bus.ICE.NGas</t>
  </si>
  <si>
    <t>Activity.Mpkm.DE.Tr.Road.Passenger.Bus.BEV</t>
  </si>
  <si>
    <t>Activity.Mtkm.DE.Tr.Road.Freight.LCV.ICE.Gasoline</t>
  </si>
  <si>
    <t>Activity.Mtkm.DE.Tr.Road.Freight.LCV.ICE.Diesel</t>
  </si>
  <si>
    <t>Activity.Mtkm.DE.Tr.Road.Freight.LCV.ICE.LPG</t>
  </si>
  <si>
    <t>Activity.Mtkm.DE.Tr.Road.Freight.LCV.ICE.NGas</t>
  </si>
  <si>
    <t>Activity.Mtkm.DE.Tr.Road.Freight.LCV.BEV</t>
  </si>
  <si>
    <t>Activity.Mtkm.DE.Tr.Road.Freight.HGV_Domestic</t>
  </si>
  <si>
    <t>Activity.Mtkm.DE.Tr.Road.Freight.HGV_International</t>
  </si>
  <si>
    <t>VehicleKm.Mkm.DE.Tr.Road</t>
  </si>
  <si>
    <t>VehicleKm.Mkm.DE.Tr.Road.Passenger</t>
  </si>
  <si>
    <t>VehicleKm.Mkm.DE.Tr.Road.Passenger.P2W</t>
  </si>
  <si>
    <t>VehicleKm.Mkm.DE.Tr.Road.Passenger.Car</t>
  </si>
  <si>
    <t>VehicleKm.Mkm.DE.Tr.Road.Passenger.Car.ICE.Gasoline</t>
  </si>
  <si>
    <t>VehicleKm.Mkm.DE.Tr.Road.Passenger.Car.ICE.Diesel</t>
  </si>
  <si>
    <t>VehicleKm.Mkm.DE.Tr.Road.Passenger.Car.ICE.LPG</t>
  </si>
  <si>
    <t>VehicleKm.Mkm.DE.Tr.Road.Passenger.Car.ICE.NGas</t>
  </si>
  <si>
    <t>VehicleKm.Mkm.DE.Tr.Road.Passenger.Car.PHEV.Gasoline</t>
  </si>
  <si>
    <t>VehicleKm.Mkm.DE.Tr.Road.Passenger.Car.BEV</t>
  </si>
  <si>
    <t>VehicleKm.Mkm.DE.Tr.Road.Passenger.Bus</t>
  </si>
  <si>
    <t>VehicleKm.Mkm.DE.Tr.Road.Passenger.Bus.ICE.Gasoline</t>
  </si>
  <si>
    <t>VehicleKm.Mkm.DE.Tr.Road.Passenger.Bus.ICE.Diesel</t>
  </si>
  <si>
    <t>VehicleKm.Mkm.DE.Tr.Road.Passenger.Bus.ICE.LPG</t>
  </si>
  <si>
    <t>VehicleKm.Mkm.DE.Tr.Road.Passenger.Bus.ICE.NGas</t>
  </si>
  <si>
    <t>VehicleKm.Mkm.DE.Tr.Road.Passenger.Bus.BEV</t>
  </si>
  <si>
    <t>VehicleKm.Mkm.DE.Tr.Road.Freight</t>
  </si>
  <si>
    <t>VehicleKm.Mkm.DE.Tr.Road.Freight.LCV</t>
  </si>
  <si>
    <t>VehicleKm.Mkm.DE.Tr.Road.Freight.LCV.ICE.Gasoline</t>
  </si>
  <si>
    <t>VehicleKm.Mkm.DE.Tr.Road.Freight.LCV.ICE.Diesel</t>
  </si>
  <si>
    <t>VehicleKm.Mkm.DE.Tr.Road.Freight.LCV.ICE.LPG</t>
  </si>
  <si>
    <t>VehicleKm.Mkm.DE.Tr.Road.Freight.LCV.ICE.NGas</t>
  </si>
  <si>
    <t>VehicleKm.Mkm.DE.Tr.Road.Freight.LCV.BEV</t>
  </si>
  <si>
    <t>VehicleKm.Mkm.DE.Tr.Road.Freight.HGV_All</t>
  </si>
  <si>
    <t>VehicleKm.Mkm.DE.Tr.Road.Freight.HGV_Domestic</t>
  </si>
  <si>
    <t>VehicleKm.Mkm.DE.Tr.Road.Freight.HGV_International</t>
  </si>
  <si>
    <t>Stock.number.DE.Tr.Road</t>
  </si>
  <si>
    <t>Stock.number.DE.Tr.Road.Passenger</t>
  </si>
  <si>
    <t>Stock.number.DE.Tr.Road.Passenger.P2W</t>
  </si>
  <si>
    <t>Stock.number.DE.Tr.Road.Passenger.Car</t>
  </si>
  <si>
    <t>Stock.number.DE.Tr.Road.Passenger.Car.ICE.Gasoline</t>
  </si>
  <si>
    <t>Stock.number.DE.Tr.Road.Passenger.Car.ICE.Diesel</t>
  </si>
  <si>
    <t>Stock.number.DE.Tr.Road.Passenger.Car.ICE.LPG</t>
  </si>
  <si>
    <t>Stock.number.DE.Tr.Road.Passenger.Car.ICE.NGas</t>
  </si>
  <si>
    <t>Stock.number.DE.Tr.Road.Passenger.Car.PHEV.Gasoline</t>
  </si>
  <si>
    <t>Stock.number.DE.Tr.Road.Passenger.Car.BEV</t>
  </si>
  <si>
    <t>Stock.number.DE.Tr.Road.Passenger.Bus</t>
  </si>
  <si>
    <t>Stock.number.DE.Tr.Road.Passenger.Bus.ICE.Gasoline</t>
  </si>
  <si>
    <t>Stock.number.DE.Tr.Road.Passenger.Bus.ICE.Diesel</t>
  </si>
  <si>
    <t>Stock.number.DE.Tr.Road.Passenger.Bus.ICE.LPG</t>
  </si>
  <si>
    <t>Stock.number.DE.Tr.Road.Passenger.Bus.ICE.NGas</t>
  </si>
  <si>
    <t>Stock.number.DE.Tr.Road.Passenger.Bus.BEV</t>
  </si>
  <si>
    <t>Stock.number.DE.Tr.Road.Freight</t>
  </si>
  <si>
    <t>Stock.number.DE.Tr.Road.Freight.LCV</t>
  </si>
  <si>
    <t>Stock.number.DE.Tr.Road.Freight.LCV.ICE.Gasoline</t>
  </si>
  <si>
    <t>Stock.number.DE.Tr.Road.Freight.LCV.ICE.Diesel</t>
  </si>
  <si>
    <t>Stock.number.DE.Tr.Road.Freight.LCV.ICE.LPG</t>
  </si>
  <si>
    <t>Stock.number.DE.Tr.Road.Freight.LCV.ICE.NGas</t>
  </si>
  <si>
    <t>Stock.number.DE.Tr.Road.Freight.LCV.BEV</t>
  </si>
  <si>
    <t>Stock.number.DE.Tr.Road.Freight.HGV_All</t>
  </si>
  <si>
    <t>Stock.number.DE.Tr.Road.Freight.HGV_Domestic</t>
  </si>
  <si>
    <t>Stock.number.DE.Tr.Road.Freight.HGV_International</t>
  </si>
  <si>
    <t>StockNew.number.DE.Tr.Road</t>
  </si>
  <si>
    <t>StockNew.number.DE.Tr.Road.Passenger</t>
  </si>
  <si>
    <t>StockNew.number.DE.Tr.Road.Passenger.P2W</t>
  </si>
  <si>
    <t>StockNew.number.DE.Tr.Road.Passenger.Car</t>
  </si>
  <si>
    <t>StockNew.number.DE.Tr.Road.Passenger.Car.ICE.Gasoline</t>
  </si>
  <si>
    <t>StockNew.number.DE.Tr.Road.Passenger.Car.ICE.Diesel</t>
  </si>
  <si>
    <t>StockNew.number.DE.Tr.Road.Passenger.Car.ICE.LPG</t>
  </si>
  <si>
    <t>StockNew.number.DE.Tr.Road.Passenger.Car.ICE.NGas</t>
  </si>
  <si>
    <t>StockNew.number.DE.Tr.Road.Passenger.Car.PHEV.Gasoline</t>
  </si>
  <si>
    <t>StockNew.number.DE.Tr.Road.Passenger.Car.BEV</t>
  </si>
  <si>
    <t>StockNew.number.DE.Tr.Road.Passenger.Bus</t>
  </si>
  <si>
    <t>StockNew.number.DE.Tr.Road.Passenger.Bus.ICE.Gasoline</t>
  </si>
  <si>
    <t>StockNew.number.DE.Tr.Road.Passenger.Bus.ICE.Diesel</t>
  </si>
  <si>
    <t>StockNew.number.DE.Tr.Road.Passenger.Bus.ICE.LPG</t>
  </si>
  <si>
    <t>StockNew.number.DE.Tr.Road.Passenger.Bus.ICE.NGas</t>
  </si>
  <si>
    <t>StockNew.number.DE.Tr.Road.Passenger.Bus.BEV</t>
  </si>
  <si>
    <t>StockNew.number.DE.Tr.Road.Freight</t>
  </si>
  <si>
    <t>StockNew.number.DE.Tr.Road.Freight.LCV</t>
  </si>
  <si>
    <t>StockNew.number.DE.Tr.Road.Freight.LCV.ICE.Gasoline</t>
  </si>
  <si>
    <t>StockNew.number.DE.Tr.Road.Freight.LCV.ICE.Diesel</t>
  </si>
  <si>
    <t>StockNew.number.DE.Tr.Road.Freight.LCV.ICE.LPG</t>
  </si>
  <si>
    <t>StockNew.number.DE.Tr.Road.Freight.LCV.ICE.NGas</t>
  </si>
  <si>
    <t>StockNew.number.DE.Tr.Road.Freight.LCV.BEV</t>
  </si>
  <si>
    <t>StockNew.number.DE.Tr.Road.Freight.HGV_All</t>
  </si>
  <si>
    <t>StockNew.number.DE.Tr.Road.Freight.HGV_Domestic</t>
  </si>
  <si>
    <t>StockNew.number.DE.Tr.Road.Freight.HGV_International</t>
  </si>
  <si>
    <t>Load.passenger_per_movement.DE.Tr.Road.Passenger</t>
  </si>
  <si>
    <t>Load.passenger_per_movement.DE.Tr.Road.Passenger.P2W</t>
  </si>
  <si>
    <t>Load.passenger_per_movement.DE.Tr.Road.Passenger.Car</t>
  </si>
  <si>
    <t>Load.passenger_per_movement.DE.Tr.Road.Passenger.Car.ICE.Gasoline</t>
  </si>
  <si>
    <t>Load.passenger_per_movement.DE.Tr.Road.Passenger.Car.ICE.Diesel</t>
  </si>
  <si>
    <t>Load.passenger_per_movement.DE.Tr.Road.Passenger.Car.ICE.LPG</t>
  </si>
  <si>
    <t>Load.passenger_per_movement.DE.Tr.Road.Passenger.Car.ICE.NGas</t>
  </si>
  <si>
    <t>Load.passenger_per_movement.DE.Tr.Road.Passenger.Car.PHEV.Gasoline</t>
  </si>
  <si>
    <t>Load.passenger_per_movement.DE.Tr.Road.Passenger.Car.BEV</t>
  </si>
  <si>
    <t>Load.passenger_per_movement.DE.Tr.Road.Passenger.Bus</t>
  </si>
  <si>
    <t>Load.passenger_per_movement.DE.Tr.Road.Passenger.Bus.ICE.Gasoline</t>
  </si>
  <si>
    <t>Load.passenger_per_movement.DE.Tr.Road.Passenger.Bus.ICE.Diesel</t>
  </si>
  <si>
    <t>Load.passenger_per_movement.DE.Tr.Road.Passenger.Bus.ICE.LPG</t>
  </si>
  <si>
    <t>Load.passenger_per_movement.DE.Tr.Road.Passenger.Bus.ICE.NGas</t>
  </si>
  <si>
    <t>Load.passenger_per_movement.DE.Tr.Road.Passenger.Bus.BEV</t>
  </si>
  <si>
    <t>Load.t_per_movement.DE.Tr.Road.Freight</t>
  </si>
  <si>
    <t>Load.t_per_movement.DE.Tr.Road.Freight.LCV</t>
  </si>
  <si>
    <t>Load.t_per_movement.DE.Tr.Road.Freight.LCV.ICE.Gasoline</t>
  </si>
  <si>
    <t>Load.t_per_movement.DE.Tr.Road.Freight.LCV.ICE.Diesel</t>
  </si>
  <si>
    <t>Load.t_per_movement.DE.Tr.Road.Freight.LCV.ICE.LPG</t>
  </si>
  <si>
    <t>Load.t_per_movement.DE.Tr.Road.Freight.LCV.ICE.NGas</t>
  </si>
  <si>
    <t>Load.t_per_movement.DE.Tr.Road.Freight.LCV.BEV</t>
  </si>
  <si>
    <t>Load.t_per_movement.DE.Tr.Road.Freight.HGV_All</t>
  </si>
  <si>
    <t>Load.t_per_movement.DE.Tr.Road.Freight.HGV_Domestic</t>
  </si>
  <si>
    <t>Load.t_per_movement.DE.Tr.Road.Freight.HGV_International</t>
  </si>
  <si>
    <t>VehicleKm_per_vehicle.km.DE.Tr.Road</t>
  </si>
  <si>
    <t>VehicleKm_per_vehicle.km.DE.Tr.Road.Passenger</t>
  </si>
  <si>
    <t>VehicleKm_per_vehicle.km.DE.Tr.Road.Passenger.P2W</t>
  </si>
  <si>
    <t>VehicleKm_per_vehicle.km.DE.Tr.Road.Passenger.Car</t>
  </si>
  <si>
    <t>VehicleKm_per_vehicle.km.DE.Tr.Road.Passenger.Car.ICE.Gasoline</t>
  </si>
  <si>
    <t>VehicleKm_per_vehicle.km.DE.Tr.Road.Passenger.Car.ICE.Diesel</t>
  </si>
  <si>
    <t>VehicleKm_per_vehicle.km.DE.Tr.Road.Passenger.Car.ICE.LPG</t>
  </si>
  <si>
    <t>VehicleKm_per_vehicle.km.DE.Tr.Road.Passenger.Car.ICE.NGas</t>
  </si>
  <si>
    <t>VehicleKm_per_vehicle.km.DE.Tr.Road.Passenger.Car.PHEV.Gasoline</t>
  </si>
  <si>
    <t>VehicleKm_per_vehicle.km.DE.Tr.Road.Passenger.Car.BEV</t>
  </si>
  <si>
    <t>VehicleKm_per_vehicle.km.DE.Tr.Road.Passenger.Bus</t>
  </si>
  <si>
    <t>VehicleKm_per_vehicle.km.DE.Tr.Road.Passenger.Bus.ICE.Gasoline</t>
  </si>
  <si>
    <t>VehicleKm_per_vehicle.km.DE.Tr.Road.Passenger.Bus.ICE.Diesel</t>
  </si>
  <si>
    <t>VehicleKm_per_vehicle.km.DE.Tr.Road.Passenger.Bus.ICE.LPG</t>
  </si>
  <si>
    <t>VehicleKm_per_vehicle.km.DE.Tr.Road.Passenger.Bus.ICE.NGas</t>
  </si>
  <si>
    <t>VehicleKm_per_vehicle.km.DE.Tr.Road.Passenger.Bus.BEV</t>
  </si>
  <si>
    <t>VehicleKm_per_vehicle.km.DE.Tr.Road.Freight</t>
  </si>
  <si>
    <t>VehicleKm_per_vehicle.km.DE.Tr.Road.Freight.LCV</t>
  </si>
  <si>
    <t>VehicleKm_per_vehicle.km.DE.Tr.Road.Freight.LCV.ICE.Gasoline</t>
  </si>
  <si>
    <t>VehicleKm_per_vehicle.km.DE.Tr.Road.Freight.LCV.ICE.Diesel</t>
  </si>
  <si>
    <t>VehicleKm_per_vehicle.km.DE.Tr.Road.Freight.LCV.ICE.LPG</t>
  </si>
  <si>
    <t>VehicleKm_per_vehicle.km.DE.Tr.Road.Freight.LCV.ICE.NGas</t>
  </si>
  <si>
    <t>VehicleKm_per_vehicle.km.DE.Tr.Road.Freight.LCV.BEV</t>
  </si>
  <si>
    <t>VehicleKm_per_vehicle.km.DE.Tr.Road.Freight.HGV_All</t>
  </si>
  <si>
    <t>VehicleKm_per_vehicle.km.DE.Tr.Road.Freight.HGV_Domestic</t>
  </si>
  <si>
    <t>VehicleKm_per_vehicle.km.DE.Tr.Road.Freight.HGV_International</t>
  </si>
  <si>
    <t>Activity_per_vehicle.pkm.DE.Tr.Road.Passenger</t>
  </si>
  <si>
    <t>Activity_per_vehicle.pkm.DE.Tr.Road.Passenger.P2W</t>
  </si>
  <si>
    <t>Activity_per_vehicle.pkm.DE.Tr.Road.Passenger.Car</t>
  </si>
  <si>
    <t>Activity_per_vehicle.pkm.DE.Tr.Road.Passenger.Car.ICE.Gasoline</t>
  </si>
  <si>
    <t>Activity_per_vehicle.pkm.DE.Tr.Road.Passenger.Car.ICE.Diesel</t>
  </si>
  <si>
    <t>Activity_per_vehicle.pkm.DE.Tr.Road.Passenger.Car.ICE.LPG</t>
  </si>
  <si>
    <t>Activity_per_vehicle.pkm.DE.Tr.Road.Passenger.Car.ICE.NGas</t>
  </si>
  <si>
    <t>Activity_per_vehicle.pkm.DE.Tr.Road.Passenger.Car.PHEV.Gasoline</t>
  </si>
  <si>
    <t>Activity_per_vehicle.pkm.DE.Tr.Road.Passenger.Car.BEV</t>
  </si>
  <si>
    <t>Activity_per_vehicle.pkm.DE.Tr.Road.Passenger.Bus</t>
  </si>
  <si>
    <t>Activity_per_vehicle.pkm.DE.Tr.Road.Passenger.Bus.ICE.Gasoline</t>
  </si>
  <si>
    <t>Activity_per_vehicle.pkm.DE.Tr.Road.Passenger.Bus.ICE.Diesel</t>
  </si>
  <si>
    <t>Activity_per_vehicle.pkm.DE.Tr.Road.Passenger.Bus.ICE.LPG</t>
  </si>
  <si>
    <t>Activity_per_vehicle.pkm.DE.Tr.Road.Passenger.Bus.ICE.NGas</t>
  </si>
  <si>
    <t>Activity_per_vehicle.pkm.DE.Tr.Road.Passenger.Bus.BEV</t>
  </si>
  <si>
    <t>Activity_per_vehicle.tkm.DE.Tr.Road.Freight</t>
  </si>
  <si>
    <t>Activity_per_vehicle.tkm.DE.Tr.Road.Freight.LCV</t>
  </si>
  <si>
    <t>Activity_per_vehicle.tkm.DE.Tr.Road.Freight.LCV.ICE.Gasoline</t>
  </si>
  <si>
    <t>Activity_per_vehicle.tkm.DE.Tr.Road.Freight.LCV.ICE.Diesel</t>
  </si>
  <si>
    <t>Activity_per_vehicle.tkm.DE.Tr.Road.Freight.LCV.ICE.LPG</t>
  </si>
  <si>
    <t>Activity_per_vehicle.tkm.DE.Tr.Road.Freight.LCV.ICE.NGas</t>
  </si>
  <si>
    <t>Activity_per_vehicle.tkm.DE.Tr.Road.Freight.LCV.BEV</t>
  </si>
  <si>
    <t>Activity_per_vehicle.tkm.DE.Tr.Road.Freight.HGV_All</t>
  </si>
  <si>
    <t>Activity_per_vehicle.tkm.DE.Tr.Road.Freight.HGV_Domestic</t>
  </si>
  <si>
    <t>Activity_per_vehicle.tkm.DE.Tr.Road.Freight.HGV_International</t>
  </si>
  <si>
    <t>Road transport / energy consumption - DE - Germany</t>
  </si>
  <si>
    <t>FEC.ktoe.DE.ES.Tr.Road</t>
  </si>
  <si>
    <t>FEC.ktoe.DE.ES.Tr.Road.LPG</t>
  </si>
  <si>
    <t>FEC.ktoe.DE.ES.Tr.Road.Gasoline</t>
  </si>
  <si>
    <t>FEC.ktoe.DE.ES.Tr.Road.Diesel</t>
  </si>
  <si>
    <t>FEC.ktoe.DE.ES.Tr.Road.NG</t>
  </si>
  <si>
    <t>FEC.ktoe.DE.ES.Tr.Road.Biogas</t>
  </si>
  <si>
    <t>FEC.ktoe.DE.ES.Tr.Road.Biogasoline</t>
  </si>
  <si>
    <t>FEC.ktoe.DE.ES.Tr.Road.Biodiesel</t>
  </si>
  <si>
    <t>FEC.ktoe.DE.ES.Tr.Road.OthLiqBio</t>
  </si>
  <si>
    <t>FEC.ktoe.DE.ES.Tr.Road.Elec</t>
  </si>
  <si>
    <t>FEC.ktoe.DE.Tr.Road</t>
  </si>
  <si>
    <t>FEC.ktoe.DE.Tr.Road.Passenger.P2W.Total.Total.Biogasoline</t>
  </si>
  <si>
    <t>FEC.ktoe.DE.Tr.Road.Passenger.Car.ICE.Gasoline</t>
  </si>
  <si>
    <t>FEC.ktoe.DE.Tr.Road.Passenger.Car.ICE.Gasoline.Biogasoline</t>
  </si>
  <si>
    <t>FEC.ktoe.DE.Tr.Road.Passenger.Car.ICE.Diesel</t>
  </si>
  <si>
    <t>FEC.ktoe.DE.Tr.Road.Passenger.Car.ICE.Diesel.BioDiesel_OthLiqBio</t>
  </si>
  <si>
    <t>FEC.ktoe.DE.Tr.Road.Passenger.Car.ICE.LPG</t>
  </si>
  <si>
    <t>FEC.ktoe.DE.Tr.Road.Passenger.Car.ICE.NGas</t>
  </si>
  <si>
    <t>FEC.ktoe.DE.Tr.Road.Passenger.Car.ICE.NGas.Biogas</t>
  </si>
  <si>
    <t>FEC.ktoe.DE.Tr.Road.Passenger.Car.PHEV.Gasoline</t>
  </si>
  <si>
    <t>FEC.ktoe.DE.Tr.Road.Passenger.Car.PHEV.Gasoline.Biogasoline</t>
  </si>
  <si>
    <t>FEC.ktoe.DE.Tr.Road.Passenger.Car.PHEV.Gasoline.Elec</t>
  </si>
  <si>
    <t>FEC.ktoe.DE.Tr.Road.Passenger.Car.BEV</t>
  </si>
  <si>
    <t>FEC.ktoe.DE.Tr.Road.Passenger.Bus.ICE.Gasoline</t>
  </si>
  <si>
    <t>FEC.ktoe.DE.Tr.Road.Passenger.Bus.ICE.Gasoline.Biogasoline</t>
  </si>
  <si>
    <t>FEC.ktoe.DE.Tr.Road.Passenger.Bus.ICE.Diesel</t>
  </si>
  <si>
    <t>FEC.ktoe.DE.Tr.Road.Passenger.Bus.ICE.Diesel.BioDiesel_OthLiqBio</t>
  </si>
  <si>
    <t>FEC.ktoe.DE.Tr.Road.Passenger.Bus.ICE.LPG</t>
  </si>
  <si>
    <t>FEC.ktoe.DE.Tr.Road.Passenger.Bus.ICE.NGas</t>
  </si>
  <si>
    <t>FEC.ktoe.DE.Tr.Road.Passenger.Bus.ICE.NGas.Biogas</t>
  </si>
  <si>
    <t>FEC.ktoe.DE.Tr.Road.Passenger.Bus.BEV</t>
  </si>
  <si>
    <t>FEC.ktoe.DE.Tr.Road.Freight.LCV.ICE.Gasoline</t>
  </si>
  <si>
    <t>FEC.ktoe.DE.Tr.Road.Freight.LCV.ICE.Gasoline.Biogasoline</t>
  </si>
  <si>
    <t>FEC.ktoe.DE.Tr.Road.Freight.LCV.ICE.Diesel</t>
  </si>
  <si>
    <t>FEC.ktoe.DE.Tr.Road.Freight.LCV.ICE.Diesel.BioDiesel_OthLiqBio</t>
  </si>
  <si>
    <t>FEC.ktoe.DE.Tr.Road.Freight.LCV.ICE.LPG</t>
  </si>
  <si>
    <t>FEC.ktoe.DE.Tr.Road.Freight.LCV.ICE.NGas</t>
  </si>
  <si>
    <t>FEC.ktoe.DE.Tr.Road.Freight.LCV.ICE.NGas.Biogas</t>
  </si>
  <si>
    <t>FEC.ktoe.DE.Tr.Road.Freight.LCV.BEV</t>
  </si>
  <si>
    <t>FEC.ktoe.DE.Tr.Road.Freight.HGV_Domestic</t>
  </si>
  <si>
    <t>FEC.ktoe.DE.Tr.Road.Freight.HGV_Domestic.Total.Total.BioDiesel_OthLiqBio</t>
  </si>
  <si>
    <t>FEC.ktoe.DE.Tr.Road.Freight.HGV_International</t>
  </si>
  <si>
    <t>FEC.ktoe.DE.Tr.Road.Freight.HGV_International.Total.Total.BioDiesel_OthLiqBio</t>
  </si>
  <si>
    <t>Eff.kgoe_per_100km.DE.Tr.Road</t>
  </si>
  <si>
    <t>Eff.kgoe_per_100km.DE.Tr.Road.Passenger</t>
  </si>
  <si>
    <t>Eff.kgoe_per_100km.DE.Tr.Road.Passenger.P2W</t>
  </si>
  <si>
    <t>Eff.kgoe_per_100km.DE.Tr.Road.Passenger.Car</t>
  </si>
  <si>
    <t>Eff.kgoe_per_100km.DE.Tr.Road.Passenger.Car.ICE.Gasoline</t>
  </si>
  <si>
    <t>Eff.kgoe_per_100km.DE.Tr.Road.Passenger.Car.ICE.Diesel</t>
  </si>
  <si>
    <t>Eff.kgoe_per_100km.DE.Tr.Road.Passenger.Car.ICE.LPG</t>
  </si>
  <si>
    <t>Eff.kgoe_per_100km.DE.Tr.Road.Passenger.Car.ICE.NGas</t>
  </si>
  <si>
    <t>Eff.kgoe_per_100km.DE.Tr.Road.Passenger.Car.PHEV.Gasoline</t>
  </si>
  <si>
    <t>Eff.kgoe_per_100km.DE.Tr.Road.Passenger.Car.BEV</t>
  </si>
  <si>
    <t>Eff.kgoe_per_100km.DE.Tr.Road.Passenger.Bus</t>
  </si>
  <si>
    <t>Eff.kgoe_per_100km.DE.Tr.Road.Passenger.Bus.ICE.Gasoline</t>
  </si>
  <si>
    <t>Eff.kgoe_per_100km.DE.Tr.Road.Passenger.Bus.ICE.Diesel</t>
  </si>
  <si>
    <t>Eff.kgoe_per_100km.DE.Tr.Road.Passenger.Bus.ICE.LPG</t>
  </si>
  <si>
    <t>Eff.kgoe_per_100km.DE.Tr.Road.Passenger.Bus.ICE.NGas</t>
  </si>
  <si>
    <t>Eff.kgoe_per_100km.DE.Tr.Road.Passenger.Bus.BEV</t>
  </si>
  <si>
    <t>Eff.kgoe_per_100km.DE.Tr.Road.Freight</t>
  </si>
  <si>
    <t>Eff.kgoe_per_100km.DE.Tr.Road.Freight.LCV</t>
  </si>
  <si>
    <t>Eff.kgoe_per_100km.DE.Tr.Road.Freight.LCV.ICE.Gasoline</t>
  </si>
  <si>
    <t>Eff.kgoe_per_100km.DE.Tr.Road.Freight.LCV.ICE.Diesel</t>
  </si>
  <si>
    <t>Eff.kgoe_per_100km.DE.Tr.Road.Freight.LCV.ICE.LPG</t>
  </si>
  <si>
    <t>Eff.kgoe_per_100km.DE.Tr.Road.Freight.LCV.ICE.NGas</t>
  </si>
  <si>
    <t>Eff.kgoe_per_100km.DE.Tr.Road.Freight.LCV.BEV</t>
  </si>
  <si>
    <t>Eff.kgoe_per_100km.DE.Tr.Road.Freight.HGV_All</t>
  </si>
  <si>
    <t>Eff.kgoe_per_100km.DE.Tr.Road.Freight.HGV_Domestic</t>
  </si>
  <si>
    <t>Eff.kgoe_per_100km.DE.Tr.Road.Freight.HGV_International</t>
  </si>
  <si>
    <t>Eff.kgoe_per_kpkm.DE.Tr.Road.Passenger.Car.ICE.Gasoline</t>
  </si>
  <si>
    <t>Eff.kgoe_per_kpkm.DE.Tr.Road.Passenger.Car.ICE.Diesel</t>
  </si>
  <si>
    <t>Eff.kgoe_per_kpkm.DE.Tr.Road.Passenger.Car.ICE.LPG</t>
  </si>
  <si>
    <t>Eff.kgoe_per_kpkm.DE.Tr.Road.Passenger.Car.ICE.NGas</t>
  </si>
  <si>
    <t>Eff.kgoe_per_kpkm.DE.Tr.Road.Passenger.Car.PHEV.Gasoline</t>
  </si>
  <si>
    <t>Eff.kgoe_per_kpkm.DE.Tr.Road.Passenger.Car.BEV</t>
  </si>
  <si>
    <t>Eff.kgoe_per_kpkm.DE.Tr.Road.Passenger.Bus.ICE.Gasoline</t>
  </si>
  <si>
    <t>Eff.kgoe_per_kpkm.DE.Tr.Road.Passenger.Bus.ICE.Diesel</t>
  </si>
  <si>
    <t>Eff.kgoe_per_kpkm.DE.Tr.Road.Passenger.Bus.ICE.LPG</t>
  </si>
  <si>
    <t>Eff.kgoe_per_kpkm.DE.Tr.Road.Passenger.Bus.ICE.NGas</t>
  </si>
  <si>
    <t>Eff.kgoe_per_kpkm.DE.Tr.Road.Passenger.Bus.BEV</t>
  </si>
  <si>
    <t>Eff.kgoe_per_ktkm.DE.Tr.Road.Freight.LCV.ICE.Gasoline</t>
  </si>
  <si>
    <t>Eff.kgoe_per_ktkm.DE.Tr.Road.Freight.LCV.ICE.Diesel</t>
  </si>
  <si>
    <t>Eff.kgoe_per_ktkm.DE.Tr.Road.Freight.LCV.ICE.LPG</t>
  </si>
  <si>
    <t>Eff.kgoe_per_ktkm.DE.Tr.Road.Freight.LCV.ICE.NGas</t>
  </si>
  <si>
    <t>Eff.kgoe_per_ktkm.DE.Tr.Road.Freight.LCV.BEV</t>
  </si>
  <si>
    <t>Eff.kgoe_per_ktkm.DE.Tr.Road.Freight.HGV_Domestic</t>
  </si>
  <si>
    <t>Eff.kgoe_per_ktkm.DE.Tr.Road.Freight.HGV_International</t>
  </si>
  <si>
    <t>FEC_per_vehicle.kgoe.DE.Tr.Road.Passenger.P2W</t>
  </si>
  <si>
    <t>FEC_per_vehicle.kgoe.DE.Tr.Road.Passenger.Car</t>
  </si>
  <si>
    <t>FEC_per_vehicle.kgoe.DE.Tr.Road.Passenger.Car.ICE.Gasoline</t>
  </si>
  <si>
    <t>FEC_per_vehicle.kgoe.DE.Tr.Road.Passenger.Car.ICE.Diesel</t>
  </si>
  <si>
    <t>FEC_per_vehicle.kgoe.DE.Tr.Road.Passenger.Car.ICE.LPG</t>
  </si>
  <si>
    <t>FEC_per_vehicle.kgoe.DE.Tr.Road.Passenger.Car.ICE.NGas</t>
  </si>
  <si>
    <t>FEC_per_vehicle.kgoe.DE.Tr.Road.Passenger.Car.PHEV.Gasoline</t>
  </si>
  <si>
    <t>FEC_per_vehicle.kgoe.DE.Tr.Road.Passenger.Car.BEV</t>
  </si>
  <si>
    <t>FEC_per_vehicle.kgoe.DE.Tr.Road.Passenger.Bus</t>
  </si>
  <si>
    <t>FEC_per_vehicle.kgoe.DE.Tr.Road.Passenger.Bus.ICE.Gasoline</t>
  </si>
  <si>
    <t>FEC_per_vehicle.kgoe.DE.Tr.Road.Passenger.Bus.ICE.Diesel</t>
  </si>
  <si>
    <t>FEC_per_vehicle.kgoe.DE.Tr.Road.Passenger.Bus.ICE.LPG</t>
  </si>
  <si>
    <t>FEC_per_vehicle.kgoe.DE.Tr.Road.Passenger.Bus.ICE.NGas</t>
  </si>
  <si>
    <t>FEC_per_vehicle.kgoe.DE.Tr.Road.Passenger.Bus.BEV</t>
  </si>
  <si>
    <t>FEC_per_vehicle.kgoe.DE.Tr.Road.Freight.LCV</t>
  </si>
  <si>
    <t>FEC_per_vehicle.kgoe.DE.Tr.Road.Freight.LCV.ICE.Gasoline</t>
  </si>
  <si>
    <t>FEC_per_vehicle.kgoe.DE.Tr.Road.Freight.LCV.ICE.Diesel</t>
  </si>
  <si>
    <t>FEC_per_vehicle.kgoe.DE.Tr.Road.Freight.LCV.ICE.LPG</t>
  </si>
  <si>
    <t>FEC_per_vehicle.kgoe.DE.Tr.Road.Freight.LCV.ICE.NGas</t>
  </si>
  <si>
    <t>FEC_per_vehicle.kgoe.DE.Tr.Road.Freight.LCV.BEV</t>
  </si>
  <si>
    <t>FEC_per_vehicle.kgoe.DE.Tr.Road.Freight.HGV_All</t>
  </si>
  <si>
    <t>FEC_per_vehicle.kgoe.DE.Tr.Road.Freight.HGV_Domestic</t>
  </si>
  <si>
    <t>FEC_per_vehicle.kgoe.DE.Tr.Road.Freight.HGV_International</t>
  </si>
  <si>
    <t>Road transport / CO2 emissions - DE - Germany</t>
  </si>
  <si>
    <t>EMI.ktCO2.DE.ES.Tr.Road</t>
  </si>
  <si>
    <t>EMI.ktCO2.DE.ES.Tr.Road.LPG</t>
  </si>
  <si>
    <t>EMI.ktCO2.DE.ES.Tr.Road.Gasoline</t>
  </si>
  <si>
    <t>EMI.ktCO2.DE.ES.Tr.Road.Diesel</t>
  </si>
  <si>
    <t>EMI.ktCO2.DE.ES.Tr.Road.NG</t>
  </si>
  <si>
    <t>EMI.ktCO2.DE.ES.Tr.Road.Biogas</t>
  </si>
  <si>
    <t>EMI.ktCO2.DE.ES.Tr.Road.Biogasoline</t>
  </si>
  <si>
    <t>EMI.ktCO2.DE.ES.Tr.Road.Biodiesel</t>
  </si>
  <si>
    <t>EMI.ktCO2.DE.ES.Tr.Road.OthLiqBio</t>
  </si>
  <si>
    <t>EMI.ktCO2.DE.ES.Tr.Road.Elec</t>
  </si>
  <si>
    <t>EMI.ktCO2.DE.Tr.Road</t>
  </si>
  <si>
    <t>EMI.ktCO2.DE.Tr.Road.Passenger.Car.ICE.Gasoline</t>
  </si>
  <si>
    <t>EMI.ktCO2.DE.Tr.Road.Passenger.Car.ICE.Diesel</t>
  </si>
  <si>
    <t>EMI.ktCO2.DE.Tr.Road.Passenger.Car.ICE.LPG</t>
  </si>
  <si>
    <t>EMI.ktCO2.DE.Tr.Road.Passenger.Car.ICE.NGas</t>
  </si>
  <si>
    <t>EMI.ktCO2.DE.Tr.Road.Passenger.Car.PHEV.Gasoline</t>
  </si>
  <si>
    <t>EMI.ktCO2.DE.Tr.Road.Passenger.Car.BEV</t>
  </si>
  <si>
    <t>EMI.ktCO2.DE.Tr.Road.Passenger.Bus.ICE.Gasoline</t>
  </si>
  <si>
    <t>EMI.ktCO2.DE.Tr.Road.Passenger.Bus.ICE.Diesel</t>
  </si>
  <si>
    <t>EMI.ktCO2.DE.Tr.Road.Passenger.Bus.ICE.LPG</t>
  </si>
  <si>
    <t>EMI.ktCO2.DE.Tr.Road.Passenger.Bus.ICE.NGas</t>
  </si>
  <si>
    <t>EMI.ktCO2.DE.Tr.Road.Passenger.Bus.BEV</t>
  </si>
  <si>
    <t>EMI.ktCO2.DE.Tr.Road.Freight.LCV.ICE.Gasoline</t>
  </si>
  <si>
    <t>EMI.ktCO2.DE.Tr.Road.Freight.LCV.ICE.Diesel</t>
  </si>
  <si>
    <t>EMI.ktCO2.DE.Tr.Road.Freight.LCV.ICE.LPG</t>
  </si>
  <si>
    <t>EMI.ktCO2.DE.Tr.Road.Freight.LCV.ICE.NGas</t>
  </si>
  <si>
    <t>EMI.ktCO2.DE.Tr.Road.Freight.LCV.BEV</t>
  </si>
  <si>
    <t>EMI.ktCO2.DE.Tr.Road.Freight.HGV_Domestic</t>
  </si>
  <si>
    <t>EMI.ktCO2.DE.Tr.Road.Freight.HGV_International</t>
  </si>
  <si>
    <t>EMIint.gCO2_per_km.DE.Tr.Road</t>
  </si>
  <si>
    <t>EMIint.gCO2_per_km.DE.Tr.Road.Passenger</t>
  </si>
  <si>
    <t>EMIint.gCO2_per_km.DE.Tr.Road.Passenger.P2W</t>
  </si>
  <si>
    <t>EMIint.gCO2_per_km.DE.Tr.Road.Passenger.Car</t>
  </si>
  <si>
    <t>EMIint.gCO2_per_km.DE.Tr.Road.Passenger.Car.ICE.Gasoline</t>
  </si>
  <si>
    <t>EMIint.gCO2_per_km.DE.Tr.Road.Passenger.Car.ICE.Diesel</t>
  </si>
  <si>
    <t>EMIint.gCO2_per_km.DE.Tr.Road.Passenger.Car.ICE.LPG</t>
  </si>
  <si>
    <t>EMIint.gCO2_per_km.DE.Tr.Road.Passenger.Car.ICE.NGas</t>
  </si>
  <si>
    <t>EMIint.gCO2_per_km.DE.Tr.Road.Passenger.Car.PHEV.Gasoline</t>
  </si>
  <si>
    <t>EMIint.gCO2_per_km.DE.Tr.Road.Passenger.Car.BEV</t>
  </si>
  <si>
    <t>EMIint.gCO2_per_km.DE.Tr.Road.Passenger.Bus</t>
  </si>
  <si>
    <t>EMIint.gCO2_per_km.DE.Tr.Road.Passenger.Bus.ICE.Gasoline</t>
  </si>
  <si>
    <t>EMIint.gCO2_per_km.DE.Tr.Road.Passenger.Bus.ICE.Diesel</t>
  </si>
  <si>
    <t>EMIint.gCO2_per_km.DE.Tr.Road.Passenger.Bus.ICE.LPG</t>
  </si>
  <si>
    <t>EMIint.gCO2_per_km.DE.Tr.Road.Passenger.Bus.ICE.NGas</t>
  </si>
  <si>
    <t>EMIint.gCO2_per_km.DE.Tr.Road.Passenger.Bus.BEV</t>
  </si>
  <si>
    <t>EMIint.gCO2_per_km.DE.Tr.Road.Freight</t>
  </si>
  <si>
    <t>EMIint.gCO2_per_km.DE.Tr.Road.Freight.LCV</t>
  </si>
  <si>
    <t>EMIint.gCO2_per_km.DE.Tr.Road.Freight.LCV.ICE.Gasoline</t>
  </si>
  <si>
    <t>EMIint.gCO2_per_km.DE.Tr.Road.Freight.LCV.ICE.Diesel</t>
  </si>
  <si>
    <t>EMIint.gCO2_per_km.DE.Tr.Road.Freight.LCV.ICE.LPG</t>
  </si>
  <si>
    <t>EMIint.gCO2_per_km.DE.Tr.Road.Freight.LCV.ICE.NGas</t>
  </si>
  <si>
    <t>EMIint.gCO2_per_km.DE.Tr.Road.Freight.LCV.BEV</t>
  </si>
  <si>
    <t>EMIint.gCO2_per_km.DE.Tr.Road.Freight.HGV_All</t>
  </si>
  <si>
    <t>EMIint.gCO2_per_km.DE.Tr.Road.Freight.HGV_Domestic</t>
  </si>
  <si>
    <t>EMIint.gCO2_per_km.DE.Tr.Road.Freight.HGV_International</t>
  </si>
  <si>
    <t>EMIint.gCO2_per_pkm.DE.Tr.Road.Passenger.Car.ICE.Gasoline</t>
  </si>
  <si>
    <t>EMIint.gCO2_per_pkm.DE.Tr.Road.Passenger.Car.ICE.Diesel</t>
  </si>
  <si>
    <t>EMIint.gCO2_per_pkm.DE.Tr.Road.Passenger.Car.ICE.LPG</t>
  </si>
  <si>
    <t>EMIint.gCO2_per_pkm.DE.Tr.Road.Passenger.Car.ICE.NGas</t>
  </si>
  <si>
    <t>EMIint.gCO2_per_pkm.DE.Tr.Road.Passenger.Car.PHEV.Gasoline</t>
  </si>
  <si>
    <t>EMIint.gCO2_per_pkm.DE.Tr.Road.Passenger.Car.BEV</t>
  </si>
  <si>
    <t>EMIint.gCO2_per_pkm.DE.Tr.Road.Passenger.Bus.ICE.Gasoline</t>
  </si>
  <si>
    <t>EMIint.gCO2_per_pkm.DE.Tr.Road.Passenger.Bus.ICE.Diesel</t>
  </si>
  <si>
    <t>EMIint.gCO2_per_pkm.DE.Tr.Road.Passenger.Bus.ICE.LPG</t>
  </si>
  <si>
    <t>EMIint.gCO2_per_pkm.DE.Tr.Road.Passenger.Bus.ICE.NGas</t>
  </si>
  <si>
    <t>EMIint.gCO2_per_pkm.DE.Tr.Road.Passenger.Bus.BEV</t>
  </si>
  <si>
    <t>EMIint.gCO2_per_tkm.DE.Tr.Road.Freight.LCV.ICE.Gasoline</t>
  </si>
  <si>
    <t>EMIint.gCO2_per_tkm.DE.Tr.Road.Freight.LCV.ICE.Diesel</t>
  </si>
  <si>
    <t>EMIint.gCO2_per_tkm.DE.Tr.Road.Freight.LCV.ICE.LPG</t>
  </si>
  <si>
    <t>EMIint.gCO2_per_tkm.DE.Tr.Road.Freight.LCV.ICE.NGas</t>
  </si>
  <si>
    <t>EMIint.gCO2_per_tkm.DE.Tr.Road.Freight.LCV.BEV</t>
  </si>
  <si>
    <t>EMIint.gCO2_per_tkm.DE.Tr.Road.Freight.HGV_Domestic</t>
  </si>
  <si>
    <t>EMIint.gCO2_per_tkm.DE.Tr.Road.Freight.HGV_International</t>
  </si>
  <si>
    <t>EMI_per_vehicle.kgCO2.DE.Tr.Road.Passenger.P2W</t>
  </si>
  <si>
    <t>EMI_per_vehicle.kgCO2.DE.Tr.Road.Passenger.Car</t>
  </si>
  <si>
    <t>EMI_per_vehicle.kgCO2.DE.Tr.Road.Passenger.Car.ICE.Gasoline</t>
  </si>
  <si>
    <t>EMI_per_vehicle.kgCO2.DE.Tr.Road.Passenger.Car.ICE.Diesel</t>
  </si>
  <si>
    <t>EMI_per_vehicle.kgCO2.DE.Tr.Road.Passenger.Car.ICE.LPG</t>
  </si>
  <si>
    <t>EMI_per_vehicle.kgCO2.DE.Tr.Road.Passenger.Car.ICE.NGas</t>
  </si>
  <si>
    <t>EMI_per_vehicle.kgCO2.DE.Tr.Road.Passenger.Car.PHEV.Gasoline</t>
  </si>
  <si>
    <t>EMI_per_vehicle.kgCO2.DE.Tr.Road.Passenger.Car.BEV</t>
  </si>
  <si>
    <t>EMI_per_vehicle.kgCO2.DE.Tr.Road.Passenger.Bus</t>
  </si>
  <si>
    <t>EMI_per_vehicle.kgCO2.DE.Tr.Road.Passenger.Bus.ICE.Gasoline</t>
  </si>
  <si>
    <t>EMI_per_vehicle.kgCO2.DE.Tr.Road.Passenger.Bus.ICE.Diesel</t>
  </si>
  <si>
    <t>EMI_per_vehicle.kgCO2.DE.Tr.Road.Passenger.Bus.ICE.LPG</t>
  </si>
  <si>
    <t>EMI_per_vehicle.kgCO2.DE.Tr.Road.Passenger.Bus.ICE.NGas</t>
  </si>
  <si>
    <t>EMI_per_vehicle.kgCO2.DE.Tr.Road.Passenger.Bus.BEV</t>
  </si>
  <si>
    <t>EMI_per_vehicle.kgCO2.DE.Tr.Road.Freight.LCV</t>
  </si>
  <si>
    <t>EMI_per_vehicle.kgCO2.DE.Tr.Road.Freight.LCV.ICE.Gasoline</t>
  </si>
  <si>
    <t>EMI_per_vehicle.kgCO2.DE.Tr.Road.Freight.LCV.ICE.Diesel</t>
  </si>
  <si>
    <t>EMI_per_vehicle.kgCO2.DE.Tr.Road.Freight.LCV.ICE.LPG</t>
  </si>
  <si>
    <t>EMI_per_vehicle.kgCO2.DE.Tr.Road.Freight.LCV.ICE.NGas</t>
  </si>
  <si>
    <t>EMI_per_vehicle.kgCO2.DE.Tr.Road.Freight.LCV.BEV</t>
  </si>
  <si>
    <t>EMI_per_vehicle.kgCO2.DE.Tr.Road.Freight.HGV_All</t>
  </si>
  <si>
    <t>EMI_per_vehicle.kgCO2.DE.Tr.Road.Freight.HGV_Domestic</t>
  </si>
  <si>
    <t>EMI_per_vehicle.kgCO2.DE.Tr.Road.Freight.HGV_International</t>
  </si>
  <si>
    <t>Road transport / technologies - DE - Germany</t>
  </si>
  <si>
    <t>Stock.number.DE.Tr.Road.Freight.HGV_all</t>
  </si>
  <si>
    <t>StockVin.number.DE.Tr.Road</t>
  </si>
  <si>
    <t>StockVin.number.DE.Tr.Road.Passenger</t>
  </si>
  <si>
    <t>StockVin.number.DE.Tr.Road.Passenger.P2W</t>
  </si>
  <si>
    <t>StockVin.number.DE.Tr.Road.Passenger.Car</t>
  </si>
  <si>
    <t>StockVin.number.DE.Tr.Road.Passenger.Car.ICE.Gasoline</t>
  </si>
  <si>
    <t>StockVin.number.DE.Tr.Road.Passenger.Car.ICE.Diesel</t>
  </si>
  <si>
    <t>StockVin.number.DE.Tr.Road.Passenger.Car.ICE.LPG</t>
  </si>
  <si>
    <t>StockVin.number.DE.Tr.Road.Passenger.Car.ICE.NGas</t>
  </si>
  <si>
    <t>StockVin.number.DE.Tr.Road.Passenger.Car.PHEV.Gasoline</t>
  </si>
  <si>
    <t>StockVin.number.DE.Tr.Road.Passenger.Car.BEV</t>
  </si>
  <si>
    <t>StockVin.number.DE.Tr.Road.Passenger.Bus</t>
  </si>
  <si>
    <t>StockVin.number.DE.Tr.Road.Passenger.Bus.ICE.Gasoline</t>
  </si>
  <si>
    <t>StockVin.number.DE.Tr.Road.Passenger.Bus.ICE.Diesel</t>
  </si>
  <si>
    <t>StockVin.number.DE.Tr.Road.Passenger.Bus.ICE.LPG</t>
  </si>
  <si>
    <t>StockVin.number.DE.Tr.Road.Passenger.Bus.ICE.NGas</t>
  </si>
  <si>
    <t>StockVin.number.DE.Tr.Road.Passenger.Bus.BEV</t>
  </si>
  <si>
    <t>StockVin.number.DE.Tr.Road.Freight</t>
  </si>
  <si>
    <t>StockVin.number.DE.Tr.Road.Freight.LCV</t>
  </si>
  <si>
    <t>StockVin.number.DE.Tr.Road.Freight.LCV.ICE.Gasoline</t>
  </si>
  <si>
    <t>StockVin.number.DE.Tr.Road.Freight.LCV.ICE.Diesel</t>
  </si>
  <si>
    <t>StockVin.number.DE.Tr.Road.Freight.LCV.ICE.LPG</t>
  </si>
  <si>
    <t>StockVin.number.DE.Tr.Road.Freight.LCV.ICE.NGas</t>
  </si>
  <si>
    <t>StockVin.number.DE.Tr.Road.Freight.LCV.BEV</t>
  </si>
  <si>
    <t>StockVin.number.DE.Tr.Road.Freight.HGV_All</t>
  </si>
  <si>
    <t>StockVin.number.DE.Tr.Road.Freight.HGV_Domestic</t>
  </si>
  <si>
    <t>StockVin.number.DE.Tr.Road.Freight.HGV_International</t>
  </si>
  <si>
    <t>Eff_test_stock.kgoe_per_100km.DE.Tr.Road.Passenger.P2W</t>
  </si>
  <si>
    <t>Eff_test_stock.kgoe_per_100km.DE.Tr.Road.Passenger.Car</t>
  </si>
  <si>
    <t>Eff_test_stock.kgoe_per_100km.DE.Tr.Road.Passenger.Car.ICE.Gasoline</t>
  </si>
  <si>
    <t>Eff_test_stock.kgoe_per_100km.DE.Tr.Road.Passenger.Car.ICE.Diesel</t>
  </si>
  <si>
    <t>Eff_test_stock.kgoe_per_100km.DE.Tr.Road.Passenger.Car.ICE.LPG</t>
  </si>
  <si>
    <t>Eff_test_stock.kgoe_per_100km.DE.Tr.Road.Passenger.Car.ICE.NGas</t>
  </si>
  <si>
    <t>Eff_test_stock.kgoe_per_100km.DE.Tr.Road.Passenger.Car.PHEV.Gasoline</t>
  </si>
  <si>
    <t>Eff_test_stock.kgoe_per_100km.DE.Tr.Road.Passenger.Car.BEV</t>
  </si>
  <si>
    <t>Eff_test_stock.kgoe_per_100km.DE.Tr.Road.Passenger.Bus</t>
  </si>
  <si>
    <t>Eff_test_stock.kgoe_per_100km.DE.Tr.Road.Passenger.Bus.ICE.Gasoline</t>
  </si>
  <si>
    <t>Eff_test_stock.kgoe_per_100km.DE.Tr.Road.Passenger.Bus.ICE.Diesel</t>
  </si>
  <si>
    <t>Eff_test_stock.kgoe_per_100km.DE.Tr.Road.Passenger.Bus.ICE.LPG</t>
  </si>
  <si>
    <t>Eff_test_stock.kgoe_per_100km.DE.Tr.Road.Passenger.Bus.ICE.NGas</t>
  </si>
  <si>
    <t>Eff_test_stock.kgoe_per_100km.DE.Tr.Road.Passenger.Bus.BEV</t>
  </si>
  <si>
    <t>Eff_test_stock.kgoe_per_100km.DE.Tr.Road.Freight.LCV</t>
  </si>
  <si>
    <t>Eff_test_stock.kgoe_per_100km.DE.Tr.Road.Freight.LCV.ICE.Gasoline</t>
  </si>
  <si>
    <t>Eff_test_stock.kgoe_per_100km.DE.Tr.Road.Freight.LCV.ICE.Diesel</t>
  </si>
  <si>
    <t>Eff_test_stock.kgoe_per_100km.DE.Tr.Road.Freight.LCV.ICE.LPG</t>
  </si>
  <si>
    <t>Eff_test_stock.kgoe_per_100km.DE.Tr.Road.Freight.LCV.ICE.NGas</t>
  </si>
  <si>
    <t>Eff_test_stock.kgoe_per_100km.DE.Tr.Road.Freight.LCV.BEV</t>
  </si>
  <si>
    <t>Eff_test_stock.kgoe_per_100km.DE.Tr.Road.Freight.HGV_All</t>
  </si>
  <si>
    <t>Eff_test_stock.kgoe_per_100km.DE.Tr.Road.Freight.HGV_Domestic</t>
  </si>
  <si>
    <t>Eff_test_stock.kgoe_per_100km.DE.Tr.Road.Freight.HGV_International</t>
  </si>
  <si>
    <t>Eff_test_new.kgoe_per_100km.DE.Tr.Road.Passenger.P2W</t>
  </si>
  <si>
    <t>Eff_test_new.kgoe_per_100km.DE.Tr.Road.Passenger.Car</t>
  </si>
  <si>
    <t>Eff_test_new.kgoe_per_100km.DE.Tr.Road.Passenger.Car.ICE.Gasoline</t>
  </si>
  <si>
    <t>Eff_test_new.kgoe_per_100km.DE.Tr.Road.Passenger.Car.ICE.Diesel</t>
  </si>
  <si>
    <t>Eff_test_new.kgoe_per_100km.DE.Tr.Road.Passenger.Car.ICE.LPG</t>
  </si>
  <si>
    <t>Eff_test_new.kgoe_per_100km.DE.Tr.Road.Passenger.Car.ICE.NGas</t>
  </si>
  <si>
    <t>Eff_test_new.kgoe_per_100km.DE.Tr.Road.Passenger.Car.PHEV.Gasoline</t>
  </si>
  <si>
    <t>Eff_test_new.kgoe_per_100km.DE.Tr.Road.Passenger.Car.BEV</t>
  </si>
  <si>
    <t>Eff_test_new.kgoe_per_100km.DE.Tr.Road.Passenger.Bus</t>
  </si>
  <si>
    <t>Eff_test_new.kgoe_per_100km.DE.Tr.Road.Passenger.Bus.ICE.Gasoline</t>
  </si>
  <si>
    <t>Eff_test_new.kgoe_per_100km.DE.Tr.Road.Passenger.Bus.ICE.Diesel</t>
  </si>
  <si>
    <t>Eff_test_new.kgoe_per_100km.DE.Tr.Road.Passenger.Bus.ICE.LPG</t>
  </si>
  <si>
    <t>Eff_test_new.kgoe_per_100km.DE.Tr.Road.Passenger.Bus.ICE.NGas</t>
  </si>
  <si>
    <t>Eff_test_new.kgoe_per_100km.DE.Tr.Road.Passenger.Bus.BEV</t>
  </si>
  <si>
    <t>Eff_test_new.kgoe_per_100km.DE.Tr.Road.Freight.LCV</t>
  </si>
  <si>
    <t>Eff_test_new.kgoe_per_100km.DE.Tr.Road.Freight.LCV.ICE.Gasoline</t>
  </si>
  <si>
    <t>Eff_test_new.kgoe_per_100km.DE.Tr.Road.Freight.LCV.ICE.Diesel</t>
  </si>
  <si>
    <t>Eff_test_new.kgoe_per_100km.DE.Tr.Road.Freight.LCV.ICE.LPG</t>
  </si>
  <si>
    <t>Eff_test_new.kgoe_per_100km.DE.Tr.Road.Freight.LCV.ICE.NGas</t>
  </si>
  <si>
    <t>Eff_test_new.kgoe_per_100km.DE.Tr.Road.Freight.LCV.BEV</t>
  </si>
  <si>
    <t>Eff_test_new.kgoe_per_100km.DE.Tr.Road.Freight.HGV_All</t>
  </si>
  <si>
    <t>Eff_test_new.kgoe_per_100km.DE.Tr.Road.Freight.HGV_Domestic</t>
  </si>
  <si>
    <t>Eff_test_new.kgoe_per_100km.DE.Tr.Road.Freight.HGV_International</t>
  </si>
  <si>
    <t>EMIint_test_stock.gCO2_per_km.DE.Tr.Road.Passenger.P2W</t>
  </si>
  <si>
    <t>EMIint_test_stock.gCO2_per_km.DE.Tr.Road.Passenger.Car</t>
  </si>
  <si>
    <t>EMIint_test_stock.gCO2_per_km.DE.Tr.Road.Passenger.Car.ICE.Gasoline</t>
  </si>
  <si>
    <t>EMIint_test_stock.gCO2_per_km.DE.Tr.Road.Passenger.Car.ICE.Diesel</t>
  </si>
  <si>
    <t>EMIint_test_stock.gCO2_per_km.DE.Tr.Road.Passenger.Car.ICE.LPG</t>
  </si>
  <si>
    <t>EMIint_test_stock.gCO2_per_km.DE.Tr.Road.Passenger.Car.ICE.NGas</t>
  </si>
  <si>
    <t>EMIint_test_stock.gCO2_per_km.DE.Tr.Road.Passenger.Car.PHEV.Gasoline</t>
  </si>
  <si>
    <t>EMIint_test_stock.gCO2_per_km.DE.Tr.Road.Passenger.Car.BEV</t>
  </si>
  <si>
    <t>EMIint_test_stock.gCO2_per_km.DE.Tr.Road.Passenger.Bus</t>
  </si>
  <si>
    <t>EMIint_test_stock.gCO2_per_km.DE.Tr.Road.Passenger.Bus.ICE.Gasoline</t>
  </si>
  <si>
    <t>EMIint_test_stock.gCO2_per_km.DE.Tr.Road.Passenger.Bus.ICE.Diesel</t>
  </si>
  <si>
    <t>EMIint_test_stock.gCO2_per_km.DE.Tr.Road.Passenger.Bus.ICE.LPG</t>
  </si>
  <si>
    <t>EMIint_test_stock.gCO2_per_km.DE.Tr.Road.Passenger.Bus.ICE.NGas</t>
  </si>
  <si>
    <t>EMIint_test_stock.gCO2_per_km.DE.Tr.Road.Passenger.Bus.BEV</t>
  </si>
  <si>
    <t>EMIint_test_stock.gCO2_per_km.DE.Tr.Road.Freight.LCV</t>
  </si>
  <si>
    <t>EMIint_test_stock.gCO2_per_km.DE.Tr.Road.Freight.LCV.ICE.Gasoline</t>
  </si>
  <si>
    <t>EMIint_test_stock.gCO2_per_km.DE.Tr.Road.Freight.LCV.ICE.Diesel</t>
  </si>
  <si>
    <t>EMIint_test_stock.gCO2_per_km.DE.Tr.Road.Freight.LCV.ICE.LPG</t>
  </si>
  <si>
    <t>EMIint_test_stock.gCO2_per_km.DE.Tr.Road.Freight.LCV.ICE.NGas</t>
  </si>
  <si>
    <t>EMIint_test_stock.gCO2_per_km.DE.Tr.Road.Freight.LCV.BEV</t>
  </si>
  <si>
    <t>EMIint_test_stock.gCO2_per_km.DE.Tr.Road.Freight.HGV_All</t>
  </si>
  <si>
    <t>EMIint_test_stock.gCO2_per_km.DE.Tr.Road.Freight.HGV_Domestic</t>
  </si>
  <si>
    <t>EMIint_test_stock.gCO2_per_km.DE.Tr.Road.Freight.HGV_International</t>
  </si>
  <si>
    <t>EMIint_test_new.gCO2_per_km.DE.Tr.Road.Passenger.P2W</t>
  </si>
  <si>
    <t>EMIint_test_new.gCO2_per_km.DE.Tr.Road.Passenger.Car</t>
  </si>
  <si>
    <t>EMIint_test_new.gCO2_per_km.DE.Tr.Road.Passenger.Car.ICE.Gasoline</t>
  </si>
  <si>
    <t>EMIint_test_new.gCO2_per_km.DE.Tr.Road.Passenger.Car.ICE.Diesel</t>
  </si>
  <si>
    <t>EMIint_test_new.gCO2_per_km.DE.Tr.Road.Passenger.Car.ICE.LPG</t>
  </si>
  <si>
    <t>EMIint_test_new.gCO2_per_km.DE.Tr.Road.Passenger.Car.ICE.NGas</t>
  </si>
  <si>
    <t>EMIint_test_new.gCO2_per_km.DE.Tr.Road.Passenger.Car.PHEV.Gasoline</t>
  </si>
  <si>
    <t>EMIint_test_new.gCO2_per_km.DE.Tr.Road.Passenger.Car.BEV</t>
  </si>
  <si>
    <t>EMIint_test_new.gCO2_per_km.DE.Tr.Road.Passenger.Bus</t>
  </si>
  <si>
    <t>EMIint_test_new.gCO2_per_km.DE.Tr.Road.Passenger.Bus.ICE.Gasoline</t>
  </si>
  <si>
    <t>EMIint_test_new.gCO2_per_km.DE.Tr.Road.Passenger.Bus.ICE.Diesel</t>
  </si>
  <si>
    <t>EMIint_test_new.gCO2_per_km.DE.Tr.Road.Passenger.Bus.ICE.LPG</t>
  </si>
  <si>
    <t>EMIint_test_new.gCO2_per_km.DE.Tr.Road.Passenger.Bus.ICE.NGas</t>
  </si>
  <si>
    <t>EMIint_test_new.gCO2_per_km.DE.Tr.Road.Passenger.Bus.BEV</t>
  </si>
  <si>
    <t>EMIint_test_new.gCO2_per_km.DE.Tr.Road.Freight.LCV</t>
  </si>
  <si>
    <t>EMIint_test_new.gCO2_per_km.DE.Tr.Road.Freight.LCV.ICE.Gasoline</t>
  </si>
  <si>
    <t>EMIint_test_new.gCO2_per_km.DE.Tr.Road.Freight.LCV.ICE.Diesel</t>
  </si>
  <si>
    <t>EMIint_test_new.gCO2_per_km.DE.Tr.Road.Freight.LCV.ICE.LPG</t>
  </si>
  <si>
    <t>EMIint_test_new.gCO2_per_km.DE.Tr.Road.Freight.LCV.ICE.NGas</t>
  </si>
  <si>
    <t>EMIint_test_new.gCO2_per_km.DE.Tr.Road.Freight.LCV.BEV</t>
  </si>
  <si>
    <t>EMIint_test_new.gCO2_per_km.DE.Tr.Road.Freight.HGV_All</t>
  </si>
  <si>
    <t>EMIint_test_new.gCO2_per_km.DE.Tr.Road.Freight.HGV_Domestic</t>
  </si>
  <si>
    <t>EMIint_test_new.gCO2_per_km.DE.Tr.Road.Freight.HGV_International</t>
  </si>
  <si>
    <t>FEC.ktoe.DE.MBunk</t>
  </si>
  <si>
    <t>FEC.ktoe.DE.MBunk.IntraEEA</t>
  </si>
  <si>
    <t>FEC.ktoe.DE.MBunk.ExtraEEA</t>
  </si>
  <si>
    <t>EMI.ktCO2.DE.MBunk</t>
  </si>
  <si>
    <t>EMI.ktCO2.DE.MBunk.IntraEEA</t>
  </si>
  <si>
    <t>EMI.ktCO2.DE.MBunk.ExtraEEA</t>
  </si>
  <si>
    <t>International maritime bunkers - DE - Germany</t>
  </si>
  <si>
    <t>VehicleKm.Mkm.DE.MBunk.Freight</t>
  </si>
  <si>
    <t>VehicleKm.Mkm.DE.MBunk.Freight.IntraEEA</t>
  </si>
  <si>
    <t>VehicleKm.Mkm.DE.MBunk.Freight.ExtraEEA</t>
  </si>
  <si>
    <t>Load.t_per_movement.DE.MBunk.Freight</t>
  </si>
  <si>
    <t>Load.t_per_movement.DE.MBunk.Freight.IntraEEA</t>
  </si>
  <si>
    <t>Load.t_per_movement.DE.MBunk.Freight.ExtraEEA</t>
  </si>
  <si>
    <t>International maritime bunkers / energy consumption - DE - Germany</t>
  </si>
  <si>
    <t>FEC.ktoe.DE.ES.MBunk</t>
  </si>
  <si>
    <t>FEC.ktoe.DE.ES.MBunk.IntraEEA</t>
  </si>
  <si>
    <t>FEC.ktoe.DE.ES.MBunk.IntraEEA.Diesel</t>
  </si>
  <si>
    <t>FEC.ktoe.DE.ES.MBunk.IntraEEA.RFO_Other</t>
  </si>
  <si>
    <t>FEC.ktoe.DE.ES.MBunk.IntraEEA.LiqBio</t>
  </si>
  <si>
    <t>FEC.ktoe.DE.ES.MBunk.IntraEEA.NG</t>
  </si>
  <si>
    <t>FEC.ktoe.DE.ES.MBunk.IntraEEA.Biogas</t>
  </si>
  <si>
    <t>FEC.ktoe.DE.ES.MBunk.ExtraEEA</t>
  </si>
  <si>
    <t>FEC.ktoe.DE.ES.MBunk.ExtraEEA.Diesel</t>
  </si>
  <si>
    <t>FEC.ktoe.DE.ES.MBunk.ExtraEEA.RFO_Other</t>
  </si>
  <si>
    <t>FEC.ktoe.DE.ES.MBunk.ExtraEEA.LiqBio</t>
  </si>
  <si>
    <t>FEC.ktoe.DE.ES.MBunk.ExtraEEA.NG</t>
  </si>
  <si>
    <t>FEC.ktoe.DE.ES.MBunk.ExtraEEA.Biogas</t>
  </si>
  <si>
    <t>Eff.kgoe_per_100km.DE.MBunk.Freight</t>
  </si>
  <si>
    <t>Eff.kgoe_per_100km.DE.MBunk.Freight.IntraEEA</t>
  </si>
  <si>
    <t>Eff.kgoe_per_100km.DE.MBunk.Freight.ExtraEEA</t>
  </si>
  <si>
    <t>International maritime bunkers / CO2 emissions - DE - Germany</t>
  </si>
  <si>
    <t>EMI.ktCO2.DE.ES.MBunk</t>
  </si>
  <si>
    <t>EMI.ktCO2.DE.ES.MBunk.IntraEEA</t>
  </si>
  <si>
    <t>EMI.ktCO2.DE.ES.MBunk.ExtraEEA</t>
  </si>
  <si>
    <t>EMIint.gCO2_per_km.DE.MBunk.Freight</t>
  </si>
  <si>
    <t>EMIint.gCO2_per_km.DE.MBunk.Freight.IntraEEA</t>
  </si>
  <si>
    <t>EMIint.gCO2_per_km.DE.MBunk.Freight.ExtraEEA</t>
  </si>
  <si>
    <t>FEC.ktoe.DE.Tr.DNavi</t>
  </si>
  <si>
    <t>FEC.ktoe.DE.Tr.Dnavi.DCS</t>
  </si>
  <si>
    <t>FEC.ktoe.DE.Tr.Dnavi.IWW</t>
  </si>
  <si>
    <t>EMI.ktCO2.DE.Tr.DNavi</t>
  </si>
  <si>
    <t>EMI.ktCO2.DE.Tr.Dnavi.DCS</t>
  </si>
  <si>
    <t>EMI.ktCO2.DE.Tr.Dnavi.IWW</t>
  </si>
  <si>
    <t>Domestic navigation - DE - Germany</t>
  </si>
  <si>
    <t>VehicleKm.Mkm.DE.Tr.DNavi.Freight</t>
  </si>
  <si>
    <t>VehicleKm.Mkm.DE.Tr.DNavi.Freight.DCS</t>
  </si>
  <si>
    <t>VehicleKm.Mkm.DE.Tr.DNavi.Freight.IWW</t>
  </si>
  <si>
    <t>Load.t_per_movement.DE.Tr.DNavi.Freight</t>
  </si>
  <si>
    <t>Load.t_per_movement.DE.Tr.DNavi.Freight.DCS</t>
  </si>
  <si>
    <t>Load.t_per_movement.DE.Tr.DNavi.Freight.IWW</t>
  </si>
  <si>
    <t>Domestic navigation / energy consumption - DE - Germany</t>
  </si>
  <si>
    <t>FEC.ktoe.DE.ES.Tr.DNavi</t>
  </si>
  <si>
    <t>FEC.ktoe.DE.ES.Tr.DNavi.DCS</t>
  </si>
  <si>
    <t>FEC.ktoe.DE.ES.Tr.DNavi.DCS.Diesel</t>
  </si>
  <si>
    <t>FEC.ktoe.DE.ES.Tr.DNavi.DCS.RFO_Other</t>
  </si>
  <si>
    <t>FEC.ktoe.DE.ES.Tr.DNavi.DCS.LiqBio</t>
  </si>
  <si>
    <t>FEC.ktoe.DE.ES.Tr.DNavi.DCS.NG</t>
  </si>
  <si>
    <t>FEC.ktoe.DE.ES.Tr.DNavi.DCS.Biogas</t>
  </si>
  <si>
    <t>FEC.ktoe.DE.ES.Tr.DNavi.IWW</t>
  </si>
  <si>
    <t>FEC.ktoe.DE.ES.Tr.DNavi.IWW.Diesel</t>
  </si>
  <si>
    <t>FEC.ktoe.DE.ES.Tr.DNavi.IWW.RFO_Other</t>
  </si>
  <si>
    <t>FEC.ktoe.DE.ES.Tr.DNavi.IWW.LiqBio</t>
  </si>
  <si>
    <t>FEC.ktoe.DE.ES.Tr.DNavi.IWW.NG</t>
  </si>
  <si>
    <t>FEC.ktoe.DE.ES.Tr.DNavi.IWW.Biogas</t>
  </si>
  <si>
    <t>Eff.kgoe_per_100km.DE.Tr.DNavi.Freight</t>
  </si>
  <si>
    <t>Eff.kgoe_per_100km.DE.Tr.DNavi.Freight.DCS</t>
  </si>
  <si>
    <t>Eff.kgoe_per_100km.DE.Tr.DNavi.Freight.IWW</t>
  </si>
  <si>
    <t>Domestic navigation / CO2 emissions - DE - Germany</t>
  </si>
  <si>
    <t>EMI.ktCO2.DE.ES.Tr.DNavi</t>
  </si>
  <si>
    <t>EMI.ktCO2.DE.ES.Tr.DNavi.DCS</t>
  </si>
  <si>
    <t>EMI.ktCO2.DE.ES.Tr.DNavi.IWW</t>
  </si>
  <si>
    <t>EMIint.gCO2_per_km.DE.Tr.DNavi.Freight</t>
  </si>
  <si>
    <t>EMIint.gCO2_per_km.DE.Tr.DNavi.Freight.DCS</t>
  </si>
  <si>
    <t>EMIint.gCO2_per_km.DE.Tr.DNavi.Freight.IWW</t>
  </si>
  <si>
    <t>Rail, metro and tram - DE - Germany</t>
  </si>
  <si>
    <t>Activity.Mpkm.DE.Tr.Rail.Passenger.CPT.Diesel</t>
  </si>
  <si>
    <t>Activity.Mpkm.DE.Tr.Rail.Passenger.CPT.Elc</t>
  </si>
  <si>
    <t>Activity.Mtkm.DE.Tr.Rail.Freight.Diesel</t>
  </si>
  <si>
    <t>Activity.Mtkm.DE.Tr.Rail.Freight.Elc</t>
  </si>
  <si>
    <t>VehicleKm.Mkm.DE.Tr.Rail</t>
  </si>
  <si>
    <t>VehicleKm.Mkm.DE.Tr.Rail.Passenger</t>
  </si>
  <si>
    <t>VehicleKm.Mkm.DE.Tr.Rail.Passenger.MTU</t>
  </si>
  <si>
    <t>VehicleKm.Mkm.DE.Tr.Rail.Passenger.CPT</t>
  </si>
  <si>
    <t>VehicleKm.Mkm.DE.Tr.Rail.Passenger.CPT.Diesel</t>
  </si>
  <si>
    <t>VehicleKm.Mkm.DE.Tr.Rail.Passenger.CPT.Elc</t>
  </si>
  <si>
    <t>VehicleKm.Mkm.DE.Tr.Rail.Passenger.HST</t>
  </si>
  <si>
    <t>VehicleKm.Mkm.DE.Tr.Rail.Freight</t>
  </si>
  <si>
    <t>VehicleKm.Mkm.DE.Tr.Rail.Freight.Diesel</t>
  </si>
  <si>
    <t>VehicleKm.Mkm.DE.Tr.Rail.Freight.Elc</t>
  </si>
  <si>
    <t>Stock.number.DE.Tr.Rail</t>
  </si>
  <si>
    <t>Stock.number.DE.Tr.Rail.Passenger</t>
  </si>
  <si>
    <t>Stock.number.DE.Tr.Rail.Passenger.MTU</t>
  </si>
  <si>
    <t>Stock.number.DE.Tr.Rail.Passenger.CPT</t>
  </si>
  <si>
    <t>Stock.number.DE.Tr.Rail.Passenger.CPT.Diesel</t>
  </si>
  <si>
    <t>Stock.number.DE.Tr.Rail.Passenger.CPT.Elc</t>
  </si>
  <si>
    <t>Stock.number.DE.Tr.Rail.Passenger.HST</t>
  </si>
  <si>
    <t>Stock.number.DE.Tr.Rail.Freight</t>
  </si>
  <si>
    <t>Stock.number.DE.Tr.Rail.Freight.Diesel</t>
  </si>
  <si>
    <t>Stock.number.DE.Tr.Rail.Freight.Elc</t>
  </si>
  <si>
    <t>StockNew.number.DE.Tr.Rail</t>
  </si>
  <si>
    <t>StockNew.number.DE.Tr.Rail.Passenger</t>
  </si>
  <si>
    <t>StockNew.number.DE.Tr.Rail.Passenger.MTU</t>
  </si>
  <si>
    <t>StockNew.number.DE.Tr.Rail.Passenger.CPT</t>
  </si>
  <si>
    <t>StockNew.number.DE.Tr.Rail.Passenger.CPT.Diesel</t>
  </si>
  <si>
    <t>StockNew.number.DE.Tr.Rail.Passenger.CPT.Elc</t>
  </si>
  <si>
    <t>StockNew.number.DE.Tr.Rail.Passenger.HST</t>
  </si>
  <si>
    <t>StockNew.number.DE.Tr.Rail.Freight</t>
  </si>
  <si>
    <t>StockNew.number.DE.Tr.Rail.Freight.Diesel</t>
  </si>
  <si>
    <t>StockNew.number.DE.Tr.Rail.Freight.Elc</t>
  </si>
  <si>
    <t>Load.passenger_per_movement.DE.Tr.Rail.Passenger</t>
  </si>
  <si>
    <t>Load.passenger_per_movement.DE.Tr.Rail.Passenger.MTU</t>
  </si>
  <si>
    <t>Load.passenger_per_movement.DE.Tr.Rail.Passenger.CPT</t>
  </si>
  <si>
    <t>Load.passenger_per_movement.DE.Tr.Rail.Passenger.CPT.Diesel</t>
  </si>
  <si>
    <t>Load.passenger_per_movement.DE.Tr.Rail.Passenger.CPT.Elc</t>
  </si>
  <si>
    <t>Load.passenger_per_movement.DE.Tr.Rail.Passenger.HST</t>
  </si>
  <si>
    <t>Load.t_per_movement.DE.Tr.Rail.Freight</t>
  </si>
  <si>
    <t>Load.t_per_movement.DE.Tr.Rail.Freight.Diesel</t>
  </si>
  <si>
    <t>Load.t_per_movement.DE.Tr.Rail.Freight.Elc</t>
  </si>
  <si>
    <t>TrCap.seats.DE.Tr.Rail.Passenger</t>
  </si>
  <si>
    <t>TrCap.seats.DE.Tr.Rail.Passenger.MTU</t>
  </si>
  <si>
    <t>TrCap.seats.DE.Tr.Rail.Passenger.CPT</t>
  </si>
  <si>
    <t>TrCap.seats.DE.Tr.Rail.Passenger.CPT.Diesel</t>
  </si>
  <si>
    <t>TrCap.seats.DE.Tr.Rail.Passenger.CPT.Elc</t>
  </si>
  <si>
    <t>TrCap.seats.DE.Tr.Rail.Passenger.HST</t>
  </si>
  <si>
    <t>TrCap.t.DE.Tr.Rail.Freight</t>
  </si>
  <si>
    <t>TrCap.t.DE.Tr.Rail.Freight.Diesel</t>
  </si>
  <si>
    <t>TrCap.t.DE.Tr.Rail.Freight.Elc</t>
  </si>
  <si>
    <t>VehicleKm_per_vehicle.km.DE.Tr.Rail</t>
  </si>
  <si>
    <t>VehicleKm_per_vehicle.km.DE.Tr.Rail.Passenger</t>
  </si>
  <si>
    <t>VehicleKm_per_vehicle.km.DE.Tr.Rail.Passenger.MTU</t>
  </si>
  <si>
    <t>VehicleKm_per_vehicle.km.DE.Tr.Rail.Passenger.CPT</t>
  </si>
  <si>
    <t>VehicleKm_per_vehicle.km.DE.Tr.Rail.Passenger.CPT.Diesel</t>
  </si>
  <si>
    <t>VehicleKm_per_vehicle.km.DE.Tr.Rail.Passenger.CPT.Elc</t>
  </si>
  <si>
    <t>VehicleKm_per_vehicle.km.DE.Tr.Rail.Passenger.HST</t>
  </si>
  <si>
    <t>VehicleKm_per_vehicle.km.DE.Tr.Rail.Freight</t>
  </si>
  <si>
    <t>VehicleKm_per_vehicle.km.DE.Tr.Rail.Freight.Diesel</t>
  </si>
  <si>
    <t>VehicleKm_per_vehicle.km.DE.Tr.Rail.Freight.Elc</t>
  </si>
  <si>
    <t>Activity_per_vehicle.pkm.DE.Tr.Rail.Passenger</t>
  </si>
  <si>
    <t>Activity_per_vehicle.pkm.DE.Tr.Rail.Passenger.MTU</t>
  </si>
  <si>
    <t>Activity_per_vehicle.pkm.DE.Tr.Rail.Passenger.CPT</t>
  </si>
  <si>
    <t>Activity_per_vehicle.pkm.DE.Tr.Rail.Passenger.CPT.Diesel</t>
  </si>
  <si>
    <t>Activity_per_vehicle.pkm.DE.Tr.Rail.Passenger.CPT.Elc</t>
  </si>
  <si>
    <t>Activity_per_vehicle.pkm.DE.Tr.Rail.Passenger.HST</t>
  </si>
  <si>
    <t>Activity_per_vehicle.tkm.DE.Tr.Rail.Freight</t>
  </si>
  <si>
    <t>Activity_per_vehicle.tkm.DE.Tr.Rail.Freight.Diesel</t>
  </si>
  <si>
    <t>Activity_per_vehicle.tkm.DE.Tr.Rail.Freight.Elc</t>
  </si>
  <si>
    <t>Rail, metro and tram / energy consumption - DE - Germany</t>
  </si>
  <si>
    <t>FEC.ktoe.DE.ES.Tr.Rail</t>
  </si>
  <si>
    <t>FEC.ktoe.DE.ES.Tr.Rail.Diesel</t>
  </si>
  <si>
    <t>FEC.ktoe.DE.ES.Tr.Rail.LiqBio</t>
  </si>
  <si>
    <t>FEC.ktoe.DE.ES.Tr.Rail.Elec</t>
  </si>
  <si>
    <t>FEC.ktoe.DE.Tr.Rail</t>
  </si>
  <si>
    <t>FEC.ktoe.DE.Tr.Rail.Passenger.CPT.Diesel</t>
  </si>
  <si>
    <t>FEC.ktoe.DE.Tr.Rail.Passenger.CPT.Elc</t>
  </si>
  <si>
    <t>FEC.ktoe.DE.Tr.Rail.Freight.Diesel</t>
  </si>
  <si>
    <t>FEC.ktoe.DE.Tr.Rail.Freight.Elc</t>
  </si>
  <si>
    <t>Eff.kgoe_per_100km.DE.Tr.Rail</t>
  </si>
  <si>
    <t>Eff.kgoe_per_100km.DE.Tr.Rail.Passenger</t>
  </si>
  <si>
    <t>Eff.kgoe_per_100km.DE.Tr.Rail.Passenger.MTU</t>
  </si>
  <si>
    <t>Eff.kgoe_per_100km.DE.Tr.Rail.Passenger.CPT</t>
  </si>
  <si>
    <t>Eff.kgoe_per_100km.DE.Tr.Rail.Passenger.CPT.Diesel</t>
  </si>
  <si>
    <t>Eff.kgoe_per_100km.DE.Tr.Rail.Passenger.CPT.Elc</t>
  </si>
  <si>
    <t>Eff.kgoe_per_100km.DE.Tr.Rail.Passenger.HST</t>
  </si>
  <si>
    <t>Eff.kgoe_per_100km.DE.Tr.Rail.Freight</t>
  </si>
  <si>
    <t>Eff.kgoe_per_100km.DE.Tr.Rail.Freight.Diesel</t>
  </si>
  <si>
    <t>Eff.kgoe_per_100km.DE.Tr.Rail.Freight.Elc</t>
  </si>
  <si>
    <t>Eff.kgoe_per_kpkm.DE.Tr.Rail.Passenger.CPT.Diesel</t>
  </si>
  <si>
    <t>Eff.kgoe_per_kpkm.DE.Tr.Rail.Passenger.CPT.Elc</t>
  </si>
  <si>
    <t>Eff.kgoe_per_ktkm.DE.Tr.Rail.Freight.Diesel</t>
  </si>
  <si>
    <t>Eff.kgoe_per_ktkm.DE.Tr.Rail.Freight.Elc</t>
  </si>
  <si>
    <t>FEC_per_vehicle.kgoe.DE.Tr.Rail</t>
  </si>
  <si>
    <t>FEC_per_vehicle.kgoe.DE.Tr.Rail.Passenger</t>
  </si>
  <si>
    <t>FEC_per_vehicle.kgoe.DE.Tr.Rail.Passenger.MTU</t>
  </si>
  <si>
    <t>FEC_per_vehicle.kgoe.DE.Tr.Rail.Passenger.CPT</t>
  </si>
  <si>
    <t>FEC_per_vehicle.kgoe.DE.Tr.Rail.Passenger.CPT.Diesel</t>
  </si>
  <si>
    <t>FEC_per_vehicle.kgoe.DE.Tr.Rail.Passenger.CPT.Elc</t>
  </si>
  <si>
    <t>FEC_per_vehicle.kgoe.DE.Tr.Rail.Passenger.HST</t>
  </si>
  <si>
    <t>FEC_per_vehicle.kgoe.DE.Tr.Rail.Freight</t>
  </si>
  <si>
    <t>FEC_per_vehicle.kgoe.DE.Tr.Rail.Freight.Diesel</t>
  </si>
  <si>
    <t>FEC_per_vehicle.kgoe.DE.Tr.Rail.Freight.Elc</t>
  </si>
  <si>
    <t>Rail, metro and tram / CO2 emissions - DE - Germany</t>
  </si>
  <si>
    <t>EMI.ktCO2.DE.ES.Tr.Rail</t>
  </si>
  <si>
    <t>EMI.ktCO2.DE.ES.Tr.Rail.Diesel</t>
  </si>
  <si>
    <t>EMI.ktCO2.DE.ES.Tr.Rail.Elec</t>
  </si>
  <si>
    <t>EMI.ktCO2.DE.Tr.Rail</t>
  </si>
  <si>
    <t>EMI.ktCO2.DE.Tr.Rail.Passenger.CPT.Diesel</t>
  </si>
  <si>
    <t>EMI.ktCO2.DE.Tr.Rail.Passenger.CPT.Elc</t>
  </si>
  <si>
    <t>EMI.ktCO2.DE.Tr.Rail.Freight.Diesel</t>
  </si>
  <si>
    <t>EMI.ktCO2.DE.Tr.Rail.Freight.Elc</t>
  </si>
  <si>
    <t>EMIint.gCO2_per_km.DE.Tr.Rail</t>
  </si>
  <si>
    <t>EMIint.gCO2_per_km.DE.Tr.Rail.Passenger</t>
  </si>
  <si>
    <t>EMIint.gCO2_per_km.DE.Tr.Rail.Passenger.MTU</t>
  </si>
  <si>
    <t>EMIint.gCO2_per_km.DE.Tr.Rail.Passenger.CPT</t>
  </si>
  <si>
    <t>EMIint.gCO2_per_km.DE.Tr.Rail.Passenger.CPT.Diesel</t>
  </si>
  <si>
    <t>EMIint.gCO2_per_km.DE.Tr.Rail.Passenger.CPT.Elc</t>
  </si>
  <si>
    <t>EMIint.gCO2_per_km.DE.Tr.Rail.Passenger.HST</t>
  </si>
  <si>
    <t>EMIint.gCO2_per_km.DE.Tr.Rail.Freight</t>
  </si>
  <si>
    <t>EMIint.gCO2_per_km.DE.Tr.Rail.Freight.Diesel</t>
  </si>
  <si>
    <t>EMIint.gCO2_per_km.DE.Tr.Rail.Freight.Elc</t>
  </si>
  <si>
    <t>EMIint.gCO2_per_pkm.DE.Tr.Rail.Passenger.CPT.Diesel</t>
  </si>
  <si>
    <t>EMIint.gCO2_per_pkm.DE.Tr.Rail.Passenger.CPT.Elc</t>
  </si>
  <si>
    <t>EMIint.gCO2_per_tkm.DE.Tr.Rail.Freight.Diesel</t>
  </si>
  <si>
    <t>EMIint.gCO2_per_tkm.DE.Tr.Rail.Freight.Elc</t>
  </si>
  <si>
    <t>EMI_per_vehicle.tCO2.DE.Tr.Rail</t>
  </si>
  <si>
    <t>EMI_per_vehicle.tCO2.DE.Tr.Rail.Passenger</t>
  </si>
  <si>
    <t>EMI_per_vehicle.tCO2.DE.Tr.Rail.Passenger.MTU</t>
  </si>
  <si>
    <t>EMI_per_vehicle.tCO2.DE.Tr.Rail.Passenger.CPT</t>
  </si>
  <si>
    <t>EMI_per_vehicle.tCO2.DE.Tr.Rail.Passenger.CPT.Diesel</t>
  </si>
  <si>
    <t>EMI_per_vehicle.tCO2.DE.Tr.Rail.Passenger.CPT.Elc</t>
  </si>
  <si>
    <t>EMI_per_vehicle.tCO2.DE.Tr.Rail.Passenger.HST</t>
  </si>
  <si>
    <t>EMI_per_vehicle.tCO2.DE.Tr.Rail.Freight</t>
  </si>
  <si>
    <t>EMI_per_vehicle.tCO2.DE.Tr.Rail.Freight.Diesel</t>
  </si>
  <si>
    <t>EMI_per_vehicle.tCO2.DE.Tr.Rail.Freight.Elc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</si>
</sst>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45967.473240740743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1152109.3397452838</v>
      </c>
      <c r="C4" s="28">
        <f t="shared" si="0"/>
        <v>1172303.8278333547</v>
      </c>
      <c r="D4" s="28">
        <f t="shared" si="0"/>
        <v>1174927.2021771006</v>
      </c>
      <c r="E4" s="28">
        <f t="shared" si="0"/>
        <v>1174053.5153539302</v>
      </c>
      <c r="F4" s="28">
        <f t="shared" si="0"/>
        <v>1207954.9825332821</v>
      </c>
      <c r="G4" s="28">
        <f t="shared" si="0"/>
        <v>1211469.8513692499</v>
      </c>
      <c r="H4" s="28">
        <f t="shared" si="0"/>
        <v>1223262.8643014142</v>
      </c>
      <c r="I4" s="28">
        <f t="shared" si="0"/>
        <v>1231930.1614347671</v>
      </c>
      <c r="J4" s="28">
        <f t="shared" si="0"/>
        <v>1237651.9213539162</v>
      </c>
      <c r="K4" s="28">
        <f t="shared" si="0"/>
        <v>1238675.2129956104</v>
      </c>
      <c r="L4" s="28">
        <f t="shared" si="0"/>
        <v>1258519.5053862627</v>
      </c>
      <c r="M4" s="28">
        <f t="shared" si="0"/>
        <v>1276225.4481206911</v>
      </c>
      <c r="N4" s="28">
        <f t="shared" si="0"/>
        <v>1283324.4916920187</v>
      </c>
      <c r="O4" s="28">
        <f t="shared" si="0"/>
        <v>1294419.0262073078</v>
      </c>
      <c r="P4" s="28">
        <f t="shared" si="0"/>
        <v>1315875.4493693835</v>
      </c>
      <c r="Q4" s="28">
        <f t="shared" si="0"/>
        <v>1337142.1887060783</v>
      </c>
      <c r="R4" s="28">
        <f t="shared" ref="R4:V4" si="1">R5+R9+R13</f>
        <v>1368253.0740662534</v>
      </c>
      <c r="S4" s="28">
        <f t="shared" si="1"/>
        <v>1330222.3766830543</v>
      </c>
      <c r="T4" s="28">
        <f t="shared" si="1"/>
        <v>1343011.408640964</v>
      </c>
      <c r="U4" s="28">
        <f t="shared" si="1"/>
        <v>1355459.8781460123</v>
      </c>
      <c r="V4" s="28">
        <f t="shared" si="1"/>
        <v>970645.75848806184</v>
      </c>
      <c r="W4" s="28">
        <f t="shared" ref="W4:Y4" si="2">W5+W9+W13</f>
        <v>1026356.4130264075</v>
      </c>
      <c r="X4" s="28">
        <f t="shared" si="2"/>
        <v>1203072.9161473494</v>
      </c>
      <c r="Y4" s="28">
        <f t="shared" si="2"/>
        <v>1275905.4080167823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912040.41697198595</v>
      </c>
      <c r="C5" s="137">
        <f t="shared" si="3"/>
        <v>933288.16631473054</v>
      </c>
      <c r="D5" s="137">
        <f t="shared" si="3"/>
        <v>942930.67473827046</v>
      </c>
      <c r="E5" s="137">
        <f t="shared" si="3"/>
        <v>937688.82141820481</v>
      </c>
      <c r="F5" s="137">
        <f t="shared" si="3"/>
        <v>949317.82334079139</v>
      </c>
      <c r="G5" s="137">
        <f t="shared" si="3"/>
        <v>937200.97501218901</v>
      </c>
      <c r="H5" s="137">
        <f t="shared" si="3"/>
        <v>942996.48275223887</v>
      </c>
      <c r="I5" s="137">
        <f t="shared" si="3"/>
        <v>943629.43559683266</v>
      </c>
      <c r="J5" s="137">
        <f t="shared" si="3"/>
        <v>946947.34932654176</v>
      </c>
      <c r="K5" s="137">
        <f t="shared" si="3"/>
        <v>955430.14099824149</v>
      </c>
      <c r="L5" s="137">
        <f t="shared" si="3"/>
        <v>960871.01394903625</v>
      </c>
      <c r="M5" s="137">
        <f t="shared" si="3"/>
        <v>968801.93527686456</v>
      </c>
      <c r="N5" s="137">
        <f t="shared" si="3"/>
        <v>968197.98422780389</v>
      </c>
      <c r="O5" s="137">
        <f t="shared" si="3"/>
        <v>976574.01375205198</v>
      </c>
      <c r="P5" s="137">
        <f t="shared" si="3"/>
        <v>992167.57414876972</v>
      </c>
      <c r="Q5" s="137">
        <f t="shared" si="3"/>
        <v>1005423.2099082798</v>
      </c>
      <c r="R5" s="137">
        <f t="shared" ref="R5:V5" si="4">R6+R7+R8</f>
        <v>1024415.8722362887</v>
      </c>
      <c r="S5" s="137">
        <f t="shared" si="4"/>
        <v>973122.26493204967</v>
      </c>
      <c r="T5" s="137">
        <f t="shared" si="4"/>
        <v>973389.81925420428</v>
      </c>
      <c r="U5" s="137">
        <f t="shared" si="4"/>
        <v>977218.9405682676</v>
      </c>
      <c r="V5" s="137">
        <f t="shared" si="4"/>
        <v>831094.43608516711</v>
      </c>
      <c r="W5" s="137">
        <f t="shared" ref="W5:Y5" si="5">W6+W7+W8</f>
        <v>869723.24344815232</v>
      </c>
      <c r="X5" s="137">
        <f t="shared" si="5"/>
        <v>910191.60211765545</v>
      </c>
      <c r="Y5" s="137">
        <f t="shared" si="5"/>
        <v>927497.35640164081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11773.872130201429</v>
      </c>
      <c r="C6" s="102">
        <f>TrRoad_act!C$5</f>
        <v>11958.727544780706</v>
      </c>
      <c r="D6" s="102">
        <f>TrRoad_act!D$5</f>
        <v>12443.674738270454</v>
      </c>
      <c r="E6" s="102">
        <f>TrRoad_act!E$5</f>
        <v>12452.821418204867</v>
      </c>
      <c r="F6" s="102">
        <f>TrRoad_act!F$5</f>
        <v>12861.823340791427</v>
      </c>
      <c r="G6" s="102">
        <f>TrRoad_act!G$5</f>
        <v>13263.975012189059</v>
      </c>
      <c r="H6" s="102">
        <f>TrRoad_act!H$5</f>
        <v>13484.482752238901</v>
      </c>
      <c r="I6" s="102">
        <f>TrRoad_act!I$5</f>
        <v>11711.435596832504</v>
      </c>
      <c r="J6" s="102">
        <f>TrRoad_act!J$5</f>
        <v>12027.349326541813</v>
      </c>
      <c r="K6" s="102">
        <f>TrRoad_act!K$5</f>
        <v>12233.140998241517</v>
      </c>
      <c r="L6" s="102">
        <f>TrRoad_act!L$5</f>
        <v>12104.013949036227</v>
      </c>
      <c r="M6" s="102">
        <f>TrRoad_act!M$5</f>
        <v>13001.935276864568</v>
      </c>
      <c r="N6" s="102">
        <f>TrRoad_act!N$5</f>
        <v>12497.984227803872</v>
      </c>
      <c r="O6" s="102">
        <f>TrRoad_act!O$5</f>
        <v>12974.013752051937</v>
      </c>
      <c r="P6" s="102">
        <f>TrRoad_act!P$5</f>
        <v>13567.574148769665</v>
      </c>
      <c r="Q6" s="102">
        <f>TrRoad_act!Q$5</f>
        <v>13323.209908279849</v>
      </c>
      <c r="R6" s="102">
        <f>TrRoad_act!R$5</f>
        <v>13715.872236288833</v>
      </c>
      <c r="S6" s="102">
        <f>TrRoad_act!S$5</f>
        <v>12922.264932049611</v>
      </c>
      <c r="T6" s="102">
        <f>TrRoad_act!T$5</f>
        <v>12289.819254204227</v>
      </c>
      <c r="U6" s="102">
        <f>TrRoad_act!U$5</f>
        <v>13318.940568267577</v>
      </c>
      <c r="V6" s="102">
        <f>TrRoad_act!V$5</f>
        <v>11694.436085167248</v>
      </c>
      <c r="W6" s="102">
        <f>TrRoad_act!W$5</f>
        <v>12523.243448152318</v>
      </c>
      <c r="X6" s="102">
        <f>TrRoad_act!X$5</f>
        <v>12691.602117655593</v>
      </c>
      <c r="Y6" s="102">
        <f>TrRoad_act!Y$5</f>
        <v>13697.356401640985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831266.54484178452</v>
      </c>
      <c r="C7" s="102">
        <f>TrRoad_act!C$6</f>
        <v>852629.43876994983</v>
      </c>
      <c r="D7" s="102">
        <f>TrRoad_act!D$6</f>
        <v>862987</v>
      </c>
      <c r="E7" s="102">
        <f>TrRoad_act!E$6</f>
        <v>857736</v>
      </c>
      <c r="F7" s="102">
        <f>TrRoad_act!F$6</f>
        <v>868650</v>
      </c>
      <c r="G7" s="102">
        <f>TrRoad_act!G$6</f>
        <v>856875</v>
      </c>
      <c r="H7" s="102">
        <f>TrRoad_act!H$6</f>
        <v>863328</v>
      </c>
      <c r="I7" s="102">
        <f>TrRoad_act!I$6</f>
        <v>866531.00000000012</v>
      </c>
      <c r="J7" s="102">
        <f>TrRoad_act!J$6</f>
        <v>871328</v>
      </c>
      <c r="K7" s="102">
        <f>TrRoad_act!K$6</f>
        <v>881100</v>
      </c>
      <c r="L7" s="102">
        <f>TrRoad_act!L$6</f>
        <v>887000</v>
      </c>
      <c r="M7" s="102">
        <f>TrRoad_act!M$6</f>
        <v>894400</v>
      </c>
      <c r="N7" s="102">
        <f>TrRoad_act!N$6</f>
        <v>896300</v>
      </c>
      <c r="O7" s="102">
        <f>TrRoad_act!O$6</f>
        <v>903100</v>
      </c>
      <c r="P7" s="102">
        <f>TrRoad_act!P$6</f>
        <v>916400.00000000012</v>
      </c>
      <c r="Q7" s="102">
        <f>TrRoad_act!Q$6</f>
        <v>927000</v>
      </c>
      <c r="R7" s="102">
        <f>TrRoad_act!R$6</f>
        <v>946299.99999999988</v>
      </c>
      <c r="S7" s="102">
        <f>TrRoad_act!S$6</f>
        <v>897700.00000000012</v>
      </c>
      <c r="T7" s="102">
        <f>TrRoad_act!T$6</f>
        <v>898600</v>
      </c>
      <c r="U7" s="102">
        <f>TrRoad_act!U$6</f>
        <v>902600</v>
      </c>
      <c r="V7" s="102">
        <f>TrRoad_act!V$6</f>
        <v>785399.99999999988</v>
      </c>
      <c r="W7" s="102">
        <f>TrRoad_act!W$6</f>
        <v>822900</v>
      </c>
      <c r="X7" s="102">
        <f>TrRoad_act!X$6</f>
        <v>851499.99999999988</v>
      </c>
      <c r="Y7" s="102">
        <f>TrRoad_act!Y$6</f>
        <v>863599.99999999977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69000</v>
      </c>
      <c r="C8" s="102">
        <f>TrRoad_act!C$13</f>
        <v>68700</v>
      </c>
      <c r="D8" s="102">
        <f>TrRoad_act!D$13</f>
        <v>67500</v>
      </c>
      <c r="E8" s="102">
        <f>TrRoad_act!E$13</f>
        <v>67500</v>
      </c>
      <c r="F8" s="102">
        <f>TrRoad_act!F$13</f>
        <v>67806</v>
      </c>
      <c r="G8" s="102">
        <f>TrRoad_act!G$13</f>
        <v>67062</v>
      </c>
      <c r="H8" s="102">
        <f>TrRoad_act!H$13</f>
        <v>66184.000000000015</v>
      </c>
      <c r="I8" s="102">
        <f>TrRoad_act!I$13</f>
        <v>65387.000000000007</v>
      </c>
      <c r="J8" s="102">
        <f>TrRoad_act!J$13</f>
        <v>63592</v>
      </c>
      <c r="K8" s="102">
        <f>TrRoad_act!K$13</f>
        <v>62097</v>
      </c>
      <c r="L8" s="102">
        <f>TrRoad_act!L$13</f>
        <v>61766.999999999985</v>
      </c>
      <c r="M8" s="102">
        <f>TrRoad_act!M$13</f>
        <v>61400.000000000015</v>
      </c>
      <c r="N8" s="102">
        <f>TrRoad_act!N$13</f>
        <v>59400.000000000007</v>
      </c>
      <c r="O8" s="102">
        <f>TrRoad_act!O$13</f>
        <v>60500</v>
      </c>
      <c r="P8" s="102">
        <f>TrRoad_act!P$13</f>
        <v>62200</v>
      </c>
      <c r="Q8" s="102">
        <f>TrRoad_act!Q$13</f>
        <v>65099.999999999985</v>
      </c>
      <c r="R8" s="102">
        <f>TrRoad_act!R$13</f>
        <v>64400</v>
      </c>
      <c r="S8" s="102">
        <f>TrRoad_act!S$13</f>
        <v>62500.000000000015</v>
      </c>
      <c r="T8" s="102">
        <f>TrRoad_act!T$13</f>
        <v>62499.999999999993</v>
      </c>
      <c r="U8" s="102">
        <f>TrRoad_act!U$13</f>
        <v>61300.000000000007</v>
      </c>
      <c r="V8" s="102">
        <f>TrRoad_act!V$13</f>
        <v>34000</v>
      </c>
      <c r="W8" s="102">
        <f>TrRoad_act!W$13</f>
        <v>34300.000000000007</v>
      </c>
      <c r="X8" s="102">
        <f>TrRoad_act!X$13</f>
        <v>46000</v>
      </c>
      <c r="Y8" s="102">
        <f>TrRoad_act!Y$13</f>
        <v>50200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90004</v>
      </c>
      <c r="C9" s="110">
        <f t="shared" si="6"/>
        <v>90453.999999999985</v>
      </c>
      <c r="D9" s="110">
        <f t="shared" si="6"/>
        <v>85559</v>
      </c>
      <c r="E9" s="110">
        <f t="shared" si="6"/>
        <v>86043</v>
      </c>
      <c r="F9" s="110">
        <f t="shared" si="6"/>
        <v>87886</v>
      </c>
      <c r="G9" s="110">
        <f t="shared" si="6"/>
        <v>92285</v>
      </c>
      <c r="H9" s="110">
        <f t="shared" si="6"/>
        <v>94568</v>
      </c>
      <c r="I9" s="110">
        <f t="shared" si="6"/>
        <v>95027</v>
      </c>
      <c r="J9" s="110">
        <f t="shared" si="6"/>
        <v>98529.824999999997</v>
      </c>
      <c r="K9" s="110">
        <f t="shared" si="6"/>
        <v>98750</v>
      </c>
      <c r="L9" s="110">
        <f t="shared" si="6"/>
        <v>100241</v>
      </c>
      <c r="M9" s="110">
        <f t="shared" si="6"/>
        <v>102013</v>
      </c>
      <c r="N9" s="110">
        <f t="shared" si="6"/>
        <v>105395</v>
      </c>
      <c r="O9" s="110">
        <f t="shared" si="6"/>
        <v>106315</v>
      </c>
      <c r="P9" s="110">
        <f t="shared" si="6"/>
        <v>107578</v>
      </c>
      <c r="Q9" s="110">
        <f t="shared" si="6"/>
        <v>107750</v>
      </c>
      <c r="R9" s="110">
        <f t="shared" ref="R9:V9" si="7">R10+R11+R12</f>
        <v>112465</v>
      </c>
      <c r="S9" s="110">
        <f t="shared" si="7"/>
        <v>112729</v>
      </c>
      <c r="T9" s="110">
        <f t="shared" si="7"/>
        <v>115761</v>
      </c>
      <c r="U9" s="110">
        <f t="shared" si="7"/>
        <v>117852</v>
      </c>
      <c r="V9" s="110">
        <f t="shared" si="7"/>
        <v>69487</v>
      </c>
      <c r="W9" s="110">
        <f t="shared" ref="W9:Y9" si="8">W10+W11+W12</f>
        <v>68718</v>
      </c>
      <c r="X9" s="110">
        <f t="shared" si="8"/>
        <v>106813</v>
      </c>
      <c r="Y9" s="110">
        <f t="shared" si="8"/>
        <v>117008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14600</v>
      </c>
      <c r="C10" s="102">
        <f>TrRail_act!C$5</f>
        <v>14700</v>
      </c>
      <c r="D10" s="102">
        <f>TrRail_act!D$5</f>
        <v>14740</v>
      </c>
      <c r="E10" s="102">
        <f>TrRail_act!E$5</f>
        <v>14750</v>
      </c>
      <c r="F10" s="102">
        <f>TrRail_act!F$5</f>
        <v>14986</v>
      </c>
      <c r="G10" s="102">
        <f>TrRail_act!G$5</f>
        <v>15485</v>
      </c>
      <c r="H10" s="102">
        <f>TrRail_act!H$5</f>
        <v>15568</v>
      </c>
      <c r="I10" s="102">
        <f>TrRail_act!I$5</f>
        <v>15920</v>
      </c>
      <c r="J10" s="102">
        <f>TrRail_act!J$5</f>
        <v>15991</v>
      </c>
      <c r="K10" s="102">
        <f>TrRail_act!K$5</f>
        <v>16496</v>
      </c>
      <c r="L10" s="102">
        <f>TrRail_act!L$5</f>
        <v>16349</v>
      </c>
      <c r="M10" s="102">
        <f>TrRail_act!M$5</f>
        <v>16600</v>
      </c>
      <c r="N10" s="102">
        <f>TrRail_act!N$5</f>
        <v>16600</v>
      </c>
      <c r="O10" s="102">
        <f>TrRail_act!O$5</f>
        <v>16700</v>
      </c>
      <c r="P10" s="102">
        <f>TrRail_act!P$5</f>
        <v>16600</v>
      </c>
      <c r="Q10" s="102">
        <f>TrRail_act!Q$5</f>
        <v>16700</v>
      </c>
      <c r="R10" s="102">
        <f>TrRail_act!R$5</f>
        <v>17000</v>
      </c>
      <c r="S10" s="102">
        <f>TrRail_act!S$5</f>
        <v>17200</v>
      </c>
      <c r="T10" s="102">
        <f>TrRail_act!T$5</f>
        <v>17600</v>
      </c>
      <c r="U10" s="102">
        <f>TrRail_act!U$5</f>
        <v>17600</v>
      </c>
      <c r="V10" s="102">
        <f>TrRail_act!V$5</f>
        <v>11700</v>
      </c>
      <c r="W10" s="102">
        <f>TrRail_act!W$5</f>
        <v>11200</v>
      </c>
      <c r="X10" s="102">
        <f>TrRail_act!X$5</f>
        <v>14500</v>
      </c>
      <c r="Y10" s="102">
        <f>TrRail_act!Y$5</f>
        <v>15600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61479</v>
      </c>
      <c r="C11" s="102">
        <f>TrRail_act!C$6</f>
        <v>60238.999999999985</v>
      </c>
      <c r="D11" s="102">
        <f>TrRail_act!D$6</f>
        <v>55564</v>
      </c>
      <c r="E11" s="102">
        <f>TrRail_act!E$6</f>
        <v>53836</v>
      </c>
      <c r="F11" s="102">
        <f>TrRail_act!F$6</f>
        <v>53296</v>
      </c>
      <c r="G11" s="102">
        <f>TrRail_act!G$6</f>
        <v>55947</v>
      </c>
      <c r="H11" s="102">
        <f>TrRail_act!H$6</f>
        <v>57365</v>
      </c>
      <c r="I11" s="102">
        <f>TrRail_act!I$6</f>
        <v>57188</v>
      </c>
      <c r="J11" s="102">
        <f>TrRail_act!J$6</f>
        <v>59205.824999999997</v>
      </c>
      <c r="K11" s="102">
        <f>TrRail_act!K$6</f>
        <v>59693</v>
      </c>
      <c r="L11" s="102">
        <f>TrRail_act!L$6</f>
        <v>59988.865097999995</v>
      </c>
      <c r="M11" s="102">
        <f>TrRail_act!M$6</f>
        <v>62107</v>
      </c>
      <c r="N11" s="102">
        <f>TrRail_act!N$6</f>
        <v>64042</v>
      </c>
      <c r="O11" s="102">
        <f>TrRail_act!O$6</f>
        <v>64437</v>
      </c>
      <c r="P11" s="102">
        <f>TrRail_act!P$6</f>
        <v>66662</v>
      </c>
      <c r="Q11" s="102">
        <f>TrRail_act!Q$6</f>
        <v>65770</v>
      </c>
      <c r="R11" s="102">
        <f>TrRail_act!R$6</f>
        <v>68252</v>
      </c>
      <c r="S11" s="102">
        <f>TrRail_act!S$6</f>
        <v>67027</v>
      </c>
      <c r="T11" s="102">
        <f>TrRail_act!T$6</f>
        <v>67094</v>
      </c>
      <c r="U11" s="102">
        <f>TrRail_act!U$6</f>
        <v>67048</v>
      </c>
      <c r="V11" s="102">
        <f>TrRail_act!V$6</f>
        <v>39634</v>
      </c>
      <c r="W11" s="102">
        <f>TrRail_act!W$6</f>
        <v>37948</v>
      </c>
      <c r="X11" s="102">
        <f>TrRail_act!X$6</f>
        <v>58325</v>
      </c>
      <c r="Y11" s="102">
        <f>TrRail_act!Y$6</f>
        <v>63451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13925</v>
      </c>
      <c r="C12" s="102">
        <f>TrRail_act!C$9</f>
        <v>15515</v>
      </c>
      <c r="D12" s="102">
        <f>TrRail_act!D$9</f>
        <v>15255</v>
      </c>
      <c r="E12" s="102">
        <f>TrRail_act!E$9</f>
        <v>17457</v>
      </c>
      <c r="F12" s="102">
        <f>TrRail_act!F$9</f>
        <v>19604</v>
      </c>
      <c r="G12" s="102">
        <f>TrRail_act!G$9</f>
        <v>20853</v>
      </c>
      <c r="H12" s="102">
        <f>TrRail_act!H$9</f>
        <v>21635</v>
      </c>
      <c r="I12" s="102">
        <f>TrRail_act!I$9</f>
        <v>21919</v>
      </c>
      <c r="J12" s="102">
        <f>TrRail_act!J$9</f>
        <v>23333</v>
      </c>
      <c r="K12" s="102">
        <f>TrRail_act!K$9</f>
        <v>22561</v>
      </c>
      <c r="L12" s="102">
        <f>TrRail_act!L$9</f>
        <v>23903.134902000002</v>
      </c>
      <c r="M12" s="102">
        <f>TrRail_act!M$9</f>
        <v>23306</v>
      </c>
      <c r="N12" s="102">
        <f>TrRail_act!N$9</f>
        <v>24753</v>
      </c>
      <c r="O12" s="102">
        <f>TrRail_act!O$9</f>
        <v>25178</v>
      </c>
      <c r="P12" s="102">
        <f>TrRail_act!P$9</f>
        <v>24316</v>
      </c>
      <c r="Q12" s="102">
        <f>TrRail_act!Q$9</f>
        <v>25280</v>
      </c>
      <c r="R12" s="102">
        <f>TrRail_act!R$9</f>
        <v>27213</v>
      </c>
      <c r="S12" s="102">
        <f>TrRail_act!S$9</f>
        <v>28502</v>
      </c>
      <c r="T12" s="102">
        <f>TrRail_act!T$9</f>
        <v>31067</v>
      </c>
      <c r="U12" s="102">
        <f>TrRail_act!U$9</f>
        <v>33204</v>
      </c>
      <c r="V12" s="102">
        <f>TrRail_act!V$9</f>
        <v>18153</v>
      </c>
      <c r="W12" s="102">
        <f>TrRail_act!W$9</f>
        <v>19570</v>
      </c>
      <c r="X12" s="102">
        <f>TrRail_act!X$9</f>
        <v>33988</v>
      </c>
      <c r="Y12" s="102">
        <f>TrRail_act!Y$9</f>
        <v>37957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150064.92277329779</v>
      </c>
      <c r="C13" s="110">
        <f t="shared" ref="C13:V13" si="10">C14+C15+C16</f>
        <v>148561.66151862423</v>
      </c>
      <c r="D13" s="110">
        <f t="shared" si="10"/>
        <v>146437.52743883018</v>
      </c>
      <c r="E13" s="110">
        <f t="shared" si="10"/>
        <v>150321.69393572531</v>
      </c>
      <c r="F13" s="110">
        <f t="shared" si="10"/>
        <v>170751.15919249062</v>
      </c>
      <c r="G13" s="110">
        <f t="shared" si="10"/>
        <v>181983.87635706089</v>
      </c>
      <c r="H13" s="110">
        <f t="shared" si="10"/>
        <v>185698.38154917548</v>
      </c>
      <c r="I13" s="110">
        <f t="shared" si="10"/>
        <v>193273.72583793438</v>
      </c>
      <c r="J13" s="110">
        <f t="shared" si="10"/>
        <v>192174.74702737445</v>
      </c>
      <c r="K13" s="110">
        <f t="shared" si="10"/>
        <v>184495.071997369</v>
      </c>
      <c r="L13" s="110">
        <f t="shared" si="10"/>
        <v>197407.49143722665</v>
      </c>
      <c r="M13" s="110">
        <f t="shared" si="10"/>
        <v>205410.51284382655</v>
      </c>
      <c r="N13" s="110">
        <f t="shared" si="10"/>
        <v>209731.50746421461</v>
      </c>
      <c r="O13" s="110">
        <f t="shared" si="10"/>
        <v>211530.01245525575</v>
      </c>
      <c r="P13" s="110">
        <f t="shared" si="10"/>
        <v>216129.87522061387</v>
      </c>
      <c r="Q13" s="110">
        <f t="shared" si="10"/>
        <v>223968.97879779845</v>
      </c>
      <c r="R13" s="110">
        <f t="shared" si="10"/>
        <v>231372.20182996488</v>
      </c>
      <c r="S13" s="110">
        <f t="shared" si="10"/>
        <v>244371.11175100465</v>
      </c>
      <c r="T13" s="110">
        <f t="shared" si="10"/>
        <v>253860.58938675988</v>
      </c>
      <c r="U13" s="110">
        <f t="shared" si="10"/>
        <v>260388.93757774463</v>
      </c>
      <c r="V13" s="110">
        <f t="shared" si="10"/>
        <v>70064.322402894744</v>
      </c>
      <c r="W13" s="110">
        <f t="shared" ref="W13:Y13" si="11">W14+W15+W16</f>
        <v>87915.169578255111</v>
      </c>
      <c r="X13" s="110">
        <f t="shared" si="11"/>
        <v>186068.31402969401</v>
      </c>
      <c r="Y13" s="110">
        <f t="shared" si="11"/>
        <v>231400.05161514156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11007.601563742004</v>
      </c>
      <c r="C14" s="102">
        <f>TrAvia_act!C$5</f>
        <v>10361.357548621389</v>
      </c>
      <c r="D14" s="102">
        <f>TrAvia_act!D$5</f>
        <v>10618.64763313446</v>
      </c>
      <c r="E14" s="102">
        <f>TrAvia_act!E$5</f>
        <v>10945.953433932835</v>
      </c>
      <c r="F14" s="102">
        <f>TrAvia_act!F$5</f>
        <v>10969.881426458805</v>
      </c>
      <c r="G14" s="102">
        <f>TrAvia_act!G$5</f>
        <v>11107.983699129652</v>
      </c>
      <c r="H14" s="102">
        <f>TrAvia_act!H$5</f>
        <v>11680.762406783477</v>
      </c>
      <c r="I14" s="102">
        <f>TrAvia_act!I$5</f>
        <v>12537.120205288798</v>
      </c>
      <c r="J14" s="102">
        <f>TrAvia_act!J$5</f>
        <v>12606.366217246254</v>
      </c>
      <c r="K14" s="102">
        <f>TrAvia_act!K$5</f>
        <v>12136.35517676708</v>
      </c>
      <c r="L14" s="102">
        <f>TrAvia_act!L$5</f>
        <v>12327.634271063176</v>
      </c>
      <c r="M14" s="102">
        <f>TrAvia_act!M$5</f>
        <v>12083.123746852973</v>
      </c>
      <c r="N14" s="102">
        <f>TrAvia_act!N$5</f>
        <v>11643.636069213308</v>
      </c>
      <c r="O14" s="102">
        <f>TrAvia_act!O$5</f>
        <v>11156.583974094332</v>
      </c>
      <c r="P14" s="102">
        <f>TrAvia_act!P$5</f>
        <v>11151.778440244321</v>
      </c>
      <c r="Q14" s="102">
        <f>TrAvia_act!Q$5</f>
        <v>11236.999416912791</v>
      </c>
      <c r="R14" s="102">
        <f>TrAvia_act!R$5</f>
        <v>11672.564912846152</v>
      </c>
      <c r="S14" s="102">
        <f>TrAvia_act!S$5</f>
        <v>11615.794848200698</v>
      </c>
      <c r="T14" s="102">
        <f>TrAvia_act!T$5</f>
        <v>11574.395852048583</v>
      </c>
      <c r="U14" s="102">
        <f>TrAvia_act!U$5</f>
        <v>11389.754467599598</v>
      </c>
      <c r="V14" s="102">
        <f>TrAvia_act!V$5</f>
        <v>2831.4812568147559</v>
      </c>
      <c r="W14" s="102">
        <f>TrAvia_act!W$5</f>
        <v>2329.9324459381273</v>
      </c>
      <c r="X14" s="102">
        <f>TrAvia_act!X$5</f>
        <v>4569.4777274729877</v>
      </c>
      <c r="Y14" s="102">
        <f>TrAvia_act!Y$5</f>
        <v>5538.1275981350709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47667.58154958269</v>
      </c>
      <c r="C15" s="102">
        <f>TrAvia_act!C$6</f>
        <v>46870.383452849062</v>
      </c>
      <c r="D15" s="102">
        <f>TrAvia_act!D$6</f>
        <v>44310.495849729705</v>
      </c>
      <c r="E15" s="102">
        <f>TrAvia_act!E$6</f>
        <v>47408.71491925764</v>
      </c>
      <c r="F15" s="102">
        <f>TrAvia_act!F$6</f>
        <v>52252.202251383555</v>
      </c>
      <c r="G15" s="102">
        <f>TrAvia_act!G$6</f>
        <v>56492.161226608943</v>
      </c>
      <c r="H15" s="102">
        <f>TrAvia_act!H$6</f>
        <v>57986.243463553219</v>
      </c>
      <c r="I15" s="102">
        <f>TrAvia_act!I$6</f>
        <v>57878.953879758323</v>
      </c>
      <c r="J15" s="102">
        <f>TrAvia_act!J$6</f>
        <v>54959.669555697226</v>
      </c>
      <c r="K15" s="102">
        <f>TrAvia_act!K$6</f>
        <v>51907.327233716293</v>
      </c>
      <c r="L15" s="102">
        <f>TrAvia_act!L$6</f>
        <v>54185.238132514016</v>
      </c>
      <c r="M15" s="102">
        <f>TrAvia_act!M$6</f>
        <v>58082.052039852977</v>
      </c>
      <c r="N15" s="102">
        <f>TrAvia_act!N$6</f>
        <v>58443.391498312994</v>
      </c>
      <c r="O15" s="102">
        <f>TrAvia_act!O$6</f>
        <v>59974.38890513769</v>
      </c>
      <c r="P15" s="102">
        <f>TrAvia_act!P$6</f>
        <v>62923.686367691676</v>
      </c>
      <c r="Q15" s="102">
        <f>TrAvia_act!Q$6</f>
        <v>64873.617000892162</v>
      </c>
      <c r="R15" s="102">
        <f>TrAvia_act!R$6</f>
        <v>70867.773812043131</v>
      </c>
      <c r="S15" s="102">
        <f>TrAvia_act!S$6</f>
        <v>76257.176479883376</v>
      </c>
      <c r="T15" s="102">
        <f>TrAvia_act!T$6</f>
        <v>80190.517349669375</v>
      </c>
      <c r="U15" s="102">
        <f>TrAvia_act!U$6</f>
        <v>79095.883540116207</v>
      </c>
      <c r="V15" s="102">
        <f>TrAvia_act!V$6</f>
        <v>21980.821840656456</v>
      </c>
      <c r="W15" s="102">
        <f>TrAvia_act!W$6</f>
        <v>31428.695147633291</v>
      </c>
      <c r="X15" s="102">
        <f>TrAvia_act!X$6</f>
        <v>60999.134111487729</v>
      </c>
      <c r="Y15" s="102">
        <f>TrAvia_act!Y$6</f>
        <v>69131.845569212237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91389.739659973086</v>
      </c>
      <c r="C16" s="102">
        <f>TrAvia_act!C$7</f>
        <v>91329.920517153791</v>
      </c>
      <c r="D16" s="102">
        <f>TrAvia_act!D$7</f>
        <v>91508.383955966012</v>
      </c>
      <c r="E16" s="102">
        <f>TrAvia_act!E$7</f>
        <v>91967.025582534829</v>
      </c>
      <c r="F16" s="102">
        <f>TrAvia_act!F$7</f>
        <v>107529.07551464827</v>
      </c>
      <c r="G16" s="102">
        <f>TrAvia_act!G$7</f>
        <v>114383.73143132229</v>
      </c>
      <c r="H16" s="102">
        <f>TrAvia_act!H$7</f>
        <v>116031.37567883877</v>
      </c>
      <c r="I16" s="102">
        <f>TrAvia_act!I$7</f>
        <v>122857.65175288726</v>
      </c>
      <c r="J16" s="102">
        <f>TrAvia_act!J$7</f>
        <v>124608.71125443096</v>
      </c>
      <c r="K16" s="102">
        <f>TrAvia_act!K$7</f>
        <v>120451.38958688562</v>
      </c>
      <c r="L16" s="102">
        <f>TrAvia_act!L$7</f>
        <v>130894.61903364945</v>
      </c>
      <c r="M16" s="102">
        <f>TrAvia_act!M$7</f>
        <v>135245.3370571206</v>
      </c>
      <c r="N16" s="102">
        <f>TrAvia_act!N$7</f>
        <v>139644.47989668831</v>
      </c>
      <c r="O16" s="102">
        <f>TrAvia_act!O$7</f>
        <v>140399.03957602373</v>
      </c>
      <c r="P16" s="102">
        <f>TrAvia_act!P$7</f>
        <v>142054.41041267788</v>
      </c>
      <c r="Q16" s="102">
        <f>TrAvia_act!Q$7</f>
        <v>147858.36237999352</v>
      </c>
      <c r="R16" s="102">
        <f>TrAvia_act!R$7</f>
        <v>148831.86310507561</v>
      </c>
      <c r="S16" s="102">
        <f>TrAvia_act!S$7</f>
        <v>156498.14042292058</v>
      </c>
      <c r="T16" s="102">
        <f>TrAvia_act!T$7</f>
        <v>162095.67618504193</v>
      </c>
      <c r="U16" s="102">
        <f>TrAvia_act!U$7</f>
        <v>169903.29957002882</v>
      </c>
      <c r="V16" s="102">
        <f>TrAvia_act!V$7</f>
        <v>45252.019305423528</v>
      </c>
      <c r="W16" s="102">
        <f>TrAvia_act!W$7</f>
        <v>54156.541984683696</v>
      </c>
      <c r="X16" s="102">
        <f>TrAvia_act!X$7</f>
        <v>120499.70219073328</v>
      </c>
      <c r="Y16" s="102">
        <f>TrAvia_act!Y$7</f>
        <v>156730.07844779425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493748.70210741344</v>
      </c>
      <c r="C17" s="28">
        <f t="shared" si="12"/>
        <v>501421.56947667862</v>
      </c>
      <c r="D17" s="28">
        <f t="shared" si="12"/>
        <v>502659.35180172871</v>
      </c>
      <c r="E17" s="28">
        <f t="shared" si="12"/>
        <v>504406.05624253344</v>
      </c>
      <c r="F17" s="28">
        <f t="shared" si="12"/>
        <v>534647.35071778169</v>
      </c>
      <c r="G17" s="28">
        <f t="shared" si="12"/>
        <v>554914.62342639058</v>
      </c>
      <c r="H17" s="28">
        <f t="shared" si="12"/>
        <v>590703.77621091879</v>
      </c>
      <c r="I17" s="28">
        <f t="shared" si="12"/>
        <v>618233.2786069971</v>
      </c>
      <c r="J17" s="28">
        <f t="shared" si="12"/>
        <v>625564.50002507307</v>
      </c>
      <c r="K17" s="28">
        <f t="shared" si="12"/>
        <v>561777.22064894822</v>
      </c>
      <c r="L17" s="28">
        <f t="shared" si="12"/>
        <v>601956.3392242851</v>
      </c>
      <c r="M17" s="28">
        <f t="shared" si="12"/>
        <v>614689.09024990164</v>
      </c>
      <c r="N17" s="28">
        <f t="shared" si="12"/>
        <v>605397.66626860481</v>
      </c>
      <c r="O17" s="28">
        <f t="shared" si="12"/>
        <v>616758.04307313054</v>
      </c>
      <c r="P17" s="28">
        <f t="shared" si="12"/>
        <v>629054.26129204838</v>
      </c>
      <c r="Q17" s="28">
        <f t="shared" si="12"/>
        <v>634880.6341576908</v>
      </c>
      <c r="R17" s="28">
        <f t="shared" ref="R17:V17" si="13">R18+R21+R22+R26</f>
        <v>671429.5458215836</v>
      </c>
      <c r="S17" s="28">
        <f t="shared" si="13"/>
        <v>681135.15582360909</v>
      </c>
      <c r="T17" s="28">
        <f t="shared" si="13"/>
        <v>668398.03007177589</v>
      </c>
      <c r="U17" s="28">
        <f t="shared" si="13"/>
        <v>684960.07750114612</v>
      </c>
      <c r="V17" s="28">
        <f t="shared" si="13"/>
        <v>656202.40574125166</v>
      </c>
      <c r="W17" s="28">
        <f t="shared" ref="W17:Y17" si="14">W18+W21+W22+W26</f>
        <v>688101.77976771258</v>
      </c>
      <c r="X17" s="28">
        <f t="shared" si="14"/>
        <v>686812.41792571102</v>
      </c>
      <c r="Y17" s="28">
        <f t="shared" si="14"/>
        <v>665885.89375005173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336150.09774172684</v>
      </c>
      <c r="C18" s="137">
        <f t="shared" si="15"/>
        <v>347323.56632728939</v>
      </c>
      <c r="D18" s="137">
        <f t="shared" si="15"/>
        <v>348988.21102567954</v>
      </c>
      <c r="E18" s="137">
        <f t="shared" si="15"/>
        <v>352954.8829234608</v>
      </c>
      <c r="F18" s="137">
        <f t="shared" si="15"/>
        <v>375607.16485063726</v>
      </c>
      <c r="G18" s="137">
        <f t="shared" si="15"/>
        <v>385620.26094691042</v>
      </c>
      <c r="H18" s="137">
        <f t="shared" si="15"/>
        <v>409173.30618560099</v>
      </c>
      <c r="I18" s="137">
        <f t="shared" si="15"/>
        <v>427696.05750935618</v>
      </c>
      <c r="J18" s="137">
        <f t="shared" si="15"/>
        <v>434300.89566974842</v>
      </c>
      <c r="K18" s="137">
        <f t="shared" si="15"/>
        <v>399820.0814885794</v>
      </c>
      <c r="L18" s="137">
        <f t="shared" si="15"/>
        <v>419189.17393246293</v>
      </c>
      <c r="M18" s="137">
        <f t="shared" si="15"/>
        <v>432087.94601782522</v>
      </c>
      <c r="N18" s="137">
        <f t="shared" si="15"/>
        <v>422611.73669213511</v>
      </c>
      <c r="O18" s="137">
        <f t="shared" si="15"/>
        <v>431576.59703807376</v>
      </c>
      <c r="P18" s="137">
        <f t="shared" si="15"/>
        <v>442524.10971106181</v>
      </c>
      <c r="Q18" s="137">
        <f t="shared" si="15"/>
        <v>450459.52478321694</v>
      </c>
      <c r="R18" s="137">
        <f t="shared" ref="R18:V18" si="16">R19+R20</f>
        <v>465711.12637386838</v>
      </c>
      <c r="S18" s="137">
        <f t="shared" si="16"/>
        <v>482130.45382671879</v>
      </c>
      <c r="T18" s="137">
        <f t="shared" si="16"/>
        <v>477240.47572210687</v>
      </c>
      <c r="U18" s="137">
        <f t="shared" si="16"/>
        <v>489167.98892526084</v>
      </c>
      <c r="V18" s="137">
        <f t="shared" si="16"/>
        <v>485506.23084438138</v>
      </c>
      <c r="W18" s="137">
        <f t="shared" ref="W18:Y18" si="17">W19+W20</f>
        <v>500117.58089532715</v>
      </c>
      <c r="X18" s="137">
        <f t="shared" si="17"/>
        <v>497184.13339026709</v>
      </c>
      <c r="Y18" s="137">
        <f t="shared" si="17"/>
        <v>478582.97209693555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13490.067531187598</v>
      </c>
      <c r="C19" s="102">
        <f>TrRoad_act!C$20</f>
        <v>14333.633313246672</v>
      </c>
      <c r="D19" s="102">
        <f>TrRoad_act!D$20</f>
        <v>14471.810672826525</v>
      </c>
      <c r="E19" s="102">
        <f>TrRoad_act!E$20</f>
        <v>14952.329291233124</v>
      </c>
      <c r="F19" s="102">
        <f>TrRoad_act!F$20</f>
        <v>14703.918416240225</v>
      </c>
      <c r="G19" s="102">
        <f>TrRoad_act!G$20</f>
        <v>14824.145620085459</v>
      </c>
      <c r="H19" s="102">
        <f>TrRoad_act!H$20</f>
        <v>14709.528122566569</v>
      </c>
      <c r="I19" s="102">
        <f>TrRoad_act!I$20</f>
        <v>14536.709785564428</v>
      </c>
      <c r="J19" s="102">
        <f>TrRoad_act!J$20</f>
        <v>14320.670363409245</v>
      </c>
      <c r="K19" s="102">
        <f>TrRoad_act!K$20</f>
        <v>14525.699705326911</v>
      </c>
      <c r="L19" s="102">
        <f>TrRoad_act!L$20</f>
        <v>14270.727401137201</v>
      </c>
      <c r="M19" s="102">
        <f>TrRoad_act!M$20</f>
        <v>14521.144537729377</v>
      </c>
      <c r="N19" s="102">
        <f>TrRoad_act!N$20</f>
        <v>14362.39305503636</v>
      </c>
      <c r="O19" s="102">
        <f>TrRoad_act!O$20</f>
        <v>14996.48146266372</v>
      </c>
      <c r="P19" s="102">
        <f>TrRoad_act!P$20</f>
        <v>15615.433615960372</v>
      </c>
      <c r="Q19" s="102">
        <f>TrRoad_act!Q$20</f>
        <v>17362.214901543688</v>
      </c>
      <c r="R19" s="102">
        <f>TrRoad_act!R$20</f>
        <v>18517.782532627174</v>
      </c>
      <c r="S19" s="102">
        <f>TrRoad_act!S$20</f>
        <v>19110.284296751062</v>
      </c>
      <c r="T19" s="102">
        <f>TrRoad_act!T$20</f>
        <v>18669.475722106865</v>
      </c>
      <c r="U19" s="102">
        <f>TrRoad_act!U$20</f>
        <v>19874.988925260859</v>
      </c>
      <c r="V19" s="102">
        <f>TrRoad_act!V$20</f>
        <v>19092.230844381374</v>
      </c>
      <c r="W19" s="102">
        <f>TrRoad_act!W$20</f>
        <v>20022.580895327144</v>
      </c>
      <c r="X19" s="102">
        <f>TrRoad_act!X$20</f>
        <v>20743.133390267107</v>
      </c>
      <c r="Y19" s="102">
        <f>TrRoad_act!Y$20</f>
        <v>21299.972096935562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322660.03021053923</v>
      </c>
      <c r="C20" s="102">
        <f>TrRoad_act!C$26</f>
        <v>332989.93301404273</v>
      </c>
      <c r="D20" s="102">
        <f>TrRoad_act!D$26</f>
        <v>334516.400352853</v>
      </c>
      <c r="E20" s="102">
        <f>TrRoad_act!E$26</f>
        <v>338002.5536322277</v>
      </c>
      <c r="F20" s="102">
        <f>TrRoad_act!F$26</f>
        <v>360903.24643439701</v>
      </c>
      <c r="G20" s="102">
        <f>TrRoad_act!G$26</f>
        <v>370796.11532682495</v>
      </c>
      <c r="H20" s="102">
        <f>TrRoad_act!H$26</f>
        <v>394463.77806303441</v>
      </c>
      <c r="I20" s="102">
        <f>TrRoad_act!I$26</f>
        <v>413159.34772379173</v>
      </c>
      <c r="J20" s="102">
        <f>TrRoad_act!J$26</f>
        <v>419980.22530633915</v>
      </c>
      <c r="K20" s="102">
        <f>TrRoad_act!K$26</f>
        <v>385294.38178325247</v>
      </c>
      <c r="L20" s="102">
        <f>TrRoad_act!L$26</f>
        <v>404918.44653132575</v>
      </c>
      <c r="M20" s="102">
        <f>TrRoad_act!M$26</f>
        <v>417566.80148009583</v>
      </c>
      <c r="N20" s="102">
        <f>TrRoad_act!N$26</f>
        <v>408249.34363709873</v>
      </c>
      <c r="O20" s="102">
        <f>TrRoad_act!O$26</f>
        <v>416580.11557541002</v>
      </c>
      <c r="P20" s="102">
        <f>TrRoad_act!P$26</f>
        <v>426908.67609510146</v>
      </c>
      <c r="Q20" s="102">
        <f>TrRoad_act!Q$26</f>
        <v>433097.30988167325</v>
      </c>
      <c r="R20" s="102">
        <f>TrRoad_act!R$26</f>
        <v>447193.34384124121</v>
      </c>
      <c r="S20" s="102">
        <f>TrRoad_act!S$26</f>
        <v>463020.16952996771</v>
      </c>
      <c r="T20" s="102">
        <f>TrRoad_act!T$26</f>
        <v>458571</v>
      </c>
      <c r="U20" s="102">
        <f>TrRoad_act!U$26</f>
        <v>469293</v>
      </c>
      <c r="V20" s="102">
        <f>TrRoad_act!V$26</f>
        <v>466414</v>
      </c>
      <c r="W20" s="102">
        <f>TrRoad_act!W$26</f>
        <v>480095</v>
      </c>
      <c r="X20" s="102">
        <f>TrRoad_act!X$26</f>
        <v>476441</v>
      </c>
      <c r="Y20" s="102">
        <f>TrRoad_act!Y$26</f>
        <v>457283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82675</v>
      </c>
      <c r="C21" s="110">
        <f>TrRail_act!C$10</f>
        <v>81042</v>
      </c>
      <c r="D21" s="110">
        <f>TrRail_act!D$10</f>
        <v>81059</v>
      </c>
      <c r="E21" s="110">
        <f>TrRail_act!E$10</f>
        <v>85128</v>
      </c>
      <c r="F21" s="110">
        <f>TrRail_act!F$10</f>
        <v>86409</v>
      </c>
      <c r="G21" s="110">
        <f>TrRail_act!G$10</f>
        <v>95420</v>
      </c>
      <c r="H21" s="110">
        <f>TrRail_act!H$10</f>
        <v>107007</v>
      </c>
      <c r="I21" s="110">
        <f>TrRail_act!I$10</f>
        <v>114615</v>
      </c>
      <c r="J21" s="110">
        <f>TrRail_act!J$10</f>
        <v>115969</v>
      </c>
      <c r="K21" s="110">
        <f>TrRail_act!K$10</f>
        <v>95652</v>
      </c>
      <c r="L21" s="110">
        <f>TrRail_act!L$10</f>
        <v>107317</v>
      </c>
      <c r="M21" s="110">
        <f>TrRail_act!M$10</f>
        <v>113160</v>
      </c>
      <c r="N21" s="110">
        <f>TrRail_act!N$10</f>
        <v>110065</v>
      </c>
      <c r="O21" s="110">
        <f>TrRail_act!O$10</f>
        <v>110655</v>
      </c>
      <c r="P21" s="110">
        <f>TrRail_act!P$10</f>
        <v>112629</v>
      </c>
      <c r="Q21" s="110">
        <f>TrRail_act!Q$10</f>
        <v>114341</v>
      </c>
      <c r="R21" s="110">
        <f>TrRail_act!R$10</f>
        <v>135875</v>
      </c>
      <c r="S21" s="110">
        <f>TrRail_act!S$10</f>
        <v>126897</v>
      </c>
      <c r="T21" s="110">
        <f>TrRail_act!T$10</f>
        <v>127620</v>
      </c>
      <c r="U21" s="110">
        <f>TrRail_act!U$10</f>
        <v>128544.99999999999</v>
      </c>
      <c r="V21" s="110">
        <f>TrRail_act!V$10</f>
        <v>109219</v>
      </c>
      <c r="W21" s="110">
        <f>TrRail_act!W$10</f>
        <v>123935</v>
      </c>
      <c r="X21" s="110">
        <f>TrRail_act!X$10</f>
        <v>128637</v>
      </c>
      <c r="Y21" s="110">
        <f>TrRail_act!Y$10</f>
        <v>129090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7408.3103656865887</v>
      </c>
      <c r="C22" s="110">
        <f t="shared" ref="C22:V22" si="19">C23+C24+C25</f>
        <v>7347.385149389238</v>
      </c>
      <c r="D22" s="110">
        <f t="shared" si="19"/>
        <v>7477.4177760491721</v>
      </c>
      <c r="E22" s="110">
        <f t="shared" si="19"/>
        <v>7460.7043190726426</v>
      </c>
      <c r="F22" s="110">
        <f t="shared" si="19"/>
        <v>8249.6828671444491</v>
      </c>
      <c r="G22" s="110">
        <f t="shared" si="19"/>
        <v>9156.6604794801842</v>
      </c>
      <c r="H22" s="110">
        <f t="shared" si="19"/>
        <v>9758.1180253178645</v>
      </c>
      <c r="I22" s="110">
        <f t="shared" si="19"/>
        <v>10262.879097640942</v>
      </c>
      <c r="J22" s="110">
        <f t="shared" si="19"/>
        <v>10349.218355324592</v>
      </c>
      <c r="K22" s="110">
        <f t="shared" si="19"/>
        <v>10038.646160368828</v>
      </c>
      <c r="L22" s="110">
        <f t="shared" si="19"/>
        <v>12637.001291822195</v>
      </c>
      <c r="M22" s="110">
        <f t="shared" si="19"/>
        <v>13789.878232076451</v>
      </c>
      <c r="N22" s="110">
        <f t="shared" si="19"/>
        <v>13436.459576469719</v>
      </c>
      <c r="O22" s="110">
        <f t="shared" si="19"/>
        <v>13536.951035056869</v>
      </c>
      <c r="P22" s="110">
        <f t="shared" si="19"/>
        <v>13994.490580986638</v>
      </c>
      <c r="Q22" s="110">
        <f t="shared" si="19"/>
        <v>14243.751374473901</v>
      </c>
      <c r="R22" s="110">
        <f t="shared" si="19"/>
        <v>14921.660447715234</v>
      </c>
      <c r="S22" s="110">
        <f t="shared" si="19"/>
        <v>15840.482996890334</v>
      </c>
      <c r="T22" s="110">
        <f t="shared" si="19"/>
        <v>16033.699349668988</v>
      </c>
      <c r="U22" s="110">
        <f t="shared" si="19"/>
        <v>15789.653575885361</v>
      </c>
      <c r="V22" s="110">
        <f t="shared" si="19"/>
        <v>14520.130896870289</v>
      </c>
      <c r="W22" s="110">
        <f t="shared" ref="W22:Y22" si="20">W23+W24+W25</f>
        <v>15401.285872385401</v>
      </c>
      <c r="X22" s="110">
        <f t="shared" si="20"/>
        <v>16546.382535443881</v>
      </c>
      <c r="Y22" s="110">
        <f t="shared" si="20"/>
        <v>16298.690653116095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86.582794014615018</v>
      </c>
      <c r="C23" s="102">
        <f>TrAvia_act!C$9</f>
        <v>80.304809241764872</v>
      </c>
      <c r="D23" s="102">
        <f>TrAvia_act!D$9</f>
        <v>74.954457841221242</v>
      </c>
      <c r="E23" s="102">
        <f>TrAvia_act!E$9</f>
        <v>62.465560473464599</v>
      </c>
      <c r="F23" s="102">
        <f>TrAvia_act!F$9</f>
        <v>57.573486452881234</v>
      </c>
      <c r="G23" s="102">
        <f>TrAvia_act!G$9</f>
        <v>49.598743331660501</v>
      </c>
      <c r="H23" s="102">
        <f>TrAvia_act!H$9</f>
        <v>51.752379959872435</v>
      </c>
      <c r="I23" s="102">
        <f>TrAvia_act!I$9</f>
        <v>51.143001309110772</v>
      </c>
      <c r="J23" s="102">
        <f>TrAvia_act!J$9</f>
        <v>60.687283775261541</v>
      </c>
      <c r="K23" s="102">
        <f>TrAvia_act!K$9</f>
        <v>51.491377578549894</v>
      </c>
      <c r="L23" s="102">
        <f>TrAvia_act!L$9</f>
        <v>50.612636460500951</v>
      </c>
      <c r="M23" s="102">
        <f>TrAvia_act!M$9</f>
        <v>51.481167639422381</v>
      </c>
      <c r="N23" s="102">
        <f>TrAvia_act!N$9</f>
        <v>47.832579495179367</v>
      </c>
      <c r="O23" s="102">
        <f>TrAvia_act!O$9</f>
        <v>45.598075177314314</v>
      </c>
      <c r="P23" s="102">
        <f>TrAvia_act!P$9</f>
        <v>47.369081641037525</v>
      </c>
      <c r="Q23" s="102">
        <f>TrAvia_act!Q$9</f>
        <v>48.273850529901594</v>
      </c>
      <c r="R23" s="102">
        <f>TrAvia_act!R$9</f>
        <v>52.712529190149283</v>
      </c>
      <c r="S23" s="102">
        <f>TrAvia_act!S$9</f>
        <v>55.349153459068859</v>
      </c>
      <c r="T23" s="102">
        <f>TrAvia_act!T$9</f>
        <v>56.818991805763304</v>
      </c>
      <c r="U23" s="102">
        <f>TrAvia_act!U$9</f>
        <v>55.678271978573257</v>
      </c>
      <c r="V23" s="102">
        <f>TrAvia_act!V$9</f>
        <v>50.186139763815738</v>
      </c>
      <c r="W23" s="102">
        <f>TrAvia_act!W$9</f>
        <v>54.965755697479835</v>
      </c>
      <c r="X23" s="102">
        <f>TrAvia_act!X$9</f>
        <v>55.492243585569582</v>
      </c>
      <c r="Y23" s="102">
        <f>TrAvia_act!Y$9</f>
        <v>52.760138304882744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433.93256338514414</v>
      </c>
      <c r="C24" s="102">
        <f>TrAvia_act!C$10</f>
        <v>444.64467211067898</v>
      </c>
      <c r="D24" s="102">
        <f>TrAvia_act!D$10</f>
        <v>428.04078575006776</v>
      </c>
      <c r="E24" s="102">
        <f>TrAvia_act!E$10</f>
        <v>435.47547697486846</v>
      </c>
      <c r="F24" s="102">
        <f>TrAvia_act!F$10</f>
        <v>471.16500946791155</v>
      </c>
      <c r="G24" s="102">
        <f>TrAvia_act!G$10</f>
        <v>505.57368913971209</v>
      </c>
      <c r="H24" s="102">
        <f>TrAvia_act!H$10</f>
        <v>500.33383226280245</v>
      </c>
      <c r="I24" s="102">
        <f>TrAvia_act!I$10</f>
        <v>547.3456919095388</v>
      </c>
      <c r="J24" s="102">
        <f>TrAvia_act!J$10</f>
        <v>618.09787814738877</v>
      </c>
      <c r="K24" s="102">
        <f>TrAvia_act!K$10</f>
        <v>639.42326110953707</v>
      </c>
      <c r="L24" s="102">
        <f>TrAvia_act!L$10</f>
        <v>682.65236698060301</v>
      </c>
      <c r="M24" s="102">
        <f>TrAvia_act!M$10</f>
        <v>691.29306565843206</v>
      </c>
      <c r="N24" s="102">
        <f>TrAvia_act!N$10</f>
        <v>713.42766985079743</v>
      </c>
      <c r="O24" s="102">
        <f>TrAvia_act!O$10</f>
        <v>702.29270035435025</v>
      </c>
      <c r="P24" s="102">
        <f>TrAvia_act!P$10</f>
        <v>758.03090643261055</v>
      </c>
      <c r="Q24" s="102">
        <f>TrAvia_act!Q$10</f>
        <v>756.9603063925839</v>
      </c>
      <c r="R24" s="102">
        <f>TrAvia_act!R$10</f>
        <v>788.34333177435917</v>
      </c>
      <c r="S24" s="102">
        <f>TrAvia_act!S$10</f>
        <v>825.89132154289791</v>
      </c>
      <c r="T24" s="102">
        <f>TrAvia_act!T$10</f>
        <v>856.33824594189639</v>
      </c>
      <c r="U24" s="102">
        <f>TrAvia_act!U$10</f>
        <v>867.64712275445368</v>
      </c>
      <c r="V24" s="102">
        <f>TrAvia_act!V$10</f>
        <v>817.80336911622317</v>
      </c>
      <c r="W24" s="102">
        <f>TrAvia_act!W$10</f>
        <v>969.18263795514338</v>
      </c>
      <c r="X24" s="102">
        <f>TrAvia_act!X$10</f>
        <v>922.54244144394579</v>
      </c>
      <c r="Y24" s="102">
        <f>TrAvia_act!Y$10</f>
        <v>859.92352862928999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6887.7950082868292</v>
      </c>
      <c r="C25" s="102">
        <f>TrAvia_act!C$11</f>
        <v>6822.4356680367937</v>
      </c>
      <c r="D25" s="102">
        <f>TrAvia_act!D$11</f>
        <v>6974.4225324578829</v>
      </c>
      <c r="E25" s="102">
        <f>TrAvia_act!E$11</f>
        <v>6962.7632816243095</v>
      </c>
      <c r="F25" s="102">
        <f>TrAvia_act!F$11</f>
        <v>7720.9443712236562</v>
      </c>
      <c r="G25" s="102">
        <f>TrAvia_act!G$11</f>
        <v>8601.4880470088119</v>
      </c>
      <c r="H25" s="102">
        <f>TrAvia_act!H$11</f>
        <v>9206.0318130951891</v>
      </c>
      <c r="I25" s="102">
        <f>TrAvia_act!I$11</f>
        <v>9664.3904044222927</v>
      </c>
      <c r="J25" s="102">
        <f>TrAvia_act!J$11</f>
        <v>9670.4331934019428</v>
      </c>
      <c r="K25" s="102">
        <f>TrAvia_act!K$11</f>
        <v>9347.7315216807401</v>
      </c>
      <c r="L25" s="102">
        <f>TrAvia_act!L$11</f>
        <v>11903.736288381091</v>
      </c>
      <c r="M25" s="102">
        <f>TrAvia_act!M$11</f>
        <v>13047.103998778597</v>
      </c>
      <c r="N25" s="102">
        <f>TrAvia_act!N$11</f>
        <v>12675.199327123742</v>
      </c>
      <c r="O25" s="102">
        <f>TrAvia_act!O$11</f>
        <v>12789.060259525204</v>
      </c>
      <c r="P25" s="102">
        <f>TrAvia_act!P$11</f>
        <v>13189.090592912989</v>
      </c>
      <c r="Q25" s="102">
        <f>TrAvia_act!Q$11</f>
        <v>13438.517217551416</v>
      </c>
      <c r="R25" s="102">
        <f>TrAvia_act!R$11</f>
        <v>14080.604586750726</v>
      </c>
      <c r="S25" s="102">
        <f>TrAvia_act!S$11</f>
        <v>14959.242521888367</v>
      </c>
      <c r="T25" s="102">
        <f>TrAvia_act!T$11</f>
        <v>15120.542111921328</v>
      </c>
      <c r="U25" s="102">
        <f>TrAvia_act!U$11</f>
        <v>14866.328181152334</v>
      </c>
      <c r="V25" s="102">
        <f>TrAvia_act!V$11</f>
        <v>13652.14138799025</v>
      </c>
      <c r="W25" s="102">
        <f>TrAvia_act!W$11</f>
        <v>14377.137478732777</v>
      </c>
      <c r="X25" s="102">
        <f>TrAvia_act!X$11</f>
        <v>15568.347850414366</v>
      </c>
      <c r="Y25" s="102">
        <f>TrAvia_act!Y$11</f>
        <v>15386.006986181923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67515.293999999994</v>
      </c>
      <c r="C26" s="110">
        <f t="shared" si="21"/>
        <v>65708.618000000002</v>
      </c>
      <c r="D26" s="110">
        <f t="shared" si="21"/>
        <v>65134.722999999998</v>
      </c>
      <c r="E26" s="110">
        <f t="shared" si="21"/>
        <v>58862.468999999997</v>
      </c>
      <c r="F26" s="110">
        <f t="shared" si="21"/>
        <v>64381.502999999997</v>
      </c>
      <c r="G26" s="110">
        <f t="shared" si="21"/>
        <v>64717.701999999997</v>
      </c>
      <c r="H26" s="110">
        <f t="shared" si="21"/>
        <v>64765.351999999999</v>
      </c>
      <c r="I26" s="110">
        <f t="shared" si="21"/>
        <v>65659.342000000004</v>
      </c>
      <c r="J26" s="110">
        <f t="shared" si="21"/>
        <v>64945.385999999999</v>
      </c>
      <c r="K26" s="110">
        <f t="shared" si="21"/>
        <v>56266.493000000002</v>
      </c>
      <c r="L26" s="110">
        <f t="shared" si="21"/>
        <v>62813.163999999997</v>
      </c>
      <c r="M26" s="110">
        <f t="shared" si="21"/>
        <v>55651.266000000003</v>
      </c>
      <c r="N26" s="110">
        <f t="shared" si="21"/>
        <v>59284.47</v>
      </c>
      <c r="O26" s="110">
        <f t="shared" si="21"/>
        <v>60989.495000000003</v>
      </c>
      <c r="P26" s="110">
        <f t="shared" si="21"/>
        <v>59906.661</v>
      </c>
      <c r="Q26" s="110">
        <f t="shared" si="21"/>
        <v>55836.358</v>
      </c>
      <c r="R26" s="110">
        <f t="shared" ref="R26:V26" si="22">R27+R28</f>
        <v>54921.758999999998</v>
      </c>
      <c r="S26" s="110">
        <f t="shared" si="22"/>
        <v>56267.218999999997</v>
      </c>
      <c r="T26" s="110">
        <f t="shared" si="22"/>
        <v>47503.855000000003</v>
      </c>
      <c r="U26" s="110">
        <f t="shared" si="22"/>
        <v>51457.434999999998</v>
      </c>
      <c r="V26" s="110">
        <f t="shared" si="22"/>
        <v>46957.044000000002</v>
      </c>
      <c r="W26" s="110">
        <f t="shared" ref="W26:Y26" si="23">W27+W28</f>
        <v>48647.913</v>
      </c>
      <c r="X26" s="110">
        <f t="shared" si="23"/>
        <v>44444.902000000002</v>
      </c>
      <c r="Y26" s="110">
        <f t="shared" si="23"/>
        <v>41914.231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1050.2940000000001</v>
      </c>
      <c r="C27" s="102">
        <f>TrNavi_act!C4</f>
        <v>890.61800000000005</v>
      </c>
      <c r="D27" s="102">
        <f>TrNavi_act!D4</f>
        <v>968.72299999999996</v>
      </c>
      <c r="E27" s="102">
        <f>TrNavi_act!E4</f>
        <v>708.46900000000005</v>
      </c>
      <c r="F27" s="102">
        <f>TrNavi_act!F4</f>
        <v>714.50300000000004</v>
      </c>
      <c r="G27" s="102">
        <f>TrNavi_act!G4</f>
        <v>621.702</v>
      </c>
      <c r="H27" s="102">
        <f>TrNavi_act!H4</f>
        <v>790.35199999999998</v>
      </c>
      <c r="I27" s="102">
        <f>TrNavi_act!I4</f>
        <v>948.34199999999998</v>
      </c>
      <c r="J27" s="102">
        <f>TrNavi_act!J4</f>
        <v>889.38599999999997</v>
      </c>
      <c r="K27" s="102">
        <f>TrNavi_act!K4</f>
        <v>614.49300000000005</v>
      </c>
      <c r="L27" s="102">
        <f>TrNavi_act!L4</f>
        <v>535.16399999999999</v>
      </c>
      <c r="M27" s="102">
        <f>TrNavi_act!M4</f>
        <v>624.26599999999996</v>
      </c>
      <c r="N27" s="102">
        <f>TrNavi_act!N4</f>
        <v>796.47</v>
      </c>
      <c r="O27" s="102">
        <f>TrNavi_act!O4</f>
        <v>919.495</v>
      </c>
      <c r="P27" s="102">
        <f>TrNavi_act!P4</f>
        <v>813.66099999999994</v>
      </c>
      <c r="Q27" s="102">
        <f>TrNavi_act!Q4</f>
        <v>521.35799999999995</v>
      </c>
      <c r="R27" s="102">
        <f>TrNavi_act!R4</f>
        <v>574.75900000000001</v>
      </c>
      <c r="S27" s="102">
        <f>TrNavi_act!S4</f>
        <v>749.21900000000005</v>
      </c>
      <c r="T27" s="102">
        <f>TrNavi_act!T4</f>
        <v>602.85500000000002</v>
      </c>
      <c r="U27" s="102">
        <f>TrNavi_act!U4</f>
        <v>538.43499999999995</v>
      </c>
      <c r="V27" s="102">
        <f>TrNavi_act!V4</f>
        <v>619.04399999999998</v>
      </c>
      <c r="W27" s="102">
        <f>TrNavi_act!W4</f>
        <v>450.91300000000001</v>
      </c>
      <c r="X27" s="102">
        <f>TrNavi_act!X4</f>
        <v>327.90199999999999</v>
      </c>
      <c r="Y27" s="102">
        <f>TrNavi_act!Y4</f>
        <v>408.23099999999999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66465</v>
      </c>
      <c r="C28" s="169">
        <f>TrNavi_act!C5</f>
        <v>64818</v>
      </c>
      <c r="D28" s="169">
        <f>TrNavi_act!D5</f>
        <v>64166</v>
      </c>
      <c r="E28" s="169">
        <f>TrNavi_act!E5</f>
        <v>58154</v>
      </c>
      <c r="F28" s="169">
        <f>TrNavi_act!F5</f>
        <v>63667</v>
      </c>
      <c r="G28" s="169">
        <f>TrNavi_act!G5</f>
        <v>64096</v>
      </c>
      <c r="H28" s="169">
        <f>TrNavi_act!H5</f>
        <v>63975</v>
      </c>
      <c r="I28" s="169">
        <f>TrNavi_act!I5</f>
        <v>64711</v>
      </c>
      <c r="J28" s="169">
        <f>TrNavi_act!J5</f>
        <v>64056</v>
      </c>
      <c r="K28" s="169">
        <f>TrNavi_act!K5</f>
        <v>55652</v>
      </c>
      <c r="L28" s="169">
        <f>TrNavi_act!L5</f>
        <v>62278</v>
      </c>
      <c r="M28" s="169">
        <f>TrNavi_act!M5</f>
        <v>55027</v>
      </c>
      <c r="N28" s="169">
        <f>TrNavi_act!N5</f>
        <v>58488</v>
      </c>
      <c r="O28" s="169">
        <f>TrNavi_act!O5</f>
        <v>60070</v>
      </c>
      <c r="P28" s="169">
        <f>TrNavi_act!P5</f>
        <v>59093</v>
      </c>
      <c r="Q28" s="169">
        <f>TrNavi_act!Q5</f>
        <v>55315</v>
      </c>
      <c r="R28" s="169">
        <f>TrNavi_act!R5</f>
        <v>54347</v>
      </c>
      <c r="S28" s="169">
        <f>TrNavi_act!S5</f>
        <v>55518</v>
      </c>
      <c r="T28" s="169">
        <f>TrNavi_act!T5</f>
        <v>46901</v>
      </c>
      <c r="U28" s="169">
        <f>TrNavi_act!U5</f>
        <v>50919</v>
      </c>
      <c r="V28" s="169">
        <f>TrNavi_act!V5</f>
        <v>46338</v>
      </c>
      <c r="W28" s="169">
        <f>TrNavi_act!W5</f>
        <v>48197</v>
      </c>
      <c r="X28" s="169">
        <f>TrNavi_act!X5</f>
        <v>44117</v>
      </c>
      <c r="Y28" s="169">
        <f>TrNavi_act!Y5</f>
        <v>41506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612731.88254999998</v>
      </c>
      <c r="C29" s="28">
        <f t="shared" si="24"/>
        <v>624613.91123299999</v>
      </c>
      <c r="D29" s="28">
        <f t="shared" si="24"/>
        <v>664096.53422499995</v>
      </c>
      <c r="E29" s="28">
        <f t="shared" si="24"/>
        <v>712753.98977799993</v>
      </c>
      <c r="F29" s="28">
        <f t="shared" si="24"/>
        <v>765015.05337500002</v>
      </c>
      <c r="G29" s="28">
        <f t="shared" si="24"/>
        <v>831513.46055499988</v>
      </c>
      <c r="H29" s="28">
        <f t="shared" si="24"/>
        <v>910752.493839</v>
      </c>
      <c r="I29" s="28">
        <f t="shared" si="24"/>
        <v>961535.903345</v>
      </c>
      <c r="J29" s="28">
        <f t="shared" si="24"/>
        <v>997806.23496599996</v>
      </c>
      <c r="K29" s="28">
        <f t="shared" si="24"/>
        <v>827246.71140299994</v>
      </c>
      <c r="L29" s="28">
        <f t="shared" si="24"/>
        <v>893549.20541299996</v>
      </c>
      <c r="M29" s="28">
        <f t="shared" si="24"/>
        <v>988895.37390500004</v>
      </c>
      <c r="N29" s="28">
        <f t="shared" si="24"/>
        <v>999218.75997300004</v>
      </c>
      <c r="O29" s="28">
        <f t="shared" si="24"/>
        <v>1006767.604468</v>
      </c>
      <c r="P29" s="28">
        <f t="shared" si="24"/>
        <v>1036359.369385</v>
      </c>
      <c r="Q29" s="28">
        <f t="shared" si="24"/>
        <v>978867.10879900004</v>
      </c>
      <c r="R29" s="28">
        <f t="shared" si="24"/>
        <v>968816.13384799997</v>
      </c>
      <c r="S29" s="28">
        <f t="shared" si="24"/>
        <v>961699.67171000002</v>
      </c>
      <c r="T29" s="28">
        <f t="shared" si="24"/>
        <v>959021.08682500001</v>
      </c>
      <c r="U29" s="28">
        <f t="shared" si="24"/>
        <v>976543.83127899992</v>
      </c>
      <c r="V29" s="28">
        <f t="shared" si="24"/>
        <v>903999.27575599996</v>
      </c>
      <c r="W29" s="28">
        <f t="shared" si="24"/>
        <v>904766.75226800004</v>
      </c>
      <c r="X29" s="28">
        <f t="shared" ref="X29:Y29" si="25">X30+X31</f>
        <v>869957.89619500004</v>
      </c>
      <c r="Y29" s="28">
        <f t="shared" si="25"/>
        <v>828622.62904999999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77103.75976999999</v>
      </c>
      <c r="C30" s="102">
        <f>MBunk_act!C$4</f>
        <v>77971.070156999995</v>
      </c>
      <c r="D30" s="102">
        <f>MBunk_act!D$4</f>
        <v>78271.163486999998</v>
      </c>
      <c r="E30" s="102">
        <f>MBunk_act!E$4</f>
        <v>80929.574307999996</v>
      </c>
      <c r="F30" s="102">
        <f>MBunk_act!F$4</f>
        <v>87059.928924000007</v>
      </c>
      <c r="G30" s="102">
        <f>MBunk_act!G$4</f>
        <v>84599.819115999999</v>
      </c>
      <c r="H30" s="102">
        <f>MBunk_act!H$4</f>
        <v>86812.458098000003</v>
      </c>
      <c r="I30" s="102">
        <f>MBunk_act!I$4</f>
        <v>88350.789550000001</v>
      </c>
      <c r="J30" s="102">
        <f>MBunk_act!J$4</f>
        <v>84310.345905999988</v>
      </c>
      <c r="K30" s="102">
        <f>MBunk_act!K$4</f>
        <v>67222.734228999994</v>
      </c>
      <c r="L30" s="102">
        <f>MBunk_act!L$4</f>
        <v>68529.430435999995</v>
      </c>
      <c r="M30" s="102">
        <f>MBunk_act!M$4</f>
        <v>74282.794062999994</v>
      </c>
      <c r="N30" s="102">
        <f>MBunk_act!N$4</f>
        <v>74698.182537000001</v>
      </c>
      <c r="O30" s="102">
        <f>MBunk_act!O$4</f>
        <v>74406.258881999995</v>
      </c>
      <c r="P30" s="102">
        <f>MBunk_act!P$4</f>
        <v>76859.558017999996</v>
      </c>
      <c r="Q30" s="102">
        <f>MBunk_act!Q$4</f>
        <v>75731.350719000009</v>
      </c>
      <c r="R30" s="102">
        <f>MBunk_act!R$4</f>
        <v>79264.557148000007</v>
      </c>
      <c r="S30" s="102">
        <f>MBunk_act!S$4</f>
        <v>78904.313800000004</v>
      </c>
      <c r="T30" s="102">
        <f>MBunk_act!T$4</f>
        <v>81538.828386000008</v>
      </c>
      <c r="U30" s="102">
        <f>MBunk_act!U$4</f>
        <v>78877.267731</v>
      </c>
      <c r="V30" s="102">
        <f>MBunk_act!V$4</f>
        <v>72111.290173000001</v>
      </c>
      <c r="W30" s="102">
        <f>MBunk_act!W$4</f>
        <v>77668.548223999998</v>
      </c>
      <c r="X30" s="102">
        <f>MBunk_act!X$4</f>
        <v>74388.684922</v>
      </c>
      <c r="Y30" s="102">
        <f>MBunk_act!Y$4</f>
        <v>78272.506164999999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535628.12277999998</v>
      </c>
      <c r="C31" s="86">
        <f>MBunk_act!C$5</f>
        <v>546642.84107600001</v>
      </c>
      <c r="D31" s="86">
        <f>MBunk_act!D$5</f>
        <v>585825.37073799991</v>
      </c>
      <c r="E31" s="86">
        <f>MBunk_act!E$5</f>
        <v>631824.41546999989</v>
      </c>
      <c r="F31" s="86">
        <f>MBunk_act!F$5</f>
        <v>677955.12445100001</v>
      </c>
      <c r="G31" s="86">
        <f>MBunk_act!G$5</f>
        <v>746913.64143899991</v>
      </c>
      <c r="H31" s="86">
        <f>MBunk_act!H$5</f>
        <v>823940.03574099997</v>
      </c>
      <c r="I31" s="86">
        <f>MBunk_act!I$5</f>
        <v>873185.11379500001</v>
      </c>
      <c r="J31" s="86">
        <f>MBunk_act!J$5</f>
        <v>913495.88905999996</v>
      </c>
      <c r="K31" s="86">
        <f>MBunk_act!K$5</f>
        <v>760023.977174</v>
      </c>
      <c r="L31" s="86">
        <f>MBunk_act!L$5</f>
        <v>825019.77497699996</v>
      </c>
      <c r="M31" s="86">
        <f>MBunk_act!M$5</f>
        <v>914612.57984200004</v>
      </c>
      <c r="N31" s="86">
        <f>MBunk_act!N$5</f>
        <v>924520.57743599999</v>
      </c>
      <c r="O31" s="86">
        <f>MBunk_act!O$5</f>
        <v>932361.34558600001</v>
      </c>
      <c r="P31" s="86">
        <f>MBunk_act!P$5</f>
        <v>959499.81136699999</v>
      </c>
      <c r="Q31" s="86">
        <f>MBunk_act!Q$5</f>
        <v>903135.75808000006</v>
      </c>
      <c r="R31" s="86">
        <f>MBunk_act!R$5</f>
        <v>889551.57669999998</v>
      </c>
      <c r="S31" s="86">
        <f>MBunk_act!S$5</f>
        <v>882795.35791000002</v>
      </c>
      <c r="T31" s="86">
        <f>MBunk_act!T$5</f>
        <v>877482.258439</v>
      </c>
      <c r="U31" s="86">
        <f>MBunk_act!U$5</f>
        <v>897666.56354799995</v>
      </c>
      <c r="V31" s="86">
        <f>MBunk_act!V$5</f>
        <v>831887.985583</v>
      </c>
      <c r="W31" s="86">
        <f>MBunk_act!W$5</f>
        <v>827098.20404400001</v>
      </c>
      <c r="X31" s="86">
        <f>MBunk_act!X$5</f>
        <v>795569.21127299999</v>
      </c>
      <c r="Y31" s="86">
        <f>MBunk_act!Y$5</f>
        <v>750350.12288499996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48630.612470085223</v>
      </c>
      <c r="C34" s="28">
        <f t="shared" si="26"/>
        <v>48045.93514196144</v>
      </c>
      <c r="D34" s="28">
        <f t="shared" si="26"/>
        <v>47843.214256694155</v>
      </c>
      <c r="E34" s="28">
        <f t="shared" si="26"/>
        <v>46489.622466585148</v>
      </c>
      <c r="F34" s="28">
        <f t="shared" si="26"/>
        <v>47265.37534164283</v>
      </c>
      <c r="G34" s="28">
        <f t="shared" si="26"/>
        <v>46263.87226247762</v>
      </c>
      <c r="H34" s="28">
        <f t="shared" si="26"/>
        <v>45522.743295500099</v>
      </c>
      <c r="I34" s="28">
        <f t="shared" si="26"/>
        <v>44666.849973681332</v>
      </c>
      <c r="J34" s="28">
        <f t="shared" si="26"/>
        <v>44334.197790967715</v>
      </c>
      <c r="K34" s="28">
        <f t="shared" si="26"/>
        <v>44262.012322452552</v>
      </c>
      <c r="L34" s="28">
        <f t="shared" si="26"/>
        <v>43354.130092963002</v>
      </c>
      <c r="M34" s="28">
        <f t="shared" si="26"/>
        <v>43760.788824107687</v>
      </c>
      <c r="N34" s="28">
        <f t="shared" si="26"/>
        <v>43268.242199073837</v>
      </c>
      <c r="O34" s="28">
        <f t="shared" si="26"/>
        <v>44430.964366590822</v>
      </c>
      <c r="P34" s="28">
        <f t="shared" si="26"/>
        <v>44893.11374410407</v>
      </c>
      <c r="Q34" s="28">
        <f t="shared" si="26"/>
        <v>45718.088712577242</v>
      </c>
      <c r="R34" s="28">
        <f t="shared" ref="R34:V34" si="27">R35+R39+R43</f>
        <v>47238.27124015968</v>
      </c>
      <c r="S34" s="28">
        <f t="shared" si="27"/>
        <v>47871.60189701261</v>
      </c>
      <c r="T34" s="28">
        <f t="shared" si="27"/>
        <v>45831.319605638302</v>
      </c>
      <c r="U34" s="28">
        <f t="shared" si="27"/>
        <v>46535.450747027076</v>
      </c>
      <c r="V34" s="28">
        <f t="shared" si="27"/>
        <v>35661.198833228074</v>
      </c>
      <c r="W34" s="28">
        <f t="shared" ref="W34:Y34" si="28">W35+W39+W43</f>
        <v>36661.767379664219</v>
      </c>
      <c r="X34" s="28">
        <f t="shared" si="28"/>
        <v>40907.813039005676</v>
      </c>
      <c r="Y34" s="28">
        <f t="shared" si="28"/>
        <v>41655.669374044242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40506.647449270706</v>
      </c>
      <c r="C35" s="137">
        <f t="shared" si="29"/>
        <v>40226.719601299781</v>
      </c>
      <c r="D35" s="137">
        <f t="shared" si="29"/>
        <v>40147.875226372322</v>
      </c>
      <c r="E35" s="137">
        <f t="shared" si="29"/>
        <v>39050.260361251982</v>
      </c>
      <c r="F35" s="137">
        <f t="shared" si="29"/>
        <v>39375.501054512613</v>
      </c>
      <c r="G35" s="137">
        <f t="shared" si="29"/>
        <v>37943.180937964353</v>
      </c>
      <c r="H35" s="137">
        <f t="shared" si="29"/>
        <v>36987.908491156879</v>
      </c>
      <c r="I35" s="137">
        <f t="shared" si="29"/>
        <v>35916.25995425885</v>
      </c>
      <c r="J35" s="137">
        <f t="shared" si="29"/>
        <v>35549.789567180385</v>
      </c>
      <c r="K35" s="137">
        <f t="shared" si="29"/>
        <v>35602.653672726439</v>
      </c>
      <c r="L35" s="137">
        <f t="shared" si="29"/>
        <v>34982.987946431233</v>
      </c>
      <c r="M35" s="137">
        <f t="shared" si="29"/>
        <v>35714.711244585087</v>
      </c>
      <c r="N35" s="137">
        <f t="shared" si="29"/>
        <v>34696.731456945454</v>
      </c>
      <c r="O35" s="137">
        <f t="shared" si="29"/>
        <v>35816.575546523651</v>
      </c>
      <c r="P35" s="137">
        <f t="shared" si="29"/>
        <v>36425.222972781121</v>
      </c>
      <c r="Q35" s="137">
        <f t="shared" si="29"/>
        <v>37262.971022573627</v>
      </c>
      <c r="R35" s="137">
        <f t="shared" ref="R35:V35" si="30">R36+R37+R38</f>
        <v>38093.438894880426</v>
      </c>
      <c r="S35" s="137">
        <f t="shared" si="30"/>
        <v>38151.53937593459</v>
      </c>
      <c r="T35" s="137">
        <f t="shared" si="30"/>
        <v>35924.393412643905</v>
      </c>
      <c r="U35" s="137">
        <f t="shared" si="30"/>
        <v>36536.144116746727</v>
      </c>
      <c r="V35" s="137">
        <f t="shared" si="30"/>
        <v>31741.42798972108</v>
      </c>
      <c r="W35" s="137">
        <f t="shared" ref="W35:Y35" si="31">W36+W37+W38</f>
        <v>31533.515191621922</v>
      </c>
      <c r="X35" s="137">
        <f t="shared" si="31"/>
        <v>32790.912170936215</v>
      </c>
      <c r="Y35" s="137">
        <f t="shared" si="31"/>
        <v>32833.79049716593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476.06641532138588</v>
      </c>
      <c r="C36" s="102">
        <f>TrRoad_ene!C$19</f>
        <v>475.40420640856058</v>
      </c>
      <c r="D36" s="102">
        <f>TrRoad_ene!D$19</f>
        <v>487.54763808366761</v>
      </c>
      <c r="E36" s="102">
        <f>TrRoad_ene!E$19</f>
        <v>475.00605848139679</v>
      </c>
      <c r="F36" s="102">
        <f>TrRoad_ene!F$19</f>
        <v>487.89198569822372</v>
      </c>
      <c r="G36" s="102">
        <f>TrRoad_ene!G$19</f>
        <v>488.19319165918006</v>
      </c>
      <c r="H36" s="102">
        <f>TrRoad_ene!H$19</f>
        <v>493.93907693535124</v>
      </c>
      <c r="I36" s="102">
        <f>TrRoad_ene!I$19</f>
        <v>419.12407373964072</v>
      </c>
      <c r="J36" s="102">
        <f>TrRoad_ene!J$19</f>
        <v>420.59060845466132</v>
      </c>
      <c r="K36" s="102">
        <f>TrRoad_ene!K$19</f>
        <v>424.9778484806983</v>
      </c>
      <c r="L36" s="102">
        <f>TrRoad_ene!L$19</f>
        <v>420.82579126051849</v>
      </c>
      <c r="M36" s="102">
        <f>TrRoad_ene!M$19</f>
        <v>435.56708668223428</v>
      </c>
      <c r="N36" s="102">
        <f>TrRoad_ene!N$19</f>
        <v>430.47073732542918</v>
      </c>
      <c r="O36" s="102">
        <f>TrRoad_ene!O$19</f>
        <v>438.92301773693509</v>
      </c>
      <c r="P36" s="102">
        <f>TrRoad_ene!P$19</f>
        <v>441.60123142356821</v>
      </c>
      <c r="Q36" s="102">
        <f>TrRoad_ene!Q$19</f>
        <v>453.35878251801307</v>
      </c>
      <c r="R36" s="102">
        <f>TrRoad_ene!R$19</f>
        <v>460.47457849130012</v>
      </c>
      <c r="S36" s="102">
        <f>TrRoad_ene!S$19</f>
        <v>430.55147628715872</v>
      </c>
      <c r="T36" s="102">
        <f>TrRoad_ene!T$19</f>
        <v>404.96124143269674</v>
      </c>
      <c r="U36" s="102">
        <f>TrRoad_ene!U$19</f>
        <v>433.7024403055006</v>
      </c>
      <c r="V36" s="102">
        <f>TrRoad_ene!V$19</f>
        <v>379.22675957127336</v>
      </c>
      <c r="W36" s="102">
        <f>TrRoad_ene!W$19</f>
        <v>403.33623073932108</v>
      </c>
      <c r="X36" s="102">
        <f>TrRoad_ene!X$19</f>
        <v>404.45352283000034</v>
      </c>
      <c r="Y36" s="102">
        <f>TrRoad_ene!Y$19</f>
        <v>430.83517560744593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37832.487790592233</v>
      </c>
      <c r="C37" s="102">
        <f>TrRoad_ene!C$21</f>
        <v>37609.219054880043</v>
      </c>
      <c r="D37" s="102">
        <f>TrRoad_ene!D$21</f>
        <v>37579.636072787835</v>
      </c>
      <c r="E37" s="102">
        <f>TrRoad_ene!E$21</f>
        <v>36516.00748976662</v>
      </c>
      <c r="F37" s="102">
        <f>TrRoad_ene!F$21</f>
        <v>36825.965480703948</v>
      </c>
      <c r="G37" s="102">
        <f>TrRoad_ene!G$21</f>
        <v>35451.810734110259</v>
      </c>
      <c r="H37" s="102">
        <f>TrRoad_ene!H$21</f>
        <v>34466.47949779495</v>
      </c>
      <c r="I37" s="102">
        <f>TrRoad_ene!I$21</f>
        <v>33610.075583456921</v>
      </c>
      <c r="J37" s="102">
        <f>TrRoad_ene!J$21</f>
        <v>33320.225144364478</v>
      </c>
      <c r="K37" s="102">
        <f>TrRoad_ene!K$21</f>
        <v>33351.387058498673</v>
      </c>
      <c r="L37" s="102">
        <f>TrRoad_ene!L$21</f>
        <v>32649.015636931166</v>
      </c>
      <c r="M37" s="102">
        <f>TrRoad_ene!M$21</f>
        <v>33257.716115314943</v>
      </c>
      <c r="N37" s="102">
        <f>TrRoad_ene!N$21</f>
        <v>32113.006163632155</v>
      </c>
      <c r="O37" s="102">
        <f>TrRoad_ene!O$21</f>
        <v>33082.720679248428</v>
      </c>
      <c r="P37" s="102">
        <f>TrRoad_ene!P$21</f>
        <v>33620.652976834222</v>
      </c>
      <c r="Q37" s="102">
        <f>TrRoad_ene!Q$21</f>
        <v>34352.304524632971</v>
      </c>
      <c r="R37" s="102">
        <f>TrRoad_ene!R$21</f>
        <v>35113.377352866664</v>
      </c>
      <c r="S37" s="102">
        <f>TrRoad_ene!S$21</f>
        <v>35240.744878679834</v>
      </c>
      <c r="T37" s="102">
        <f>TrRoad_ene!T$21</f>
        <v>33054.752078658676</v>
      </c>
      <c r="U37" s="102">
        <f>TrRoad_ene!U$21</f>
        <v>33640.033962723435</v>
      </c>
      <c r="V37" s="102">
        <f>TrRoad_ene!V$21</f>
        <v>29075.740284619107</v>
      </c>
      <c r="W37" s="102">
        <f>TrRoad_ene!W$21</f>
        <v>28940.364098857081</v>
      </c>
      <c r="X37" s="102">
        <f>TrRoad_ene!X$21</f>
        <v>30033.681376592715</v>
      </c>
      <c r="Y37" s="102">
        <f>TrRoad_ene!Y$21</f>
        <v>30021.278344427556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2198.0932433570833</v>
      </c>
      <c r="C38" s="102">
        <f>TrRoad_ene!C$33</f>
        <v>2142.0963400111782</v>
      </c>
      <c r="D38" s="102">
        <f>TrRoad_ene!D$33</f>
        <v>2080.6915155008178</v>
      </c>
      <c r="E38" s="102">
        <f>TrRoad_ene!E$33</f>
        <v>2059.2468130039665</v>
      </c>
      <c r="F38" s="102">
        <f>TrRoad_ene!F$33</f>
        <v>2061.643588110443</v>
      </c>
      <c r="G38" s="102">
        <f>TrRoad_ene!G$33</f>
        <v>2003.1770121949178</v>
      </c>
      <c r="H38" s="102">
        <f>TrRoad_ene!H$33</f>
        <v>2027.4899164265801</v>
      </c>
      <c r="I38" s="102">
        <f>TrRoad_ene!I$33</f>
        <v>1887.060297062289</v>
      </c>
      <c r="J38" s="102">
        <f>TrRoad_ene!J$33</f>
        <v>1808.9738143612515</v>
      </c>
      <c r="K38" s="102">
        <f>TrRoad_ene!K$33</f>
        <v>1826.2887657470724</v>
      </c>
      <c r="L38" s="102">
        <f>TrRoad_ene!L$33</f>
        <v>1913.1465182395489</v>
      </c>
      <c r="M38" s="102">
        <f>TrRoad_ene!M$33</f>
        <v>2021.4280425879108</v>
      </c>
      <c r="N38" s="102">
        <f>TrRoad_ene!N$33</f>
        <v>2153.2545559878677</v>
      </c>
      <c r="O38" s="102">
        <f>TrRoad_ene!O$33</f>
        <v>2294.9318495382877</v>
      </c>
      <c r="P38" s="102">
        <f>TrRoad_ene!P$33</f>
        <v>2362.9687645233284</v>
      </c>
      <c r="Q38" s="102">
        <f>TrRoad_ene!Q$33</f>
        <v>2457.3077154226416</v>
      </c>
      <c r="R38" s="102">
        <f>TrRoad_ene!R$33</f>
        <v>2519.5869635224617</v>
      </c>
      <c r="S38" s="102">
        <f>TrRoad_ene!S$33</f>
        <v>2480.2430209675922</v>
      </c>
      <c r="T38" s="102">
        <f>TrRoad_ene!T$33</f>
        <v>2464.680092552529</v>
      </c>
      <c r="U38" s="102">
        <f>TrRoad_ene!U$33</f>
        <v>2462.4077137177869</v>
      </c>
      <c r="V38" s="102">
        <f>TrRoad_ene!V$33</f>
        <v>2286.4609455307</v>
      </c>
      <c r="W38" s="102">
        <f>TrRoad_ene!W$33</f>
        <v>2189.8148620255206</v>
      </c>
      <c r="X38" s="102">
        <f>TrRoad_ene!X$33</f>
        <v>2352.7772715135002</v>
      </c>
      <c r="Y38" s="102">
        <f>TrRoad_ene!Y$33</f>
        <v>2381.6769771309291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1464.2211408169683</v>
      </c>
      <c r="C39" s="110">
        <f t="shared" si="32"/>
        <v>1432.7909144773732</v>
      </c>
      <c r="D39" s="110">
        <f t="shared" si="32"/>
        <v>1375.7326652213783</v>
      </c>
      <c r="E39" s="110">
        <f t="shared" si="32"/>
        <v>1207.5466052995248</v>
      </c>
      <c r="F39" s="110">
        <f t="shared" si="32"/>
        <v>1180.168070318359</v>
      </c>
      <c r="G39" s="110">
        <f t="shared" si="32"/>
        <v>1187.1797742109686</v>
      </c>
      <c r="H39" s="110">
        <f t="shared" si="32"/>
        <v>1093.4372798155728</v>
      </c>
      <c r="I39" s="110">
        <f t="shared" si="32"/>
        <v>1046.7133915885022</v>
      </c>
      <c r="J39" s="110">
        <f t="shared" si="32"/>
        <v>1015.3167468667525</v>
      </c>
      <c r="K39" s="110">
        <f t="shared" si="32"/>
        <v>1010.4274589445673</v>
      </c>
      <c r="L39" s="110">
        <f t="shared" si="32"/>
        <v>1040.3356952248523</v>
      </c>
      <c r="M39" s="110">
        <f t="shared" si="32"/>
        <v>1000.9139005946737</v>
      </c>
      <c r="N39" s="110">
        <f t="shared" si="32"/>
        <v>991.00441366569896</v>
      </c>
      <c r="O39" s="110">
        <f t="shared" si="32"/>
        <v>970.42611184249654</v>
      </c>
      <c r="P39" s="110">
        <f t="shared" si="32"/>
        <v>944.52971776494587</v>
      </c>
      <c r="Q39" s="110">
        <f t="shared" si="32"/>
        <v>919.38957298915057</v>
      </c>
      <c r="R39" s="110">
        <f t="shared" ref="R39:V39" si="33">R40+R41+R42</f>
        <v>947.37494141812726</v>
      </c>
      <c r="S39" s="110">
        <f t="shared" si="33"/>
        <v>902.88353907299427</v>
      </c>
      <c r="T39" s="110">
        <f t="shared" si="33"/>
        <v>862.17761188206077</v>
      </c>
      <c r="U39" s="110">
        <f t="shared" si="33"/>
        <v>868.23362518411113</v>
      </c>
      <c r="V39" s="110">
        <f t="shared" si="33"/>
        <v>801.64761680739844</v>
      </c>
      <c r="W39" s="110">
        <f t="shared" ref="W39:Y39" si="34">W40+W41+W42</f>
        <v>963.87767488962425</v>
      </c>
      <c r="X39" s="110">
        <f t="shared" si="34"/>
        <v>894.3102744647058</v>
      </c>
      <c r="Y39" s="110">
        <f t="shared" si="34"/>
        <v>922.92269811724395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91.031113817931214</v>
      </c>
      <c r="C40" s="102">
        <f>TrRail_ene!C$12</f>
        <v>88.668780000027496</v>
      </c>
      <c r="D40" s="102">
        <f>TrRail_ene!D$12</f>
        <v>89.72370099838443</v>
      </c>
      <c r="E40" s="102">
        <f>TrRail_ene!E$12</f>
        <v>90.757522748415965</v>
      </c>
      <c r="F40" s="102">
        <f>TrRail_ene!F$12</f>
        <v>88.352684600428674</v>
      </c>
      <c r="G40" s="102">
        <f>TrRail_ene!G$12</f>
        <v>83.702828097640008</v>
      </c>
      <c r="H40" s="102">
        <f>TrRail_ene!H$12</f>
        <v>78.568253331027321</v>
      </c>
      <c r="I40" s="102">
        <f>TrRail_ene!I$12</f>
        <v>76.237865810031636</v>
      </c>
      <c r="J40" s="102">
        <f>TrRail_ene!J$12</f>
        <v>74.939072044477498</v>
      </c>
      <c r="K40" s="102">
        <f>TrRail_ene!K$12</f>
        <v>77.379865516659365</v>
      </c>
      <c r="L40" s="102">
        <f>TrRail_ene!L$12</f>
        <v>76.302244748426062</v>
      </c>
      <c r="M40" s="102">
        <f>TrRail_ene!M$12</f>
        <v>76.76316951369715</v>
      </c>
      <c r="N40" s="102">
        <f>TrRail_ene!N$12</f>
        <v>71.809719382372535</v>
      </c>
      <c r="O40" s="102">
        <f>TrRail_ene!O$12</f>
        <v>70.648470746351379</v>
      </c>
      <c r="P40" s="102">
        <f>TrRail_ene!P$12</f>
        <v>68.382715301000687</v>
      </c>
      <c r="Q40" s="102">
        <f>TrRail_ene!Q$12</f>
        <v>65.043243353950359</v>
      </c>
      <c r="R40" s="102">
        <f>TrRail_ene!R$12</f>
        <v>63.373867286658005</v>
      </c>
      <c r="S40" s="102">
        <f>TrRail_ene!S$12</f>
        <v>61.615006858657523</v>
      </c>
      <c r="T40" s="102">
        <f>TrRail_ene!T$12</f>
        <v>61.039335345271368</v>
      </c>
      <c r="U40" s="102">
        <f>TrRail_ene!U$12</f>
        <v>59.619469655515061</v>
      </c>
      <c r="V40" s="102">
        <f>TrRail_ene!V$12</f>
        <v>47.751380381743765</v>
      </c>
      <c r="W40" s="102">
        <f>TrRail_ene!W$12</f>
        <v>48.80364339749007</v>
      </c>
      <c r="X40" s="102">
        <f>TrRail_ene!X$12</f>
        <v>39.01599486254041</v>
      </c>
      <c r="Y40" s="102">
        <f>TrRail_ene!Y$12</f>
        <v>39.129316270359752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1247.632876743733</v>
      </c>
      <c r="C41" s="102">
        <f>TrRail_ene!C$13</f>
        <v>1202.4741660782977</v>
      </c>
      <c r="D41" s="102">
        <f>TrRail_ene!D$13</f>
        <v>1149.3044093088602</v>
      </c>
      <c r="E41" s="102">
        <f>TrRail_ene!E$13</f>
        <v>965.35121126504646</v>
      </c>
      <c r="F41" s="102">
        <f>TrRail_ene!F$13</f>
        <v>927.23640778825802</v>
      </c>
      <c r="G41" s="102">
        <f>TrRail_ene!G$13</f>
        <v>940.77483061959151</v>
      </c>
      <c r="H41" s="102">
        <f>TrRail_ene!H$13</f>
        <v>857.22492242334374</v>
      </c>
      <c r="I41" s="102">
        <f>TrRail_ene!I$13</f>
        <v>818.8632774235241</v>
      </c>
      <c r="J41" s="102">
        <f>TrRail_ene!J$13</f>
        <v>782.73681623623952</v>
      </c>
      <c r="K41" s="102">
        <f>TrRail_ene!K$13</f>
        <v>782.40868940246355</v>
      </c>
      <c r="L41" s="102">
        <f>TrRail_ene!L$13</f>
        <v>807.65870134988631</v>
      </c>
      <c r="M41" s="102">
        <f>TrRail_ene!M$13</f>
        <v>773.6910480623178</v>
      </c>
      <c r="N41" s="102">
        <f>TrRail_ene!N$13</f>
        <v>772.89834704119198</v>
      </c>
      <c r="O41" s="102">
        <f>TrRail_ene!O$13</f>
        <v>756.57149404147526</v>
      </c>
      <c r="P41" s="102">
        <f>TrRail_ene!P$13</f>
        <v>742.38379996757089</v>
      </c>
      <c r="Q41" s="102">
        <f>TrRail_ene!Q$13</f>
        <v>724.01845373656863</v>
      </c>
      <c r="R41" s="102">
        <f>TrRail_ene!R$13</f>
        <v>751.73884523678316</v>
      </c>
      <c r="S41" s="102">
        <f>TrRail_ene!S$13</f>
        <v>710.3362820562478</v>
      </c>
      <c r="T41" s="102">
        <f>TrRail_ene!T$13</f>
        <v>664.66475223335794</v>
      </c>
      <c r="U41" s="102">
        <f>TrRail_ene!U$13</f>
        <v>663.97083845864768</v>
      </c>
      <c r="V41" s="102">
        <f>TrRail_ene!V$13</f>
        <v>612.62293142226213</v>
      </c>
      <c r="W41" s="102">
        <f>TrRail_ene!W$13</f>
        <v>771.57291964041792</v>
      </c>
      <c r="X41" s="102">
        <f>TrRail_ene!X$13</f>
        <v>711.96147148704461</v>
      </c>
      <c r="Y41" s="102">
        <f>TrRail_ene!Y$13</f>
        <v>736.15440205845448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125.55715025530382</v>
      </c>
      <c r="C42" s="102">
        <f>TrRail_ene!C$16</f>
        <v>141.64796839904807</v>
      </c>
      <c r="D42" s="102">
        <f>TrRail_ene!D$16</f>
        <v>136.70455491413381</v>
      </c>
      <c r="E42" s="102">
        <f>TrRail_ene!E$16</f>
        <v>151.43787128606235</v>
      </c>
      <c r="F42" s="102">
        <f>TrRail_ene!F$16</f>
        <v>164.57897792967236</v>
      </c>
      <c r="G42" s="102">
        <f>TrRail_ene!G$16</f>
        <v>162.7021154937373</v>
      </c>
      <c r="H42" s="102">
        <f>TrRail_ene!H$16</f>
        <v>157.64410406120166</v>
      </c>
      <c r="I42" s="102">
        <f>TrRail_ene!I$16</f>
        <v>151.61224835494644</v>
      </c>
      <c r="J42" s="102">
        <f>TrRail_ene!J$16</f>
        <v>157.64085858603545</v>
      </c>
      <c r="K42" s="102">
        <f>TrRail_ene!K$16</f>
        <v>150.63890402544442</v>
      </c>
      <c r="L42" s="102">
        <f>TrRail_ene!L$16</f>
        <v>156.37474912653988</v>
      </c>
      <c r="M42" s="102">
        <f>TrRail_ene!M$16</f>
        <v>150.45968301865881</v>
      </c>
      <c r="N42" s="102">
        <f>TrRail_ene!N$16</f>
        <v>146.29634724213443</v>
      </c>
      <c r="O42" s="102">
        <f>TrRail_ene!O$16</f>
        <v>143.20614705466991</v>
      </c>
      <c r="P42" s="102">
        <f>TrRail_ene!P$16</f>
        <v>133.76320249637436</v>
      </c>
      <c r="Q42" s="102">
        <f>TrRail_ene!Q$16</f>
        <v>130.32787589863156</v>
      </c>
      <c r="R42" s="102">
        <f>TrRail_ene!R$16</f>
        <v>132.2622288946861</v>
      </c>
      <c r="S42" s="102">
        <f>TrRail_ene!S$16</f>
        <v>130.932250158089</v>
      </c>
      <c r="T42" s="102">
        <f>TrRail_ene!T$16</f>
        <v>136.47352430343139</v>
      </c>
      <c r="U42" s="102">
        <f>TrRail_ene!U$16</f>
        <v>144.6433170699483</v>
      </c>
      <c r="V42" s="102">
        <f>TrRail_ene!V$16</f>
        <v>141.27330500339264</v>
      </c>
      <c r="W42" s="102">
        <f>TrRail_ene!W$16</f>
        <v>143.50111185171622</v>
      </c>
      <c r="X42" s="102">
        <f>TrRail_ene!X$16</f>
        <v>143.33280811512077</v>
      </c>
      <c r="Y42" s="102">
        <f>TrRail_ene!Y$16</f>
        <v>147.63897978842974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6659.7438799975507</v>
      </c>
      <c r="C43" s="110">
        <f t="shared" si="35"/>
        <v>6386.4246261842854</v>
      </c>
      <c r="D43" s="110">
        <f t="shared" si="35"/>
        <v>6319.6063651004515</v>
      </c>
      <c r="E43" s="110">
        <f t="shared" si="35"/>
        <v>6231.8155000336392</v>
      </c>
      <c r="F43" s="110">
        <f t="shared" si="35"/>
        <v>6709.7062168118582</v>
      </c>
      <c r="G43" s="110">
        <f t="shared" si="35"/>
        <v>7133.511550302298</v>
      </c>
      <c r="H43" s="110">
        <f t="shared" si="35"/>
        <v>7441.3975245276451</v>
      </c>
      <c r="I43" s="110">
        <f t="shared" si="35"/>
        <v>7703.8766278339845</v>
      </c>
      <c r="J43" s="110">
        <f t="shared" si="35"/>
        <v>7769.0914769205756</v>
      </c>
      <c r="K43" s="110">
        <f t="shared" si="35"/>
        <v>7648.9311907815409</v>
      </c>
      <c r="L43" s="110">
        <f t="shared" si="35"/>
        <v>7330.8064513069166</v>
      </c>
      <c r="M43" s="110">
        <f t="shared" si="35"/>
        <v>7045.1636789279273</v>
      </c>
      <c r="N43" s="110">
        <f t="shared" si="35"/>
        <v>7580.5063284626785</v>
      </c>
      <c r="O43" s="110">
        <f t="shared" si="35"/>
        <v>7643.9627082246716</v>
      </c>
      <c r="P43" s="110">
        <f t="shared" si="35"/>
        <v>7523.3610535579992</v>
      </c>
      <c r="Q43" s="110">
        <f t="shared" si="35"/>
        <v>7535.728117014467</v>
      </c>
      <c r="R43" s="110">
        <f t="shared" ref="R43:V43" si="36">R44+R45+R46</f>
        <v>8197.4574038611208</v>
      </c>
      <c r="S43" s="110">
        <f t="shared" si="36"/>
        <v>8817.1789820050271</v>
      </c>
      <c r="T43" s="110">
        <f t="shared" si="36"/>
        <v>9044.7485811123333</v>
      </c>
      <c r="U43" s="110">
        <f t="shared" si="36"/>
        <v>9131.0730050962356</v>
      </c>
      <c r="V43" s="110">
        <f t="shared" si="36"/>
        <v>3118.123226699598</v>
      </c>
      <c r="W43" s="110">
        <f t="shared" ref="W43:Y43" si="37">W44+W45+W46</f>
        <v>4164.3745131526757</v>
      </c>
      <c r="X43" s="110">
        <f t="shared" si="37"/>
        <v>7222.5905936047584</v>
      </c>
      <c r="Y43" s="110">
        <f t="shared" si="37"/>
        <v>7898.9561787610646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877.40375567571436</v>
      </c>
      <c r="C44" s="102">
        <f>TrAvia_ene!C$7</f>
        <v>816.61488638704736</v>
      </c>
      <c r="D44" s="102">
        <f>TrAvia_ene!D$7</f>
        <v>802.75984922315592</v>
      </c>
      <c r="E44" s="102">
        <f>TrAvia_ene!E$7</f>
        <v>784.7174237448279</v>
      </c>
      <c r="F44" s="102">
        <f>TrAvia_ene!F$7</f>
        <v>778.75434646736699</v>
      </c>
      <c r="G44" s="102">
        <f>TrAvia_ene!G$7</f>
        <v>810.02803918941231</v>
      </c>
      <c r="H44" s="102">
        <f>TrAvia_ene!H$7</f>
        <v>832.1133341368901</v>
      </c>
      <c r="I44" s="102">
        <f>TrAvia_ene!I$7</f>
        <v>841.8123276544876</v>
      </c>
      <c r="J44" s="102">
        <f>TrAvia_ene!J$7</f>
        <v>832.96987488850698</v>
      </c>
      <c r="K44" s="102">
        <f>TrAvia_ene!K$7</f>
        <v>808.75380791822192</v>
      </c>
      <c r="L44" s="102">
        <f>TrAvia_ene!L$7</f>
        <v>757.28675720311719</v>
      </c>
      <c r="M44" s="102">
        <f>TrAvia_ene!M$7</f>
        <v>702.61294626857011</v>
      </c>
      <c r="N44" s="102">
        <f>TrAvia_ene!N$7</f>
        <v>703.0015480598671</v>
      </c>
      <c r="O44" s="102">
        <f>TrAvia_ene!O$7</f>
        <v>658.10819358567596</v>
      </c>
      <c r="P44" s="102">
        <f>TrAvia_ene!P$7</f>
        <v>703.12459912959673</v>
      </c>
      <c r="Q44" s="102">
        <f>TrAvia_ene!Q$7</f>
        <v>704.73508841031912</v>
      </c>
      <c r="R44" s="102">
        <f>TrAvia_ene!R$7</f>
        <v>752.18919587013681</v>
      </c>
      <c r="S44" s="102">
        <f>TrAvia_ene!S$7</f>
        <v>648.34919739522468</v>
      </c>
      <c r="T44" s="102">
        <f>TrAvia_ene!T$7</f>
        <v>627.43702648481758</v>
      </c>
      <c r="U44" s="102">
        <f>TrAvia_ene!U$7</f>
        <v>707.28161063657785</v>
      </c>
      <c r="V44" s="102">
        <f>TrAvia_ene!V$7</f>
        <v>270.5382227616218</v>
      </c>
      <c r="W44" s="102">
        <f>TrAvia_ene!W$7</f>
        <v>222.26450866997845</v>
      </c>
      <c r="X44" s="102">
        <f>TrAvia_ene!X$7</f>
        <v>316.34392990452017</v>
      </c>
      <c r="Y44" s="102">
        <f>TrAvia_ene!Y$7</f>
        <v>344.25528348968425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1888.1435297592604</v>
      </c>
      <c r="C45" s="102">
        <f>TrAvia_ene!C$8</f>
        <v>1753.6244367780132</v>
      </c>
      <c r="D45" s="102">
        <f>TrAvia_ene!D$8</f>
        <v>1614.1770483270757</v>
      </c>
      <c r="E45" s="102">
        <f>TrAvia_ene!E$8</f>
        <v>1701.764237606561</v>
      </c>
      <c r="F45" s="102">
        <f>TrAvia_ene!F$8</f>
        <v>1800.7818541079732</v>
      </c>
      <c r="G45" s="102">
        <f>TrAvia_ene!G$8</f>
        <v>1934.2546866002958</v>
      </c>
      <c r="H45" s="102">
        <f>TrAvia_ene!H$8</f>
        <v>2068.6180904703338</v>
      </c>
      <c r="I45" s="102">
        <f>TrAvia_ene!I$8</f>
        <v>2189.1618724704736</v>
      </c>
      <c r="J45" s="102">
        <f>TrAvia_ene!J$8</f>
        <v>2172.3769998369044</v>
      </c>
      <c r="K45" s="102">
        <f>TrAvia_ene!K$8</f>
        <v>2063.64776653124</v>
      </c>
      <c r="L45" s="102">
        <f>TrAvia_ene!L$8</f>
        <v>1980.3653246005597</v>
      </c>
      <c r="M45" s="102">
        <f>TrAvia_ene!M$8</f>
        <v>1920.4376150438709</v>
      </c>
      <c r="N45" s="102">
        <f>TrAvia_ene!N$8</f>
        <v>2050.8434205182325</v>
      </c>
      <c r="O45" s="102">
        <f>TrAvia_ene!O$8</f>
        <v>2070.1326976366645</v>
      </c>
      <c r="P45" s="102">
        <f>TrAvia_ene!P$8</f>
        <v>2026.6955641111026</v>
      </c>
      <c r="Q45" s="102">
        <f>TrAvia_ene!Q$8</f>
        <v>2041.928267757253</v>
      </c>
      <c r="R45" s="102">
        <f>TrAvia_ene!R$8</f>
        <v>2327.3943139552971</v>
      </c>
      <c r="S45" s="102">
        <f>TrAvia_ene!S$8</f>
        <v>2620.6001184761694</v>
      </c>
      <c r="T45" s="102">
        <f>TrAvia_ene!T$8</f>
        <v>2670.8733911534277</v>
      </c>
      <c r="U45" s="102">
        <f>TrAvia_ene!U$8</f>
        <v>2574.9357296325461</v>
      </c>
      <c r="V45" s="102">
        <f>TrAvia_ene!V$8</f>
        <v>725.10554711341229</v>
      </c>
      <c r="W45" s="102">
        <f>TrAvia_ene!W$8</f>
        <v>1123.3337164861484</v>
      </c>
      <c r="X45" s="102">
        <f>TrAvia_ene!X$8</f>
        <v>2241.3142019413021</v>
      </c>
      <c r="Y45" s="102">
        <f>TrAvia_ene!Y$8</f>
        <v>2375.3761656671295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3894.1965945625761</v>
      </c>
      <c r="C46" s="102">
        <f>TrAvia_ene!C$9</f>
        <v>3816.1853030192246</v>
      </c>
      <c r="D46" s="102">
        <f>TrAvia_ene!D$9</f>
        <v>3902.6694675502195</v>
      </c>
      <c r="E46" s="102">
        <f>TrAvia_ene!E$9</f>
        <v>3745.3338386822506</v>
      </c>
      <c r="F46" s="102">
        <f>TrAvia_ene!F$9</f>
        <v>4130.1700162365178</v>
      </c>
      <c r="G46" s="102">
        <f>TrAvia_ene!G$9</f>
        <v>4389.2288245125901</v>
      </c>
      <c r="H46" s="102">
        <f>TrAvia_ene!H$9</f>
        <v>4540.6660999204214</v>
      </c>
      <c r="I46" s="102">
        <f>TrAvia_ene!I$9</f>
        <v>4672.902427709023</v>
      </c>
      <c r="J46" s="102">
        <f>TrAvia_ene!J$9</f>
        <v>4763.7446021951637</v>
      </c>
      <c r="K46" s="102">
        <f>TrAvia_ene!K$9</f>
        <v>4776.5296163320791</v>
      </c>
      <c r="L46" s="102">
        <f>TrAvia_ene!L$9</f>
        <v>4593.1543695032396</v>
      </c>
      <c r="M46" s="102">
        <f>TrAvia_ene!M$9</f>
        <v>4422.1131176154859</v>
      </c>
      <c r="N46" s="102">
        <f>TrAvia_ene!N$9</f>
        <v>4826.6613598845788</v>
      </c>
      <c r="O46" s="102">
        <f>TrAvia_ene!O$9</f>
        <v>4915.7218170023307</v>
      </c>
      <c r="P46" s="102">
        <f>TrAvia_ene!P$9</f>
        <v>4793.5408903173002</v>
      </c>
      <c r="Q46" s="102">
        <f>TrAvia_ene!Q$9</f>
        <v>4789.0647608468944</v>
      </c>
      <c r="R46" s="102">
        <f>TrAvia_ene!R$9</f>
        <v>5117.873894035688</v>
      </c>
      <c r="S46" s="102">
        <f>TrAvia_ene!S$9</f>
        <v>5548.2296661336331</v>
      </c>
      <c r="T46" s="102">
        <f>TrAvia_ene!T$9</f>
        <v>5746.4381634740876</v>
      </c>
      <c r="U46" s="102">
        <f>TrAvia_ene!U$9</f>
        <v>5848.8556648271115</v>
      </c>
      <c r="V46" s="102">
        <f>TrAvia_ene!V$9</f>
        <v>2122.4794568245638</v>
      </c>
      <c r="W46" s="102">
        <f>TrAvia_ene!W$9</f>
        <v>2818.7762879965489</v>
      </c>
      <c r="X46" s="102">
        <f>TrAvia_ene!X$9</f>
        <v>4664.9324617589355</v>
      </c>
      <c r="Y46" s="102">
        <f>TrAvia_ene!Y$9</f>
        <v>5179.3247296042509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17984.175871325322</v>
      </c>
      <c r="C47" s="28">
        <f t="shared" si="38"/>
        <v>17075.021666619894</v>
      </c>
      <c r="D47" s="28">
        <f t="shared" si="38"/>
        <v>16599.142268367086</v>
      </c>
      <c r="E47" s="28">
        <f t="shared" si="38"/>
        <v>15495.045114584615</v>
      </c>
      <c r="F47" s="28">
        <f t="shared" si="38"/>
        <v>15436.736703374976</v>
      </c>
      <c r="G47" s="28">
        <f t="shared" si="38"/>
        <v>15253.966470298299</v>
      </c>
      <c r="H47" s="28">
        <f t="shared" si="38"/>
        <v>17237.776308875993</v>
      </c>
      <c r="I47" s="28">
        <f t="shared" si="38"/>
        <v>17153.111596016784</v>
      </c>
      <c r="J47" s="28">
        <f t="shared" si="38"/>
        <v>16856.880789354265</v>
      </c>
      <c r="K47" s="28">
        <f t="shared" si="38"/>
        <v>15997.972021076281</v>
      </c>
      <c r="L47" s="28">
        <f t="shared" si="38"/>
        <v>17373.194861413533</v>
      </c>
      <c r="M47" s="28">
        <f t="shared" si="38"/>
        <v>17217.174167540485</v>
      </c>
      <c r="N47" s="28">
        <f t="shared" si="38"/>
        <v>17856.85117469402</v>
      </c>
      <c r="O47" s="28">
        <f t="shared" si="38"/>
        <v>17864.544189561959</v>
      </c>
      <c r="P47" s="28">
        <f t="shared" si="38"/>
        <v>18284.560912845245</v>
      </c>
      <c r="Q47" s="28">
        <f t="shared" si="38"/>
        <v>17190.190057531418</v>
      </c>
      <c r="R47" s="28">
        <f t="shared" ref="R47:V47" si="39">R48+R51+R52+R56</f>
        <v>17656.883571226408</v>
      </c>
      <c r="S47" s="28">
        <f t="shared" si="39"/>
        <v>18596.536334323155</v>
      </c>
      <c r="T47" s="28">
        <f t="shared" si="39"/>
        <v>18990.006781862117</v>
      </c>
      <c r="U47" s="28">
        <f t="shared" si="39"/>
        <v>18816.44843585986</v>
      </c>
      <c r="V47" s="28">
        <f t="shared" si="39"/>
        <v>19622.613636810285</v>
      </c>
      <c r="W47" s="28">
        <f t="shared" ref="W47:Y47" si="40">W48+W51+W52+W56</f>
        <v>19035.299577479702</v>
      </c>
      <c r="X47" s="28">
        <f t="shared" si="40"/>
        <v>18285.324623976645</v>
      </c>
      <c r="Y47" s="28">
        <f t="shared" si="40"/>
        <v>16550.129854065901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16318.869868924021</v>
      </c>
      <c r="C48" s="137">
        <f t="shared" si="41"/>
        <v>15425.540302724376</v>
      </c>
      <c r="D48" s="137">
        <f t="shared" si="41"/>
        <v>14945.181126719872</v>
      </c>
      <c r="E48" s="137">
        <f t="shared" si="41"/>
        <v>13926.434734965071</v>
      </c>
      <c r="F48" s="137">
        <f t="shared" si="41"/>
        <v>13754.949339602355</v>
      </c>
      <c r="G48" s="137">
        <f t="shared" si="41"/>
        <v>13394.579462911308</v>
      </c>
      <c r="H48" s="137">
        <f t="shared" si="41"/>
        <v>15284.409823451371</v>
      </c>
      <c r="I48" s="137">
        <f t="shared" si="41"/>
        <v>15124.947617158961</v>
      </c>
      <c r="J48" s="137">
        <f t="shared" si="41"/>
        <v>14840.222719074529</v>
      </c>
      <c r="K48" s="137">
        <f t="shared" si="41"/>
        <v>14118.526457560774</v>
      </c>
      <c r="L48" s="137">
        <f t="shared" si="41"/>
        <v>15325.852915082016</v>
      </c>
      <c r="M48" s="137">
        <f t="shared" si="41"/>
        <v>15170.721050588454</v>
      </c>
      <c r="N48" s="137">
        <f t="shared" si="41"/>
        <v>15853.087884148277</v>
      </c>
      <c r="O48" s="137">
        <f t="shared" si="41"/>
        <v>15808.472132586994</v>
      </c>
      <c r="P48" s="137">
        <f t="shared" si="41"/>
        <v>16383.404822603272</v>
      </c>
      <c r="Q48" s="137">
        <f t="shared" si="41"/>
        <v>15297.865443149825</v>
      </c>
      <c r="R48" s="137">
        <f t="shared" ref="R48:V48" si="42">R49+R50</f>
        <v>15789.058736798004</v>
      </c>
      <c r="S48" s="137">
        <f t="shared" si="42"/>
        <v>16570.549070362482</v>
      </c>
      <c r="T48" s="137">
        <f t="shared" si="42"/>
        <v>16897.312166601994</v>
      </c>
      <c r="U48" s="137">
        <f t="shared" si="42"/>
        <v>16828.323509820348</v>
      </c>
      <c r="V48" s="137">
        <f t="shared" si="42"/>
        <v>17234.474334143593</v>
      </c>
      <c r="W48" s="137">
        <f t="shared" ref="W48:Y48" si="43">W49+W50</f>
        <v>16126.92493835089</v>
      </c>
      <c r="X48" s="137">
        <f t="shared" si="43"/>
        <v>15613.559971839746</v>
      </c>
      <c r="Y48" s="137">
        <f t="shared" si="43"/>
        <v>14175.609504804917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3376.262553730292</v>
      </c>
      <c r="C49" s="102">
        <f>TrRoad_ene!C$43</f>
        <v>3446.9798164827403</v>
      </c>
      <c r="D49" s="102">
        <f>TrRoad_ene!D$43</f>
        <v>3425.5971681676792</v>
      </c>
      <c r="E49" s="102">
        <f>TrRoad_ene!E$43</f>
        <v>3519.1833682374318</v>
      </c>
      <c r="F49" s="102">
        <f>TrRoad_ene!F$43</f>
        <v>3400.5531790402169</v>
      </c>
      <c r="G49" s="102">
        <f>TrRoad_ene!G$43</f>
        <v>3420.8848575702909</v>
      </c>
      <c r="H49" s="102">
        <f>TrRoad_ene!H$43</f>
        <v>3361.9204872772789</v>
      </c>
      <c r="I49" s="102">
        <f>TrRoad_ene!I$43</f>
        <v>3291.4914892714519</v>
      </c>
      <c r="J49" s="102">
        <f>TrRoad_ene!J$43</f>
        <v>3204.2128735279125</v>
      </c>
      <c r="K49" s="102">
        <f>TrRoad_ene!K$43</f>
        <v>3232.7391950233759</v>
      </c>
      <c r="L49" s="102">
        <f>TrRoad_ene!L$43</f>
        <v>3135.2090382957581</v>
      </c>
      <c r="M49" s="102">
        <f>TrRoad_ene!M$43</f>
        <v>3192.8263414915946</v>
      </c>
      <c r="N49" s="102">
        <f>TrRoad_ene!N$43</f>
        <v>3113.0902087198956</v>
      </c>
      <c r="O49" s="102">
        <f>TrRoad_ene!O$43</f>
        <v>3259.2399970072993</v>
      </c>
      <c r="P49" s="102">
        <f>TrRoad_ene!P$43</f>
        <v>3391.6355618806519</v>
      </c>
      <c r="Q49" s="102">
        <f>TrRoad_ene!Q$43</f>
        <v>3813.1110233292243</v>
      </c>
      <c r="R49" s="102">
        <f>TrRoad_ene!R$43</f>
        <v>4044.1567771979089</v>
      </c>
      <c r="S49" s="102">
        <f>TrRoad_ene!S$43</f>
        <v>4106.9081481127487</v>
      </c>
      <c r="T49" s="102">
        <f>TrRoad_ene!T$43</f>
        <v>3906.6809772249162</v>
      </c>
      <c r="U49" s="102">
        <f>TrRoad_ene!U$43</f>
        <v>4136.9861097564581</v>
      </c>
      <c r="V49" s="102">
        <f>TrRoad_ene!V$43</f>
        <v>3897.9612168325702</v>
      </c>
      <c r="W49" s="102">
        <f>TrRoad_ene!W$43</f>
        <v>4089.294884816848</v>
      </c>
      <c r="X49" s="102">
        <f>TrRoad_ene!X$43</f>
        <v>4237.5961869976627</v>
      </c>
      <c r="Y49" s="102">
        <f>TrRoad_ene!Y$43</f>
        <v>4343.0051375318226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12942.607315193729</v>
      </c>
      <c r="C50" s="102">
        <f>TrRoad_ene!C$52</f>
        <v>11978.560486241635</v>
      </c>
      <c r="D50" s="102">
        <f>TrRoad_ene!D$52</f>
        <v>11519.583958552194</v>
      </c>
      <c r="E50" s="102">
        <f>TrRoad_ene!E$52</f>
        <v>10407.25136672764</v>
      </c>
      <c r="F50" s="102">
        <f>TrRoad_ene!F$52</f>
        <v>10354.396160562139</v>
      </c>
      <c r="G50" s="102">
        <f>TrRoad_ene!G$52</f>
        <v>9973.6946053410174</v>
      </c>
      <c r="H50" s="102">
        <f>TrRoad_ene!H$52</f>
        <v>11922.489336174092</v>
      </c>
      <c r="I50" s="102">
        <f>TrRoad_ene!I$52</f>
        <v>11833.45612788751</v>
      </c>
      <c r="J50" s="102">
        <f>TrRoad_ene!J$52</f>
        <v>11636.009845546616</v>
      </c>
      <c r="K50" s="102">
        <f>TrRoad_ene!K$52</f>
        <v>10885.787262537398</v>
      </c>
      <c r="L50" s="102">
        <f>TrRoad_ene!L$52</f>
        <v>12190.643876786258</v>
      </c>
      <c r="M50" s="102">
        <f>TrRoad_ene!M$52</f>
        <v>11977.89470909686</v>
      </c>
      <c r="N50" s="102">
        <f>TrRoad_ene!N$52</f>
        <v>12739.997675428382</v>
      </c>
      <c r="O50" s="102">
        <f>TrRoad_ene!O$52</f>
        <v>12549.232135579694</v>
      </c>
      <c r="P50" s="102">
        <f>TrRoad_ene!P$52</f>
        <v>12991.76926072262</v>
      </c>
      <c r="Q50" s="102">
        <f>TrRoad_ene!Q$52</f>
        <v>11484.754419820601</v>
      </c>
      <c r="R50" s="102">
        <f>TrRoad_ene!R$52</f>
        <v>11744.901959600094</v>
      </c>
      <c r="S50" s="102">
        <f>TrRoad_ene!S$52</f>
        <v>12463.640922249731</v>
      </c>
      <c r="T50" s="102">
        <f>TrRoad_ene!T$52</f>
        <v>12990.63118937708</v>
      </c>
      <c r="U50" s="102">
        <f>TrRoad_ene!U$52</f>
        <v>12691.337400063891</v>
      </c>
      <c r="V50" s="102">
        <f>TrRoad_ene!V$52</f>
        <v>13336.513117311022</v>
      </c>
      <c r="W50" s="102">
        <f>TrRoad_ene!W$52</f>
        <v>12037.630053534042</v>
      </c>
      <c r="X50" s="102">
        <f>TrRoad_ene!X$52</f>
        <v>11375.963784842083</v>
      </c>
      <c r="Y50" s="102">
        <f>TrRoad_ene!Y$52</f>
        <v>9832.6043672730957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491.33440518475186</v>
      </c>
      <c r="C51" s="110">
        <f>TrRail_ene!C$17</f>
        <v>562.17426179089819</v>
      </c>
      <c r="D51" s="110">
        <f>TrRail_ene!D$17</f>
        <v>565.32012927561163</v>
      </c>
      <c r="E51" s="110">
        <f>TrRail_ene!E$17</f>
        <v>429.16955979075857</v>
      </c>
      <c r="F51" s="110">
        <f>TrRail_ene!F$17</f>
        <v>417.09693398086677</v>
      </c>
      <c r="G51" s="110">
        <f>TrRail_ene!G$17</f>
        <v>388.70173911663238</v>
      </c>
      <c r="H51" s="110">
        <f>TrRail_ene!H$17</f>
        <v>417.51809421710152</v>
      </c>
      <c r="I51" s="110">
        <f>TrRail_ene!I$17</f>
        <v>420.39056369954608</v>
      </c>
      <c r="J51" s="110">
        <f>TrRail_ene!J$17</f>
        <v>347.39683868784766</v>
      </c>
      <c r="K51" s="110">
        <f>TrRail_ene!K$17</f>
        <v>350.66187897460696</v>
      </c>
      <c r="L51" s="110">
        <f>TrRail_ene!L$17</f>
        <v>368.12999695055612</v>
      </c>
      <c r="M51" s="110">
        <f>TrRail_ene!M$17</f>
        <v>403.46735477935903</v>
      </c>
      <c r="N51" s="110">
        <f>TrRail_ene!N$17</f>
        <v>401.42456311847997</v>
      </c>
      <c r="O51" s="110">
        <f>TrRail_ene!O$17</f>
        <v>399.66399993738293</v>
      </c>
      <c r="P51" s="110">
        <f>TrRail_ene!P$17</f>
        <v>391.90837337864809</v>
      </c>
      <c r="Q51" s="110">
        <f>TrRail_ene!Q$17</f>
        <v>368.45410714842444</v>
      </c>
      <c r="R51" s="110">
        <f>TrRail_ene!R$17</f>
        <v>402.55575505650711</v>
      </c>
      <c r="S51" s="110">
        <f>TrRail_ene!S$17</f>
        <v>398.75257442657607</v>
      </c>
      <c r="T51" s="110">
        <f>TrRail_ene!T$17</f>
        <v>405.83648957967637</v>
      </c>
      <c r="U51" s="110">
        <f>TrRail_ene!U$17</f>
        <v>373.28090620023977</v>
      </c>
      <c r="V51" s="110">
        <f>TrRail_ene!V$17</f>
        <v>385.88333762080424</v>
      </c>
      <c r="W51" s="110">
        <f>TrRail_ene!W$17</f>
        <v>435.77735520495855</v>
      </c>
      <c r="X51" s="110">
        <f>TrRail_ene!X$17</f>
        <v>373.89901186375539</v>
      </c>
      <c r="Y51" s="110">
        <f>TrRail_ene!Y$17</f>
        <v>345.0483250985771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890.50925843752884</v>
      </c>
      <c r="C52" s="110">
        <f t="shared" si="44"/>
        <v>814.11518464976393</v>
      </c>
      <c r="D52" s="110">
        <f t="shared" si="44"/>
        <v>850.36835544984797</v>
      </c>
      <c r="E52" s="110">
        <f t="shared" si="44"/>
        <v>891.60298663875949</v>
      </c>
      <c r="F52" s="110">
        <f t="shared" si="44"/>
        <v>985.10470322253582</v>
      </c>
      <c r="G52" s="110">
        <f t="shared" si="44"/>
        <v>1148.0938667226376</v>
      </c>
      <c r="H52" s="110">
        <f t="shared" si="44"/>
        <v>1260.339878739765</v>
      </c>
      <c r="I52" s="110">
        <f t="shared" si="44"/>
        <v>1314.7443523895745</v>
      </c>
      <c r="J52" s="110">
        <f t="shared" si="44"/>
        <v>1369.1510854182029</v>
      </c>
      <c r="K52" s="110">
        <f t="shared" si="44"/>
        <v>1242.9466252115803</v>
      </c>
      <c r="L52" s="110">
        <f t="shared" si="44"/>
        <v>1401.5644859243814</v>
      </c>
      <c r="M52" s="110">
        <f t="shared" si="44"/>
        <v>1335.5839564976936</v>
      </c>
      <c r="N52" s="110">
        <f t="shared" si="44"/>
        <v>1312.3766466018114</v>
      </c>
      <c r="O52" s="110">
        <f t="shared" si="44"/>
        <v>1366.4459762121303</v>
      </c>
      <c r="P52" s="110">
        <f t="shared" si="44"/>
        <v>1204.9036927876575</v>
      </c>
      <c r="Q52" s="110">
        <f t="shared" si="44"/>
        <v>1204.8208941635191</v>
      </c>
      <c r="R52" s="110">
        <f t="shared" si="44"/>
        <v>1196.2647801457574</v>
      </c>
      <c r="S52" s="110">
        <f t="shared" si="44"/>
        <v>1383.1067445641888</v>
      </c>
      <c r="T52" s="110">
        <f t="shared" si="44"/>
        <v>1431.5302666950615</v>
      </c>
      <c r="U52" s="110">
        <f t="shared" si="44"/>
        <v>1344.1664617997212</v>
      </c>
      <c r="V52" s="110">
        <f t="shared" si="44"/>
        <v>1731.5657672814839</v>
      </c>
      <c r="W52" s="110">
        <f t="shared" ref="W52:Y52" si="45">W53+W54+W55</f>
        <v>2105.2171463486143</v>
      </c>
      <c r="X52" s="110">
        <f t="shared" si="45"/>
        <v>2061.6470676162212</v>
      </c>
      <c r="Y52" s="110">
        <f t="shared" si="45"/>
        <v>1794.1684987969729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51.740182415429118</v>
      </c>
      <c r="C53" s="102">
        <f>TrAvia_ene!C$11</f>
        <v>48.26284362155107</v>
      </c>
      <c r="D53" s="102">
        <f>TrAvia_ene!D$11</f>
        <v>42.085894542966166</v>
      </c>
      <c r="E53" s="102">
        <f>TrAvia_ene!E$11</f>
        <v>31.354201362652674</v>
      </c>
      <c r="F53" s="102">
        <f>TrAvia_ene!F$11</f>
        <v>30.110227909245111</v>
      </c>
      <c r="G53" s="102">
        <f>TrAvia_ene!G$11</f>
        <v>27.476861928386338</v>
      </c>
      <c r="H53" s="102">
        <f>TrAvia_ene!H$11</f>
        <v>29.908763885465724</v>
      </c>
      <c r="I53" s="102">
        <f>TrAvia_ene!I$11</f>
        <v>29.39300338592502</v>
      </c>
      <c r="J53" s="102">
        <f>TrAvia_ene!J$11</f>
        <v>37.230297080538563</v>
      </c>
      <c r="K53" s="102">
        <f>TrAvia_ene!K$11</f>
        <v>32.823062245148535</v>
      </c>
      <c r="L53" s="102">
        <f>TrAvia_ene!L$11</f>
        <v>29.053827491637801</v>
      </c>
      <c r="M53" s="102">
        <f>TrAvia_ene!M$11</f>
        <v>22.426262673820119</v>
      </c>
      <c r="N53" s="102">
        <f>TrAvia_ene!N$11</f>
        <v>22.020549962488911</v>
      </c>
      <c r="O53" s="102">
        <f>TrAvia_ene!O$11</f>
        <v>20.8779629061554</v>
      </c>
      <c r="P53" s="102">
        <f>TrAvia_ene!P$11</f>
        <v>24.930001042372229</v>
      </c>
      <c r="Q53" s="102">
        <f>TrAvia_ene!Q$11</f>
        <v>25.381162664487434</v>
      </c>
      <c r="R53" s="102">
        <f>TrAvia_ene!R$11</f>
        <v>24.899798110946445</v>
      </c>
      <c r="S53" s="102">
        <f>TrAvia_ene!S$11</f>
        <v>25.491473284052951</v>
      </c>
      <c r="T53" s="102">
        <f>TrAvia_ene!T$11</f>
        <v>23.896765432637114</v>
      </c>
      <c r="U53" s="102">
        <f>TrAvia_ene!U$11</f>
        <v>23.771355829458155</v>
      </c>
      <c r="V53" s="102">
        <f>TrAvia_ene!V$11</f>
        <v>26.002791855747176</v>
      </c>
      <c r="W53" s="102">
        <f>TrAvia_ene!W$11</f>
        <v>29.2799453283018</v>
      </c>
      <c r="X53" s="102">
        <f>TrAvia_ene!X$11</f>
        <v>24.13715350046694</v>
      </c>
      <c r="Y53" s="102">
        <f>TrAvia_ene!Y$11</f>
        <v>22.787450818140272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71.183750352394441</v>
      </c>
      <c r="C54" s="102">
        <f>TrAvia_ene!C$12</f>
        <v>66.709969949813058</v>
      </c>
      <c r="D54" s="102">
        <f>TrAvia_ene!D$12</f>
        <v>66.980411408629493</v>
      </c>
      <c r="E54" s="102">
        <f>TrAvia_ene!E$12</f>
        <v>65.044007001014393</v>
      </c>
      <c r="F54" s="102">
        <f>TrAvia_ene!F$12</f>
        <v>76.134613678246708</v>
      </c>
      <c r="G54" s="102">
        <f>TrAvia_ene!G$12</f>
        <v>85.200340472935139</v>
      </c>
      <c r="H54" s="102">
        <f>TrAvia_ene!H$12</f>
        <v>99.896578502785829</v>
      </c>
      <c r="I54" s="102">
        <f>TrAvia_ene!I$12</f>
        <v>112.18376241019003</v>
      </c>
      <c r="J54" s="102">
        <f>TrAvia_ene!J$12</f>
        <v>128.25729822351022</v>
      </c>
      <c r="K54" s="102">
        <f>TrAvia_ene!K$12</f>
        <v>132.10011846230225</v>
      </c>
      <c r="L54" s="102">
        <f>TrAvia_ene!L$12</f>
        <v>133.16517186609397</v>
      </c>
      <c r="M54" s="102">
        <f>TrAvia_ene!M$12</f>
        <v>120.92678356999049</v>
      </c>
      <c r="N54" s="102">
        <f>TrAvia_ene!N$12</f>
        <v>126.24716185265069</v>
      </c>
      <c r="O54" s="102">
        <f>TrAvia_ene!O$12</f>
        <v>128.17081221063796</v>
      </c>
      <c r="P54" s="102">
        <f>TrAvia_ene!P$12</f>
        <v>114.77503097518064</v>
      </c>
      <c r="Q54" s="102">
        <f>TrAvia_ene!Q$12</f>
        <v>116.0797542423535</v>
      </c>
      <c r="R54" s="102">
        <f>TrAvia_ene!R$12</f>
        <v>116.8766814851012</v>
      </c>
      <c r="S54" s="102">
        <f>TrAvia_ene!S$12</f>
        <v>143.81678843916268</v>
      </c>
      <c r="T54" s="102">
        <f>TrAvia_ene!T$12</f>
        <v>145.36070484863322</v>
      </c>
      <c r="U54" s="102">
        <f>TrAvia_ene!U$12</f>
        <v>140.68312626020165</v>
      </c>
      <c r="V54" s="102">
        <f>TrAvia_ene!V$12</f>
        <v>113.33165842167269</v>
      </c>
      <c r="W54" s="102">
        <f>TrAvia_ene!W$12</f>
        <v>169.02423742499278</v>
      </c>
      <c r="X54" s="102">
        <f>TrAvia_ene!X$12</f>
        <v>197.61296767521773</v>
      </c>
      <c r="Y54" s="102">
        <f>TrAvia_ene!Y$12</f>
        <v>182.3217356245548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767.5853256697053</v>
      </c>
      <c r="C55" s="102">
        <f>TrAvia_ene!C$13</f>
        <v>699.14237107839983</v>
      </c>
      <c r="D55" s="102">
        <f>TrAvia_ene!D$13</f>
        <v>741.30204949825236</v>
      </c>
      <c r="E55" s="102">
        <f>TrAvia_ene!E$13</f>
        <v>795.20477827509239</v>
      </c>
      <c r="F55" s="102">
        <f>TrAvia_ene!F$13</f>
        <v>878.85986163504401</v>
      </c>
      <c r="G55" s="102">
        <f>TrAvia_ene!G$13</f>
        <v>1035.4166643213161</v>
      </c>
      <c r="H55" s="102">
        <f>TrAvia_ene!H$13</f>
        <v>1130.5345363515135</v>
      </c>
      <c r="I55" s="102">
        <f>TrAvia_ene!I$13</f>
        <v>1173.1675865934594</v>
      </c>
      <c r="J55" s="102">
        <f>TrAvia_ene!J$13</f>
        <v>1203.663490114154</v>
      </c>
      <c r="K55" s="102">
        <f>TrAvia_ene!K$13</f>
        <v>1078.0234445041294</v>
      </c>
      <c r="L55" s="102">
        <f>TrAvia_ene!L$13</f>
        <v>1239.3454865666497</v>
      </c>
      <c r="M55" s="102">
        <f>TrAvia_ene!M$13</f>
        <v>1192.2309102538829</v>
      </c>
      <c r="N55" s="102">
        <f>TrAvia_ene!N$13</f>
        <v>1164.1089347866719</v>
      </c>
      <c r="O55" s="102">
        <f>TrAvia_ene!O$13</f>
        <v>1217.3972010953369</v>
      </c>
      <c r="P55" s="102">
        <f>TrAvia_ene!P$13</f>
        <v>1065.1986607701047</v>
      </c>
      <c r="Q55" s="102">
        <f>TrAvia_ene!Q$13</f>
        <v>1063.3599772566781</v>
      </c>
      <c r="R55" s="102">
        <f>TrAvia_ene!R$13</f>
        <v>1054.4883005497097</v>
      </c>
      <c r="S55" s="102">
        <f>TrAvia_ene!S$13</f>
        <v>1213.7984828409733</v>
      </c>
      <c r="T55" s="102">
        <f>TrAvia_ene!T$13</f>
        <v>1262.2727964137912</v>
      </c>
      <c r="U55" s="102">
        <f>TrAvia_ene!U$13</f>
        <v>1179.7119797100615</v>
      </c>
      <c r="V55" s="102">
        <f>TrAvia_ene!V$13</f>
        <v>1592.2313170040641</v>
      </c>
      <c r="W55" s="102">
        <f>TrAvia_ene!W$13</f>
        <v>1906.9129635953198</v>
      </c>
      <c r="X55" s="102">
        <f>TrAvia_ene!X$13</f>
        <v>1839.8969464405366</v>
      </c>
      <c r="Y55" s="102">
        <f>TrAvia_ene!Y$13</f>
        <v>1589.0593123542778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283.46233877901977</v>
      </c>
      <c r="C56" s="110">
        <f t="shared" si="46"/>
        <v>273.19191745485819</v>
      </c>
      <c r="D56" s="110">
        <f t="shared" si="46"/>
        <v>238.27265692175399</v>
      </c>
      <c r="E56" s="110">
        <f t="shared" si="46"/>
        <v>247.83783319002583</v>
      </c>
      <c r="F56" s="110">
        <f t="shared" si="46"/>
        <v>279.58572656921751</v>
      </c>
      <c r="G56" s="110">
        <f t="shared" si="46"/>
        <v>322.59140154772132</v>
      </c>
      <c r="H56" s="110">
        <f t="shared" si="46"/>
        <v>275.50851246775579</v>
      </c>
      <c r="I56" s="110">
        <f t="shared" si="46"/>
        <v>293.02906276870158</v>
      </c>
      <c r="J56" s="110">
        <f t="shared" si="46"/>
        <v>300.11014617368869</v>
      </c>
      <c r="K56" s="110">
        <f t="shared" si="46"/>
        <v>285.83705932932071</v>
      </c>
      <c r="L56" s="110">
        <f t="shared" si="46"/>
        <v>277.64746345657778</v>
      </c>
      <c r="M56" s="110">
        <f t="shared" si="46"/>
        <v>307.4018056749785</v>
      </c>
      <c r="N56" s="110">
        <f t="shared" si="46"/>
        <v>289.96208082545138</v>
      </c>
      <c r="O56" s="110">
        <f t="shared" si="46"/>
        <v>289.96208082545144</v>
      </c>
      <c r="P56" s="110">
        <f t="shared" si="46"/>
        <v>304.34402407566643</v>
      </c>
      <c r="Q56" s="110">
        <f t="shared" si="46"/>
        <v>319.04961306964742</v>
      </c>
      <c r="R56" s="110">
        <f t="shared" ref="R56:V56" si="47">R57+R58</f>
        <v>269.00429922613932</v>
      </c>
      <c r="S56" s="110">
        <f t="shared" si="47"/>
        <v>244.12794496990537</v>
      </c>
      <c r="T56" s="110">
        <f t="shared" si="47"/>
        <v>255.32785898538259</v>
      </c>
      <c r="U56" s="110">
        <f t="shared" si="47"/>
        <v>270.67755803955288</v>
      </c>
      <c r="V56" s="110">
        <f t="shared" si="47"/>
        <v>270.6901977644024</v>
      </c>
      <c r="W56" s="110">
        <f t="shared" ref="W56:Y56" si="48">W57+W58</f>
        <v>367.38013757523652</v>
      </c>
      <c r="X56" s="110">
        <f t="shared" si="48"/>
        <v>236.21857265692182</v>
      </c>
      <c r="Y56" s="110">
        <f t="shared" si="48"/>
        <v>235.30352536543421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12.050494197899095</v>
      </c>
      <c r="C57" s="102">
        <f>TrNavi_ene!C4</f>
        <v>9.9466272554582691</v>
      </c>
      <c r="D57" s="102">
        <f>TrNavi_ene!D4</f>
        <v>10.723221157133802</v>
      </c>
      <c r="E57" s="102">
        <f>TrNavi_ene!E4</f>
        <v>7.8000855765544035</v>
      </c>
      <c r="F57" s="102">
        <f>TrNavi_ene!F4</f>
        <v>7.4745770980958826</v>
      </c>
      <c r="G57" s="102">
        <f>TrNavi_ene!G4</f>
        <v>7.0683616019016586</v>
      </c>
      <c r="H57" s="102">
        <f>TrNavi_ene!H4</f>
        <v>8.8313181829211302</v>
      </c>
      <c r="I57" s="102">
        <f>TrNavi_ene!I4</f>
        <v>10.315213308568438</v>
      </c>
      <c r="J57" s="102">
        <f>TrNavi_ene!J4</f>
        <v>10.571095543001061</v>
      </c>
      <c r="K57" s="102">
        <f>TrNavi_ene!K4</f>
        <v>8.1427784169394393</v>
      </c>
      <c r="L57" s="102">
        <f>TrNavi_ene!L4</f>
        <v>7.8253110805357506</v>
      </c>
      <c r="M57" s="102">
        <f>TrNavi_ene!M4</f>
        <v>9.2028757508992705</v>
      </c>
      <c r="N57" s="102">
        <f>TrNavi_ene!N4</f>
        <v>10.469785564389319</v>
      </c>
      <c r="O57" s="102">
        <f>TrNavi_ene!O4</f>
        <v>11.778482835622444</v>
      </c>
      <c r="P57" s="102">
        <f>TrNavi_ene!P4</f>
        <v>11.566280542790793</v>
      </c>
      <c r="Q57" s="102">
        <f>TrNavi_ene!Q4</f>
        <v>8.1130849415392259</v>
      </c>
      <c r="R57" s="102">
        <f>TrNavi_ene!R4</f>
        <v>8.1612729079351798</v>
      </c>
      <c r="S57" s="102">
        <f>TrNavi_ene!S4</f>
        <v>10.446756928448037</v>
      </c>
      <c r="T57" s="102">
        <f>TrNavi_ene!T4</f>
        <v>9.520350514650719</v>
      </c>
      <c r="U57" s="102">
        <f>TrNavi_ene!U4</f>
        <v>8.4947390577057114</v>
      </c>
      <c r="V57" s="102">
        <f>TrNavi_ene!V4</f>
        <v>9.4387373099300937</v>
      </c>
      <c r="W57" s="102">
        <f>TrNavi_ene!W4</f>
        <v>8.2493191204151994</v>
      </c>
      <c r="X57" s="102">
        <f>TrNavi_ene!X4</f>
        <v>5.401222394339972</v>
      </c>
      <c r="Y57" s="102">
        <f>TrNavi_ene!Y4</f>
        <v>6.6988647785557189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271.4118445811207</v>
      </c>
      <c r="C58" s="169">
        <f>TrNavi_ene!C10</f>
        <v>263.2452901993999</v>
      </c>
      <c r="D58" s="169">
        <f>TrNavi_ene!D10</f>
        <v>227.5494357646202</v>
      </c>
      <c r="E58" s="169">
        <f>TrNavi_ene!E10</f>
        <v>240.03774761347142</v>
      </c>
      <c r="F58" s="169">
        <f>TrNavi_ene!F10</f>
        <v>272.11114947112162</v>
      </c>
      <c r="G58" s="169">
        <f>TrNavi_ene!G10</f>
        <v>315.52303994581968</v>
      </c>
      <c r="H58" s="169">
        <f>TrNavi_ene!H10</f>
        <v>266.67719428483468</v>
      </c>
      <c r="I58" s="169">
        <f>TrNavi_ene!I10</f>
        <v>282.71384946013313</v>
      </c>
      <c r="J58" s="169">
        <f>TrNavi_ene!J10</f>
        <v>289.53905063068765</v>
      </c>
      <c r="K58" s="169">
        <f>TrNavi_ene!K10</f>
        <v>277.69428091238126</v>
      </c>
      <c r="L58" s="169">
        <f>TrNavi_ene!L10</f>
        <v>269.82215237604203</v>
      </c>
      <c r="M58" s="169">
        <f>TrNavi_ene!M10</f>
        <v>298.19892992407921</v>
      </c>
      <c r="N58" s="169">
        <f>TrNavi_ene!N10</f>
        <v>279.49229526106205</v>
      </c>
      <c r="O58" s="169">
        <f>TrNavi_ene!O10</f>
        <v>278.18359798982897</v>
      </c>
      <c r="P58" s="169">
        <f>TrNavi_ene!P10</f>
        <v>292.77774353287566</v>
      </c>
      <c r="Q58" s="169">
        <f>TrNavi_ene!Q10</f>
        <v>310.93652812810819</v>
      </c>
      <c r="R58" s="169">
        <f>TrNavi_ene!R10</f>
        <v>260.84302631820412</v>
      </c>
      <c r="S58" s="169">
        <f>TrNavi_ene!S10</f>
        <v>233.68118804145735</v>
      </c>
      <c r="T58" s="169">
        <f>TrNavi_ene!T10</f>
        <v>245.80750847073188</v>
      </c>
      <c r="U58" s="169">
        <f>TrNavi_ene!U10</f>
        <v>262.18281898184716</v>
      </c>
      <c r="V58" s="169">
        <f>TrNavi_ene!V10</f>
        <v>261.25146045447229</v>
      </c>
      <c r="W58" s="169">
        <f>TrNavi_ene!W10</f>
        <v>359.13081845482134</v>
      </c>
      <c r="X58" s="169">
        <f>TrNavi_ene!X10</f>
        <v>230.81735026258184</v>
      </c>
      <c r="Y58" s="169">
        <f>TrNavi_ene!Y10</f>
        <v>228.60466058687848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2199.1306104901114</v>
      </c>
      <c r="C59" s="28">
        <f t="shared" ref="C59:W59" si="49">C60+C61</f>
        <v>2228.3462596732584</v>
      </c>
      <c r="D59" s="28">
        <f t="shared" si="49"/>
        <v>2388.8315563198621</v>
      </c>
      <c r="E59" s="28">
        <f t="shared" si="49"/>
        <v>2604.4023215821153</v>
      </c>
      <c r="F59" s="28">
        <f t="shared" si="49"/>
        <v>2659.9273430782459</v>
      </c>
      <c r="G59" s="28">
        <f t="shared" si="49"/>
        <v>2490.2224419604472</v>
      </c>
      <c r="H59" s="28">
        <f t="shared" si="49"/>
        <v>2576.4466895958722</v>
      </c>
      <c r="I59" s="28">
        <f t="shared" si="49"/>
        <v>3069.5150472914879</v>
      </c>
      <c r="J59" s="28">
        <f t="shared" si="49"/>
        <v>2973.0214101461734</v>
      </c>
      <c r="K59" s="28">
        <f t="shared" si="49"/>
        <v>2724.4957007738603</v>
      </c>
      <c r="L59" s="28">
        <f t="shared" si="49"/>
        <v>2774.0914875322437</v>
      </c>
      <c r="M59" s="28">
        <f t="shared" si="49"/>
        <v>2719.7284608770415</v>
      </c>
      <c r="N59" s="28">
        <f t="shared" si="49"/>
        <v>2538.7612209802228</v>
      </c>
      <c r="O59" s="28">
        <f t="shared" si="49"/>
        <v>2295.5445399828022</v>
      </c>
      <c r="P59" s="28">
        <f t="shared" si="49"/>
        <v>2307.9137575236455</v>
      </c>
      <c r="Q59" s="28">
        <f t="shared" si="49"/>
        <v>2422.5011177987958</v>
      </c>
      <c r="R59" s="28">
        <f t="shared" si="49"/>
        <v>2818.0693895098889</v>
      </c>
      <c r="S59" s="28">
        <f t="shared" si="49"/>
        <v>2289.1234737747209</v>
      </c>
      <c r="T59" s="28">
        <f t="shared" si="49"/>
        <v>1697.9214101461735</v>
      </c>
      <c r="U59" s="28">
        <f t="shared" si="49"/>
        <v>1367.5262252794496</v>
      </c>
      <c r="V59" s="28">
        <f t="shared" si="49"/>
        <v>1325.0147033533963</v>
      </c>
      <c r="W59" s="28">
        <f t="shared" si="49"/>
        <v>1405.8716251074804</v>
      </c>
      <c r="X59" s="28">
        <f t="shared" ref="X59:Y59" si="50">X60+X61</f>
        <v>1475.1079965606186</v>
      </c>
      <c r="Y59" s="28">
        <f t="shared" si="50"/>
        <v>1305.1053310404125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776.6762847624027</v>
      </c>
      <c r="C60" s="102">
        <f>MBunk_ene!C$4</f>
        <v>783.92987617222161</v>
      </c>
      <c r="D60" s="102">
        <f>MBunk_ene!D$4</f>
        <v>814.14838388077146</v>
      </c>
      <c r="E60" s="102">
        <f>MBunk_ene!E$4</f>
        <v>873.28655760335391</v>
      </c>
      <c r="F60" s="102">
        <f>MBunk_ene!F$4</f>
        <v>900.00415605119622</v>
      </c>
      <c r="G60" s="102">
        <f>MBunk_ene!G$4</f>
        <v>790.10435218500356</v>
      </c>
      <c r="H60" s="102">
        <f>MBunk_ene!H$4</f>
        <v>784.62254909172134</v>
      </c>
      <c r="I60" s="102">
        <f>MBunk_ene!I$4</f>
        <v>917.31097876465117</v>
      </c>
      <c r="J60" s="102">
        <f>MBunk_ene!J$4</f>
        <v>847.67148641095707</v>
      </c>
      <c r="K60" s="102">
        <f>MBunk_ene!K$4</f>
        <v>757.60688418120196</v>
      </c>
      <c r="L60" s="102">
        <f>MBunk_ene!L$4</f>
        <v>753.35217835863216</v>
      </c>
      <c r="M60" s="102">
        <f>MBunk_ene!M$4</f>
        <v>738.47606403158738</v>
      </c>
      <c r="N60" s="102">
        <f>MBunk_ene!N$4</f>
        <v>690.38137629797745</v>
      </c>
      <c r="O60" s="102">
        <f>MBunk_ene!O$4</f>
        <v>620.88783220382697</v>
      </c>
      <c r="P60" s="102">
        <f>MBunk_ene!P$4</f>
        <v>624.7998450361938</v>
      </c>
      <c r="Q60" s="102">
        <f>MBunk_ene!Q$4</f>
        <v>674.8790671850453</v>
      </c>
      <c r="R60" s="102">
        <f>MBunk_ene!R$4</f>
        <v>808.68494139469101</v>
      </c>
      <c r="S60" s="102">
        <f>MBunk_ene!S$4</f>
        <v>661.31895224032723</v>
      </c>
      <c r="T60" s="102">
        <f>MBunk_ene!T$4</f>
        <v>504.94008130503209</v>
      </c>
      <c r="U60" s="102">
        <f>MBunk_ene!U$4</f>
        <v>398.37368675125833</v>
      </c>
      <c r="V60" s="102">
        <f>MBunk_ene!V$4</f>
        <v>331.9158105838759</v>
      </c>
      <c r="W60" s="102">
        <f>MBunk_ene!W$4</f>
        <v>384.91253000581816</v>
      </c>
      <c r="X60" s="102">
        <f>MBunk_ene!X$4</f>
        <v>431.12475089178099</v>
      </c>
      <c r="Y60" s="102">
        <f>MBunk_ene!Y$4</f>
        <v>405.53715554364652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1422.4543257277087</v>
      </c>
      <c r="C61" s="86">
        <f>MBunk_ene!C$10</f>
        <v>1444.4163835010368</v>
      </c>
      <c r="D61" s="86">
        <f>MBunk_ene!D$10</f>
        <v>1574.6831724390906</v>
      </c>
      <c r="E61" s="86">
        <f>MBunk_ene!E$10</f>
        <v>1731.1157639787616</v>
      </c>
      <c r="F61" s="86">
        <f>MBunk_ene!F$10</f>
        <v>1759.9231870270498</v>
      </c>
      <c r="G61" s="86">
        <f>MBunk_ene!G$10</f>
        <v>1700.1180897754434</v>
      </c>
      <c r="H61" s="86">
        <f>MBunk_ene!H$10</f>
        <v>1791.8241405041508</v>
      </c>
      <c r="I61" s="86">
        <f>MBunk_ene!I$10</f>
        <v>2152.2040685268366</v>
      </c>
      <c r="J61" s="86">
        <f>MBunk_ene!J$10</f>
        <v>2125.3499237352162</v>
      </c>
      <c r="K61" s="86">
        <f>MBunk_ene!K$10</f>
        <v>1966.8888165926583</v>
      </c>
      <c r="L61" s="86">
        <f>MBunk_ene!L$10</f>
        <v>2020.7393091736114</v>
      </c>
      <c r="M61" s="86">
        <f>MBunk_ene!M$10</f>
        <v>1981.2523968454539</v>
      </c>
      <c r="N61" s="86">
        <f>MBunk_ene!N$10</f>
        <v>1848.3798446822454</v>
      </c>
      <c r="O61" s="86">
        <f>MBunk_ene!O$10</f>
        <v>1674.6567077789755</v>
      </c>
      <c r="P61" s="86">
        <f>MBunk_ene!P$10</f>
        <v>1683.1139124874517</v>
      </c>
      <c r="Q61" s="86">
        <f>MBunk_ene!Q$10</f>
        <v>1747.6220506137506</v>
      </c>
      <c r="R61" s="86">
        <f>MBunk_ene!R$10</f>
        <v>2009.3844481151978</v>
      </c>
      <c r="S61" s="86">
        <f>MBunk_ene!S$10</f>
        <v>1627.8045215343934</v>
      </c>
      <c r="T61" s="86">
        <f>MBunk_ene!T$10</f>
        <v>1192.9813288411415</v>
      </c>
      <c r="U61" s="86">
        <f>MBunk_ene!U$10</f>
        <v>969.15253852819126</v>
      </c>
      <c r="V61" s="86">
        <f>MBunk_ene!V$10</f>
        <v>993.09889276952026</v>
      </c>
      <c r="W61" s="86">
        <f>MBunk_ene!W$10</f>
        <v>1020.9590951016623</v>
      </c>
      <c r="X61" s="86">
        <f>MBunk_ene!X$10</f>
        <v>1043.9832456688378</v>
      </c>
      <c r="Y61" s="86">
        <f>MBunk_ene!Y$10</f>
        <v>899.56817549676589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140749.7795916191</v>
      </c>
      <c r="C64" s="28">
        <f t="shared" si="51"/>
        <v>139106.68452903358</v>
      </c>
      <c r="D64" s="28">
        <f t="shared" si="51"/>
        <v>138465.47724962194</v>
      </c>
      <c r="E64" s="28">
        <f t="shared" si="51"/>
        <v>134766.98725035423</v>
      </c>
      <c r="F64" s="28">
        <f t="shared" si="51"/>
        <v>136827.65226348108</v>
      </c>
      <c r="G64" s="28">
        <f t="shared" si="51"/>
        <v>132234.92437898446</v>
      </c>
      <c r="H64" s="28">
        <f t="shared" si="51"/>
        <v>127909.16901232692</v>
      </c>
      <c r="I64" s="28">
        <f t="shared" si="51"/>
        <v>124891.51829465602</v>
      </c>
      <c r="J64" s="28">
        <f t="shared" si="51"/>
        <v>125138.71562639685</v>
      </c>
      <c r="K64" s="28">
        <f t="shared" si="51"/>
        <v>124943.59064743176</v>
      </c>
      <c r="L64" s="28">
        <f t="shared" si="51"/>
        <v>121697.49973481044</v>
      </c>
      <c r="M64" s="28">
        <f t="shared" si="51"/>
        <v>123081.3196936202</v>
      </c>
      <c r="N64" s="28">
        <f t="shared" si="51"/>
        <v>121542.69230338396</v>
      </c>
      <c r="O64" s="28">
        <f t="shared" si="51"/>
        <v>125492.57404450449</v>
      </c>
      <c r="P64" s="28">
        <f t="shared" si="51"/>
        <v>126859.97198108959</v>
      </c>
      <c r="Q64" s="28">
        <f t="shared" si="51"/>
        <v>129790.10781572136</v>
      </c>
      <c r="R64" s="28">
        <f t="shared" ref="R64:V64" si="52">R65+R69+R73</f>
        <v>134380.53391329609</v>
      </c>
      <c r="S64" s="28">
        <f t="shared" si="52"/>
        <v>136274.03229471543</v>
      </c>
      <c r="T64" s="28">
        <f t="shared" si="52"/>
        <v>130060.97786784818</v>
      </c>
      <c r="U64" s="28">
        <f t="shared" si="52"/>
        <v>132182.27453804921</v>
      </c>
      <c r="V64" s="28">
        <f t="shared" si="52"/>
        <v>98653.148175554044</v>
      </c>
      <c r="W64" s="28">
        <f t="shared" ref="W64:Y64" si="53">W65+W69+W73</f>
        <v>101677.60444578587</v>
      </c>
      <c r="X64" s="28">
        <f t="shared" si="53"/>
        <v>113702.73059914312</v>
      </c>
      <c r="Y64" s="28">
        <f t="shared" si="53"/>
        <v>115202.96138787398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119316.86955501986</v>
      </c>
      <c r="C65" s="137">
        <f t="shared" si="54"/>
        <v>118479.51444706222</v>
      </c>
      <c r="D65" s="137">
        <f t="shared" si="54"/>
        <v>118106.10089290625</v>
      </c>
      <c r="E65" s="137">
        <f t="shared" si="54"/>
        <v>114779.19038574491</v>
      </c>
      <c r="F65" s="137">
        <f t="shared" si="54"/>
        <v>115482.68242259146</v>
      </c>
      <c r="G65" s="137">
        <f t="shared" si="54"/>
        <v>109742.94613022919</v>
      </c>
      <c r="H65" s="137">
        <f t="shared" si="54"/>
        <v>104604.58934895185</v>
      </c>
      <c r="I65" s="137">
        <f t="shared" si="54"/>
        <v>100833.18927470747</v>
      </c>
      <c r="J65" s="137">
        <f t="shared" si="54"/>
        <v>100865.33412527844</v>
      </c>
      <c r="K65" s="137">
        <f t="shared" si="54"/>
        <v>101129.45489948073</v>
      </c>
      <c r="L65" s="137">
        <f t="shared" si="54"/>
        <v>98838.346419639565</v>
      </c>
      <c r="M65" s="137">
        <f t="shared" si="54"/>
        <v>101093.62090857814</v>
      </c>
      <c r="N65" s="137">
        <f t="shared" si="54"/>
        <v>97942.592589398409</v>
      </c>
      <c r="O65" s="137">
        <f t="shared" si="54"/>
        <v>101718.02312749581</v>
      </c>
      <c r="P65" s="137">
        <f t="shared" si="54"/>
        <v>103435.69352680159</v>
      </c>
      <c r="Q65" s="137">
        <f t="shared" si="54"/>
        <v>106374.03905851497</v>
      </c>
      <c r="R65" s="137">
        <f t="shared" ref="R65:V65" si="55">R66+R67+R68</f>
        <v>108940.94749781849</v>
      </c>
      <c r="S65" s="137">
        <f t="shared" si="55"/>
        <v>109113.13336912417</v>
      </c>
      <c r="T65" s="137">
        <f t="shared" si="55"/>
        <v>102292.08450079979</v>
      </c>
      <c r="U65" s="137">
        <f t="shared" si="55"/>
        <v>104102.05081906375</v>
      </c>
      <c r="V65" s="137">
        <f t="shared" si="55"/>
        <v>88741.972614202299</v>
      </c>
      <c r="W65" s="137">
        <f t="shared" ref="W65:Y65" si="56">W66+W67+W68</f>
        <v>88294.883893204518</v>
      </c>
      <c r="X65" s="137">
        <f t="shared" si="56"/>
        <v>91380.652661082364</v>
      </c>
      <c r="Y65" s="137">
        <f t="shared" si="56"/>
        <v>90854.402603315641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1381.3019644921737</v>
      </c>
      <c r="C66" s="102">
        <f>TrRoad_emi!C$19</f>
        <v>1379.3848131507502</v>
      </c>
      <c r="D66" s="102">
        <f>TrRoad_emi!D$19</f>
        <v>1414.6196020226839</v>
      </c>
      <c r="E66" s="102">
        <f>TrRoad_emi!E$19</f>
        <v>1378.227416473904</v>
      </c>
      <c r="F66" s="102">
        <f>TrRoad_emi!F$19</f>
        <v>1413.2901198484744</v>
      </c>
      <c r="G66" s="102">
        <f>TrRoad_emi!G$19</f>
        <v>1407.3912295364378</v>
      </c>
      <c r="H66" s="102">
        <f>TrRoad_emi!H$19</f>
        <v>1412.5607071483532</v>
      </c>
      <c r="I66" s="102">
        <f>TrRoad_emi!I$19</f>
        <v>1199.4683383807192</v>
      </c>
      <c r="J66" s="102">
        <f>TrRoad_emi!J$19</f>
        <v>1197.1315462297368</v>
      </c>
      <c r="K66" s="102">
        <f>TrRoad_emi!K$19</f>
        <v>1198.2094952480259</v>
      </c>
      <c r="L66" s="102">
        <f>TrRoad_emi!L$19</f>
        <v>1174.3674960329067</v>
      </c>
      <c r="M66" s="102">
        <f>TrRoad_emi!M$19</f>
        <v>1213.2788341480416</v>
      </c>
      <c r="N66" s="102">
        <f>TrRoad_emi!N$19</f>
        <v>1195.2729423310971</v>
      </c>
      <c r="O66" s="102">
        <f>TrRoad_emi!O$19</f>
        <v>1220.4291627357863</v>
      </c>
      <c r="P66" s="102">
        <f>TrRoad_emi!P$19</f>
        <v>1227.2131523787411</v>
      </c>
      <c r="Q66" s="102">
        <f>TrRoad_emi!Q$19</f>
        <v>1259.9988526258137</v>
      </c>
      <c r="R66" s="102">
        <f>TrRoad_emi!R$19</f>
        <v>1279.7681319071389</v>
      </c>
      <c r="S66" s="102">
        <f>TrRoad_emi!S$19</f>
        <v>1198.0961159340068</v>
      </c>
      <c r="T66" s="102">
        <f>TrRoad_emi!T$19</f>
        <v>1123.8441095631044</v>
      </c>
      <c r="U66" s="102">
        <f>TrRoad_emi!U$19</f>
        <v>1206.0897961571077</v>
      </c>
      <c r="V66" s="102">
        <f>TrRoad_emi!V$19</f>
        <v>1051.6326146516597</v>
      </c>
      <c r="W66" s="102">
        <f>TrRoad_emi!W$19</f>
        <v>1114.897425650599</v>
      </c>
      <c r="X66" s="102">
        <f>TrRoad_emi!X$19</f>
        <v>1118.9630481477336</v>
      </c>
      <c r="Y66" s="102">
        <f>TrRoad_emi!Y$19</f>
        <v>1188.7252855044844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111195.06602240715</v>
      </c>
      <c r="C67" s="102">
        <f>TrRoad_emi!C$20</f>
        <v>110560.83893716139</v>
      </c>
      <c r="D67" s="102">
        <f>TrRoad_emi!D$20</f>
        <v>110389.39128264876</v>
      </c>
      <c r="E67" s="102">
        <f>TrRoad_emi!E$20</f>
        <v>107211.64037507783</v>
      </c>
      <c r="F67" s="102">
        <f>TrRoad_emi!F$20</f>
        <v>107915.14760325612</v>
      </c>
      <c r="G67" s="102">
        <f>TrRoad_emi!G$20</f>
        <v>102521.65119906848</v>
      </c>
      <c r="H67" s="102">
        <f>TrRoad_emi!H$20</f>
        <v>97573.223720004404</v>
      </c>
      <c r="I67" s="102">
        <f>TrRoad_emi!I$20</f>
        <v>94499.030425132165</v>
      </c>
      <c r="J67" s="102">
        <f>TrRoad_emi!J$20</f>
        <v>94562.935860187034</v>
      </c>
      <c r="K67" s="102">
        <f>TrRoad_emi!K$20</f>
        <v>94690.892813237413</v>
      </c>
      <c r="L67" s="102">
        <f>TrRoad_emi!L$20</f>
        <v>92170.403584565924</v>
      </c>
      <c r="M67" s="102">
        <f>TrRoad_emi!M$20</f>
        <v>94057.678705519313</v>
      </c>
      <c r="N67" s="102">
        <f>TrRoad_emi!N$20</f>
        <v>90593.938301509537</v>
      </c>
      <c r="O67" s="102">
        <f>TrRoad_emi!O$20</f>
        <v>93894.71234693857</v>
      </c>
      <c r="P67" s="102">
        <f>TrRoad_emi!P$20</f>
        <v>95403.455033991253</v>
      </c>
      <c r="Q67" s="102">
        <f>TrRoad_emi!Q$20</f>
        <v>97983.763357854099</v>
      </c>
      <c r="R67" s="102">
        <f>TrRoad_emi!R$20</f>
        <v>100330.02087163621</v>
      </c>
      <c r="S67" s="102">
        <f>TrRoad_emi!S$20</f>
        <v>100695.29491621361</v>
      </c>
      <c r="T67" s="102">
        <f>TrRoad_emi!T$20</f>
        <v>94002.370618298053</v>
      </c>
      <c r="U67" s="102">
        <f>TrRoad_emi!U$20</f>
        <v>95791.580034195693</v>
      </c>
      <c r="V67" s="102">
        <f>TrRoad_emi!V$20</f>
        <v>81334.474995302095</v>
      </c>
      <c r="W67" s="102">
        <f>TrRoad_emi!W$20</f>
        <v>80939.696992067169</v>
      </c>
      <c r="X67" s="102">
        <f>TrRoad_emi!X$20</f>
        <v>83638.570528207812</v>
      </c>
      <c r="Y67" s="102">
        <f>TrRoad_emi!Y$20</f>
        <v>83009.818720073628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6740.5015681205359</v>
      </c>
      <c r="C68" s="102">
        <f>TrRoad_emi!C$27</f>
        <v>6539.2906967500821</v>
      </c>
      <c r="D68" s="102">
        <f>TrRoad_emi!D$27</f>
        <v>6302.0900082348044</v>
      </c>
      <c r="E68" s="102">
        <f>TrRoad_emi!E$27</f>
        <v>6189.3225941931751</v>
      </c>
      <c r="F68" s="102">
        <f>TrRoad_emi!F$27</f>
        <v>6154.2446994868715</v>
      </c>
      <c r="G68" s="102">
        <f>TrRoad_emi!G$27</f>
        <v>5813.9037016242628</v>
      </c>
      <c r="H68" s="102">
        <f>TrRoad_emi!H$27</f>
        <v>5618.8049217990983</v>
      </c>
      <c r="I68" s="102">
        <f>TrRoad_emi!I$27</f>
        <v>5134.6905111945898</v>
      </c>
      <c r="J68" s="102">
        <f>TrRoad_emi!J$27</f>
        <v>5105.2667188616779</v>
      </c>
      <c r="K68" s="102">
        <f>TrRoad_emi!K$27</f>
        <v>5240.3525909952868</v>
      </c>
      <c r="L68" s="102">
        <f>TrRoad_emi!L$27</f>
        <v>5493.5753390407363</v>
      </c>
      <c r="M68" s="102">
        <f>TrRoad_emi!M$27</f>
        <v>5822.6633689107784</v>
      </c>
      <c r="N68" s="102">
        <f>TrRoad_emi!N$27</f>
        <v>6153.3813455577765</v>
      </c>
      <c r="O68" s="102">
        <f>TrRoad_emi!O$27</f>
        <v>6602.8816178214465</v>
      </c>
      <c r="P68" s="102">
        <f>TrRoad_emi!P$27</f>
        <v>6805.0253404315981</v>
      </c>
      <c r="Q68" s="102">
        <f>TrRoad_emi!Q$27</f>
        <v>7130.2768480350705</v>
      </c>
      <c r="R68" s="102">
        <f>TrRoad_emi!R$27</f>
        <v>7331.158494275136</v>
      </c>
      <c r="S68" s="102">
        <f>TrRoad_emi!S$27</f>
        <v>7219.7423369765647</v>
      </c>
      <c r="T68" s="102">
        <f>TrRoad_emi!T$27</f>
        <v>7165.869772938634</v>
      </c>
      <c r="U68" s="102">
        <f>TrRoad_emi!U$27</f>
        <v>7104.3809887109592</v>
      </c>
      <c r="V68" s="102">
        <f>TrRoad_emi!V$27</f>
        <v>6355.865004248546</v>
      </c>
      <c r="W68" s="102">
        <f>TrRoad_emi!W$27</f>
        <v>6240.2894754867384</v>
      </c>
      <c r="X68" s="102">
        <f>TrRoad_emi!X$27</f>
        <v>6623.1190847268226</v>
      </c>
      <c r="Y68" s="102">
        <f>TrRoad_emi!Y$27</f>
        <v>6655.858597737536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1387.0883180709902</v>
      </c>
      <c r="C69" s="110">
        <f t="shared" si="57"/>
        <v>1403.8851563513063</v>
      </c>
      <c r="D69" s="110">
        <f t="shared" si="57"/>
        <v>1336.9267429034064</v>
      </c>
      <c r="E69" s="110">
        <f t="shared" si="57"/>
        <v>1229.5363995676144</v>
      </c>
      <c r="F69" s="110">
        <f t="shared" si="57"/>
        <v>1147.8735282761688</v>
      </c>
      <c r="G69" s="110">
        <f t="shared" si="57"/>
        <v>1019.1822827749457</v>
      </c>
      <c r="H69" s="110">
        <f t="shared" si="57"/>
        <v>904.86941238081158</v>
      </c>
      <c r="I69" s="110">
        <f t="shared" si="57"/>
        <v>868.3968048813291</v>
      </c>
      <c r="J69" s="110">
        <f t="shared" si="57"/>
        <v>887.20110020641437</v>
      </c>
      <c r="K69" s="110">
        <f t="shared" si="57"/>
        <v>789.67965202619666</v>
      </c>
      <c r="L69" s="110">
        <f t="shared" si="57"/>
        <v>792.19434231196988</v>
      </c>
      <c r="M69" s="110">
        <f t="shared" si="57"/>
        <v>780.77959412903022</v>
      </c>
      <c r="N69" s="110">
        <f t="shared" si="57"/>
        <v>781.5541424400526</v>
      </c>
      <c r="O69" s="110">
        <f t="shared" si="57"/>
        <v>764.8213067642796</v>
      </c>
      <c r="P69" s="110">
        <f t="shared" si="57"/>
        <v>777.59364879238285</v>
      </c>
      <c r="Q69" s="110">
        <f t="shared" si="57"/>
        <v>732.23455728831232</v>
      </c>
      <c r="R69" s="110">
        <f t="shared" ref="R69:V69" si="58">R70+R71+R72</f>
        <v>763.50528871131678</v>
      </c>
      <c r="S69" s="110">
        <f t="shared" si="58"/>
        <v>619.25944538302906</v>
      </c>
      <c r="T69" s="110">
        <f t="shared" si="58"/>
        <v>542.12032411114421</v>
      </c>
      <c r="U69" s="110">
        <f t="shared" si="58"/>
        <v>593.51057971904333</v>
      </c>
      <c r="V69" s="110">
        <f t="shared" si="58"/>
        <v>525.03767799657567</v>
      </c>
      <c r="W69" s="110">
        <f t="shared" ref="W69:Y69" si="59">W70+W71+W72</f>
        <v>846.95786810187178</v>
      </c>
      <c r="X69" s="110">
        <f t="shared" si="59"/>
        <v>580.15430190192501</v>
      </c>
      <c r="Y69" s="110">
        <f t="shared" si="59"/>
        <v>570.49096892921978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1387.0883180709902</v>
      </c>
      <c r="C71" s="102">
        <f>TrRail_emi!C$11</f>
        <v>1403.8851563513063</v>
      </c>
      <c r="D71" s="102">
        <f>TrRail_emi!D$11</f>
        <v>1336.9267429034064</v>
      </c>
      <c r="E71" s="102">
        <f>TrRail_emi!E$11</f>
        <v>1229.5363995676144</v>
      </c>
      <c r="F71" s="102">
        <f>TrRail_emi!F$11</f>
        <v>1147.8735282761688</v>
      </c>
      <c r="G71" s="102">
        <f>TrRail_emi!G$11</f>
        <v>1019.1822827749457</v>
      </c>
      <c r="H71" s="102">
        <f>TrRail_emi!H$11</f>
        <v>904.86941238081158</v>
      </c>
      <c r="I71" s="102">
        <f>TrRail_emi!I$11</f>
        <v>868.3968048813291</v>
      </c>
      <c r="J71" s="102">
        <f>TrRail_emi!J$11</f>
        <v>887.20110020641437</v>
      </c>
      <c r="K71" s="102">
        <f>TrRail_emi!K$11</f>
        <v>789.67965202619666</v>
      </c>
      <c r="L71" s="102">
        <f>TrRail_emi!L$11</f>
        <v>792.19434231196988</v>
      </c>
      <c r="M71" s="102">
        <f>TrRail_emi!M$11</f>
        <v>780.77959412903022</v>
      </c>
      <c r="N71" s="102">
        <f>TrRail_emi!N$11</f>
        <v>781.5541424400526</v>
      </c>
      <c r="O71" s="102">
        <f>TrRail_emi!O$11</f>
        <v>764.8213067642796</v>
      </c>
      <c r="P71" s="102">
        <f>TrRail_emi!P$11</f>
        <v>777.59364879238285</v>
      </c>
      <c r="Q71" s="102">
        <f>TrRail_emi!Q$11</f>
        <v>732.23455728831232</v>
      </c>
      <c r="R71" s="102">
        <f>TrRail_emi!R$11</f>
        <v>763.50528871131678</v>
      </c>
      <c r="S71" s="102">
        <f>TrRail_emi!S$11</f>
        <v>619.25944538302906</v>
      </c>
      <c r="T71" s="102">
        <f>TrRail_emi!T$11</f>
        <v>542.12032411114421</v>
      </c>
      <c r="U71" s="102">
        <f>TrRail_emi!U$11</f>
        <v>593.51057971904333</v>
      </c>
      <c r="V71" s="102">
        <f>TrRail_emi!V$11</f>
        <v>525.03767799657567</v>
      </c>
      <c r="W71" s="102">
        <f>TrRail_emi!W$11</f>
        <v>846.95786810187178</v>
      </c>
      <c r="X71" s="102">
        <f>TrRail_emi!X$11</f>
        <v>580.15430190192501</v>
      </c>
      <c r="Y71" s="102">
        <f>TrRail_emi!Y$11</f>
        <v>570.49096892921978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20045.821718528226</v>
      </c>
      <c r="C73" s="110">
        <f t="shared" si="60"/>
        <v>19223.284925620061</v>
      </c>
      <c r="D73" s="110">
        <f t="shared" si="60"/>
        <v>19022.449613812274</v>
      </c>
      <c r="E73" s="110">
        <f t="shared" si="60"/>
        <v>18758.260465041705</v>
      </c>
      <c r="F73" s="110">
        <f t="shared" si="60"/>
        <v>20197.09631261347</v>
      </c>
      <c r="G73" s="110">
        <f t="shared" si="60"/>
        <v>21472.795965980335</v>
      </c>
      <c r="H73" s="110">
        <f t="shared" si="60"/>
        <v>22399.710250994271</v>
      </c>
      <c r="I73" s="110">
        <f t="shared" si="60"/>
        <v>23189.932215067223</v>
      </c>
      <c r="J73" s="110">
        <f t="shared" si="60"/>
        <v>23386.180400911995</v>
      </c>
      <c r="K73" s="110">
        <f t="shared" si="60"/>
        <v>23024.456095924827</v>
      </c>
      <c r="L73" s="110">
        <f t="shared" si="60"/>
        <v>22066.958972858909</v>
      </c>
      <c r="M73" s="110">
        <f t="shared" si="60"/>
        <v>21206.919190913024</v>
      </c>
      <c r="N73" s="110">
        <f t="shared" si="60"/>
        <v>22818.545571545488</v>
      </c>
      <c r="O73" s="110">
        <f t="shared" si="60"/>
        <v>23009.729610244416</v>
      </c>
      <c r="P73" s="110">
        <f t="shared" si="60"/>
        <v>22646.684805495606</v>
      </c>
      <c r="Q73" s="110">
        <f t="shared" si="60"/>
        <v>22683.834199918085</v>
      </c>
      <c r="R73" s="110">
        <f t="shared" ref="R73:V73" si="61">R74+R75+R76</f>
        <v>24676.08112676629</v>
      </c>
      <c r="S73" s="110">
        <f t="shared" si="61"/>
        <v>26541.639480208229</v>
      </c>
      <c r="T73" s="110">
        <f t="shared" si="61"/>
        <v>27226.773042937253</v>
      </c>
      <c r="U73" s="110">
        <f t="shared" si="61"/>
        <v>27486.713139266423</v>
      </c>
      <c r="V73" s="110">
        <f t="shared" si="61"/>
        <v>9386.1378833551717</v>
      </c>
      <c r="W73" s="110">
        <f t="shared" ref="W73:Y73" si="62">W74+W75+W76</f>
        <v>12535.762684479467</v>
      </c>
      <c r="X73" s="110">
        <f t="shared" si="62"/>
        <v>21741.923636158826</v>
      </c>
      <c r="Y73" s="110">
        <f t="shared" si="62"/>
        <v>23778.067815629118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2639.1900447530525</v>
      </c>
      <c r="C74" s="102">
        <f>TrAvia_emi!C$7</f>
        <v>2456.4354236588219</v>
      </c>
      <c r="D74" s="102">
        <f>TrAvia_emi!D$7</f>
        <v>2415.0357920789002</v>
      </c>
      <c r="E74" s="102">
        <f>TrAvia_emi!E$7</f>
        <v>2360.8110126871948</v>
      </c>
      <c r="F74" s="102">
        <f>TrAvia_emi!F$7</f>
        <v>2343.0973325582399</v>
      </c>
      <c r="G74" s="102">
        <f>TrAvia_emi!G$7</f>
        <v>2437.1553764289124</v>
      </c>
      <c r="H74" s="102">
        <f>TrAvia_emi!H$7</f>
        <v>2503.7212472464284</v>
      </c>
      <c r="I74" s="102">
        <f>TrAvia_emi!I$7</f>
        <v>2532.9969212453202</v>
      </c>
      <c r="J74" s="102">
        <f>TrAvia_emi!J$7</f>
        <v>2506.3097299961196</v>
      </c>
      <c r="K74" s="102">
        <f>TrAvia_emi!K$7</f>
        <v>2433.4071906594545</v>
      </c>
      <c r="L74" s="102">
        <f>TrAvia_emi!L$7</f>
        <v>2278.6321613170494</v>
      </c>
      <c r="M74" s="102">
        <f>TrAvia_emi!M$7</f>
        <v>2113.8803689218144</v>
      </c>
      <c r="N74" s="102">
        <f>TrAvia_emi!N$7</f>
        <v>2115.1296580549297</v>
      </c>
      <c r="O74" s="102">
        <f>TrAvia_emi!O$7</f>
        <v>1980.1474949651094</v>
      </c>
      <c r="P74" s="102">
        <f>TrAvia_emi!P$7</f>
        <v>2115.6642605543998</v>
      </c>
      <c r="Q74" s="102">
        <f>TrAvia_emi!Q$7</f>
        <v>2120.4330407751481</v>
      </c>
      <c r="R74" s="102">
        <f>TrAvia_emi!R$7</f>
        <v>2263.5217437835104</v>
      </c>
      <c r="S74" s="102">
        <f>TrAvia_emi!S$7</f>
        <v>1950.9360263633168</v>
      </c>
      <c r="T74" s="102">
        <f>TrAvia_emi!T$7</f>
        <v>1888.0626307757341</v>
      </c>
      <c r="U74" s="102">
        <f>TrAvia_emi!U$7</f>
        <v>2128.4964056436816</v>
      </c>
      <c r="V74" s="102">
        <f>TrAvia_emi!V$7</f>
        <v>814.02654821864598</v>
      </c>
      <c r="W74" s="102">
        <f>TrAvia_emi!W$7</f>
        <v>668.79267057316213</v>
      </c>
      <c r="X74" s="102">
        <f>TrAvia_emi!X$7</f>
        <v>951.98576695269253</v>
      </c>
      <c r="Y74" s="102">
        <f>TrAvia_emi!Y$7</f>
        <v>1036.082207345439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5683.8958385547776</v>
      </c>
      <c r="C75" s="102">
        <f>TrAvia_emi!C$8</f>
        <v>5278.9517753776727</v>
      </c>
      <c r="D75" s="102">
        <f>TrAvia_emi!D$8</f>
        <v>4859.1720190078431</v>
      </c>
      <c r="E75" s="102">
        <f>TrAvia_emi!E$8</f>
        <v>5122.8365406980165</v>
      </c>
      <c r="F75" s="102">
        <f>TrAvia_emi!F$8</f>
        <v>5420.9101826142905</v>
      </c>
      <c r="G75" s="102">
        <f>TrAvia_emi!G$8</f>
        <v>5822.7046782159869</v>
      </c>
      <c r="H75" s="102">
        <f>TrAvia_emi!H$8</f>
        <v>6227.1800690292775</v>
      </c>
      <c r="I75" s="102">
        <f>TrAvia_emi!I$8</f>
        <v>6590.0541249870957</v>
      </c>
      <c r="J75" s="102">
        <f>TrAvia_emi!J$8</f>
        <v>6539.526468477432</v>
      </c>
      <c r="K75" s="102">
        <f>TrAvia_emi!K$8</f>
        <v>6212.2178571484437</v>
      </c>
      <c r="L75" s="102">
        <f>TrAvia_emi!L$8</f>
        <v>5961.511956006053</v>
      </c>
      <c r="M75" s="102">
        <f>TrAvia_emi!M$8</f>
        <v>5781.1110205926261</v>
      </c>
      <c r="N75" s="102">
        <f>TrAvia_emi!N$8</f>
        <v>6173.6728165455015</v>
      </c>
      <c r="O75" s="102">
        <f>TrAvia_emi!O$8</f>
        <v>6231.7395049164707</v>
      </c>
      <c r="P75" s="102">
        <f>TrAvia_emi!P$8</f>
        <v>6100.9803022428441</v>
      </c>
      <c r="Q75" s="102">
        <f>TrAvia_emi!Q$8</f>
        <v>6146.8354501697249</v>
      </c>
      <c r="R75" s="102">
        <f>TrAvia_emi!R$8</f>
        <v>7006.1765153273218</v>
      </c>
      <c r="S75" s="102">
        <f>TrAvia_emi!S$8</f>
        <v>7888.8166461699038</v>
      </c>
      <c r="T75" s="102">
        <f>TrAvia_emi!T$8</f>
        <v>8040.1547414243651</v>
      </c>
      <c r="U75" s="102">
        <f>TrAvia_emi!U$8</f>
        <v>7751.3527163215686</v>
      </c>
      <c r="V75" s="102">
        <f>TrAvia_emi!V$8</f>
        <v>2182.7918994465385</v>
      </c>
      <c r="W75" s="102">
        <f>TrAvia_emi!W$8</f>
        <v>3381.5818214084447</v>
      </c>
      <c r="X75" s="102">
        <f>TrAvia_emi!X$8</f>
        <v>6747.0487621945595</v>
      </c>
      <c r="Y75" s="102">
        <f>TrAvia_emi!Y$8</f>
        <v>7150.6167249684859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11722.735835220397</v>
      </c>
      <c r="C76" s="102">
        <f>TrAvia_emi!C$9</f>
        <v>11487.897726583566</v>
      </c>
      <c r="D76" s="102">
        <f>TrAvia_emi!D$9</f>
        <v>11748.241802725532</v>
      </c>
      <c r="E76" s="102">
        <f>TrAvia_emi!E$9</f>
        <v>11274.612911656495</v>
      </c>
      <c r="F76" s="102">
        <f>TrAvia_emi!F$9</f>
        <v>12433.08879744094</v>
      </c>
      <c r="G76" s="102">
        <f>TrAvia_emi!G$9</f>
        <v>13212.935911335435</v>
      </c>
      <c r="H76" s="102">
        <f>TrAvia_emi!H$9</f>
        <v>13668.808934718565</v>
      </c>
      <c r="I76" s="102">
        <f>TrAvia_emi!I$9</f>
        <v>14066.881168834809</v>
      </c>
      <c r="J76" s="102">
        <f>TrAvia_emi!J$9</f>
        <v>14340.344202438444</v>
      </c>
      <c r="K76" s="102">
        <f>TrAvia_emi!K$9</f>
        <v>14378.831048116928</v>
      </c>
      <c r="L76" s="102">
        <f>TrAvia_emi!L$9</f>
        <v>13826.814855535806</v>
      </c>
      <c r="M76" s="102">
        <f>TrAvia_emi!M$9</f>
        <v>13311.927801398584</v>
      </c>
      <c r="N76" s="102">
        <f>TrAvia_emi!N$9</f>
        <v>14529.743096945056</v>
      </c>
      <c r="O76" s="102">
        <f>TrAvia_emi!O$9</f>
        <v>14797.842610362835</v>
      </c>
      <c r="P76" s="102">
        <f>TrAvia_emi!P$9</f>
        <v>14430.040242698364</v>
      </c>
      <c r="Q76" s="102">
        <f>TrAvia_emi!Q$9</f>
        <v>14416.565708973214</v>
      </c>
      <c r="R76" s="102">
        <f>TrAvia_emi!R$9</f>
        <v>15406.382867655459</v>
      </c>
      <c r="S76" s="102">
        <f>TrAvia_emi!S$9</f>
        <v>16701.886807675008</v>
      </c>
      <c r="T76" s="102">
        <f>TrAvia_emi!T$9</f>
        <v>17298.555670737154</v>
      </c>
      <c r="U76" s="102">
        <f>TrAvia_emi!U$9</f>
        <v>17606.864017301174</v>
      </c>
      <c r="V76" s="102">
        <f>TrAvia_emi!V$9</f>
        <v>6389.3194356899876</v>
      </c>
      <c r="W76" s="102">
        <f>TrAvia_emi!W$9</f>
        <v>8485.3881924978596</v>
      </c>
      <c r="X76" s="102">
        <f>TrAvia_emi!X$9</f>
        <v>14042.889107011575</v>
      </c>
      <c r="Y76" s="102">
        <f>TrAvia_emi!Y$9</f>
        <v>15591.368883315194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54117.761569141381</v>
      </c>
      <c r="C77" s="28">
        <f t="shared" si="63"/>
        <v>50933.06658856682</v>
      </c>
      <c r="D77" s="28">
        <f t="shared" si="63"/>
        <v>49112.335999883318</v>
      </c>
      <c r="E77" s="28">
        <f t="shared" si="63"/>
        <v>45866.482663285744</v>
      </c>
      <c r="F77" s="28">
        <f t="shared" si="63"/>
        <v>45487.358084158877</v>
      </c>
      <c r="G77" s="28">
        <f t="shared" si="63"/>
        <v>43811.506187975552</v>
      </c>
      <c r="H77" s="28">
        <f t="shared" si="63"/>
        <v>47546.077880713055</v>
      </c>
      <c r="I77" s="28">
        <f t="shared" si="63"/>
        <v>46557.325226223977</v>
      </c>
      <c r="J77" s="28">
        <f t="shared" si="63"/>
        <v>47399.136170883154</v>
      </c>
      <c r="K77" s="28">
        <f t="shared" si="63"/>
        <v>45572.103620928254</v>
      </c>
      <c r="L77" s="28">
        <f t="shared" si="63"/>
        <v>49530.205023309572</v>
      </c>
      <c r="M77" s="28">
        <f t="shared" si="63"/>
        <v>49228.725113459797</v>
      </c>
      <c r="N77" s="28">
        <f t="shared" si="63"/>
        <v>50956.05719713604</v>
      </c>
      <c r="O77" s="28">
        <f t="shared" si="63"/>
        <v>51442.031985855523</v>
      </c>
      <c r="P77" s="28">
        <f t="shared" si="63"/>
        <v>52663.101435150413</v>
      </c>
      <c r="Q77" s="28">
        <f t="shared" si="63"/>
        <v>49820.475747998593</v>
      </c>
      <c r="R77" s="28">
        <f t="shared" si="63"/>
        <v>51185.088237863914</v>
      </c>
      <c r="S77" s="28">
        <f t="shared" si="63"/>
        <v>53912.638475484564</v>
      </c>
      <c r="T77" s="28">
        <f t="shared" si="63"/>
        <v>54799.977174711843</v>
      </c>
      <c r="U77" s="28">
        <f t="shared" si="63"/>
        <v>54446.044841310759</v>
      </c>
      <c r="V77" s="28">
        <f t="shared" si="63"/>
        <v>55470.680915085948</v>
      </c>
      <c r="W77" s="28">
        <f t="shared" si="63"/>
        <v>54393.080876921937</v>
      </c>
      <c r="X77" s="28">
        <f t="shared" si="63"/>
        <v>52110.974528719307</v>
      </c>
      <c r="Y77" s="28">
        <f t="shared" si="63"/>
        <v>46994.054213111376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50115.558447380099</v>
      </c>
      <c r="C78" s="137">
        <f t="shared" si="64"/>
        <v>47203.287582617784</v>
      </c>
      <c r="D78" s="137">
        <f t="shared" si="64"/>
        <v>45427.491359533771</v>
      </c>
      <c r="E78" s="137">
        <f t="shared" si="64"/>
        <v>42045.017255335064</v>
      </c>
      <c r="F78" s="137">
        <f t="shared" si="64"/>
        <v>41296.394957888515</v>
      </c>
      <c r="G78" s="137">
        <f t="shared" si="64"/>
        <v>39017.142315930825</v>
      </c>
      <c r="H78" s="137">
        <f t="shared" si="64"/>
        <v>42534.419489248139</v>
      </c>
      <c r="I78" s="137">
        <f t="shared" si="64"/>
        <v>41328.73065789252</v>
      </c>
      <c r="J78" s="137">
        <f t="shared" si="64"/>
        <v>42029.404955161561</v>
      </c>
      <c r="K78" s="137">
        <f t="shared" si="64"/>
        <v>40668.612506799276</v>
      </c>
      <c r="L78" s="137">
        <f t="shared" si="64"/>
        <v>44161.221390920444</v>
      </c>
      <c r="M78" s="137">
        <f t="shared" si="64"/>
        <v>43970.380386141849</v>
      </c>
      <c r="N78" s="137">
        <f t="shared" si="64"/>
        <v>45838.418309361579</v>
      </c>
      <c r="O78" s="137">
        <f t="shared" si="64"/>
        <v>46173.49888930421</v>
      </c>
      <c r="P78" s="137">
        <f t="shared" si="64"/>
        <v>47844.627754758396</v>
      </c>
      <c r="Q78" s="137">
        <f t="shared" si="64"/>
        <v>44946.213212804985</v>
      </c>
      <c r="R78" s="137">
        <f t="shared" ref="R78:V78" si="65">R79+R80</f>
        <v>46480.116326221512</v>
      </c>
      <c r="S78" s="137">
        <f t="shared" si="65"/>
        <v>48764.471746875824</v>
      </c>
      <c r="T78" s="137">
        <f t="shared" si="65"/>
        <v>49508.951982880229</v>
      </c>
      <c r="U78" s="137">
        <f t="shared" si="65"/>
        <v>49351.880661376221</v>
      </c>
      <c r="V78" s="137">
        <f t="shared" si="65"/>
        <v>49218.135166837703</v>
      </c>
      <c r="W78" s="137">
        <f t="shared" ref="W78:Y78" si="66">W79+W80</f>
        <v>46559.51459494327</v>
      </c>
      <c r="X78" s="137">
        <f t="shared" si="66"/>
        <v>44971.464670700057</v>
      </c>
      <c r="Y78" s="137">
        <f t="shared" si="66"/>
        <v>40690.897525269713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10320.751271974239</v>
      </c>
      <c r="C79" s="102">
        <f>TrRoad_emi!C$34</f>
        <v>10507.201826452374</v>
      </c>
      <c r="D79" s="102">
        <f>TrRoad_emi!D$34</f>
        <v>10378.943615111191</v>
      </c>
      <c r="E79" s="102">
        <f>TrRoad_emi!E$34</f>
        <v>10599.615173437749</v>
      </c>
      <c r="F79" s="102">
        <f>TrRoad_emi!F$34</f>
        <v>10188.683558174705</v>
      </c>
      <c r="G79" s="102">
        <f>TrRoad_emi!G$34</f>
        <v>9959.1414615534904</v>
      </c>
      <c r="H79" s="102">
        <f>TrRoad_emi!H$34</f>
        <v>9362.3706373069508</v>
      </c>
      <c r="I79" s="102">
        <f>TrRoad_emi!I$34</f>
        <v>9007.8402622533904</v>
      </c>
      <c r="J79" s="102">
        <f>TrRoad_emi!J$34</f>
        <v>9066.6243603537187</v>
      </c>
      <c r="K79" s="102">
        <f>TrRoad_emi!K$34</f>
        <v>9292.0813377514187</v>
      </c>
      <c r="L79" s="102">
        <f>TrRoad_emi!L$34</f>
        <v>9008.3218507977417</v>
      </c>
      <c r="M79" s="102">
        <f>TrRoad_emi!M$34</f>
        <v>9226.2608515238662</v>
      </c>
      <c r="N79" s="102">
        <f>TrRoad_emi!N$34</f>
        <v>8971.259204567601</v>
      </c>
      <c r="O79" s="102">
        <f>TrRoad_emi!O$34</f>
        <v>9486.0413969000965</v>
      </c>
      <c r="P79" s="102">
        <f>TrRoad_emi!P$34</f>
        <v>9871.1228485648408</v>
      </c>
      <c r="Q79" s="102">
        <f>TrRoad_emi!Q$34</f>
        <v>11170.971394528362</v>
      </c>
      <c r="R79" s="102">
        <f>TrRoad_emi!R$34</f>
        <v>11869.428015913047</v>
      </c>
      <c r="S79" s="102">
        <f>TrRoad_emi!S$34</f>
        <v>12044.301630180116</v>
      </c>
      <c r="T79" s="102">
        <f>TrRoad_emi!T$34</f>
        <v>11402.929906340334</v>
      </c>
      <c r="U79" s="102">
        <f>TrRoad_emi!U$34</f>
        <v>12083.627915064157</v>
      </c>
      <c r="V79" s="102">
        <f>TrRoad_emi!V$34</f>
        <v>11087.617004659871</v>
      </c>
      <c r="W79" s="102">
        <f>TrRoad_emi!W$34</f>
        <v>11749.753429616749</v>
      </c>
      <c r="X79" s="102">
        <f>TrRoad_emi!X$34</f>
        <v>12136.662702775158</v>
      </c>
      <c r="Y79" s="102">
        <f>TrRoad_emi!Y$34</f>
        <v>12393.341831143185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39794.807175405862</v>
      </c>
      <c r="C80" s="102">
        <f>TrRoad_emi!C$40</f>
        <v>36696.085756165412</v>
      </c>
      <c r="D80" s="102">
        <f>TrRoad_emi!D$40</f>
        <v>35048.547744422576</v>
      </c>
      <c r="E80" s="102">
        <f>TrRoad_emi!E$40</f>
        <v>31445.402081897315</v>
      </c>
      <c r="F80" s="102">
        <f>TrRoad_emi!F$40</f>
        <v>31107.711399713808</v>
      </c>
      <c r="G80" s="102">
        <f>TrRoad_emi!G$40</f>
        <v>29058.000854377337</v>
      </c>
      <c r="H80" s="102">
        <f>TrRoad_emi!H$40</f>
        <v>33172.048851941188</v>
      </c>
      <c r="I80" s="102">
        <f>TrRoad_emi!I$40</f>
        <v>32320.890395639133</v>
      </c>
      <c r="J80" s="102">
        <f>TrRoad_emi!J$40</f>
        <v>32962.780594807846</v>
      </c>
      <c r="K80" s="102">
        <f>TrRoad_emi!K$40</f>
        <v>31376.531169047856</v>
      </c>
      <c r="L80" s="102">
        <f>TrRoad_emi!L$40</f>
        <v>35152.8995401227</v>
      </c>
      <c r="M80" s="102">
        <f>TrRoad_emi!M$40</f>
        <v>34744.119534617981</v>
      </c>
      <c r="N80" s="102">
        <f>TrRoad_emi!N$40</f>
        <v>36867.15910479398</v>
      </c>
      <c r="O80" s="102">
        <f>TrRoad_emi!O$40</f>
        <v>36687.457492404115</v>
      </c>
      <c r="P80" s="102">
        <f>TrRoad_emi!P$40</f>
        <v>37973.504906193557</v>
      </c>
      <c r="Q80" s="102">
        <f>TrRoad_emi!Q$40</f>
        <v>33775.241818276627</v>
      </c>
      <c r="R80" s="102">
        <f>TrRoad_emi!R$40</f>
        <v>34610.688310308469</v>
      </c>
      <c r="S80" s="102">
        <f>TrRoad_emi!S$40</f>
        <v>36720.170116695706</v>
      </c>
      <c r="T80" s="102">
        <f>TrRoad_emi!T$40</f>
        <v>38106.022076539899</v>
      </c>
      <c r="U80" s="102">
        <f>TrRoad_emi!U$40</f>
        <v>37268.252746312064</v>
      </c>
      <c r="V80" s="102">
        <f>TrRoad_emi!V$40</f>
        <v>38130.518162177832</v>
      </c>
      <c r="W80" s="102">
        <f>TrRoad_emi!W$40</f>
        <v>34809.761165326519</v>
      </c>
      <c r="X80" s="102">
        <f>TrRoad_emi!X$40</f>
        <v>32834.801967924897</v>
      </c>
      <c r="Y80" s="102">
        <f>TrRoad_emi!Y$40</f>
        <v>28297.555694126528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442.19788336949972</v>
      </c>
      <c r="C81" s="110">
        <f>TrRail_emi!C$15</f>
        <v>431.59286484908682</v>
      </c>
      <c r="D81" s="110">
        <f>TrRail_emi!D$15</f>
        <v>385.83105180181559</v>
      </c>
      <c r="E81" s="110">
        <f>TrRail_emi!E$15</f>
        <v>368.62516127238547</v>
      </c>
      <c r="F81" s="110">
        <f>TrRail_emi!F$15</f>
        <v>358.14752800383098</v>
      </c>
      <c r="G81" s="110">
        <f>TrRail_emi!G$15</f>
        <v>337.47611486505457</v>
      </c>
      <c r="H81" s="110">
        <f>TrRail_emi!H$15</f>
        <v>362.94590105918849</v>
      </c>
      <c r="I81" s="110">
        <f>TrRail_emi!I$15</f>
        <v>361.74772839867109</v>
      </c>
      <c r="J81" s="110">
        <f>TrRail_emi!J$15</f>
        <v>317.14880811358586</v>
      </c>
      <c r="K81" s="110">
        <f>TrRail_emi!K$15</f>
        <v>275.09955697380326</v>
      </c>
      <c r="L81" s="110">
        <f>TrRail_emi!L$15</f>
        <v>288.50216912802995</v>
      </c>
      <c r="M81" s="110">
        <f>TrRail_emi!M$15</f>
        <v>284.17327563096984</v>
      </c>
      <c r="N81" s="110">
        <f>TrRail_emi!N$15</f>
        <v>267.4307404799473</v>
      </c>
      <c r="O81" s="110">
        <f>TrRail_emi!O$15</f>
        <v>255.55489995572043</v>
      </c>
      <c r="P81" s="110">
        <f>TrRail_emi!P$15</f>
        <v>247.17236048761697</v>
      </c>
      <c r="Q81" s="110">
        <f>TrRail_emi!Q$15</f>
        <v>257.59096043168762</v>
      </c>
      <c r="R81" s="110">
        <f>TrRail_emi!R$15</f>
        <v>269.30753596868294</v>
      </c>
      <c r="S81" s="110">
        <f>TrRail_emi!S$15</f>
        <v>227.23192293697102</v>
      </c>
      <c r="T81" s="110">
        <f>TrRail_emi!T$15</f>
        <v>189.56981116885575</v>
      </c>
      <c r="U81" s="110">
        <f>TrRail_emi!U$15</f>
        <v>208.07387668095654</v>
      </c>
      <c r="V81" s="110">
        <f>TrRail_emi!V$15</f>
        <v>200.23928012342424</v>
      </c>
      <c r="W81" s="110">
        <f>TrRail_emi!W$15</f>
        <v>356.48318889812828</v>
      </c>
      <c r="X81" s="110">
        <f>TrRail_emi!X$15</f>
        <v>200.48922773807493</v>
      </c>
      <c r="Y81" s="110">
        <f>TrRail_emi!Y$15</f>
        <v>172.16006799078022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2680.5863494717751</v>
      </c>
      <c r="C82" s="110">
        <f t="shared" si="67"/>
        <v>2450.630400379946</v>
      </c>
      <c r="D82" s="110">
        <f t="shared" si="67"/>
        <v>2559.792018187728</v>
      </c>
      <c r="E82" s="110">
        <f t="shared" si="67"/>
        <v>2683.9434936382941</v>
      </c>
      <c r="F82" s="110">
        <f t="shared" si="67"/>
        <v>2965.4235839465318</v>
      </c>
      <c r="G82" s="110">
        <f t="shared" si="67"/>
        <v>3456.074128299666</v>
      </c>
      <c r="H82" s="110">
        <f t="shared" si="67"/>
        <v>3793.9697017657263</v>
      </c>
      <c r="I82" s="110">
        <f t="shared" si="67"/>
        <v>3957.747966652777</v>
      </c>
      <c r="J82" s="110">
        <f t="shared" si="67"/>
        <v>4121.5150480480052</v>
      </c>
      <c r="K82" s="110">
        <f t="shared" si="67"/>
        <v>3741.6052905551742</v>
      </c>
      <c r="L82" s="110">
        <f t="shared" si="67"/>
        <v>4219.1027528610975</v>
      </c>
      <c r="M82" s="110">
        <f t="shared" si="67"/>
        <v>4020.4823106069771</v>
      </c>
      <c r="N82" s="110">
        <f t="shared" si="67"/>
        <v>3950.6243364545116</v>
      </c>
      <c r="O82" s="110">
        <f t="shared" si="67"/>
        <v>4113.3943857555896</v>
      </c>
      <c r="P82" s="110">
        <f t="shared" si="67"/>
        <v>3627.0986979443974</v>
      </c>
      <c r="Q82" s="110">
        <f t="shared" si="67"/>
        <v>3626.8460570419184</v>
      </c>
      <c r="R82" s="110">
        <f t="shared" si="67"/>
        <v>3601.1003804737165</v>
      </c>
      <c r="S82" s="110">
        <f t="shared" si="67"/>
        <v>4163.547679591773</v>
      </c>
      <c r="T82" s="110">
        <f t="shared" si="67"/>
        <v>4309.3214307827557</v>
      </c>
      <c r="U82" s="110">
        <f t="shared" si="67"/>
        <v>4046.3351584535776</v>
      </c>
      <c r="V82" s="110">
        <f t="shared" si="67"/>
        <v>5212.5121096048242</v>
      </c>
      <c r="W82" s="110">
        <f t="shared" ref="W82:Y82" si="68">W83+W84+W85</f>
        <v>6337.3160475205341</v>
      </c>
      <c r="X82" s="110">
        <f t="shared" si="68"/>
        <v>6206.1716895611735</v>
      </c>
      <c r="Y82" s="110">
        <f t="shared" si="68"/>
        <v>5400.9865390508849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155.63208324694787</v>
      </c>
      <c r="C83" s="102">
        <f>TrAvia_emi!C$11</f>
        <v>145.17805234117847</v>
      </c>
      <c r="D83" s="102">
        <f>TrAvia_emi!D$11</f>
        <v>126.61188992110037</v>
      </c>
      <c r="E83" s="102">
        <f>TrAvia_emi!E$11</f>
        <v>94.328661032805513</v>
      </c>
      <c r="F83" s="102">
        <f>TrAvia_emi!F$11</f>
        <v>90.594928961759933</v>
      </c>
      <c r="G83" s="102">
        <f>TrAvia_emi!G$11</f>
        <v>82.670449091087406</v>
      </c>
      <c r="H83" s="102">
        <f>TrAvia_emi!H$11</f>
        <v>89.991596753571812</v>
      </c>
      <c r="I83" s="102">
        <f>TrAvia_emi!I$11</f>
        <v>88.442975514679674</v>
      </c>
      <c r="J83" s="102">
        <f>TrAvia_emi!J$11</f>
        <v>112.0216452438806</v>
      </c>
      <c r="K83" s="102">
        <f>TrAvia_emi!K$11</f>
        <v>98.75919582054523</v>
      </c>
      <c r="L83" s="102">
        <f>TrAvia_emi!L$11</f>
        <v>87.421290682951408</v>
      </c>
      <c r="M83" s="102">
        <f>TrAvia_emi!M$11</f>
        <v>67.471623838185764</v>
      </c>
      <c r="N83" s="102">
        <f>TrAvia_emi!N$11</f>
        <v>66.253507465070697</v>
      </c>
      <c r="O83" s="102">
        <f>TrAvia_emi!O$11</f>
        <v>62.818616074890194</v>
      </c>
      <c r="P83" s="102">
        <f>TrAvia_emi!P$11</f>
        <v>75.013037925600173</v>
      </c>
      <c r="Q83" s="102">
        <f>TrAvia_emi!Q$11</f>
        <v>76.367782464852354</v>
      </c>
      <c r="R83" s="102">
        <f>TrAvia_emi!R$11</f>
        <v>74.929598496489774</v>
      </c>
      <c r="S83" s="102">
        <f>TrAvia_emi!S$11</f>
        <v>76.705938396682924</v>
      </c>
      <c r="T83" s="102">
        <f>TrAvia_emi!T$11</f>
        <v>71.909351704265745</v>
      </c>
      <c r="U83" s="102">
        <f>TrAvia_emi!U$11</f>
        <v>71.537623316318644</v>
      </c>
      <c r="V83" s="102">
        <f>TrAvia_emi!V$11</f>
        <v>78.240193501354341</v>
      </c>
      <c r="W83" s="102">
        <f>TrAvia_emi!W$11</f>
        <v>88.103192666837771</v>
      </c>
      <c r="X83" s="102">
        <f>TrAvia_emi!X$11</f>
        <v>72.636850007307686</v>
      </c>
      <c r="Y83" s="102">
        <f>TrAvia_emi!Y$11</f>
        <v>68.581873614561019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214.2850985763163</v>
      </c>
      <c r="C84" s="102">
        <f>TrAvia_emi!C$12</f>
        <v>200.81763627164585</v>
      </c>
      <c r="D84" s="102">
        <f>TrAvia_emi!D$12</f>
        <v>201.63174868318237</v>
      </c>
      <c r="E84" s="102">
        <f>TrAvia_emi!E$12</f>
        <v>195.80257268001807</v>
      </c>
      <c r="F84" s="102">
        <f>TrAvia_emi!F$12</f>
        <v>229.18872799407191</v>
      </c>
      <c r="G84" s="102">
        <f>TrAvia_emi!G$12</f>
        <v>256.47936876880902</v>
      </c>
      <c r="H84" s="102">
        <f>TrAvia_emi!H$12</f>
        <v>300.71958931545845</v>
      </c>
      <c r="I84" s="102">
        <f>TrAvia_emi!I$12</f>
        <v>337.70781207400921</v>
      </c>
      <c r="J84" s="102">
        <f>TrAvia_emi!J$12</f>
        <v>386.09412480937652</v>
      </c>
      <c r="K84" s="102">
        <f>TrAvia_emi!K$12</f>
        <v>397.66220192815837</v>
      </c>
      <c r="L84" s="102">
        <f>TrAvia_emi!L$12</f>
        <v>400.86834198808396</v>
      </c>
      <c r="M84" s="102">
        <f>TrAvia_emi!M$12</f>
        <v>364.02700910715134</v>
      </c>
      <c r="N84" s="102">
        <f>TrAvia_emi!N$12</f>
        <v>380.04299279892336</v>
      </c>
      <c r="O84" s="102">
        <f>TrAvia_emi!O$12</f>
        <v>385.83377516915584</v>
      </c>
      <c r="P84" s="102">
        <f>TrAvia_emi!P$12</f>
        <v>345.50833167487133</v>
      </c>
      <c r="Q84" s="102">
        <f>TrAvia_emi!Q$12</f>
        <v>349.43595212949594</v>
      </c>
      <c r="R84" s="102">
        <f>TrAvia_emi!R$12</f>
        <v>351.83494954006989</v>
      </c>
      <c r="S84" s="102">
        <f>TrAvia_emi!S$12</f>
        <v>432.93300135286512</v>
      </c>
      <c r="T84" s="102">
        <f>TrAvia_emi!T$12</f>
        <v>437.58066712432532</v>
      </c>
      <c r="U84" s="102">
        <f>TrAvia_emi!U$12</f>
        <v>423.49970926584672</v>
      </c>
      <c r="V84" s="102">
        <f>TrAvia_emi!V$12</f>
        <v>341.1633339980188</v>
      </c>
      <c r="W84" s="102">
        <f>TrAvia_emi!W$12</f>
        <v>508.81521694344008</v>
      </c>
      <c r="X84" s="102">
        <f>TrAvia_emi!X$12</f>
        <v>594.87613463201058</v>
      </c>
      <c r="Y84" s="102">
        <f>TrAvia_emi!Y$12</f>
        <v>548.84479811056531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2310.6691676485107</v>
      </c>
      <c r="C85" s="102">
        <f>TrAvia_emi!C$13</f>
        <v>2104.6347117671216</v>
      </c>
      <c r="D85" s="102">
        <f>TrAvia_emi!D$13</f>
        <v>2231.5483795834452</v>
      </c>
      <c r="E85" s="102">
        <f>TrAvia_emi!E$13</f>
        <v>2393.8122599254707</v>
      </c>
      <c r="F85" s="102">
        <f>TrAvia_emi!F$13</f>
        <v>2645.6399269907001</v>
      </c>
      <c r="G85" s="102">
        <f>TrAvia_emi!G$13</f>
        <v>3116.9243104397697</v>
      </c>
      <c r="H85" s="102">
        <f>TrAvia_emi!H$13</f>
        <v>3403.2585156966961</v>
      </c>
      <c r="I85" s="102">
        <f>TrAvia_emi!I$13</f>
        <v>3531.5971790640883</v>
      </c>
      <c r="J85" s="102">
        <f>TrAvia_emi!J$13</f>
        <v>3623.399277994748</v>
      </c>
      <c r="K85" s="102">
        <f>TrAvia_emi!K$13</f>
        <v>3245.1838928064703</v>
      </c>
      <c r="L85" s="102">
        <f>TrAvia_emi!L$13</f>
        <v>3730.8131201900624</v>
      </c>
      <c r="M85" s="102">
        <f>TrAvia_emi!M$13</f>
        <v>3588.9836776616398</v>
      </c>
      <c r="N85" s="102">
        <f>TrAvia_emi!N$13</f>
        <v>3504.3278361905177</v>
      </c>
      <c r="O85" s="102">
        <f>TrAvia_emi!O$13</f>
        <v>3664.7419945115435</v>
      </c>
      <c r="P85" s="102">
        <f>TrAvia_emi!P$13</f>
        <v>3206.5773283439257</v>
      </c>
      <c r="Q85" s="102">
        <f>TrAvia_emi!Q$13</f>
        <v>3201.0423224475699</v>
      </c>
      <c r="R85" s="102">
        <f>TrAvia_emi!R$13</f>
        <v>3174.335832437157</v>
      </c>
      <c r="S85" s="102">
        <f>TrAvia_emi!S$13</f>
        <v>3653.9087398422248</v>
      </c>
      <c r="T85" s="102">
        <f>TrAvia_emi!T$13</f>
        <v>3799.8314119541642</v>
      </c>
      <c r="U85" s="102">
        <f>TrAvia_emi!U$13</f>
        <v>3551.2978258714124</v>
      </c>
      <c r="V85" s="102">
        <f>TrAvia_emi!V$13</f>
        <v>4793.1085821054512</v>
      </c>
      <c r="W85" s="102">
        <f>TrAvia_emi!W$13</f>
        <v>5740.397637910256</v>
      </c>
      <c r="X85" s="102">
        <f>TrAvia_emi!X$13</f>
        <v>5538.6587049218551</v>
      </c>
      <c r="Y85" s="102">
        <f>TrAvia_emi!Y$13</f>
        <v>4783.5598673257582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879.41888892000009</v>
      </c>
      <c r="C86" s="110">
        <f t="shared" si="69"/>
        <v>847.55574072000024</v>
      </c>
      <c r="D86" s="110">
        <f t="shared" si="69"/>
        <v>739.22157035999976</v>
      </c>
      <c r="E86" s="110">
        <f t="shared" si="69"/>
        <v>768.89675304000014</v>
      </c>
      <c r="F86" s="110">
        <f t="shared" si="69"/>
        <v>867.39201431999993</v>
      </c>
      <c r="G86" s="110">
        <f t="shared" si="69"/>
        <v>1000.8136288799998</v>
      </c>
      <c r="H86" s="110">
        <f t="shared" si="69"/>
        <v>854.74278864000007</v>
      </c>
      <c r="I86" s="110">
        <f t="shared" si="69"/>
        <v>909.09887327999979</v>
      </c>
      <c r="J86" s="110">
        <f t="shared" si="69"/>
        <v>931.06735956</v>
      </c>
      <c r="K86" s="110">
        <f t="shared" si="69"/>
        <v>886.78626659999998</v>
      </c>
      <c r="L86" s="110">
        <f t="shared" si="69"/>
        <v>861.37871039999993</v>
      </c>
      <c r="M86" s="110">
        <f t="shared" si="69"/>
        <v>953.6891410799999</v>
      </c>
      <c r="N86" s="110">
        <f t="shared" si="69"/>
        <v>899.58381083999996</v>
      </c>
      <c r="O86" s="110">
        <f t="shared" si="69"/>
        <v>899.58381084000007</v>
      </c>
      <c r="P86" s="110">
        <f t="shared" si="69"/>
        <v>944.20262196000033</v>
      </c>
      <c r="Q86" s="110">
        <f t="shared" si="69"/>
        <v>989.82551771999988</v>
      </c>
      <c r="R86" s="110">
        <f t="shared" ref="R86:V86" si="70">R87+R88</f>
        <v>834.56399520000002</v>
      </c>
      <c r="S86" s="110">
        <f t="shared" si="70"/>
        <v>757.38712607999992</v>
      </c>
      <c r="T86" s="110">
        <f t="shared" si="70"/>
        <v>792.13394987999993</v>
      </c>
      <c r="U86" s="110">
        <f t="shared" si="70"/>
        <v>839.75514480000004</v>
      </c>
      <c r="V86" s="110">
        <f t="shared" si="70"/>
        <v>839.79435851999995</v>
      </c>
      <c r="W86" s="110">
        <f t="shared" ref="W86:Y86" si="71">W87+W88</f>
        <v>1139.7670455600005</v>
      </c>
      <c r="X86" s="110">
        <f t="shared" si="71"/>
        <v>732.8489407200002</v>
      </c>
      <c r="Y86" s="110">
        <f t="shared" si="71"/>
        <v>730.01008079999997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37.385679748853072</v>
      </c>
      <c r="C87" s="102">
        <f>TrNavi_emi!C$4</f>
        <v>30.858603393926138</v>
      </c>
      <c r="D87" s="102">
        <f>TrNavi_emi!D$4</f>
        <v>33.267922914449663</v>
      </c>
      <c r="E87" s="102">
        <f>TrNavi_emi!E$4</f>
        <v>24.19913213431122</v>
      </c>
      <c r="F87" s="102">
        <f>TrNavi_emi!F$4</f>
        <v>23.18926851118211</v>
      </c>
      <c r="G87" s="102">
        <f>TrNavi_emi!G$4</f>
        <v>21.929017918937824</v>
      </c>
      <c r="H87" s="102">
        <f>TrNavi_emi!H$4</f>
        <v>27.398447559476356</v>
      </c>
      <c r="I87" s="102">
        <f>TrNavi_emi!I$4</f>
        <v>32.002111694512926</v>
      </c>
      <c r="J87" s="102">
        <f>TrNavi_emi!J$4</f>
        <v>32.795965549202698</v>
      </c>
      <c r="K87" s="102">
        <f>TrNavi_emi!K$4</f>
        <v>25.262308844947157</v>
      </c>
      <c r="L87" s="102">
        <f>TrNavi_emi!L$4</f>
        <v>24.277392212102427</v>
      </c>
      <c r="M87" s="102">
        <f>TrNavi_emi!M$4</f>
        <v>28.551174743654016</v>
      </c>
      <c r="N87" s="102">
        <f>TrNavi_emi!N$4</f>
        <v>32.481659566930034</v>
      </c>
      <c r="O87" s="102">
        <f>TrNavi_emi!O$4</f>
        <v>36.541786584712384</v>
      </c>
      <c r="P87" s="102">
        <f>TrNavi_emi!P$4</f>
        <v>35.88344620202836</v>
      </c>
      <c r="Q87" s="102">
        <f>TrNavi_emi!Q$4</f>
        <v>25.170187248628196</v>
      </c>
      <c r="R87" s="102">
        <f>TrNavi_emi!R$4</f>
        <v>25.319686501508773</v>
      </c>
      <c r="S87" s="102">
        <f>TrNavi_emi!S$4</f>
        <v>32.410215093847448</v>
      </c>
      <c r="T87" s="102">
        <f>TrNavi_emi!T$4</f>
        <v>29.536114419242068</v>
      </c>
      <c r="U87" s="102">
        <f>TrNavi_emi!U$4</f>
        <v>26.354238153720484</v>
      </c>
      <c r="V87" s="102">
        <f>TrNavi_emi!V$4</f>
        <v>29.282916078588549</v>
      </c>
      <c r="W87" s="102">
        <f>TrNavi_emi!W$4</f>
        <v>25.592842726375579</v>
      </c>
      <c r="X87" s="102">
        <f>TrNavi_emi!X$4</f>
        <v>16.756853899181344</v>
      </c>
      <c r="Y87" s="102">
        <f>TrNavi_emi!Y$4</f>
        <v>20.7826840276491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842.03320917114706</v>
      </c>
      <c r="C88" s="169">
        <f>TrNavi_emi!C$5</f>
        <v>816.69713732607408</v>
      </c>
      <c r="D88" s="169">
        <f>TrNavi_emi!D$5</f>
        <v>705.95364744555013</v>
      </c>
      <c r="E88" s="169">
        <f>TrNavi_emi!E$5</f>
        <v>744.69762090568895</v>
      </c>
      <c r="F88" s="169">
        <f>TrNavi_emi!F$5</f>
        <v>844.20274580881778</v>
      </c>
      <c r="G88" s="169">
        <f>TrNavi_emi!G$5</f>
        <v>978.88461096106198</v>
      </c>
      <c r="H88" s="169">
        <f>TrNavi_emi!H$5</f>
        <v>827.34434108052369</v>
      </c>
      <c r="I88" s="169">
        <f>TrNavi_emi!I$5</f>
        <v>877.09676158548689</v>
      </c>
      <c r="J88" s="169">
        <f>TrNavi_emi!J$5</f>
        <v>898.27139401079728</v>
      </c>
      <c r="K88" s="169">
        <f>TrNavi_emi!K$5</f>
        <v>861.52395775505283</v>
      </c>
      <c r="L88" s="169">
        <f>TrNavi_emi!L$5</f>
        <v>837.1013181878975</v>
      </c>
      <c r="M88" s="169">
        <f>TrNavi_emi!M$5</f>
        <v>925.13796633634593</v>
      </c>
      <c r="N88" s="169">
        <f>TrNavi_emi!N$5</f>
        <v>867.10215127306992</v>
      </c>
      <c r="O88" s="169">
        <f>TrNavi_emi!O$5</f>
        <v>863.04202425528763</v>
      </c>
      <c r="P88" s="169">
        <f>TrNavi_emi!P$5</f>
        <v>908.31917575797195</v>
      </c>
      <c r="Q88" s="169">
        <f>TrNavi_emi!Q$5</f>
        <v>964.65533047137171</v>
      </c>
      <c r="R88" s="169">
        <f>TrNavi_emi!R$5</f>
        <v>809.2443086984913</v>
      </c>
      <c r="S88" s="169">
        <f>TrNavi_emi!S$5</f>
        <v>724.97691098615246</v>
      </c>
      <c r="T88" s="169">
        <f>TrNavi_emi!T$5</f>
        <v>762.59783546075789</v>
      </c>
      <c r="U88" s="169">
        <f>TrNavi_emi!U$5</f>
        <v>813.40090664627951</v>
      </c>
      <c r="V88" s="169">
        <f>TrNavi_emi!V$5</f>
        <v>810.51144244141142</v>
      </c>
      <c r="W88" s="169">
        <f>TrNavi_emi!W$5</f>
        <v>1114.1742028336248</v>
      </c>
      <c r="X88" s="169">
        <f>TrNavi_emi!X$5</f>
        <v>716.09208682081885</v>
      </c>
      <c r="Y88" s="169">
        <f>TrNavi_emi!Y$5</f>
        <v>709.22739677235086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7048.6161919199994</v>
      </c>
      <c r="C89" s="28">
        <f t="shared" si="72"/>
        <v>7150.8770125199999</v>
      </c>
      <c r="D89" s="28">
        <f t="shared" si="72"/>
        <v>7666.8093277200005</v>
      </c>
      <c r="E89" s="28">
        <f t="shared" si="72"/>
        <v>8366.8347752400005</v>
      </c>
      <c r="F89" s="28">
        <f t="shared" si="72"/>
        <v>8555.6309209200008</v>
      </c>
      <c r="G89" s="28">
        <f t="shared" si="72"/>
        <v>8006.8214808000002</v>
      </c>
      <c r="H89" s="28">
        <f t="shared" si="72"/>
        <v>8274.4358223599993</v>
      </c>
      <c r="I89" s="28">
        <f t="shared" si="72"/>
        <v>9866.2997473200012</v>
      </c>
      <c r="J89" s="28">
        <f t="shared" si="72"/>
        <v>9565.8425164799992</v>
      </c>
      <c r="K89" s="28">
        <f t="shared" si="72"/>
        <v>8757.5000813999995</v>
      </c>
      <c r="L89" s="28">
        <f t="shared" si="72"/>
        <v>8912.8985284799983</v>
      </c>
      <c r="M89" s="28">
        <f t="shared" si="72"/>
        <v>8743.2781636799991</v>
      </c>
      <c r="N89" s="28">
        <f t="shared" si="72"/>
        <v>8165.5985584799982</v>
      </c>
      <c r="O89" s="28">
        <f t="shared" si="72"/>
        <v>7378.284052439998</v>
      </c>
      <c r="P89" s="28">
        <f t="shared" si="72"/>
        <v>7408.4933858400009</v>
      </c>
      <c r="Q89" s="28">
        <f t="shared" si="72"/>
        <v>7706.5981956000005</v>
      </c>
      <c r="R89" s="28">
        <f t="shared" si="72"/>
        <v>8989.7576695200041</v>
      </c>
      <c r="S89" s="28">
        <f t="shared" si="72"/>
        <v>7295.759429400001</v>
      </c>
      <c r="T89" s="28">
        <f t="shared" si="72"/>
        <v>5398.2657036000001</v>
      </c>
      <c r="U89" s="28">
        <f t="shared" si="72"/>
        <v>4331.5711826400002</v>
      </c>
      <c r="V89" s="28">
        <f t="shared" si="72"/>
        <v>4218.45423768</v>
      </c>
      <c r="W89" s="28">
        <f t="shared" si="72"/>
        <v>4455.4605476399993</v>
      </c>
      <c r="X89" s="28">
        <f t="shared" ref="X89:Y89" si="73">X90+X91</f>
        <v>4674.9203891999996</v>
      </c>
      <c r="Y89" s="28">
        <f t="shared" si="73"/>
        <v>4136.9165920800006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2461.9933301763685</v>
      </c>
      <c r="C90" s="102">
        <f>MBunk_emi!C$4</f>
        <v>2490.3142640770466</v>
      </c>
      <c r="D90" s="102">
        <f>MBunk_emi!D$4</f>
        <v>2586.3991874414805</v>
      </c>
      <c r="E90" s="102">
        <f>MBunk_emi!E$4</f>
        <v>2777.1211423098202</v>
      </c>
      <c r="F90" s="102">
        <f>MBunk_emi!F$4</f>
        <v>2869.8399477202784</v>
      </c>
      <c r="G90" s="102">
        <f>MBunk_emi!G$4</f>
        <v>2515.7667790454825</v>
      </c>
      <c r="H90" s="102">
        <f>MBunk_emi!H$4</f>
        <v>2490.470759647334</v>
      </c>
      <c r="I90" s="102">
        <f>MBunk_emi!I$4</f>
        <v>2916.0809439471982</v>
      </c>
      <c r="J90" s="102">
        <f>MBunk_emi!J$4</f>
        <v>2700.595786375733</v>
      </c>
      <c r="K90" s="102">
        <f>MBunk_emi!K$4</f>
        <v>2407.9966277691956</v>
      </c>
      <c r="L90" s="102">
        <f>MBunk_emi!L$4</f>
        <v>2391.0390999916608</v>
      </c>
      <c r="M90" s="102">
        <f>MBunk_emi!M$4</f>
        <v>2346.3321378471815</v>
      </c>
      <c r="N90" s="102">
        <f>MBunk_emi!N$4</f>
        <v>2195.8652374309145</v>
      </c>
      <c r="O90" s="102">
        <f>MBunk_emi!O$4</f>
        <v>1971.3498076431056</v>
      </c>
      <c r="P90" s="102">
        <f>MBunk_emi!P$4</f>
        <v>1977.3690677687016</v>
      </c>
      <c r="Q90" s="102">
        <f>MBunk_emi!Q$4</f>
        <v>2095.0375275773622</v>
      </c>
      <c r="R90" s="102">
        <f>MBunk_emi!R$4</f>
        <v>2522.6622516389953</v>
      </c>
      <c r="S90" s="102">
        <f>MBunk_emi!S$4</f>
        <v>2058.3889638100331</v>
      </c>
      <c r="T90" s="102">
        <f>MBunk_emi!T$4</f>
        <v>1567.6100881593125</v>
      </c>
      <c r="U90" s="102">
        <f>MBunk_emi!U$4</f>
        <v>1235.9220152024147</v>
      </c>
      <c r="V90" s="102">
        <f>MBunk_emi!V$4</f>
        <v>1030.1384077132627</v>
      </c>
      <c r="W90" s="102">
        <f>MBunk_emi!W$4</f>
        <v>1194.1598694456143</v>
      </c>
      <c r="X90" s="102">
        <f>MBunk_emi!X$4</f>
        <v>1337.5295323119783</v>
      </c>
      <c r="Y90" s="102">
        <f>MBunk_emi!Y$4</f>
        <v>1258.1460954571332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4586.6228617436309</v>
      </c>
      <c r="C91" s="86">
        <f>MBunk_emi!C$5</f>
        <v>4660.5627484429533</v>
      </c>
      <c r="D91" s="86">
        <f>MBunk_emi!D$5</f>
        <v>5080.41014027852</v>
      </c>
      <c r="E91" s="86">
        <f>MBunk_emi!E$5</f>
        <v>5589.7136329301811</v>
      </c>
      <c r="F91" s="86">
        <f>MBunk_emi!F$5</f>
        <v>5685.7909731997233</v>
      </c>
      <c r="G91" s="86">
        <f>MBunk_emi!G$5</f>
        <v>5491.0547017545177</v>
      </c>
      <c r="H91" s="86">
        <f>MBunk_emi!H$5</f>
        <v>5783.9650627126657</v>
      </c>
      <c r="I91" s="86">
        <f>MBunk_emi!I$5</f>
        <v>6950.2188033728034</v>
      </c>
      <c r="J91" s="86">
        <f>MBunk_emi!J$5</f>
        <v>6865.246730104267</v>
      </c>
      <c r="K91" s="86">
        <f>MBunk_emi!K$5</f>
        <v>6349.503453630804</v>
      </c>
      <c r="L91" s="86">
        <f>MBunk_emi!L$5</f>
        <v>6521.8594284883375</v>
      </c>
      <c r="M91" s="86">
        <f>MBunk_emi!M$5</f>
        <v>6396.9460258328172</v>
      </c>
      <c r="N91" s="86">
        <f>MBunk_emi!N$5</f>
        <v>5969.7333210490842</v>
      </c>
      <c r="O91" s="86">
        <f>MBunk_emi!O$5</f>
        <v>5406.9342447968929</v>
      </c>
      <c r="P91" s="86">
        <f>MBunk_emi!P$5</f>
        <v>5431.1243180712991</v>
      </c>
      <c r="Q91" s="86">
        <f>MBunk_emi!Q$5</f>
        <v>5611.5606680226383</v>
      </c>
      <c r="R91" s="86">
        <f>MBunk_emi!R$5</f>
        <v>6467.095417881008</v>
      </c>
      <c r="S91" s="86">
        <f>MBunk_emi!S$5</f>
        <v>5237.3704655899683</v>
      </c>
      <c r="T91" s="86">
        <f>MBunk_emi!T$5</f>
        <v>3830.6556154406871</v>
      </c>
      <c r="U91" s="86">
        <f>MBunk_emi!U$5</f>
        <v>3095.6491674375852</v>
      </c>
      <c r="V91" s="86">
        <f>MBunk_emi!V$5</f>
        <v>3188.3158299667371</v>
      </c>
      <c r="W91" s="86">
        <f>MBunk_emi!W$5</f>
        <v>3261.3006781943845</v>
      </c>
      <c r="X91" s="86">
        <f>MBunk_emi!X$5</f>
        <v>3337.3908568880211</v>
      </c>
      <c r="Y91" s="86">
        <f>MBunk_emi!Y$5</f>
        <v>2878.7704966228675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0.791626615207916</v>
      </c>
      <c r="C97" s="139">
        <f t="shared" si="75"/>
        <v>0.79611457725906132</v>
      </c>
      <c r="D97" s="139">
        <f t="shared" si="75"/>
        <v>0.80254391335144137</v>
      </c>
      <c r="E97" s="139">
        <f t="shared" si="75"/>
        <v>0.79867638838893062</v>
      </c>
      <c r="F97" s="139">
        <f t="shared" si="75"/>
        <v>0.78588841228993012</v>
      </c>
      <c r="G97" s="139">
        <f t="shared" si="75"/>
        <v>0.77360651934749214</v>
      </c>
      <c r="H97" s="139">
        <f t="shared" si="75"/>
        <v>0.77088621773110799</v>
      </c>
      <c r="I97" s="139">
        <f t="shared" si="75"/>
        <v>0.7659764044561056</v>
      </c>
      <c r="J97" s="139">
        <f t="shared" si="75"/>
        <v>0.76511604998814109</v>
      </c>
      <c r="K97" s="139">
        <f t="shared" si="75"/>
        <v>0.77133225156546936</v>
      </c>
      <c r="L97" s="139">
        <f t="shared" si="75"/>
        <v>0.76349314399710266</v>
      </c>
      <c r="M97" s="139">
        <f t="shared" si="75"/>
        <v>0.75911504248992701</v>
      </c>
      <c r="N97" s="139">
        <f t="shared" si="75"/>
        <v>0.75444518552846174</v>
      </c>
      <c r="O97" s="139">
        <f t="shared" si="75"/>
        <v>0.75444967508971761</v>
      </c>
      <c r="P97" s="139">
        <f t="shared" si="75"/>
        <v>0.75399808897130294</v>
      </c>
      <c r="Q97" s="139">
        <f t="shared" si="75"/>
        <v>0.75191944312310177</v>
      </c>
      <c r="R97" s="139">
        <f t="shared" si="75"/>
        <v>0.74870350496774007</v>
      </c>
      <c r="S97" s="139">
        <f t="shared" si="75"/>
        <v>0.73154856059372309</v>
      </c>
      <c r="T97" s="139">
        <f t="shared" si="75"/>
        <v>0.72478149700843453</v>
      </c>
      <c r="U97" s="139">
        <f t="shared" si="75"/>
        <v>0.72095010433278206</v>
      </c>
      <c r="V97" s="139">
        <f t="shared" si="75"/>
        <v>0.85622837046105416</v>
      </c>
      <c r="W97" s="139">
        <f t="shared" si="75"/>
        <v>0.84738910617180985</v>
      </c>
      <c r="X97" s="139">
        <f t="shared" si="75"/>
        <v>0.75655564172485901</v>
      </c>
      <c r="Y97" s="139">
        <f t="shared" si="75"/>
        <v>0.72693269467625088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1.0219405158892712E-2</v>
      </c>
      <c r="C98" s="140">
        <f t="shared" si="76"/>
        <v>1.020104793727643E-2</v>
      </c>
      <c r="D98" s="140">
        <f t="shared" si="76"/>
        <v>1.0591017652168359E-2</v>
      </c>
      <c r="E98" s="140">
        <f t="shared" si="76"/>
        <v>1.0606689776360697E-2</v>
      </c>
      <c r="F98" s="140">
        <f t="shared" si="76"/>
        <v>1.0647601547052729E-2</v>
      </c>
      <c r="G98" s="140">
        <f t="shared" si="76"/>
        <v>1.0948662896726323E-2</v>
      </c>
      <c r="H98" s="140">
        <f t="shared" si="76"/>
        <v>1.102337293623286E-2</v>
      </c>
      <c r="I98" s="140">
        <f t="shared" si="76"/>
        <v>9.5065742876144724E-3</v>
      </c>
      <c r="J98" s="140">
        <f t="shared" si="76"/>
        <v>9.7178771502932915E-3</v>
      </c>
      <c r="K98" s="140">
        <f t="shared" si="76"/>
        <v>9.8759875630811296E-3</v>
      </c>
      <c r="L98" s="140">
        <f t="shared" si="76"/>
        <v>9.6176609875595724E-3</v>
      </c>
      <c r="M98" s="140">
        <f t="shared" si="76"/>
        <v>1.0187804432211095E-2</v>
      </c>
      <c r="N98" s="140">
        <f t="shared" si="76"/>
        <v>9.7387561047211947E-3</v>
      </c>
      <c r="O98" s="140">
        <f t="shared" si="76"/>
        <v>1.0023040058416201E-2</v>
      </c>
      <c r="P98" s="140">
        <f t="shared" si="76"/>
        <v>1.0310682637381639E-2</v>
      </c>
      <c r="Q98" s="140">
        <f t="shared" si="76"/>
        <v>9.9639440149386152E-3</v>
      </c>
      <c r="R98" s="140">
        <f t="shared" si="76"/>
        <v>1.0024367930361898E-2</v>
      </c>
      <c r="S98" s="140">
        <f t="shared" si="76"/>
        <v>9.7143644239932499E-3</v>
      </c>
      <c r="T98" s="140">
        <f t="shared" si="76"/>
        <v>9.1509418126542105E-3</v>
      </c>
      <c r="U98" s="140">
        <f t="shared" si="76"/>
        <v>9.8261415059257388E-3</v>
      </c>
      <c r="V98" s="140">
        <f t="shared" si="76"/>
        <v>1.2048098889736281E-2</v>
      </c>
      <c r="W98" s="140">
        <f t="shared" si="76"/>
        <v>1.2201651676950259E-2</v>
      </c>
      <c r="X98" s="140">
        <f t="shared" si="76"/>
        <v>1.0549320782898546E-2</v>
      </c>
      <c r="Y98" s="140">
        <f t="shared" si="76"/>
        <v>1.073540116342294E-2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0.72151706106780333</v>
      </c>
      <c r="C99" s="140">
        <f t="shared" si="77"/>
        <v>0.72731097393563471</v>
      </c>
      <c r="D99" s="140">
        <f t="shared" si="77"/>
        <v>0.73450252781696956</v>
      </c>
      <c r="E99" s="140">
        <f t="shared" si="77"/>
        <v>0.73057657830991363</v>
      </c>
      <c r="F99" s="140">
        <f t="shared" si="77"/>
        <v>0.71910792418629443</v>
      </c>
      <c r="G99" s="140">
        <f t="shared" si="77"/>
        <v>0.70730195970748</v>
      </c>
      <c r="H99" s="140">
        <f t="shared" si="77"/>
        <v>0.70575836575651529</v>
      </c>
      <c r="I99" s="140">
        <f t="shared" si="77"/>
        <v>0.70339295775565314</v>
      </c>
      <c r="J99" s="140">
        <f t="shared" si="77"/>
        <v>0.70401700588548355</v>
      </c>
      <c r="K99" s="140">
        <f t="shared" si="77"/>
        <v>0.71132447856863867</v>
      </c>
      <c r="L99" s="140">
        <f t="shared" si="77"/>
        <v>0.70479638670976619</v>
      </c>
      <c r="M99" s="140">
        <f t="shared" si="77"/>
        <v>0.70081661615277369</v>
      </c>
      <c r="N99" s="140">
        <f t="shared" si="77"/>
        <v>0.69842039624620555</v>
      </c>
      <c r="O99" s="140">
        <f t="shared" si="77"/>
        <v>0.6976875198181488</v>
      </c>
      <c r="P99" s="140">
        <f t="shared" si="77"/>
        <v>0.69641849495647412</v>
      </c>
      <c r="Q99" s="140">
        <f t="shared" si="77"/>
        <v>0.69326957733420747</v>
      </c>
      <c r="R99" s="140">
        <f t="shared" si="77"/>
        <v>0.69161182089489559</v>
      </c>
      <c r="S99" s="140">
        <f t="shared" si="77"/>
        <v>0.67484957082021091</v>
      </c>
      <c r="T99" s="140">
        <f t="shared" si="77"/>
        <v>0.6690933481416379</v>
      </c>
      <c r="U99" s="140">
        <f t="shared" si="77"/>
        <v>0.6658994593293085</v>
      </c>
      <c r="V99" s="140">
        <f t="shared" si="77"/>
        <v>0.80915204453516365</v>
      </c>
      <c r="W99" s="140">
        <f t="shared" si="77"/>
        <v>0.80176826447015859</v>
      </c>
      <c r="X99" s="140">
        <f t="shared" si="77"/>
        <v>0.70777089947863991</v>
      </c>
      <c r="Y99" s="140">
        <f t="shared" si="77"/>
        <v>0.67685268404210785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5.989014898121995E-2</v>
      </c>
      <c r="C100" s="140">
        <f t="shared" si="78"/>
        <v>5.8602555386150154E-2</v>
      </c>
      <c r="D100" s="140">
        <f t="shared" si="78"/>
        <v>5.7450367882303489E-2</v>
      </c>
      <c r="E100" s="140">
        <f t="shared" si="78"/>
        <v>5.7493120302656263E-2</v>
      </c>
      <c r="F100" s="140">
        <f t="shared" si="78"/>
        <v>5.6132886556583064E-2</v>
      </c>
      <c r="G100" s="140">
        <f t="shared" si="78"/>
        <v>5.535589674328581E-2</v>
      </c>
      <c r="H100" s="140">
        <f t="shared" si="78"/>
        <v>5.4104479038359944E-2</v>
      </c>
      <c r="I100" s="140">
        <f t="shared" si="78"/>
        <v>5.3076872412837962E-2</v>
      </c>
      <c r="J100" s="140">
        <f t="shared" si="78"/>
        <v>5.1381166952364284E-2</v>
      </c>
      <c r="K100" s="140">
        <f t="shared" si="78"/>
        <v>5.0131785433749576E-2</v>
      </c>
      <c r="L100" s="140">
        <f t="shared" si="78"/>
        <v>4.9079096299776907E-2</v>
      </c>
      <c r="M100" s="140">
        <f t="shared" si="78"/>
        <v>4.8110621904942211E-2</v>
      </c>
      <c r="N100" s="140">
        <f t="shared" si="78"/>
        <v>4.6286033177534991E-2</v>
      </c>
      <c r="O100" s="140">
        <f t="shared" si="78"/>
        <v>4.673911521315248E-2</v>
      </c>
      <c r="P100" s="140">
        <f t="shared" si="78"/>
        <v>4.7268911377447279E-2</v>
      </c>
      <c r="Q100" s="140">
        <f t="shared" si="78"/>
        <v>4.8685921773955657E-2</v>
      </c>
      <c r="R100" s="140">
        <f t="shared" si="78"/>
        <v>4.7067316142482593E-2</v>
      </c>
      <c r="S100" s="140">
        <f t="shared" si="78"/>
        <v>4.6984625349518978E-2</v>
      </c>
      <c r="T100" s="140">
        <f t="shared" si="78"/>
        <v>4.6537207054142403E-2</v>
      </c>
      <c r="U100" s="140">
        <f t="shared" si="78"/>
        <v>4.5224503497547766E-2</v>
      </c>
      <c r="V100" s="140">
        <f t="shared" si="78"/>
        <v>3.5028227036154276E-2</v>
      </c>
      <c r="W100" s="140">
        <f t="shared" si="78"/>
        <v>3.3419190024700993E-2</v>
      </c>
      <c r="X100" s="140">
        <f t="shared" si="78"/>
        <v>3.823542146332054E-2</v>
      </c>
      <c r="Y100" s="140">
        <f t="shared" si="78"/>
        <v>3.9344609470720035E-2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7.8121057520372766E-2</v>
      </c>
      <c r="C101" s="124">
        <f t="shared" si="79"/>
        <v>7.7159178237246356E-2</v>
      </c>
      <c r="D101" s="124">
        <f t="shared" si="79"/>
        <v>7.2820681861363035E-2</v>
      </c>
      <c r="E101" s="124">
        <f t="shared" si="79"/>
        <v>7.3287119262243752E-2</v>
      </c>
      <c r="F101" s="124">
        <f t="shared" si="79"/>
        <v>7.2756022592570843E-2</v>
      </c>
      <c r="G101" s="124">
        <f t="shared" si="79"/>
        <v>7.6176059928933393E-2</v>
      </c>
      <c r="H101" s="124">
        <f t="shared" si="79"/>
        <v>7.7307995492862658E-2</v>
      </c>
      <c r="I101" s="124">
        <f t="shared" si="79"/>
        <v>7.7136677853009816E-2</v>
      </c>
      <c r="J101" s="124">
        <f t="shared" si="79"/>
        <v>7.9610287270603791E-2</v>
      </c>
      <c r="K101" s="124">
        <f t="shared" si="79"/>
        <v>7.9722270183467336E-2</v>
      </c>
      <c r="L101" s="124">
        <f t="shared" si="79"/>
        <v>7.9649937542473126E-2</v>
      </c>
      <c r="M101" s="124">
        <f t="shared" si="79"/>
        <v>7.9933369257147696E-2</v>
      </c>
      <c r="N101" s="124">
        <f t="shared" si="79"/>
        <v>8.2126539844213808E-2</v>
      </c>
      <c r="O101" s="124">
        <f t="shared" si="79"/>
        <v>8.2133372460930679E-2</v>
      </c>
      <c r="P101" s="124">
        <f t="shared" si="79"/>
        <v>8.1753938073360496E-2</v>
      </c>
      <c r="Q101" s="124">
        <f t="shared" si="79"/>
        <v>8.0582305240302965E-2</v>
      </c>
      <c r="R101" s="124">
        <f t="shared" si="79"/>
        <v>8.2196051396961262E-2</v>
      </c>
      <c r="S101" s="124">
        <f t="shared" si="79"/>
        <v>8.474447729641478E-2</v>
      </c>
      <c r="T101" s="124">
        <f t="shared" si="79"/>
        <v>8.6195098012713273E-2</v>
      </c>
      <c r="U101" s="124">
        <f t="shared" si="79"/>
        <v>8.694613680575855E-2</v>
      </c>
      <c r="V101" s="124">
        <f t="shared" si="79"/>
        <v>7.158842388415447E-2</v>
      </c>
      <c r="W101" s="124">
        <f t="shared" si="79"/>
        <v>6.695334985765021E-2</v>
      </c>
      <c r="X101" s="124">
        <f t="shared" si="79"/>
        <v>8.8783479842644716E-2</v>
      </c>
      <c r="Y101" s="124">
        <f t="shared" si="79"/>
        <v>9.1705857867530077E-2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1.2672408335156685E-2</v>
      </c>
      <c r="C102" s="140">
        <f t="shared" si="80"/>
        <v>1.2539411414503744E-2</v>
      </c>
      <c r="D102" s="140">
        <f t="shared" si="80"/>
        <v>1.2545458112372643E-2</v>
      </c>
      <c r="E102" s="140">
        <f t="shared" si="80"/>
        <v>1.2563311473543405E-2</v>
      </c>
      <c r="F102" s="140">
        <f t="shared" si="80"/>
        <v>1.240609146590204E-2</v>
      </c>
      <c r="G102" s="140">
        <f t="shared" si="80"/>
        <v>1.2781993693444585E-2</v>
      </c>
      <c r="H102" s="140">
        <f t="shared" si="80"/>
        <v>1.2726618664166377E-2</v>
      </c>
      <c r="I102" s="140">
        <f t="shared" si="80"/>
        <v>1.292281047933657E-2</v>
      </c>
      <c r="J102" s="140">
        <f t="shared" si="80"/>
        <v>1.292043402841957E-2</v>
      </c>
      <c r="K102" s="140">
        <f t="shared" si="80"/>
        <v>1.3317453862749136E-2</v>
      </c>
      <c r="L102" s="140">
        <f t="shared" si="80"/>
        <v>1.299066079629985E-2</v>
      </c>
      <c r="M102" s="140">
        <f t="shared" si="80"/>
        <v>1.300710624791597E-2</v>
      </c>
      <c r="N102" s="140">
        <f t="shared" si="80"/>
        <v>1.2935154052981158E-2</v>
      </c>
      <c r="O102" s="140">
        <f t="shared" si="80"/>
        <v>1.2901540893547874E-2</v>
      </c>
      <c r="P102" s="140">
        <f t="shared" si="80"/>
        <v>1.2615175705235125E-2</v>
      </c>
      <c r="Q102" s="140">
        <f t="shared" si="80"/>
        <v>1.2489322482719811E-2</v>
      </c>
      <c r="R102" s="140">
        <f t="shared" si="80"/>
        <v>1.2424602087301307E-2</v>
      </c>
      <c r="S102" s="140">
        <f t="shared" si="80"/>
        <v>1.2930168896187619E-2</v>
      </c>
      <c r="T102" s="140">
        <f t="shared" si="80"/>
        <v>1.3104877506446502E-2</v>
      </c>
      <c r="U102" s="140">
        <f t="shared" si="80"/>
        <v>1.2984523027028395E-2</v>
      </c>
      <c r="V102" s="140">
        <f t="shared" si="80"/>
        <v>1.2053831068323678E-2</v>
      </c>
      <c r="W102" s="140">
        <f t="shared" si="80"/>
        <v>1.0912388579494199E-2</v>
      </c>
      <c r="X102" s="140">
        <f t="shared" si="80"/>
        <v>1.2052469809090171E-2</v>
      </c>
      <c r="Y102" s="140">
        <f t="shared" si="80"/>
        <v>1.222661170803252E-2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5.3362122742266975E-2</v>
      </c>
      <c r="C103" s="140">
        <f t="shared" si="81"/>
        <v>5.1385143142740876E-2</v>
      </c>
      <c r="D103" s="140">
        <f t="shared" si="81"/>
        <v>4.7291440607589795E-2</v>
      </c>
      <c r="E103" s="140">
        <f t="shared" si="81"/>
        <v>4.5854809253537819E-2</v>
      </c>
      <c r="F103" s="140">
        <f t="shared" si="81"/>
        <v>4.4120849510657624E-2</v>
      </c>
      <c r="G103" s="140">
        <f t="shared" si="81"/>
        <v>4.6181091454126195E-2</v>
      </c>
      <c r="H103" s="140">
        <f t="shared" si="81"/>
        <v>4.6895071921242558E-2</v>
      </c>
      <c r="I103" s="140">
        <f t="shared" si="81"/>
        <v>4.6421462669114309E-2</v>
      </c>
      <c r="J103" s="140">
        <f t="shared" si="81"/>
        <v>4.7837218185895446E-2</v>
      </c>
      <c r="K103" s="140">
        <f t="shared" si="81"/>
        <v>4.8191002268979398E-2</v>
      </c>
      <c r="L103" s="140">
        <f t="shared" si="81"/>
        <v>4.7666217997621191E-2</v>
      </c>
      <c r="M103" s="140">
        <f t="shared" si="81"/>
        <v>4.8664599261404651E-2</v>
      </c>
      <c r="N103" s="140">
        <f t="shared" si="81"/>
        <v>4.990320095548309E-2</v>
      </c>
      <c r="O103" s="140">
        <f t="shared" si="81"/>
        <v>4.978063416512242E-2</v>
      </c>
      <c r="P103" s="140">
        <f t="shared" si="81"/>
        <v>5.0659809810986986E-2</v>
      </c>
      <c r="Q103" s="140">
        <f t="shared" si="81"/>
        <v>4.9186990400507904E-2</v>
      </c>
      <c r="R103" s="140">
        <f t="shared" si="81"/>
        <v>4.9882584803675807E-2</v>
      </c>
      <c r="S103" s="140">
        <f t="shared" si="81"/>
        <v>5.0387815732835323E-2</v>
      </c>
      <c r="T103" s="140">
        <f t="shared" si="81"/>
        <v>4.9957877921450095E-2</v>
      </c>
      <c r="U103" s="140">
        <f t="shared" si="81"/>
        <v>4.9465130677056809E-2</v>
      </c>
      <c r="V103" s="140">
        <f t="shared" si="81"/>
        <v>4.0832610304439368E-2</v>
      </c>
      <c r="W103" s="140">
        <f t="shared" si="81"/>
        <v>3.6973510876307666E-2</v>
      </c>
      <c r="X103" s="140">
        <f t="shared" si="81"/>
        <v>4.8480020801047193E-2</v>
      </c>
      <c r="Y103" s="140">
        <f t="shared" si="81"/>
        <v>4.9730175608100731E-2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1.2086526442949099E-2</v>
      </c>
      <c r="C104" s="140">
        <f t="shared" si="82"/>
        <v>1.3234623680001742E-2</v>
      </c>
      <c r="D104" s="140">
        <f t="shared" si="82"/>
        <v>1.298378314140059E-2</v>
      </c>
      <c r="E104" s="140">
        <f t="shared" si="82"/>
        <v>1.4868998535162525E-2</v>
      </c>
      <c r="F104" s="140">
        <f t="shared" si="82"/>
        <v>1.6229081616011182E-2</v>
      </c>
      <c r="G104" s="140">
        <f t="shared" si="82"/>
        <v>1.7212974781362606E-2</v>
      </c>
      <c r="H104" s="140">
        <f t="shared" si="82"/>
        <v>1.7686304907453723E-2</v>
      </c>
      <c r="I104" s="140">
        <f t="shared" si="82"/>
        <v>1.7792404704558937E-2</v>
      </c>
      <c r="J104" s="140">
        <f t="shared" si="82"/>
        <v>1.8852635056288775E-2</v>
      </c>
      <c r="K104" s="140">
        <f t="shared" si="82"/>
        <v>1.8213814051738799E-2</v>
      </c>
      <c r="L104" s="140">
        <f t="shared" si="82"/>
        <v>1.8993058748552089E-2</v>
      </c>
      <c r="M104" s="140">
        <f t="shared" si="82"/>
        <v>1.8261663747827082E-2</v>
      </c>
      <c r="N104" s="140">
        <f t="shared" si="82"/>
        <v>1.9288184835749553E-2</v>
      </c>
      <c r="O104" s="140">
        <f t="shared" si="82"/>
        <v>1.9451197402260381E-2</v>
      </c>
      <c r="P104" s="140">
        <f t="shared" si="82"/>
        <v>1.8478952557138391E-2</v>
      </c>
      <c r="Q104" s="140">
        <f t="shared" si="82"/>
        <v>1.8905992357075258E-2</v>
      </c>
      <c r="R104" s="140">
        <f t="shared" si="82"/>
        <v>1.9888864505984143E-2</v>
      </c>
      <c r="S104" s="140">
        <f t="shared" si="82"/>
        <v>2.1426492667391835E-2</v>
      </c>
      <c r="T104" s="140">
        <f t="shared" si="82"/>
        <v>2.3132342584816674E-2</v>
      </c>
      <c r="U104" s="140">
        <f t="shared" si="82"/>
        <v>2.4496483101673343E-2</v>
      </c>
      <c r="V104" s="140">
        <f t="shared" si="82"/>
        <v>1.8701982511391428E-2</v>
      </c>
      <c r="W104" s="140">
        <f t="shared" si="82"/>
        <v>1.9067450401848346E-2</v>
      </c>
      <c r="X104" s="140">
        <f t="shared" si="82"/>
        <v>2.8250989232507361E-2</v>
      </c>
      <c r="Y104" s="140">
        <f t="shared" si="82"/>
        <v>2.974907055139682E-2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0.13025232727171118</v>
      </c>
      <c r="C105" s="124">
        <f t="shared" si="83"/>
        <v>0.12672624450369241</v>
      </c>
      <c r="D105" s="124">
        <f t="shared" si="83"/>
        <v>0.12463540478719563</v>
      </c>
      <c r="E105" s="124">
        <f t="shared" si="83"/>
        <v>0.12803649234882564</v>
      </c>
      <c r="F105" s="124">
        <f t="shared" si="83"/>
        <v>0.14135556511749892</v>
      </c>
      <c r="G105" s="124">
        <f t="shared" si="83"/>
        <v>0.1502174207235745</v>
      </c>
      <c r="H105" s="124">
        <f t="shared" si="83"/>
        <v>0.15180578677602941</v>
      </c>
      <c r="I105" s="124">
        <f t="shared" si="83"/>
        <v>0.15688691769088453</v>
      </c>
      <c r="J105" s="124">
        <f t="shared" si="83"/>
        <v>0.15527366274125518</v>
      </c>
      <c r="K105" s="124">
        <f t="shared" si="83"/>
        <v>0.14894547825106338</v>
      </c>
      <c r="L105" s="124">
        <f t="shared" si="83"/>
        <v>0.1568569184604244</v>
      </c>
      <c r="M105" s="124">
        <f t="shared" si="83"/>
        <v>0.1609515882529253</v>
      </c>
      <c r="N105" s="124">
        <f t="shared" si="83"/>
        <v>0.16342827462732432</v>
      </c>
      <c r="O105" s="124">
        <f t="shared" si="83"/>
        <v>0.1634169524493517</v>
      </c>
      <c r="P105" s="124">
        <f t="shared" si="83"/>
        <v>0.16424797295533658</v>
      </c>
      <c r="Q105" s="124">
        <f t="shared" si="83"/>
        <v>0.16749825163659526</v>
      </c>
      <c r="R105" s="124">
        <f t="shared" si="83"/>
        <v>0.16910044363529886</v>
      </c>
      <c r="S105" s="124">
        <f t="shared" si="83"/>
        <v>0.18370696210986218</v>
      </c>
      <c r="T105" s="124">
        <f t="shared" si="83"/>
        <v>0.18902340497885234</v>
      </c>
      <c r="U105" s="124">
        <f t="shared" si="83"/>
        <v>0.19210375886145936</v>
      </c>
      <c r="V105" s="124">
        <f t="shared" si="83"/>
        <v>7.2183205654791388E-2</v>
      </c>
      <c r="W105" s="124">
        <f t="shared" si="83"/>
        <v>8.5657543970539901E-2</v>
      </c>
      <c r="X105" s="124">
        <f t="shared" si="83"/>
        <v>0.15466087843249629</v>
      </c>
      <c r="Y105" s="124">
        <f t="shared" si="83"/>
        <v>0.18136144745621918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9.5543028634553374E-3</v>
      </c>
      <c r="C106" s="140">
        <f t="shared" si="84"/>
        <v>8.8384574908120794E-3</v>
      </c>
      <c r="D106" s="140">
        <f t="shared" si="84"/>
        <v>9.0377068583129775E-3</v>
      </c>
      <c r="E106" s="140">
        <f t="shared" si="84"/>
        <v>9.3232150756203547E-3</v>
      </c>
      <c r="F106" s="140">
        <f t="shared" si="84"/>
        <v>9.0813660981414572E-3</v>
      </c>
      <c r="G106" s="140">
        <f t="shared" si="84"/>
        <v>9.169013728715562E-3</v>
      </c>
      <c r="H106" s="140">
        <f t="shared" si="84"/>
        <v>9.5488571979614311E-3</v>
      </c>
      <c r="I106" s="140">
        <f t="shared" si="84"/>
        <v>1.0176810827236704E-2</v>
      </c>
      <c r="J106" s="140">
        <f t="shared" si="84"/>
        <v>1.0185712153588105E-2</v>
      </c>
      <c r="K106" s="140">
        <f t="shared" si="84"/>
        <v>9.7978510019721271E-3</v>
      </c>
      <c r="L106" s="140">
        <f t="shared" si="84"/>
        <v>9.795346212993019E-3</v>
      </c>
      <c r="M106" s="140">
        <f t="shared" si="84"/>
        <v>9.4678599025321154E-3</v>
      </c>
      <c r="N106" s="140">
        <f t="shared" si="84"/>
        <v>9.0730256802483197E-3</v>
      </c>
      <c r="O106" s="140">
        <f t="shared" si="84"/>
        <v>8.6189894834777774E-3</v>
      </c>
      <c r="P106" s="140">
        <f t="shared" si="84"/>
        <v>8.4747978584057242E-3</v>
      </c>
      <c r="Q106" s="140">
        <f t="shared" si="84"/>
        <v>8.4037430811951096E-3</v>
      </c>
      <c r="R106" s="140">
        <f t="shared" si="84"/>
        <v>8.5309984929593102E-3</v>
      </c>
      <c r="S106" s="140">
        <f t="shared" si="84"/>
        <v>8.7322203052733176E-3</v>
      </c>
      <c r="T106" s="140">
        <f t="shared" si="84"/>
        <v>8.6182409006942719E-3</v>
      </c>
      <c r="U106" s="140">
        <f t="shared" si="84"/>
        <v>8.4028709748151433E-3</v>
      </c>
      <c r="V106" s="140">
        <f t="shared" si="84"/>
        <v>2.9171108327153742E-3</v>
      </c>
      <c r="W106" s="140">
        <f t="shared" si="84"/>
        <v>2.2701007333971613E-3</v>
      </c>
      <c r="X106" s="140">
        <f t="shared" si="84"/>
        <v>3.798171886460562E-3</v>
      </c>
      <c r="Y106" s="140">
        <f t="shared" si="84"/>
        <v>4.3405471623036073E-3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4.1374182037376216E-2</v>
      </c>
      <c r="C107" s="140">
        <f t="shared" si="85"/>
        <v>3.9981430018423331E-2</v>
      </c>
      <c r="D107" s="140">
        <f t="shared" si="85"/>
        <v>3.7713396853544495E-2</v>
      </c>
      <c r="E107" s="140">
        <f t="shared" si="85"/>
        <v>4.0380369633292064E-2</v>
      </c>
      <c r="F107" s="140">
        <f t="shared" si="85"/>
        <v>4.3256746324935064E-2</v>
      </c>
      <c r="G107" s="140">
        <f t="shared" si="85"/>
        <v>4.6631091283666139E-2</v>
      </c>
      <c r="H107" s="140">
        <f t="shared" si="85"/>
        <v>4.7402929620256419E-2</v>
      </c>
      <c r="I107" s="140">
        <f t="shared" si="85"/>
        <v>4.6982333651405708E-2</v>
      </c>
      <c r="J107" s="140">
        <f t="shared" si="85"/>
        <v>4.4406402646371426E-2</v>
      </c>
      <c r="K107" s="140">
        <f t="shared" si="85"/>
        <v>4.1905518645346654E-2</v>
      </c>
      <c r="L107" s="140">
        <f t="shared" si="85"/>
        <v>4.3054746390985471E-2</v>
      </c>
      <c r="M107" s="140">
        <f t="shared" si="85"/>
        <v>4.5510808552973021E-2</v>
      </c>
      <c r="N107" s="140">
        <f t="shared" si="85"/>
        <v>4.5540618819841436E-2</v>
      </c>
      <c r="O107" s="140">
        <f t="shared" si="85"/>
        <v>4.6333055750010649E-2</v>
      </c>
      <c r="P107" s="140">
        <f t="shared" si="85"/>
        <v>4.7818877081297513E-2</v>
      </c>
      <c r="Q107" s="140">
        <f t="shared" si="85"/>
        <v>4.8516618164347103E-2</v>
      </c>
      <c r="R107" s="140">
        <f t="shared" si="85"/>
        <v>5.1794346495735763E-2</v>
      </c>
      <c r="S107" s="140">
        <f t="shared" si="85"/>
        <v>5.7326637873911519E-2</v>
      </c>
      <c r="T107" s="140">
        <f t="shared" si="85"/>
        <v>5.9709483354885802E-2</v>
      </c>
      <c r="U107" s="140">
        <f t="shared" si="85"/>
        <v>5.8353540975556541E-2</v>
      </c>
      <c r="V107" s="140">
        <f t="shared" si="85"/>
        <v>2.2645565231640376E-2</v>
      </c>
      <c r="W107" s="140">
        <f t="shared" si="85"/>
        <v>3.062161910691413E-2</v>
      </c>
      <c r="X107" s="140">
        <f t="shared" si="85"/>
        <v>5.0702773948920567E-2</v>
      </c>
      <c r="Y107" s="140">
        <f t="shared" si="85"/>
        <v>5.4182579002206827E-2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7.9323842370879624E-2</v>
      </c>
      <c r="C108" s="140">
        <f t="shared" si="86"/>
        <v>7.7906356994456999E-2</v>
      </c>
      <c r="D108" s="140">
        <f t="shared" si="86"/>
        <v>7.7884301075338155E-2</v>
      </c>
      <c r="E108" s="140">
        <f t="shared" si="86"/>
        <v>7.8332907639913199E-2</v>
      </c>
      <c r="F108" s="140">
        <f t="shared" si="86"/>
        <v>8.9017452694422392E-2</v>
      </c>
      <c r="G108" s="140">
        <f t="shared" si="86"/>
        <v>9.4417315711192801E-2</v>
      </c>
      <c r="H108" s="140">
        <f t="shared" si="86"/>
        <v>9.4853999957811547E-2</v>
      </c>
      <c r="I108" s="140">
        <f t="shared" si="86"/>
        <v>9.9727773212242118E-2</v>
      </c>
      <c r="J108" s="140">
        <f t="shared" si="86"/>
        <v>0.10068154794129563</v>
      </c>
      <c r="K108" s="140">
        <f t="shared" si="86"/>
        <v>9.724210860374459E-2</v>
      </c>
      <c r="L108" s="140">
        <f t="shared" si="86"/>
        <v>0.1040068258564459</v>
      </c>
      <c r="M108" s="140">
        <f t="shared" si="86"/>
        <v>0.10597291979742016</v>
      </c>
      <c r="N108" s="140">
        <f t="shared" si="86"/>
        <v>0.10881463012723455</v>
      </c>
      <c r="O108" s="140">
        <f t="shared" si="86"/>
        <v>0.10846490721586327</v>
      </c>
      <c r="P108" s="140">
        <f t="shared" si="86"/>
        <v>0.10795429801563335</v>
      </c>
      <c r="Q108" s="140">
        <f t="shared" si="86"/>
        <v>0.11057789039105306</v>
      </c>
      <c r="R108" s="140">
        <f t="shared" si="86"/>
        <v>0.1087750986466038</v>
      </c>
      <c r="S108" s="140">
        <f t="shared" si="86"/>
        <v>0.11764810393067733</v>
      </c>
      <c r="T108" s="140">
        <f t="shared" si="86"/>
        <v>0.12069568072327226</v>
      </c>
      <c r="U108" s="140">
        <f t="shared" si="86"/>
        <v>0.12534734691108768</v>
      </c>
      <c r="V108" s="140">
        <f t="shared" si="86"/>
        <v>4.6620529590435632E-2</v>
      </c>
      <c r="W108" s="140">
        <f t="shared" si="86"/>
        <v>5.2765824130228615E-2</v>
      </c>
      <c r="X108" s="140">
        <f t="shared" si="86"/>
        <v>0.10015993259711516</v>
      </c>
      <c r="Y108" s="140">
        <f t="shared" si="86"/>
        <v>0.12283832129170875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0.68081211415234966</v>
      </c>
      <c r="C110" s="139">
        <f t="shared" si="88"/>
        <v>0.69267775355133299</v>
      </c>
      <c r="D110" s="139">
        <f t="shared" si="88"/>
        <v>0.69428373266063514</v>
      </c>
      <c r="E110" s="139">
        <f t="shared" si="88"/>
        <v>0.69974354700005736</v>
      </c>
      <c r="F110" s="139">
        <f t="shared" si="88"/>
        <v>0.70253254663353748</v>
      </c>
      <c r="G110" s="139">
        <f t="shared" si="88"/>
        <v>0.69491818140572559</v>
      </c>
      <c r="H110" s="139">
        <f t="shared" si="88"/>
        <v>0.69268781183396411</v>
      </c>
      <c r="I110" s="139">
        <f t="shared" si="88"/>
        <v>0.69180368043765084</v>
      </c>
      <c r="J110" s="139">
        <f t="shared" si="88"/>
        <v>0.69425438248548521</v>
      </c>
      <c r="K110" s="139">
        <f t="shared" si="88"/>
        <v>0.71170575593421037</v>
      </c>
      <c r="L110" s="139">
        <f t="shared" si="88"/>
        <v>0.69637803710590329</v>
      </c>
      <c r="M110" s="139">
        <f t="shared" si="88"/>
        <v>0.70293739204344752</v>
      </c>
      <c r="N110" s="139">
        <f t="shared" si="88"/>
        <v>0.6980729531002674</v>
      </c>
      <c r="O110" s="139">
        <f t="shared" si="88"/>
        <v>0.6997502535802369</v>
      </c>
      <c r="P110" s="139">
        <f t="shared" si="88"/>
        <v>0.70347525951439827</v>
      </c>
      <c r="Q110" s="139">
        <f t="shared" si="88"/>
        <v>0.7095184520486294</v>
      </c>
      <c r="R110" s="139">
        <f t="shared" si="88"/>
        <v>0.69361130929084858</v>
      </c>
      <c r="S110" s="139">
        <f t="shared" si="88"/>
        <v>0.70783375326405007</v>
      </c>
      <c r="T110" s="139">
        <f t="shared" si="88"/>
        <v>0.71400640673770155</v>
      </c>
      <c r="U110" s="139">
        <f t="shared" si="88"/>
        <v>0.71415547415526903</v>
      </c>
      <c r="V110" s="139">
        <f t="shared" si="88"/>
        <v>0.73987267738823592</v>
      </c>
      <c r="W110" s="139">
        <f t="shared" si="88"/>
        <v>0.7268075677178969</v>
      </c>
      <c r="X110" s="139">
        <f t="shared" si="88"/>
        <v>0.72390090862341538</v>
      </c>
      <c r="Y110" s="139">
        <f t="shared" si="88"/>
        <v>0.71871618934846726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2.7321727578441063E-2</v>
      </c>
      <c r="C111" s="140">
        <f t="shared" si="89"/>
        <v>2.8585992677192432E-2</v>
      </c>
      <c r="D111" s="140">
        <f t="shared" si="89"/>
        <v>2.8790493245482981E-2</v>
      </c>
      <c r="E111" s="140">
        <f t="shared" si="89"/>
        <v>2.9643437278722123E-2</v>
      </c>
      <c r="F111" s="140">
        <f t="shared" si="89"/>
        <v>2.7502087865019308E-2</v>
      </c>
      <c r="G111" s="140">
        <f t="shared" si="89"/>
        <v>2.6714281790867028E-2</v>
      </c>
      <c r="H111" s="140">
        <f t="shared" si="89"/>
        <v>2.4901699828162826E-2</v>
      </c>
      <c r="I111" s="140">
        <f t="shared" si="89"/>
        <v>2.3513308468800863E-2</v>
      </c>
      <c r="J111" s="140">
        <f t="shared" si="89"/>
        <v>2.2892396168317196E-2</v>
      </c>
      <c r="K111" s="140">
        <f t="shared" si="89"/>
        <v>2.5856690466279957E-2</v>
      </c>
      <c r="L111" s="140">
        <f t="shared" si="89"/>
        <v>2.3707246641055838E-2</v>
      </c>
      <c r="M111" s="140">
        <f t="shared" si="89"/>
        <v>2.3623559890782853E-2</v>
      </c>
      <c r="N111" s="140">
        <f t="shared" si="89"/>
        <v>2.3723898943250974E-2</v>
      </c>
      <c r="O111" s="140">
        <f t="shared" si="89"/>
        <v>2.4315015638775462E-2</v>
      </c>
      <c r="P111" s="140">
        <f t="shared" si="89"/>
        <v>2.4823667172823839E-2</v>
      </c>
      <c r="Q111" s="140">
        <f t="shared" si="89"/>
        <v>2.7347211377109486E-2</v>
      </c>
      <c r="R111" s="140">
        <f t="shared" si="89"/>
        <v>2.7579636088203709E-2</v>
      </c>
      <c r="S111" s="140">
        <f t="shared" si="89"/>
        <v>2.8056523192733246E-2</v>
      </c>
      <c r="T111" s="140">
        <f t="shared" si="89"/>
        <v>2.793167376645626E-2</v>
      </c>
      <c r="U111" s="140">
        <f t="shared" si="89"/>
        <v>2.9016273470664579E-2</v>
      </c>
      <c r="V111" s="140">
        <f t="shared" si="89"/>
        <v>2.9095033296646686E-2</v>
      </c>
      <c r="W111" s="140">
        <f t="shared" si="89"/>
        <v>2.9098283835403405E-2</v>
      </c>
      <c r="X111" s="140">
        <f t="shared" si="89"/>
        <v>3.0202036027413216E-2</v>
      </c>
      <c r="Y111" s="140">
        <f t="shared" si="89"/>
        <v>3.1987420512816514E-2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0.65349038657390857</v>
      </c>
      <c r="C112" s="140">
        <f t="shared" si="90"/>
        <v>0.66409176087414057</v>
      </c>
      <c r="D112" s="140">
        <f t="shared" si="90"/>
        <v>0.66549323941515204</v>
      </c>
      <c r="E112" s="140">
        <f t="shared" si="90"/>
        <v>0.67010010972133538</v>
      </c>
      <c r="F112" s="140">
        <f t="shared" si="90"/>
        <v>0.67503045876851819</v>
      </c>
      <c r="G112" s="140">
        <f t="shared" si="90"/>
        <v>0.6682038996148586</v>
      </c>
      <c r="H112" s="140">
        <f t="shared" si="90"/>
        <v>0.66778611200580129</v>
      </c>
      <c r="I112" s="140">
        <f t="shared" si="90"/>
        <v>0.66829037196884988</v>
      </c>
      <c r="J112" s="140">
        <f t="shared" si="90"/>
        <v>0.67136198631716804</v>
      </c>
      <c r="K112" s="140">
        <f t="shared" si="90"/>
        <v>0.68584906546793034</v>
      </c>
      <c r="L112" s="140">
        <f t="shared" si="90"/>
        <v>0.67267079046484757</v>
      </c>
      <c r="M112" s="140">
        <f t="shared" si="90"/>
        <v>0.67931383215266472</v>
      </c>
      <c r="N112" s="140">
        <f t="shared" si="90"/>
        <v>0.6743490541570164</v>
      </c>
      <c r="O112" s="140">
        <f t="shared" si="90"/>
        <v>0.67543523794146143</v>
      </c>
      <c r="P112" s="140">
        <f t="shared" si="90"/>
        <v>0.67865159234157446</v>
      </c>
      <c r="Q112" s="140">
        <f t="shared" si="90"/>
        <v>0.68217124067151991</v>
      </c>
      <c r="R112" s="140">
        <f t="shared" si="90"/>
        <v>0.66603167320264478</v>
      </c>
      <c r="S112" s="140">
        <f t="shared" si="90"/>
        <v>0.67977723007131674</v>
      </c>
      <c r="T112" s="140">
        <f t="shared" si="90"/>
        <v>0.68607473297124522</v>
      </c>
      <c r="U112" s="140">
        <f t="shared" si="90"/>
        <v>0.68513920068460454</v>
      </c>
      <c r="V112" s="140">
        <f t="shared" si="90"/>
        <v>0.71077764409158928</v>
      </c>
      <c r="W112" s="140">
        <f t="shared" si="90"/>
        <v>0.69770928388249354</v>
      </c>
      <c r="X112" s="140">
        <f t="shared" si="90"/>
        <v>0.69369887259600216</v>
      </c>
      <c r="Y112" s="140">
        <f t="shared" si="90"/>
        <v>0.68672876883565082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0.16744347812384591</v>
      </c>
      <c r="C113" s="124">
        <f t="shared" si="91"/>
        <v>0.16162447914751962</v>
      </c>
      <c r="D113" s="124">
        <f t="shared" si="91"/>
        <v>0.16126030423875071</v>
      </c>
      <c r="E113" s="124">
        <f t="shared" si="91"/>
        <v>0.16876879043472057</v>
      </c>
      <c r="F113" s="124">
        <f t="shared" si="91"/>
        <v>0.16161868170485286</v>
      </c>
      <c r="G113" s="124">
        <f t="shared" si="91"/>
        <v>0.1719543799563564</v>
      </c>
      <c r="H113" s="124">
        <f t="shared" si="91"/>
        <v>0.18115171141515049</v>
      </c>
      <c r="I113" s="124">
        <f t="shared" si="91"/>
        <v>0.185391184793951</v>
      </c>
      <c r="J113" s="124">
        <f t="shared" si="91"/>
        <v>0.1853829621011932</v>
      </c>
      <c r="K113" s="124">
        <f t="shared" si="91"/>
        <v>0.17026678278180393</v>
      </c>
      <c r="L113" s="124">
        <f t="shared" si="91"/>
        <v>0.17828037185935236</v>
      </c>
      <c r="M113" s="124">
        <f t="shared" si="91"/>
        <v>0.18409306720246954</v>
      </c>
      <c r="N113" s="124">
        <f t="shared" si="91"/>
        <v>0.18180611874239699</v>
      </c>
      <c r="O113" s="124">
        <f t="shared" si="91"/>
        <v>0.17941395534728252</v>
      </c>
      <c r="P113" s="124">
        <f t="shared" si="91"/>
        <v>0.17904496786758148</v>
      </c>
      <c r="Q113" s="124">
        <f t="shared" si="91"/>
        <v>0.1800984214169622</v>
      </c>
      <c r="R113" s="124">
        <f t="shared" si="91"/>
        <v>0.20236672759721769</v>
      </c>
      <c r="S113" s="124">
        <f t="shared" si="91"/>
        <v>0.18630223225897038</v>
      </c>
      <c r="T113" s="124">
        <f t="shared" si="91"/>
        <v>0.19093413543767557</v>
      </c>
      <c r="U113" s="124">
        <f t="shared" si="91"/>
        <v>0.18766787178160013</v>
      </c>
      <c r="V113" s="124">
        <f t="shared" si="91"/>
        <v>0.1664410234470648</v>
      </c>
      <c r="W113" s="124">
        <f t="shared" si="91"/>
        <v>0.18011143648231462</v>
      </c>
      <c r="X113" s="124">
        <f t="shared" si="91"/>
        <v>0.18729568167754648</v>
      </c>
      <c r="Y113" s="124">
        <f t="shared" si="91"/>
        <v>0.1938620433495104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1.500421233325072E-2</v>
      </c>
      <c r="C114" s="124">
        <f t="shared" si="92"/>
        <v>1.4653109472449547E-2</v>
      </c>
      <c r="D114" s="124">
        <f t="shared" si="92"/>
        <v>1.4875716027658029E-2</v>
      </c>
      <c r="E114" s="124">
        <f t="shared" si="92"/>
        <v>1.4791068082428641E-2</v>
      </c>
      <c r="F114" s="124">
        <f t="shared" si="92"/>
        <v>1.5430138868300717E-2</v>
      </c>
      <c r="G114" s="124">
        <f t="shared" si="92"/>
        <v>1.6501025730663258E-2</v>
      </c>
      <c r="H114" s="124">
        <f t="shared" si="92"/>
        <v>1.6519477982537216E-2</v>
      </c>
      <c r="I114" s="124">
        <f t="shared" si="92"/>
        <v>1.6600334295761715E-2</v>
      </c>
      <c r="J114" s="124">
        <f t="shared" si="92"/>
        <v>1.6543807001372021E-2</v>
      </c>
      <c r="K114" s="124">
        <f t="shared" si="92"/>
        <v>1.7869443244374495E-2</v>
      </c>
      <c r="L114" s="124">
        <f t="shared" si="92"/>
        <v>2.099321905656305E-2</v>
      </c>
      <c r="M114" s="124">
        <f t="shared" si="92"/>
        <v>2.2433907565319211E-2</v>
      </c>
      <c r="N114" s="124">
        <f t="shared" si="92"/>
        <v>2.2194435699242003E-2</v>
      </c>
      <c r="O114" s="124">
        <f t="shared" si="92"/>
        <v>2.1948560196484959E-2</v>
      </c>
      <c r="P114" s="124">
        <f t="shared" si="92"/>
        <v>2.2246873508562841E-2</v>
      </c>
      <c r="Q114" s="124">
        <f t="shared" si="92"/>
        <v>2.243532186703313E-2</v>
      </c>
      <c r="R114" s="124">
        <f t="shared" si="92"/>
        <v>2.2223717351396256E-2</v>
      </c>
      <c r="S114" s="124">
        <f t="shared" si="92"/>
        <v>2.3256005598090847E-2</v>
      </c>
      <c r="T114" s="124">
        <f t="shared" si="92"/>
        <v>2.3988250456015273E-2</v>
      </c>
      <c r="U114" s="124">
        <f t="shared" si="92"/>
        <v>2.3051932652029549E-2</v>
      </c>
      <c r="V114" s="124">
        <f t="shared" si="92"/>
        <v>2.2127518536705498E-2</v>
      </c>
      <c r="W114" s="124">
        <f t="shared" si="92"/>
        <v>2.2382278792513113E-2</v>
      </c>
      <c r="X114" s="124">
        <f t="shared" si="92"/>
        <v>2.4091559942111616E-2</v>
      </c>
      <c r="Y114" s="124">
        <f t="shared" si="92"/>
        <v>2.4476702098804339E-2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1.7535801845161957E-4</v>
      </c>
      <c r="C115" s="140">
        <f t="shared" si="93"/>
        <v>1.601542776182864E-4</v>
      </c>
      <c r="D115" s="140">
        <f t="shared" si="93"/>
        <v>1.49115812871192E-4</v>
      </c>
      <c r="E115" s="140">
        <f t="shared" si="93"/>
        <v>1.2383983043103927E-4</v>
      </c>
      <c r="F115" s="140">
        <f t="shared" si="93"/>
        <v>1.0768497473257266E-4</v>
      </c>
      <c r="G115" s="140">
        <f t="shared" si="93"/>
        <v>8.9380854707714829E-5</v>
      </c>
      <c r="H115" s="140">
        <f t="shared" si="93"/>
        <v>8.7611391773790776E-5</v>
      </c>
      <c r="I115" s="140">
        <f t="shared" si="93"/>
        <v>8.2724439267239312E-5</v>
      </c>
      <c r="J115" s="140">
        <f t="shared" si="93"/>
        <v>9.7012032768530103E-5</v>
      </c>
      <c r="K115" s="140">
        <f t="shared" si="93"/>
        <v>9.1658001937260108E-5</v>
      </c>
      <c r="L115" s="140">
        <f t="shared" si="93"/>
        <v>8.4080244965479143E-5</v>
      </c>
      <c r="M115" s="140">
        <f t="shared" si="93"/>
        <v>8.3751555796268863E-5</v>
      </c>
      <c r="N115" s="140">
        <f t="shared" si="93"/>
        <v>7.9010181505980321E-5</v>
      </c>
      <c r="O115" s="140">
        <f t="shared" si="93"/>
        <v>7.3931869538517938E-5</v>
      </c>
      <c r="P115" s="140">
        <f t="shared" si="93"/>
        <v>7.5302059863235996E-5</v>
      </c>
      <c r="Q115" s="140">
        <f t="shared" si="93"/>
        <v>7.6036104950574695E-5</v>
      </c>
      <c r="R115" s="140">
        <f t="shared" ref="R115:V116" si="94">IF(R23=0,0,R23/R$17)</f>
        <v>7.8507908265562653E-5</v>
      </c>
      <c r="S115" s="140">
        <f t="shared" si="94"/>
        <v>8.1260162518174893E-5</v>
      </c>
      <c r="T115" s="140">
        <f t="shared" si="94"/>
        <v>8.5007718828348131E-5</v>
      </c>
      <c r="U115" s="140">
        <f t="shared" si="94"/>
        <v>8.1286886356497307E-5</v>
      </c>
      <c r="V115" s="140">
        <f t="shared" si="94"/>
        <v>7.6479664391240778E-5</v>
      </c>
      <c r="W115" s="140">
        <f t="shared" ref="W115:Y120" si="95">IF(W23=0,0,W23/W$17)</f>
        <v>7.9880269625279881E-5</v>
      </c>
      <c r="X115" s="140">
        <f t="shared" si="95"/>
        <v>8.0796797112616992E-5</v>
      </c>
      <c r="Y115" s="140">
        <f t="shared" si="95"/>
        <v>7.923300193033807E-5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8.788530714775297E-4</v>
      </c>
      <c r="C116" s="140">
        <f t="shared" si="96"/>
        <v>8.8676813918225276E-4</v>
      </c>
      <c r="D116" s="140">
        <f t="shared" si="96"/>
        <v>8.5155241659346697E-4</v>
      </c>
      <c r="E116" s="140">
        <f t="shared" si="96"/>
        <v>8.6334307763640114E-4</v>
      </c>
      <c r="F116" s="140">
        <f t="shared" si="96"/>
        <v>8.8126315193623797E-4</v>
      </c>
      <c r="G116" s="140">
        <f t="shared" si="96"/>
        <v>9.1108373756305678E-4</v>
      </c>
      <c r="H116" s="140">
        <f t="shared" si="96"/>
        <v>8.4701309253887595E-4</v>
      </c>
      <c r="I116" s="140">
        <f t="shared" si="96"/>
        <v>8.8533844885027514E-4</v>
      </c>
      <c r="J116" s="140">
        <f t="shared" si="96"/>
        <v>9.8806418542390917E-4</v>
      </c>
      <c r="K116" s="140">
        <f t="shared" si="96"/>
        <v>1.1382150033974222E-3</v>
      </c>
      <c r="L116" s="140">
        <f t="shared" si="96"/>
        <v>1.1340562803280839E-3</v>
      </c>
      <c r="M116" s="140">
        <f t="shared" si="96"/>
        <v>1.1246223117078377E-3</v>
      </c>
      <c r="N116" s="140">
        <f t="shared" si="96"/>
        <v>1.178444697760466E-3</v>
      </c>
      <c r="O116" s="140">
        <f t="shared" si="96"/>
        <v>1.1386842996891045E-3</v>
      </c>
      <c r="P116" s="140">
        <f t="shared" si="96"/>
        <v>1.2050326229022757E-3</v>
      </c>
      <c r="Q116" s="140">
        <f t="shared" si="96"/>
        <v>1.1922875981196981E-3</v>
      </c>
      <c r="R116" s="140">
        <f t="shared" si="94"/>
        <v>1.1741266625520865E-3</v>
      </c>
      <c r="S116" s="140">
        <f t="shared" si="94"/>
        <v>1.2125219414702707E-3</v>
      </c>
      <c r="T116" s="140">
        <f t="shared" si="94"/>
        <v>1.2811800864373261E-3</v>
      </c>
      <c r="U116" s="140">
        <f t="shared" si="94"/>
        <v>1.2667119606733603E-3</v>
      </c>
      <c r="V116" s="140">
        <f t="shared" si="94"/>
        <v>1.2462669474556799E-3</v>
      </c>
      <c r="W116" s="140">
        <f t="shared" si="95"/>
        <v>1.4084873291307534E-3</v>
      </c>
      <c r="X116" s="140">
        <f t="shared" si="95"/>
        <v>1.343223298481089E-3</v>
      </c>
      <c r="Y116" s="140">
        <f t="shared" si="95"/>
        <v>1.2913977254969042E-3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1.3950001243321571E-2</v>
      </c>
      <c r="C117" s="140">
        <f t="shared" si="97"/>
        <v>1.3606187055649007E-2</v>
      </c>
      <c r="D117" s="140">
        <f t="shared" si="97"/>
        <v>1.3875047798193371E-2</v>
      </c>
      <c r="E117" s="140">
        <f t="shared" si="97"/>
        <v>1.3803885174361201E-2</v>
      </c>
      <c r="F117" s="140">
        <f t="shared" si="97"/>
        <v>1.4441190741631907E-2</v>
      </c>
      <c r="G117" s="140">
        <f t="shared" si="97"/>
        <v>1.5500561138392488E-2</v>
      </c>
      <c r="H117" s="140">
        <f t="shared" si="97"/>
        <v>1.5584853498224549E-2</v>
      </c>
      <c r="I117" s="140">
        <f t="shared" si="97"/>
        <v>1.5632271407644203E-2</v>
      </c>
      <c r="J117" s="140">
        <f t="shared" si="97"/>
        <v>1.5458730783179584E-2</v>
      </c>
      <c r="K117" s="140">
        <f t="shared" si="97"/>
        <v>1.6639570239039812E-2</v>
      </c>
      <c r="L117" s="140">
        <f t="shared" si="97"/>
        <v>1.977508253126949E-2</v>
      </c>
      <c r="M117" s="140">
        <f t="shared" si="97"/>
        <v>2.1225533697815106E-2</v>
      </c>
      <c r="N117" s="140">
        <f t="shared" si="97"/>
        <v>2.0936980819975557E-2</v>
      </c>
      <c r="O117" s="140">
        <f t="shared" si="97"/>
        <v>2.0735944027257334E-2</v>
      </c>
      <c r="P117" s="140">
        <f t="shared" si="97"/>
        <v>2.0966538825797326E-2</v>
      </c>
      <c r="Q117" s="140">
        <f t="shared" si="97"/>
        <v>2.1166998163962857E-2</v>
      </c>
      <c r="R117" s="140">
        <f t="shared" ref="R117:V120" si="98">IF(R25=0,0,R25/R$17)</f>
        <v>2.0971082780578604E-2</v>
      </c>
      <c r="S117" s="140">
        <f t="shared" si="98"/>
        <v>2.1962223494102401E-2</v>
      </c>
      <c r="T117" s="140">
        <f t="shared" si="98"/>
        <v>2.2622062650749598E-2</v>
      </c>
      <c r="U117" s="140">
        <f t="shared" si="98"/>
        <v>2.170393380499969E-2</v>
      </c>
      <c r="V117" s="140">
        <f t="shared" si="98"/>
        <v>2.0804771924858578E-2</v>
      </c>
      <c r="W117" s="140">
        <f t="shared" si="95"/>
        <v>2.0893911193757077E-2</v>
      </c>
      <c r="X117" s="140">
        <f t="shared" si="95"/>
        <v>2.2667539846517908E-2</v>
      </c>
      <c r="Y117" s="140">
        <f t="shared" si="95"/>
        <v>2.3106071371377098E-2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0.13674019539055368</v>
      </c>
      <c r="C118" s="124">
        <f t="shared" si="99"/>
        <v>0.13104465782869787</v>
      </c>
      <c r="D118" s="124">
        <f t="shared" si="99"/>
        <v>0.12958024707295615</v>
      </c>
      <c r="E118" s="124">
        <f t="shared" si="99"/>
        <v>0.11669659448279339</v>
      </c>
      <c r="F118" s="124">
        <f t="shared" si="99"/>
        <v>0.12041863279330892</v>
      </c>
      <c r="G118" s="124">
        <f t="shared" si="99"/>
        <v>0.11662641290725473</v>
      </c>
      <c r="H118" s="124">
        <f t="shared" si="99"/>
        <v>0.10964099876834824</v>
      </c>
      <c r="I118" s="124">
        <f t="shared" si="99"/>
        <v>0.10620480047263647</v>
      </c>
      <c r="J118" s="124">
        <f t="shared" si="99"/>
        <v>0.10381884841194944</v>
      </c>
      <c r="K118" s="124">
        <f t="shared" si="99"/>
        <v>0.1001580180396112</v>
      </c>
      <c r="L118" s="124">
        <f t="shared" si="99"/>
        <v>0.10434837197818131</v>
      </c>
      <c r="M118" s="124">
        <f t="shared" si="99"/>
        <v>9.0535633188763773E-2</v>
      </c>
      <c r="N118" s="124">
        <f t="shared" si="99"/>
        <v>9.7926492458093609E-2</v>
      </c>
      <c r="O118" s="124">
        <f t="shared" si="99"/>
        <v>9.8887230875995769E-2</v>
      </c>
      <c r="P118" s="124">
        <f t="shared" si="99"/>
        <v>9.5232899109457564E-2</v>
      </c>
      <c r="Q118" s="124">
        <f t="shared" si="99"/>
        <v>8.7947804667375382E-2</v>
      </c>
      <c r="R118" s="124">
        <f t="shared" si="98"/>
        <v>8.1798245760537541E-2</v>
      </c>
      <c r="S118" s="124">
        <f t="shared" si="98"/>
        <v>8.2608008878888792E-2</v>
      </c>
      <c r="T118" s="124">
        <f t="shared" si="98"/>
        <v>7.10712073686076E-2</v>
      </c>
      <c r="U118" s="124">
        <f t="shared" si="98"/>
        <v>7.5124721411101353E-2</v>
      </c>
      <c r="V118" s="124">
        <f t="shared" si="98"/>
        <v>7.1558780627993798E-2</v>
      </c>
      <c r="W118" s="124">
        <f t="shared" si="95"/>
        <v>7.0698717007275327E-2</v>
      </c>
      <c r="X118" s="124">
        <f t="shared" si="95"/>
        <v>6.4711849756926468E-2</v>
      </c>
      <c r="Y118" s="124">
        <f t="shared" si="95"/>
        <v>6.2945065203217854E-2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2.1271833131249669E-3</v>
      </c>
      <c r="C119" s="140">
        <f t="shared" si="100"/>
        <v>1.7761860562351081E-3</v>
      </c>
      <c r="D119" s="140">
        <f t="shared" si="100"/>
        <v>1.9271958166653339E-3</v>
      </c>
      <c r="E119" s="140">
        <f t="shared" si="100"/>
        <v>1.4045608517819759E-3</v>
      </c>
      <c r="F119" s="140">
        <f t="shared" si="100"/>
        <v>1.3364005246463042E-3</v>
      </c>
      <c r="G119" s="140">
        <f t="shared" si="100"/>
        <v>1.1203561300317196E-3</v>
      </c>
      <c r="H119" s="140">
        <f t="shared" si="100"/>
        <v>1.3379836592034822E-3</v>
      </c>
      <c r="I119" s="140">
        <f t="shared" si="100"/>
        <v>1.5339549532771895E-3</v>
      </c>
      <c r="J119" s="140">
        <f t="shared" si="100"/>
        <v>1.4217334902545664E-3</v>
      </c>
      <c r="K119" s="140">
        <f t="shared" si="100"/>
        <v>1.0938375167475751E-3</v>
      </c>
      <c r="L119" s="140">
        <f t="shared" si="100"/>
        <v>8.8904122297248751E-4</v>
      </c>
      <c r="M119" s="140">
        <f t="shared" si="100"/>
        <v>1.0155800874002902E-3</v>
      </c>
      <c r="N119" s="140">
        <f t="shared" si="100"/>
        <v>1.315614585878862E-3</v>
      </c>
      <c r="O119" s="140">
        <f t="shared" si="100"/>
        <v>1.4908520615611546E-3</v>
      </c>
      <c r="P119" s="140">
        <f t="shared" si="100"/>
        <v>1.2934671141544736E-3</v>
      </c>
      <c r="Q119" s="140">
        <f t="shared" si="100"/>
        <v>8.2119058599369049E-4</v>
      </c>
      <c r="R119" s="140">
        <f t="shared" si="98"/>
        <v>8.5602280027267149E-4</v>
      </c>
      <c r="S119" s="140">
        <f t="shared" si="98"/>
        <v>1.099956438299042E-3</v>
      </c>
      <c r="T119" s="140">
        <f t="shared" si="98"/>
        <v>9.0194012082181398E-4</v>
      </c>
      <c r="U119" s="140">
        <f t="shared" si="98"/>
        <v>7.8608231002937393E-4</v>
      </c>
      <c r="V119" s="140">
        <f t="shared" si="98"/>
        <v>9.4337356063290074E-4</v>
      </c>
      <c r="W119" s="140">
        <f t="shared" si="95"/>
        <v>6.5529986007624907E-4</v>
      </c>
      <c r="X119" s="140">
        <f t="shared" si="95"/>
        <v>4.7742584647831378E-4</v>
      </c>
      <c r="Y119" s="140">
        <f t="shared" si="95"/>
        <v>6.1306449623219441E-4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0.13461301207742871</v>
      </c>
      <c r="C120" s="127">
        <f t="shared" si="101"/>
        <v>0.12926847177246276</v>
      </c>
      <c r="D120" s="127">
        <f t="shared" si="101"/>
        <v>0.12765305125629084</v>
      </c>
      <c r="E120" s="127">
        <f t="shared" si="101"/>
        <v>0.11529203363101141</v>
      </c>
      <c r="F120" s="127">
        <f t="shared" si="101"/>
        <v>0.11908223226866262</v>
      </c>
      <c r="G120" s="127">
        <f t="shared" si="101"/>
        <v>0.11550605677722302</v>
      </c>
      <c r="H120" s="127">
        <f t="shared" si="101"/>
        <v>0.10830301510914475</v>
      </c>
      <c r="I120" s="127">
        <f t="shared" si="101"/>
        <v>0.10467084551935928</v>
      </c>
      <c r="J120" s="127">
        <f t="shared" si="101"/>
        <v>0.10239711492169487</v>
      </c>
      <c r="K120" s="127">
        <f t="shared" si="101"/>
        <v>9.9064180522863629E-2</v>
      </c>
      <c r="L120" s="127">
        <f t="shared" si="101"/>
        <v>0.10345933075520883</v>
      </c>
      <c r="M120" s="127">
        <f t="shared" si="101"/>
        <v>8.9520053101363475E-2</v>
      </c>
      <c r="N120" s="127">
        <f t="shared" si="101"/>
        <v>9.6610877872214743E-2</v>
      </c>
      <c r="O120" s="127">
        <f t="shared" si="101"/>
        <v>9.7396378814434609E-2</v>
      </c>
      <c r="P120" s="127">
        <f t="shared" si="101"/>
        <v>9.3939431995303094E-2</v>
      </c>
      <c r="Q120" s="127">
        <f t="shared" si="101"/>
        <v>8.7126614081381684E-2</v>
      </c>
      <c r="R120" s="127">
        <f t="shared" si="98"/>
        <v>8.0942222960264876E-2</v>
      </c>
      <c r="S120" s="127">
        <f t="shared" si="98"/>
        <v>8.1508052440589743E-2</v>
      </c>
      <c r="T120" s="127">
        <f t="shared" si="98"/>
        <v>7.0169267247785785E-2</v>
      </c>
      <c r="U120" s="127">
        <f t="shared" si="98"/>
        <v>7.4338639101071982E-2</v>
      </c>
      <c r="V120" s="127">
        <f t="shared" si="98"/>
        <v>7.0615407067360886E-2</v>
      </c>
      <c r="W120" s="127">
        <f t="shared" si="95"/>
        <v>7.0043417147199069E-2</v>
      </c>
      <c r="X120" s="127">
        <f t="shared" si="95"/>
        <v>6.4234423910448146E-2</v>
      </c>
      <c r="Y120" s="127">
        <f t="shared" si="95"/>
        <v>6.2332000706985656E-2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0.12583604993609612</v>
      </c>
      <c r="C122" s="140">
        <f t="shared" si="103"/>
        <v>0.12483082549840042</v>
      </c>
      <c r="D122" s="140">
        <f t="shared" si="103"/>
        <v>0.11786112327531173</v>
      </c>
      <c r="E122" s="140">
        <f t="shared" si="103"/>
        <v>0.11354489132106713</v>
      </c>
      <c r="F122" s="140">
        <f t="shared" si="103"/>
        <v>0.11380158931503327</v>
      </c>
      <c r="G122" s="140">
        <f t="shared" si="103"/>
        <v>0.10174197187323127</v>
      </c>
      <c r="H122" s="140">
        <f t="shared" si="103"/>
        <v>9.5319484366239285E-2</v>
      </c>
      <c r="I122" s="140">
        <f t="shared" si="103"/>
        <v>9.1885065594164983E-2</v>
      </c>
      <c r="J122" s="140">
        <f t="shared" si="103"/>
        <v>8.4495709639329772E-2</v>
      </c>
      <c r="K122" s="140">
        <f t="shared" si="103"/>
        <v>8.1260805636798591E-2</v>
      </c>
      <c r="L122" s="140">
        <f t="shared" si="103"/>
        <v>7.6693516172201812E-2</v>
      </c>
      <c r="M122" s="140">
        <f t="shared" si="103"/>
        <v>7.5116939590553794E-2</v>
      </c>
      <c r="N122" s="140">
        <f t="shared" si="103"/>
        <v>7.475658537377583E-2</v>
      </c>
      <c r="O122" s="140">
        <f t="shared" si="103"/>
        <v>7.3906091685695466E-2</v>
      </c>
      <c r="P122" s="140">
        <f t="shared" si="103"/>
        <v>7.4163036769388471E-2</v>
      </c>
      <c r="Q122" s="140">
        <f t="shared" si="103"/>
        <v>7.7366324844561338E-2</v>
      </c>
      <c r="R122" s="140">
        <f t="shared" si="103"/>
        <v>8.1815893004560575E-2</v>
      </c>
      <c r="S122" s="140">
        <f t="shared" si="103"/>
        <v>8.2046730513799696E-2</v>
      </c>
      <c r="T122" s="140">
        <f t="shared" si="103"/>
        <v>8.5022977603076449E-2</v>
      </c>
      <c r="U122" s="140">
        <f t="shared" si="103"/>
        <v>8.0771866253758207E-2</v>
      </c>
      <c r="V122" s="140">
        <f t="shared" si="103"/>
        <v>7.9769190205041363E-2</v>
      </c>
      <c r="W122" s="140">
        <f t="shared" si="103"/>
        <v>8.5843724948232711E-2</v>
      </c>
      <c r="X122" s="140">
        <f t="shared" si="103"/>
        <v>8.5508373735509915E-2</v>
      </c>
      <c r="Y122" s="140">
        <f t="shared" si="103"/>
        <v>9.4460980693633637E-2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0.87416395006390379</v>
      </c>
      <c r="C123" s="127">
        <f t="shared" si="104"/>
        <v>0.87516917450159959</v>
      </c>
      <c r="D123" s="127">
        <f t="shared" si="104"/>
        <v>0.88213887672468816</v>
      </c>
      <c r="E123" s="127">
        <f t="shared" si="104"/>
        <v>0.88645510867893285</v>
      </c>
      <c r="F123" s="127">
        <f t="shared" si="104"/>
        <v>0.88619841068496674</v>
      </c>
      <c r="G123" s="127">
        <f t="shared" si="104"/>
        <v>0.8982580281267688</v>
      </c>
      <c r="H123" s="127">
        <f t="shared" si="104"/>
        <v>0.90468051563376073</v>
      </c>
      <c r="I123" s="127">
        <f t="shared" si="104"/>
        <v>0.90811493440583502</v>
      </c>
      <c r="J123" s="127">
        <f t="shared" si="104"/>
        <v>0.91550429036067027</v>
      </c>
      <c r="K123" s="127">
        <f t="shared" si="104"/>
        <v>0.91873919436320151</v>
      </c>
      <c r="L123" s="127">
        <f t="shared" si="104"/>
        <v>0.92330648382779823</v>
      </c>
      <c r="M123" s="127">
        <f t="shared" si="104"/>
        <v>0.92488306040944623</v>
      </c>
      <c r="N123" s="127">
        <f t="shared" si="104"/>
        <v>0.92524341462622417</v>
      </c>
      <c r="O123" s="127">
        <f t="shared" si="104"/>
        <v>0.92609390831430449</v>
      </c>
      <c r="P123" s="127">
        <f t="shared" si="104"/>
        <v>0.9258369632306116</v>
      </c>
      <c r="Q123" s="127">
        <f t="shared" si="104"/>
        <v>0.9226336751554387</v>
      </c>
      <c r="R123" s="127">
        <f t="shared" si="104"/>
        <v>0.9181841069954394</v>
      </c>
      <c r="S123" s="127">
        <f t="shared" si="104"/>
        <v>0.91795326948620026</v>
      </c>
      <c r="T123" s="127">
        <f t="shared" si="104"/>
        <v>0.91497702239692358</v>
      </c>
      <c r="U123" s="127">
        <f t="shared" si="104"/>
        <v>0.91922813374624179</v>
      </c>
      <c r="V123" s="127">
        <f t="shared" si="104"/>
        <v>0.92023080979495864</v>
      </c>
      <c r="W123" s="127">
        <f t="shared" si="104"/>
        <v>0.91415627505176722</v>
      </c>
      <c r="X123" s="127">
        <f t="shared" si="104"/>
        <v>0.91449162626448999</v>
      </c>
      <c r="Y123" s="127">
        <f t="shared" si="104"/>
        <v>0.90553901930636638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0.83294545126669095</v>
      </c>
      <c r="C127" s="139">
        <f t="shared" ref="C127:Y127" si="107">IF(C35=0,0,C35/C$34)</f>
        <v>0.83725541989019048</v>
      </c>
      <c r="D127" s="139">
        <f t="shared" si="107"/>
        <v>0.83915505783048194</v>
      </c>
      <c r="E127" s="139">
        <f t="shared" si="107"/>
        <v>0.83997800561447278</v>
      </c>
      <c r="F127" s="139">
        <f t="shared" si="107"/>
        <v>0.83307285237659168</v>
      </c>
      <c r="G127" s="139">
        <f t="shared" si="107"/>
        <v>0.82014710577389827</v>
      </c>
      <c r="H127" s="139">
        <f t="shared" si="107"/>
        <v>0.81251492800112324</v>
      </c>
      <c r="I127" s="139">
        <f t="shared" si="107"/>
        <v>0.80409207220615475</v>
      </c>
      <c r="J127" s="139">
        <f t="shared" si="107"/>
        <v>0.80185931715275127</v>
      </c>
      <c r="K127" s="139">
        <f t="shared" si="107"/>
        <v>0.80436138812121905</v>
      </c>
      <c r="L127" s="139">
        <f t="shared" si="107"/>
        <v>0.80691246419702645</v>
      </c>
      <c r="M127" s="139">
        <f t="shared" si="107"/>
        <v>0.81613499674644718</v>
      </c>
      <c r="N127" s="139">
        <f t="shared" si="107"/>
        <v>0.80189833682885647</v>
      </c>
      <c r="O127" s="139">
        <f t="shared" si="107"/>
        <v>0.80611744663042628</v>
      </c>
      <c r="P127" s="139">
        <f t="shared" si="107"/>
        <v>0.81137662182242687</v>
      </c>
      <c r="Q127" s="139">
        <f t="shared" si="107"/>
        <v>0.8150596858245831</v>
      </c>
      <c r="R127" s="139">
        <f t="shared" si="107"/>
        <v>0.80641052042766626</v>
      </c>
      <c r="S127" s="139">
        <f t="shared" si="107"/>
        <v>0.7969555616294387</v>
      </c>
      <c r="T127" s="139">
        <f t="shared" si="107"/>
        <v>0.78383938585578894</v>
      </c>
      <c r="U127" s="139">
        <f t="shared" si="107"/>
        <v>0.78512496452139435</v>
      </c>
      <c r="V127" s="139">
        <f t="shared" si="107"/>
        <v>0.89008303220993612</v>
      </c>
      <c r="W127" s="139">
        <f t="shared" si="107"/>
        <v>0.86011988634004399</v>
      </c>
      <c r="X127" s="139">
        <f t="shared" si="107"/>
        <v>0.80158066967965313</v>
      </c>
      <c r="Y127" s="139">
        <f t="shared" si="107"/>
        <v>0.78821901053460808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9.7894390208273594E-3</v>
      </c>
      <c r="C128" s="140">
        <f t="shared" ref="C128:Y128" si="108">IF(C36=0,0,C36/C$34)</f>
        <v>9.8947851676501383E-3</v>
      </c>
      <c r="D128" s="140">
        <f t="shared" si="108"/>
        <v>1.0190528493086156E-2</v>
      </c>
      <c r="E128" s="140">
        <f t="shared" si="108"/>
        <v>1.0217464313090773E-2</v>
      </c>
      <c r="F128" s="140">
        <f t="shared" si="108"/>
        <v>1.0322397361105263E-2</v>
      </c>
      <c r="G128" s="140">
        <f t="shared" si="108"/>
        <v>1.0552363383882371E-2</v>
      </c>
      <c r="H128" s="140">
        <f t="shared" si="108"/>
        <v>1.0850380297361756E-2</v>
      </c>
      <c r="I128" s="140">
        <f t="shared" si="108"/>
        <v>9.3833362770510478E-3</v>
      </c>
      <c r="J128" s="140">
        <f t="shared" si="108"/>
        <v>9.4868212217961677E-3</v>
      </c>
      <c r="K128" s="140">
        <f t="shared" si="108"/>
        <v>9.6014127280228071E-3</v>
      </c>
      <c r="L128" s="140">
        <f t="shared" si="108"/>
        <v>9.7067059207082227E-3</v>
      </c>
      <c r="M128" s="140">
        <f t="shared" si="108"/>
        <v>9.9533646075932181E-3</v>
      </c>
      <c r="N128" s="140">
        <f t="shared" si="108"/>
        <v>9.9488843421201775E-3</v>
      </c>
      <c r="O128" s="140">
        <f t="shared" si="108"/>
        <v>9.8787641455510798E-3</v>
      </c>
      <c r="P128" s="140">
        <f t="shared" si="108"/>
        <v>9.8367253815528632E-3</v>
      </c>
      <c r="Q128" s="140">
        <f t="shared" si="108"/>
        <v>9.9163984165701168E-3</v>
      </c>
      <c r="R128" s="140">
        <f t="shared" si="108"/>
        <v>9.747913427022855E-3</v>
      </c>
      <c r="S128" s="140">
        <f t="shared" si="108"/>
        <v>8.9938806980684495E-3</v>
      </c>
      <c r="T128" s="140">
        <f t="shared" si="108"/>
        <v>8.8359062081833934E-3</v>
      </c>
      <c r="U128" s="140">
        <f t="shared" si="108"/>
        <v>9.3198289334977102E-3</v>
      </c>
      <c r="V128" s="140">
        <f t="shared" si="108"/>
        <v>1.0634156225222603E-2</v>
      </c>
      <c r="W128" s="140">
        <f t="shared" si="108"/>
        <v>1.1001549013238411E-2</v>
      </c>
      <c r="X128" s="140">
        <f t="shared" si="108"/>
        <v>9.8869505061136651E-3</v>
      </c>
      <c r="Y128" s="140">
        <f t="shared" si="108"/>
        <v>1.0342774034880844E-2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0.77795622693143374</v>
      </c>
      <c r="C129" s="140">
        <f t="shared" ref="C129:Y129" si="109">IF(C37=0,0,C37/C$34)</f>
        <v>0.78277629405601101</v>
      </c>
      <c r="D129" s="140">
        <f t="shared" si="109"/>
        <v>0.78547473568897486</v>
      </c>
      <c r="E129" s="140">
        <f t="shared" si="109"/>
        <v>0.78546577821776986</v>
      </c>
      <c r="F129" s="140">
        <f t="shared" si="109"/>
        <v>0.77913198011269547</v>
      </c>
      <c r="G129" s="140">
        <f t="shared" si="109"/>
        <v>0.76629579411283955</v>
      </c>
      <c r="H129" s="140">
        <f t="shared" si="109"/>
        <v>0.75712659217534339</v>
      </c>
      <c r="I129" s="140">
        <f t="shared" si="109"/>
        <v>0.75246129071695678</v>
      </c>
      <c r="J129" s="140">
        <f t="shared" si="109"/>
        <v>0.75156937092821074</v>
      </c>
      <c r="K129" s="140">
        <f t="shared" si="109"/>
        <v>0.7534991137666982</v>
      </c>
      <c r="L129" s="140">
        <f t="shared" si="109"/>
        <v>0.75307740155142844</v>
      </c>
      <c r="M129" s="140">
        <f t="shared" si="109"/>
        <v>0.75998895378671438</v>
      </c>
      <c r="N129" s="140">
        <f t="shared" si="109"/>
        <v>0.74218421020855663</v>
      </c>
      <c r="O129" s="140">
        <f t="shared" si="109"/>
        <v>0.744587049839604</v>
      </c>
      <c r="P129" s="140">
        <f t="shared" si="109"/>
        <v>0.74890445711731701</v>
      </c>
      <c r="Q129" s="140">
        <f t="shared" si="109"/>
        <v>0.75139415255525555</v>
      </c>
      <c r="R129" s="140">
        <f t="shared" si="109"/>
        <v>0.743324775251618</v>
      </c>
      <c r="S129" s="140">
        <f t="shared" si="109"/>
        <v>0.73615136076904508</v>
      </c>
      <c r="T129" s="140">
        <f t="shared" si="109"/>
        <v>0.72122627851614785</v>
      </c>
      <c r="U129" s="140">
        <f t="shared" si="109"/>
        <v>0.72289047216057178</v>
      </c>
      <c r="V129" s="140">
        <f t="shared" si="109"/>
        <v>0.81533266507931224</v>
      </c>
      <c r="W129" s="140">
        <f t="shared" si="109"/>
        <v>0.78938813285117027</v>
      </c>
      <c r="X129" s="140">
        <f t="shared" si="109"/>
        <v>0.7341795893111065</v>
      </c>
      <c r="Y129" s="140">
        <f t="shared" si="109"/>
        <v>0.72070089847443175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4.5199785314429773E-2</v>
      </c>
      <c r="C130" s="140">
        <f t="shared" ref="C130:Y130" si="110">IF(C38=0,0,C38/C$34)</f>
        <v>4.4584340666529249E-2</v>
      </c>
      <c r="D130" s="140">
        <f t="shared" si="110"/>
        <v>4.3489793648420899E-2</v>
      </c>
      <c r="E130" s="140">
        <f t="shared" si="110"/>
        <v>4.429476308361225E-2</v>
      </c>
      <c r="F130" s="140">
        <f t="shared" si="110"/>
        <v>4.3618474902790971E-2</v>
      </c>
      <c r="G130" s="140">
        <f t="shared" si="110"/>
        <v>4.3298948277176473E-2</v>
      </c>
      <c r="H130" s="140">
        <f t="shared" si="110"/>
        <v>4.4537955528418174E-2</v>
      </c>
      <c r="I130" s="140">
        <f t="shared" si="110"/>
        <v>4.224744521214694E-2</v>
      </c>
      <c r="J130" s="140">
        <f t="shared" si="110"/>
        <v>4.0803125002744425E-2</v>
      </c>
      <c r="K130" s="140">
        <f t="shared" si="110"/>
        <v>4.126086162649819E-2</v>
      </c>
      <c r="L130" s="140">
        <f t="shared" si="110"/>
        <v>4.4128356724889746E-2</v>
      </c>
      <c r="M130" s="140">
        <f t="shared" si="110"/>
        <v>4.6192678352139582E-2</v>
      </c>
      <c r="N130" s="140">
        <f t="shared" si="110"/>
        <v>4.9765242278179689E-2</v>
      </c>
      <c r="O130" s="140">
        <f t="shared" si="110"/>
        <v>5.1651632645271284E-2</v>
      </c>
      <c r="P130" s="140">
        <f t="shared" si="110"/>
        <v>5.263543932355691E-2</v>
      </c>
      <c r="Q130" s="140">
        <f t="shared" si="110"/>
        <v>5.3749134852757431E-2</v>
      </c>
      <c r="R130" s="140">
        <f t="shared" si="110"/>
        <v>5.3337831749025386E-2</v>
      </c>
      <c r="S130" s="140">
        <f t="shared" si="110"/>
        <v>5.1810320162325084E-2</v>
      </c>
      <c r="T130" s="140">
        <f t="shared" si="110"/>
        <v>5.3777201131457647E-2</v>
      </c>
      <c r="U130" s="140">
        <f t="shared" si="110"/>
        <v>5.2914663427324773E-2</v>
      </c>
      <c r="V130" s="140">
        <f t="shared" si="110"/>
        <v>6.4116210905401247E-2</v>
      </c>
      <c r="W130" s="140">
        <f t="shared" si="110"/>
        <v>5.9730204475635318E-2</v>
      </c>
      <c r="X130" s="140">
        <f t="shared" si="110"/>
        <v>5.7514129862432949E-2</v>
      </c>
      <c r="Y130" s="140">
        <f t="shared" si="110"/>
        <v>5.7175338025295501E-2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3.0109041742332025E-2</v>
      </c>
      <c r="C131" s="124">
        <f t="shared" ref="C131:Y131" si="111">IF(C39=0,0,C39/C$34)</f>
        <v>2.9821272293772669E-2</v>
      </c>
      <c r="D131" s="124">
        <f t="shared" si="111"/>
        <v>2.8755021722414641E-2</v>
      </c>
      <c r="E131" s="124">
        <f t="shared" si="111"/>
        <v>2.5974541010038536E-2</v>
      </c>
      <c r="F131" s="124">
        <f t="shared" si="111"/>
        <v>2.4968977010927915E-2</v>
      </c>
      <c r="G131" s="124">
        <f t="shared" si="111"/>
        <v>2.5661055077178061E-2</v>
      </c>
      <c r="H131" s="124">
        <f t="shared" si="111"/>
        <v>2.4019582315542451E-2</v>
      </c>
      <c r="I131" s="124">
        <f t="shared" si="111"/>
        <v>2.3433785731593972E-2</v>
      </c>
      <c r="J131" s="124">
        <f t="shared" si="111"/>
        <v>2.290143495217601E-2</v>
      </c>
      <c r="K131" s="124">
        <f t="shared" si="111"/>
        <v>2.282832175779801E-2</v>
      </c>
      <c r="L131" s="124">
        <f t="shared" si="111"/>
        <v>2.3996230416665973E-2</v>
      </c>
      <c r="M131" s="124">
        <f t="shared" si="111"/>
        <v>2.2872391643070044E-2</v>
      </c>
      <c r="N131" s="124">
        <f t="shared" si="111"/>
        <v>2.2903736396458266E-2</v>
      </c>
      <c r="O131" s="124">
        <f t="shared" si="111"/>
        <v>2.184121199431344E-2</v>
      </c>
      <c r="P131" s="124">
        <f t="shared" si="111"/>
        <v>2.1039523414412158E-2</v>
      </c>
      <c r="Q131" s="124">
        <f t="shared" si="111"/>
        <v>2.0109973948587719E-2</v>
      </c>
      <c r="R131" s="124">
        <f t="shared" si="111"/>
        <v>2.0055241577357198E-2</v>
      </c>
      <c r="S131" s="124">
        <f t="shared" si="111"/>
        <v>1.8860524889377849E-2</v>
      </c>
      <c r="T131" s="124">
        <f t="shared" si="111"/>
        <v>1.8811974416202346E-2</v>
      </c>
      <c r="U131" s="124">
        <f t="shared" si="111"/>
        <v>1.8657466753764673E-2</v>
      </c>
      <c r="V131" s="124">
        <f t="shared" si="111"/>
        <v>2.2479547604564724E-2</v>
      </c>
      <c r="W131" s="124">
        <f t="shared" si="111"/>
        <v>2.6291085885408624E-2</v>
      </c>
      <c r="X131" s="124">
        <f t="shared" si="111"/>
        <v>2.1861600707228698E-2</v>
      </c>
      <c r="Y131" s="124">
        <f t="shared" si="111"/>
        <v>2.2155992497201821E-2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1.8718891084073506E-3</v>
      </c>
      <c r="C132" s="140">
        <f t="shared" ref="C132:Y132" si="112">IF(C40=0,0,C40/C$34)</f>
        <v>1.8455001393570057E-3</v>
      </c>
      <c r="D132" s="140">
        <f t="shared" si="112"/>
        <v>1.8753694205616719E-3</v>
      </c>
      <c r="E132" s="140">
        <f t="shared" si="112"/>
        <v>1.952210362939574E-3</v>
      </c>
      <c r="F132" s="140">
        <f t="shared" si="112"/>
        <v>1.8692898122949244E-3</v>
      </c>
      <c r="G132" s="140">
        <f t="shared" si="112"/>
        <v>1.8092482104124974E-3</v>
      </c>
      <c r="H132" s="140">
        <f t="shared" si="112"/>
        <v>1.7259120967517297E-3</v>
      </c>
      <c r="I132" s="140">
        <f t="shared" si="112"/>
        <v>1.7068108867079866E-3</v>
      </c>
      <c r="J132" s="140">
        <f t="shared" si="112"/>
        <v>1.690322048857394E-3</v>
      </c>
      <c r="K132" s="140">
        <f t="shared" si="112"/>
        <v>1.7482229446085826E-3</v>
      </c>
      <c r="L132" s="140">
        <f t="shared" si="112"/>
        <v>1.7599763756028174E-3</v>
      </c>
      <c r="M132" s="140">
        <f t="shared" si="112"/>
        <v>1.7541541543558408E-3</v>
      </c>
      <c r="N132" s="140">
        <f t="shared" si="112"/>
        <v>1.6596403212310214E-3</v>
      </c>
      <c r="O132" s="140">
        <f t="shared" si="112"/>
        <v>1.5900728636778004E-3</v>
      </c>
      <c r="P132" s="140">
        <f t="shared" si="112"/>
        <v>1.5232339572342889E-3</v>
      </c>
      <c r="Q132" s="140">
        <f t="shared" si="112"/>
        <v>1.4227025929029419E-3</v>
      </c>
      <c r="R132" s="140">
        <f t="shared" si="112"/>
        <v>1.3415788855706604E-3</v>
      </c>
      <c r="S132" s="140">
        <f t="shared" si="112"/>
        <v>1.2870888881306175E-3</v>
      </c>
      <c r="T132" s="140">
        <f t="shared" si="112"/>
        <v>1.3318258315600001E-3</v>
      </c>
      <c r="U132" s="140">
        <f t="shared" si="112"/>
        <v>1.2811623976656948E-3</v>
      </c>
      <c r="V132" s="140">
        <f t="shared" si="112"/>
        <v>1.3390290271803878E-3</v>
      </c>
      <c r="W132" s="140">
        <f t="shared" si="112"/>
        <v>1.3311863253095862E-3</v>
      </c>
      <c r="X132" s="140">
        <f t="shared" si="112"/>
        <v>9.5375411111169853E-4</v>
      </c>
      <c r="Y132" s="140">
        <f t="shared" si="112"/>
        <v>9.3935151825315117E-4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2.56552984503579E-2</v>
      </c>
      <c r="C133" s="140">
        <f t="shared" ref="C133:Y133" si="113">IF(C41=0,0,C41/C$34)</f>
        <v>2.5027594166402305E-2</v>
      </c>
      <c r="D133" s="140">
        <f t="shared" si="113"/>
        <v>2.4022307597112397E-2</v>
      </c>
      <c r="E133" s="140">
        <f t="shared" si="113"/>
        <v>2.0764875257029709E-2</v>
      </c>
      <c r="F133" s="140">
        <f t="shared" si="113"/>
        <v>1.9617667289977551E-2</v>
      </c>
      <c r="G133" s="140">
        <f t="shared" si="113"/>
        <v>2.033497812898399E-2</v>
      </c>
      <c r="H133" s="140">
        <f t="shared" si="113"/>
        <v>1.8830695612056404E-2</v>
      </c>
      <c r="I133" s="140">
        <f t="shared" si="113"/>
        <v>1.8332684707025815E-2</v>
      </c>
      <c r="J133" s="140">
        <f t="shared" si="113"/>
        <v>1.7655373396554565E-2</v>
      </c>
      <c r="K133" s="140">
        <f t="shared" si="113"/>
        <v>1.7676753684458566E-2</v>
      </c>
      <c r="L133" s="140">
        <f t="shared" si="113"/>
        <v>1.8629337034742646E-2</v>
      </c>
      <c r="M133" s="140">
        <f t="shared" si="113"/>
        <v>1.7680006893205126E-2</v>
      </c>
      <c r="N133" s="140">
        <f t="shared" si="113"/>
        <v>1.7862947690020465E-2</v>
      </c>
      <c r="O133" s="140">
        <f t="shared" si="113"/>
        <v>1.7028023245211566E-2</v>
      </c>
      <c r="P133" s="140">
        <f t="shared" si="113"/>
        <v>1.6536696567746319E-2</v>
      </c>
      <c r="Q133" s="140">
        <f t="shared" si="113"/>
        <v>1.583658622057374E-2</v>
      </c>
      <c r="R133" s="140">
        <f t="shared" si="113"/>
        <v>1.5913767068547829E-2</v>
      </c>
      <c r="S133" s="140">
        <f t="shared" si="113"/>
        <v>1.4838364581666021E-2</v>
      </c>
      <c r="T133" s="140">
        <f t="shared" si="113"/>
        <v>1.4502413588623553E-2</v>
      </c>
      <c r="U133" s="140">
        <f t="shared" si="113"/>
        <v>1.4268065051482617E-2</v>
      </c>
      <c r="V133" s="140">
        <f t="shared" si="113"/>
        <v>1.7178977473170022E-2</v>
      </c>
      <c r="W133" s="140">
        <f t="shared" si="113"/>
        <v>2.1045709871270388E-2</v>
      </c>
      <c r="X133" s="140">
        <f t="shared" si="113"/>
        <v>1.7404046283485946E-2</v>
      </c>
      <c r="Y133" s="140">
        <f t="shared" si="113"/>
        <v>1.7672370006786019E-2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2.5818541835667692E-3</v>
      </c>
      <c r="C134" s="140">
        <f t="shared" ref="C134:Y134" si="114">IF(C42=0,0,C42/C$34)</f>
        <v>2.9481779880133558E-3</v>
      </c>
      <c r="D134" s="140">
        <f t="shared" si="114"/>
        <v>2.8573447047405744E-3</v>
      </c>
      <c r="E134" s="140">
        <f t="shared" si="114"/>
        <v>3.257455390069251E-3</v>
      </c>
      <c r="F134" s="140">
        <f t="shared" si="114"/>
        <v>3.4820199086554424E-3</v>
      </c>
      <c r="G134" s="140">
        <f t="shared" si="114"/>
        <v>3.5168287377815772E-3</v>
      </c>
      <c r="H134" s="140">
        <f t="shared" si="114"/>
        <v>3.4629746067343157E-3</v>
      </c>
      <c r="I134" s="140">
        <f t="shared" si="114"/>
        <v>3.3942901378601724E-3</v>
      </c>
      <c r="J134" s="140">
        <f t="shared" si="114"/>
        <v>3.5557395067640518E-3</v>
      </c>
      <c r="K134" s="140">
        <f t="shared" si="114"/>
        <v>3.4033451287308653E-3</v>
      </c>
      <c r="L134" s="140">
        <f t="shared" si="114"/>
        <v>3.6069170063205065E-3</v>
      </c>
      <c r="M134" s="140">
        <f t="shared" si="114"/>
        <v>3.4382305955090787E-3</v>
      </c>
      <c r="N134" s="140">
        <f t="shared" si="114"/>
        <v>3.3811483852067815E-3</v>
      </c>
      <c r="O134" s="140">
        <f t="shared" si="114"/>
        <v>3.2231158854240751E-3</v>
      </c>
      <c r="P134" s="140">
        <f t="shared" si="114"/>
        <v>2.9795928894315519E-3</v>
      </c>
      <c r="Q134" s="140">
        <f t="shared" si="114"/>
        <v>2.8506851351110356E-3</v>
      </c>
      <c r="R134" s="140">
        <f t="shared" si="114"/>
        <v>2.7998956232387095E-3</v>
      </c>
      <c r="S134" s="140">
        <f t="shared" si="114"/>
        <v>2.7350714195812139E-3</v>
      </c>
      <c r="T134" s="140">
        <f t="shared" si="114"/>
        <v>2.9777349960187927E-3</v>
      </c>
      <c r="U134" s="140">
        <f t="shared" si="114"/>
        <v>3.1082393046163595E-3</v>
      </c>
      <c r="V134" s="140">
        <f t="shared" si="114"/>
        <v>3.9615411042143167E-3</v>
      </c>
      <c r="W134" s="140">
        <f t="shared" si="114"/>
        <v>3.9141896888286497E-3</v>
      </c>
      <c r="X134" s="140">
        <f t="shared" si="114"/>
        <v>3.5038003126310535E-3</v>
      </c>
      <c r="Y134" s="140">
        <f t="shared" si="114"/>
        <v>3.5442709721626507E-3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0.13694550699097702</v>
      </c>
      <c r="C135" s="124">
        <f t="shared" ref="C135:Y135" si="115">IF(C43=0,0,C43/C$34)</f>
        <v>0.13292330781603692</v>
      </c>
      <c r="D135" s="124">
        <f t="shared" si="115"/>
        <v>0.13208992044710335</v>
      </c>
      <c r="E135" s="124">
        <f t="shared" si="115"/>
        <v>0.1340474533754886</v>
      </c>
      <c r="F135" s="124">
        <f t="shared" si="115"/>
        <v>0.14195817061248042</v>
      </c>
      <c r="G135" s="124">
        <f t="shared" si="115"/>
        <v>0.15419183914892362</v>
      </c>
      <c r="H135" s="124">
        <f t="shared" si="115"/>
        <v>0.16346548968333427</v>
      </c>
      <c r="I135" s="124">
        <f t="shared" si="115"/>
        <v>0.1724741420622514</v>
      </c>
      <c r="J135" s="124">
        <f t="shared" si="115"/>
        <v>0.1752392478950727</v>
      </c>
      <c r="K135" s="124">
        <f t="shared" si="115"/>
        <v>0.17281029012098278</v>
      </c>
      <c r="L135" s="124">
        <f t="shared" si="115"/>
        <v>0.16909130538630762</v>
      </c>
      <c r="M135" s="124">
        <f t="shared" si="115"/>
        <v>0.16099261161048284</v>
      </c>
      <c r="N135" s="124">
        <f t="shared" si="115"/>
        <v>0.17519792677468513</v>
      </c>
      <c r="O135" s="124">
        <f t="shared" si="115"/>
        <v>0.17204134137526017</v>
      </c>
      <c r="P135" s="124">
        <f t="shared" si="115"/>
        <v>0.1675838547631609</v>
      </c>
      <c r="Q135" s="124">
        <f t="shared" si="115"/>
        <v>0.16483034022682921</v>
      </c>
      <c r="R135" s="124">
        <f t="shared" si="115"/>
        <v>0.17353423799497644</v>
      </c>
      <c r="S135" s="124">
        <f t="shared" si="115"/>
        <v>0.18418391348118343</v>
      </c>
      <c r="T135" s="124">
        <f t="shared" si="115"/>
        <v>0.19734863972800867</v>
      </c>
      <c r="U135" s="124">
        <f t="shared" si="115"/>
        <v>0.19621756872484092</v>
      </c>
      <c r="V135" s="124">
        <f t="shared" si="115"/>
        <v>8.7437420185499229E-2</v>
      </c>
      <c r="W135" s="124">
        <f t="shared" si="115"/>
        <v>0.11358902777454742</v>
      </c>
      <c r="X135" s="124">
        <f t="shared" si="115"/>
        <v>0.17655772961311827</v>
      </c>
      <c r="Y135" s="124">
        <f t="shared" si="115"/>
        <v>0.18962499696818999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1.8042210679856091E-2</v>
      </c>
      <c r="C136" s="140">
        <f t="shared" ref="C136:Y136" si="116">IF(C44=0,0,C44/C$34)</f>
        <v>1.699654474357078E-2</v>
      </c>
      <c r="D136" s="140">
        <f t="shared" si="116"/>
        <v>1.6778969843374077E-2</v>
      </c>
      <c r="E136" s="140">
        <f t="shared" si="116"/>
        <v>1.6879410546060056E-2</v>
      </c>
      <c r="F136" s="140">
        <f t="shared" si="116"/>
        <v>1.6476212043983304E-2</v>
      </c>
      <c r="G136" s="140">
        <f t="shared" si="116"/>
        <v>1.7508868142159097E-2</v>
      </c>
      <c r="H136" s="140">
        <f t="shared" si="116"/>
        <v>1.8279068305163942E-2</v>
      </c>
      <c r="I136" s="140">
        <f t="shared" si="116"/>
        <v>1.8846467305182735E-2</v>
      </c>
      <c r="J136" s="140">
        <f t="shared" si="116"/>
        <v>1.878842781402959E-2</v>
      </c>
      <c r="K136" s="140">
        <f t="shared" si="116"/>
        <v>1.8271962016240498E-2</v>
      </c>
      <c r="L136" s="140">
        <f t="shared" si="116"/>
        <v>1.7467465166047368E-2</v>
      </c>
      <c r="M136" s="140">
        <f t="shared" si="116"/>
        <v>1.6055765107266595E-2</v>
      </c>
      <c r="N136" s="140">
        <f t="shared" si="116"/>
        <v>1.6247518094805222E-2</v>
      </c>
      <c r="O136" s="140">
        <f t="shared" si="116"/>
        <v>1.4811926839034137E-2</v>
      </c>
      <c r="P136" s="140">
        <f t="shared" si="116"/>
        <v>1.5662192717072112E-2</v>
      </c>
      <c r="Q136" s="140">
        <f t="shared" si="116"/>
        <v>1.5414797692897504E-2</v>
      </c>
      <c r="R136" s="140">
        <f t="shared" si="116"/>
        <v>1.5923300665386376E-2</v>
      </c>
      <c r="S136" s="140">
        <f t="shared" si="116"/>
        <v>1.3543503281758457E-2</v>
      </c>
      <c r="T136" s="140">
        <f t="shared" si="116"/>
        <v>1.3690136611463146E-2</v>
      </c>
      <c r="U136" s="140">
        <f t="shared" si="116"/>
        <v>1.5198769954576245E-2</v>
      </c>
      <c r="V136" s="140">
        <f t="shared" si="116"/>
        <v>7.5863468310981763E-3</v>
      </c>
      <c r="W136" s="140">
        <f t="shared" si="116"/>
        <v>6.062569389201502E-3</v>
      </c>
      <c r="X136" s="140">
        <f t="shared" si="116"/>
        <v>7.7330931771611849E-3</v>
      </c>
      <c r="Y136" s="140">
        <f t="shared" si="116"/>
        <v>8.2643080440856064E-3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3.8826233803260009E-2</v>
      </c>
      <c r="C137" s="140">
        <f t="shared" ref="C137:Y137" si="117">IF(C45=0,0,C45/C$34)</f>
        <v>3.6498913624983566E-2</v>
      </c>
      <c r="D137" s="140">
        <f t="shared" si="117"/>
        <v>3.373889220039647E-2</v>
      </c>
      <c r="E137" s="140">
        <f t="shared" si="117"/>
        <v>3.6605249673294725E-2</v>
      </c>
      <c r="F137" s="140">
        <f t="shared" si="117"/>
        <v>3.8099387576880341E-2</v>
      </c>
      <c r="G137" s="140">
        <f t="shared" si="117"/>
        <v>4.1809182673389747E-2</v>
      </c>
      <c r="H137" s="140">
        <f t="shared" si="117"/>
        <v>4.5441419842437651E-2</v>
      </c>
      <c r="I137" s="140">
        <f t="shared" si="117"/>
        <v>4.9010885561896013E-2</v>
      </c>
      <c r="J137" s="140">
        <f t="shared" si="117"/>
        <v>4.9000029504977005E-2</v>
      </c>
      <c r="K137" s="140">
        <f t="shared" si="117"/>
        <v>4.6623451087071895E-2</v>
      </c>
      <c r="L137" s="140">
        <f t="shared" si="117"/>
        <v>4.5678815844168018E-2</v>
      </c>
      <c r="M137" s="140">
        <f t="shared" si="117"/>
        <v>4.3884894825888227E-2</v>
      </c>
      <c r="N137" s="140">
        <f t="shared" si="117"/>
        <v>4.7398353071115312E-2</v>
      </c>
      <c r="O137" s="140">
        <f t="shared" si="117"/>
        <v>4.6592117167577593E-2</v>
      </c>
      <c r="P137" s="140">
        <f t="shared" si="117"/>
        <v>4.5144909655042004E-2</v>
      </c>
      <c r="Q137" s="140">
        <f t="shared" si="117"/>
        <v>4.4663465277268027E-2</v>
      </c>
      <c r="R137" s="140">
        <f t="shared" si="117"/>
        <v>4.9269252511862871E-2</v>
      </c>
      <c r="S137" s="140">
        <f t="shared" si="117"/>
        <v>5.4742269208244439E-2</v>
      </c>
      <c r="T137" s="140">
        <f t="shared" si="117"/>
        <v>5.8276161675799736E-2</v>
      </c>
      <c r="U137" s="140">
        <f t="shared" si="117"/>
        <v>5.5332777233216036E-2</v>
      </c>
      <c r="V137" s="140">
        <f t="shared" si="117"/>
        <v>2.0333179221046823E-2</v>
      </c>
      <c r="W137" s="140">
        <f t="shared" si="117"/>
        <v>3.0640468170916556E-2</v>
      </c>
      <c r="X137" s="140">
        <f t="shared" si="117"/>
        <v>5.4789391938508299E-2</v>
      </c>
      <c r="Y137" s="140">
        <f t="shared" si="117"/>
        <v>5.7024078627511687E-2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8.0077062507860938E-2</v>
      </c>
      <c r="C138" s="140">
        <f t="shared" ref="C138:Y138" si="118">IF(C46=0,0,C46/C$34)</f>
        <v>7.942784944748256E-2</v>
      </c>
      <c r="D138" s="140">
        <f t="shared" si="118"/>
        <v>8.1572058403332787E-2</v>
      </c>
      <c r="E138" s="140">
        <f t="shared" si="118"/>
        <v>8.0562793156133808E-2</v>
      </c>
      <c r="F138" s="140">
        <f t="shared" si="118"/>
        <v>8.7382570991616781E-2</v>
      </c>
      <c r="G138" s="140">
        <f t="shared" si="118"/>
        <v>9.4873788333374773E-2</v>
      </c>
      <c r="H138" s="140">
        <f t="shared" si="118"/>
        <v>9.9745001535732666E-2</v>
      </c>
      <c r="I138" s="140">
        <f t="shared" si="118"/>
        <v>0.10461678919517266</v>
      </c>
      <c r="J138" s="140">
        <f t="shared" si="118"/>
        <v>0.10745079057606609</v>
      </c>
      <c r="K138" s="140">
        <f t="shared" si="118"/>
        <v>0.1079148770176704</v>
      </c>
      <c r="L138" s="140">
        <f t="shared" si="118"/>
        <v>0.10594502437609225</v>
      </c>
      <c r="M138" s="140">
        <f t="shared" si="118"/>
        <v>0.10105195167732801</v>
      </c>
      <c r="N138" s="140">
        <f t="shared" si="118"/>
        <v>0.11155205560876458</v>
      </c>
      <c r="O138" s="140">
        <f t="shared" si="118"/>
        <v>0.11063729736864843</v>
      </c>
      <c r="P138" s="140">
        <f t="shared" si="118"/>
        <v>0.10677675239104679</v>
      </c>
      <c r="Q138" s="140">
        <f t="shared" si="118"/>
        <v>0.10475207725666366</v>
      </c>
      <c r="R138" s="140">
        <f t="shared" si="118"/>
        <v>0.10834168481772721</v>
      </c>
      <c r="S138" s="140">
        <f t="shared" si="118"/>
        <v>0.11589814099118054</v>
      </c>
      <c r="T138" s="140">
        <f t="shared" si="118"/>
        <v>0.12538234144074578</v>
      </c>
      <c r="U138" s="140">
        <f t="shared" si="118"/>
        <v>0.12568602153704864</v>
      </c>
      <c r="V138" s="140">
        <f t="shared" si="118"/>
        <v>5.9517894133354225E-2</v>
      </c>
      <c r="W138" s="140">
        <f t="shared" si="118"/>
        <v>7.6885990214429364E-2</v>
      </c>
      <c r="X138" s="140">
        <f t="shared" si="118"/>
        <v>0.11403524449744878</v>
      </c>
      <c r="Y138" s="140">
        <f t="shared" si="118"/>
        <v>0.12433661029659271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0.9074015949178672</v>
      </c>
      <c r="C140" s="139">
        <f t="shared" ref="C140:Y140" si="121">IF(C48=0,0,C48/C$47)</f>
        <v>0.90339799292201761</v>
      </c>
      <c r="D140" s="139">
        <f t="shared" si="121"/>
        <v>0.90035863812076844</v>
      </c>
      <c r="E140" s="139">
        <f t="shared" si="121"/>
        <v>0.89876696918145149</v>
      </c>
      <c r="F140" s="139">
        <f t="shared" si="121"/>
        <v>0.89105292160583871</v>
      </c>
      <c r="G140" s="139">
        <f t="shared" si="121"/>
        <v>0.87810468765566718</v>
      </c>
      <c r="H140" s="139">
        <f t="shared" si="121"/>
        <v>0.88668106312420336</v>
      </c>
      <c r="I140" s="139">
        <f t="shared" si="121"/>
        <v>0.88176116225298773</v>
      </c>
      <c r="J140" s="139">
        <f t="shared" si="121"/>
        <v>0.88036588171440766</v>
      </c>
      <c r="K140" s="139">
        <f t="shared" si="121"/>
        <v>0.88251976181484382</v>
      </c>
      <c r="L140" s="139">
        <f t="shared" si="121"/>
        <v>0.88215512675341401</v>
      </c>
      <c r="M140" s="139">
        <f t="shared" si="121"/>
        <v>0.88113885025277805</v>
      </c>
      <c r="N140" s="139">
        <f t="shared" si="121"/>
        <v>0.88778742282483758</v>
      </c>
      <c r="O140" s="139">
        <f t="shared" si="121"/>
        <v>0.88490766765959228</v>
      </c>
      <c r="P140" s="139">
        <f t="shared" si="121"/>
        <v>0.89602396801848405</v>
      </c>
      <c r="Q140" s="139">
        <f t="shared" si="121"/>
        <v>0.88991834249368751</v>
      </c>
      <c r="R140" s="139">
        <f t="shared" si="121"/>
        <v>0.8942154867310671</v>
      </c>
      <c r="S140" s="139">
        <f t="shared" si="121"/>
        <v>0.89105566609082143</v>
      </c>
      <c r="T140" s="139">
        <f t="shared" si="121"/>
        <v>0.88980021759344952</v>
      </c>
      <c r="U140" s="139">
        <f t="shared" si="121"/>
        <v>0.89434111687885798</v>
      </c>
      <c r="V140" s="139">
        <f t="shared" si="121"/>
        <v>0.87829657420422558</v>
      </c>
      <c r="W140" s="139">
        <f t="shared" si="121"/>
        <v>0.84721151210198686</v>
      </c>
      <c r="X140" s="139">
        <f t="shared" si="121"/>
        <v>0.85388475692504007</v>
      </c>
      <c r="Y140" s="139">
        <f t="shared" si="121"/>
        <v>0.85652557592002032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0.18773518330153444</v>
      </c>
      <c r="C141" s="140">
        <f t="shared" ref="C141:Y141" si="122">IF(C49=0,0,C49/C$47)</f>
        <v>0.20187264671067859</v>
      </c>
      <c r="D141" s="140">
        <f t="shared" si="122"/>
        <v>0.20637193854864566</v>
      </c>
      <c r="E141" s="140">
        <f t="shared" si="122"/>
        <v>0.22711669067197632</v>
      </c>
      <c r="F141" s="140">
        <f t="shared" si="122"/>
        <v>0.22028964051040301</v>
      </c>
      <c r="G141" s="140">
        <f t="shared" si="122"/>
        <v>0.22426198879034207</v>
      </c>
      <c r="H141" s="140">
        <f t="shared" si="122"/>
        <v>0.19503214492615123</v>
      </c>
      <c r="I141" s="140">
        <f t="shared" si="122"/>
        <v>0.1918888867974127</v>
      </c>
      <c r="J141" s="140">
        <f t="shared" si="122"/>
        <v>0.1900833798119691</v>
      </c>
      <c r="K141" s="140">
        <f t="shared" si="122"/>
        <v>0.20207181202495253</v>
      </c>
      <c r="L141" s="140">
        <f t="shared" si="122"/>
        <v>0.18046243441723928</v>
      </c>
      <c r="M141" s="140">
        <f t="shared" si="122"/>
        <v>0.18544427270248715</v>
      </c>
      <c r="N141" s="140">
        <f t="shared" si="122"/>
        <v>0.17433589932874818</v>
      </c>
      <c r="O141" s="140">
        <f t="shared" si="122"/>
        <v>0.18244182232825368</v>
      </c>
      <c r="P141" s="140">
        <f t="shared" si="122"/>
        <v>0.18549176969833411</v>
      </c>
      <c r="Q141" s="140">
        <f t="shared" si="122"/>
        <v>0.22181901483157906</v>
      </c>
      <c r="R141" s="140">
        <f t="shared" si="122"/>
        <v>0.22904136853392701</v>
      </c>
      <c r="S141" s="140">
        <f t="shared" si="122"/>
        <v>0.22084263834296566</v>
      </c>
      <c r="T141" s="140">
        <f t="shared" si="122"/>
        <v>0.20572299010215708</v>
      </c>
      <c r="U141" s="140">
        <f t="shared" si="122"/>
        <v>0.21986009335706019</v>
      </c>
      <c r="V141" s="140">
        <f t="shared" si="122"/>
        <v>0.19864638263683387</v>
      </c>
      <c r="W141" s="140">
        <f t="shared" si="122"/>
        <v>0.21482692553233124</v>
      </c>
      <c r="X141" s="140">
        <f t="shared" si="122"/>
        <v>0.23174847994993272</v>
      </c>
      <c r="Y141" s="140">
        <f t="shared" si="122"/>
        <v>0.26241516990060765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0.71966641161633271</v>
      </c>
      <c r="C142" s="140">
        <f t="shared" ref="C142:Y142" si="123">IF(C50=0,0,C50/C$47)</f>
        <v>0.701525346211339</v>
      </c>
      <c r="D142" s="140">
        <f t="shared" si="123"/>
        <v>0.69398669957212278</v>
      </c>
      <c r="E142" s="140">
        <f t="shared" si="123"/>
        <v>0.67165027850947523</v>
      </c>
      <c r="F142" s="140">
        <f t="shared" si="123"/>
        <v>0.6707632810954357</v>
      </c>
      <c r="G142" s="140">
        <f t="shared" si="123"/>
        <v>0.65384269886532509</v>
      </c>
      <c r="H142" s="140">
        <f t="shared" si="123"/>
        <v>0.69164891819805208</v>
      </c>
      <c r="I142" s="140">
        <f t="shared" si="123"/>
        <v>0.68987227545557506</v>
      </c>
      <c r="J142" s="140">
        <f t="shared" si="123"/>
        <v>0.69028250190243856</v>
      </c>
      <c r="K142" s="140">
        <f t="shared" si="123"/>
        <v>0.68044794978989132</v>
      </c>
      <c r="L142" s="140">
        <f t="shared" si="123"/>
        <v>0.70169269233617471</v>
      </c>
      <c r="M142" s="140">
        <f t="shared" si="123"/>
        <v>0.69569457755029096</v>
      </c>
      <c r="N142" s="140">
        <f t="shared" si="123"/>
        <v>0.71345152349608931</v>
      </c>
      <c r="O142" s="140">
        <f t="shared" si="123"/>
        <v>0.7024658453313386</v>
      </c>
      <c r="P142" s="140">
        <f t="shared" si="123"/>
        <v>0.71053219832014991</v>
      </c>
      <c r="Q142" s="140">
        <f t="shared" si="123"/>
        <v>0.66809932766210844</v>
      </c>
      <c r="R142" s="140">
        <f t="shared" si="123"/>
        <v>0.66517411819714001</v>
      </c>
      <c r="S142" s="140">
        <f t="shared" si="123"/>
        <v>0.67021302774785574</v>
      </c>
      <c r="T142" s="140">
        <f t="shared" si="123"/>
        <v>0.68407722749129252</v>
      </c>
      <c r="U142" s="140">
        <f t="shared" si="123"/>
        <v>0.67448102352179784</v>
      </c>
      <c r="V142" s="140">
        <f t="shared" si="123"/>
        <v>0.6796501915673917</v>
      </c>
      <c r="W142" s="140">
        <f t="shared" si="123"/>
        <v>0.63238458656965557</v>
      </c>
      <c r="X142" s="140">
        <f t="shared" si="123"/>
        <v>0.62213627697510721</v>
      </c>
      <c r="Y142" s="140">
        <f t="shared" si="123"/>
        <v>0.59411040601941267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2.7320373682963965E-2</v>
      </c>
      <c r="C143" s="124">
        <f t="shared" ref="C143:Y143" si="124">IF(C51=0,0,C51/C$47)</f>
        <v>3.2923780289538226E-2</v>
      </c>
      <c r="D143" s="124">
        <f t="shared" si="124"/>
        <v>3.4057189229165161E-2</v>
      </c>
      <c r="E143" s="124">
        <f t="shared" si="124"/>
        <v>2.7697212664892817E-2</v>
      </c>
      <c r="F143" s="124">
        <f t="shared" si="124"/>
        <v>2.7019760846842437E-2</v>
      </c>
      <c r="G143" s="124">
        <f t="shared" si="124"/>
        <v>2.5482010850980397E-2</v>
      </c>
      <c r="H143" s="124">
        <f t="shared" si="124"/>
        <v>2.4221111049115722E-2</v>
      </c>
      <c r="I143" s="124">
        <f t="shared" si="124"/>
        <v>2.450812270102453E-2</v>
      </c>
      <c r="J143" s="124">
        <f t="shared" si="124"/>
        <v>2.0608607430340341E-2</v>
      </c>
      <c r="K143" s="124">
        <f t="shared" si="124"/>
        <v>2.1919145658751804E-2</v>
      </c>
      <c r="L143" s="124">
        <f t="shared" si="124"/>
        <v>2.118953939601435E-2</v>
      </c>
      <c r="M143" s="124">
        <f t="shared" si="124"/>
        <v>2.3434005537332339E-2</v>
      </c>
      <c r="N143" s="124">
        <f t="shared" si="124"/>
        <v>2.2480142730167456E-2</v>
      </c>
      <c r="O143" s="124">
        <f t="shared" si="124"/>
        <v>2.2371911407115658E-2</v>
      </c>
      <c r="P143" s="124">
        <f t="shared" si="124"/>
        <v>2.1433841110361319E-2</v>
      </c>
      <c r="Q143" s="124">
        <f t="shared" si="124"/>
        <v>2.1433975186737172E-2</v>
      </c>
      <c r="R143" s="124">
        <f t="shared" si="124"/>
        <v>2.2798799880660168E-2</v>
      </c>
      <c r="S143" s="124">
        <f t="shared" si="124"/>
        <v>2.1442303408436794E-2</v>
      </c>
      <c r="T143" s="124">
        <f t="shared" si="124"/>
        <v>2.1371055536815398E-2</v>
      </c>
      <c r="U143" s="124">
        <f t="shared" si="124"/>
        <v>1.9838010742178714E-2</v>
      </c>
      <c r="V143" s="124">
        <f t="shared" si="124"/>
        <v>1.966523648495638E-2</v>
      </c>
      <c r="W143" s="124">
        <f t="shared" si="124"/>
        <v>2.2893117780006907E-2</v>
      </c>
      <c r="X143" s="124">
        <f t="shared" si="124"/>
        <v>2.044803795134597E-2</v>
      </c>
      <c r="Y143" s="124">
        <f t="shared" si="124"/>
        <v>2.0848677813473979E-2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4.9516267234541E-2</v>
      </c>
      <c r="C144" s="124">
        <f t="shared" ref="C144:Y144" si="125">IF(C52=0,0,C52/C$47)</f>
        <v>4.7678720445859503E-2</v>
      </c>
      <c r="D144" s="124">
        <f t="shared" si="125"/>
        <v>5.1229656430524802E-2</v>
      </c>
      <c r="E144" s="124">
        <f t="shared" si="125"/>
        <v>5.7541167518095432E-2</v>
      </c>
      <c r="F144" s="124">
        <f t="shared" si="125"/>
        <v>6.381560573013853E-2</v>
      </c>
      <c r="G144" s="124">
        <f t="shared" si="125"/>
        <v>7.5265267493418456E-2</v>
      </c>
      <c r="H144" s="124">
        <f t="shared" si="125"/>
        <v>7.3114992105495463E-2</v>
      </c>
      <c r="I144" s="124">
        <f t="shared" si="125"/>
        <v>7.6647571784869528E-2</v>
      </c>
      <c r="J144" s="124">
        <f t="shared" si="125"/>
        <v>8.122208981170892E-2</v>
      </c>
      <c r="K144" s="124">
        <f t="shared" si="125"/>
        <v>7.7694011689361603E-2</v>
      </c>
      <c r="L144" s="124">
        <f t="shared" si="125"/>
        <v>8.0673963373156229E-2</v>
      </c>
      <c r="M144" s="124">
        <f t="shared" si="125"/>
        <v>7.7572773760729463E-2</v>
      </c>
      <c r="N144" s="124">
        <f t="shared" si="125"/>
        <v>7.3494292681436271E-2</v>
      </c>
      <c r="O144" s="124">
        <f t="shared" si="125"/>
        <v>7.6489271806359796E-2</v>
      </c>
      <c r="P144" s="124">
        <f t="shared" si="125"/>
        <v>6.5897327178427903E-2</v>
      </c>
      <c r="Q144" s="124">
        <f t="shared" si="125"/>
        <v>7.0087700608967921E-2</v>
      </c>
      <c r="R144" s="124">
        <f t="shared" si="125"/>
        <v>6.7750618353466754E-2</v>
      </c>
      <c r="S144" s="124">
        <f t="shared" si="125"/>
        <v>7.4374427565386134E-2</v>
      </c>
      <c r="T144" s="124">
        <f t="shared" si="125"/>
        <v>7.5383346785444852E-2</v>
      </c>
      <c r="U144" s="124">
        <f t="shared" si="125"/>
        <v>7.143571574527563E-2</v>
      </c>
      <c r="V144" s="124">
        <f t="shared" si="125"/>
        <v>8.8243380791701465E-2</v>
      </c>
      <c r="W144" s="124">
        <f t="shared" si="125"/>
        <v>0.11059543023106694</v>
      </c>
      <c r="X144" s="124">
        <f t="shared" si="125"/>
        <v>0.1127487266434901</v>
      </c>
      <c r="Y144" s="124">
        <f t="shared" si="125"/>
        <v>0.10840812214873324</v>
      </c>
      <c r="DA144" s="176"/>
    </row>
    <row r="145" spans="1:105" ht="11.45" customHeight="1" x14ac:dyDescent="0.25">
      <c r="A145" s="128" t="s">
        <v>27</v>
      </c>
      <c r="B145" s="140">
        <f t="shared" si="119"/>
        <v>2.8769837876155171E-3</v>
      </c>
      <c r="C145" s="140">
        <f t="shared" ref="C145:Y145" si="126">IF(C53=0,0,C53/C$47)</f>
        <v>2.8265172697203959E-3</v>
      </c>
      <c r="D145" s="140">
        <f t="shared" si="126"/>
        <v>2.5354258589113409E-3</v>
      </c>
      <c r="E145" s="140">
        <f t="shared" si="126"/>
        <v>2.0234985526528561E-3</v>
      </c>
      <c r="F145" s="140">
        <f t="shared" si="126"/>
        <v>1.9505565514155612E-3</v>
      </c>
      <c r="G145" s="140">
        <f t="shared" si="126"/>
        <v>1.8012929280976067E-3</v>
      </c>
      <c r="H145" s="140">
        <f t="shared" si="126"/>
        <v>1.7350708902090374E-3</v>
      </c>
      <c r="I145" s="140">
        <f t="shared" si="126"/>
        <v>1.7135668488713457E-3</v>
      </c>
      <c r="J145" s="140">
        <f t="shared" si="126"/>
        <v>2.2086112813973777E-3</v>
      </c>
      <c r="K145" s="140">
        <f t="shared" si="126"/>
        <v>2.0517014407767623E-3</v>
      </c>
      <c r="L145" s="140">
        <f t="shared" si="126"/>
        <v>1.6723364771650238E-3</v>
      </c>
      <c r="M145" s="140">
        <f t="shared" si="126"/>
        <v>1.3025518854365963E-3</v>
      </c>
      <c r="N145" s="140">
        <f t="shared" si="126"/>
        <v>1.2331709407812901E-3</v>
      </c>
      <c r="O145" s="140">
        <f t="shared" si="126"/>
        <v>1.1686815339153262E-3</v>
      </c>
      <c r="P145" s="140">
        <f t="shared" si="126"/>
        <v>1.3634454314327253E-3</v>
      </c>
      <c r="Q145" s="140">
        <f t="shared" si="126"/>
        <v>1.4764911021659917E-3</v>
      </c>
      <c r="R145" s="140">
        <f t="shared" si="126"/>
        <v>1.4102034490119798E-3</v>
      </c>
      <c r="S145" s="140">
        <f t="shared" si="126"/>
        <v>1.3707645781867448E-3</v>
      </c>
      <c r="T145" s="140">
        <f t="shared" si="126"/>
        <v>1.2583863558943843E-3</v>
      </c>
      <c r="U145" s="140">
        <f t="shared" si="126"/>
        <v>1.2633285133742545E-3</v>
      </c>
      <c r="V145" s="140">
        <f t="shared" si="126"/>
        <v>1.3251441595409207E-3</v>
      </c>
      <c r="W145" s="140">
        <f t="shared" si="126"/>
        <v>1.5381919895257304E-3</v>
      </c>
      <c r="X145" s="140">
        <f t="shared" si="126"/>
        <v>1.3200287113753005E-3</v>
      </c>
      <c r="Y145" s="140">
        <f t="shared" si="126"/>
        <v>1.3768744426220943E-3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3.9581324638785706E-3</v>
      </c>
      <c r="C146" s="140">
        <f t="shared" ref="C146:Y146" si="127">IF(C54=0,0,C54/C$47)</f>
        <v>3.9068746882017112E-3</v>
      </c>
      <c r="D146" s="140">
        <f t="shared" si="127"/>
        <v>4.0351730424212206E-3</v>
      </c>
      <c r="E146" s="140">
        <f t="shared" si="127"/>
        <v>4.1977294367340776E-3</v>
      </c>
      <c r="F146" s="140">
        <f t="shared" si="127"/>
        <v>4.9320406988350839E-3</v>
      </c>
      <c r="G146" s="140">
        <f t="shared" si="127"/>
        <v>5.5854548152333133E-3</v>
      </c>
      <c r="H146" s="140">
        <f t="shared" si="127"/>
        <v>5.7952126024136633E-3</v>
      </c>
      <c r="I146" s="140">
        <f t="shared" si="127"/>
        <v>6.5401406492476164E-3</v>
      </c>
      <c r="J146" s="140">
        <f t="shared" si="127"/>
        <v>7.6086020792476257E-3</v>
      </c>
      <c r="K146" s="140">
        <f t="shared" si="127"/>
        <v>8.2573040062996102E-3</v>
      </c>
      <c r="L146" s="140">
        <f t="shared" si="127"/>
        <v>7.6649788900864995E-3</v>
      </c>
      <c r="M146" s="140">
        <f t="shared" si="127"/>
        <v>7.0236138865327619E-3</v>
      </c>
      <c r="N146" s="140">
        <f t="shared" si="127"/>
        <v>7.069956545953794E-3</v>
      </c>
      <c r="O146" s="140">
        <f t="shared" si="127"/>
        <v>7.1745917976192555E-3</v>
      </c>
      <c r="P146" s="140">
        <f t="shared" si="127"/>
        <v>6.2771554385289636E-3</v>
      </c>
      <c r="Q146" s="140">
        <f t="shared" si="127"/>
        <v>6.7526742784031228E-3</v>
      </c>
      <c r="R146" s="140">
        <f t="shared" si="127"/>
        <v>6.6193267353001637E-3</v>
      </c>
      <c r="S146" s="140">
        <f t="shared" si="127"/>
        <v>7.7335255261337934E-3</v>
      </c>
      <c r="T146" s="140">
        <f t="shared" si="127"/>
        <v>7.6545894121255011E-3</v>
      </c>
      <c r="U146" s="140">
        <f t="shared" si="127"/>
        <v>7.4766036077292724E-3</v>
      </c>
      <c r="V146" s="140">
        <f t="shared" si="127"/>
        <v>5.7755638733605055E-3</v>
      </c>
      <c r="W146" s="140">
        <f t="shared" si="127"/>
        <v>8.8795154884224736E-3</v>
      </c>
      <c r="X146" s="140">
        <f t="shared" si="127"/>
        <v>1.0807189466907117E-2</v>
      </c>
      <c r="Y146" s="140">
        <f t="shared" si="127"/>
        <v>1.1016332634983132E-2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4.2681150983046909E-2</v>
      </c>
      <c r="C147" s="140">
        <f t="shared" ref="C147:Y147" si="128">IF(C55=0,0,C55/C$47)</f>
        <v>4.0945328487937395E-2</v>
      </c>
      <c r="D147" s="140">
        <f t="shared" si="128"/>
        <v>4.4659057529192248E-2</v>
      </c>
      <c r="E147" s="140">
        <f t="shared" si="128"/>
        <v>5.1319939528708496E-2</v>
      </c>
      <c r="F147" s="140">
        <f t="shared" si="128"/>
        <v>5.693300847988788E-2</v>
      </c>
      <c r="G147" s="140">
        <f t="shared" si="128"/>
        <v>6.7878519750087532E-2</v>
      </c>
      <c r="H147" s="140">
        <f t="shared" si="128"/>
        <v>6.5584708612872772E-2</v>
      </c>
      <c r="I147" s="140">
        <f t="shared" si="128"/>
        <v>6.8393864286750566E-2</v>
      </c>
      <c r="J147" s="140">
        <f t="shared" si="128"/>
        <v>7.1404876451063914E-2</v>
      </c>
      <c r="K147" s="140">
        <f t="shared" si="128"/>
        <v>6.7385006242285217E-2</v>
      </c>
      <c r="L147" s="140">
        <f t="shared" si="128"/>
        <v>7.133664800590471E-2</v>
      </c>
      <c r="M147" s="140">
        <f t="shared" si="128"/>
        <v>6.9246607988760103E-2</v>
      </c>
      <c r="N147" s="140">
        <f t="shared" si="128"/>
        <v>6.5191165194701195E-2</v>
      </c>
      <c r="O147" s="140">
        <f t="shared" si="128"/>
        <v>6.814599847482522E-2</v>
      </c>
      <c r="P147" s="140">
        <f t="shared" si="128"/>
        <v>5.825672630846622E-2</v>
      </c>
      <c r="Q147" s="140">
        <f t="shared" si="128"/>
        <v>6.1858535228398806E-2</v>
      </c>
      <c r="R147" s="140">
        <f t="shared" si="128"/>
        <v>5.9721088169154606E-2</v>
      </c>
      <c r="S147" s="140">
        <f t="shared" si="128"/>
        <v>6.5270137461065594E-2</v>
      </c>
      <c r="T147" s="140">
        <f t="shared" si="128"/>
        <v>6.6470371017424965E-2</v>
      </c>
      <c r="U147" s="140">
        <f t="shared" si="128"/>
        <v>6.2695783624172108E-2</v>
      </c>
      <c r="V147" s="140">
        <f t="shared" si="128"/>
        <v>8.1142672758800036E-2</v>
      </c>
      <c r="W147" s="140">
        <f t="shared" si="128"/>
        <v>0.10017772275311873</v>
      </c>
      <c r="X147" s="140">
        <f t="shared" si="128"/>
        <v>0.10062150846520769</v>
      </c>
      <c r="Y147" s="140">
        <f t="shared" si="128"/>
        <v>9.6014915071128026E-2</v>
      </c>
      <c r="DA147" s="175"/>
    </row>
    <row r="148" spans="1:105" ht="11.45" customHeight="1" x14ac:dyDescent="0.25">
      <c r="A148" s="109" t="s">
        <v>141</v>
      </c>
      <c r="B148" s="124">
        <f t="shared" si="119"/>
        <v>1.5761764164627819E-2</v>
      </c>
      <c r="C148" s="124">
        <f t="shared" ref="C148:Y148" si="129">IF(C56=0,0,C56/C$47)</f>
        <v>1.5999506342584818E-2</v>
      </c>
      <c r="D148" s="124">
        <f t="shared" si="129"/>
        <v>1.4354516219541607E-2</v>
      </c>
      <c r="E148" s="124">
        <f t="shared" si="129"/>
        <v>1.5994650635560267E-2</v>
      </c>
      <c r="F148" s="124">
        <f t="shared" si="129"/>
        <v>1.8111711817180305E-2</v>
      </c>
      <c r="G148" s="124">
        <f t="shared" si="129"/>
        <v>2.1148033999933979E-2</v>
      </c>
      <c r="H148" s="124">
        <f t="shared" si="129"/>
        <v>1.5982833721185502E-2</v>
      </c>
      <c r="I148" s="124">
        <f t="shared" si="129"/>
        <v>1.7083143261118143E-2</v>
      </c>
      <c r="J148" s="124">
        <f t="shared" si="129"/>
        <v>1.780342104354319E-2</v>
      </c>
      <c r="K148" s="124">
        <f t="shared" si="129"/>
        <v>1.7867080837042915E-2</v>
      </c>
      <c r="L148" s="124">
        <f t="shared" si="129"/>
        <v>1.5981370477415321E-2</v>
      </c>
      <c r="M148" s="124">
        <f t="shared" si="129"/>
        <v>1.7854370449160158E-2</v>
      </c>
      <c r="N148" s="124">
        <f t="shared" si="129"/>
        <v>1.623814176355871E-2</v>
      </c>
      <c r="O148" s="124">
        <f t="shared" si="129"/>
        <v>1.6231149126932264E-2</v>
      </c>
      <c r="P148" s="124">
        <f t="shared" si="129"/>
        <v>1.6644863692726636E-2</v>
      </c>
      <c r="Q148" s="124">
        <f t="shared" si="129"/>
        <v>1.855998171060735E-2</v>
      </c>
      <c r="R148" s="124">
        <f t="shared" si="129"/>
        <v>1.5235095034806013E-2</v>
      </c>
      <c r="S148" s="124">
        <f t="shared" si="129"/>
        <v>1.3127602935355474E-2</v>
      </c>
      <c r="T148" s="124">
        <f t="shared" si="129"/>
        <v>1.3445380084290087E-2</v>
      </c>
      <c r="U148" s="124">
        <f t="shared" si="129"/>
        <v>1.4385156633687746E-2</v>
      </c>
      <c r="V148" s="124">
        <f t="shared" si="129"/>
        <v>1.3794808519116514E-2</v>
      </c>
      <c r="W148" s="124">
        <f t="shared" si="129"/>
        <v>1.9299939886939153E-2</v>
      </c>
      <c r="X148" s="124">
        <f t="shared" si="129"/>
        <v>1.2918478480123894E-2</v>
      </c>
      <c r="Y148" s="124">
        <f t="shared" si="129"/>
        <v>1.4217624117772512E-2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6.7006096271071713E-4</v>
      </c>
      <c r="C149" s="140">
        <f t="shared" ref="C149:Y149" si="130">IF(C57=0,0,C57/C$47)</f>
        <v>5.8252501517482794E-4</v>
      </c>
      <c r="D149" s="140">
        <f t="shared" si="130"/>
        <v>6.4601055788099349E-4</v>
      </c>
      <c r="E149" s="140">
        <f t="shared" si="130"/>
        <v>5.0339224693270635E-4</v>
      </c>
      <c r="F149" s="140">
        <f t="shared" si="130"/>
        <v>4.8420707314789498E-4</v>
      </c>
      <c r="G149" s="140">
        <f t="shared" si="130"/>
        <v>4.6337859832488759E-4</v>
      </c>
      <c r="H149" s="140">
        <f t="shared" si="130"/>
        <v>5.1232351694770228E-4</v>
      </c>
      <c r="I149" s="140">
        <f t="shared" si="130"/>
        <v>6.0136105632075461E-4</v>
      </c>
      <c r="J149" s="140">
        <f t="shared" si="130"/>
        <v>6.271086374222385E-4</v>
      </c>
      <c r="K149" s="140">
        <f t="shared" si="130"/>
        <v>5.0898816463810928E-4</v>
      </c>
      <c r="L149" s="140">
        <f t="shared" si="130"/>
        <v>4.5042441203005428E-4</v>
      </c>
      <c r="M149" s="140">
        <f t="shared" si="130"/>
        <v>5.3451720133315716E-4</v>
      </c>
      <c r="N149" s="140">
        <f t="shared" si="130"/>
        <v>5.8631756864427809E-4</v>
      </c>
      <c r="O149" s="140">
        <f t="shared" si="130"/>
        <v>6.5932176665915005E-4</v>
      </c>
      <c r="P149" s="140">
        <f t="shared" si="130"/>
        <v>6.3257086664111602E-4</v>
      </c>
      <c r="Q149" s="140">
        <f t="shared" si="130"/>
        <v>4.7196016532607775E-4</v>
      </c>
      <c r="R149" s="140">
        <f t="shared" si="130"/>
        <v>4.6221479996814161E-4</v>
      </c>
      <c r="S149" s="140">
        <f t="shared" si="130"/>
        <v>5.6175820812216109E-4</v>
      </c>
      <c r="T149" s="140">
        <f t="shared" si="130"/>
        <v>5.0133476117259054E-4</v>
      </c>
      <c r="U149" s="140">
        <f t="shared" si="130"/>
        <v>4.5145283854506121E-4</v>
      </c>
      <c r="V149" s="140">
        <f t="shared" si="130"/>
        <v>4.8101325769488011E-4</v>
      </c>
      <c r="W149" s="140">
        <f t="shared" si="130"/>
        <v>4.3336954518828852E-4</v>
      </c>
      <c r="X149" s="140">
        <f t="shared" si="130"/>
        <v>2.953856442481538E-4</v>
      </c>
      <c r="Y149" s="140">
        <f t="shared" si="130"/>
        <v>4.0476206758643626E-4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1.5091703201917104E-2</v>
      </c>
      <c r="C150" s="127">
        <f t="shared" ref="C150:Y150" si="131">IF(C58=0,0,C58/C$47)</f>
        <v>1.5416981327409989E-2</v>
      </c>
      <c r="D150" s="127">
        <f t="shared" si="131"/>
        <v>1.3708505661660613E-2</v>
      </c>
      <c r="E150" s="127">
        <f t="shared" si="131"/>
        <v>1.5491258388627561E-2</v>
      </c>
      <c r="F150" s="127">
        <f t="shared" si="131"/>
        <v>1.7627504744032411E-2</v>
      </c>
      <c r="G150" s="127">
        <f t="shared" si="131"/>
        <v>2.0684655401609093E-2</v>
      </c>
      <c r="H150" s="127">
        <f t="shared" si="131"/>
        <v>1.5470510204237802E-2</v>
      </c>
      <c r="I150" s="127">
        <f t="shared" si="131"/>
        <v>1.6481782204797388E-2</v>
      </c>
      <c r="J150" s="127">
        <f t="shared" si="131"/>
        <v>1.7176312406120955E-2</v>
      </c>
      <c r="K150" s="127">
        <f t="shared" si="131"/>
        <v>1.7358092672404804E-2</v>
      </c>
      <c r="L150" s="127">
        <f t="shared" si="131"/>
        <v>1.5530946065385265E-2</v>
      </c>
      <c r="M150" s="127">
        <f t="shared" si="131"/>
        <v>1.7319853247827002E-2</v>
      </c>
      <c r="N150" s="127">
        <f t="shared" si="131"/>
        <v>1.565182419491443E-2</v>
      </c>
      <c r="O150" s="127">
        <f t="shared" si="131"/>
        <v>1.5571827360273113E-2</v>
      </c>
      <c r="P150" s="127">
        <f t="shared" si="131"/>
        <v>1.601229282608552E-2</v>
      </c>
      <c r="Q150" s="127">
        <f t="shared" si="131"/>
        <v>1.8088021545281271E-2</v>
      </c>
      <c r="R150" s="127">
        <f t="shared" si="131"/>
        <v>1.4772880234837872E-2</v>
      </c>
      <c r="S150" s="127">
        <f t="shared" si="131"/>
        <v>1.2565844727233313E-2</v>
      </c>
      <c r="T150" s="127">
        <f t="shared" si="131"/>
        <v>1.2944045323117496E-2</v>
      </c>
      <c r="U150" s="127">
        <f t="shared" si="131"/>
        <v>1.3933703795142685E-2</v>
      </c>
      <c r="V150" s="127">
        <f t="shared" si="131"/>
        <v>1.3313795261421632E-2</v>
      </c>
      <c r="W150" s="127">
        <f t="shared" si="131"/>
        <v>1.8866570341750866E-2</v>
      </c>
      <c r="X150" s="127">
        <f t="shared" si="131"/>
        <v>1.2623092835875739E-2</v>
      </c>
      <c r="Y150" s="127">
        <f t="shared" si="131"/>
        <v>1.3812862050186074E-2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0.35317424124677521</v>
      </c>
      <c r="C152" s="140">
        <f t="shared" si="133"/>
        <v>0.35179895080002915</v>
      </c>
      <c r="D152" s="140">
        <f t="shared" si="133"/>
        <v>0.34081447966763123</v>
      </c>
      <c r="E152" s="140">
        <f t="shared" si="133"/>
        <v>0.33531169526559634</v>
      </c>
      <c r="F152" s="140">
        <f t="shared" si="133"/>
        <v>0.33835666917489976</v>
      </c>
      <c r="G152" s="140">
        <f t="shared" si="133"/>
        <v>0.31728264064755102</v>
      </c>
      <c r="H152" s="140">
        <f t="shared" si="133"/>
        <v>0.30453669088522578</v>
      </c>
      <c r="I152" s="140">
        <f t="shared" si="133"/>
        <v>0.29884557157459712</v>
      </c>
      <c r="J152" s="140">
        <f t="shared" si="133"/>
        <v>0.28512121827245096</v>
      </c>
      <c r="K152" s="140">
        <f t="shared" si="133"/>
        <v>0.27807233608994603</v>
      </c>
      <c r="L152" s="140">
        <f t="shared" si="133"/>
        <v>0.2715671713584305</v>
      </c>
      <c r="M152" s="140">
        <f t="shared" si="133"/>
        <v>0.27152565951140878</v>
      </c>
      <c r="N152" s="140">
        <f t="shared" si="133"/>
        <v>0.27193631704813076</v>
      </c>
      <c r="O152" s="140">
        <f t="shared" si="133"/>
        <v>0.27047518416195859</v>
      </c>
      <c r="P152" s="140">
        <f t="shared" si="133"/>
        <v>0.2707206207335035</v>
      </c>
      <c r="Q152" s="140">
        <f t="shared" si="133"/>
        <v>0.27858772168422102</v>
      </c>
      <c r="R152" s="140">
        <f t="shared" si="133"/>
        <v>0.2869641693015002</v>
      </c>
      <c r="S152" s="140">
        <f t="shared" si="133"/>
        <v>0.28889614728812552</v>
      </c>
      <c r="T152" s="140">
        <f t="shared" si="133"/>
        <v>0.29738719253299362</v>
      </c>
      <c r="U152" s="140">
        <f t="shared" si="133"/>
        <v>0.29130972363608748</v>
      </c>
      <c r="V152" s="140">
        <f t="shared" si="133"/>
        <v>0.25049971879093197</v>
      </c>
      <c r="W152" s="140">
        <f t="shared" si="133"/>
        <v>0.27378924443146874</v>
      </c>
      <c r="X152" s="140">
        <f t="shared" si="133"/>
        <v>0.29226656753064667</v>
      </c>
      <c r="Y152" s="140">
        <f t="shared" si="133"/>
        <v>0.31073136083227682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0.64682575875322479</v>
      </c>
      <c r="C153" s="127">
        <f t="shared" si="134"/>
        <v>0.64820104919997079</v>
      </c>
      <c r="D153" s="127">
        <f t="shared" si="134"/>
        <v>0.65918552033236877</v>
      </c>
      <c r="E153" s="127">
        <f t="shared" si="134"/>
        <v>0.66468830473440377</v>
      </c>
      <c r="F153" s="127">
        <f t="shared" si="134"/>
        <v>0.6616433308251003</v>
      </c>
      <c r="G153" s="127">
        <f t="shared" si="134"/>
        <v>0.68271735935244893</v>
      </c>
      <c r="H153" s="127">
        <f t="shared" si="134"/>
        <v>0.69546330911477428</v>
      </c>
      <c r="I153" s="127">
        <f t="shared" si="134"/>
        <v>0.70115442842540288</v>
      </c>
      <c r="J153" s="127">
        <f t="shared" si="134"/>
        <v>0.71487878172754904</v>
      </c>
      <c r="K153" s="127">
        <f t="shared" si="134"/>
        <v>0.72192766391005392</v>
      </c>
      <c r="L153" s="127">
        <f t="shared" si="134"/>
        <v>0.72843282864156944</v>
      </c>
      <c r="M153" s="127">
        <f t="shared" si="134"/>
        <v>0.72847434048859117</v>
      </c>
      <c r="N153" s="127">
        <f t="shared" si="134"/>
        <v>0.7280636829518693</v>
      </c>
      <c r="O153" s="127">
        <f t="shared" si="134"/>
        <v>0.72952481583804152</v>
      </c>
      <c r="P153" s="127">
        <f t="shared" si="134"/>
        <v>0.72927937926649644</v>
      </c>
      <c r="Q153" s="127">
        <f t="shared" si="134"/>
        <v>0.72141227831577903</v>
      </c>
      <c r="R153" s="127">
        <f t="shared" si="134"/>
        <v>0.71303583069849974</v>
      </c>
      <c r="S153" s="127">
        <f t="shared" si="134"/>
        <v>0.71110385271187437</v>
      </c>
      <c r="T153" s="127">
        <f t="shared" si="134"/>
        <v>0.70261280746700649</v>
      </c>
      <c r="U153" s="127">
        <f t="shared" si="134"/>
        <v>0.70869027636391257</v>
      </c>
      <c r="V153" s="127">
        <f t="shared" si="134"/>
        <v>0.74950028120906798</v>
      </c>
      <c r="W153" s="127">
        <f t="shared" si="134"/>
        <v>0.72621075556853132</v>
      </c>
      <c r="X153" s="127">
        <f t="shared" si="134"/>
        <v>0.70773343246935339</v>
      </c>
      <c r="Y153" s="127">
        <f t="shared" si="134"/>
        <v>0.68926863916772307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0.84772331367916787</v>
      </c>
      <c r="C157" s="139">
        <f t="shared" ref="C157:W157" si="138">IF(C65=0,0,C65/C$64)</f>
        <v>0.85171690237742548</v>
      </c>
      <c r="D157" s="139">
        <f t="shared" si="138"/>
        <v>0.8529642423431486</v>
      </c>
      <c r="E157" s="139">
        <f t="shared" si="138"/>
        <v>0.85168625289902533</v>
      </c>
      <c r="F157" s="139">
        <f t="shared" si="138"/>
        <v>0.8440010517772617</v>
      </c>
      <c r="G157" s="139">
        <f t="shared" si="138"/>
        <v>0.82990894157209627</v>
      </c>
      <c r="H157" s="139">
        <f t="shared" si="138"/>
        <v>0.81780368175850515</v>
      </c>
      <c r="I157" s="139">
        <f t="shared" si="138"/>
        <v>0.80736618988658748</v>
      </c>
      <c r="J157" s="139">
        <f t="shared" si="138"/>
        <v>0.80602820334526304</v>
      </c>
      <c r="K157" s="139">
        <f t="shared" si="138"/>
        <v>0.80940090144239396</v>
      </c>
      <c r="L157" s="139">
        <f t="shared" si="138"/>
        <v>0.81216414992105035</v>
      </c>
      <c r="M157" s="139">
        <f t="shared" si="138"/>
        <v>0.82135632897197663</v>
      </c>
      <c r="N157" s="139">
        <f t="shared" si="138"/>
        <v>0.80582872349843049</v>
      </c>
      <c r="O157" s="139">
        <f t="shared" si="138"/>
        <v>0.8105501373445626</v>
      </c>
      <c r="P157" s="139">
        <f t="shared" si="138"/>
        <v>0.81535327425596671</v>
      </c>
      <c r="Q157" s="139">
        <f t="shared" si="138"/>
        <v>0.81958510435592669</v>
      </c>
      <c r="R157" s="139">
        <f t="shared" si="138"/>
        <v>0.81068994388806692</v>
      </c>
      <c r="S157" s="139">
        <f t="shared" si="138"/>
        <v>0.80068910805507487</v>
      </c>
      <c r="T157" s="139">
        <f t="shared" si="138"/>
        <v>0.78649327552139658</v>
      </c>
      <c r="U157" s="139">
        <f t="shared" si="138"/>
        <v>0.78756437792343736</v>
      </c>
      <c r="V157" s="139">
        <f t="shared" si="138"/>
        <v>0.89953513147178299</v>
      </c>
      <c r="W157" s="139">
        <f t="shared" si="138"/>
        <v>0.8683808432985165</v>
      </c>
      <c r="X157" s="139">
        <f t="shared" ref="X157:Y157" si="139">IF(X65=0,0,X65/X$64)</f>
        <v>0.80368037055541941</v>
      </c>
      <c r="Y157" s="139">
        <f t="shared" si="139"/>
        <v>0.78864641593214102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9.8138836771181903E-3</v>
      </c>
      <c r="C158" s="140">
        <f t="shared" ref="C158:W158" si="140">IF(C66=0,0,C66/C$64)</f>
        <v>9.9160210583759019E-3</v>
      </c>
      <c r="D158" s="140">
        <f t="shared" si="140"/>
        <v>1.0216406501618052E-2</v>
      </c>
      <c r="E158" s="140">
        <f t="shared" si="140"/>
        <v>1.0226743541529169E-2</v>
      </c>
      <c r="F158" s="140">
        <f t="shared" si="140"/>
        <v>1.032898026436194E-2</v>
      </c>
      <c r="G158" s="140">
        <f t="shared" si="140"/>
        <v>1.0643112900362565E-2</v>
      </c>
      <c r="H158" s="140">
        <f t="shared" si="140"/>
        <v>1.104346715763763E-2</v>
      </c>
      <c r="I158" s="140">
        <f t="shared" si="140"/>
        <v>9.6040816442860329E-3</v>
      </c>
      <c r="J158" s="140">
        <f t="shared" si="140"/>
        <v>9.5664362562565171E-3</v>
      </c>
      <c r="K158" s="140">
        <f t="shared" si="140"/>
        <v>9.5900036891780754E-3</v>
      </c>
      <c r="L158" s="140">
        <f t="shared" si="140"/>
        <v>9.6498900847754223E-3</v>
      </c>
      <c r="M158" s="140">
        <f t="shared" si="140"/>
        <v>9.8575383914325278E-3</v>
      </c>
      <c r="N158" s="140">
        <f t="shared" si="140"/>
        <v>9.8341818802858503E-3</v>
      </c>
      <c r="O158" s="140">
        <f t="shared" si="140"/>
        <v>9.725110605373153E-3</v>
      </c>
      <c r="P158" s="140">
        <f t="shared" si="140"/>
        <v>9.6737618116585732E-3</v>
      </c>
      <c r="Q158" s="140">
        <f t="shared" si="140"/>
        <v>9.7079729251383761E-3</v>
      </c>
      <c r="R158" s="140">
        <f t="shared" si="140"/>
        <v>9.523463664260037E-3</v>
      </c>
      <c r="S158" s="140">
        <f t="shared" si="140"/>
        <v>8.7918152545961442E-3</v>
      </c>
      <c r="T158" s="140">
        <f t="shared" si="140"/>
        <v>8.6409015831406047E-3</v>
      </c>
      <c r="U158" s="140">
        <f t="shared" si="140"/>
        <v>9.1244442598082988E-3</v>
      </c>
      <c r="V158" s="140">
        <f t="shared" si="140"/>
        <v>1.0659899193285461E-2</v>
      </c>
      <c r="W158" s="140">
        <f t="shared" si="140"/>
        <v>1.0965024517715288E-2</v>
      </c>
      <c r="X158" s="140">
        <f t="shared" ref="X158:Y158" si="141">IF(X66=0,0,X66/X$64)</f>
        <v>9.8411273172727687E-3</v>
      </c>
      <c r="Y158" s="140">
        <f t="shared" si="141"/>
        <v>1.0318530627890675E-2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0.79001946820120084</v>
      </c>
      <c r="C159" s="140">
        <f t="shared" ref="C159:W159" si="142">IF(C67=0,0,C67/C$64)</f>
        <v>0.79479170473713467</v>
      </c>
      <c r="D159" s="140">
        <f t="shared" si="142"/>
        <v>0.79723403605970067</v>
      </c>
      <c r="E159" s="140">
        <f t="shared" si="142"/>
        <v>0.79553340593651967</v>
      </c>
      <c r="F159" s="140">
        <f t="shared" si="142"/>
        <v>0.78869399436489762</v>
      </c>
      <c r="G159" s="140">
        <f t="shared" si="142"/>
        <v>0.77529935212306</v>
      </c>
      <c r="H159" s="140">
        <f t="shared" si="142"/>
        <v>0.76283212902900677</v>
      </c>
      <c r="I159" s="140">
        <f t="shared" si="142"/>
        <v>0.75664890390859851</v>
      </c>
      <c r="J159" s="140">
        <f t="shared" si="142"/>
        <v>0.75566490663453689</v>
      </c>
      <c r="K159" s="140">
        <f t="shared" si="142"/>
        <v>0.75786914977045927</v>
      </c>
      <c r="L159" s="140">
        <f t="shared" si="142"/>
        <v>0.75737302562019226</v>
      </c>
      <c r="M159" s="140">
        <f t="shared" si="142"/>
        <v>0.76419134064902861</v>
      </c>
      <c r="N159" s="140">
        <f t="shared" si="142"/>
        <v>0.74536721693951857</v>
      </c>
      <c r="O159" s="140">
        <f t="shared" si="142"/>
        <v>0.74820931088432285</v>
      </c>
      <c r="P159" s="140">
        <f t="shared" si="142"/>
        <v>0.75203749097637029</v>
      </c>
      <c r="Q159" s="140">
        <f t="shared" si="142"/>
        <v>0.754940149190518</v>
      </c>
      <c r="R159" s="140">
        <f t="shared" si="142"/>
        <v>0.74661126838780323</v>
      </c>
      <c r="S159" s="140">
        <f t="shared" si="142"/>
        <v>0.73891770295930748</v>
      </c>
      <c r="T159" s="140">
        <f t="shared" si="142"/>
        <v>0.72275614222900575</v>
      </c>
      <c r="U159" s="140">
        <f t="shared" si="142"/>
        <v>0.7246930828582594</v>
      </c>
      <c r="V159" s="140">
        <f t="shared" si="142"/>
        <v>0.82444885438999638</v>
      </c>
      <c r="W159" s="140">
        <f t="shared" si="142"/>
        <v>0.7960425251287655</v>
      </c>
      <c r="X159" s="140">
        <f t="shared" ref="X159:Y159" si="143">IF(X67=0,0,X67/X$64)</f>
        <v>0.73558981466394202</v>
      </c>
      <c r="Y159" s="140">
        <f t="shared" si="143"/>
        <v>0.72055282017091504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4.7889961800848868E-2</v>
      </c>
      <c r="C160" s="140">
        <f t="shared" ref="C160:W160" si="144">IF(C68=0,0,C68/C$64)</f>
        <v>4.7009176581914995E-2</v>
      </c>
      <c r="D160" s="140">
        <f t="shared" si="144"/>
        <v>4.5513799781829817E-2</v>
      </c>
      <c r="E160" s="140">
        <f t="shared" si="144"/>
        <v>4.5926103420976389E-2</v>
      </c>
      <c r="F160" s="140">
        <f t="shared" si="144"/>
        <v>4.4978077148002213E-2</v>
      </c>
      <c r="G160" s="140">
        <f t="shared" si="144"/>
        <v>4.3966476548673715E-2</v>
      </c>
      <c r="H160" s="140">
        <f t="shared" si="144"/>
        <v>4.3928085571860766E-2</v>
      </c>
      <c r="I160" s="140">
        <f t="shared" si="144"/>
        <v>4.111320433370292E-2</v>
      </c>
      <c r="J160" s="140">
        <f t="shared" si="144"/>
        <v>4.0796860454469688E-2</v>
      </c>
      <c r="K160" s="140">
        <f t="shared" si="144"/>
        <v>4.1941747982756593E-2</v>
      </c>
      <c r="L160" s="140">
        <f t="shared" si="144"/>
        <v>4.5141234216082668E-2</v>
      </c>
      <c r="M160" s="140">
        <f t="shared" si="144"/>
        <v>4.7307449931515401E-2</v>
      </c>
      <c r="N160" s="140">
        <f t="shared" si="144"/>
        <v>5.0627324678626164E-2</v>
      </c>
      <c r="O160" s="140">
        <f t="shared" si="144"/>
        <v>5.2615715854866525E-2</v>
      </c>
      <c r="P160" s="140">
        <f t="shared" si="144"/>
        <v>5.3642021467937819E-2</v>
      </c>
      <c r="Q160" s="140">
        <f t="shared" si="144"/>
        <v>5.4936982240270445E-2</v>
      </c>
      <c r="R160" s="140">
        <f t="shared" si="144"/>
        <v>5.4555211836003613E-2</v>
      </c>
      <c r="S160" s="140">
        <f t="shared" si="144"/>
        <v>5.2979589841171369E-2</v>
      </c>
      <c r="T160" s="140">
        <f t="shared" si="144"/>
        <v>5.5096231709250265E-2</v>
      </c>
      <c r="U160" s="140">
        <f t="shared" si="144"/>
        <v>5.3746850805369777E-2</v>
      </c>
      <c r="V160" s="140">
        <f t="shared" si="144"/>
        <v>6.4426377888501182E-2</v>
      </c>
      <c r="W160" s="140">
        <f t="shared" si="144"/>
        <v>6.1373293652035622E-2</v>
      </c>
      <c r="X160" s="140">
        <f t="shared" ref="X160:Y160" si="145">IF(X68=0,0,X68/X$64)</f>
        <v>5.8249428574204669E-2</v>
      </c>
      <c r="Y160" s="140">
        <f t="shared" si="145"/>
        <v>5.777506513333535E-2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9.8549946017363714E-3</v>
      </c>
      <c r="C161" s="124">
        <f t="shared" ref="C161:W161" si="146">IF(C69=0,0,C69/C$64)</f>
        <v>1.0092147340757699E-2</v>
      </c>
      <c r="D161" s="124">
        <f t="shared" si="146"/>
        <v>9.6553073694552027E-3</v>
      </c>
      <c r="E161" s="124">
        <f t="shared" si="146"/>
        <v>9.123424249913123E-3</v>
      </c>
      <c r="F161" s="124">
        <f t="shared" si="146"/>
        <v>8.389192603157257E-3</v>
      </c>
      <c r="G161" s="124">
        <f t="shared" si="146"/>
        <v>7.7073608773275031E-3</v>
      </c>
      <c r="H161" s="124">
        <f t="shared" si="146"/>
        <v>7.0743123371680029E-3</v>
      </c>
      <c r="I161" s="124">
        <f t="shared" si="146"/>
        <v>6.9532088066422909E-3</v>
      </c>
      <c r="J161" s="124">
        <f t="shared" si="146"/>
        <v>7.0897411385870699E-3</v>
      </c>
      <c r="K161" s="124">
        <f t="shared" si="146"/>
        <v>6.3202894036760151E-3</v>
      </c>
      <c r="L161" s="124">
        <f t="shared" si="146"/>
        <v>6.5095367122433171E-3</v>
      </c>
      <c r="M161" s="124">
        <f t="shared" si="146"/>
        <v>6.343607592708491E-3</v>
      </c>
      <c r="N161" s="124">
        <f t="shared" si="146"/>
        <v>6.4302849281074612E-3</v>
      </c>
      <c r="O161" s="124">
        <f t="shared" si="146"/>
        <v>6.0945543000261075E-3</v>
      </c>
      <c r="P161" s="124">
        <f t="shared" si="146"/>
        <v>6.1295429649653004E-3</v>
      </c>
      <c r="Q161" s="124">
        <f t="shared" si="146"/>
        <v>5.6416823254970541E-3</v>
      </c>
      <c r="R161" s="124">
        <f t="shared" si="146"/>
        <v>5.681665837136347E-3</v>
      </c>
      <c r="S161" s="124">
        <f t="shared" si="146"/>
        <v>4.5442219251557534E-3</v>
      </c>
      <c r="T161" s="124">
        <f t="shared" si="146"/>
        <v>4.1682012006858784E-3</v>
      </c>
      <c r="U161" s="124">
        <f t="shared" si="146"/>
        <v>4.4900920474643434E-3</v>
      </c>
      <c r="V161" s="124">
        <f t="shared" si="146"/>
        <v>5.3220570017924523E-3</v>
      </c>
      <c r="W161" s="124">
        <f t="shared" si="146"/>
        <v>8.3298369657545061E-3</v>
      </c>
      <c r="X161" s="124">
        <f t="shared" ref="X161:Y161" si="147">IF(X69=0,0,X69/X$64)</f>
        <v>5.1023779186732841E-3</v>
      </c>
      <c r="Y161" s="124">
        <f t="shared" si="147"/>
        <v>4.9520512498671624E-3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9.8549946017363714E-3</v>
      </c>
      <c r="C163" s="140">
        <f t="shared" ref="C163:W163" si="150">IF(C71=0,0,C71/C$64)</f>
        <v>1.0092147340757699E-2</v>
      </c>
      <c r="D163" s="140">
        <f t="shared" si="150"/>
        <v>9.6553073694552027E-3</v>
      </c>
      <c r="E163" s="140">
        <f t="shared" si="150"/>
        <v>9.123424249913123E-3</v>
      </c>
      <c r="F163" s="140">
        <f t="shared" si="150"/>
        <v>8.389192603157257E-3</v>
      </c>
      <c r="G163" s="140">
        <f t="shared" si="150"/>
        <v>7.7073608773275031E-3</v>
      </c>
      <c r="H163" s="140">
        <f t="shared" si="150"/>
        <v>7.0743123371680029E-3</v>
      </c>
      <c r="I163" s="140">
        <f t="shared" si="150"/>
        <v>6.9532088066422909E-3</v>
      </c>
      <c r="J163" s="140">
        <f t="shared" si="150"/>
        <v>7.0897411385870699E-3</v>
      </c>
      <c r="K163" s="140">
        <f t="shared" si="150"/>
        <v>6.3202894036760151E-3</v>
      </c>
      <c r="L163" s="140">
        <f t="shared" si="150"/>
        <v>6.5095367122433171E-3</v>
      </c>
      <c r="M163" s="140">
        <f t="shared" si="150"/>
        <v>6.343607592708491E-3</v>
      </c>
      <c r="N163" s="140">
        <f t="shared" si="150"/>
        <v>6.4302849281074612E-3</v>
      </c>
      <c r="O163" s="140">
        <f t="shared" si="150"/>
        <v>6.0945543000261075E-3</v>
      </c>
      <c r="P163" s="140">
        <f t="shared" si="150"/>
        <v>6.1295429649653004E-3</v>
      </c>
      <c r="Q163" s="140">
        <f t="shared" si="150"/>
        <v>5.6416823254970541E-3</v>
      </c>
      <c r="R163" s="140">
        <f t="shared" si="150"/>
        <v>5.681665837136347E-3</v>
      </c>
      <c r="S163" s="140">
        <f t="shared" si="150"/>
        <v>4.5442219251557534E-3</v>
      </c>
      <c r="T163" s="140">
        <f t="shared" si="150"/>
        <v>4.1682012006858784E-3</v>
      </c>
      <c r="U163" s="140">
        <f t="shared" si="150"/>
        <v>4.4900920474643434E-3</v>
      </c>
      <c r="V163" s="140">
        <f t="shared" si="150"/>
        <v>5.3220570017924523E-3</v>
      </c>
      <c r="W163" s="140">
        <f t="shared" si="150"/>
        <v>8.3298369657545061E-3</v>
      </c>
      <c r="X163" s="140">
        <f t="shared" ref="X163:Y163" si="151">IF(X71=0,0,X71/X$64)</f>
        <v>5.1023779186732841E-3</v>
      </c>
      <c r="Y163" s="140">
        <f t="shared" si="151"/>
        <v>4.9520512498671624E-3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0.14242169171909558</v>
      </c>
      <c r="C165" s="124">
        <f t="shared" ref="C165:W165" si="154">IF(C73=0,0,C73/C$64)</f>
        <v>0.13819095028181685</v>
      </c>
      <c r="D165" s="124">
        <f t="shared" si="154"/>
        <v>0.13738045028739618</v>
      </c>
      <c r="E165" s="124">
        <f t="shared" si="154"/>
        <v>0.13919032285106159</v>
      </c>
      <c r="F165" s="124">
        <f t="shared" si="154"/>
        <v>0.14760975561958115</v>
      </c>
      <c r="G165" s="124">
        <f t="shared" si="154"/>
        <v>0.16238369755057624</v>
      </c>
      <c r="H165" s="124">
        <f t="shared" si="154"/>
        <v>0.17512200590432697</v>
      </c>
      <c r="I165" s="124">
        <f t="shared" si="154"/>
        <v>0.18568060130677022</v>
      </c>
      <c r="J165" s="124">
        <f t="shared" si="154"/>
        <v>0.18688205551614992</v>
      </c>
      <c r="K165" s="124">
        <f t="shared" si="154"/>
        <v>0.18427880915392997</v>
      </c>
      <c r="L165" s="124">
        <f t="shared" si="154"/>
        <v>0.18132631336670643</v>
      </c>
      <c r="M165" s="124">
        <f t="shared" si="154"/>
        <v>0.17230006343531482</v>
      </c>
      <c r="N165" s="124">
        <f t="shared" si="154"/>
        <v>0.18774099157346197</v>
      </c>
      <c r="O165" s="124">
        <f t="shared" si="154"/>
        <v>0.18335530835541139</v>
      </c>
      <c r="P165" s="124">
        <f t="shared" si="154"/>
        <v>0.17851718277906792</v>
      </c>
      <c r="Q165" s="124">
        <f t="shared" si="154"/>
        <v>0.17477321331857629</v>
      </c>
      <c r="R165" s="124">
        <f t="shared" si="154"/>
        <v>0.18362839027479672</v>
      </c>
      <c r="S165" s="124">
        <f t="shared" si="154"/>
        <v>0.19476667001976933</v>
      </c>
      <c r="T165" s="124">
        <f t="shared" si="154"/>
        <v>0.20933852327791752</v>
      </c>
      <c r="U165" s="124">
        <f t="shared" si="154"/>
        <v>0.20794553002909827</v>
      </c>
      <c r="V165" s="124">
        <f t="shared" si="154"/>
        <v>9.5142811526424537E-2</v>
      </c>
      <c r="W165" s="124">
        <f t="shared" si="154"/>
        <v>0.12328931973572893</v>
      </c>
      <c r="X165" s="124">
        <f t="shared" ref="X165:Y165" si="155">IF(X73=0,0,X73/X$64)</f>
        <v>0.19121725152590729</v>
      </c>
      <c r="Y165" s="124">
        <f t="shared" si="155"/>
        <v>0.20640153281799184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1.8750935542567643E-2</v>
      </c>
      <c r="C166" s="140">
        <f t="shared" ref="C166:W166" si="156">IF(C74=0,0,C74/C$64)</f>
        <v>1.7658644025450324E-2</v>
      </c>
      <c r="D166" s="140">
        <f t="shared" si="156"/>
        <v>1.7441429012122183E-2</v>
      </c>
      <c r="E166" s="140">
        <f t="shared" si="156"/>
        <v>1.7517724932898871E-2</v>
      </c>
      <c r="F166" s="140">
        <f t="shared" si="156"/>
        <v>1.7124443004008234E-2</v>
      </c>
      <c r="G166" s="140">
        <f t="shared" si="156"/>
        <v>1.8430496995211647E-2</v>
      </c>
      <c r="H166" s="140">
        <f t="shared" si="156"/>
        <v>1.9574212439806709E-2</v>
      </c>
      <c r="I166" s="140">
        <f t="shared" si="156"/>
        <v>2.0281576810278111E-2</v>
      </c>
      <c r="J166" s="140">
        <f t="shared" si="156"/>
        <v>2.0028251987807975E-2</v>
      </c>
      <c r="K166" s="140">
        <f t="shared" si="156"/>
        <v>1.9476046574698577E-2</v>
      </c>
      <c r="L166" s="140">
        <f t="shared" si="156"/>
        <v>1.8723738501467899E-2</v>
      </c>
      <c r="M166" s="140">
        <f t="shared" si="156"/>
        <v>1.7174664475354869E-2</v>
      </c>
      <c r="N166" s="140">
        <f t="shared" si="156"/>
        <v>1.7402359763228979E-2</v>
      </c>
      <c r="O166" s="140">
        <f t="shared" si="156"/>
        <v>1.5779001347624545E-2</v>
      </c>
      <c r="P166" s="140">
        <f t="shared" si="156"/>
        <v>1.6677161657183494E-2</v>
      </c>
      <c r="Q166" s="140">
        <f t="shared" si="156"/>
        <v>1.6337401027401735E-2</v>
      </c>
      <c r="R166" s="140">
        <f t="shared" si="156"/>
        <v>1.6844119292188268E-2</v>
      </c>
      <c r="S166" s="140">
        <f t="shared" si="156"/>
        <v>1.4316271365215721E-2</v>
      </c>
      <c r="T166" s="140">
        <f t="shared" si="156"/>
        <v>1.4516749464194779E-2</v>
      </c>
      <c r="U166" s="140">
        <f t="shared" si="156"/>
        <v>1.6102737020393647E-2</v>
      </c>
      <c r="V166" s="140">
        <f t="shared" si="156"/>
        <v>8.2513996083539015E-3</v>
      </c>
      <c r="W166" s="140">
        <f t="shared" si="156"/>
        <v>6.5775809158619587E-3</v>
      </c>
      <c r="X166" s="140">
        <f t="shared" ref="X166:Y166" si="157">IF(X74=0,0,X74/X$64)</f>
        <v>8.3725849145074686E-3</v>
      </c>
      <c r="Y166" s="140">
        <f t="shared" si="157"/>
        <v>8.9935379686732157E-3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4.0382982162007051E-2</v>
      </c>
      <c r="C167" s="140">
        <f t="shared" ref="C167:W167" si="158">IF(C75=0,0,C75/C$64)</f>
        <v>3.7948943958015756E-2</v>
      </c>
      <c r="D167" s="140">
        <f t="shared" si="158"/>
        <v>3.5093021853005675E-2</v>
      </c>
      <c r="E167" s="140">
        <f t="shared" si="158"/>
        <v>3.8012547770185104E-2</v>
      </c>
      <c r="F167" s="140">
        <f t="shared" si="158"/>
        <v>3.961852807483357E-2</v>
      </c>
      <c r="G167" s="140">
        <f t="shared" si="158"/>
        <v>4.4033032162729961E-2</v>
      </c>
      <c r="H167" s="140">
        <f t="shared" si="158"/>
        <v>4.8684391565620669E-2</v>
      </c>
      <c r="I167" s="140">
        <f t="shared" si="158"/>
        <v>5.2766226361659001E-2</v>
      </c>
      <c r="J167" s="140">
        <f t="shared" si="158"/>
        <v>5.2258219494606829E-2</v>
      </c>
      <c r="K167" s="140">
        <f t="shared" si="158"/>
        <v>4.972018032264016E-2</v>
      </c>
      <c r="L167" s="140">
        <f t="shared" si="158"/>
        <v>4.8986314172408736E-2</v>
      </c>
      <c r="M167" s="140">
        <f t="shared" si="158"/>
        <v>4.696984916137753E-2</v>
      </c>
      <c r="N167" s="140">
        <f t="shared" si="158"/>
        <v>5.0794274008143028E-2</v>
      </c>
      <c r="O167" s="140">
        <f t="shared" si="158"/>
        <v>4.9658233185227808E-2</v>
      </c>
      <c r="P167" s="140">
        <f t="shared" si="158"/>
        <v>4.8092240656905455E-2</v>
      </c>
      <c r="Q167" s="140">
        <f t="shared" si="158"/>
        <v>4.735981465472798E-2</v>
      </c>
      <c r="R167" s="140">
        <f t="shared" si="158"/>
        <v>5.2136840889825529E-2</v>
      </c>
      <c r="S167" s="140">
        <f t="shared" si="158"/>
        <v>5.7889360968706172E-2</v>
      </c>
      <c r="T167" s="140">
        <f t="shared" si="158"/>
        <v>6.1818347618405364E-2</v>
      </c>
      <c r="U167" s="140">
        <f t="shared" si="158"/>
        <v>5.8641393056754441E-2</v>
      </c>
      <c r="V167" s="140">
        <f t="shared" si="158"/>
        <v>2.2125922383766643E-2</v>
      </c>
      <c r="W167" s="140">
        <f t="shared" si="158"/>
        <v>3.3257882498711817E-2</v>
      </c>
      <c r="X167" s="140">
        <f t="shared" ref="X167:Y167" si="159">IF(X75=0,0,X75/X$64)</f>
        <v>5.9339373176367727E-2</v>
      </c>
      <c r="Y167" s="140">
        <f t="shared" si="159"/>
        <v>6.2069730142554694E-2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8.3287774014520907E-2</v>
      </c>
      <c r="C168" s="140">
        <f t="shared" ref="C168:W168" si="160">IF(C76=0,0,C76/C$64)</f>
        <v>8.2583362298350768E-2</v>
      </c>
      <c r="D168" s="140">
        <f t="shared" si="160"/>
        <v>8.4845999422268337E-2</v>
      </c>
      <c r="E168" s="140">
        <f t="shared" si="160"/>
        <v>8.3660050147977616E-2</v>
      </c>
      <c r="F168" s="140">
        <f t="shared" si="160"/>
        <v>9.0866784540739334E-2</v>
      </c>
      <c r="G168" s="140">
        <f t="shared" si="160"/>
        <v>9.9920168392634637E-2</v>
      </c>
      <c r="H168" s="140">
        <f t="shared" si="160"/>
        <v>0.10686340189889959</v>
      </c>
      <c r="I168" s="140">
        <f t="shared" si="160"/>
        <v>0.11263279813483311</v>
      </c>
      <c r="J168" s="140">
        <f t="shared" si="160"/>
        <v>0.11459558403373513</v>
      </c>
      <c r="K168" s="140">
        <f t="shared" si="160"/>
        <v>0.11508258225659124</v>
      </c>
      <c r="L168" s="140">
        <f t="shared" si="160"/>
        <v>0.11361626069282978</v>
      </c>
      <c r="M168" s="140">
        <f t="shared" si="160"/>
        <v>0.10815554979858243</v>
      </c>
      <c r="N168" s="140">
        <f t="shared" si="160"/>
        <v>0.11954435780208995</v>
      </c>
      <c r="O168" s="140">
        <f t="shared" si="160"/>
        <v>0.11791807382255902</v>
      </c>
      <c r="P168" s="140">
        <f t="shared" si="160"/>
        <v>0.11374778046497898</v>
      </c>
      <c r="Q168" s="140">
        <f t="shared" si="160"/>
        <v>0.11107599763644659</v>
      </c>
      <c r="R168" s="140">
        <f t="shared" si="160"/>
        <v>0.11464743009278291</v>
      </c>
      <c r="S168" s="140">
        <f t="shared" si="160"/>
        <v>0.12256103768584743</v>
      </c>
      <c r="T168" s="140">
        <f t="shared" si="160"/>
        <v>0.13300342619531738</v>
      </c>
      <c r="U168" s="140">
        <f t="shared" si="160"/>
        <v>0.13320139995195018</v>
      </c>
      <c r="V168" s="140">
        <f t="shared" si="160"/>
        <v>6.4765489534303999E-2</v>
      </c>
      <c r="W168" s="140">
        <f t="shared" si="160"/>
        <v>8.3453856321155151E-2</v>
      </c>
      <c r="X168" s="140">
        <f t="shared" ref="X168:Y168" si="161">IF(X76=0,0,X76/X$64)</f>
        <v>0.12350529343503211</v>
      </c>
      <c r="Y168" s="140">
        <f t="shared" si="161"/>
        <v>0.13533826470676394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0.92604640314533282</v>
      </c>
      <c r="C170" s="139">
        <f t="shared" ref="C170:W170" si="165">IF(C78=0,0,C78/C$77)</f>
        <v>0.92677097108489681</v>
      </c>
      <c r="D170" s="139">
        <f t="shared" si="165"/>
        <v>0.92497109808911748</v>
      </c>
      <c r="E170" s="139">
        <f t="shared" si="165"/>
        <v>0.9166828327342047</v>
      </c>
      <c r="F170" s="139">
        <f t="shared" si="165"/>
        <v>0.90786532120602803</v>
      </c>
      <c r="G170" s="139">
        <f t="shared" si="165"/>
        <v>0.89056838512982739</v>
      </c>
      <c r="H170" s="139">
        <f t="shared" si="165"/>
        <v>0.89459365283423553</v>
      </c>
      <c r="I170" s="139">
        <f t="shared" si="165"/>
        <v>0.88769555504046893</v>
      </c>
      <c r="J170" s="139">
        <f t="shared" si="165"/>
        <v>0.88671246673435855</v>
      </c>
      <c r="K170" s="139">
        <f t="shared" si="165"/>
        <v>0.89240147536491754</v>
      </c>
      <c r="L170" s="139">
        <f t="shared" si="165"/>
        <v>0.89160182902811702</v>
      </c>
      <c r="M170" s="139">
        <f t="shared" si="165"/>
        <v>0.89318543766472136</v>
      </c>
      <c r="N170" s="139">
        <f t="shared" si="165"/>
        <v>0.89956760453471474</v>
      </c>
      <c r="O170" s="139">
        <f t="shared" si="165"/>
        <v>0.89758310678707354</v>
      </c>
      <c r="P170" s="139">
        <f t="shared" si="165"/>
        <v>0.90850379964185157</v>
      </c>
      <c r="Q170" s="139">
        <f t="shared" si="165"/>
        <v>0.9021634686941058</v>
      </c>
      <c r="R170" s="139">
        <f t="shared" si="165"/>
        <v>0.90807924585813404</v>
      </c>
      <c r="S170" s="139">
        <f t="shared" si="165"/>
        <v>0.9045090933371821</v>
      </c>
      <c r="T170" s="139">
        <f t="shared" si="165"/>
        <v>0.90344840518887615</v>
      </c>
      <c r="U170" s="139">
        <f t="shared" si="165"/>
        <v>0.90643646944820211</v>
      </c>
      <c r="V170" s="139">
        <f t="shared" si="165"/>
        <v>0.88728197229416406</v>
      </c>
      <c r="W170" s="139">
        <f t="shared" si="165"/>
        <v>0.85598230223979987</v>
      </c>
      <c r="X170" s="139">
        <f t="shared" ref="X170:Y170" si="166">IF(X78=0,0,X78/X$77)</f>
        <v>0.8629941212462926</v>
      </c>
      <c r="Y170" s="139">
        <f t="shared" si="166"/>
        <v>0.86587331539309753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0.19070913084216068</v>
      </c>
      <c r="C171" s="140">
        <f t="shared" ref="C171:W171" si="167">IF(C79=0,0,C79/C$77)</f>
        <v>0.20629430996819215</v>
      </c>
      <c r="D171" s="140">
        <f t="shared" si="167"/>
        <v>0.2113306851283932</v>
      </c>
      <c r="E171" s="140">
        <f t="shared" si="167"/>
        <v>0.23109718814175192</v>
      </c>
      <c r="F171" s="140">
        <f t="shared" si="167"/>
        <v>0.22398934533247708</v>
      </c>
      <c r="G171" s="140">
        <f t="shared" si="167"/>
        <v>0.22731794288978047</v>
      </c>
      <c r="H171" s="140">
        <f t="shared" si="167"/>
        <v>0.19691152361286088</v>
      </c>
      <c r="I171" s="140">
        <f t="shared" si="167"/>
        <v>0.19347847451467456</v>
      </c>
      <c r="J171" s="140">
        <f t="shared" si="167"/>
        <v>0.1912824809225798</v>
      </c>
      <c r="K171" s="140">
        <f t="shared" si="167"/>
        <v>0.20389845101388254</v>
      </c>
      <c r="L171" s="140">
        <f t="shared" si="167"/>
        <v>0.18187531924324371</v>
      </c>
      <c r="M171" s="140">
        <f t="shared" si="167"/>
        <v>0.18741620527973579</v>
      </c>
      <c r="N171" s="140">
        <f t="shared" si="167"/>
        <v>0.17605873958929119</v>
      </c>
      <c r="O171" s="140">
        <f t="shared" si="167"/>
        <v>0.18440254069878836</v>
      </c>
      <c r="P171" s="140">
        <f t="shared" si="167"/>
        <v>0.18743907175159799</v>
      </c>
      <c r="Q171" s="140">
        <f t="shared" si="167"/>
        <v>0.22422450261280627</v>
      </c>
      <c r="R171" s="140">
        <f t="shared" si="167"/>
        <v>0.23189230349187318</v>
      </c>
      <c r="S171" s="140">
        <f t="shared" si="167"/>
        <v>0.22340404719121593</v>
      </c>
      <c r="T171" s="140">
        <f t="shared" si="167"/>
        <v>0.20808274919505557</v>
      </c>
      <c r="U171" s="140">
        <f t="shared" si="167"/>
        <v>0.22193766232759929</v>
      </c>
      <c r="V171" s="140">
        <f t="shared" si="167"/>
        <v>0.1998824752418796</v>
      </c>
      <c r="W171" s="140">
        <f t="shared" si="167"/>
        <v>0.21601558948652916</v>
      </c>
      <c r="X171" s="140">
        <f t="shared" ref="X171:Y171" si="168">IF(X79=0,0,X79/X$77)</f>
        <v>0.23290032114226578</v>
      </c>
      <c r="Y171" s="140">
        <f t="shared" si="168"/>
        <v>0.26372148644467097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0.73533727230317214</v>
      </c>
      <c r="C172" s="140">
        <f t="shared" ref="C172:W172" si="169">IF(C80=0,0,C80/C$77)</f>
        <v>0.72047666111670472</v>
      </c>
      <c r="D172" s="140">
        <f t="shared" si="169"/>
        <v>0.71364041296072422</v>
      </c>
      <c r="E172" s="140">
        <f t="shared" si="169"/>
        <v>0.68558564459245275</v>
      </c>
      <c r="F172" s="140">
        <f t="shared" si="169"/>
        <v>0.68387597587355087</v>
      </c>
      <c r="G172" s="140">
        <f t="shared" si="169"/>
        <v>0.66325044224004692</v>
      </c>
      <c r="H172" s="140">
        <f t="shared" si="169"/>
        <v>0.69768212922137463</v>
      </c>
      <c r="I172" s="140">
        <f t="shared" si="169"/>
        <v>0.69421708052579445</v>
      </c>
      <c r="J172" s="140">
        <f t="shared" si="169"/>
        <v>0.69542998581177884</v>
      </c>
      <c r="K172" s="140">
        <f t="shared" si="169"/>
        <v>0.68850302435103494</v>
      </c>
      <c r="L172" s="140">
        <f t="shared" si="169"/>
        <v>0.70972650978487328</v>
      </c>
      <c r="M172" s="140">
        <f t="shared" si="169"/>
        <v>0.70576923238498557</v>
      </c>
      <c r="N172" s="140">
        <f t="shared" si="169"/>
        <v>0.72350886494542366</v>
      </c>
      <c r="O172" s="140">
        <f t="shared" si="169"/>
        <v>0.71318056608828517</v>
      </c>
      <c r="P172" s="140">
        <f t="shared" si="169"/>
        <v>0.72106472789025366</v>
      </c>
      <c r="Q172" s="140">
        <f t="shared" si="169"/>
        <v>0.67793896608129955</v>
      </c>
      <c r="R172" s="140">
        <f t="shared" si="169"/>
        <v>0.67618694236626098</v>
      </c>
      <c r="S172" s="140">
        <f t="shared" si="169"/>
        <v>0.68110504614596623</v>
      </c>
      <c r="T172" s="140">
        <f t="shared" si="169"/>
        <v>0.69536565599382061</v>
      </c>
      <c r="U172" s="140">
        <f t="shared" si="169"/>
        <v>0.68449880712060285</v>
      </c>
      <c r="V172" s="140">
        <f t="shared" si="169"/>
        <v>0.68739949705228443</v>
      </c>
      <c r="W172" s="140">
        <f t="shared" si="169"/>
        <v>0.63996671275327066</v>
      </c>
      <c r="X172" s="140">
        <f t="shared" ref="X172:Y172" si="170">IF(X80=0,0,X80/X$77)</f>
        <v>0.63009380010402682</v>
      </c>
      <c r="Y172" s="140">
        <f t="shared" si="170"/>
        <v>0.60215182894842656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8.1710305553666217E-3</v>
      </c>
      <c r="C173" s="124">
        <f t="shared" ref="C173:W173" si="171">IF(C81=0,0,C81/C$77)</f>
        <v>8.4737262795397533E-3</v>
      </c>
      <c r="D173" s="124">
        <f t="shared" si="171"/>
        <v>7.856092444935469E-3</v>
      </c>
      <c r="E173" s="124">
        <f t="shared" si="171"/>
        <v>8.0369180252719691E-3</v>
      </c>
      <c r="F173" s="124">
        <f t="shared" si="171"/>
        <v>7.8735618661607224E-3</v>
      </c>
      <c r="G173" s="124">
        <f t="shared" si="171"/>
        <v>7.7029105873944554E-3</v>
      </c>
      <c r="H173" s="124">
        <f t="shared" si="171"/>
        <v>7.6335613206576719E-3</v>
      </c>
      <c r="I173" s="124">
        <f t="shared" si="171"/>
        <v>7.7699422516419028E-3</v>
      </c>
      <c r="J173" s="124">
        <f t="shared" si="171"/>
        <v>6.6910250636256826E-3</v>
      </c>
      <c r="K173" s="124">
        <f t="shared" si="171"/>
        <v>6.0365779745894417E-3</v>
      </c>
      <c r="L173" s="124">
        <f t="shared" si="171"/>
        <v>5.8247723584478805E-3</v>
      </c>
      <c r="M173" s="124">
        <f t="shared" si="171"/>
        <v>5.7725093423813458E-3</v>
      </c>
      <c r="N173" s="124">
        <f t="shared" si="171"/>
        <v>5.2482620357639856E-3</v>
      </c>
      <c r="O173" s="124">
        <f t="shared" si="171"/>
        <v>4.9678228112370769E-3</v>
      </c>
      <c r="P173" s="124">
        <f t="shared" si="171"/>
        <v>4.6934638058107186E-3</v>
      </c>
      <c r="Q173" s="124">
        <f t="shared" si="171"/>
        <v>5.1703833928570158E-3</v>
      </c>
      <c r="R173" s="124">
        <f t="shared" si="171"/>
        <v>5.2614451833544757E-3</v>
      </c>
      <c r="S173" s="124">
        <f t="shared" si="171"/>
        <v>4.2148173297120138E-3</v>
      </c>
      <c r="T173" s="124">
        <f t="shared" si="171"/>
        <v>3.4593045643883076E-3</v>
      </c>
      <c r="U173" s="124">
        <f t="shared" si="171"/>
        <v>3.8216527442427035E-3</v>
      </c>
      <c r="V173" s="124">
        <f t="shared" si="171"/>
        <v>3.6098219243053615E-3</v>
      </c>
      <c r="W173" s="124">
        <f t="shared" si="171"/>
        <v>6.5538333764318555E-3</v>
      </c>
      <c r="X173" s="124">
        <f t="shared" ref="X173:Y173" si="172">IF(X81=0,0,X81/X$77)</f>
        <v>3.8473513410804028E-3</v>
      </c>
      <c r="Y173" s="124">
        <f t="shared" si="172"/>
        <v>3.6634436179959853E-3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4.9532469040631542E-2</v>
      </c>
      <c r="C174" s="124">
        <f t="shared" ref="C174:W174" si="173">IF(C82=0,0,C82/C$77)</f>
        <v>4.8114723194971537E-2</v>
      </c>
      <c r="D174" s="124">
        <f t="shared" si="173"/>
        <v>5.2121161945825778E-2</v>
      </c>
      <c r="E174" s="124">
        <f t="shared" si="173"/>
        <v>5.8516444640885484E-2</v>
      </c>
      <c r="F174" s="124">
        <f t="shared" si="173"/>
        <v>6.5192257999684755E-2</v>
      </c>
      <c r="G174" s="124">
        <f t="shared" si="173"/>
        <v>7.8885079035429642E-2</v>
      </c>
      <c r="H174" s="124">
        <f t="shared" si="173"/>
        <v>7.9795639743078378E-2</v>
      </c>
      <c r="I174" s="124">
        <f t="shared" si="173"/>
        <v>8.5008061511736663E-2</v>
      </c>
      <c r="J174" s="124">
        <f t="shared" si="173"/>
        <v>8.6953378922120808E-2</v>
      </c>
      <c r="K174" s="124">
        <f t="shared" si="173"/>
        <v>8.2102975137555476E-2</v>
      </c>
      <c r="L174" s="124">
        <f t="shared" si="173"/>
        <v>8.518242052249797E-2</v>
      </c>
      <c r="M174" s="124">
        <f t="shared" si="173"/>
        <v>8.1669437941786618E-2</v>
      </c>
      <c r="N174" s="124">
        <f t="shared" si="173"/>
        <v>7.7530023980673185E-2</v>
      </c>
      <c r="O174" s="124">
        <f t="shared" si="173"/>
        <v>7.9961739981161836E-2</v>
      </c>
      <c r="P174" s="124">
        <f t="shared" si="173"/>
        <v>6.8873624968913458E-2</v>
      </c>
      <c r="Q174" s="124">
        <f t="shared" si="173"/>
        <v>7.2798302356388428E-2</v>
      </c>
      <c r="R174" s="124">
        <f t="shared" si="173"/>
        <v>7.0354482222223083E-2</v>
      </c>
      <c r="S174" s="124">
        <f t="shared" si="173"/>
        <v>7.7227674202683352E-2</v>
      </c>
      <c r="T174" s="124">
        <f t="shared" si="173"/>
        <v>7.8637285140537388E-2</v>
      </c>
      <c r="U174" s="124">
        <f t="shared" si="173"/>
        <v>7.4318257097408733E-2</v>
      </c>
      <c r="V174" s="124">
        <f t="shared" si="173"/>
        <v>9.3968778165605976E-2</v>
      </c>
      <c r="W174" s="124">
        <f t="shared" si="173"/>
        <v>0.11650959911354</v>
      </c>
      <c r="X174" s="124">
        <f t="shared" ref="X174:Y174" si="174">IF(X82=0,0,X82/X$77)</f>
        <v>0.11909529126423915</v>
      </c>
      <c r="Y174" s="124">
        <f t="shared" si="174"/>
        <v>0.11492914645240387</v>
      </c>
      <c r="DA174" s="176"/>
    </row>
    <row r="175" spans="1:105" ht="11.45" customHeight="1" x14ac:dyDescent="0.25">
      <c r="A175" s="128" t="s">
        <v>27</v>
      </c>
      <c r="B175" s="140">
        <f t="shared" si="162"/>
        <v>2.8758041488488174E-3</v>
      </c>
      <c r="C175" s="140">
        <f t="shared" ref="C175:W175" si="175">IF(C83=0,0,C83/C$77)</f>
        <v>2.8503693585527649E-3</v>
      </c>
      <c r="D175" s="140">
        <f t="shared" si="175"/>
        <v>2.5780058582715588E-3</v>
      </c>
      <c r="E175" s="140">
        <f t="shared" si="175"/>
        <v>2.0565924299294869E-3</v>
      </c>
      <c r="F175" s="140">
        <f t="shared" si="175"/>
        <v>1.9916507086242476E-3</v>
      </c>
      <c r="G175" s="140">
        <f t="shared" si="175"/>
        <v>1.8869574749698294E-3</v>
      </c>
      <c r="H175" s="140">
        <f t="shared" si="175"/>
        <v>1.8927238747084262E-3</v>
      </c>
      <c r="I175" s="140">
        <f t="shared" si="175"/>
        <v>1.8996575745047978E-3</v>
      </c>
      <c r="J175" s="140">
        <f t="shared" si="175"/>
        <v>2.3633689196364393E-3</v>
      </c>
      <c r="K175" s="140">
        <f t="shared" si="175"/>
        <v>2.167097587638936E-3</v>
      </c>
      <c r="L175" s="140">
        <f t="shared" si="175"/>
        <v>1.7650096671679391E-3</v>
      </c>
      <c r="M175" s="140">
        <f t="shared" si="175"/>
        <v>1.3705742670093667E-3</v>
      </c>
      <c r="N175" s="140">
        <f t="shared" si="175"/>
        <v>1.3002086721261167E-3</v>
      </c>
      <c r="O175" s="140">
        <f t="shared" si="175"/>
        <v>1.2211534741116518E-3</v>
      </c>
      <c r="P175" s="140">
        <f t="shared" si="175"/>
        <v>1.4243946118131987E-3</v>
      </c>
      <c r="Q175" s="140">
        <f t="shared" si="175"/>
        <v>1.5328593578900183E-3</v>
      </c>
      <c r="R175" s="140">
        <f t="shared" si="175"/>
        <v>1.463895073273723E-3</v>
      </c>
      <c r="S175" s="140">
        <f t="shared" si="175"/>
        <v>1.4227821261532775E-3</v>
      </c>
      <c r="T175" s="140">
        <f t="shared" si="175"/>
        <v>1.3122149937217355E-3</v>
      </c>
      <c r="U175" s="140">
        <f t="shared" si="175"/>
        <v>1.3139177239563176E-3</v>
      </c>
      <c r="V175" s="140">
        <f t="shared" si="175"/>
        <v>1.4104783321683715E-3</v>
      </c>
      <c r="W175" s="140">
        <f t="shared" si="175"/>
        <v>1.6197499984638389E-3</v>
      </c>
      <c r="X175" s="140">
        <f t="shared" ref="X175:Y175" si="176">IF(X83=0,0,X83/X$77)</f>
        <v>1.3938877686364547E-3</v>
      </c>
      <c r="Y175" s="140">
        <f t="shared" si="176"/>
        <v>1.4593734199554681E-3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3.959607573615985E-3</v>
      </c>
      <c r="C176" s="140">
        <f t="shared" ref="C176:W176" si="177">IF(C84=0,0,C84/C$77)</f>
        <v>3.9427752876895162E-3</v>
      </c>
      <c r="D176" s="140">
        <f t="shared" si="177"/>
        <v>4.1055214454401318E-3</v>
      </c>
      <c r="E176" s="140">
        <f t="shared" si="177"/>
        <v>4.2689685650726837E-3</v>
      </c>
      <c r="F176" s="140">
        <f t="shared" si="177"/>
        <v>5.0385148236139843E-3</v>
      </c>
      <c r="G176" s="140">
        <f t="shared" si="177"/>
        <v>5.8541554738696022E-3</v>
      </c>
      <c r="H176" s="140">
        <f t="shared" si="177"/>
        <v>6.3248032796716673E-3</v>
      </c>
      <c r="I176" s="140">
        <f t="shared" si="177"/>
        <v>7.2535913614683173E-3</v>
      </c>
      <c r="J176" s="140">
        <f t="shared" si="177"/>
        <v>8.1455941183702536E-3</v>
      </c>
      <c r="K176" s="140">
        <f t="shared" si="177"/>
        <v>8.7260005646423219E-3</v>
      </c>
      <c r="L176" s="140">
        <f t="shared" si="177"/>
        <v>8.0934117231986017E-3</v>
      </c>
      <c r="M176" s="140">
        <f t="shared" si="177"/>
        <v>7.3946056548927662E-3</v>
      </c>
      <c r="N176" s="140">
        <f t="shared" si="177"/>
        <v>7.4582495919696765E-3</v>
      </c>
      <c r="O176" s="140">
        <f t="shared" si="177"/>
        <v>7.5003603138236166E-3</v>
      </c>
      <c r="P176" s="140">
        <f t="shared" si="177"/>
        <v>6.5607289023858935E-3</v>
      </c>
      <c r="Q176" s="140">
        <f t="shared" si="177"/>
        <v>7.0139023540644052E-3</v>
      </c>
      <c r="R176" s="140">
        <f t="shared" si="177"/>
        <v>6.8737783142044434E-3</v>
      </c>
      <c r="S176" s="140">
        <f t="shared" si="177"/>
        <v>8.0302692206342431E-3</v>
      </c>
      <c r="T176" s="140">
        <f t="shared" si="177"/>
        <v>7.9850519960846366E-3</v>
      </c>
      <c r="U176" s="140">
        <f t="shared" si="177"/>
        <v>7.7783374439811962E-3</v>
      </c>
      <c r="V176" s="140">
        <f t="shared" si="177"/>
        <v>6.1503361482125804E-3</v>
      </c>
      <c r="W176" s="140">
        <f t="shared" si="177"/>
        <v>9.3544106849686049E-3</v>
      </c>
      <c r="X176" s="140">
        <f t="shared" ref="X176:Y176" si="178">IF(X84=0,0,X84/X$77)</f>
        <v>1.1415563420410868E-2</v>
      </c>
      <c r="Y176" s="140">
        <f t="shared" si="178"/>
        <v>1.1679026364093464E-2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4.269705731816674E-2</v>
      </c>
      <c r="C177" s="140">
        <f t="shared" ref="C177:W177" si="179">IF(C85=0,0,C85/C$77)</f>
        <v>4.1321578548729261E-2</v>
      </c>
      <c r="D177" s="140">
        <f t="shared" si="179"/>
        <v>4.5437634642114089E-2</v>
      </c>
      <c r="E177" s="140">
        <f t="shared" si="179"/>
        <v>5.2190883645883319E-2</v>
      </c>
      <c r="F177" s="140">
        <f t="shared" si="179"/>
        <v>5.8162092467446531E-2</v>
      </c>
      <c r="G177" s="140">
        <f t="shared" si="179"/>
        <v>7.114396608659021E-2</v>
      </c>
      <c r="H177" s="140">
        <f t="shared" si="179"/>
        <v>7.1578112588698284E-2</v>
      </c>
      <c r="I177" s="140">
        <f t="shared" si="179"/>
        <v>7.5854812575763556E-2</v>
      </c>
      <c r="J177" s="140">
        <f t="shared" si="179"/>
        <v>7.6444415884114117E-2</v>
      </c>
      <c r="K177" s="140">
        <f t="shared" si="179"/>
        <v>7.1209876985274215E-2</v>
      </c>
      <c r="L177" s="140">
        <f t="shared" si="179"/>
        <v>7.5323999132131433E-2</v>
      </c>
      <c r="M177" s="140">
        <f t="shared" si="179"/>
        <v>7.2904258019884483E-2</v>
      </c>
      <c r="N177" s="140">
        <f t="shared" si="179"/>
        <v>6.8771565716577387E-2</v>
      </c>
      <c r="O177" s="140">
        <f t="shared" si="179"/>
        <v>7.1240226193226563E-2</v>
      </c>
      <c r="P177" s="140">
        <f t="shared" si="179"/>
        <v>6.0888501454714361E-2</v>
      </c>
      <c r="Q177" s="140">
        <f t="shared" si="179"/>
        <v>6.4251540644434002E-2</v>
      </c>
      <c r="R177" s="140">
        <f t="shared" si="179"/>
        <v>6.2016808834744919E-2</v>
      </c>
      <c r="S177" s="140">
        <f t="shared" si="179"/>
        <v>6.7774622855895819E-2</v>
      </c>
      <c r="T177" s="140">
        <f t="shared" si="179"/>
        <v>6.9340018150731014E-2</v>
      </c>
      <c r="U177" s="140">
        <f t="shared" si="179"/>
        <v>6.5226001929471228E-2</v>
      </c>
      <c r="V177" s="140">
        <f t="shared" si="179"/>
        <v>8.640796368522502E-2</v>
      </c>
      <c r="W177" s="140">
        <f t="shared" si="179"/>
        <v>0.10553543843010756</v>
      </c>
      <c r="X177" s="140">
        <f t="shared" ref="X177:Y177" si="180">IF(X85=0,0,X85/X$77)</f>
        <v>0.10628584007519183</v>
      </c>
      <c r="Y177" s="140">
        <f t="shared" si="180"/>
        <v>0.10179074666835494</v>
      </c>
      <c r="DA177" s="175"/>
    </row>
    <row r="178" spans="1:105" ht="11.45" customHeight="1" x14ac:dyDescent="0.25">
      <c r="A178" s="109" t="s">
        <v>141</v>
      </c>
      <c r="B178" s="124">
        <f t="shared" si="162"/>
        <v>1.6250097258668873E-2</v>
      </c>
      <c r="C178" s="124">
        <f t="shared" ref="C178:W178" si="181">IF(C86=0,0,C86/C$77)</f>
        <v>1.664057944059184E-2</v>
      </c>
      <c r="D178" s="124">
        <f t="shared" si="181"/>
        <v>1.5051647520121137E-2</v>
      </c>
      <c r="E178" s="124">
        <f t="shared" si="181"/>
        <v>1.6763804599637871E-2</v>
      </c>
      <c r="F178" s="124">
        <f t="shared" si="181"/>
        <v>1.9068858928126497E-2</v>
      </c>
      <c r="G178" s="124">
        <f t="shared" si="181"/>
        <v>2.2843625247348419E-2</v>
      </c>
      <c r="H178" s="124">
        <f t="shared" si="181"/>
        <v>1.7977146102028413E-2</v>
      </c>
      <c r="I178" s="124">
        <f t="shared" si="181"/>
        <v>1.9526441196152284E-2</v>
      </c>
      <c r="J178" s="124">
        <f t="shared" si="181"/>
        <v>1.9643129279894894E-2</v>
      </c>
      <c r="K178" s="124">
        <f t="shared" si="181"/>
        <v>1.9458971522937504E-2</v>
      </c>
      <c r="L178" s="124">
        <f t="shared" si="181"/>
        <v>1.739097809093711E-2</v>
      </c>
      <c r="M178" s="124">
        <f t="shared" si="181"/>
        <v>1.9372615051110646E-2</v>
      </c>
      <c r="N178" s="124">
        <f t="shared" si="181"/>
        <v>1.7654109448848029E-2</v>
      </c>
      <c r="O178" s="124">
        <f t="shared" si="181"/>
        <v>1.7487330420527501E-2</v>
      </c>
      <c r="P178" s="124">
        <f t="shared" si="181"/>
        <v>1.7929111583424227E-2</v>
      </c>
      <c r="Q178" s="124">
        <f t="shared" si="181"/>
        <v>1.9867845556648736E-2</v>
      </c>
      <c r="R178" s="124">
        <f t="shared" si="181"/>
        <v>1.6304826736288313E-2</v>
      </c>
      <c r="S178" s="124">
        <f t="shared" si="181"/>
        <v>1.4048415130422581E-2</v>
      </c>
      <c r="T178" s="124">
        <f t="shared" si="181"/>
        <v>1.4455005106198116E-2</v>
      </c>
      <c r="U178" s="124">
        <f t="shared" si="181"/>
        <v>1.5423620710146397E-2</v>
      </c>
      <c r="V178" s="124">
        <f t="shared" si="181"/>
        <v>1.5139427615924709E-2</v>
      </c>
      <c r="W178" s="124">
        <f t="shared" si="181"/>
        <v>2.0954265270228228E-2</v>
      </c>
      <c r="X178" s="124">
        <f t="shared" ref="X178:Y178" si="182">IF(X86=0,0,X86/X$77)</f>
        <v>1.4063236148387779E-2</v>
      </c>
      <c r="Y178" s="124">
        <f t="shared" si="182"/>
        <v>1.5534094536502591E-2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6.9082088144183052E-4</v>
      </c>
      <c r="C179" s="140">
        <f t="shared" ref="C179:W179" si="183">IF(C87=0,0,C87/C$77)</f>
        <v>6.0586580508099842E-4</v>
      </c>
      <c r="D179" s="140">
        <f t="shared" si="183"/>
        <v>6.773842505583261E-4</v>
      </c>
      <c r="E179" s="140">
        <f t="shared" si="183"/>
        <v>5.2759947415112441E-4</v>
      </c>
      <c r="F179" s="140">
        <f t="shared" si="183"/>
        <v>5.0979589687926612E-4</v>
      </c>
      <c r="G179" s="140">
        <f t="shared" si="183"/>
        <v>5.0053102088867319E-4</v>
      </c>
      <c r="H179" s="140">
        <f t="shared" si="183"/>
        <v>5.762504244454297E-4</v>
      </c>
      <c r="I179" s="140">
        <f t="shared" si="183"/>
        <v>6.8737006559146897E-4</v>
      </c>
      <c r="J179" s="140">
        <f t="shared" si="183"/>
        <v>6.9191061691434275E-4</v>
      </c>
      <c r="K179" s="140">
        <f t="shared" si="183"/>
        <v>5.5433712376063869E-4</v>
      </c>
      <c r="L179" s="140">
        <f t="shared" si="183"/>
        <v>4.9015327517172938E-4</v>
      </c>
      <c r="M179" s="140">
        <f t="shared" si="183"/>
        <v>5.7996981798433245E-4</v>
      </c>
      <c r="N179" s="140">
        <f t="shared" si="183"/>
        <v>6.3744452286146759E-4</v>
      </c>
      <c r="O179" s="140">
        <f t="shared" si="183"/>
        <v>7.1034881737875157E-4</v>
      </c>
      <c r="P179" s="140">
        <f t="shared" si="183"/>
        <v>6.8137738234455103E-4</v>
      </c>
      <c r="Q179" s="140">
        <f t="shared" si="183"/>
        <v>5.0521772164408409E-4</v>
      </c>
      <c r="R179" s="140">
        <f t="shared" si="183"/>
        <v>4.946691970881211E-4</v>
      </c>
      <c r="S179" s="140">
        <f t="shared" si="183"/>
        <v>6.011617314664574E-4</v>
      </c>
      <c r="T179" s="140">
        <f t="shared" si="183"/>
        <v>5.3898041462819971E-4</v>
      </c>
      <c r="U179" s="140">
        <f t="shared" si="183"/>
        <v>4.8404320700489692E-4</v>
      </c>
      <c r="V179" s="140">
        <f t="shared" si="183"/>
        <v>5.2789898367057344E-4</v>
      </c>
      <c r="W179" s="140">
        <f t="shared" si="183"/>
        <v>4.705165126477362E-4</v>
      </c>
      <c r="X179" s="140">
        <f t="shared" ref="X179:Y179" si="184">IF(X87=0,0,X87/X$77)</f>
        <v>3.2156093895243385E-4</v>
      </c>
      <c r="Y179" s="140">
        <f t="shared" si="184"/>
        <v>4.4224071269532468E-4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1.5559276377227043E-2</v>
      </c>
      <c r="C180" s="127">
        <f t="shared" ref="C180:W180" si="185">IF(C88=0,0,C88/C$77)</f>
        <v>1.6034713635510841E-2</v>
      </c>
      <c r="D180" s="127">
        <f t="shared" si="185"/>
        <v>1.4374263269562811E-2</v>
      </c>
      <c r="E180" s="127">
        <f t="shared" si="185"/>
        <v>1.6236205125486746E-2</v>
      </c>
      <c r="F180" s="127">
        <f t="shared" si="185"/>
        <v>1.8559063031247228E-2</v>
      </c>
      <c r="G180" s="127">
        <f t="shared" si="185"/>
        <v>2.2343094226459744E-2</v>
      </c>
      <c r="H180" s="127">
        <f t="shared" si="185"/>
        <v>1.7400895677582982E-2</v>
      </c>
      <c r="I180" s="127">
        <f t="shared" si="185"/>
        <v>1.8839071130560815E-2</v>
      </c>
      <c r="J180" s="127">
        <f t="shared" si="185"/>
        <v>1.8951218662980551E-2</v>
      </c>
      <c r="K180" s="127">
        <f t="shared" si="185"/>
        <v>1.8904634399176865E-2</v>
      </c>
      <c r="L180" s="127">
        <f t="shared" si="185"/>
        <v>1.6900824815765381E-2</v>
      </c>
      <c r="M180" s="127">
        <f t="shared" si="185"/>
        <v>1.8792645233126314E-2</v>
      </c>
      <c r="N180" s="127">
        <f t="shared" si="185"/>
        <v>1.7016664925986563E-2</v>
      </c>
      <c r="O180" s="127">
        <f t="shared" si="185"/>
        <v>1.677698160314875E-2</v>
      </c>
      <c r="P180" s="127">
        <f t="shared" si="185"/>
        <v>1.7247734201079674E-2</v>
      </c>
      <c r="Q180" s="127">
        <f t="shared" si="185"/>
        <v>1.9362627835004653E-2</v>
      </c>
      <c r="R180" s="127">
        <f t="shared" si="185"/>
        <v>1.5810157539200193E-2</v>
      </c>
      <c r="S180" s="127">
        <f t="shared" si="185"/>
        <v>1.3447253398956123E-2</v>
      </c>
      <c r="T180" s="127">
        <f t="shared" si="185"/>
        <v>1.3916024691569917E-2</v>
      </c>
      <c r="U180" s="127">
        <f t="shared" si="185"/>
        <v>1.49395775031415E-2</v>
      </c>
      <c r="V180" s="127">
        <f t="shared" si="185"/>
        <v>1.4611528632254137E-2</v>
      </c>
      <c r="W180" s="127">
        <f t="shared" si="185"/>
        <v>2.0483748757580491E-2</v>
      </c>
      <c r="X180" s="127">
        <f t="shared" ref="X180:Y180" si="186">IF(X88=0,0,X88/X$77)</f>
        <v>1.3741675209435346E-2</v>
      </c>
      <c r="Y180" s="127">
        <f t="shared" si="186"/>
        <v>1.5091853823807266E-2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0.34928747191521248</v>
      </c>
      <c r="C182" s="140">
        <f t="shared" ref="C182:W182" si="189">IF(C90=0,0,C90/C$89)</f>
        <v>0.34825298487401185</v>
      </c>
      <c r="D182" s="140">
        <f t="shared" si="189"/>
        <v>0.3373501383541827</v>
      </c>
      <c r="E182" s="140">
        <f t="shared" si="189"/>
        <v>0.33192016059982005</v>
      </c>
      <c r="F182" s="140">
        <f t="shared" si="189"/>
        <v>0.33543288323752046</v>
      </c>
      <c r="G182" s="140">
        <f t="shared" si="189"/>
        <v>0.31420293122285525</v>
      </c>
      <c r="H182" s="140">
        <f t="shared" si="189"/>
        <v>0.30098375443523745</v>
      </c>
      <c r="I182" s="140">
        <f t="shared" si="189"/>
        <v>0.29555973552691805</v>
      </c>
      <c r="J182" s="140">
        <f t="shared" si="189"/>
        <v>0.28231656351473028</v>
      </c>
      <c r="K182" s="140">
        <f t="shared" si="189"/>
        <v>0.27496392867680636</v>
      </c>
      <c r="L182" s="140">
        <f t="shared" si="189"/>
        <v>0.26826728615291745</v>
      </c>
      <c r="M182" s="140">
        <f t="shared" si="189"/>
        <v>0.26835839989558591</v>
      </c>
      <c r="N182" s="140">
        <f t="shared" si="189"/>
        <v>0.26891662891638263</v>
      </c>
      <c r="O182" s="140">
        <f t="shared" si="189"/>
        <v>0.2671826936496407</v>
      </c>
      <c r="P182" s="140">
        <f t="shared" si="189"/>
        <v>0.26690569388211727</v>
      </c>
      <c r="Q182" s="140">
        <f t="shared" si="189"/>
        <v>0.27184984534077583</v>
      </c>
      <c r="R182" s="140">
        <f t="shared" si="189"/>
        <v>0.2806151560894844</v>
      </c>
      <c r="S182" s="140">
        <f t="shared" si="189"/>
        <v>0.28213498316779256</v>
      </c>
      <c r="T182" s="140">
        <f t="shared" si="189"/>
        <v>0.29039142832741693</v>
      </c>
      <c r="U182" s="140">
        <f t="shared" si="189"/>
        <v>0.28532880174189973</v>
      </c>
      <c r="V182" s="140">
        <f t="shared" si="189"/>
        <v>0.24419807580508501</v>
      </c>
      <c r="W182" s="140">
        <f t="shared" si="189"/>
        <v>0.26802164595041594</v>
      </c>
      <c r="X182" s="140">
        <f t="shared" ref="X182:Y182" si="190">IF(X90=0,0,X90/X$89)</f>
        <v>0.28610744589403891</v>
      </c>
      <c r="Y182" s="140">
        <f t="shared" si="190"/>
        <v>0.30412653179080651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0.65071252808478752</v>
      </c>
      <c r="C183" s="127">
        <f t="shared" ref="C183:W183" si="191">IF(C91=0,0,C91/C$89)</f>
        <v>0.65174701512598809</v>
      </c>
      <c r="D183" s="127">
        <f t="shared" si="191"/>
        <v>0.6626498616458173</v>
      </c>
      <c r="E183" s="127">
        <f t="shared" si="191"/>
        <v>0.66807983940018001</v>
      </c>
      <c r="F183" s="127">
        <f t="shared" si="191"/>
        <v>0.66456711676247959</v>
      </c>
      <c r="G183" s="127">
        <f t="shared" si="191"/>
        <v>0.68579706877714475</v>
      </c>
      <c r="H183" s="127">
        <f t="shared" si="191"/>
        <v>0.69901624556476261</v>
      </c>
      <c r="I183" s="127">
        <f t="shared" si="191"/>
        <v>0.70444026447308195</v>
      </c>
      <c r="J183" s="127">
        <f t="shared" si="191"/>
        <v>0.71768343648526978</v>
      </c>
      <c r="K183" s="127">
        <f t="shared" si="191"/>
        <v>0.72503607132319359</v>
      </c>
      <c r="L183" s="127">
        <f t="shared" si="191"/>
        <v>0.73173271384708249</v>
      </c>
      <c r="M183" s="127">
        <f t="shared" si="191"/>
        <v>0.73164160010441404</v>
      </c>
      <c r="N183" s="127">
        <f t="shared" si="191"/>
        <v>0.73108337108361743</v>
      </c>
      <c r="O183" s="127">
        <f t="shared" si="191"/>
        <v>0.73281730635035935</v>
      </c>
      <c r="P183" s="127">
        <f t="shared" si="191"/>
        <v>0.73309430611788273</v>
      </c>
      <c r="Q183" s="127">
        <f t="shared" si="191"/>
        <v>0.72815015465922417</v>
      </c>
      <c r="R183" s="127">
        <f t="shared" si="191"/>
        <v>0.71938484391051549</v>
      </c>
      <c r="S183" s="127">
        <f t="shared" si="191"/>
        <v>0.71786501683220749</v>
      </c>
      <c r="T183" s="127">
        <f t="shared" si="191"/>
        <v>0.70960857167258296</v>
      </c>
      <c r="U183" s="127">
        <f t="shared" si="191"/>
        <v>0.71467119825810022</v>
      </c>
      <c r="V183" s="127">
        <f t="shared" si="191"/>
        <v>0.75580192419491499</v>
      </c>
      <c r="W183" s="127">
        <f t="shared" si="191"/>
        <v>0.73197835404958389</v>
      </c>
      <c r="X183" s="127">
        <f t="shared" ref="X183:Y183" si="192">IF(X91=0,0,X91/X$89)</f>
        <v>0.71389255410596097</v>
      </c>
      <c r="Y183" s="127">
        <f t="shared" si="192"/>
        <v>0.69587346820919349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42.210067041759089</v>
      </c>
      <c r="C186" s="32">
        <f t="shared" si="193"/>
        <v>40.984200512899172</v>
      </c>
      <c r="D186" s="32">
        <f t="shared" si="193"/>
        <v>40.72015199583624</v>
      </c>
      <c r="E186" s="32">
        <f t="shared" si="193"/>
        <v>39.597532700688163</v>
      </c>
      <c r="F186" s="32">
        <f t="shared" si="193"/>
        <v>39.128424506780455</v>
      </c>
      <c r="G186" s="32">
        <f t="shared" si="193"/>
        <v>38.188215918199205</v>
      </c>
      <c r="H186" s="32">
        <f t="shared" si="193"/>
        <v>37.214195430920242</v>
      </c>
      <c r="I186" s="32">
        <f t="shared" si="193"/>
        <v>36.257615384349471</v>
      </c>
      <c r="J186" s="32">
        <f t="shared" si="193"/>
        <v>35.821216794515848</v>
      </c>
      <c r="K186" s="32">
        <f t="shared" si="193"/>
        <v>35.733347901109092</v>
      </c>
      <c r="L186" s="32">
        <f t="shared" si="193"/>
        <v>34.44851661608282</v>
      </c>
      <c r="M186" s="32">
        <f t="shared" si="193"/>
        <v>34.289230706492916</v>
      </c>
      <c r="N186" s="32">
        <f t="shared" si="193"/>
        <v>33.715745689561459</v>
      </c>
      <c r="O186" s="32">
        <f t="shared" si="193"/>
        <v>34.325024174571254</v>
      </c>
      <c r="P186" s="32">
        <f t="shared" si="193"/>
        <v>34.116537219095108</v>
      </c>
      <c r="Q186" s="32">
        <f t="shared" si="193"/>
        <v>34.190895402692803</v>
      </c>
      <c r="R186" s="32">
        <f t="shared" si="193"/>
        <v>34.524513144176076</v>
      </c>
      <c r="S186" s="32">
        <f t="shared" si="193"/>
        <v>35.987668480199346</v>
      </c>
      <c r="T186" s="32">
        <f t="shared" si="193"/>
        <v>34.12578576083466</v>
      </c>
      <c r="U186" s="32">
        <f t="shared" si="193"/>
        <v>34.331854079427202</v>
      </c>
      <c r="V186" s="32">
        <f t="shared" si="193"/>
        <v>36.739663797404496</v>
      </c>
      <c r="W186" s="32">
        <f t="shared" si="193"/>
        <v>35.720308183742929</v>
      </c>
      <c r="X186" s="32">
        <f t="shared" si="193"/>
        <v>34.002771145415252</v>
      </c>
      <c r="Y186" s="32">
        <f t="shared" si="193"/>
        <v>32.647929158629552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44.413215352620604</v>
      </c>
      <c r="C187" s="141">
        <f t="shared" si="194"/>
        <v>43.102142567758882</v>
      </c>
      <c r="D187" s="141">
        <f t="shared" si="194"/>
        <v>42.577759215984976</v>
      </c>
      <c r="E187" s="141">
        <f t="shared" si="194"/>
        <v>41.645223307867234</v>
      </c>
      <c r="F187" s="141">
        <f t="shared" si="194"/>
        <v>41.477680168212096</v>
      </c>
      <c r="G187" s="141">
        <f t="shared" si="194"/>
        <v>40.485639632919579</v>
      </c>
      <c r="H187" s="141">
        <f t="shared" si="194"/>
        <v>39.223803235409328</v>
      </c>
      <c r="I187" s="141">
        <f t="shared" si="194"/>
        <v>38.061826602030813</v>
      </c>
      <c r="J187" s="141">
        <f t="shared" si="194"/>
        <v>37.541463728118565</v>
      </c>
      <c r="K187" s="141">
        <f t="shared" si="194"/>
        <v>37.26348180258212</v>
      </c>
      <c r="L187" s="141">
        <f t="shared" si="194"/>
        <v>36.407579621593932</v>
      </c>
      <c r="M187" s="141">
        <f t="shared" si="194"/>
        <v>36.864822358533509</v>
      </c>
      <c r="N187" s="141">
        <f t="shared" si="194"/>
        <v>35.836401254871625</v>
      </c>
      <c r="O187" s="141">
        <f t="shared" si="194"/>
        <v>36.675740949643298</v>
      </c>
      <c r="P187" s="141">
        <f t="shared" si="194"/>
        <v>36.712773045452671</v>
      </c>
      <c r="Q187" s="141">
        <f t="shared" si="194"/>
        <v>37.061976146316489</v>
      </c>
      <c r="R187" s="141">
        <f t="shared" si="194"/>
        <v>37.185521942102348</v>
      </c>
      <c r="S187" s="141">
        <f t="shared" si="194"/>
        <v>39.205288739949445</v>
      </c>
      <c r="T187" s="141">
        <f t="shared" si="194"/>
        <v>36.906481557582552</v>
      </c>
      <c r="U187" s="141">
        <f t="shared" si="194"/>
        <v>37.387879624498893</v>
      </c>
      <c r="V187" s="141">
        <f t="shared" si="194"/>
        <v>38.192324014630216</v>
      </c>
      <c r="W187" s="141">
        <f t="shared" si="194"/>
        <v>36.256953495461865</v>
      </c>
      <c r="X187" s="141">
        <f t="shared" si="194"/>
        <v>36.026383999418087</v>
      </c>
      <c r="Y187" s="141">
        <f t="shared" si="194"/>
        <v>35.400414104196841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40.434141806264144</v>
      </c>
      <c r="C188" s="97">
        <f t="shared" si="195"/>
        <v>39.753745089380111</v>
      </c>
      <c r="D188" s="97">
        <f t="shared" si="195"/>
        <v>39.180358562749753</v>
      </c>
      <c r="E188" s="97">
        <f t="shared" si="195"/>
        <v>38.144452773327508</v>
      </c>
      <c r="F188" s="97">
        <f t="shared" si="195"/>
        <v>37.933345278570918</v>
      </c>
      <c r="G188" s="97">
        <f t="shared" si="195"/>
        <v>36.805949288245053</v>
      </c>
      <c r="H188" s="97">
        <f t="shared" si="195"/>
        <v>36.630183449442278</v>
      </c>
      <c r="I188" s="97">
        <f t="shared" si="195"/>
        <v>35.787591561618441</v>
      </c>
      <c r="J188" s="97">
        <f t="shared" si="195"/>
        <v>34.969517974048273</v>
      </c>
      <c r="K188" s="97">
        <f t="shared" si="195"/>
        <v>34.739879851118182</v>
      </c>
      <c r="L188" s="97">
        <f t="shared" si="195"/>
        <v>34.767457558492524</v>
      </c>
      <c r="M188" s="97">
        <f t="shared" si="195"/>
        <v>33.500173428587608</v>
      </c>
      <c r="N188" s="97">
        <f t="shared" si="195"/>
        <v>34.443213359781211</v>
      </c>
      <c r="O188" s="97">
        <f t="shared" si="195"/>
        <v>33.830935138905353</v>
      </c>
      <c r="P188" s="97">
        <f t="shared" si="195"/>
        <v>32.548282145457335</v>
      </c>
      <c r="Q188" s="97">
        <f t="shared" si="195"/>
        <v>34.027744487930683</v>
      </c>
      <c r="R188" s="97">
        <f t="shared" si="195"/>
        <v>33.572387563730537</v>
      </c>
      <c r="S188" s="97">
        <f t="shared" si="195"/>
        <v>33.318576778232682</v>
      </c>
      <c r="T188" s="97">
        <f t="shared" si="195"/>
        <v>32.950951763929602</v>
      </c>
      <c r="U188" s="97">
        <f t="shared" si="195"/>
        <v>32.562833213536379</v>
      </c>
      <c r="V188" s="97">
        <f t="shared" si="195"/>
        <v>32.427964615777356</v>
      </c>
      <c r="W188" s="97">
        <f t="shared" si="195"/>
        <v>32.207010301219483</v>
      </c>
      <c r="X188" s="97">
        <f t="shared" si="195"/>
        <v>31.867806686703116</v>
      </c>
      <c r="Y188" s="97">
        <f t="shared" si="195"/>
        <v>31.453892486569927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45.511861418400898</v>
      </c>
      <c r="C189" s="97">
        <f t="shared" si="196"/>
        <v>44.10968862292296</v>
      </c>
      <c r="D189" s="97">
        <f t="shared" si="196"/>
        <v>43.546004832967164</v>
      </c>
      <c r="E189" s="97">
        <f t="shared" si="196"/>
        <v>42.572548534475203</v>
      </c>
      <c r="F189" s="97">
        <f t="shared" si="196"/>
        <v>42.394480493528981</v>
      </c>
      <c r="G189" s="97">
        <f t="shared" si="196"/>
        <v>41.373375036160766</v>
      </c>
      <c r="H189" s="97">
        <f t="shared" si="196"/>
        <v>39.922809752255162</v>
      </c>
      <c r="I189" s="97">
        <f t="shared" si="196"/>
        <v>38.786928088501064</v>
      </c>
      <c r="J189" s="97">
        <f t="shared" si="196"/>
        <v>38.240737293378011</v>
      </c>
      <c r="K189" s="97">
        <f t="shared" si="196"/>
        <v>37.85198848995423</v>
      </c>
      <c r="L189" s="97">
        <f t="shared" si="196"/>
        <v>36.808360357306839</v>
      </c>
      <c r="M189" s="97">
        <f t="shared" si="196"/>
        <v>37.184387427677713</v>
      </c>
      <c r="N189" s="97">
        <f t="shared" si="196"/>
        <v>35.828412544496437</v>
      </c>
      <c r="O189" s="97">
        <f t="shared" si="196"/>
        <v>36.632400264919092</v>
      </c>
      <c r="P189" s="97">
        <f t="shared" si="196"/>
        <v>36.687748774371691</v>
      </c>
      <c r="Q189" s="97">
        <f t="shared" si="196"/>
        <v>37.057502184070081</v>
      </c>
      <c r="R189" s="97">
        <f t="shared" si="196"/>
        <v>37.105967825073094</v>
      </c>
      <c r="S189" s="97">
        <f t="shared" si="196"/>
        <v>39.256705891366636</v>
      </c>
      <c r="T189" s="97">
        <f t="shared" si="196"/>
        <v>36.784722989827152</v>
      </c>
      <c r="U189" s="97">
        <f t="shared" si="196"/>
        <v>37.270146202884376</v>
      </c>
      <c r="V189" s="97">
        <f t="shared" si="196"/>
        <v>37.020295753271085</v>
      </c>
      <c r="W189" s="97">
        <f t="shared" si="196"/>
        <v>35.168749664427125</v>
      </c>
      <c r="X189" s="97">
        <f t="shared" si="196"/>
        <v>35.271498974272127</v>
      </c>
      <c r="Y189" s="97">
        <f t="shared" si="196"/>
        <v>34.76294389118523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31.856423816769322</v>
      </c>
      <c r="C190" s="97">
        <f t="shared" si="197"/>
        <v>31.180441630439272</v>
      </c>
      <c r="D190" s="97">
        <f t="shared" si="197"/>
        <v>30.825059488901005</v>
      </c>
      <c r="E190" s="97">
        <f t="shared" si="197"/>
        <v>30.507360192651358</v>
      </c>
      <c r="F190" s="97">
        <f t="shared" si="197"/>
        <v>30.405031827720894</v>
      </c>
      <c r="G190" s="97">
        <f t="shared" si="197"/>
        <v>29.870522981642626</v>
      </c>
      <c r="H190" s="97">
        <f t="shared" si="197"/>
        <v>30.634139919415261</v>
      </c>
      <c r="I190" s="97">
        <f t="shared" si="197"/>
        <v>28.859869653941743</v>
      </c>
      <c r="J190" s="97">
        <f t="shared" si="197"/>
        <v>28.446562686521126</v>
      </c>
      <c r="K190" s="97">
        <f t="shared" si="197"/>
        <v>29.410257592912256</v>
      </c>
      <c r="L190" s="97">
        <f t="shared" si="197"/>
        <v>30.973602704349396</v>
      </c>
      <c r="M190" s="97">
        <f t="shared" si="197"/>
        <v>32.922280823907336</v>
      </c>
      <c r="N190" s="97">
        <f t="shared" si="197"/>
        <v>36.250076700132453</v>
      </c>
      <c r="O190" s="97">
        <f t="shared" si="197"/>
        <v>37.932757843608066</v>
      </c>
      <c r="P190" s="97">
        <f t="shared" si="197"/>
        <v>37.98985151966766</v>
      </c>
      <c r="Q190" s="97">
        <f t="shared" si="197"/>
        <v>37.746662295278682</v>
      </c>
      <c r="R190" s="97">
        <f t="shared" si="197"/>
        <v>39.124021172709028</v>
      </c>
      <c r="S190" s="97">
        <f t="shared" si="197"/>
        <v>39.683888335481463</v>
      </c>
      <c r="T190" s="97">
        <f t="shared" si="197"/>
        <v>39.434881480840467</v>
      </c>
      <c r="U190" s="97">
        <f t="shared" si="197"/>
        <v>40.169783258038933</v>
      </c>
      <c r="V190" s="97">
        <f t="shared" si="197"/>
        <v>67.248851339138227</v>
      </c>
      <c r="W190" s="97">
        <f t="shared" si="197"/>
        <v>63.842998892872302</v>
      </c>
      <c r="X190" s="97">
        <f t="shared" si="197"/>
        <v>51.147331989423918</v>
      </c>
      <c r="Y190" s="97">
        <f t="shared" si="197"/>
        <v>47.443764484679868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16.26840074682201</v>
      </c>
      <c r="C191" s="130">
        <f t="shared" si="198"/>
        <v>15.839995074594528</v>
      </c>
      <c r="D191" s="130">
        <f t="shared" si="198"/>
        <v>16.079344840652393</v>
      </c>
      <c r="E191" s="130">
        <f t="shared" si="198"/>
        <v>14.03422248526347</v>
      </c>
      <c r="F191" s="130">
        <f t="shared" si="198"/>
        <v>13.428396676585111</v>
      </c>
      <c r="G191" s="130">
        <f t="shared" si="198"/>
        <v>12.864276688638116</v>
      </c>
      <c r="H191" s="130">
        <f t="shared" si="198"/>
        <v>11.562444799674021</v>
      </c>
      <c r="I191" s="130">
        <f t="shared" si="198"/>
        <v>11.014905148941903</v>
      </c>
      <c r="J191" s="130">
        <f t="shared" si="198"/>
        <v>10.304664063564028</v>
      </c>
      <c r="K191" s="130">
        <f t="shared" si="198"/>
        <v>10.232176799438657</v>
      </c>
      <c r="L191" s="130">
        <f t="shared" si="198"/>
        <v>10.378345140460015</v>
      </c>
      <c r="M191" s="130">
        <f t="shared" si="198"/>
        <v>9.8116308764047115</v>
      </c>
      <c r="N191" s="130">
        <f t="shared" si="198"/>
        <v>9.4027649667033444</v>
      </c>
      <c r="O191" s="130">
        <f t="shared" si="198"/>
        <v>9.1278381398908586</v>
      </c>
      <c r="P191" s="130">
        <f t="shared" si="198"/>
        <v>8.7799523858497643</v>
      </c>
      <c r="Q191" s="130">
        <f t="shared" si="198"/>
        <v>8.5326178467670584</v>
      </c>
      <c r="R191" s="130">
        <f t="shared" si="198"/>
        <v>8.4237313067899091</v>
      </c>
      <c r="S191" s="130">
        <f t="shared" si="198"/>
        <v>8.0093280262664823</v>
      </c>
      <c r="T191" s="130">
        <f t="shared" si="198"/>
        <v>7.4479108843398096</v>
      </c>
      <c r="U191" s="130">
        <f t="shared" si="198"/>
        <v>7.3671522348717984</v>
      </c>
      <c r="V191" s="130">
        <f t="shared" si="198"/>
        <v>11.536656019217959</v>
      </c>
      <c r="W191" s="130">
        <f t="shared" si="198"/>
        <v>14.026567637149279</v>
      </c>
      <c r="X191" s="130">
        <f t="shared" si="198"/>
        <v>8.3726725629343406</v>
      </c>
      <c r="Y191" s="130">
        <f t="shared" si="198"/>
        <v>7.8876888598834602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6.2350077957487136</v>
      </c>
      <c r="C192" s="97">
        <f t="shared" si="199"/>
        <v>6.0318897959202378</v>
      </c>
      <c r="D192" s="97">
        <f t="shared" si="199"/>
        <v>6.087089619971807</v>
      </c>
      <c r="E192" s="97">
        <f t="shared" si="199"/>
        <v>6.1530523897231166</v>
      </c>
      <c r="F192" s="97">
        <f t="shared" si="199"/>
        <v>5.8956816095308069</v>
      </c>
      <c r="G192" s="97">
        <f t="shared" si="199"/>
        <v>5.4054135032379724</v>
      </c>
      <c r="H192" s="97">
        <f t="shared" si="199"/>
        <v>5.046778862476061</v>
      </c>
      <c r="I192" s="97">
        <f t="shared" si="199"/>
        <v>4.7888106664592733</v>
      </c>
      <c r="J192" s="97">
        <f t="shared" si="199"/>
        <v>4.6863280623148951</v>
      </c>
      <c r="K192" s="97">
        <f t="shared" si="199"/>
        <v>4.6908259891282347</v>
      </c>
      <c r="L192" s="97">
        <f t="shared" si="199"/>
        <v>4.6670894090419024</v>
      </c>
      <c r="M192" s="97">
        <f t="shared" si="199"/>
        <v>4.6242873201022379</v>
      </c>
      <c r="N192" s="97">
        <f t="shared" si="199"/>
        <v>4.3258867097814777</v>
      </c>
      <c r="O192" s="97">
        <f t="shared" si="199"/>
        <v>4.2304473500809205</v>
      </c>
      <c r="P192" s="97">
        <f t="shared" si="199"/>
        <v>4.1194406807831738</v>
      </c>
      <c r="Q192" s="97">
        <f t="shared" si="199"/>
        <v>3.8948049912545124</v>
      </c>
      <c r="R192" s="97">
        <f t="shared" si="199"/>
        <v>3.7278745462740002</v>
      </c>
      <c r="S192" s="97">
        <f t="shared" si="199"/>
        <v>3.5822678406196236</v>
      </c>
      <c r="T192" s="97">
        <f t="shared" si="199"/>
        <v>3.4681440537086003</v>
      </c>
      <c r="U192" s="97">
        <f t="shared" si="199"/>
        <v>3.3874698667906284</v>
      </c>
      <c r="V192" s="97">
        <f t="shared" si="199"/>
        <v>4.081314562542202</v>
      </c>
      <c r="W192" s="97">
        <f t="shared" si="199"/>
        <v>4.3574681604901855</v>
      </c>
      <c r="X192" s="97">
        <f t="shared" si="199"/>
        <v>2.690758266382097</v>
      </c>
      <c r="Y192" s="97">
        <f t="shared" si="199"/>
        <v>2.5082895045102402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20.293642979614717</v>
      </c>
      <c r="C193" s="97">
        <f t="shared" si="200"/>
        <v>19.961721909033983</v>
      </c>
      <c r="D193" s="97">
        <f t="shared" si="200"/>
        <v>20.684335348586497</v>
      </c>
      <c r="E193" s="97">
        <f t="shared" si="200"/>
        <v>17.931332403318343</v>
      </c>
      <c r="F193" s="97">
        <f t="shared" si="200"/>
        <v>17.397861148834021</v>
      </c>
      <c r="G193" s="97">
        <f t="shared" si="200"/>
        <v>16.815465183469918</v>
      </c>
      <c r="H193" s="97">
        <f t="shared" si="200"/>
        <v>14.943343893024384</v>
      </c>
      <c r="I193" s="97">
        <f t="shared" si="200"/>
        <v>14.318795506461568</v>
      </c>
      <c r="J193" s="97">
        <f t="shared" si="200"/>
        <v>13.220604834680364</v>
      </c>
      <c r="K193" s="97">
        <f t="shared" si="200"/>
        <v>13.10721004812061</v>
      </c>
      <c r="L193" s="97">
        <f t="shared" si="200"/>
        <v>13.463476930768163</v>
      </c>
      <c r="M193" s="97">
        <f t="shared" si="200"/>
        <v>12.457388829959873</v>
      </c>
      <c r="N193" s="97">
        <f t="shared" si="200"/>
        <v>12.068616642846756</v>
      </c>
      <c r="O193" s="97">
        <f t="shared" si="200"/>
        <v>11.741258811575262</v>
      </c>
      <c r="P193" s="97">
        <f t="shared" si="200"/>
        <v>11.136536557072558</v>
      </c>
      <c r="Q193" s="97">
        <f t="shared" si="200"/>
        <v>11.008338965129521</v>
      </c>
      <c r="R193" s="97">
        <f t="shared" si="200"/>
        <v>11.014165815460107</v>
      </c>
      <c r="S193" s="97">
        <f t="shared" si="200"/>
        <v>10.597763320098585</v>
      </c>
      <c r="T193" s="97">
        <f t="shared" si="200"/>
        <v>9.9064708056362409</v>
      </c>
      <c r="U193" s="97">
        <f t="shared" si="200"/>
        <v>9.9029178865685434</v>
      </c>
      <c r="V193" s="97">
        <f t="shared" si="200"/>
        <v>15.457004880210478</v>
      </c>
      <c r="W193" s="97">
        <f t="shared" si="200"/>
        <v>20.332373765163325</v>
      </c>
      <c r="X193" s="97">
        <f t="shared" si="200"/>
        <v>12.20679762515293</v>
      </c>
      <c r="Y193" s="97">
        <f t="shared" si="200"/>
        <v>11.601935384130345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9.0166714725532362</v>
      </c>
      <c r="C194" s="97">
        <f t="shared" si="201"/>
        <v>9.1297433708700009</v>
      </c>
      <c r="D194" s="97">
        <f t="shared" si="201"/>
        <v>8.9612949796220143</v>
      </c>
      <c r="E194" s="97">
        <f t="shared" si="201"/>
        <v>8.6749081334743838</v>
      </c>
      <c r="F194" s="97">
        <f t="shared" si="201"/>
        <v>8.3951733283856544</v>
      </c>
      <c r="G194" s="97">
        <f t="shared" si="201"/>
        <v>7.8023361383847547</v>
      </c>
      <c r="H194" s="97">
        <f t="shared" si="201"/>
        <v>7.28653127160627</v>
      </c>
      <c r="I194" s="97">
        <f t="shared" si="201"/>
        <v>6.9169327229776192</v>
      </c>
      <c r="J194" s="97">
        <f t="shared" si="201"/>
        <v>6.7561333127345584</v>
      </c>
      <c r="K194" s="97">
        <f t="shared" si="201"/>
        <v>6.6769604195489745</v>
      </c>
      <c r="L194" s="97">
        <f t="shared" si="201"/>
        <v>6.5420184326306012</v>
      </c>
      <c r="M194" s="97">
        <f t="shared" si="201"/>
        <v>6.4558346785659833</v>
      </c>
      <c r="N194" s="97">
        <f t="shared" si="201"/>
        <v>5.9102471313430458</v>
      </c>
      <c r="O194" s="97">
        <f t="shared" si="201"/>
        <v>5.6877491085340344</v>
      </c>
      <c r="P194" s="97">
        <f t="shared" si="201"/>
        <v>5.5010364573274533</v>
      </c>
      <c r="Q194" s="97">
        <f t="shared" si="201"/>
        <v>5.1553748377623245</v>
      </c>
      <c r="R194" s="97">
        <f t="shared" si="201"/>
        <v>4.8602590267403851</v>
      </c>
      <c r="S194" s="97">
        <f t="shared" si="201"/>
        <v>4.5937916692894882</v>
      </c>
      <c r="T194" s="97">
        <f t="shared" si="201"/>
        <v>4.3928774681633689</v>
      </c>
      <c r="U194" s="97">
        <f t="shared" si="201"/>
        <v>4.35620157420637</v>
      </c>
      <c r="V194" s="97">
        <f t="shared" si="201"/>
        <v>7.7823668266067667</v>
      </c>
      <c r="W194" s="97">
        <f t="shared" si="201"/>
        <v>7.3327088324842213</v>
      </c>
      <c r="X194" s="97">
        <f t="shared" si="201"/>
        <v>4.217159236057455</v>
      </c>
      <c r="Y194" s="97">
        <f t="shared" si="201"/>
        <v>3.8896377424040294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44.379084445059739</v>
      </c>
      <c r="C195" s="130">
        <f t="shared" si="202"/>
        <v>42.98837641489127</v>
      </c>
      <c r="D195" s="130">
        <f t="shared" si="202"/>
        <v>43.155647842662972</v>
      </c>
      <c r="E195" s="130">
        <f t="shared" si="202"/>
        <v>41.456527909393067</v>
      </c>
      <c r="F195" s="130">
        <f t="shared" si="202"/>
        <v>39.295230840851247</v>
      </c>
      <c r="G195" s="130">
        <f t="shared" si="202"/>
        <v>39.198591068068112</v>
      </c>
      <c r="H195" s="130">
        <f t="shared" si="202"/>
        <v>40.072495314435798</v>
      </c>
      <c r="I195" s="130">
        <f t="shared" si="202"/>
        <v>39.859927128915125</v>
      </c>
      <c r="J195" s="130">
        <f t="shared" si="202"/>
        <v>40.427223644602492</v>
      </c>
      <c r="K195" s="130">
        <f t="shared" si="202"/>
        <v>41.458728994618447</v>
      </c>
      <c r="L195" s="130">
        <f t="shared" si="202"/>
        <v>37.135401488235971</v>
      </c>
      <c r="M195" s="130">
        <f t="shared" si="202"/>
        <v>34.297970349182464</v>
      </c>
      <c r="N195" s="130">
        <f t="shared" si="202"/>
        <v>36.143860405695605</v>
      </c>
      <c r="O195" s="130">
        <f t="shared" si="202"/>
        <v>36.13653977277373</v>
      </c>
      <c r="P195" s="130">
        <f t="shared" si="202"/>
        <v>34.809445227683369</v>
      </c>
      <c r="Q195" s="130">
        <f t="shared" si="202"/>
        <v>33.646302972242431</v>
      </c>
      <c r="R195" s="130">
        <f t="shared" si="202"/>
        <v>35.429741944044864</v>
      </c>
      <c r="S195" s="130">
        <f t="shared" si="202"/>
        <v>36.08110188977269</v>
      </c>
      <c r="T195" s="130">
        <f t="shared" si="202"/>
        <v>35.628801630695591</v>
      </c>
      <c r="U195" s="130">
        <f t="shared" si="202"/>
        <v>35.067054269039218</v>
      </c>
      <c r="V195" s="130">
        <f t="shared" si="202"/>
        <v>44.503723432438001</v>
      </c>
      <c r="W195" s="130">
        <f t="shared" si="202"/>
        <v>47.368099647989418</v>
      </c>
      <c r="X195" s="130">
        <f t="shared" si="202"/>
        <v>38.816875572119876</v>
      </c>
      <c r="Y195" s="130">
        <f t="shared" si="202"/>
        <v>34.135498776371925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79.70889485733197</v>
      </c>
      <c r="C196" s="97">
        <f t="shared" si="203"/>
        <v>78.813503206990532</v>
      </c>
      <c r="D196" s="97">
        <f t="shared" si="203"/>
        <v>75.599066562696891</v>
      </c>
      <c r="E196" s="97">
        <f t="shared" si="203"/>
        <v>71.690184731845889</v>
      </c>
      <c r="F196" s="97">
        <f t="shared" si="203"/>
        <v>70.990224615286209</v>
      </c>
      <c r="G196" s="97">
        <f t="shared" si="203"/>
        <v>72.923048964582179</v>
      </c>
      <c r="H196" s="97">
        <f t="shared" si="203"/>
        <v>71.237929953412049</v>
      </c>
      <c r="I196" s="97">
        <f t="shared" si="203"/>
        <v>67.145589566842318</v>
      </c>
      <c r="J196" s="97">
        <f t="shared" si="203"/>
        <v>66.075335313435119</v>
      </c>
      <c r="K196" s="97">
        <f t="shared" si="203"/>
        <v>66.638936990443312</v>
      </c>
      <c r="L196" s="97">
        <f t="shared" si="203"/>
        <v>61.430014920276044</v>
      </c>
      <c r="M196" s="97">
        <f t="shared" si="203"/>
        <v>58.148286899036712</v>
      </c>
      <c r="N196" s="97">
        <f t="shared" si="203"/>
        <v>60.376461775429298</v>
      </c>
      <c r="O196" s="97">
        <f t="shared" si="203"/>
        <v>58.988324303730238</v>
      </c>
      <c r="P196" s="97">
        <f t="shared" si="203"/>
        <v>63.050445531824259</v>
      </c>
      <c r="Q196" s="97">
        <f t="shared" si="203"/>
        <v>62.715593572926899</v>
      </c>
      <c r="R196" s="97">
        <f t="shared" si="203"/>
        <v>64.440780709843878</v>
      </c>
      <c r="S196" s="97">
        <f t="shared" si="203"/>
        <v>55.816171503377987</v>
      </c>
      <c r="T196" s="97">
        <f t="shared" si="203"/>
        <v>54.209051988987042</v>
      </c>
      <c r="U196" s="97">
        <f t="shared" si="203"/>
        <v>62.0980559895808</v>
      </c>
      <c r="V196" s="97">
        <f t="shared" si="203"/>
        <v>95.546534913658888</v>
      </c>
      <c r="W196" s="97">
        <f t="shared" si="203"/>
        <v>95.395258801370758</v>
      </c>
      <c r="X196" s="97">
        <f t="shared" si="203"/>
        <v>69.229778274784294</v>
      </c>
      <c r="Y196" s="97">
        <f t="shared" si="203"/>
        <v>62.160951944409874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39.610642461381396</v>
      </c>
      <c r="C197" s="97">
        <f t="shared" si="204"/>
        <v>37.4143394525913</v>
      </c>
      <c r="D197" s="97">
        <f t="shared" si="204"/>
        <v>36.428774207385054</v>
      </c>
      <c r="E197" s="97">
        <f t="shared" si="204"/>
        <v>35.895599374605624</v>
      </c>
      <c r="F197" s="97">
        <f t="shared" si="204"/>
        <v>34.463271910425391</v>
      </c>
      <c r="G197" s="97">
        <f t="shared" si="204"/>
        <v>34.239346567771655</v>
      </c>
      <c r="H197" s="97">
        <f t="shared" si="204"/>
        <v>35.674290433567172</v>
      </c>
      <c r="I197" s="97">
        <f t="shared" si="204"/>
        <v>37.823107117975688</v>
      </c>
      <c r="J197" s="97">
        <f t="shared" si="204"/>
        <v>39.526747838892554</v>
      </c>
      <c r="K197" s="97">
        <f t="shared" si="204"/>
        <v>39.756386554821532</v>
      </c>
      <c r="L197" s="97">
        <f t="shared" si="204"/>
        <v>36.548059819492345</v>
      </c>
      <c r="M197" s="97">
        <f t="shared" si="204"/>
        <v>33.064217733322565</v>
      </c>
      <c r="N197" s="97">
        <f t="shared" si="204"/>
        <v>35.091108984964215</v>
      </c>
      <c r="O197" s="97">
        <f t="shared" si="204"/>
        <v>34.516945239926024</v>
      </c>
      <c r="P197" s="97">
        <f t="shared" si="204"/>
        <v>32.20878624733141</v>
      </c>
      <c r="Q197" s="97">
        <f t="shared" si="204"/>
        <v>31.475480513583385</v>
      </c>
      <c r="R197" s="97">
        <f t="shared" si="204"/>
        <v>32.84136341192341</v>
      </c>
      <c r="S197" s="97">
        <f t="shared" si="204"/>
        <v>34.365291759359636</v>
      </c>
      <c r="T197" s="97">
        <f t="shared" si="204"/>
        <v>33.306598827728351</v>
      </c>
      <c r="U197" s="97">
        <f t="shared" si="204"/>
        <v>32.554611117360849</v>
      </c>
      <c r="V197" s="97">
        <f t="shared" si="204"/>
        <v>32.988099915910922</v>
      </c>
      <c r="W197" s="97">
        <f t="shared" si="204"/>
        <v>35.742295733545276</v>
      </c>
      <c r="X197" s="97">
        <f t="shared" si="204"/>
        <v>36.743377337862967</v>
      </c>
      <c r="Y197" s="97">
        <f t="shared" si="204"/>
        <v>34.360086095039819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42.610873048237359</v>
      </c>
      <c r="C198" s="97">
        <f t="shared" si="205"/>
        <v>41.784612111892294</v>
      </c>
      <c r="D198" s="97">
        <f t="shared" si="205"/>
        <v>42.648217560351526</v>
      </c>
      <c r="E198" s="97">
        <f t="shared" si="205"/>
        <v>40.724746885730696</v>
      </c>
      <c r="F198" s="97">
        <f t="shared" si="205"/>
        <v>38.409797503316959</v>
      </c>
      <c r="G198" s="97">
        <f t="shared" si="205"/>
        <v>38.372841745838208</v>
      </c>
      <c r="H198" s="97">
        <f t="shared" si="205"/>
        <v>39.133088557774684</v>
      </c>
      <c r="I198" s="97">
        <f t="shared" si="205"/>
        <v>38.035094770555922</v>
      </c>
      <c r="J198" s="97">
        <f t="shared" si="205"/>
        <v>38.229627401156272</v>
      </c>
      <c r="K198" s="97">
        <f t="shared" si="205"/>
        <v>39.655247089421145</v>
      </c>
      <c r="L198" s="97">
        <f t="shared" si="205"/>
        <v>35.0904750967835</v>
      </c>
      <c r="M198" s="97">
        <f t="shared" si="205"/>
        <v>32.696972877873158</v>
      </c>
      <c r="N198" s="97">
        <f t="shared" si="205"/>
        <v>34.56392521534282</v>
      </c>
      <c r="O198" s="97">
        <f t="shared" si="205"/>
        <v>35.012503161323622</v>
      </c>
      <c r="P198" s="97">
        <f t="shared" si="205"/>
        <v>33.744400306838294</v>
      </c>
      <c r="Q198" s="97">
        <f t="shared" si="205"/>
        <v>32.389542828420339</v>
      </c>
      <c r="R198" s="97">
        <f t="shared" si="205"/>
        <v>34.38695039665302</v>
      </c>
      <c r="S198" s="97">
        <f t="shared" si="205"/>
        <v>35.452368003479769</v>
      </c>
      <c r="T198" s="97">
        <f t="shared" si="205"/>
        <v>35.45090343381019</v>
      </c>
      <c r="U198" s="97">
        <f t="shared" si="205"/>
        <v>34.424614940549738</v>
      </c>
      <c r="V198" s="97">
        <f t="shared" si="205"/>
        <v>46.903530260144237</v>
      </c>
      <c r="W198" s="97">
        <f t="shared" si="205"/>
        <v>52.04867564834074</v>
      </c>
      <c r="X198" s="97">
        <f t="shared" si="205"/>
        <v>38.713228140390207</v>
      </c>
      <c r="Y198" s="97">
        <f t="shared" si="205"/>
        <v>33.046143923991274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36.423743079354814</v>
      </c>
      <c r="C199" s="32">
        <f t="shared" si="206"/>
        <v>34.053225281953218</v>
      </c>
      <c r="D199" s="32">
        <f t="shared" si="206"/>
        <v>33.022646865853062</v>
      </c>
      <c r="E199" s="32">
        <f t="shared" si="206"/>
        <v>30.719387530775673</v>
      </c>
      <c r="F199" s="32">
        <f t="shared" si="206"/>
        <v>28.872745151828859</v>
      </c>
      <c r="G199" s="32">
        <f t="shared" si="206"/>
        <v>27.488852926799357</v>
      </c>
      <c r="H199" s="32">
        <f t="shared" si="206"/>
        <v>29.181760813259153</v>
      </c>
      <c r="I199" s="32">
        <f t="shared" si="206"/>
        <v>27.745370864968912</v>
      </c>
      <c r="J199" s="32">
        <f t="shared" si="206"/>
        <v>26.946671028612762</v>
      </c>
      <c r="K199" s="32">
        <f t="shared" si="206"/>
        <v>28.477430969158743</v>
      </c>
      <c r="L199" s="32">
        <f t="shared" si="206"/>
        <v>28.861220871602768</v>
      </c>
      <c r="M199" s="32">
        <f t="shared" si="206"/>
        <v>28.009565226773177</v>
      </c>
      <c r="N199" s="32">
        <f t="shared" si="206"/>
        <v>29.496068732401149</v>
      </c>
      <c r="O199" s="32">
        <f t="shared" si="206"/>
        <v>28.965239108270072</v>
      </c>
      <c r="P199" s="32">
        <f t="shared" si="206"/>
        <v>29.066746762496454</v>
      </c>
      <c r="Q199" s="32">
        <f t="shared" si="206"/>
        <v>27.076255177223977</v>
      </c>
      <c r="R199" s="32">
        <f t="shared" si="206"/>
        <v>26.29744800643358</v>
      </c>
      <c r="S199" s="32">
        <f t="shared" si="206"/>
        <v>27.302270592444689</v>
      </c>
      <c r="T199" s="32">
        <f t="shared" si="206"/>
        <v>28.411224940059856</v>
      </c>
      <c r="U199" s="32">
        <f t="shared" si="206"/>
        <v>27.470868819837715</v>
      </c>
      <c r="V199" s="32">
        <f t="shared" si="206"/>
        <v>29.903294265805716</v>
      </c>
      <c r="W199" s="32">
        <f t="shared" si="206"/>
        <v>27.663494176552753</v>
      </c>
      <c r="X199" s="32">
        <f t="shared" si="206"/>
        <v>26.623462457480603</v>
      </c>
      <c r="Y199" s="32">
        <f t="shared" si="206"/>
        <v>24.854303131218142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48.546378473649135</v>
      </c>
      <c r="C200" s="141">
        <f t="shared" si="207"/>
        <v>44.412593322817045</v>
      </c>
      <c r="D200" s="141">
        <f t="shared" si="207"/>
        <v>42.824315133155494</v>
      </c>
      <c r="E200" s="141">
        <f t="shared" si="207"/>
        <v>39.456699450125058</v>
      </c>
      <c r="F200" s="141">
        <f t="shared" si="207"/>
        <v>36.62057230743217</v>
      </c>
      <c r="G200" s="141">
        <f t="shared" si="207"/>
        <v>34.73515481271712</v>
      </c>
      <c r="H200" s="141">
        <f t="shared" si="207"/>
        <v>37.354366945233629</v>
      </c>
      <c r="I200" s="141">
        <f t="shared" si="207"/>
        <v>35.363776101275128</v>
      </c>
      <c r="J200" s="141">
        <f t="shared" si="207"/>
        <v>34.170370973306362</v>
      </c>
      <c r="K200" s="141">
        <f t="shared" si="207"/>
        <v>35.312199439797425</v>
      </c>
      <c r="L200" s="141">
        <f t="shared" si="207"/>
        <v>36.560707833430875</v>
      </c>
      <c r="M200" s="141">
        <f t="shared" si="207"/>
        <v>35.110262136224016</v>
      </c>
      <c r="N200" s="141">
        <f t="shared" si="207"/>
        <v>37.512180821653239</v>
      </c>
      <c r="O200" s="141">
        <f t="shared" si="207"/>
        <v>36.629586129278387</v>
      </c>
      <c r="P200" s="141">
        <f t="shared" si="207"/>
        <v>37.02262648084988</v>
      </c>
      <c r="Q200" s="141">
        <f t="shared" si="207"/>
        <v>33.960577147329502</v>
      </c>
      <c r="R200" s="141">
        <f t="shared" si="207"/>
        <v>33.903116852146454</v>
      </c>
      <c r="S200" s="141">
        <f t="shared" si="207"/>
        <v>34.369430387233038</v>
      </c>
      <c r="T200" s="141">
        <f t="shared" si="207"/>
        <v>35.406284726866204</v>
      </c>
      <c r="U200" s="141">
        <f t="shared" si="207"/>
        <v>34.401931219566208</v>
      </c>
      <c r="V200" s="141">
        <f t="shared" si="207"/>
        <v>35.497946759961842</v>
      </c>
      <c r="W200" s="141">
        <f t="shared" si="207"/>
        <v>32.246266786862265</v>
      </c>
      <c r="X200" s="141">
        <f t="shared" si="207"/>
        <v>31.403978774165356</v>
      </c>
      <c r="Y200" s="141">
        <f t="shared" si="207"/>
        <v>29.619962120034828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250.27766139233421</v>
      </c>
      <c r="C201" s="97">
        <f t="shared" si="208"/>
        <v>240.48193093492597</v>
      </c>
      <c r="D201" s="97">
        <f t="shared" si="208"/>
        <v>236.70826309245916</v>
      </c>
      <c r="E201" s="97">
        <f t="shared" si="208"/>
        <v>235.36021041890814</v>
      </c>
      <c r="F201" s="97">
        <f t="shared" si="208"/>
        <v>231.26850155019659</v>
      </c>
      <c r="G201" s="97">
        <f t="shared" si="208"/>
        <v>230.76438570161386</v>
      </c>
      <c r="H201" s="97">
        <f t="shared" si="208"/>
        <v>228.55393179605815</v>
      </c>
      <c r="I201" s="97">
        <f t="shared" si="208"/>
        <v>226.4261678072464</v>
      </c>
      <c r="J201" s="97">
        <f t="shared" si="208"/>
        <v>223.74740792267653</v>
      </c>
      <c r="K201" s="97">
        <f t="shared" si="208"/>
        <v>222.55307906701771</v>
      </c>
      <c r="L201" s="97">
        <f t="shared" si="208"/>
        <v>219.69511084949465</v>
      </c>
      <c r="M201" s="97">
        <f t="shared" si="208"/>
        <v>219.87428974319997</v>
      </c>
      <c r="N201" s="97">
        <f t="shared" si="208"/>
        <v>216.75289046822527</v>
      </c>
      <c r="O201" s="97">
        <f t="shared" si="208"/>
        <v>217.3336462370676</v>
      </c>
      <c r="P201" s="97">
        <f t="shared" si="208"/>
        <v>217.19765491584536</v>
      </c>
      <c r="Q201" s="97">
        <f t="shared" si="208"/>
        <v>219.62123179285138</v>
      </c>
      <c r="R201" s="97">
        <f t="shared" si="208"/>
        <v>218.39314561947998</v>
      </c>
      <c r="S201" s="97">
        <f t="shared" si="208"/>
        <v>214.90565416711064</v>
      </c>
      <c r="T201" s="97">
        <f t="shared" si="208"/>
        <v>209.25499116180023</v>
      </c>
      <c r="U201" s="97">
        <f t="shared" si="208"/>
        <v>208.15036050150454</v>
      </c>
      <c r="V201" s="97">
        <f t="shared" si="208"/>
        <v>204.16478559286304</v>
      </c>
      <c r="W201" s="97">
        <f t="shared" si="208"/>
        <v>204.23415473732484</v>
      </c>
      <c r="X201" s="97">
        <f t="shared" si="208"/>
        <v>204.28910653324857</v>
      </c>
      <c r="Y201" s="97">
        <f t="shared" si="208"/>
        <v>203.89722191967815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40.112211316500947</v>
      </c>
      <c r="C202" s="97">
        <f t="shared" si="209"/>
        <v>35.972740610559178</v>
      </c>
      <c r="D202" s="97">
        <f t="shared" si="209"/>
        <v>34.436529707963977</v>
      </c>
      <c r="E202" s="97">
        <f t="shared" si="209"/>
        <v>30.790451891234866</v>
      </c>
      <c r="F202" s="97">
        <f t="shared" si="209"/>
        <v>28.690227264121617</v>
      </c>
      <c r="G202" s="97">
        <f t="shared" si="209"/>
        <v>26.898055813098424</v>
      </c>
      <c r="H202" s="97">
        <f t="shared" si="209"/>
        <v>30.224547852575977</v>
      </c>
      <c r="I202" s="97">
        <f t="shared" si="209"/>
        <v>28.641385443851792</v>
      </c>
      <c r="J202" s="97">
        <f t="shared" si="209"/>
        <v>27.706089821393746</v>
      </c>
      <c r="K202" s="97">
        <f t="shared" si="209"/>
        <v>28.253168946183084</v>
      </c>
      <c r="L202" s="97">
        <f t="shared" si="209"/>
        <v>30.106417677968526</v>
      </c>
      <c r="M202" s="97">
        <f t="shared" si="209"/>
        <v>28.684978467254442</v>
      </c>
      <c r="N202" s="97">
        <f t="shared" si="209"/>
        <v>31.206413124703584</v>
      </c>
      <c r="O202" s="97">
        <f t="shared" si="209"/>
        <v>30.124414647698206</v>
      </c>
      <c r="P202" s="97">
        <f t="shared" si="209"/>
        <v>30.432197770158396</v>
      </c>
      <c r="Q202" s="97">
        <f t="shared" si="209"/>
        <v>26.517722825289212</v>
      </c>
      <c r="R202" s="97">
        <f t="shared" si="209"/>
        <v>26.263588493324423</v>
      </c>
      <c r="S202" s="97">
        <f t="shared" si="209"/>
        <v>26.918138220419483</v>
      </c>
      <c r="T202" s="97">
        <f t="shared" si="209"/>
        <v>28.32850570441018</v>
      </c>
      <c r="U202" s="97">
        <f t="shared" si="209"/>
        <v>27.043525899734046</v>
      </c>
      <c r="V202" s="97">
        <f t="shared" si="209"/>
        <v>28.593723853295614</v>
      </c>
      <c r="W202" s="97">
        <f t="shared" si="209"/>
        <v>25.073433494483471</v>
      </c>
      <c r="X202" s="97">
        <f t="shared" si="209"/>
        <v>23.876962278313751</v>
      </c>
      <c r="Y202" s="97">
        <f t="shared" si="209"/>
        <v>21.502230275940928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5.9429622641034392</v>
      </c>
      <c r="C203" s="130">
        <f t="shared" si="210"/>
        <v>6.9368261122738604</v>
      </c>
      <c r="D203" s="130">
        <f t="shared" si="210"/>
        <v>6.974180896329977</v>
      </c>
      <c r="E203" s="130">
        <f t="shared" si="210"/>
        <v>5.0414617962451667</v>
      </c>
      <c r="F203" s="130">
        <f t="shared" si="210"/>
        <v>4.8270079966307531</v>
      </c>
      <c r="G203" s="130">
        <f t="shared" si="210"/>
        <v>4.0735877082019742</v>
      </c>
      <c r="H203" s="130">
        <f t="shared" si="210"/>
        <v>3.9017830068790031</v>
      </c>
      <c r="I203" s="130">
        <f t="shared" si="210"/>
        <v>3.6678494411686611</v>
      </c>
      <c r="J203" s="130">
        <f t="shared" si="210"/>
        <v>2.9956008820275044</v>
      </c>
      <c r="K203" s="130">
        <f t="shared" si="210"/>
        <v>3.6660172184021973</v>
      </c>
      <c r="L203" s="130">
        <f t="shared" si="210"/>
        <v>3.4303045831560341</v>
      </c>
      <c r="M203" s="130">
        <f t="shared" si="210"/>
        <v>3.5654591267175597</v>
      </c>
      <c r="N203" s="130">
        <f t="shared" si="210"/>
        <v>3.6471590707171213</v>
      </c>
      <c r="O203" s="130">
        <f t="shared" si="210"/>
        <v>3.6118024484874875</v>
      </c>
      <c r="P203" s="130">
        <f t="shared" si="210"/>
        <v>3.4796399983898292</v>
      </c>
      <c r="Q203" s="130">
        <f t="shared" si="210"/>
        <v>3.22241459448863</v>
      </c>
      <c r="R203" s="130">
        <f t="shared" si="210"/>
        <v>2.9626918495419106</v>
      </c>
      <c r="S203" s="130">
        <f t="shared" si="210"/>
        <v>3.1423325565346389</v>
      </c>
      <c r="T203" s="130">
        <f t="shared" si="210"/>
        <v>3.1800383135846761</v>
      </c>
      <c r="U203" s="130">
        <f t="shared" si="210"/>
        <v>2.9038928484207074</v>
      </c>
      <c r="V203" s="130">
        <f t="shared" si="210"/>
        <v>3.5331154617859917</v>
      </c>
      <c r="W203" s="130">
        <f t="shared" si="210"/>
        <v>3.5161766668411549</v>
      </c>
      <c r="X203" s="130">
        <f t="shared" si="210"/>
        <v>2.9066210488720619</v>
      </c>
      <c r="Y203" s="130">
        <f t="shared" si="210"/>
        <v>2.672928384062105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120.20409708563797</v>
      </c>
      <c r="C204" s="130">
        <f t="shared" si="211"/>
        <v>110.80339033505525</v>
      </c>
      <c r="D204" s="130">
        <f t="shared" si="211"/>
        <v>113.72486878741117</v>
      </c>
      <c r="E204" s="130">
        <f t="shared" si="211"/>
        <v>119.50654368642567</v>
      </c>
      <c r="F204" s="130">
        <f t="shared" si="211"/>
        <v>119.41122090230368</v>
      </c>
      <c r="G204" s="130">
        <f t="shared" si="211"/>
        <v>125.38347023955768</v>
      </c>
      <c r="H204" s="130">
        <f t="shared" si="211"/>
        <v>129.15808924115879</v>
      </c>
      <c r="I204" s="130">
        <f t="shared" si="211"/>
        <v>128.10677587459702</v>
      </c>
      <c r="J204" s="130">
        <f t="shared" si="211"/>
        <v>132.29512011540322</v>
      </c>
      <c r="K204" s="130">
        <f t="shared" si="211"/>
        <v>123.81616060127311</v>
      </c>
      <c r="L204" s="130">
        <f t="shared" si="211"/>
        <v>110.90957843229616</v>
      </c>
      <c r="M204" s="130">
        <f t="shared" si="211"/>
        <v>96.852483685534636</v>
      </c>
      <c r="N204" s="130">
        <f t="shared" si="211"/>
        <v>97.67280131591211</v>
      </c>
      <c r="O204" s="130">
        <f t="shared" si="211"/>
        <v>100.94193091734041</v>
      </c>
      <c r="P204" s="130">
        <f t="shared" si="211"/>
        <v>86.098431794629121</v>
      </c>
      <c r="Q204" s="130">
        <f t="shared" si="211"/>
        <v>84.585925609644363</v>
      </c>
      <c r="R204" s="130">
        <f t="shared" si="211"/>
        <v>80.169682478529154</v>
      </c>
      <c r="S204" s="130">
        <f t="shared" si="211"/>
        <v>87.314682565910914</v>
      </c>
      <c r="T204" s="130">
        <f t="shared" si="211"/>
        <v>89.28259383413068</v>
      </c>
      <c r="U204" s="130">
        <f t="shared" si="211"/>
        <v>85.129572687559786</v>
      </c>
      <c r="V204" s="130">
        <f t="shared" si="211"/>
        <v>119.25276566581852</v>
      </c>
      <c r="W204" s="130">
        <f t="shared" si="211"/>
        <v>136.69099864728057</v>
      </c>
      <c r="X204" s="130">
        <f t="shared" si="211"/>
        <v>124.59805417891086</v>
      </c>
      <c r="Y204" s="130">
        <f t="shared" si="211"/>
        <v>110.08052959480838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597.58042003929177</v>
      </c>
      <c r="C205" s="97">
        <f t="shared" si="212"/>
        <v>600.99568229159763</v>
      </c>
      <c r="D205" s="97">
        <f t="shared" si="212"/>
        <v>561.48621116195989</v>
      </c>
      <c r="E205" s="97">
        <f t="shared" si="212"/>
        <v>501.94380911657646</v>
      </c>
      <c r="F205" s="97">
        <f t="shared" si="212"/>
        <v>522.98774599811065</v>
      </c>
      <c r="G205" s="97">
        <f t="shared" si="212"/>
        <v>553.98302623621032</v>
      </c>
      <c r="H205" s="97">
        <f t="shared" si="212"/>
        <v>577.92054990816405</v>
      </c>
      <c r="I205" s="97">
        <f t="shared" si="212"/>
        <v>574.72190981268943</v>
      </c>
      <c r="J205" s="97">
        <f t="shared" si="212"/>
        <v>613.47772983893299</v>
      </c>
      <c r="K205" s="97">
        <f t="shared" si="212"/>
        <v>637.44773957692394</v>
      </c>
      <c r="L205" s="97">
        <f t="shared" si="212"/>
        <v>574.0429569266156</v>
      </c>
      <c r="M205" s="97">
        <f t="shared" si="212"/>
        <v>435.62070757398504</v>
      </c>
      <c r="N205" s="97">
        <f t="shared" si="212"/>
        <v>460.36718477012454</v>
      </c>
      <c r="O205" s="97">
        <f t="shared" si="212"/>
        <v>457.86939086723731</v>
      </c>
      <c r="P205" s="97">
        <f t="shared" si="212"/>
        <v>526.29268245670357</v>
      </c>
      <c r="Q205" s="97">
        <f t="shared" si="212"/>
        <v>525.77456295444961</v>
      </c>
      <c r="R205" s="97">
        <f t="shared" si="212"/>
        <v>472.36963381373141</v>
      </c>
      <c r="S205" s="97">
        <f t="shared" si="212"/>
        <v>460.55760008875473</v>
      </c>
      <c r="T205" s="97">
        <f t="shared" si="212"/>
        <v>420.57707595954213</v>
      </c>
      <c r="U205" s="97">
        <f t="shared" si="212"/>
        <v>426.94133608539642</v>
      </c>
      <c r="V205" s="97">
        <f t="shared" si="212"/>
        <v>518.12695652864738</v>
      </c>
      <c r="W205" s="97">
        <f t="shared" si="212"/>
        <v>532.69431042579617</v>
      </c>
      <c r="X205" s="97">
        <f t="shared" si="212"/>
        <v>434.96445522602119</v>
      </c>
      <c r="Y205" s="97">
        <f t="shared" si="212"/>
        <v>431.90657853206159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164.0433476508056</v>
      </c>
      <c r="C206" s="97">
        <f t="shared" si="213"/>
        <v>150.02984210549116</v>
      </c>
      <c r="D206" s="97">
        <f t="shared" si="213"/>
        <v>156.48137663156993</v>
      </c>
      <c r="E206" s="97">
        <f t="shared" si="213"/>
        <v>149.36319136236486</v>
      </c>
      <c r="F206" s="97">
        <f t="shared" si="213"/>
        <v>161.58800451719839</v>
      </c>
      <c r="G206" s="97">
        <f t="shared" si="213"/>
        <v>168.5221013338583</v>
      </c>
      <c r="H206" s="97">
        <f t="shared" si="213"/>
        <v>199.65985120573404</v>
      </c>
      <c r="I206" s="97">
        <f t="shared" si="213"/>
        <v>204.95961522746563</v>
      </c>
      <c r="J206" s="97">
        <f t="shared" si="213"/>
        <v>207.50321714084023</v>
      </c>
      <c r="K206" s="97">
        <f t="shared" si="213"/>
        <v>206.59260695815178</v>
      </c>
      <c r="L206" s="97">
        <f t="shared" si="213"/>
        <v>195.07025582448136</v>
      </c>
      <c r="M206" s="97">
        <f t="shared" si="213"/>
        <v>174.92839083350566</v>
      </c>
      <c r="N206" s="97">
        <f t="shared" si="213"/>
        <v>176.95860027275558</v>
      </c>
      <c r="O206" s="97">
        <f t="shared" si="213"/>
        <v>182.50340939891277</v>
      </c>
      <c r="P206" s="97">
        <f t="shared" si="213"/>
        <v>151.41207304505099</v>
      </c>
      <c r="Q206" s="97">
        <f t="shared" si="213"/>
        <v>153.34985634260036</v>
      </c>
      <c r="R206" s="97">
        <f t="shared" si="213"/>
        <v>148.25606658210921</v>
      </c>
      <c r="S206" s="97">
        <f t="shared" si="213"/>
        <v>174.13524599155463</v>
      </c>
      <c r="T206" s="97">
        <f t="shared" si="213"/>
        <v>169.74683256001171</v>
      </c>
      <c r="U206" s="97">
        <f t="shared" si="213"/>
        <v>162.14325221708287</v>
      </c>
      <c r="V206" s="97">
        <f t="shared" si="213"/>
        <v>138.58057168943554</v>
      </c>
      <c r="W206" s="97">
        <f t="shared" si="213"/>
        <v>174.39874674355826</v>
      </c>
      <c r="X206" s="97">
        <f t="shared" si="213"/>
        <v>214.20474419140837</v>
      </c>
      <c r="Y206" s="97">
        <f t="shared" si="213"/>
        <v>212.02087110603188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111.4413719842431</v>
      </c>
      <c r="C207" s="97">
        <f t="shared" si="214"/>
        <v>102.47694593206523</v>
      </c>
      <c r="D207" s="97">
        <f t="shared" si="214"/>
        <v>106.28866347691832</v>
      </c>
      <c r="E207" s="97">
        <f t="shared" si="214"/>
        <v>114.20821678280335</v>
      </c>
      <c r="F207" s="97">
        <f t="shared" si="214"/>
        <v>113.82802664795753</v>
      </c>
      <c r="G207" s="97">
        <f t="shared" si="214"/>
        <v>120.37645796431524</v>
      </c>
      <c r="H207" s="97">
        <f t="shared" si="214"/>
        <v>122.80367473240491</v>
      </c>
      <c r="I207" s="97">
        <f t="shared" si="214"/>
        <v>121.39074866601352</v>
      </c>
      <c r="J207" s="97">
        <f t="shared" si="214"/>
        <v>124.46841481055922</v>
      </c>
      <c r="K207" s="97">
        <f t="shared" si="214"/>
        <v>115.32460490588618</v>
      </c>
      <c r="L207" s="97">
        <f t="shared" si="214"/>
        <v>104.11399047678339</v>
      </c>
      <c r="M207" s="97">
        <f t="shared" si="214"/>
        <v>91.378968878112232</v>
      </c>
      <c r="N207" s="97">
        <f t="shared" si="214"/>
        <v>91.841469687627523</v>
      </c>
      <c r="O207" s="97">
        <f t="shared" si="214"/>
        <v>95.190512546739143</v>
      </c>
      <c r="P207" s="97">
        <f t="shared" si="214"/>
        <v>80.763616965560715</v>
      </c>
      <c r="Q207" s="97">
        <f t="shared" si="214"/>
        <v>79.127775783765316</v>
      </c>
      <c r="R207" s="97">
        <f t="shared" si="214"/>
        <v>74.889419275500444</v>
      </c>
      <c r="S207" s="97">
        <f t="shared" si="214"/>
        <v>81.140370648108885</v>
      </c>
      <c r="T207" s="97">
        <f t="shared" si="214"/>
        <v>83.480657444060213</v>
      </c>
      <c r="U207" s="97">
        <f t="shared" si="214"/>
        <v>79.354630500200514</v>
      </c>
      <c r="V207" s="97">
        <f t="shared" si="214"/>
        <v>116.62868642751864</v>
      </c>
      <c r="W207" s="97">
        <f t="shared" si="214"/>
        <v>132.63509279340897</v>
      </c>
      <c r="X207" s="97">
        <f t="shared" si="214"/>
        <v>118.18190113163267</v>
      </c>
      <c r="Y207" s="97">
        <f t="shared" si="214"/>
        <v>103.27951324742034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4.1984907712765018</v>
      </c>
      <c r="C208" s="130">
        <f t="shared" si="215"/>
        <v>4.1576268953770752</v>
      </c>
      <c r="D208" s="130">
        <f t="shared" si="215"/>
        <v>3.6581510743778551</v>
      </c>
      <c r="E208" s="130">
        <f t="shared" si="215"/>
        <v>4.2104559560698318</v>
      </c>
      <c r="F208" s="130">
        <f t="shared" si="215"/>
        <v>4.342640565089285</v>
      </c>
      <c r="G208" s="130">
        <f t="shared" si="215"/>
        <v>4.9845929564637714</v>
      </c>
      <c r="H208" s="130">
        <f t="shared" si="215"/>
        <v>4.2539491249542776</v>
      </c>
      <c r="I208" s="130">
        <f t="shared" si="215"/>
        <v>4.4628693167333537</v>
      </c>
      <c r="J208" s="130">
        <f t="shared" si="215"/>
        <v>4.620961775078043</v>
      </c>
      <c r="K208" s="130">
        <f t="shared" si="215"/>
        <v>5.0800582031888979</v>
      </c>
      <c r="L208" s="130">
        <f t="shared" si="215"/>
        <v>4.420211397989406</v>
      </c>
      <c r="M208" s="130">
        <f t="shared" si="215"/>
        <v>5.5237163099753825</v>
      </c>
      <c r="N208" s="130">
        <f t="shared" si="215"/>
        <v>4.8910293172132837</v>
      </c>
      <c r="O208" s="130">
        <f t="shared" si="215"/>
        <v>4.754295486877723</v>
      </c>
      <c r="P208" s="130">
        <f t="shared" si="215"/>
        <v>5.0803035755183625</v>
      </c>
      <c r="Q208" s="130">
        <f t="shared" si="215"/>
        <v>5.7140118821798414</v>
      </c>
      <c r="R208" s="130">
        <f t="shared" si="215"/>
        <v>4.8979549112063099</v>
      </c>
      <c r="S208" s="130">
        <f t="shared" si="215"/>
        <v>4.3387242040504148</v>
      </c>
      <c r="T208" s="130">
        <f t="shared" si="215"/>
        <v>5.3748871325365606</v>
      </c>
      <c r="U208" s="130">
        <f t="shared" si="215"/>
        <v>5.2602225128312927</v>
      </c>
      <c r="V208" s="130">
        <f t="shared" si="215"/>
        <v>5.7646345405473651</v>
      </c>
      <c r="W208" s="130">
        <f t="shared" si="215"/>
        <v>7.5518170239951816</v>
      </c>
      <c r="X208" s="130">
        <f t="shared" si="215"/>
        <v>5.3148631682644236</v>
      </c>
      <c r="Y208" s="130">
        <f t="shared" si="215"/>
        <v>5.6139292014073741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11.473448575255208</v>
      </c>
      <c r="C209" s="97">
        <f t="shared" si="216"/>
        <v>11.168230661695889</v>
      </c>
      <c r="D209" s="97">
        <f t="shared" si="216"/>
        <v>11.069440033047426</v>
      </c>
      <c r="E209" s="97">
        <f t="shared" si="216"/>
        <v>11.009776823762795</v>
      </c>
      <c r="F209" s="97">
        <f t="shared" si="216"/>
        <v>10.461225632496829</v>
      </c>
      <c r="G209" s="97">
        <f t="shared" si="216"/>
        <v>11.369372467680108</v>
      </c>
      <c r="H209" s="97">
        <f t="shared" si="216"/>
        <v>11.173905023231587</v>
      </c>
      <c r="I209" s="97">
        <f t="shared" si="216"/>
        <v>10.877102678747159</v>
      </c>
      <c r="J209" s="97">
        <f t="shared" si="216"/>
        <v>11.885835332466511</v>
      </c>
      <c r="K209" s="97">
        <f t="shared" si="216"/>
        <v>13.251214280617416</v>
      </c>
      <c r="L209" s="97">
        <f t="shared" si="216"/>
        <v>14.62226734334849</v>
      </c>
      <c r="M209" s="97">
        <f t="shared" si="216"/>
        <v>14.741914105364174</v>
      </c>
      <c r="N209" s="97">
        <f t="shared" si="216"/>
        <v>13.145235306275589</v>
      </c>
      <c r="O209" s="97">
        <f t="shared" si="216"/>
        <v>12.809730162341769</v>
      </c>
      <c r="P209" s="97">
        <f t="shared" si="216"/>
        <v>14.215109907923317</v>
      </c>
      <c r="Q209" s="97">
        <f t="shared" si="216"/>
        <v>15.561447108396202</v>
      </c>
      <c r="R209" s="97">
        <f t="shared" si="216"/>
        <v>14.199469530594875</v>
      </c>
      <c r="S209" s="97">
        <f t="shared" si="216"/>
        <v>13.943529099566396</v>
      </c>
      <c r="T209" s="97">
        <f t="shared" si="216"/>
        <v>15.792106749800066</v>
      </c>
      <c r="U209" s="97">
        <f t="shared" si="216"/>
        <v>15.776721531300366</v>
      </c>
      <c r="V209" s="97">
        <f t="shared" si="216"/>
        <v>15.247280177063494</v>
      </c>
      <c r="W209" s="97">
        <f t="shared" si="216"/>
        <v>18.294702349267375</v>
      </c>
      <c r="X209" s="97">
        <f t="shared" si="216"/>
        <v>16.472062977169923</v>
      </c>
      <c r="Y209" s="97">
        <f t="shared" si="216"/>
        <v>16.409495551674713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4.0835303480195702</v>
      </c>
      <c r="C210" s="98">
        <f t="shared" si="217"/>
        <v>4.0612991792310762</v>
      </c>
      <c r="D210" s="98">
        <f t="shared" si="217"/>
        <v>3.5462618172337406</v>
      </c>
      <c r="E210" s="98">
        <f t="shared" si="217"/>
        <v>4.1276223065218458</v>
      </c>
      <c r="F210" s="98">
        <f t="shared" si="217"/>
        <v>4.2739747352807829</v>
      </c>
      <c r="G210" s="98">
        <f t="shared" si="217"/>
        <v>4.9226635038975859</v>
      </c>
      <c r="H210" s="98">
        <f t="shared" si="217"/>
        <v>4.1684594651791276</v>
      </c>
      <c r="I210" s="98">
        <f t="shared" si="217"/>
        <v>4.3688684993298379</v>
      </c>
      <c r="J210" s="98">
        <f t="shared" si="217"/>
        <v>4.5200925850925389</v>
      </c>
      <c r="K210" s="98">
        <f t="shared" si="217"/>
        <v>4.9898347033777988</v>
      </c>
      <c r="L210" s="98">
        <f t="shared" si="217"/>
        <v>4.3325436330010918</v>
      </c>
      <c r="M210" s="98">
        <f t="shared" si="217"/>
        <v>5.419138421576303</v>
      </c>
      <c r="N210" s="98">
        <f t="shared" si="217"/>
        <v>4.7786263038753596</v>
      </c>
      <c r="O210" s="98">
        <f t="shared" si="217"/>
        <v>4.6309904776066082</v>
      </c>
      <c r="P210" s="98">
        <f t="shared" si="217"/>
        <v>4.9545249612115754</v>
      </c>
      <c r="Q210" s="98">
        <f t="shared" si="217"/>
        <v>5.6211972905741341</v>
      </c>
      <c r="R210" s="98">
        <f t="shared" si="217"/>
        <v>4.799584637941452</v>
      </c>
      <c r="S210" s="98">
        <f t="shared" si="217"/>
        <v>4.2091067409030822</v>
      </c>
      <c r="T210" s="98">
        <f t="shared" si="217"/>
        <v>5.2409865135227793</v>
      </c>
      <c r="U210" s="98">
        <f t="shared" si="217"/>
        <v>5.1490174391061725</v>
      </c>
      <c r="V210" s="98">
        <f t="shared" si="217"/>
        <v>5.6379528778642216</v>
      </c>
      <c r="W210" s="98">
        <f t="shared" si="217"/>
        <v>7.4513106304297221</v>
      </c>
      <c r="X210" s="98">
        <f t="shared" si="217"/>
        <v>5.2319366743564126</v>
      </c>
      <c r="Y210" s="98">
        <f t="shared" si="217"/>
        <v>5.5077497370712303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3.5890585639807284</v>
      </c>
      <c r="C211" s="32">
        <f t="shared" si="218"/>
        <v>3.5675578458930883</v>
      </c>
      <c r="D211" s="32">
        <f t="shared" si="218"/>
        <v>3.5971149271357459</v>
      </c>
      <c r="E211" s="32">
        <f t="shared" si="218"/>
        <v>3.6539989378288897</v>
      </c>
      <c r="F211" s="32">
        <f t="shared" si="218"/>
        <v>3.4769607883446256</v>
      </c>
      <c r="G211" s="32">
        <f t="shared" si="218"/>
        <v>2.9948071319234324</v>
      </c>
      <c r="H211" s="32">
        <f t="shared" si="218"/>
        <v>2.828920817702782</v>
      </c>
      <c r="I211" s="32">
        <f t="shared" si="218"/>
        <v>3.192304142375995</v>
      </c>
      <c r="J211" s="32">
        <f t="shared" si="218"/>
        <v>2.9795578599962131</v>
      </c>
      <c r="K211" s="32">
        <f t="shared" si="218"/>
        <v>3.2934500230930506</v>
      </c>
      <c r="L211" s="32">
        <f t="shared" si="218"/>
        <v>3.1045760778781664</v>
      </c>
      <c r="M211" s="32">
        <f t="shared" si="218"/>
        <v>2.7502691716892556</v>
      </c>
      <c r="N211" s="32">
        <f t="shared" si="218"/>
        <v>2.5407461535738407</v>
      </c>
      <c r="O211" s="32">
        <f t="shared" si="218"/>
        <v>2.2801136327740927</v>
      </c>
      <c r="P211" s="32">
        <f t="shared" si="218"/>
        <v>2.2269434963406716</v>
      </c>
      <c r="Q211" s="32">
        <f t="shared" si="218"/>
        <v>2.4748008141483386</v>
      </c>
      <c r="R211" s="32">
        <f t="shared" si="218"/>
        <v>2.9087762796815921</v>
      </c>
      <c r="S211" s="32">
        <f t="shared" si="218"/>
        <v>2.3802893367993212</v>
      </c>
      <c r="T211" s="32">
        <f t="shared" si="218"/>
        <v>1.7704734895532137</v>
      </c>
      <c r="U211" s="32">
        <f t="shared" si="218"/>
        <v>1.4003736253070913</v>
      </c>
      <c r="V211" s="32">
        <f t="shared" si="218"/>
        <v>1.4657254036462672</v>
      </c>
      <c r="W211" s="32">
        <f t="shared" si="218"/>
        <v>1.5538497867912906</v>
      </c>
      <c r="X211" s="32">
        <f t="shared" si="218"/>
        <v>1.6956084921033636</v>
      </c>
      <c r="Y211" s="32">
        <f t="shared" si="218"/>
        <v>1.5750297967805813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10.073131155720848</v>
      </c>
      <c r="C212" s="97">
        <f t="shared" si="219"/>
        <v>10.054112051992181</v>
      </c>
      <c r="D212" s="97">
        <f t="shared" si="219"/>
        <v>10.401638963958838</v>
      </c>
      <c r="E212" s="97">
        <f t="shared" si="219"/>
        <v>10.790697530173816</v>
      </c>
      <c r="F212" s="97">
        <f t="shared" si="219"/>
        <v>10.337754316763405</v>
      </c>
      <c r="G212" s="97">
        <f t="shared" si="219"/>
        <v>9.3393149115560519</v>
      </c>
      <c r="H212" s="97">
        <f t="shared" si="219"/>
        <v>9.0381330776970312</v>
      </c>
      <c r="I212" s="97">
        <f t="shared" si="219"/>
        <v>10.38260080568404</v>
      </c>
      <c r="J212" s="97">
        <f t="shared" si="219"/>
        <v>10.054181100811165</v>
      </c>
      <c r="K212" s="97">
        <f t="shared" si="219"/>
        <v>11.270099213762256</v>
      </c>
      <c r="L212" s="97">
        <f t="shared" si="219"/>
        <v>10.993118920814494</v>
      </c>
      <c r="M212" s="97">
        <f t="shared" si="219"/>
        <v>9.9414147427636923</v>
      </c>
      <c r="N212" s="97">
        <f t="shared" si="219"/>
        <v>9.2422780963380617</v>
      </c>
      <c r="O212" s="97">
        <f t="shared" si="219"/>
        <v>8.3445645774031671</v>
      </c>
      <c r="P212" s="97">
        <f t="shared" si="219"/>
        <v>8.1291105641001717</v>
      </c>
      <c r="Q212" s="97">
        <f t="shared" si="219"/>
        <v>8.9114885813825442</v>
      </c>
      <c r="R212" s="97">
        <f t="shared" si="219"/>
        <v>10.20235235635951</v>
      </c>
      <c r="S212" s="97">
        <f t="shared" si="219"/>
        <v>8.3812775295984796</v>
      </c>
      <c r="T212" s="97">
        <f t="shared" si="219"/>
        <v>6.1926335133818151</v>
      </c>
      <c r="U212" s="97">
        <f t="shared" si="219"/>
        <v>5.0505512958417453</v>
      </c>
      <c r="V212" s="97">
        <f t="shared" si="219"/>
        <v>4.6028272381146804</v>
      </c>
      <c r="W212" s="97">
        <f t="shared" si="219"/>
        <v>4.9558352616005017</v>
      </c>
      <c r="X212" s="97">
        <f t="shared" si="219"/>
        <v>5.7955689275033615</v>
      </c>
      <c r="Y212" s="97">
        <f t="shared" si="219"/>
        <v>5.1810932779993797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2.6556752067925999</v>
      </c>
      <c r="C213" s="98">
        <f t="shared" si="220"/>
        <v>2.6423402539359677</v>
      </c>
      <c r="D213" s="98">
        <f t="shared" si="220"/>
        <v>2.6879736711562461</v>
      </c>
      <c r="E213" s="98">
        <f t="shared" si="220"/>
        <v>2.7398684216579752</v>
      </c>
      <c r="F213" s="98">
        <f t="shared" si="220"/>
        <v>2.5959287326756542</v>
      </c>
      <c r="G213" s="98">
        <f t="shared" si="220"/>
        <v>2.2761909750369602</v>
      </c>
      <c r="H213" s="98">
        <f t="shared" si="220"/>
        <v>2.1747021176033723</v>
      </c>
      <c r="I213" s="98">
        <f t="shared" si="220"/>
        <v>2.4647741177961899</v>
      </c>
      <c r="J213" s="98">
        <f t="shared" si="220"/>
        <v>2.3266113719704102</v>
      </c>
      <c r="K213" s="98">
        <f t="shared" si="220"/>
        <v>2.5879299544024237</v>
      </c>
      <c r="L213" s="98">
        <f t="shared" si="220"/>
        <v>2.4493222713721572</v>
      </c>
      <c r="M213" s="98">
        <f t="shared" si="220"/>
        <v>2.1662203653351417</v>
      </c>
      <c r="N213" s="98">
        <f t="shared" si="220"/>
        <v>1.9992846993286093</v>
      </c>
      <c r="O213" s="98">
        <f t="shared" si="220"/>
        <v>1.7961455777925179</v>
      </c>
      <c r="P213" s="98">
        <f t="shared" si="220"/>
        <v>1.7541576272844892</v>
      </c>
      <c r="Q213" s="98">
        <f t="shared" si="220"/>
        <v>1.9350601888790961</v>
      </c>
      <c r="R213" s="98">
        <f t="shared" si="220"/>
        <v>2.2588734602320417</v>
      </c>
      <c r="S213" s="98">
        <f t="shared" si="220"/>
        <v>1.8439205722469898</v>
      </c>
      <c r="T213" s="98">
        <f t="shared" si="220"/>
        <v>1.3595503696717466</v>
      </c>
      <c r="U213" s="98">
        <f t="shared" si="220"/>
        <v>1.0796353321857564</v>
      </c>
      <c r="V213" s="98">
        <f t="shared" si="220"/>
        <v>1.193789199964874</v>
      </c>
      <c r="W213" s="98">
        <f t="shared" si="220"/>
        <v>1.2343867875783094</v>
      </c>
      <c r="X213" s="98">
        <f t="shared" si="220"/>
        <v>1.3122469181510272</v>
      </c>
      <c r="Y213" s="98">
        <f t="shared" si="220"/>
        <v>1.1988645674342555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122.16703288139041</v>
      </c>
      <c r="C216" s="32">
        <f t="shared" si="221"/>
        <v>118.66094883109763</v>
      </c>
      <c r="D216" s="32">
        <f t="shared" si="221"/>
        <v>117.85026084428895</v>
      </c>
      <c r="E216" s="32">
        <f t="shared" si="221"/>
        <v>114.78777201201716</v>
      </c>
      <c r="F216" s="32">
        <f t="shared" si="221"/>
        <v>113.27214527194613</v>
      </c>
      <c r="G216" s="32">
        <f t="shared" si="221"/>
        <v>109.15246816049731</v>
      </c>
      <c r="H216" s="32">
        <f t="shared" si="221"/>
        <v>104.56392713709477</v>
      </c>
      <c r="I216" s="32">
        <f t="shared" si="221"/>
        <v>101.37873249990174</v>
      </c>
      <c r="J216" s="32">
        <f t="shared" si="221"/>
        <v>101.1097817304745</v>
      </c>
      <c r="K216" s="32">
        <f t="shared" si="221"/>
        <v>100.86872598771744</v>
      </c>
      <c r="L216" s="32">
        <f t="shared" si="221"/>
        <v>96.698938088734067</v>
      </c>
      <c r="M216" s="32">
        <f t="shared" si="221"/>
        <v>96.441674842688556</v>
      </c>
      <c r="N216" s="32">
        <f t="shared" si="221"/>
        <v>94.709243913154154</v>
      </c>
      <c r="O216" s="32">
        <f t="shared" si="221"/>
        <v>96.9489566390275</v>
      </c>
      <c r="P216" s="32">
        <f t="shared" si="221"/>
        <v>96.407279307388563</v>
      </c>
      <c r="Q216" s="32">
        <f t="shared" si="221"/>
        <v>97.065300094462103</v>
      </c>
      <c r="R216" s="32">
        <f t="shared" si="221"/>
        <v>98.213215420694269</v>
      </c>
      <c r="S216" s="32">
        <f t="shared" si="221"/>
        <v>102.44454963576726</v>
      </c>
      <c r="T216" s="32">
        <f t="shared" si="221"/>
        <v>96.842794507204545</v>
      </c>
      <c r="U216" s="32">
        <f t="shared" si="221"/>
        <v>97.518397017289161</v>
      </c>
      <c r="V216" s="32">
        <f t="shared" si="221"/>
        <v>101.63661388601989</v>
      </c>
      <c r="W216" s="32">
        <f t="shared" si="221"/>
        <v>99.06656513790378</v>
      </c>
      <c r="X216" s="32">
        <f t="shared" si="221"/>
        <v>94.510257086709359</v>
      </c>
      <c r="Y216" s="32">
        <f t="shared" si="221"/>
        <v>90.291145929807584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130.82410311503199</v>
      </c>
      <c r="C217" s="141">
        <f t="shared" si="222"/>
        <v>126.94848035511002</v>
      </c>
      <c r="D217" s="141">
        <f t="shared" si="222"/>
        <v>125.25427802599484</v>
      </c>
      <c r="E217" s="141">
        <f t="shared" si="222"/>
        <v>122.40648258144685</v>
      </c>
      <c r="F217" s="141">
        <f t="shared" si="222"/>
        <v>121.64807147114402</v>
      </c>
      <c r="G217" s="141">
        <f t="shared" si="222"/>
        <v>117.09649163436039</v>
      </c>
      <c r="H217" s="141">
        <f t="shared" si="222"/>
        <v>110.92786798488565</v>
      </c>
      <c r="I217" s="141">
        <f t="shared" si="222"/>
        <v>106.8567654536252</v>
      </c>
      <c r="J217" s="141">
        <f t="shared" si="222"/>
        <v>106.51630652645338</v>
      </c>
      <c r="K217" s="141">
        <f t="shared" si="222"/>
        <v>105.84704266689747</v>
      </c>
      <c r="L217" s="141">
        <f t="shared" si="222"/>
        <v>102.86328236027096</v>
      </c>
      <c r="M217" s="141">
        <f t="shared" si="222"/>
        <v>104.34911123467933</v>
      </c>
      <c r="N217" s="141">
        <f t="shared" si="222"/>
        <v>101.15967414197161</v>
      </c>
      <c r="O217" s="141">
        <f t="shared" si="222"/>
        <v>104.1580276508582</v>
      </c>
      <c r="P217" s="141">
        <f t="shared" si="222"/>
        <v>104.2522414780026</v>
      </c>
      <c r="Q217" s="141">
        <f t="shared" si="222"/>
        <v>105.80026202917972</v>
      </c>
      <c r="R217" s="141">
        <f t="shared" si="222"/>
        <v>106.34445487456337</v>
      </c>
      <c r="S217" s="141">
        <f t="shared" si="222"/>
        <v>112.12684911360365</v>
      </c>
      <c r="T217" s="141">
        <f t="shared" si="222"/>
        <v>105.08850871193039</v>
      </c>
      <c r="U217" s="141">
        <f t="shared" si="222"/>
        <v>106.52889183515705</v>
      </c>
      <c r="V217" s="141">
        <f t="shared" si="222"/>
        <v>106.77724306784842</v>
      </c>
      <c r="W217" s="141">
        <f t="shared" si="222"/>
        <v>101.52066712986283</v>
      </c>
      <c r="X217" s="141">
        <f t="shared" si="222"/>
        <v>100.39716082688059</v>
      </c>
      <c r="Y217" s="141">
        <f t="shared" si="222"/>
        <v>97.956508421542395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117.31925990167368</v>
      </c>
      <c r="C218" s="97">
        <f t="shared" si="223"/>
        <v>115.3454502567685</v>
      </c>
      <c r="D218" s="97">
        <f t="shared" si="223"/>
        <v>113.68182082677144</v>
      </c>
      <c r="E218" s="97">
        <f t="shared" si="223"/>
        <v>110.67591593813943</v>
      </c>
      <c r="F218" s="97">
        <f t="shared" si="223"/>
        <v>109.88256349052843</v>
      </c>
      <c r="G218" s="97">
        <f t="shared" si="223"/>
        <v>106.10629379526891</v>
      </c>
      <c r="H218" s="97">
        <f t="shared" si="223"/>
        <v>104.75453401531611</v>
      </c>
      <c r="I218" s="97">
        <f t="shared" si="223"/>
        <v>102.41855735475586</v>
      </c>
      <c r="J218" s="97">
        <f t="shared" si="223"/>
        <v>99.534112939408928</v>
      </c>
      <c r="K218" s="97">
        <f t="shared" si="223"/>
        <v>97.947820222154348</v>
      </c>
      <c r="L218" s="97">
        <f t="shared" si="223"/>
        <v>97.0229793998556</v>
      </c>
      <c r="M218" s="97">
        <f t="shared" si="223"/>
        <v>93.315249484969385</v>
      </c>
      <c r="N218" s="97">
        <f t="shared" si="223"/>
        <v>95.637258020538297</v>
      </c>
      <c r="O218" s="97">
        <f t="shared" si="223"/>
        <v>94.067201257804001</v>
      </c>
      <c r="P218" s="97">
        <f t="shared" si="223"/>
        <v>90.451921538975128</v>
      </c>
      <c r="Q218" s="97">
        <f t="shared" si="223"/>
        <v>94.571718174519958</v>
      </c>
      <c r="R218" s="97">
        <f t="shared" si="223"/>
        <v>93.30563232582368</v>
      </c>
      <c r="S218" s="97">
        <f t="shared" si="223"/>
        <v>92.715644063488156</v>
      </c>
      <c r="T218" s="97">
        <f t="shared" si="223"/>
        <v>91.445129201444388</v>
      </c>
      <c r="U218" s="97">
        <f t="shared" si="223"/>
        <v>90.554484418274299</v>
      </c>
      <c r="V218" s="97">
        <f t="shared" si="223"/>
        <v>89.925893561084834</v>
      </c>
      <c r="W218" s="97">
        <f t="shared" si="223"/>
        <v>89.026251886454475</v>
      </c>
      <c r="X218" s="97">
        <f t="shared" si="223"/>
        <v>88.16562619711479</v>
      </c>
      <c r="Y218" s="97">
        <f t="shared" si="223"/>
        <v>86.785015345156054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133.76583806048754</v>
      </c>
      <c r="C219" s="97">
        <f t="shared" si="224"/>
        <v>129.6704452249063</v>
      </c>
      <c r="D219" s="97">
        <f t="shared" si="224"/>
        <v>127.91547414115017</v>
      </c>
      <c r="E219" s="97">
        <f t="shared" si="224"/>
        <v>124.99375142826911</v>
      </c>
      <c r="F219" s="97">
        <f t="shared" si="224"/>
        <v>124.23317516060108</v>
      </c>
      <c r="G219" s="97">
        <f t="shared" si="224"/>
        <v>119.64598243509086</v>
      </c>
      <c r="H219" s="97">
        <f t="shared" si="224"/>
        <v>113.01987624634485</v>
      </c>
      <c r="I219" s="97">
        <f t="shared" si="224"/>
        <v>109.05441400842227</v>
      </c>
      <c r="J219" s="97">
        <f t="shared" si="224"/>
        <v>108.52736955565187</v>
      </c>
      <c r="K219" s="97">
        <f t="shared" si="224"/>
        <v>107.46895109889616</v>
      </c>
      <c r="L219" s="97">
        <f t="shared" si="224"/>
        <v>103.91251813367072</v>
      </c>
      <c r="M219" s="97">
        <f t="shared" si="224"/>
        <v>105.1628786957953</v>
      </c>
      <c r="N219" s="97">
        <f t="shared" si="224"/>
        <v>101.07546390885811</v>
      </c>
      <c r="O219" s="97">
        <f t="shared" si="224"/>
        <v>103.96934154239682</v>
      </c>
      <c r="P219" s="97">
        <f t="shared" si="224"/>
        <v>104.10678201002972</v>
      </c>
      <c r="Q219" s="97">
        <f t="shared" si="224"/>
        <v>105.69985259746936</v>
      </c>
      <c r="R219" s="97">
        <f t="shared" si="224"/>
        <v>106.02348184680991</v>
      </c>
      <c r="S219" s="97">
        <f t="shared" si="224"/>
        <v>112.17031849862269</v>
      </c>
      <c r="T219" s="97">
        <f t="shared" si="224"/>
        <v>104.60980482784115</v>
      </c>
      <c r="U219" s="97">
        <f t="shared" si="224"/>
        <v>106.1284954954528</v>
      </c>
      <c r="V219" s="97">
        <f t="shared" si="224"/>
        <v>103.55802775057565</v>
      </c>
      <c r="W219" s="97">
        <f t="shared" si="224"/>
        <v>98.359092225139349</v>
      </c>
      <c r="X219" s="97">
        <f t="shared" si="224"/>
        <v>98.224980068359159</v>
      </c>
      <c r="Y219" s="97">
        <f t="shared" si="224"/>
        <v>96.120679388691116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97.688428523486024</v>
      </c>
      <c r="C220" s="97">
        <f t="shared" si="225"/>
        <v>95.186181903203519</v>
      </c>
      <c r="D220" s="97">
        <f t="shared" si="225"/>
        <v>93.364296418293392</v>
      </c>
      <c r="E220" s="97">
        <f t="shared" si="225"/>
        <v>91.693668062121105</v>
      </c>
      <c r="F220" s="97">
        <f t="shared" si="225"/>
        <v>90.762538705820603</v>
      </c>
      <c r="G220" s="97">
        <f t="shared" si="225"/>
        <v>86.694457392029207</v>
      </c>
      <c r="H220" s="97">
        <f t="shared" si="225"/>
        <v>84.896726124125124</v>
      </c>
      <c r="I220" s="97">
        <f t="shared" si="225"/>
        <v>78.527696808151305</v>
      </c>
      <c r="J220" s="97">
        <f t="shared" si="225"/>
        <v>80.281587603184022</v>
      </c>
      <c r="K220" s="97">
        <f t="shared" si="225"/>
        <v>84.389786801218847</v>
      </c>
      <c r="L220" s="97">
        <f t="shared" si="225"/>
        <v>88.940297230571957</v>
      </c>
      <c r="M220" s="97">
        <f t="shared" si="225"/>
        <v>94.831650959458898</v>
      </c>
      <c r="N220" s="97">
        <f t="shared" si="225"/>
        <v>103.59227854474371</v>
      </c>
      <c r="O220" s="97">
        <f t="shared" si="225"/>
        <v>109.13853913754457</v>
      </c>
      <c r="P220" s="97">
        <f t="shared" si="225"/>
        <v>109.40555209697104</v>
      </c>
      <c r="Q220" s="97">
        <f t="shared" si="225"/>
        <v>109.52806218179835</v>
      </c>
      <c r="R220" s="97">
        <f t="shared" si="225"/>
        <v>113.83786481793689</v>
      </c>
      <c r="S220" s="97">
        <f t="shared" si="225"/>
        <v>115.51587739162501</v>
      </c>
      <c r="T220" s="97">
        <f t="shared" si="225"/>
        <v>114.65391636701816</v>
      </c>
      <c r="U220" s="97">
        <f t="shared" si="225"/>
        <v>115.89528529707925</v>
      </c>
      <c r="V220" s="97">
        <f t="shared" si="225"/>
        <v>186.93720600731018</v>
      </c>
      <c r="W220" s="97">
        <f t="shared" si="225"/>
        <v>181.93263776929263</v>
      </c>
      <c r="X220" s="97">
        <f t="shared" si="225"/>
        <v>143.98084966797438</v>
      </c>
      <c r="Y220" s="97">
        <f t="shared" si="225"/>
        <v>132.58682465612623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15.411407471567822</v>
      </c>
      <c r="C221" s="130">
        <f t="shared" si="226"/>
        <v>15.520432002468729</v>
      </c>
      <c r="D221" s="130">
        <f t="shared" si="226"/>
        <v>15.625787385352874</v>
      </c>
      <c r="E221" s="130">
        <f t="shared" si="226"/>
        <v>14.28978998370134</v>
      </c>
      <c r="F221" s="130">
        <f t="shared" si="226"/>
        <v>13.060937217260642</v>
      </c>
      <c r="G221" s="130">
        <f t="shared" si="226"/>
        <v>11.043856344746663</v>
      </c>
      <c r="H221" s="130">
        <f t="shared" si="226"/>
        <v>9.5684524615177615</v>
      </c>
      <c r="I221" s="130">
        <f t="shared" si="226"/>
        <v>9.1384217630918485</v>
      </c>
      <c r="J221" s="130">
        <f t="shared" si="226"/>
        <v>9.0043913120358656</v>
      </c>
      <c r="K221" s="130">
        <f t="shared" si="226"/>
        <v>7.9967559698855357</v>
      </c>
      <c r="L221" s="130">
        <f t="shared" si="226"/>
        <v>7.9028974402886032</v>
      </c>
      <c r="M221" s="130">
        <f t="shared" si="226"/>
        <v>7.6537264282888477</v>
      </c>
      <c r="N221" s="130">
        <f t="shared" si="226"/>
        <v>7.415476468903198</v>
      </c>
      <c r="O221" s="130">
        <f t="shared" si="226"/>
        <v>7.1939171966729019</v>
      </c>
      <c r="P221" s="130">
        <f t="shared" si="226"/>
        <v>7.2281846547842754</v>
      </c>
      <c r="Q221" s="130">
        <f t="shared" si="226"/>
        <v>6.7956803460632234</v>
      </c>
      <c r="R221" s="130">
        <f t="shared" si="226"/>
        <v>6.7888257565581895</v>
      </c>
      <c r="S221" s="130">
        <f t="shared" si="226"/>
        <v>5.493346391638612</v>
      </c>
      <c r="T221" s="130">
        <f t="shared" si="226"/>
        <v>4.6830998705189506</v>
      </c>
      <c r="U221" s="130">
        <f t="shared" si="226"/>
        <v>5.036067098725888</v>
      </c>
      <c r="V221" s="130">
        <f t="shared" si="226"/>
        <v>7.5559123000931923</v>
      </c>
      <c r="W221" s="130">
        <f t="shared" si="226"/>
        <v>12.325123957360107</v>
      </c>
      <c r="X221" s="130">
        <f t="shared" si="226"/>
        <v>5.4314952477874883</v>
      </c>
      <c r="Y221" s="130">
        <f t="shared" si="226"/>
        <v>4.8756578091174942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22.561985687323968</v>
      </c>
      <c r="C223" s="97">
        <f t="shared" si="228"/>
        <v>23.305253346690794</v>
      </c>
      <c r="D223" s="97">
        <f t="shared" si="228"/>
        <v>24.061024096598633</v>
      </c>
      <c r="E223" s="97">
        <f t="shared" si="228"/>
        <v>22.838554119318196</v>
      </c>
      <c r="F223" s="97">
        <f t="shared" si="228"/>
        <v>21.537705048712265</v>
      </c>
      <c r="G223" s="97">
        <f t="shared" si="228"/>
        <v>18.216924638943031</v>
      </c>
      <c r="H223" s="97">
        <f t="shared" si="228"/>
        <v>15.773893704886456</v>
      </c>
      <c r="I223" s="97">
        <f t="shared" si="228"/>
        <v>15.184947976521807</v>
      </c>
      <c r="J223" s="97">
        <f t="shared" si="228"/>
        <v>14.985030614916935</v>
      </c>
      <c r="K223" s="97">
        <f t="shared" si="228"/>
        <v>13.229015998964647</v>
      </c>
      <c r="L223" s="97">
        <f t="shared" si="228"/>
        <v>13.205689772890558</v>
      </c>
      <c r="M223" s="97">
        <f t="shared" si="228"/>
        <v>12.571523244224165</v>
      </c>
      <c r="N223" s="97">
        <f t="shared" si="228"/>
        <v>12.203774748447154</v>
      </c>
      <c r="O223" s="97">
        <f t="shared" si="228"/>
        <v>11.86928793650045</v>
      </c>
      <c r="P223" s="97">
        <f t="shared" si="228"/>
        <v>11.66472126237411</v>
      </c>
      <c r="Q223" s="97">
        <f t="shared" si="228"/>
        <v>11.133260715954268</v>
      </c>
      <c r="R223" s="97">
        <f t="shared" si="228"/>
        <v>11.186562865722863</v>
      </c>
      <c r="S223" s="97">
        <f t="shared" si="228"/>
        <v>9.2389551282770981</v>
      </c>
      <c r="T223" s="97">
        <f t="shared" si="228"/>
        <v>8.0800119848443117</v>
      </c>
      <c r="U223" s="97">
        <f t="shared" si="228"/>
        <v>8.8520251121441866</v>
      </c>
      <c r="V223" s="97">
        <f t="shared" si="228"/>
        <v>13.247153403556938</v>
      </c>
      <c r="W223" s="97">
        <f t="shared" si="228"/>
        <v>22.318906611728465</v>
      </c>
      <c r="X223" s="97">
        <f t="shared" si="228"/>
        <v>9.9469233073626224</v>
      </c>
      <c r="Y223" s="97">
        <f t="shared" si="228"/>
        <v>8.9910477207486057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133.580995132429</v>
      </c>
      <c r="C225" s="130">
        <f t="shared" si="230"/>
        <v>129.39600115612708</v>
      </c>
      <c r="D225" s="130">
        <f t="shared" si="230"/>
        <v>129.90146683375491</v>
      </c>
      <c r="E225" s="130">
        <f t="shared" si="230"/>
        <v>124.78744733319982</v>
      </c>
      <c r="F225" s="130">
        <f t="shared" si="230"/>
        <v>118.28380204344585</v>
      </c>
      <c r="G225" s="130">
        <f t="shared" si="230"/>
        <v>117.99284857439625</v>
      </c>
      <c r="H225" s="130">
        <f t="shared" si="230"/>
        <v>120.62415441710525</v>
      </c>
      <c r="I225" s="130">
        <f t="shared" si="230"/>
        <v>119.98491835622113</v>
      </c>
      <c r="J225" s="130">
        <f t="shared" si="230"/>
        <v>121.69226582918689</v>
      </c>
      <c r="K225" s="130">
        <f t="shared" si="230"/>
        <v>124.79713331450483</v>
      </c>
      <c r="L225" s="130">
        <f t="shared" si="230"/>
        <v>111.78379712036386</v>
      </c>
      <c r="M225" s="130">
        <f t="shared" si="230"/>
        <v>103.24164473040689</v>
      </c>
      <c r="N225" s="130">
        <f t="shared" si="230"/>
        <v>108.79884404320556</v>
      </c>
      <c r="O225" s="130">
        <f t="shared" si="230"/>
        <v>108.77761194814654</v>
      </c>
      <c r="P225" s="130">
        <f t="shared" si="230"/>
        <v>104.78275982151509</v>
      </c>
      <c r="Q225" s="130">
        <f t="shared" si="230"/>
        <v>101.28114313722567</v>
      </c>
      <c r="R225" s="130">
        <f t="shared" si="230"/>
        <v>106.65101914404009</v>
      </c>
      <c r="S225" s="130">
        <f t="shared" si="230"/>
        <v>108.61201755816423</v>
      </c>
      <c r="T225" s="130">
        <f t="shared" si="230"/>
        <v>107.25088564833084</v>
      </c>
      <c r="U225" s="130">
        <f t="shared" si="230"/>
        <v>105.56021847533243</v>
      </c>
      <c r="V225" s="130">
        <f t="shared" si="230"/>
        <v>133.96458513337996</v>
      </c>
      <c r="W225" s="130">
        <f t="shared" si="230"/>
        <v>142.58930221730535</v>
      </c>
      <c r="X225" s="130">
        <f t="shared" si="230"/>
        <v>116.84914623716699</v>
      </c>
      <c r="Y225" s="130">
        <f t="shared" si="230"/>
        <v>102.75740065596948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239.76068078683863</v>
      </c>
      <c r="C226" s="97">
        <f t="shared" si="231"/>
        <v>237.07660044852506</v>
      </c>
      <c r="D226" s="97">
        <f t="shared" si="231"/>
        <v>227.43346191684665</v>
      </c>
      <c r="E226" s="97">
        <f t="shared" si="231"/>
        <v>215.67888324543745</v>
      </c>
      <c r="F226" s="97">
        <f t="shared" si="231"/>
        <v>213.59367904440666</v>
      </c>
      <c r="G226" s="97">
        <f t="shared" si="231"/>
        <v>219.40573937103201</v>
      </c>
      <c r="H226" s="97">
        <f t="shared" si="231"/>
        <v>214.34570450576234</v>
      </c>
      <c r="I226" s="97">
        <f t="shared" si="231"/>
        <v>202.03977307139263</v>
      </c>
      <c r="J226" s="97">
        <f t="shared" si="231"/>
        <v>198.81301929554766</v>
      </c>
      <c r="K226" s="97">
        <f t="shared" si="231"/>
        <v>200.50560116416051</v>
      </c>
      <c r="L226" s="97">
        <f t="shared" si="231"/>
        <v>184.83937073520374</v>
      </c>
      <c r="M226" s="97">
        <f t="shared" si="231"/>
        <v>174.94485806887235</v>
      </c>
      <c r="N226" s="97">
        <f t="shared" si="231"/>
        <v>181.65542494474724</v>
      </c>
      <c r="O226" s="97">
        <f t="shared" si="231"/>
        <v>177.48689917657825</v>
      </c>
      <c r="P226" s="97">
        <f t="shared" si="231"/>
        <v>189.71541372445418</v>
      </c>
      <c r="Q226" s="97">
        <f t="shared" si="231"/>
        <v>188.70100122846739</v>
      </c>
      <c r="R226" s="97">
        <f t="shared" si="231"/>
        <v>193.91811145915401</v>
      </c>
      <c r="S226" s="97">
        <f t="shared" si="231"/>
        <v>167.95544789304878</v>
      </c>
      <c r="T226" s="97">
        <f t="shared" si="231"/>
        <v>163.12407618593423</v>
      </c>
      <c r="U226" s="97">
        <f t="shared" si="231"/>
        <v>186.87816420438293</v>
      </c>
      <c r="V226" s="97">
        <f t="shared" si="231"/>
        <v>287.49141328746646</v>
      </c>
      <c r="W226" s="97">
        <f t="shared" si="231"/>
        <v>287.04380323948772</v>
      </c>
      <c r="X226" s="97">
        <f t="shared" si="231"/>
        <v>208.33579321966837</v>
      </c>
      <c r="Y226" s="97">
        <f t="shared" si="231"/>
        <v>187.08167859735354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119.2402814194071</v>
      </c>
      <c r="C227" s="97">
        <f t="shared" si="232"/>
        <v>112.62873026605858</v>
      </c>
      <c r="D227" s="97">
        <f t="shared" si="232"/>
        <v>109.66187414121397</v>
      </c>
      <c r="E227" s="97">
        <f t="shared" si="232"/>
        <v>108.05685303688956</v>
      </c>
      <c r="F227" s="97">
        <f t="shared" si="232"/>
        <v>103.74510449405516</v>
      </c>
      <c r="G227" s="97">
        <f t="shared" si="232"/>
        <v>103.07101997495143</v>
      </c>
      <c r="H227" s="97">
        <f t="shared" si="232"/>
        <v>107.39064469563925</v>
      </c>
      <c r="I227" s="97">
        <f t="shared" si="232"/>
        <v>113.85924732982774</v>
      </c>
      <c r="J227" s="97">
        <f t="shared" si="232"/>
        <v>118.98773266549838</v>
      </c>
      <c r="K227" s="97">
        <f t="shared" si="232"/>
        <v>119.67901620473556</v>
      </c>
      <c r="L227" s="97">
        <f t="shared" si="232"/>
        <v>110.02096071676816</v>
      </c>
      <c r="M227" s="97">
        <f t="shared" si="232"/>
        <v>99.533518833424125</v>
      </c>
      <c r="N227" s="97">
        <f t="shared" si="232"/>
        <v>105.63508821564039</v>
      </c>
      <c r="O227" s="97">
        <f t="shared" si="232"/>
        <v>103.90667781164554</v>
      </c>
      <c r="P227" s="97">
        <f t="shared" si="232"/>
        <v>96.958405561175255</v>
      </c>
      <c r="Q227" s="97">
        <f t="shared" si="232"/>
        <v>94.750928564460835</v>
      </c>
      <c r="R227" s="97">
        <f t="shared" si="232"/>
        <v>98.862658419456466</v>
      </c>
      <c r="S227" s="97">
        <f t="shared" si="232"/>
        <v>103.4501539438845</v>
      </c>
      <c r="T227" s="97">
        <f t="shared" si="232"/>
        <v>100.26316087181989</v>
      </c>
      <c r="U227" s="97">
        <f t="shared" si="232"/>
        <v>97.999445349013669</v>
      </c>
      <c r="V227" s="97">
        <f t="shared" si="232"/>
        <v>99.3043806673859</v>
      </c>
      <c r="W227" s="97">
        <f t="shared" si="232"/>
        <v>107.5953616758121</v>
      </c>
      <c r="X227" s="97">
        <f t="shared" si="232"/>
        <v>110.6089268392404</v>
      </c>
      <c r="Y227" s="97">
        <f t="shared" si="232"/>
        <v>103.43448328469047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128.27190315714103</v>
      </c>
      <c r="C228" s="97">
        <f t="shared" si="233"/>
        <v>125.78460225886087</v>
      </c>
      <c r="D228" s="97">
        <f t="shared" si="233"/>
        <v>128.38432168552779</v>
      </c>
      <c r="E228" s="97">
        <f t="shared" si="233"/>
        <v>122.59408021778647</v>
      </c>
      <c r="F228" s="97">
        <f t="shared" si="233"/>
        <v>115.62536679437207</v>
      </c>
      <c r="G228" s="97">
        <f t="shared" si="233"/>
        <v>115.51411853764083</v>
      </c>
      <c r="H228" s="97">
        <f t="shared" si="233"/>
        <v>117.80269650988389</v>
      </c>
      <c r="I228" s="97">
        <f t="shared" si="233"/>
        <v>114.4973957106764</v>
      </c>
      <c r="J228" s="97">
        <f t="shared" si="233"/>
        <v>115.08299907827283</v>
      </c>
      <c r="K228" s="97">
        <f t="shared" si="233"/>
        <v>119.37455514155772</v>
      </c>
      <c r="L228" s="97">
        <f t="shared" si="233"/>
        <v>105.6331800162183</v>
      </c>
      <c r="M228" s="97">
        <f t="shared" si="233"/>
        <v>98.427998266412075</v>
      </c>
      <c r="N228" s="97">
        <f t="shared" si="233"/>
        <v>104.04810206385847</v>
      </c>
      <c r="O228" s="97">
        <f t="shared" si="233"/>
        <v>105.39846038156159</v>
      </c>
      <c r="P228" s="97">
        <f t="shared" si="233"/>
        <v>101.58107869215816</v>
      </c>
      <c r="Q228" s="97">
        <f t="shared" si="233"/>
        <v>97.502538760187818</v>
      </c>
      <c r="R228" s="97">
        <f t="shared" si="233"/>
        <v>103.51535313898826</v>
      </c>
      <c r="S228" s="97">
        <f t="shared" si="233"/>
        <v>106.7225895626608</v>
      </c>
      <c r="T228" s="97">
        <f t="shared" si="233"/>
        <v>106.71818075511042</v>
      </c>
      <c r="U228" s="97">
        <f t="shared" si="233"/>
        <v>103.62873506199433</v>
      </c>
      <c r="V228" s="97">
        <f t="shared" si="233"/>
        <v>141.1941286545906</v>
      </c>
      <c r="W228" s="97">
        <f t="shared" si="233"/>
        <v>156.68260715201606</v>
      </c>
      <c r="X228" s="97">
        <f t="shared" si="233"/>
        <v>116.53878683271557</v>
      </c>
      <c r="Y228" s="97">
        <f t="shared" si="233"/>
        <v>99.479111078915054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109.60588116618125</v>
      </c>
      <c r="C229" s="32">
        <f t="shared" si="234"/>
        <v>101.57733470006966</v>
      </c>
      <c r="D229" s="32">
        <f t="shared" si="234"/>
        <v>97.705008021526709</v>
      </c>
      <c r="E229" s="32">
        <f t="shared" si="234"/>
        <v>90.931665263812334</v>
      </c>
      <c r="F229" s="32">
        <f t="shared" si="234"/>
        <v>85.079179805325126</v>
      </c>
      <c r="G229" s="32">
        <f t="shared" si="234"/>
        <v>78.951796075323912</v>
      </c>
      <c r="H229" s="32">
        <f t="shared" si="234"/>
        <v>80.490560235958412</v>
      </c>
      <c r="I229" s="32">
        <f t="shared" si="234"/>
        <v>75.307051298058425</v>
      </c>
      <c r="J229" s="32">
        <f t="shared" si="234"/>
        <v>75.770182241772602</v>
      </c>
      <c r="K229" s="32">
        <f t="shared" si="234"/>
        <v>81.121309205604177</v>
      </c>
      <c r="L229" s="32">
        <f t="shared" si="234"/>
        <v>82.282055683867355</v>
      </c>
      <c r="M229" s="32">
        <f t="shared" si="234"/>
        <v>80.087195127289277</v>
      </c>
      <c r="N229" s="32">
        <f t="shared" si="234"/>
        <v>84.169563307380983</v>
      </c>
      <c r="O229" s="32">
        <f t="shared" si="234"/>
        <v>83.407152227045884</v>
      </c>
      <c r="P229" s="32">
        <f t="shared" si="234"/>
        <v>83.717899513124422</v>
      </c>
      <c r="Q229" s="32">
        <f t="shared" si="234"/>
        <v>78.47219314556105</v>
      </c>
      <c r="R229" s="32">
        <f t="shared" si="234"/>
        <v>76.232999510368785</v>
      </c>
      <c r="S229" s="32">
        <f t="shared" si="234"/>
        <v>79.151161138195761</v>
      </c>
      <c r="T229" s="32">
        <f t="shared" si="234"/>
        <v>81.987041716486132</v>
      </c>
      <c r="U229" s="32">
        <f t="shared" si="234"/>
        <v>79.487909777076979</v>
      </c>
      <c r="V229" s="32">
        <f t="shared" si="234"/>
        <v>84.532882582814992</v>
      </c>
      <c r="W229" s="32">
        <f t="shared" si="234"/>
        <v>79.048016552556803</v>
      </c>
      <c r="X229" s="32">
        <f t="shared" si="234"/>
        <v>75.873663854394493</v>
      </c>
      <c r="Y229" s="32">
        <f t="shared" si="234"/>
        <v>70.573734410345025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149.08684776252909</v>
      </c>
      <c r="C230" s="141">
        <f t="shared" si="235"/>
        <v>135.90580127274538</v>
      </c>
      <c r="D230" s="141">
        <f t="shared" si="235"/>
        <v>130.16912871074342</v>
      </c>
      <c r="E230" s="141">
        <f t="shared" si="235"/>
        <v>119.12292275739003</v>
      </c>
      <c r="F230" s="141">
        <f t="shared" si="235"/>
        <v>109.94570610576693</v>
      </c>
      <c r="G230" s="141">
        <f t="shared" si="235"/>
        <v>101.18021864339343</v>
      </c>
      <c r="H230" s="141">
        <f t="shared" si="235"/>
        <v>103.95208789586711</v>
      </c>
      <c r="I230" s="141">
        <f t="shared" si="235"/>
        <v>96.631076981551146</v>
      </c>
      <c r="J230" s="141">
        <f t="shared" si="235"/>
        <v>96.774852122620544</v>
      </c>
      <c r="K230" s="141">
        <f t="shared" si="235"/>
        <v>101.71728332250102</v>
      </c>
      <c r="L230" s="141">
        <f t="shared" si="235"/>
        <v>105.34914577263253</v>
      </c>
      <c r="M230" s="141">
        <f t="shared" si="235"/>
        <v>101.76257123434752</v>
      </c>
      <c r="N230" s="141">
        <f t="shared" si="235"/>
        <v>108.46461262090794</v>
      </c>
      <c r="O230" s="141">
        <f t="shared" si="235"/>
        <v>106.98795811958908</v>
      </c>
      <c r="P230" s="141">
        <f t="shared" si="235"/>
        <v>108.11756174369276</v>
      </c>
      <c r="Q230" s="141">
        <f t="shared" si="235"/>
        <v>99.778583290996664</v>
      </c>
      <c r="R230" s="141">
        <f t="shared" si="235"/>
        <v>99.804607822291374</v>
      </c>
      <c r="S230" s="141">
        <f t="shared" si="235"/>
        <v>101.14372854862665</v>
      </c>
      <c r="T230" s="141">
        <f t="shared" si="235"/>
        <v>103.74005245043145</v>
      </c>
      <c r="U230" s="141">
        <f t="shared" si="235"/>
        <v>100.88943221694871</v>
      </c>
      <c r="V230" s="141">
        <f t="shared" si="235"/>
        <v>101.37487850822974</v>
      </c>
      <c r="W230" s="141">
        <f t="shared" si="235"/>
        <v>93.097136300609293</v>
      </c>
      <c r="X230" s="141">
        <f t="shared" si="235"/>
        <v>90.452332748518117</v>
      </c>
      <c r="Y230" s="141">
        <f t="shared" si="235"/>
        <v>85.023705183200491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765.06298045682581</v>
      </c>
      <c r="C231" s="97">
        <f t="shared" si="236"/>
        <v>733.04525076290076</v>
      </c>
      <c r="D231" s="97">
        <f t="shared" si="236"/>
        <v>717.18348517366655</v>
      </c>
      <c r="E231" s="97">
        <f t="shared" si="236"/>
        <v>708.89390990422703</v>
      </c>
      <c r="F231" s="97">
        <f t="shared" si="236"/>
        <v>692.92302022850447</v>
      </c>
      <c r="G231" s="97">
        <f t="shared" si="236"/>
        <v>671.81891737893477</v>
      </c>
      <c r="H231" s="97">
        <f t="shared" si="236"/>
        <v>636.48341124850253</v>
      </c>
      <c r="I231" s="97">
        <f t="shared" si="236"/>
        <v>619.66155994931944</v>
      </c>
      <c r="J231" s="97">
        <f t="shared" si="236"/>
        <v>633.11452119726584</v>
      </c>
      <c r="K231" s="97">
        <f t="shared" si="236"/>
        <v>639.69939667304266</v>
      </c>
      <c r="L231" s="97">
        <f t="shared" si="236"/>
        <v>631.24475701777396</v>
      </c>
      <c r="M231" s="97">
        <f t="shared" si="236"/>
        <v>635.36733124250998</v>
      </c>
      <c r="N231" s="97">
        <f t="shared" si="236"/>
        <v>624.6354051299071</v>
      </c>
      <c r="O231" s="97">
        <f t="shared" si="236"/>
        <v>632.55113677946406</v>
      </c>
      <c r="P231" s="97">
        <f t="shared" si="236"/>
        <v>632.13888844403709</v>
      </c>
      <c r="Q231" s="97">
        <f t="shared" si="236"/>
        <v>643.40704558006257</v>
      </c>
      <c r="R231" s="97">
        <f t="shared" si="236"/>
        <v>640.97458726496313</v>
      </c>
      <c r="S231" s="97">
        <f t="shared" si="236"/>
        <v>630.25235224929474</v>
      </c>
      <c r="T231" s="97">
        <f t="shared" si="236"/>
        <v>610.7793317858368</v>
      </c>
      <c r="U231" s="97">
        <f t="shared" si="236"/>
        <v>607.9816175246275</v>
      </c>
      <c r="V231" s="97">
        <f t="shared" si="236"/>
        <v>580.739730994968</v>
      </c>
      <c r="W231" s="97">
        <f t="shared" si="236"/>
        <v>586.82511965072877</v>
      </c>
      <c r="X231" s="97">
        <f t="shared" si="236"/>
        <v>585.09302690353456</v>
      </c>
      <c r="Y231" s="97">
        <f t="shared" si="236"/>
        <v>581.84779654834483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123.33355063978426</v>
      </c>
      <c r="C232" s="97">
        <f t="shared" si="237"/>
        <v>110.20178725528582</v>
      </c>
      <c r="D232" s="97">
        <f t="shared" si="237"/>
        <v>104.77378002230334</v>
      </c>
      <c r="E232" s="97">
        <f t="shared" si="237"/>
        <v>93.033031093937495</v>
      </c>
      <c r="F232" s="97">
        <f t="shared" si="237"/>
        <v>86.194047039054254</v>
      </c>
      <c r="G232" s="97">
        <f t="shared" si="237"/>
        <v>78.366519101110867</v>
      </c>
      <c r="H232" s="97">
        <f t="shared" si="237"/>
        <v>84.094030166289102</v>
      </c>
      <c r="I232" s="97">
        <f t="shared" si="237"/>
        <v>78.228631576905599</v>
      </c>
      <c r="J232" s="97">
        <f t="shared" si="237"/>
        <v>78.486506289110054</v>
      </c>
      <c r="K232" s="97">
        <f t="shared" si="237"/>
        <v>81.43521590901041</v>
      </c>
      <c r="L232" s="97">
        <f t="shared" si="237"/>
        <v>86.814764408129179</v>
      </c>
      <c r="M232" s="97">
        <f t="shared" si="237"/>
        <v>83.206134710577871</v>
      </c>
      <c r="N232" s="97">
        <f t="shared" si="237"/>
        <v>90.305495108317814</v>
      </c>
      <c r="O232" s="97">
        <f t="shared" si="237"/>
        <v>88.068191737209531</v>
      </c>
      <c r="P232" s="97">
        <f t="shared" si="237"/>
        <v>88.949948859166042</v>
      </c>
      <c r="Q232" s="97">
        <f t="shared" si="237"/>
        <v>77.985341972002502</v>
      </c>
      <c r="R232" s="97">
        <f t="shared" si="237"/>
        <v>77.395356587855787</v>
      </c>
      <c r="S232" s="97">
        <f t="shared" si="237"/>
        <v>79.305767940891172</v>
      </c>
      <c r="T232" s="97">
        <f t="shared" si="237"/>
        <v>83.097322064718213</v>
      </c>
      <c r="U232" s="97">
        <f t="shared" si="237"/>
        <v>79.413613129350026</v>
      </c>
      <c r="V232" s="97">
        <f t="shared" si="237"/>
        <v>81.752516352806381</v>
      </c>
      <c r="W232" s="97">
        <f t="shared" si="237"/>
        <v>72.505985618110003</v>
      </c>
      <c r="X232" s="97">
        <f t="shared" si="237"/>
        <v>68.916826989962857</v>
      </c>
      <c r="Y232" s="97">
        <f t="shared" si="237"/>
        <v>61.881932401000093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5.3486287676988171</v>
      </c>
      <c r="C233" s="130">
        <f t="shared" si="238"/>
        <v>5.3255455794413615</v>
      </c>
      <c r="D233" s="130">
        <f t="shared" si="238"/>
        <v>4.7598792460037211</v>
      </c>
      <c r="E233" s="130">
        <f t="shared" si="238"/>
        <v>4.3302457625268476</v>
      </c>
      <c r="F233" s="130">
        <f t="shared" si="238"/>
        <v>4.1447942691598216</v>
      </c>
      <c r="G233" s="130">
        <f t="shared" si="238"/>
        <v>3.5367440249953317</v>
      </c>
      <c r="H233" s="130">
        <f t="shared" si="238"/>
        <v>3.3917958737203029</v>
      </c>
      <c r="I233" s="130">
        <f t="shared" si="238"/>
        <v>3.1561988256220483</v>
      </c>
      <c r="J233" s="130">
        <f t="shared" si="238"/>
        <v>2.7347722935748853</v>
      </c>
      <c r="K233" s="130">
        <f t="shared" si="238"/>
        <v>2.8760460520825832</v>
      </c>
      <c r="L233" s="130">
        <f t="shared" si="238"/>
        <v>2.6883174998185746</v>
      </c>
      <c r="M233" s="130">
        <f t="shared" si="238"/>
        <v>2.5112519939110096</v>
      </c>
      <c r="N233" s="130">
        <f t="shared" si="238"/>
        <v>2.4297527868073168</v>
      </c>
      <c r="O233" s="130">
        <f t="shared" si="238"/>
        <v>2.3094744923927562</v>
      </c>
      <c r="P233" s="130">
        <f t="shared" si="238"/>
        <v>2.1945712071279773</v>
      </c>
      <c r="Q233" s="130">
        <f t="shared" si="238"/>
        <v>2.2528310967342215</v>
      </c>
      <c r="R233" s="130">
        <f t="shared" si="238"/>
        <v>1.9820241837621559</v>
      </c>
      <c r="S233" s="130">
        <f t="shared" si="238"/>
        <v>1.7906800234597431</v>
      </c>
      <c r="T233" s="130">
        <f t="shared" si="238"/>
        <v>1.4854240022634051</v>
      </c>
      <c r="U233" s="130">
        <f t="shared" si="238"/>
        <v>1.6186851039010197</v>
      </c>
      <c r="V233" s="130">
        <f t="shared" si="238"/>
        <v>1.8333740477702987</v>
      </c>
      <c r="W233" s="130">
        <f t="shared" si="238"/>
        <v>2.8763722023490401</v>
      </c>
      <c r="X233" s="130">
        <f t="shared" si="238"/>
        <v>1.5585657916312954</v>
      </c>
      <c r="Y233" s="130">
        <f t="shared" si="238"/>
        <v>1.3336437213632368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361.83504971492147</v>
      </c>
      <c r="C234" s="130">
        <f t="shared" si="239"/>
        <v>333.53776214979803</v>
      </c>
      <c r="D234" s="130">
        <f t="shared" si="239"/>
        <v>342.33636461867457</v>
      </c>
      <c r="E234" s="130">
        <f t="shared" si="239"/>
        <v>359.7439837921234</v>
      </c>
      <c r="F234" s="130">
        <f t="shared" si="239"/>
        <v>359.45910063485695</v>
      </c>
      <c r="G234" s="130">
        <f t="shared" si="239"/>
        <v>377.43827414422867</v>
      </c>
      <c r="H234" s="130">
        <f t="shared" si="239"/>
        <v>388.80137460134279</v>
      </c>
      <c r="I234" s="130">
        <f t="shared" si="239"/>
        <v>385.63720073078883</v>
      </c>
      <c r="J234" s="130">
        <f t="shared" si="239"/>
        <v>398.24409018556634</v>
      </c>
      <c r="K234" s="130">
        <f t="shared" si="239"/>
        <v>372.72010894521901</v>
      </c>
      <c r="L234" s="130">
        <f t="shared" si="239"/>
        <v>333.8689816856641</v>
      </c>
      <c r="M234" s="130">
        <f t="shared" si="239"/>
        <v>291.55314085768987</v>
      </c>
      <c r="N234" s="130">
        <f t="shared" si="239"/>
        <v>294.02271587769656</v>
      </c>
      <c r="O234" s="130">
        <f t="shared" si="239"/>
        <v>303.86416964226754</v>
      </c>
      <c r="P234" s="130">
        <f t="shared" si="239"/>
        <v>259.18047369814872</v>
      </c>
      <c r="Q234" s="130">
        <f t="shared" si="239"/>
        <v>254.62716679691255</v>
      </c>
      <c r="R234" s="130">
        <f t="shared" si="239"/>
        <v>241.3337572646017</v>
      </c>
      <c r="S234" s="130">
        <f t="shared" si="239"/>
        <v>262.84221765265141</v>
      </c>
      <c r="T234" s="130">
        <f t="shared" si="239"/>
        <v>268.7665108845714</v>
      </c>
      <c r="U234" s="130">
        <f t="shared" si="239"/>
        <v>256.26497370615624</v>
      </c>
      <c r="V234" s="130">
        <f t="shared" si="239"/>
        <v>358.98520107200579</v>
      </c>
      <c r="W234" s="130">
        <f t="shared" si="239"/>
        <v>411.47967124507312</v>
      </c>
      <c r="X234" s="130">
        <f t="shared" si="239"/>
        <v>375.07725185652998</v>
      </c>
      <c r="Y234" s="130">
        <f t="shared" si="239"/>
        <v>331.37548616632512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1797.4943522921824</v>
      </c>
      <c r="C235" s="97">
        <f t="shared" si="240"/>
        <v>1807.8375842237151</v>
      </c>
      <c r="D235" s="97">
        <f t="shared" si="240"/>
        <v>1689.1842535811138</v>
      </c>
      <c r="E235" s="97">
        <f t="shared" si="240"/>
        <v>1510.0906854566106</v>
      </c>
      <c r="F235" s="97">
        <f t="shared" si="240"/>
        <v>1573.5529415246342</v>
      </c>
      <c r="G235" s="97">
        <f t="shared" si="240"/>
        <v>1666.7851549842826</v>
      </c>
      <c r="H235" s="97">
        <f t="shared" si="240"/>
        <v>1738.8880825065273</v>
      </c>
      <c r="I235" s="97">
        <f t="shared" si="240"/>
        <v>1729.3270486830847</v>
      </c>
      <c r="J235" s="97">
        <f t="shared" si="240"/>
        <v>1845.8833263772617</v>
      </c>
      <c r="K235" s="97">
        <f t="shared" si="240"/>
        <v>1917.9754060743173</v>
      </c>
      <c r="L235" s="97">
        <f t="shared" si="240"/>
        <v>1727.2621384024644</v>
      </c>
      <c r="M235" s="97">
        <f t="shared" si="240"/>
        <v>1310.6078772486599</v>
      </c>
      <c r="N235" s="97">
        <f t="shared" si="240"/>
        <v>1385.1125773333595</v>
      </c>
      <c r="O235" s="97">
        <f t="shared" si="240"/>
        <v>1377.6593821254837</v>
      </c>
      <c r="P235" s="97">
        <f t="shared" si="240"/>
        <v>1583.586494119694</v>
      </c>
      <c r="Q235" s="97">
        <f t="shared" si="240"/>
        <v>1581.9699822277266</v>
      </c>
      <c r="R235" s="97">
        <f t="shared" si="240"/>
        <v>1421.4760636166236</v>
      </c>
      <c r="S235" s="97">
        <f t="shared" si="240"/>
        <v>1385.8556744396747</v>
      </c>
      <c r="T235" s="97">
        <f t="shared" si="240"/>
        <v>1265.5865480698619</v>
      </c>
      <c r="U235" s="97">
        <f t="shared" si="240"/>
        <v>1284.8391441431329</v>
      </c>
      <c r="V235" s="97">
        <f t="shared" si="240"/>
        <v>1559.0000320719148</v>
      </c>
      <c r="W235" s="97">
        <f t="shared" si="240"/>
        <v>1602.8742177536781</v>
      </c>
      <c r="X235" s="97">
        <f t="shared" si="240"/>
        <v>1308.9550054919107</v>
      </c>
      <c r="Y235" s="97">
        <f t="shared" si="240"/>
        <v>1299.8804745023581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493.82119863201865</v>
      </c>
      <c r="C236" s="97">
        <f t="shared" si="241"/>
        <v>451.63621396470757</v>
      </c>
      <c r="D236" s="97">
        <f t="shared" si="241"/>
        <v>471.05732770268014</v>
      </c>
      <c r="E236" s="97">
        <f t="shared" si="241"/>
        <v>449.62938909948758</v>
      </c>
      <c r="F236" s="97">
        <f t="shared" si="241"/>
        <v>486.42985660776384</v>
      </c>
      <c r="G236" s="97">
        <f t="shared" si="241"/>
        <v>507.30363204864591</v>
      </c>
      <c r="H236" s="97">
        <f t="shared" si="241"/>
        <v>601.03788695525236</v>
      </c>
      <c r="I236" s="97">
        <f t="shared" si="241"/>
        <v>616.99181534769991</v>
      </c>
      <c r="J236" s="97">
        <f t="shared" si="241"/>
        <v>624.64884358866914</v>
      </c>
      <c r="K236" s="97">
        <f t="shared" si="241"/>
        <v>621.90762537810838</v>
      </c>
      <c r="L236" s="97">
        <f t="shared" si="241"/>
        <v>587.22178575478995</v>
      </c>
      <c r="M236" s="97">
        <f t="shared" si="241"/>
        <v>526.58854426729795</v>
      </c>
      <c r="N236" s="97">
        <f t="shared" si="241"/>
        <v>532.7001024201985</v>
      </c>
      <c r="O236" s="97">
        <f t="shared" si="241"/>
        <v>549.39169234491374</v>
      </c>
      <c r="P236" s="97">
        <f t="shared" si="241"/>
        <v>455.7971564785891</v>
      </c>
      <c r="Q236" s="97">
        <f t="shared" si="241"/>
        <v>461.63048336680845</v>
      </c>
      <c r="R236" s="97">
        <f t="shared" si="241"/>
        <v>446.29660118793601</v>
      </c>
      <c r="S236" s="97">
        <f t="shared" si="241"/>
        <v>524.20093305264015</v>
      </c>
      <c r="T236" s="97">
        <f t="shared" si="241"/>
        <v>510.99045172626302</v>
      </c>
      <c r="U236" s="97">
        <f t="shared" si="241"/>
        <v>488.10132386700514</v>
      </c>
      <c r="V236" s="97">
        <f t="shared" si="241"/>
        <v>417.17036989796742</v>
      </c>
      <c r="W236" s="97">
        <f t="shared" si="241"/>
        <v>524.9941517906035</v>
      </c>
      <c r="X236" s="97">
        <f t="shared" si="241"/>
        <v>644.82251212304323</v>
      </c>
      <c r="Y236" s="97">
        <f t="shared" si="241"/>
        <v>638.24837888250215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335.47298734478937</v>
      </c>
      <c r="C237" s="97">
        <f t="shared" si="242"/>
        <v>308.48729312719865</v>
      </c>
      <c r="D237" s="97">
        <f t="shared" si="242"/>
        <v>319.96174152027135</v>
      </c>
      <c r="E237" s="97">
        <f t="shared" si="242"/>
        <v>343.80204569686737</v>
      </c>
      <c r="F237" s="97">
        <f t="shared" si="242"/>
        <v>342.6575558361917</v>
      </c>
      <c r="G237" s="97">
        <f t="shared" si="242"/>
        <v>362.37035887339141</v>
      </c>
      <c r="H237" s="97">
        <f t="shared" si="242"/>
        <v>369.67703184076612</v>
      </c>
      <c r="I237" s="97">
        <f t="shared" si="242"/>
        <v>365.42368750418836</v>
      </c>
      <c r="J237" s="97">
        <f t="shared" si="242"/>
        <v>374.68841421364283</v>
      </c>
      <c r="K237" s="97">
        <f t="shared" si="242"/>
        <v>347.16271913455427</v>
      </c>
      <c r="L237" s="97">
        <f t="shared" si="242"/>
        <v>313.41530338097346</v>
      </c>
      <c r="M237" s="97">
        <f t="shared" si="242"/>
        <v>275.07895070029502</v>
      </c>
      <c r="N237" s="97">
        <f t="shared" si="242"/>
        <v>276.47122114218621</v>
      </c>
      <c r="O237" s="97">
        <f t="shared" si="242"/>
        <v>286.5528756721643</v>
      </c>
      <c r="P237" s="97">
        <f t="shared" si="242"/>
        <v>243.12345917670353</v>
      </c>
      <c r="Q237" s="97">
        <f t="shared" si="242"/>
        <v>238.19907141740597</v>
      </c>
      <c r="R237" s="97">
        <f t="shared" si="242"/>
        <v>225.44030782769636</v>
      </c>
      <c r="S237" s="97">
        <f t="shared" si="242"/>
        <v>244.25760425341221</v>
      </c>
      <c r="T237" s="97">
        <f t="shared" si="242"/>
        <v>251.30259112590309</v>
      </c>
      <c r="U237" s="97">
        <f t="shared" si="242"/>
        <v>238.8819742573543</v>
      </c>
      <c r="V237" s="97">
        <f t="shared" si="242"/>
        <v>351.08840773667453</v>
      </c>
      <c r="W237" s="97">
        <f t="shared" si="242"/>
        <v>399.2726400788527</v>
      </c>
      <c r="X237" s="97">
        <f t="shared" si="242"/>
        <v>355.76406425004427</v>
      </c>
      <c r="Y237" s="97">
        <f t="shared" si="242"/>
        <v>310.90326890023147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13.025476700434721</v>
      </c>
      <c r="C238" s="130">
        <f t="shared" si="243"/>
        <v>12.898699843603472</v>
      </c>
      <c r="D238" s="130">
        <f t="shared" si="243"/>
        <v>11.349116666390056</v>
      </c>
      <c r="E238" s="130">
        <f t="shared" si="243"/>
        <v>13.062597714683022</v>
      </c>
      <c r="F238" s="130">
        <f t="shared" si="243"/>
        <v>13.472689730775624</v>
      </c>
      <c r="G238" s="130">
        <f t="shared" si="243"/>
        <v>15.464294898480786</v>
      </c>
      <c r="H238" s="130">
        <f t="shared" si="243"/>
        <v>13.197531739501704</v>
      </c>
      <c r="I238" s="130">
        <f t="shared" si="243"/>
        <v>13.845689670176709</v>
      </c>
      <c r="J238" s="130">
        <f t="shared" si="243"/>
        <v>14.336158685083495</v>
      </c>
      <c r="K238" s="130">
        <f t="shared" si="243"/>
        <v>15.760468074667456</v>
      </c>
      <c r="L238" s="130">
        <f t="shared" si="243"/>
        <v>13.713346941096615</v>
      </c>
      <c r="M238" s="130">
        <f t="shared" si="243"/>
        <v>17.136881325934255</v>
      </c>
      <c r="N238" s="130">
        <f t="shared" si="243"/>
        <v>15.174021305073655</v>
      </c>
      <c r="O238" s="130">
        <f t="shared" si="243"/>
        <v>14.7498156992446</v>
      </c>
      <c r="P238" s="130">
        <f t="shared" si="243"/>
        <v>15.761229322395391</v>
      </c>
      <c r="Q238" s="130">
        <f t="shared" si="243"/>
        <v>17.727257886698123</v>
      </c>
      <c r="R238" s="130">
        <f t="shared" si="243"/>
        <v>15.195507398078783</v>
      </c>
      <c r="S238" s="130">
        <f t="shared" si="243"/>
        <v>13.460539538661045</v>
      </c>
      <c r="T238" s="130">
        <f t="shared" si="243"/>
        <v>16.67515088785952</v>
      </c>
      <c r="U238" s="130">
        <f t="shared" si="243"/>
        <v>16.319413215991041</v>
      </c>
      <c r="V238" s="130">
        <f t="shared" si="243"/>
        <v>17.884310573723507</v>
      </c>
      <c r="W238" s="130">
        <f t="shared" si="243"/>
        <v>23.42889910940271</v>
      </c>
      <c r="X238" s="130">
        <f t="shared" si="243"/>
        <v>16.488931412651109</v>
      </c>
      <c r="Y238" s="130">
        <f t="shared" si="243"/>
        <v>17.416759496315226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35.595442560704974</v>
      </c>
      <c r="C239" s="97">
        <f t="shared" si="244"/>
        <v>34.648528767581766</v>
      </c>
      <c r="D239" s="97">
        <f t="shared" si="244"/>
        <v>34.342038863998958</v>
      </c>
      <c r="E239" s="97">
        <f t="shared" si="244"/>
        <v>34.15693860184598</v>
      </c>
      <c r="F239" s="97">
        <f t="shared" si="244"/>
        <v>32.455103073300052</v>
      </c>
      <c r="G239" s="97">
        <f t="shared" si="244"/>
        <v>35.272554887933161</v>
      </c>
      <c r="H239" s="97">
        <f t="shared" si="244"/>
        <v>34.666133013488114</v>
      </c>
      <c r="I239" s="97">
        <f t="shared" si="244"/>
        <v>33.745327840075547</v>
      </c>
      <c r="J239" s="97">
        <f t="shared" si="244"/>
        <v>36.874838989148351</v>
      </c>
      <c r="K239" s="97">
        <f t="shared" si="244"/>
        <v>41.110816307015959</v>
      </c>
      <c r="L239" s="97">
        <f t="shared" si="244"/>
        <v>45.364397104630406</v>
      </c>
      <c r="M239" s="97">
        <f t="shared" si="244"/>
        <v>45.735591468466993</v>
      </c>
      <c r="N239" s="97">
        <f t="shared" si="244"/>
        <v>40.782025144613151</v>
      </c>
      <c r="O239" s="97">
        <f t="shared" si="244"/>
        <v>39.741147678576155</v>
      </c>
      <c r="P239" s="97">
        <f t="shared" si="244"/>
        <v>44.101224222407566</v>
      </c>
      <c r="Q239" s="97">
        <f t="shared" si="244"/>
        <v>48.278126064294014</v>
      </c>
      <c r="R239" s="97">
        <f t="shared" si="244"/>
        <v>44.052701221744719</v>
      </c>
      <c r="S239" s="97">
        <f t="shared" si="244"/>
        <v>43.258666816841867</v>
      </c>
      <c r="T239" s="97">
        <f t="shared" si="244"/>
        <v>48.993728872186622</v>
      </c>
      <c r="U239" s="97">
        <f t="shared" si="244"/>
        <v>48.945997481071039</v>
      </c>
      <c r="V239" s="97">
        <f t="shared" si="244"/>
        <v>47.30344867018912</v>
      </c>
      <c r="W239" s="97">
        <f t="shared" si="244"/>
        <v>56.757828508771262</v>
      </c>
      <c r="X239" s="97">
        <f t="shared" si="244"/>
        <v>51.103237855155939</v>
      </c>
      <c r="Y239" s="97">
        <f t="shared" si="244"/>
        <v>50.909127498031999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12.668821322066457</v>
      </c>
      <c r="C240" s="98">
        <f t="shared" si="245"/>
        <v>12.599850926071062</v>
      </c>
      <c r="D240" s="98">
        <f t="shared" si="245"/>
        <v>11.001989331508122</v>
      </c>
      <c r="E240" s="98">
        <f t="shared" si="245"/>
        <v>12.805613043052739</v>
      </c>
      <c r="F240" s="98">
        <f t="shared" si="245"/>
        <v>13.259659569460124</v>
      </c>
      <c r="G240" s="98">
        <f t="shared" si="245"/>
        <v>15.272163800565744</v>
      </c>
      <c r="H240" s="98">
        <f t="shared" si="245"/>
        <v>12.932307011809669</v>
      </c>
      <c r="I240" s="98">
        <f t="shared" si="245"/>
        <v>13.554059767048676</v>
      </c>
      <c r="J240" s="98">
        <f t="shared" si="245"/>
        <v>14.023220213731692</v>
      </c>
      <c r="K240" s="98">
        <f t="shared" si="245"/>
        <v>15.480556992651707</v>
      </c>
      <c r="L240" s="98">
        <f t="shared" si="245"/>
        <v>13.44136481884289</v>
      </c>
      <c r="M240" s="98">
        <f t="shared" si="245"/>
        <v>16.812436918900648</v>
      </c>
      <c r="N240" s="98">
        <f t="shared" si="245"/>
        <v>14.825300083317432</v>
      </c>
      <c r="O240" s="98">
        <f t="shared" si="245"/>
        <v>14.36727192034772</v>
      </c>
      <c r="P240" s="98">
        <f t="shared" si="245"/>
        <v>15.371011384732066</v>
      </c>
      <c r="Q240" s="98">
        <f t="shared" si="245"/>
        <v>17.439308152786257</v>
      </c>
      <c r="R240" s="98">
        <f t="shared" si="245"/>
        <v>14.890321612940756</v>
      </c>
      <c r="S240" s="98">
        <f t="shared" si="245"/>
        <v>13.058411884184453</v>
      </c>
      <c r="T240" s="98">
        <f t="shared" si="245"/>
        <v>16.259735090099525</v>
      </c>
      <c r="U240" s="98">
        <f t="shared" si="245"/>
        <v>15.974408504610842</v>
      </c>
      <c r="V240" s="98">
        <f t="shared" si="245"/>
        <v>17.491291001800064</v>
      </c>
      <c r="W240" s="98">
        <f t="shared" si="245"/>
        <v>23.117086184485025</v>
      </c>
      <c r="X240" s="98">
        <f t="shared" si="245"/>
        <v>16.231658698932812</v>
      </c>
      <c r="Y240" s="98">
        <f t="shared" si="245"/>
        <v>17.08734632998484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11.5035897309372</v>
      </c>
      <c r="C241" s="32">
        <f t="shared" si="246"/>
        <v>11.448475424449049</v>
      </c>
      <c r="D241" s="32">
        <f t="shared" si="246"/>
        <v>11.544721185252321</v>
      </c>
      <c r="E241" s="32">
        <f t="shared" si="246"/>
        <v>11.738741410407259</v>
      </c>
      <c r="F241" s="32">
        <f t="shared" si="246"/>
        <v>11.183611202387866</v>
      </c>
      <c r="G241" s="32">
        <f t="shared" si="246"/>
        <v>9.6292145113992351</v>
      </c>
      <c r="H241" s="32">
        <f t="shared" si="246"/>
        <v>9.0852738568759026</v>
      </c>
      <c r="I241" s="32">
        <f t="shared" si="246"/>
        <v>10.260979036765061</v>
      </c>
      <c r="J241" s="32">
        <f t="shared" si="246"/>
        <v>9.5868738651507357</v>
      </c>
      <c r="K241" s="32">
        <f t="shared" si="246"/>
        <v>10.586322025441952</v>
      </c>
      <c r="L241" s="32">
        <f t="shared" si="246"/>
        <v>9.9747148500461602</v>
      </c>
      <c r="M241" s="32">
        <f t="shared" si="246"/>
        <v>8.8414592629289999</v>
      </c>
      <c r="N241" s="32">
        <f t="shared" si="246"/>
        <v>8.1719828385734488</v>
      </c>
      <c r="O241" s="32">
        <f t="shared" si="246"/>
        <v>7.3286864016039326</v>
      </c>
      <c r="P241" s="32">
        <f t="shared" si="246"/>
        <v>7.1485756820400779</v>
      </c>
      <c r="Q241" s="32">
        <f t="shared" si="246"/>
        <v>7.8729769611479181</v>
      </c>
      <c r="R241" s="32">
        <f t="shared" si="246"/>
        <v>9.27911639313227</v>
      </c>
      <c r="S241" s="32">
        <f t="shared" si="246"/>
        <v>7.5863178953023835</v>
      </c>
      <c r="T241" s="32">
        <f t="shared" si="246"/>
        <v>5.6289332713964226</v>
      </c>
      <c r="U241" s="32">
        <f t="shared" si="246"/>
        <v>4.4356136856313455</v>
      </c>
      <c r="V241" s="32">
        <f t="shared" si="246"/>
        <v>4.6664354173870048</v>
      </c>
      <c r="W241" s="32">
        <f t="shared" si="246"/>
        <v>4.9244300107971384</v>
      </c>
      <c r="X241" s="32">
        <f t="shared" si="246"/>
        <v>5.37373177443075</v>
      </c>
      <c r="Y241" s="32">
        <f t="shared" si="246"/>
        <v>4.992521863448137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31.930911508342508</v>
      </c>
      <c r="C242" s="97">
        <f t="shared" si="247"/>
        <v>31.938951960805866</v>
      </c>
      <c r="D242" s="97">
        <f t="shared" si="247"/>
        <v>33.044087659065575</v>
      </c>
      <c r="E242" s="97">
        <f t="shared" si="247"/>
        <v>34.315281725574302</v>
      </c>
      <c r="F242" s="97">
        <f t="shared" si="247"/>
        <v>32.963959231181306</v>
      </c>
      <c r="G242" s="97">
        <f t="shared" si="247"/>
        <v>29.73725955129952</v>
      </c>
      <c r="H242" s="97">
        <f t="shared" si="247"/>
        <v>28.687941963766487</v>
      </c>
      <c r="I242" s="97">
        <f t="shared" si="247"/>
        <v>33.005714592928591</v>
      </c>
      <c r="J242" s="97">
        <f t="shared" si="247"/>
        <v>32.031606054453917</v>
      </c>
      <c r="K242" s="97">
        <f t="shared" si="247"/>
        <v>35.821164601340804</v>
      </c>
      <c r="L242" s="97">
        <f t="shared" si="247"/>
        <v>34.890689806982493</v>
      </c>
      <c r="M242" s="97">
        <f t="shared" si="247"/>
        <v>31.586482003587982</v>
      </c>
      <c r="N242" s="97">
        <f t="shared" si="247"/>
        <v>29.396501532594101</v>
      </c>
      <c r="O242" s="97">
        <f t="shared" si="247"/>
        <v>26.49440836381044</v>
      </c>
      <c r="P242" s="97">
        <f t="shared" si="247"/>
        <v>25.727041876894674</v>
      </c>
      <c r="Q242" s="97">
        <f t="shared" si="247"/>
        <v>27.66407184985999</v>
      </c>
      <c r="R242" s="97">
        <f t="shared" si="247"/>
        <v>31.825854359203301</v>
      </c>
      <c r="S242" s="97">
        <f t="shared" si="247"/>
        <v>26.087153726822386</v>
      </c>
      <c r="T242" s="97">
        <f t="shared" si="247"/>
        <v>19.225320245445992</v>
      </c>
      <c r="U242" s="97">
        <f t="shared" si="247"/>
        <v>15.668925290583793</v>
      </c>
      <c r="V242" s="97">
        <f t="shared" si="247"/>
        <v>14.28539699181486</v>
      </c>
      <c r="W242" s="97">
        <f t="shared" si="247"/>
        <v>15.375076485292311</v>
      </c>
      <c r="X242" s="97">
        <f t="shared" si="247"/>
        <v>17.980281997382267</v>
      </c>
      <c r="Y242" s="97">
        <f t="shared" si="247"/>
        <v>16.073921190218904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8.5630732716913514</v>
      </c>
      <c r="C243" s="98">
        <f t="shared" si="248"/>
        <v>8.5257912447352311</v>
      </c>
      <c r="D243" s="98">
        <f t="shared" si="248"/>
        <v>8.6722262196982314</v>
      </c>
      <c r="E243" s="98">
        <f t="shared" si="248"/>
        <v>8.8469414857482516</v>
      </c>
      <c r="F243" s="98">
        <f t="shared" si="248"/>
        <v>8.3866774778109523</v>
      </c>
      <c r="G243" s="98">
        <f t="shared" si="248"/>
        <v>7.3516594116228484</v>
      </c>
      <c r="H243" s="98">
        <f t="shared" si="248"/>
        <v>7.0198859283624087</v>
      </c>
      <c r="I243" s="98">
        <f t="shared" si="248"/>
        <v>7.959616687881975</v>
      </c>
      <c r="J243" s="98">
        <f t="shared" si="248"/>
        <v>7.5153559116382036</v>
      </c>
      <c r="K243" s="98">
        <f t="shared" si="248"/>
        <v>8.3543462368650356</v>
      </c>
      <c r="L243" s="98">
        <f t="shared" si="248"/>
        <v>7.9050946732399892</v>
      </c>
      <c r="M243" s="98">
        <f t="shared" si="248"/>
        <v>6.9941592394649703</v>
      </c>
      <c r="N243" s="98">
        <f t="shared" si="248"/>
        <v>6.4571124394062931</v>
      </c>
      <c r="O243" s="98">
        <f t="shared" si="248"/>
        <v>5.7991831926478801</v>
      </c>
      <c r="P243" s="98">
        <f t="shared" si="248"/>
        <v>5.6603703864553898</v>
      </c>
      <c r="Q243" s="98">
        <f t="shared" si="248"/>
        <v>6.2134187665787941</v>
      </c>
      <c r="R243" s="98">
        <f t="shared" si="248"/>
        <v>7.2700623407045315</v>
      </c>
      <c r="S243" s="98">
        <f t="shared" si="248"/>
        <v>5.9327118325467145</v>
      </c>
      <c r="T243" s="98">
        <f t="shared" si="248"/>
        <v>4.3655077679350978</v>
      </c>
      <c r="U243" s="98">
        <f t="shared" si="248"/>
        <v>3.4485512696408405</v>
      </c>
      <c r="V243" s="98">
        <f t="shared" si="248"/>
        <v>3.8326263694412126</v>
      </c>
      <c r="W243" s="98">
        <f t="shared" si="248"/>
        <v>3.9430634261429129</v>
      </c>
      <c r="X243" s="98">
        <f t="shared" si="248"/>
        <v>4.1949723664492007</v>
      </c>
      <c r="Y243" s="98">
        <f t="shared" si="248"/>
        <v>3.8365696343919615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912040.41697198595</v>
      </c>
      <c r="C4" s="29">
        <f t="shared" si="0"/>
        <v>933288.16631473054</v>
      </c>
      <c r="D4" s="29">
        <f t="shared" si="0"/>
        <v>942930.67473827046</v>
      </c>
      <c r="E4" s="29">
        <f t="shared" si="0"/>
        <v>937688.82141820481</v>
      </c>
      <c r="F4" s="29">
        <f t="shared" si="0"/>
        <v>949317.82334079139</v>
      </c>
      <c r="G4" s="29">
        <f t="shared" si="0"/>
        <v>937200.97501218901</v>
      </c>
      <c r="H4" s="29">
        <f t="shared" si="0"/>
        <v>942996.48275223887</v>
      </c>
      <c r="I4" s="29">
        <f t="shared" si="0"/>
        <v>943629.43559683266</v>
      </c>
      <c r="J4" s="29">
        <f t="shared" si="0"/>
        <v>946947.34932654176</v>
      </c>
      <c r="K4" s="29">
        <f t="shared" si="0"/>
        <v>955430.14099824149</v>
      </c>
      <c r="L4" s="29">
        <f t="shared" ref="L4" si="1">L5+L6+L13</f>
        <v>960871.01394903625</v>
      </c>
      <c r="M4" s="29">
        <f t="shared" ref="M4:V4" si="2">M5+M6+M13</f>
        <v>968801.93527686456</v>
      </c>
      <c r="N4" s="29">
        <f t="shared" si="2"/>
        <v>968197.98422780389</v>
      </c>
      <c r="O4" s="29">
        <f t="shared" si="2"/>
        <v>976574.01375205198</v>
      </c>
      <c r="P4" s="29">
        <f t="shared" si="2"/>
        <v>992167.57414876972</v>
      </c>
      <c r="Q4" s="29">
        <f t="shared" si="2"/>
        <v>1005423.2099082798</v>
      </c>
      <c r="R4" s="29">
        <f t="shared" si="2"/>
        <v>1024415.8722362887</v>
      </c>
      <c r="S4" s="29">
        <f t="shared" si="2"/>
        <v>973122.26493204967</v>
      </c>
      <c r="T4" s="29">
        <f t="shared" si="2"/>
        <v>973389.81925420428</v>
      </c>
      <c r="U4" s="29">
        <f t="shared" si="2"/>
        <v>977218.9405682676</v>
      </c>
      <c r="V4" s="29">
        <f t="shared" si="2"/>
        <v>831094.43608516711</v>
      </c>
      <c r="W4" s="29">
        <f t="shared" ref="W4:Y4" si="3">W5+W6+W13</f>
        <v>869723.24344815232</v>
      </c>
      <c r="X4" s="29">
        <f t="shared" si="3"/>
        <v>910191.60211765545</v>
      </c>
      <c r="Y4" s="29">
        <f t="shared" si="3"/>
        <v>927497.35640164081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11773.872130201429</v>
      </c>
      <c r="C5" s="152">
        <f t="shared" si="4"/>
        <v>11958.727544780706</v>
      </c>
      <c r="D5" s="152">
        <f t="shared" si="4"/>
        <v>12443.674738270454</v>
      </c>
      <c r="E5" s="152">
        <f t="shared" si="4"/>
        <v>12452.821418204867</v>
      </c>
      <c r="F5" s="152">
        <f t="shared" si="4"/>
        <v>12861.823340791427</v>
      </c>
      <c r="G5" s="152">
        <f t="shared" si="4"/>
        <v>13263.975012189059</v>
      </c>
      <c r="H5" s="152">
        <f t="shared" si="4"/>
        <v>13484.482752238901</v>
      </c>
      <c r="I5" s="152">
        <f t="shared" si="4"/>
        <v>11711.435596832504</v>
      </c>
      <c r="J5" s="152">
        <f t="shared" si="4"/>
        <v>12027.349326541813</v>
      </c>
      <c r="K5" s="152">
        <f t="shared" si="4"/>
        <v>12233.140998241517</v>
      </c>
      <c r="L5" s="152">
        <f t="shared" ref="L5:L7" si="5">IF(L32=0,0,L32*L142)</f>
        <v>12104.013949036227</v>
      </c>
      <c r="M5" s="152">
        <f t="shared" ref="M5:V5" si="6">IF(M32=0,0,M32*M142)</f>
        <v>13001.935276864568</v>
      </c>
      <c r="N5" s="152">
        <f t="shared" si="6"/>
        <v>12497.984227803872</v>
      </c>
      <c r="O5" s="152">
        <f t="shared" si="6"/>
        <v>12974.013752051937</v>
      </c>
      <c r="P5" s="152">
        <f t="shared" si="6"/>
        <v>13567.574148769665</v>
      </c>
      <c r="Q5" s="152">
        <f t="shared" si="6"/>
        <v>13323.209908279849</v>
      </c>
      <c r="R5" s="152">
        <f t="shared" si="6"/>
        <v>13715.872236288833</v>
      </c>
      <c r="S5" s="152">
        <f t="shared" si="6"/>
        <v>12922.264932049611</v>
      </c>
      <c r="T5" s="152">
        <f t="shared" si="6"/>
        <v>12289.819254204227</v>
      </c>
      <c r="U5" s="152">
        <f t="shared" si="6"/>
        <v>13318.940568267577</v>
      </c>
      <c r="V5" s="152">
        <f t="shared" si="6"/>
        <v>11694.436085167248</v>
      </c>
      <c r="W5" s="152">
        <f t="shared" ref="W5:Y5" si="7">IF(W32=0,0,W32*W142)</f>
        <v>12523.243448152318</v>
      </c>
      <c r="X5" s="152">
        <f t="shared" si="7"/>
        <v>12691.602117655593</v>
      </c>
      <c r="Y5" s="152">
        <f t="shared" si="7"/>
        <v>13697.356401640985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831266.54484178452</v>
      </c>
      <c r="C6" s="116">
        <f t="shared" si="8"/>
        <v>852629.43876994983</v>
      </c>
      <c r="D6" s="116">
        <f t="shared" si="8"/>
        <v>862987</v>
      </c>
      <c r="E6" s="116">
        <f t="shared" si="8"/>
        <v>857736</v>
      </c>
      <c r="F6" s="116">
        <f t="shared" si="8"/>
        <v>868650</v>
      </c>
      <c r="G6" s="116">
        <f t="shared" si="8"/>
        <v>856875</v>
      </c>
      <c r="H6" s="116">
        <f t="shared" si="8"/>
        <v>863328</v>
      </c>
      <c r="I6" s="116">
        <f t="shared" si="8"/>
        <v>866531.00000000012</v>
      </c>
      <c r="J6" s="116">
        <f t="shared" si="8"/>
        <v>871328</v>
      </c>
      <c r="K6" s="116">
        <f t="shared" si="8"/>
        <v>881100</v>
      </c>
      <c r="L6" s="116">
        <f t="shared" ref="L6" si="9">SUM(L7:L12)</f>
        <v>887000</v>
      </c>
      <c r="M6" s="116">
        <f t="shared" ref="M6:V6" si="10">SUM(M7:M12)</f>
        <v>894400</v>
      </c>
      <c r="N6" s="116">
        <f t="shared" si="10"/>
        <v>896300</v>
      </c>
      <c r="O6" s="116">
        <f t="shared" si="10"/>
        <v>903100</v>
      </c>
      <c r="P6" s="116">
        <f t="shared" si="10"/>
        <v>916400.00000000012</v>
      </c>
      <c r="Q6" s="116">
        <f t="shared" si="10"/>
        <v>927000</v>
      </c>
      <c r="R6" s="116">
        <f t="shared" si="10"/>
        <v>946299.99999999988</v>
      </c>
      <c r="S6" s="116">
        <f t="shared" si="10"/>
        <v>897700.00000000012</v>
      </c>
      <c r="T6" s="116">
        <f t="shared" si="10"/>
        <v>898600</v>
      </c>
      <c r="U6" s="116">
        <f t="shared" si="10"/>
        <v>902600</v>
      </c>
      <c r="V6" s="116">
        <f t="shared" si="10"/>
        <v>785399.99999999988</v>
      </c>
      <c r="W6" s="116">
        <f t="shared" ref="W6:Y6" si="11">SUM(W7:W12)</f>
        <v>822900</v>
      </c>
      <c r="X6" s="116">
        <f t="shared" si="11"/>
        <v>851499.99999999988</v>
      </c>
      <c r="Y6" s="116">
        <f t="shared" si="11"/>
        <v>863599.99999999977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624802.55204299977</v>
      </c>
      <c r="C7" s="87">
        <f t="shared" si="12"/>
        <v>617385.57485247403</v>
      </c>
      <c r="D7" s="87">
        <f t="shared" si="12"/>
        <v>604869.27862494765</v>
      </c>
      <c r="E7" s="87">
        <f t="shared" si="12"/>
        <v>578212.89698820072</v>
      </c>
      <c r="F7" s="87">
        <f t="shared" si="12"/>
        <v>557517.08738447016</v>
      </c>
      <c r="G7" s="87">
        <f t="shared" si="12"/>
        <v>530001.89049283986</v>
      </c>
      <c r="H7" s="87">
        <f t="shared" si="12"/>
        <v>522795.14081944997</v>
      </c>
      <c r="I7" s="87">
        <f t="shared" si="12"/>
        <v>507668.09277692507</v>
      </c>
      <c r="J7" s="87">
        <f t="shared" si="12"/>
        <v>507564.39387835027</v>
      </c>
      <c r="K7" s="87">
        <f t="shared" si="12"/>
        <v>499807.91358067637</v>
      </c>
      <c r="L7" s="87">
        <f t="shared" si="5"/>
        <v>494803.7545488723</v>
      </c>
      <c r="M7" s="87">
        <f t="shared" ref="M7:V7" si="13">IF(M34=0,0,M34*M144)</f>
        <v>489376.37802386773</v>
      </c>
      <c r="N7" s="87">
        <f t="shared" si="13"/>
        <v>476188.66104354698</v>
      </c>
      <c r="O7" s="87">
        <f t="shared" si="13"/>
        <v>466777.66085556615</v>
      </c>
      <c r="P7" s="87">
        <f t="shared" si="13"/>
        <v>457698.86035673541</v>
      </c>
      <c r="Q7" s="87">
        <f t="shared" si="13"/>
        <v>449937.58026917581</v>
      </c>
      <c r="R7" s="87">
        <f t="shared" si="13"/>
        <v>447647.32283002901</v>
      </c>
      <c r="S7" s="87">
        <f t="shared" si="13"/>
        <v>423623.18028128822</v>
      </c>
      <c r="T7" s="87">
        <f t="shared" si="13"/>
        <v>426660.87198555865</v>
      </c>
      <c r="U7" s="87">
        <f t="shared" si="13"/>
        <v>431678.10636794812</v>
      </c>
      <c r="V7" s="87">
        <f t="shared" si="13"/>
        <v>383407.81860007264</v>
      </c>
      <c r="W7" s="87">
        <f t="shared" ref="W7:Y7" si="14">IF(W34=0,0,W34*W144)</f>
        <v>400912.72388811572</v>
      </c>
      <c r="X7" s="87">
        <f t="shared" si="14"/>
        <v>410241.20984701463</v>
      </c>
      <c r="Y7" s="87">
        <f t="shared" si="14"/>
        <v>413153.09367728996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204903.45872865873</v>
      </c>
      <c r="C8" s="87">
        <f t="shared" si="15"/>
        <v>233687.71067281987</v>
      </c>
      <c r="D8" s="87">
        <f t="shared" si="15"/>
        <v>256230.40367739112</v>
      </c>
      <c r="E8" s="87">
        <f t="shared" si="15"/>
        <v>277532.97132675664</v>
      </c>
      <c r="F8" s="87">
        <f t="shared" si="15"/>
        <v>308524.10416149732</v>
      </c>
      <c r="G8" s="87">
        <f t="shared" si="15"/>
        <v>323162.66375982738</v>
      </c>
      <c r="H8" s="87">
        <f t="shared" si="15"/>
        <v>335213.38528837706</v>
      </c>
      <c r="I8" s="87">
        <f t="shared" si="15"/>
        <v>350776.97334465536</v>
      </c>
      <c r="J8" s="87">
        <f t="shared" si="15"/>
        <v>354819.6734904609</v>
      </c>
      <c r="K8" s="87">
        <f t="shared" si="15"/>
        <v>369575.48412890162</v>
      </c>
      <c r="L8" s="87">
        <f t="shared" ref="L8" si="16">IF(L35=0,0,L35*L145)</f>
        <v>379187.77450585208</v>
      </c>
      <c r="M8" s="87">
        <f t="shared" ref="M8:V8" si="17">IF(M35=0,0,M35*M145)</f>
        <v>391000.38565035543</v>
      </c>
      <c r="N8" s="87">
        <f t="shared" si="17"/>
        <v>405156.04132497369</v>
      </c>
      <c r="O8" s="87">
        <f t="shared" si="17"/>
        <v>421023.18889727321</v>
      </c>
      <c r="P8" s="87">
        <f t="shared" si="17"/>
        <v>443177.34522072342</v>
      </c>
      <c r="Q8" s="87">
        <f t="shared" si="17"/>
        <v>462068.67306708009</v>
      </c>
      <c r="R8" s="87">
        <f t="shared" si="17"/>
        <v>483859.7398450427</v>
      </c>
      <c r="S8" s="87">
        <f t="shared" si="17"/>
        <v>460175.35011715046</v>
      </c>
      <c r="T8" s="87">
        <f t="shared" si="17"/>
        <v>457444.13938875432</v>
      </c>
      <c r="U8" s="87">
        <f t="shared" si="17"/>
        <v>454962.9686812259</v>
      </c>
      <c r="V8" s="87">
        <f t="shared" si="17"/>
        <v>381905.85851708235</v>
      </c>
      <c r="W8" s="87">
        <f t="shared" ref="W8:Y8" si="18">IF(W35=0,0,W35*W145)</f>
        <v>387099.08507034805</v>
      </c>
      <c r="X8" s="87">
        <f t="shared" si="18"/>
        <v>393858.09419497114</v>
      </c>
      <c r="Y8" s="87">
        <f t="shared" si="18"/>
        <v>391060.26576912787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1560.5340701259761</v>
      </c>
      <c r="C9" s="87">
        <f t="shared" si="19"/>
        <v>1556.1532446559797</v>
      </c>
      <c r="D9" s="87">
        <f t="shared" si="19"/>
        <v>1887.3176976612656</v>
      </c>
      <c r="E9" s="87">
        <f t="shared" si="19"/>
        <v>1990.1316850426756</v>
      </c>
      <c r="F9" s="87">
        <f t="shared" si="19"/>
        <v>2608.8084540325194</v>
      </c>
      <c r="G9" s="87">
        <f t="shared" si="19"/>
        <v>2810.8752338672903</v>
      </c>
      <c r="H9" s="87">
        <f t="shared" si="19"/>
        <v>4274.9426727945256</v>
      </c>
      <c r="I9" s="87">
        <f t="shared" si="19"/>
        <v>7057.2263150185154</v>
      </c>
      <c r="J9" s="87">
        <f t="shared" si="19"/>
        <v>7895.5528155111915</v>
      </c>
      <c r="K9" s="87">
        <f t="shared" si="19"/>
        <v>9517.7187085426249</v>
      </c>
      <c r="L9" s="87">
        <f t="shared" ref="L9" si="20">IF(L36=0,0,L36*L146)</f>
        <v>10682.28147569799</v>
      </c>
      <c r="M9" s="87">
        <f t="shared" ref="M9:V9" si="21">IF(M36=0,0,M36*M146)</f>
        <v>11518.703971444829</v>
      </c>
      <c r="N9" s="87">
        <f t="shared" si="21"/>
        <v>12306.912230462311</v>
      </c>
      <c r="O9" s="87">
        <f t="shared" si="21"/>
        <v>12359.576874076223</v>
      </c>
      <c r="P9" s="87">
        <f t="shared" si="21"/>
        <v>12292.833847674749</v>
      </c>
      <c r="Q9" s="87">
        <f t="shared" si="21"/>
        <v>11544.910980730237</v>
      </c>
      <c r="R9" s="87">
        <f t="shared" si="21"/>
        <v>10935.713904697692</v>
      </c>
      <c r="S9" s="87">
        <f t="shared" si="21"/>
        <v>9624.2549995436402</v>
      </c>
      <c r="T9" s="87">
        <f t="shared" si="21"/>
        <v>8907.791261360062</v>
      </c>
      <c r="U9" s="87">
        <f t="shared" si="21"/>
        <v>8291.7556699776942</v>
      </c>
      <c r="V9" s="87">
        <f t="shared" si="21"/>
        <v>6861.7969264984486</v>
      </c>
      <c r="W9" s="87">
        <f t="shared" ref="W9:Y9" si="22">IF(W36=0,0,W36*W146)</f>
        <v>6861.0467626385289</v>
      </c>
      <c r="X9" s="87">
        <f t="shared" si="22"/>
        <v>6943.5590863715752</v>
      </c>
      <c r="Y9" s="87">
        <f t="shared" si="22"/>
        <v>7123.859289087829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899.57051346545347</v>
      </c>
      <c r="H10" s="87">
        <f t="shared" si="23"/>
        <v>1043.9773593113141</v>
      </c>
      <c r="I10" s="87">
        <f t="shared" si="23"/>
        <v>1027.9309625803237</v>
      </c>
      <c r="J10" s="87">
        <f t="shared" si="23"/>
        <v>1009.1852210669767</v>
      </c>
      <c r="K10" s="87">
        <f t="shared" si="23"/>
        <v>2150.6333824075837</v>
      </c>
      <c r="L10" s="87">
        <f t="shared" ref="L10" si="24">IF(L37=0,0,L37*L147)</f>
        <v>2254.9520601163167</v>
      </c>
      <c r="M10" s="87">
        <f t="shared" ref="M10:V10" si="25">IF(M37=0,0,M37*M147)</f>
        <v>2362.697271620123</v>
      </c>
      <c r="N10" s="87">
        <f t="shared" si="25"/>
        <v>2406.5517198229977</v>
      </c>
      <c r="O10" s="87">
        <f t="shared" si="25"/>
        <v>2525.0008326672796</v>
      </c>
      <c r="P10" s="87">
        <f t="shared" si="25"/>
        <v>2570.0286444691155</v>
      </c>
      <c r="Q10" s="87">
        <f t="shared" si="25"/>
        <v>2424.1453853451521</v>
      </c>
      <c r="R10" s="87">
        <f t="shared" si="25"/>
        <v>2390.479080377143</v>
      </c>
      <c r="S10" s="87">
        <f t="shared" si="25"/>
        <v>2231.0037412706088</v>
      </c>
      <c r="T10" s="87">
        <f t="shared" si="25"/>
        <v>2401.0494933130408</v>
      </c>
      <c r="U10" s="87">
        <f t="shared" si="25"/>
        <v>2516.0848998739575</v>
      </c>
      <c r="V10" s="87">
        <f t="shared" si="25"/>
        <v>2179.0668903393989</v>
      </c>
      <c r="W10" s="87">
        <f t="shared" ref="W10:Y10" si="26">IF(W37=0,0,W37*W147)</f>
        <v>2226.5397762854745</v>
      </c>
      <c r="X10" s="87">
        <f t="shared" si="26"/>
        <v>2275.3527544573171</v>
      </c>
      <c r="Y10" s="87">
        <f t="shared" si="26"/>
        <v>2367.9679990763989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4.3758065043009244</v>
      </c>
      <c r="N11" s="87">
        <f t="shared" si="29"/>
        <v>21.487021612814026</v>
      </c>
      <c r="O11" s="87">
        <f t="shared" si="29"/>
        <v>48.975230756483484</v>
      </c>
      <c r="P11" s="87">
        <f t="shared" si="29"/>
        <v>113.89552223828993</v>
      </c>
      <c r="Q11" s="87">
        <f t="shared" si="29"/>
        <v>278.6605527734643</v>
      </c>
      <c r="R11" s="87">
        <f t="shared" si="29"/>
        <v>492.83779348783304</v>
      </c>
      <c r="S11" s="87">
        <f t="shared" si="29"/>
        <v>636.17589132565593</v>
      </c>
      <c r="T11" s="87">
        <f t="shared" si="29"/>
        <v>945.43801094346645</v>
      </c>
      <c r="U11" s="87">
        <f t="shared" si="29"/>
        <v>1567.6512910028898</v>
      </c>
      <c r="V11" s="87">
        <f t="shared" si="29"/>
        <v>3558.7215490915105</v>
      </c>
      <c r="W11" s="87">
        <f t="shared" ref="W11:Y11" si="30">IF(W38=0,0,W38*W148)</f>
        <v>7985.5402503267705</v>
      </c>
      <c r="X11" s="87">
        <f t="shared" si="30"/>
        <v>12459.708293995011</v>
      </c>
      <c r="Y11" s="87">
        <f t="shared" si="30"/>
        <v>13889.143722248313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0.55386006716010183</v>
      </c>
      <c r="I12" s="87">
        <f t="shared" si="31"/>
        <v>0.77660082086964521</v>
      </c>
      <c r="J12" s="87">
        <f t="shared" si="31"/>
        <v>39.194594610647009</v>
      </c>
      <c r="K12" s="87">
        <f t="shared" si="31"/>
        <v>48.250199471769548</v>
      </c>
      <c r="L12" s="87">
        <f t="shared" ref="L12" si="32">IF(L39=0,0,L39*L149)</f>
        <v>71.237409461270005</v>
      </c>
      <c r="M12" s="87">
        <f t="shared" ref="M12:V12" si="33">IF(M39=0,0,M39*M149)</f>
        <v>137.45927620764252</v>
      </c>
      <c r="N12" s="87">
        <f t="shared" si="33"/>
        <v>220.34665958121792</v>
      </c>
      <c r="O12" s="87">
        <f t="shared" si="33"/>
        <v>365.59730966063529</v>
      </c>
      <c r="P12" s="87">
        <f t="shared" si="33"/>
        <v>547.03640815900894</v>
      </c>
      <c r="Q12" s="87">
        <f t="shared" si="33"/>
        <v>746.02974489524865</v>
      </c>
      <c r="R12" s="87">
        <f t="shared" si="33"/>
        <v>973.90654636563147</v>
      </c>
      <c r="S12" s="87">
        <f t="shared" si="33"/>
        <v>1410.0349694214042</v>
      </c>
      <c r="T12" s="87">
        <f t="shared" si="33"/>
        <v>2240.7098600704444</v>
      </c>
      <c r="U12" s="87">
        <f t="shared" si="33"/>
        <v>3583.4330899714728</v>
      </c>
      <c r="V12" s="87">
        <f t="shared" si="33"/>
        <v>7486.7375169156221</v>
      </c>
      <c r="W12" s="87">
        <f t="shared" ref="W12:Y12" si="34">IF(W39=0,0,W39*W149)</f>
        <v>17815.064252285425</v>
      </c>
      <c r="X12" s="87">
        <f t="shared" si="34"/>
        <v>25722.075823190309</v>
      </c>
      <c r="Y12" s="87">
        <f t="shared" si="34"/>
        <v>36005.669543169613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69000</v>
      </c>
      <c r="C13" s="116">
        <f t="shared" si="35"/>
        <v>68700</v>
      </c>
      <c r="D13" s="116">
        <f t="shared" si="35"/>
        <v>67500</v>
      </c>
      <c r="E13" s="116">
        <f t="shared" si="35"/>
        <v>67500</v>
      </c>
      <c r="F13" s="116">
        <f t="shared" si="35"/>
        <v>67806</v>
      </c>
      <c r="G13" s="116">
        <f t="shared" si="35"/>
        <v>67062</v>
      </c>
      <c r="H13" s="116">
        <f t="shared" si="35"/>
        <v>66184.000000000015</v>
      </c>
      <c r="I13" s="116">
        <f t="shared" si="35"/>
        <v>65387.000000000007</v>
      </c>
      <c r="J13" s="116">
        <f t="shared" si="35"/>
        <v>63592</v>
      </c>
      <c r="K13" s="116">
        <f t="shared" si="35"/>
        <v>62097</v>
      </c>
      <c r="L13" s="116">
        <f t="shared" ref="L13" si="36">SUM(L14:L18)</f>
        <v>61766.999999999985</v>
      </c>
      <c r="M13" s="116">
        <f t="shared" ref="M13:V13" si="37">SUM(M14:M18)</f>
        <v>61400.000000000015</v>
      </c>
      <c r="N13" s="116">
        <f t="shared" si="37"/>
        <v>59400.000000000007</v>
      </c>
      <c r="O13" s="116">
        <f t="shared" si="37"/>
        <v>60500</v>
      </c>
      <c r="P13" s="116">
        <f t="shared" si="37"/>
        <v>62200</v>
      </c>
      <c r="Q13" s="116">
        <f t="shared" si="37"/>
        <v>65099.999999999985</v>
      </c>
      <c r="R13" s="116">
        <f t="shared" si="37"/>
        <v>64400</v>
      </c>
      <c r="S13" s="116">
        <f t="shared" si="37"/>
        <v>62500.000000000015</v>
      </c>
      <c r="T13" s="116">
        <f t="shared" si="37"/>
        <v>62499.999999999993</v>
      </c>
      <c r="U13" s="116">
        <f t="shared" si="37"/>
        <v>61300.000000000007</v>
      </c>
      <c r="V13" s="116">
        <f t="shared" si="37"/>
        <v>34000</v>
      </c>
      <c r="W13" s="116">
        <f t="shared" ref="W13:Y13" si="38">SUM(W14:W18)</f>
        <v>34300.000000000007</v>
      </c>
      <c r="X13" s="116">
        <f t="shared" si="38"/>
        <v>46000</v>
      </c>
      <c r="Y13" s="116">
        <f t="shared" si="38"/>
        <v>50200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0</v>
      </c>
      <c r="C14" s="101">
        <f t="shared" si="39"/>
        <v>0</v>
      </c>
      <c r="D14" s="101">
        <f t="shared" si="39"/>
        <v>0</v>
      </c>
      <c r="E14" s="101">
        <f t="shared" si="39"/>
        <v>0</v>
      </c>
      <c r="F14" s="101">
        <f t="shared" si="39"/>
        <v>0</v>
      </c>
      <c r="G14" s="101">
        <f t="shared" si="39"/>
        <v>0</v>
      </c>
      <c r="H14" s="101">
        <f t="shared" si="39"/>
        <v>0</v>
      </c>
      <c r="I14" s="101">
        <f t="shared" si="39"/>
        <v>0</v>
      </c>
      <c r="J14" s="101">
        <f t="shared" si="39"/>
        <v>0</v>
      </c>
      <c r="K14" s="101">
        <f t="shared" si="39"/>
        <v>0</v>
      </c>
      <c r="L14" s="101">
        <f t="shared" ref="L14" si="40">IF(L41=0,0,L41*L151)</f>
        <v>0</v>
      </c>
      <c r="M14" s="101">
        <f t="shared" ref="M14:V14" si="41">IF(M41=0,0,M41*M151)</f>
        <v>0</v>
      </c>
      <c r="N14" s="101">
        <f t="shared" si="41"/>
        <v>0</v>
      </c>
      <c r="O14" s="101">
        <f t="shared" si="41"/>
        <v>0</v>
      </c>
      <c r="P14" s="101">
        <f t="shared" si="41"/>
        <v>0</v>
      </c>
      <c r="Q14" s="101">
        <f t="shared" si="41"/>
        <v>0</v>
      </c>
      <c r="R14" s="101">
        <f t="shared" si="41"/>
        <v>0</v>
      </c>
      <c r="S14" s="101">
        <f t="shared" si="41"/>
        <v>0</v>
      </c>
      <c r="T14" s="101">
        <f t="shared" si="41"/>
        <v>0</v>
      </c>
      <c r="U14" s="101">
        <f t="shared" si="41"/>
        <v>0</v>
      </c>
      <c r="V14" s="101">
        <f t="shared" si="41"/>
        <v>0</v>
      </c>
      <c r="W14" s="101">
        <f t="shared" ref="W14:Y14" si="42">IF(W41=0,0,W41*W151)</f>
        <v>0</v>
      </c>
      <c r="X14" s="101">
        <f t="shared" si="42"/>
        <v>0</v>
      </c>
      <c r="Y14" s="101">
        <f t="shared" si="42"/>
        <v>0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68210.811622031557</v>
      </c>
      <c r="C15" s="101">
        <f t="shared" si="43"/>
        <v>67622.497727220049</v>
      </c>
      <c r="D15" s="101">
        <f t="shared" si="43"/>
        <v>66087.09008697822</v>
      </c>
      <c r="E15" s="101">
        <f t="shared" si="43"/>
        <v>65808.639359260211</v>
      </c>
      <c r="F15" s="101">
        <f t="shared" si="43"/>
        <v>66137.737319668566</v>
      </c>
      <c r="G15" s="101">
        <f t="shared" si="43"/>
        <v>65631.887744843043</v>
      </c>
      <c r="H15" s="101">
        <f t="shared" si="43"/>
        <v>64376.383001156035</v>
      </c>
      <c r="I15" s="101">
        <f t="shared" si="43"/>
        <v>63591.163337618731</v>
      </c>
      <c r="J15" s="101">
        <f t="shared" si="43"/>
        <v>62311.360106752494</v>
      </c>
      <c r="K15" s="101">
        <f t="shared" si="43"/>
        <v>60668.905530879325</v>
      </c>
      <c r="L15" s="101">
        <f t="shared" ref="L15" si="44">IF(L42=0,0,L42*L152)</f>
        <v>60342.304294073205</v>
      </c>
      <c r="M15" s="101">
        <f t="shared" ref="M15:V15" si="45">IF(M42=0,0,M42*M152)</f>
        <v>60139.81035598179</v>
      </c>
      <c r="N15" s="101">
        <f t="shared" si="45"/>
        <v>58169.331710857863</v>
      </c>
      <c r="O15" s="101">
        <f t="shared" si="45"/>
        <v>59176.815890945545</v>
      </c>
      <c r="P15" s="101">
        <f t="shared" si="45"/>
        <v>61017.005757135274</v>
      </c>
      <c r="Q15" s="101">
        <f t="shared" si="45"/>
        <v>64222.374049198675</v>
      </c>
      <c r="R15" s="101">
        <f t="shared" si="45"/>
        <v>63387.962669961984</v>
      </c>
      <c r="S15" s="101">
        <f t="shared" si="45"/>
        <v>61360.872095021819</v>
      </c>
      <c r="T15" s="101">
        <f t="shared" si="45"/>
        <v>61365.664588267893</v>
      </c>
      <c r="U15" s="101">
        <f t="shared" si="45"/>
        <v>60090.31795873322</v>
      </c>
      <c r="V15" s="101">
        <f t="shared" si="45"/>
        <v>33205.617654858128</v>
      </c>
      <c r="W15" s="101">
        <f t="shared" ref="W15:Y15" si="46">IF(W42=0,0,W42*W152)</f>
        <v>33370.775731311733</v>
      </c>
      <c r="X15" s="101">
        <f t="shared" si="46"/>
        <v>44551.607066738674</v>
      </c>
      <c r="Y15" s="101">
        <f t="shared" si="46"/>
        <v>48316.334713538679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0</v>
      </c>
      <c r="C16" s="101">
        <f t="shared" si="47"/>
        <v>0</v>
      </c>
      <c r="D16" s="101">
        <f t="shared" si="47"/>
        <v>0</v>
      </c>
      <c r="E16" s="101">
        <f t="shared" si="47"/>
        <v>0</v>
      </c>
      <c r="F16" s="101">
        <f t="shared" si="47"/>
        <v>4.183504595186692</v>
      </c>
      <c r="G16" s="101">
        <f t="shared" si="47"/>
        <v>4.2604220896670881</v>
      </c>
      <c r="H16" s="101">
        <f t="shared" si="47"/>
        <v>4.2703731569861878</v>
      </c>
      <c r="I16" s="101">
        <f t="shared" si="47"/>
        <v>5.7047194766221212</v>
      </c>
      <c r="J16" s="101">
        <f t="shared" si="47"/>
        <v>7.9016630260241225</v>
      </c>
      <c r="K16" s="101">
        <f t="shared" si="47"/>
        <v>9.9069545770318488</v>
      </c>
      <c r="L16" s="101">
        <f t="shared" ref="L16" si="48">IF(L43=0,0,L43*L153)</f>
        <v>10.184370970225336</v>
      </c>
      <c r="M16" s="101">
        <f t="shared" ref="M16:V16" si="49">IF(M43=0,0,M43*M153)</f>
        <v>9.3771115743701028</v>
      </c>
      <c r="N16" s="101">
        <f t="shared" si="49"/>
        <v>8.3936989281543006</v>
      </c>
      <c r="O16" s="101">
        <f t="shared" si="49"/>
        <v>7.8440672457735809</v>
      </c>
      <c r="P16" s="101">
        <f t="shared" si="49"/>
        <v>7.7375347294618786</v>
      </c>
      <c r="Q16" s="101">
        <f t="shared" si="49"/>
        <v>7.8423829043774482</v>
      </c>
      <c r="R16" s="101">
        <f t="shared" si="49"/>
        <v>7.6305369586946821</v>
      </c>
      <c r="S16" s="101">
        <f t="shared" si="49"/>
        <v>6.9323593487689399</v>
      </c>
      <c r="T16" s="101">
        <f t="shared" si="49"/>
        <v>6.7649091654778193</v>
      </c>
      <c r="U16" s="101">
        <f t="shared" si="49"/>
        <v>7.0009062962836248</v>
      </c>
      <c r="V16" s="101">
        <f t="shared" si="49"/>
        <v>3.5324798316669228</v>
      </c>
      <c r="W16" s="101">
        <f t="shared" ref="W16:Y16" si="50">IF(W43=0,0,W43*W153)</f>
        <v>3.6220850208610642</v>
      </c>
      <c r="X16" s="101">
        <f t="shared" si="50"/>
        <v>3.7236239643405118</v>
      </c>
      <c r="Y16" s="101">
        <f t="shared" si="50"/>
        <v>2.4648491190774231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714.28082294634123</v>
      </c>
      <c r="C17" s="101">
        <f t="shared" si="51"/>
        <v>993.29370651129398</v>
      </c>
      <c r="D17" s="101">
        <f t="shared" si="51"/>
        <v>1315.0579199920901</v>
      </c>
      <c r="E17" s="101">
        <f t="shared" si="51"/>
        <v>1599.1293396293722</v>
      </c>
      <c r="F17" s="101">
        <f t="shared" si="51"/>
        <v>1579.541337132694</v>
      </c>
      <c r="G17" s="101">
        <f t="shared" si="51"/>
        <v>1347.5375565268723</v>
      </c>
      <c r="H17" s="101">
        <f t="shared" si="51"/>
        <v>1733.7716026911094</v>
      </c>
      <c r="I17" s="101">
        <f t="shared" si="51"/>
        <v>1722.7549650586491</v>
      </c>
      <c r="J17" s="101">
        <f t="shared" si="51"/>
        <v>1204.5054281691687</v>
      </c>
      <c r="K17" s="101">
        <f t="shared" si="51"/>
        <v>1351.0252556284966</v>
      </c>
      <c r="L17" s="101">
        <f t="shared" ref="L17" si="52">IF(L44=0,0,L44*L154)</f>
        <v>1353.7465324696268</v>
      </c>
      <c r="M17" s="101">
        <f t="shared" ref="M17:V17" si="53">IF(M44=0,0,M44*M154)</f>
        <v>1189.8401641061907</v>
      </c>
      <c r="N17" s="101">
        <f t="shared" si="53"/>
        <v>1165.5781463077185</v>
      </c>
      <c r="O17" s="101">
        <f t="shared" si="53"/>
        <v>1259.3406799887873</v>
      </c>
      <c r="P17" s="101">
        <f t="shared" si="53"/>
        <v>1109.4872533534624</v>
      </c>
      <c r="Q17" s="101">
        <f t="shared" si="53"/>
        <v>790.91207499815164</v>
      </c>
      <c r="R17" s="101">
        <f t="shared" si="53"/>
        <v>911.7388923332702</v>
      </c>
      <c r="S17" s="101">
        <f t="shared" si="53"/>
        <v>1033.4737922291442</v>
      </c>
      <c r="T17" s="101">
        <f t="shared" si="53"/>
        <v>1004.8920889469448</v>
      </c>
      <c r="U17" s="101">
        <f t="shared" si="53"/>
        <v>996.81300732347302</v>
      </c>
      <c r="V17" s="101">
        <f t="shared" si="53"/>
        <v>557.22280027296165</v>
      </c>
      <c r="W17" s="101">
        <f t="shared" ref="W17:Y17" si="54">IF(W44=0,0,W44*W154)</f>
        <v>501.36658657413335</v>
      </c>
      <c r="X17" s="101">
        <f t="shared" si="54"/>
        <v>646.35534012594292</v>
      </c>
      <c r="Y17" s="101">
        <f t="shared" si="54"/>
        <v>688.02423061326363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74.907555022101263</v>
      </c>
      <c r="C18" s="101">
        <f t="shared" si="55"/>
        <v>84.208566268658032</v>
      </c>
      <c r="D18" s="101">
        <f t="shared" si="55"/>
        <v>97.851993029690348</v>
      </c>
      <c r="E18" s="101">
        <f t="shared" si="55"/>
        <v>92.231301110410058</v>
      </c>
      <c r="F18" s="101">
        <f t="shared" si="55"/>
        <v>84.537838603547272</v>
      </c>
      <c r="G18" s="101">
        <f t="shared" si="55"/>
        <v>78.314276540417453</v>
      </c>
      <c r="H18" s="101">
        <f t="shared" si="55"/>
        <v>69.575022995872544</v>
      </c>
      <c r="I18" s="101">
        <f t="shared" si="55"/>
        <v>67.376977846007691</v>
      </c>
      <c r="J18" s="101">
        <f t="shared" si="55"/>
        <v>68.23280205231282</v>
      </c>
      <c r="K18" s="101">
        <f t="shared" si="55"/>
        <v>67.162258915142218</v>
      </c>
      <c r="L18" s="101">
        <f t="shared" ref="L18" si="56">IF(L45=0,0,L45*L155)</f>
        <v>60.764802486935373</v>
      </c>
      <c r="M18" s="101">
        <f t="shared" ref="M18:V18" si="57">IF(M45=0,0,M45*M155)</f>
        <v>60.972368337655105</v>
      </c>
      <c r="N18" s="101">
        <f t="shared" si="57"/>
        <v>56.69644390626155</v>
      </c>
      <c r="O18" s="101">
        <f t="shared" si="57"/>
        <v>55.999361819894517</v>
      </c>
      <c r="P18" s="101">
        <f t="shared" si="57"/>
        <v>65.769454781800206</v>
      </c>
      <c r="Q18" s="101">
        <f t="shared" si="57"/>
        <v>78.87149289878613</v>
      </c>
      <c r="R18" s="101">
        <f t="shared" si="57"/>
        <v>92.667900746055992</v>
      </c>
      <c r="S18" s="101">
        <f t="shared" si="57"/>
        <v>98.721753400276071</v>
      </c>
      <c r="T18" s="101">
        <f t="shared" si="57"/>
        <v>122.67841361967787</v>
      </c>
      <c r="U18" s="101">
        <f t="shared" si="57"/>
        <v>205.86812764702708</v>
      </c>
      <c r="V18" s="101">
        <f t="shared" si="57"/>
        <v>233.62706503724453</v>
      </c>
      <c r="W18" s="101">
        <f t="shared" ref="W18:Y18" si="58">IF(W45=0,0,W45*W155)</f>
        <v>424.23559709327634</v>
      </c>
      <c r="X18" s="101">
        <f t="shared" si="58"/>
        <v>798.3139691710436</v>
      </c>
      <c r="Y18" s="101">
        <f t="shared" si="58"/>
        <v>1193.1762067289797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336150.09774172684</v>
      </c>
      <c r="C19" s="29">
        <f t="shared" si="59"/>
        <v>347323.56632728939</v>
      </c>
      <c r="D19" s="29">
        <f t="shared" si="59"/>
        <v>348988.21102567954</v>
      </c>
      <c r="E19" s="29">
        <f t="shared" si="59"/>
        <v>352954.8829234608</v>
      </c>
      <c r="F19" s="29">
        <f t="shared" si="59"/>
        <v>375607.16485063726</v>
      </c>
      <c r="G19" s="29">
        <f t="shared" si="59"/>
        <v>385620.26094691042</v>
      </c>
      <c r="H19" s="29">
        <f t="shared" si="59"/>
        <v>409173.30618560099</v>
      </c>
      <c r="I19" s="29">
        <f t="shared" si="59"/>
        <v>427696.05750935618</v>
      </c>
      <c r="J19" s="29">
        <f t="shared" si="59"/>
        <v>434300.89566974842</v>
      </c>
      <c r="K19" s="29">
        <f t="shared" si="59"/>
        <v>399820.0814885794</v>
      </c>
      <c r="L19" s="29">
        <f t="shared" ref="L19" si="60">L20+L26</f>
        <v>419189.17393246293</v>
      </c>
      <c r="M19" s="29">
        <f t="shared" ref="M19:V19" si="61">M20+M26</f>
        <v>432087.94601782522</v>
      </c>
      <c r="N19" s="29">
        <f t="shared" si="61"/>
        <v>422611.73669213511</v>
      </c>
      <c r="O19" s="29">
        <f t="shared" si="61"/>
        <v>431576.59703807376</v>
      </c>
      <c r="P19" s="29">
        <f t="shared" si="61"/>
        <v>442524.10971106181</v>
      </c>
      <c r="Q19" s="29">
        <f t="shared" si="61"/>
        <v>450459.52478321694</v>
      </c>
      <c r="R19" s="29">
        <f t="shared" si="61"/>
        <v>465711.12637386838</v>
      </c>
      <c r="S19" s="29">
        <f t="shared" si="61"/>
        <v>482130.45382671879</v>
      </c>
      <c r="T19" s="29">
        <f t="shared" si="61"/>
        <v>477240.47572210687</v>
      </c>
      <c r="U19" s="29">
        <f t="shared" si="61"/>
        <v>489167.98892526084</v>
      </c>
      <c r="V19" s="29">
        <f t="shared" si="61"/>
        <v>485506.23084438138</v>
      </c>
      <c r="W19" s="29">
        <f t="shared" ref="W19:Y19" si="62">W20+W26</f>
        <v>500117.58089532715</v>
      </c>
      <c r="X19" s="29">
        <f t="shared" si="62"/>
        <v>497184.13339026709</v>
      </c>
      <c r="Y19" s="29">
        <f t="shared" si="62"/>
        <v>478582.97209693555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13490.067531187598</v>
      </c>
      <c r="C20" s="152">
        <f t="shared" si="63"/>
        <v>14333.633313246672</v>
      </c>
      <c r="D20" s="152">
        <f t="shared" si="63"/>
        <v>14471.810672826525</v>
      </c>
      <c r="E20" s="152">
        <f t="shared" si="63"/>
        <v>14952.329291233124</v>
      </c>
      <c r="F20" s="152">
        <f t="shared" si="63"/>
        <v>14703.918416240225</v>
      </c>
      <c r="G20" s="152">
        <f t="shared" si="63"/>
        <v>14824.145620085459</v>
      </c>
      <c r="H20" s="152">
        <f t="shared" si="63"/>
        <v>14709.528122566569</v>
      </c>
      <c r="I20" s="152">
        <f t="shared" si="63"/>
        <v>14536.709785564428</v>
      </c>
      <c r="J20" s="152">
        <f t="shared" si="63"/>
        <v>14320.670363409245</v>
      </c>
      <c r="K20" s="152">
        <f t="shared" si="63"/>
        <v>14525.699705326911</v>
      </c>
      <c r="L20" s="152">
        <f t="shared" ref="L20" si="64">SUM(L21:L25)</f>
        <v>14270.727401137201</v>
      </c>
      <c r="M20" s="152">
        <f t="shared" ref="M20:V20" si="65">SUM(M21:M25)</f>
        <v>14521.144537729377</v>
      </c>
      <c r="N20" s="152">
        <f t="shared" si="65"/>
        <v>14362.39305503636</v>
      </c>
      <c r="O20" s="152">
        <f t="shared" si="65"/>
        <v>14996.48146266372</v>
      </c>
      <c r="P20" s="152">
        <f t="shared" si="65"/>
        <v>15615.433615960372</v>
      </c>
      <c r="Q20" s="152">
        <f t="shared" si="65"/>
        <v>17362.214901543688</v>
      </c>
      <c r="R20" s="152">
        <f t="shared" si="65"/>
        <v>18517.782532627174</v>
      </c>
      <c r="S20" s="152">
        <f t="shared" si="65"/>
        <v>19110.284296751062</v>
      </c>
      <c r="T20" s="152">
        <f t="shared" si="65"/>
        <v>18669.475722106865</v>
      </c>
      <c r="U20" s="152">
        <f t="shared" si="65"/>
        <v>19874.988925260859</v>
      </c>
      <c r="V20" s="152">
        <f t="shared" si="65"/>
        <v>19092.230844381374</v>
      </c>
      <c r="W20" s="152">
        <f t="shared" ref="W20:Y20" si="66">SUM(W21:W25)</f>
        <v>20022.580895327144</v>
      </c>
      <c r="X20" s="152">
        <f t="shared" si="66"/>
        <v>20743.133390267107</v>
      </c>
      <c r="Y20" s="152">
        <f t="shared" si="66"/>
        <v>21299.972096935562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1134.0787049023315</v>
      </c>
      <c r="C21" s="87">
        <f t="shared" si="67"/>
        <v>1075.144084834878</v>
      </c>
      <c r="D21" s="87">
        <f t="shared" si="67"/>
        <v>1018.0529691475568</v>
      </c>
      <c r="E21" s="87">
        <f t="shared" si="67"/>
        <v>926.03862953238161</v>
      </c>
      <c r="F21" s="87">
        <f t="shared" si="67"/>
        <v>850.09997558836835</v>
      </c>
      <c r="G21" s="87">
        <f t="shared" si="67"/>
        <v>780.29506798091415</v>
      </c>
      <c r="H21" s="87">
        <f t="shared" si="67"/>
        <v>708.19081232848282</v>
      </c>
      <c r="I21" s="87">
        <f t="shared" si="67"/>
        <v>683.99782552279396</v>
      </c>
      <c r="J21" s="87">
        <f t="shared" si="67"/>
        <v>616.00723974604216</v>
      </c>
      <c r="K21" s="87">
        <f t="shared" si="67"/>
        <v>583.91521033767162</v>
      </c>
      <c r="L21" s="87">
        <f t="shared" ref="L21" si="68">IF(L48=0,0,L48*L158)</f>
        <v>552.86864328568424</v>
      </c>
      <c r="M21" s="87">
        <f t="shared" ref="M21:V21" si="69">IF(M48=0,0,M48*M158)</f>
        <v>540.18977860214432</v>
      </c>
      <c r="N21" s="87">
        <f t="shared" si="69"/>
        <v>507.75163031460738</v>
      </c>
      <c r="O21" s="87">
        <f t="shared" si="69"/>
        <v>498.56613725280693</v>
      </c>
      <c r="P21" s="87">
        <f t="shared" si="69"/>
        <v>497.7378863519798</v>
      </c>
      <c r="Q21" s="87">
        <f t="shared" si="69"/>
        <v>488.86530208749775</v>
      </c>
      <c r="R21" s="87">
        <f t="shared" si="69"/>
        <v>517.14832336602672</v>
      </c>
      <c r="S21" s="87">
        <f t="shared" si="69"/>
        <v>547.70317662005175</v>
      </c>
      <c r="T21" s="87">
        <f t="shared" si="69"/>
        <v>551.14369820227171</v>
      </c>
      <c r="U21" s="87">
        <f t="shared" si="69"/>
        <v>568.7583042170545</v>
      </c>
      <c r="V21" s="87">
        <f t="shared" si="69"/>
        <v>562.55157708383342</v>
      </c>
      <c r="W21" s="87">
        <f t="shared" ref="W21:Y21" si="70">IF(W48=0,0,W48*W158)</f>
        <v>620.93498045110698</v>
      </c>
      <c r="X21" s="87">
        <f t="shared" si="70"/>
        <v>651.39735576794362</v>
      </c>
      <c r="Y21" s="87">
        <f t="shared" si="70"/>
        <v>639.20819550441968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12352.169688375096</v>
      </c>
      <c r="C22" s="87">
        <f t="shared" si="71"/>
        <v>13254.708078606234</v>
      </c>
      <c r="D22" s="87">
        <f t="shared" si="71"/>
        <v>13450.118765344949</v>
      </c>
      <c r="E22" s="87">
        <f t="shared" si="71"/>
        <v>14022.888644346243</v>
      </c>
      <c r="F22" s="87">
        <f t="shared" si="71"/>
        <v>13850.573292669373</v>
      </c>
      <c r="G22" s="87">
        <f t="shared" si="71"/>
        <v>14040.855006012231</v>
      </c>
      <c r="H22" s="87">
        <f t="shared" si="71"/>
        <v>13939.214624997701</v>
      </c>
      <c r="I22" s="87">
        <f t="shared" si="71"/>
        <v>13775.679570155509</v>
      </c>
      <c r="J22" s="87">
        <f t="shared" si="71"/>
        <v>13604.982679633238</v>
      </c>
      <c r="K22" s="87">
        <f t="shared" si="71"/>
        <v>13829.513913952964</v>
      </c>
      <c r="L22" s="87">
        <f t="shared" ref="L22" si="72">IF(L49=0,0,L49*L159)</f>
        <v>13596.427732461752</v>
      </c>
      <c r="M22" s="87">
        <f t="shared" ref="M22:V22" si="73">IF(M49=0,0,M49*M159)</f>
        <v>13858.326936117604</v>
      </c>
      <c r="N22" s="87">
        <f t="shared" si="73"/>
        <v>13730.172935800692</v>
      </c>
      <c r="O22" s="87">
        <f t="shared" si="73"/>
        <v>14374.178970884004</v>
      </c>
      <c r="P22" s="87">
        <f t="shared" si="73"/>
        <v>14987.106693561016</v>
      </c>
      <c r="Q22" s="87">
        <f t="shared" si="73"/>
        <v>16741.930631400697</v>
      </c>
      <c r="R22" s="87">
        <f t="shared" si="73"/>
        <v>17853.432016583338</v>
      </c>
      <c r="S22" s="87">
        <f t="shared" si="73"/>
        <v>18385.42514845113</v>
      </c>
      <c r="T22" s="87">
        <f t="shared" si="73"/>
        <v>17923.904150705683</v>
      </c>
      <c r="U22" s="87">
        <f t="shared" si="73"/>
        <v>19088.537049937338</v>
      </c>
      <c r="V22" s="87">
        <f t="shared" si="73"/>
        <v>18301.516263114649</v>
      </c>
      <c r="W22" s="87">
        <f t="shared" ref="W22:Y22" si="74">IF(W49=0,0,W49*W159)</f>
        <v>19093.904207324624</v>
      </c>
      <c r="X22" s="87">
        <f t="shared" si="74"/>
        <v>19702.314869334772</v>
      </c>
      <c r="Y22" s="87">
        <f t="shared" si="74"/>
        <v>20224.8681619772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0</v>
      </c>
      <c r="C23" s="87">
        <f t="shared" si="75"/>
        <v>0</v>
      </c>
      <c r="D23" s="87">
        <f t="shared" si="75"/>
        <v>0</v>
      </c>
      <c r="E23" s="87">
        <f t="shared" si="75"/>
        <v>0</v>
      </c>
      <c r="F23" s="87">
        <f t="shared" si="75"/>
        <v>0</v>
      </c>
      <c r="G23" s="87">
        <f t="shared" si="75"/>
        <v>0</v>
      </c>
      <c r="H23" s="87">
        <f t="shared" si="75"/>
        <v>9.1034582797133279</v>
      </c>
      <c r="I23" s="87">
        <f t="shared" si="75"/>
        <v>13.548106592106864</v>
      </c>
      <c r="J23" s="87">
        <f t="shared" si="75"/>
        <v>26.111927480458196</v>
      </c>
      <c r="K23" s="87">
        <f t="shared" si="75"/>
        <v>33.505173496751169</v>
      </c>
      <c r="L23" s="87">
        <f t="shared" ref="L23" si="76">IF(L50=0,0,L50*L160)</f>
        <v>38.718722648603062</v>
      </c>
      <c r="M23" s="87">
        <f t="shared" ref="M23:V23" si="77">IF(M50=0,0,M50*M160)</f>
        <v>43.820542852474894</v>
      </c>
      <c r="N23" s="87">
        <f t="shared" si="77"/>
        <v>49.141388085265504</v>
      </c>
      <c r="O23" s="87">
        <f t="shared" si="77"/>
        <v>51.785534575172875</v>
      </c>
      <c r="P23" s="87">
        <f t="shared" si="77"/>
        <v>57.635159725445092</v>
      </c>
      <c r="Q23" s="87">
        <f t="shared" si="77"/>
        <v>61.772987834338508</v>
      </c>
      <c r="R23" s="87">
        <f t="shared" si="77"/>
        <v>63.955598831868066</v>
      </c>
      <c r="S23" s="87">
        <f t="shared" si="77"/>
        <v>66.992343053495745</v>
      </c>
      <c r="T23" s="87">
        <f t="shared" si="77"/>
        <v>67.222553898707361</v>
      </c>
      <c r="U23" s="87">
        <f t="shared" si="77"/>
        <v>71.35360845416669</v>
      </c>
      <c r="V23" s="87">
        <f t="shared" si="77"/>
        <v>73.206188984037141</v>
      </c>
      <c r="W23" s="87">
        <f t="shared" ref="W23:Y23" si="78">IF(W50=0,0,W50*W160)</f>
        <v>84.295474741998007</v>
      </c>
      <c r="X23" s="87">
        <f t="shared" si="78"/>
        <v>90.587962934332126</v>
      </c>
      <c r="Y23" s="87">
        <f t="shared" si="78"/>
        <v>91.606420924362752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</v>
      </c>
      <c r="F24" s="87">
        <f t="shared" si="79"/>
        <v>0</v>
      </c>
      <c r="G24" s="87">
        <f t="shared" si="79"/>
        <v>0</v>
      </c>
      <c r="H24" s="87">
        <f t="shared" si="79"/>
        <v>50.298847326335704</v>
      </c>
      <c r="I24" s="87">
        <f t="shared" si="79"/>
        <v>61.114124233661258</v>
      </c>
      <c r="J24" s="87">
        <f t="shared" si="79"/>
        <v>71.114834070728079</v>
      </c>
      <c r="K24" s="87">
        <f t="shared" si="79"/>
        <v>76.082460532567836</v>
      </c>
      <c r="L24" s="87">
        <f t="shared" ref="L24" si="80">IF(L51=0,0,L51*L161)</f>
        <v>79.119134054132061</v>
      </c>
      <c r="M24" s="87">
        <f t="shared" ref="M24:V24" si="81">IF(M51=0,0,M51*M161)</f>
        <v>73.811045004855004</v>
      </c>
      <c r="N24" s="87">
        <f t="shared" si="81"/>
        <v>66.377629132977404</v>
      </c>
      <c r="O24" s="87">
        <f t="shared" si="81"/>
        <v>62.340492972940098</v>
      </c>
      <c r="P24" s="87">
        <f t="shared" si="81"/>
        <v>61.270051038168361</v>
      </c>
      <c r="Q24" s="87">
        <f t="shared" si="81"/>
        <v>59.281989411521408</v>
      </c>
      <c r="R24" s="87">
        <f t="shared" si="81"/>
        <v>62.556130629894717</v>
      </c>
      <c r="S24" s="87">
        <f t="shared" si="81"/>
        <v>65.960570341483347</v>
      </c>
      <c r="T24" s="87">
        <f t="shared" si="81"/>
        <v>62.50184567720661</v>
      </c>
      <c r="U24" s="87">
        <f t="shared" si="81"/>
        <v>60.728348475120811</v>
      </c>
      <c r="V24" s="87">
        <f t="shared" si="81"/>
        <v>54.369778200620367</v>
      </c>
      <c r="W24" s="87">
        <f t="shared" ref="W24:Y24" si="82">IF(W51=0,0,W51*W161)</f>
        <v>51.735894942896394</v>
      </c>
      <c r="X24" s="87">
        <f t="shared" si="82"/>
        <v>46.838971739951482</v>
      </c>
      <c r="Y24" s="87">
        <f t="shared" si="82"/>
        <v>39.813685104739029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3.8191379101714227</v>
      </c>
      <c r="C25" s="87">
        <f t="shared" si="83"/>
        <v>3.7811498055600894</v>
      </c>
      <c r="D25" s="87">
        <f t="shared" si="83"/>
        <v>3.6389383340191919</v>
      </c>
      <c r="E25" s="87">
        <f t="shared" si="83"/>
        <v>3.4020173544973447</v>
      </c>
      <c r="F25" s="87">
        <f t="shared" si="83"/>
        <v>3.245147982485078</v>
      </c>
      <c r="G25" s="87">
        <f t="shared" si="83"/>
        <v>2.9955460923139023</v>
      </c>
      <c r="H25" s="87">
        <f t="shared" si="83"/>
        <v>2.7203796343356537</v>
      </c>
      <c r="I25" s="87">
        <f t="shared" si="83"/>
        <v>2.3701590603567473</v>
      </c>
      <c r="J25" s="87">
        <f t="shared" si="83"/>
        <v>2.4536824787775844</v>
      </c>
      <c r="K25" s="87">
        <f t="shared" si="83"/>
        <v>2.6829470069590102</v>
      </c>
      <c r="L25" s="87">
        <f t="shared" ref="L25" si="84">IF(L52=0,0,L52*L162)</f>
        <v>3.5931686870283985</v>
      </c>
      <c r="M25" s="87">
        <f t="shared" ref="M25:V25" si="85">IF(M52=0,0,M52*M162)</f>
        <v>4.9962351522983992</v>
      </c>
      <c r="N25" s="87">
        <f t="shared" si="85"/>
        <v>8.9494717028178155</v>
      </c>
      <c r="O25" s="87">
        <f t="shared" si="85"/>
        <v>9.6103269787956105</v>
      </c>
      <c r="P25" s="87">
        <f t="shared" si="85"/>
        <v>11.683825283762463</v>
      </c>
      <c r="Q25" s="87">
        <f t="shared" si="85"/>
        <v>10.363990809632554</v>
      </c>
      <c r="R25" s="87">
        <f t="shared" si="85"/>
        <v>20.690463216046478</v>
      </c>
      <c r="S25" s="87">
        <f t="shared" si="85"/>
        <v>44.203058284902134</v>
      </c>
      <c r="T25" s="87">
        <f t="shared" si="85"/>
        <v>64.703473622996995</v>
      </c>
      <c r="U25" s="87">
        <f t="shared" si="85"/>
        <v>85.611614177177231</v>
      </c>
      <c r="V25" s="87">
        <f t="shared" si="85"/>
        <v>100.58703699823778</v>
      </c>
      <c r="W25" s="87">
        <f t="shared" ref="W25:Y25" si="86">IF(W52=0,0,W52*W162)</f>
        <v>171.71033786652092</v>
      </c>
      <c r="X25" s="87">
        <f t="shared" si="86"/>
        <v>251.99423049010974</v>
      </c>
      <c r="Y25" s="87">
        <f t="shared" si="86"/>
        <v>304.47563342484011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322660.03021053923</v>
      </c>
      <c r="C26" s="116">
        <f t="shared" si="87"/>
        <v>332989.93301404273</v>
      </c>
      <c r="D26" s="116">
        <f t="shared" si="87"/>
        <v>334516.400352853</v>
      </c>
      <c r="E26" s="116">
        <f t="shared" si="87"/>
        <v>338002.5536322277</v>
      </c>
      <c r="F26" s="116">
        <f t="shared" si="87"/>
        <v>360903.24643439701</v>
      </c>
      <c r="G26" s="116">
        <f t="shared" si="87"/>
        <v>370796.11532682495</v>
      </c>
      <c r="H26" s="116">
        <f t="shared" si="87"/>
        <v>394463.77806303441</v>
      </c>
      <c r="I26" s="116">
        <f t="shared" si="87"/>
        <v>413159.34772379173</v>
      </c>
      <c r="J26" s="116">
        <f t="shared" si="87"/>
        <v>419980.22530633915</v>
      </c>
      <c r="K26" s="116">
        <f t="shared" si="87"/>
        <v>385294.38178325247</v>
      </c>
      <c r="L26" s="116">
        <f t="shared" ref="L26" si="88">SUM(L27:L28)</f>
        <v>404918.44653132575</v>
      </c>
      <c r="M26" s="116">
        <f t="shared" ref="M26:V26" si="89">SUM(M27:M28)</f>
        <v>417566.80148009583</v>
      </c>
      <c r="N26" s="116">
        <f t="shared" si="89"/>
        <v>408249.34363709873</v>
      </c>
      <c r="O26" s="116">
        <f t="shared" si="89"/>
        <v>416580.11557541002</v>
      </c>
      <c r="P26" s="116">
        <f t="shared" si="89"/>
        <v>426908.67609510146</v>
      </c>
      <c r="Q26" s="116">
        <f t="shared" si="89"/>
        <v>433097.30988167325</v>
      </c>
      <c r="R26" s="116">
        <f t="shared" si="89"/>
        <v>447193.34384124121</v>
      </c>
      <c r="S26" s="116">
        <f t="shared" si="89"/>
        <v>463020.16952996771</v>
      </c>
      <c r="T26" s="116">
        <f t="shared" si="89"/>
        <v>458571</v>
      </c>
      <c r="U26" s="116">
        <f t="shared" si="89"/>
        <v>469293</v>
      </c>
      <c r="V26" s="116">
        <f t="shared" si="89"/>
        <v>466414</v>
      </c>
      <c r="W26" s="116">
        <f t="shared" ref="W26:Y26" si="90">SUM(W27:W28)</f>
        <v>480095</v>
      </c>
      <c r="X26" s="116">
        <f t="shared" si="90"/>
        <v>476441</v>
      </c>
      <c r="Y26" s="116">
        <f t="shared" si="90"/>
        <v>457283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226528.99999999997</v>
      </c>
      <c r="C27" s="101">
        <f t="shared" si="91"/>
        <v>230016</v>
      </c>
      <c r="D27" s="101">
        <f t="shared" si="91"/>
        <v>225474</v>
      </c>
      <c r="E27" s="101">
        <f t="shared" si="91"/>
        <v>227205</v>
      </c>
      <c r="F27" s="101">
        <f t="shared" si="91"/>
        <v>232303</v>
      </c>
      <c r="G27" s="101">
        <f t="shared" si="91"/>
        <v>237617.00000000003</v>
      </c>
      <c r="H27" s="101">
        <f t="shared" si="91"/>
        <v>251379.00000000003</v>
      </c>
      <c r="I27" s="101">
        <f t="shared" si="91"/>
        <v>261440.00000000003</v>
      </c>
      <c r="J27" s="101">
        <f t="shared" si="91"/>
        <v>264545</v>
      </c>
      <c r="K27" s="101">
        <f t="shared" si="91"/>
        <v>245568</v>
      </c>
      <c r="L27" s="101">
        <f t="shared" ref="L27:V27" si="92">IF(L54=0,0,L54*L164)</f>
        <v>252462</v>
      </c>
      <c r="M27" s="101">
        <f t="shared" si="92"/>
        <v>265025</v>
      </c>
      <c r="N27" s="101">
        <f t="shared" si="92"/>
        <v>254499</v>
      </c>
      <c r="O27" s="101">
        <f t="shared" si="92"/>
        <v>256721</v>
      </c>
      <c r="P27" s="101">
        <f t="shared" si="92"/>
        <v>263032</v>
      </c>
      <c r="Q27" s="101">
        <f t="shared" si="92"/>
        <v>269650</v>
      </c>
      <c r="R27" s="101">
        <f t="shared" si="92"/>
        <v>271679</v>
      </c>
      <c r="S27" s="101">
        <f t="shared" si="92"/>
        <v>271666</v>
      </c>
      <c r="T27" s="101">
        <f t="shared" si="92"/>
        <v>276151</v>
      </c>
      <c r="U27" s="101">
        <f t="shared" si="92"/>
        <v>274037</v>
      </c>
      <c r="V27" s="101">
        <f t="shared" si="92"/>
        <v>269928</v>
      </c>
      <c r="W27" s="101">
        <f t="shared" ref="W27:Y27" si="93">IF(W54=0,0,W54*W164)</f>
        <v>272000</v>
      </c>
      <c r="X27" s="101">
        <f t="shared" si="93"/>
        <v>268557</v>
      </c>
      <c r="Y27" s="101">
        <f t="shared" si="93"/>
        <v>253595.99999999997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96131.030210539291</v>
      </c>
      <c r="C28" s="88">
        <f t="shared" si="94"/>
        <v>102973.93301404273</v>
      </c>
      <c r="D28" s="88">
        <f t="shared" si="94"/>
        <v>109042.400352853</v>
      </c>
      <c r="E28" s="88">
        <f t="shared" si="94"/>
        <v>110797.5536322277</v>
      </c>
      <c r="F28" s="88">
        <f t="shared" si="94"/>
        <v>128600.24643439701</v>
      </c>
      <c r="G28" s="88">
        <f t="shared" si="94"/>
        <v>133179.11532682495</v>
      </c>
      <c r="H28" s="88">
        <f t="shared" si="94"/>
        <v>143084.77806303441</v>
      </c>
      <c r="I28" s="88">
        <f t="shared" si="94"/>
        <v>151719.34772379167</v>
      </c>
      <c r="J28" s="88">
        <f t="shared" si="94"/>
        <v>155435.22530633915</v>
      </c>
      <c r="K28" s="88">
        <f t="shared" si="94"/>
        <v>139726.38178325247</v>
      </c>
      <c r="L28" s="88">
        <f t="shared" ref="L28:V28" si="95">IF(L55=0,0,L55*L165)</f>
        <v>152456.44653132575</v>
      </c>
      <c r="M28" s="88">
        <f t="shared" si="95"/>
        <v>152541.80148009583</v>
      </c>
      <c r="N28" s="88">
        <f t="shared" si="95"/>
        <v>153750.34363709873</v>
      </c>
      <c r="O28" s="88">
        <f t="shared" si="95"/>
        <v>159859.11557541002</v>
      </c>
      <c r="P28" s="88">
        <f t="shared" si="95"/>
        <v>163876.67609510146</v>
      </c>
      <c r="Q28" s="88">
        <f t="shared" si="95"/>
        <v>163447.30988167325</v>
      </c>
      <c r="R28" s="88">
        <f t="shared" si="95"/>
        <v>175514.34384124121</v>
      </c>
      <c r="S28" s="88">
        <f t="shared" si="95"/>
        <v>191354.16952996771</v>
      </c>
      <c r="T28" s="88">
        <f t="shared" si="95"/>
        <v>182420</v>
      </c>
      <c r="U28" s="88">
        <f t="shared" si="95"/>
        <v>195256</v>
      </c>
      <c r="V28" s="88">
        <f t="shared" si="95"/>
        <v>196486</v>
      </c>
      <c r="W28" s="88">
        <f t="shared" ref="W28:Y28" si="96">IF(W55=0,0,W55*W165)</f>
        <v>208095</v>
      </c>
      <c r="X28" s="88">
        <f t="shared" si="96"/>
        <v>207884</v>
      </c>
      <c r="Y28" s="88">
        <f t="shared" si="96"/>
        <v>203687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567331.37328760501</v>
      </c>
      <c r="C30" s="62">
        <f t="shared" ref="C30:V30" si="98">C31+C46</f>
        <v>577339.97945913079</v>
      </c>
      <c r="D30" s="62">
        <f t="shared" si="98"/>
        <v>580124.36410406162</v>
      </c>
      <c r="E30" s="62">
        <f t="shared" si="98"/>
        <v>564350.72716408304</v>
      </c>
      <c r="F30" s="62">
        <f t="shared" si="98"/>
        <v>574608.13605510397</v>
      </c>
      <c r="G30" s="62">
        <f t="shared" si="98"/>
        <v>559384.96924586012</v>
      </c>
      <c r="H30" s="62">
        <f t="shared" si="98"/>
        <v>553521.01673018583</v>
      </c>
      <c r="I30" s="62">
        <f t="shared" si="98"/>
        <v>544101.70248652122</v>
      </c>
      <c r="J30" s="62">
        <f t="shared" si="98"/>
        <v>542762.85096974054</v>
      </c>
      <c r="K30" s="62">
        <f t="shared" si="98"/>
        <v>542996.40834372782</v>
      </c>
      <c r="L30" s="62">
        <f t="shared" si="98"/>
        <v>539360.14500552451</v>
      </c>
      <c r="M30" s="62">
        <f t="shared" si="98"/>
        <v>554743.59638948995</v>
      </c>
      <c r="N30" s="62">
        <f t="shared" si="98"/>
        <v>544899.15963259805</v>
      </c>
      <c r="O30" s="62">
        <f t="shared" si="98"/>
        <v>565551.94006425922</v>
      </c>
      <c r="P30" s="62">
        <f t="shared" si="98"/>
        <v>596473.32874303625</v>
      </c>
      <c r="Q30" s="62">
        <f t="shared" si="98"/>
        <v>601636.32391869114</v>
      </c>
      <c r="R30" s="62">
        <f t="shared" si="98"/>
        <v>627561.9803639428</v>
      </c>
      <c r="S30" s="62">
        <f t="shared" si="98"/>
        <v>648503.13097276259</v>
      </c>
      <c r="T30" s="62">
        <f t="shared" si="98"/>
        <v>629623.61617231905</v>
      </c>
      <c r="U30" s="62">
        <f t="shared" si="98"/>
        <v>640006.49586469086</v>
      </c>
      <c r="V30" s="62">
        <f t="shared" si="98"/>
        <v>578140.55892976653</v>
      </c>
      <c r="W30" s="62">
        <f t="shared" ref="W30:Y30" si="99">W31+W46</f>
        <v>584758.55132413539</v>
      </c>
      <c r="X30" s="62">
        <f t="shared" si="99"/>
        <v>616816.21853377833</v>
      </c>
      <c r="Y30" s="62">
        <f t="shared" si="99"/>
        <v>626659.12299318635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504705.30505549017</v>
      </c>
      <c r="C31" s="29">
        <f t="shared" ref="C31:V31" si="101">C32+C33+C40</f>
        <v>511933.78868139593</v>
      </c>
      <c r="D31" s="29">
        <f t="shared" si="101"/>
        <v>515082.17910029186</v>
      </c>
      <c r="E31" s="29">
        <f t="shared" si="101"/>
        <v>498189.0579280926</v>
      </c>
      <c r="F31" s="29">
        <f t="shared" si="101"/>
        <v>507430.56374679017</v>
      </c>
      <c r="G31" s="29">
        <f t="shared" si="101"/>
        <v>491679.90843103221</v>
      </c>
      <c r="H31" s="29">
        <f t="shared" si="101"/>
        <v>484664.92416102142</v>
      </c>
      <c r="I31" s="29">
        <f t="shared" si="101"/>
        <v>474384.30906249309</v>
      </c>
      <c r="J31" s="29">
        <f t="shared" si="101"/>
        <v>472909.42071918305</v>
      </c>
      <c r="K31" s="29">
        <f t="shared" si="101"/>
        <v>475323.48719420977</v>
      </c>
      <c r="L31" s="29">
        <f t="shared" si="101"/>
        <v>471829.93823713507</v>
      </c>
      <c r="M31" s="29">
        <f t="shared" si="101"/>
        <v>485660.46182745264</v>
      </c>
      <c r="N31" s="29">
        <f t="shared" si="101"/>
        <v>477194.96956398949</v>
      </c>
      <c r="O31" s="29">
        <f t="shared" si="101"/>
        <v>495719.77376288734</v>
      </c>
      <c r="P31" s="29">
        <f t="shared" si="101"/>
        <v>524224.98590175575</v>
      </c>
      <c r="Q31" s="29">
        <f t="shared" si="101"/>
        <v>524224.11545995588</v>
      </c>
      <c r="R31" s="29">
        <f t="shared" si="101"/>
        <v>546223.51999172068</v>
      </c>
      <c r="S31" s="29">
        <f t="shared" si="101"/>
        <v>564853.75089879485</v>
      </c>
      <c r="T31" s="29">
        <f t="shared" si="101"/>
        <v>548101.49336358451</v>
      </c>
      <c r="U31" s="29">
        <f t="shared" si="101"/>
        <v>554707.41304907633</v>
      </c>
      <c r="V31" s="29">
        <f t="shared" si="101"/>
        <v>495590.59964334703</v>
      </c>
      <c r="W31" s="29">
        <f t="shared" ref="W31:Y31" si="102">W32+W33+W40</f>
        <v>499258.33723890973</v>
      </c>
      <c r="X31" s="29">
        <f t="shared" si="102"/>
        <v>529956.88932679198</v>
      </c>
      <c r="Y31" s="29">
        <f t="shared" si="102"/>
        <v>539882.93186407455</v>
      </c>
      <c r="DA31" s="173" t="s">
        <v>475</v>
      </c>
    </row>
    <row r="32" spans="1:105" ht="11.45" customHeight="1" x14ac:dyDescent="0.25">
      <c r="A32" s="136" t="s">
        <v>173</v>
      </c>
      <c r="B32" s="152">
        <v>9725.1198679991467</v>
      </c>
      <c r="C32" s="152">
        <v>9879.0628291156518</v>
      </c>
      <c r="D32" s="152">
        <v>10281.0216157904</v>
      </c>
      <c r="E32" s="152">
        <v>10172.061545131965</v>
      </c>
      <c r="F32" s="152">
        <v>10591.622287565455</v>
      </c>
      <c r="G32" s="152">
        <v>10751.3668424274</v>
      </c>
      <c r="H32" s="152">
        <v>11029.8</v>
      </c>
      <c r="I32" s="152">
        <v>9548</v>
      </c>
      <c r="J32" s="152">
        <v>9808.4</v>
      </c>
      <c r="K32" s="152">
        <v>10065.492386991393</v>
      </c>
      <c r="L32" s="152">
        <v>10032.084510250192</v>
      </c>
      <c r="M32" s="152">
        <v>10479.527019075982</v>
      </c>
      <c r="N32" s="152">
        <v>10441.355798847875</v>
      </c>
      <c r="O32" s="152">
        <v>10974.974822096687</v>
      </c>
      <c r="P32" s="152">
        <v>11487.996443100559</v>
      </c>
      <c r="Q32" s="152">
        <v>11341.678428277899</v>
      </c>
      <c r="R32" s="152">
        <v>11672.55004560899</v>
      </c>
      <c r="S32" s="152">
        <v>11003.726876463415</v>
      </c>
      <c r="T32" s="152">
        <v>10470.431714173012</v>
      </c>
      <c r="U32" s="152">
        <v>11338.080395682959</v>
      </c>
      <c r="V32" s="152">
        <v>9968.1379529041351</v>
      </c>
      <c r="W32" s="152">
        <v>10667.292480449425</v>
      </c>
      <c r="X32" s="152">
        <v>10810.736459277428</v>
      </c>
      <c r="Y32" s="152">
        <v>11653.996818148536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491291.57832086296</v>
      </c>
      <c r="C33" s="116">
        <f t="shared" ref="C33:V33" si="104">SUM(C34:C39)</f>
        <v>498382.75369566801</v>
      </c>
      <c r="D33" s="116">
        <f t="shared" si="104"/>
        <v>501194.49800494523</v>
      </c>
      <c r="E33" s="116">
        <f t="shared" si="104"/>
        <v>484412.68260940461</v>
      </c>
      <c r="F33" s="116">
        <f t="shared" si="104"/>
        <v>493222.99621306453</v>
      </c>
      <c r="G33" s="116">
        <f t="shared" si="104"/>
        <v>477361.5669211644</v>
      </c>
      <c r="H33" s="116">
        <f t="shared" si="104"/>
        <v>469995.40317548782</v>
      </c>
      <c r="I33" s="116">
        <f t="shared" si="104"/>
        <v>461412.30906249309</v>
      </c>
      <c r="J33" s="116">
        <f t="shared" si="104"/>
        <v>459806.02071918303</v>
      </c>
      <c r="K33" s="116">
        <f t="shared" si="104"/>
        <v>461910.68607715273</v>
      </c>
      <c r="L33" s="116">
        <f t="shared" si="104"/>
        <v>458272.91872120585</v>
      </c>
      <c r="M33" s="116">
        <f t="shared" si="104"/>
        <v>471494.67557769787</v>
      </c>
      <c r="N33" s="116">
        <f t="shared" si="104"/>
        <v>462871.46425666998</v>
      </c>
      <c r="O33" s="116">
        <f t="shared" si="104"/>
        <v>480614.79894079064</v>
      </c>
      <c r="P33" s="116">
        <f t="shared" si="104"/>
        <v>508496.98945865518</v>
      </c>
      <c r="Q33" s="116">
        <f t="shared" si="104"/>
        <v>508504.43703167798</v>
      </c>
      <c r="R33" s="116">
        <f t="shared" si="104"/>
        <v>530035.96994611167</v>
      </c>
      <c r="S33" s="116">
        <f t="shared" si="104"/>
        <v>549373.02402233146</v>
      </c>
      <c r="T33" s="116">
        <f t="shared" si="104"/>
        <v>533145.06164941145</v>
      </c>
      <c r="U33" s="116">
        <f t="shared" si="104"/>
        <v>538942.33265339339</v>
      </c>
      <c r="V33" s="116">
        <f t="shared" si="104"/>
        <v>481547.46169044287</v>
      </c>
      <c r="W33" s="116">
        <f t="shared" ref="W33:Y33" si="105">SUM(W34:W39)</f>
        <v>484594.04475846031</v>
      </c>
      <c r="X33" s="116">
        <f t="shared" si="105"/>
        <v>514970.15286751458</v>
      </c>
      <c r="Y33" s="116">
        <f t="shared" si="105"/>
        <v>523936.93504592596</v>
      </c>
      <c r="DA33" s="176" t="s">
        <v>477</v>
      </c>
    </row>
    <row r="34" spans="1:105" ht="11.45" customHeight="1" x14ac:dyDescent="0.25">
      <c r="A34" s="111" t="s">
        <v>110</v>
      </c>
      <c r="B34" s="87">
        <v>371577.49230106245</v>
      </c>
      <c r="C34" s="87">
        <v>363391.00722086371</v>
      </c>
      <c r="D34" s="87">
        <v>353939.53697374079</v>
      </c>
      <c r="E34" s="87">
        <v>329238.67591033177</v>
      </c>
      <c r="F34" s="87">
        <v>319421.35589348665</v>
      </c>
      <c r="G34" s="87">
        <v>298090.16158242512</v>
      </c>
      <c r="H34" s="87">
        <v>287407.00396473601</v>
      </c>
      <c r="I34" s="87">
        <v>273079.77768336504</v>
      </c>
      <c r="J34" s="87">
        <v>270587.21991465654</v>
      </c>
      <c r="K34" s="87">
        <v>264770.52516086819</v>
      </c>
      <c r="L34" s="87">
        <v>258372.29973629912</v>
      </c>
      <c r="M34" s="87">
        <v>260795.89195156714</v>
      </c>
      <c r="N34" s="87">
        <v>248690.03262675082</v>
      </c>
      <c r="O34" s="87">
        <v>251305.45907737958</v>
      </c>
      <c r="P34" s="87">
        <v>257046.0825913343</v>
      </c>
      <c r="Q34" s="87">
        <v>249901.92080211124</v>
      </c>
      <c r="R34" s="87">
        <v>253959.62008644213</v>
      </c>
      <c r="S34" s="87">
        <v>262592.61715324229</v>
      </c>
      <c r="T34" s="87">
        <v>256377.9072239284</v>
      </c>
      <c r="U34" s="87">
        <v>261007.25935627127</v>
      </c>
      <c r="V34" s="87">
        <v>237887.50042945007</v>
      </c>
      <c r="W34" s="87">
        <v>238715.88084858324</v>
      </c>
      <c r="X34" s="87">
        <v>250726.32799348899</v>
      </c>
      <c r="Y34" s="87">
        <v>253144.17648157958</v>
      </c>
      <c r="DA34" s="171" t="s">
        <v>478</v>
      </c>
    </row>
    <row r="35" spans="1:105" ht="11.45" customHeight="1" x14ac:dyDescent="0.25">
      <c r="A35" s="111" t="s">
        <v>111</v>
      </c>
      <c r="B35" s="87">
        <v>118763.26113859646</v>
      </c>
      <c r="C35" s="87">
        <v>134054.00459918822</v>
      </c>
      <c r="D35" s="87">
        <v>146124.96916006121</v>
      </c>
      <c r="E35" s="87">
        <v>154015.30419164052</v>
      </c>
      <c r="F35" s="87">
        <v>172274.53513355466</v>
      </c>
      <c r="G35" s="87">
        <v>177140.40101991387</v>
      </c>
      <c r="H35" s="87">
        <v>179602.91356261983</v>
      </c>
      <c r="I35" s="87">
        <v>183893.74995612702</v>
      </c>
      <c r="J35" s="87">
        <v>184352.93012537982</v>
      </c>
      <c r="K35" s="87">
        <v>190807.69434462715</v>
      </c>
      <c r="L35" s="87">
        <v>192971.65060451743</v>
      </c>
      <c r="M35" s="87">
        <v>203077.19218090357</v>
      </c>
      <c r="N35" s="87">
        <v>206218.61660493331</v>
      </c>
      <c r="O35" s="87">
        <v>220914.435954827</v>
      </c>
      <c r="P35" s="87">
        <v>242568.79490298379</v>
      </c>
      <c r="Q35" s="87">
        <v>250120.95139037512</v>
      </c>
      <c r="R35" s="87">
        <v>267531.1678067437</v>
      </c>
      <c r="S35" s="87">
        <v>278004.84661422292</v>
      </c>
      <c r="T35" s="87">
        <v>267893.4344222169</v>
      </c>
      <c r="U35" s="87">
        <v>268098.77720334654</v>
      </c>
      <c r="V35" s="87">
        <v>230936.82954051971</v>
      </c>
      <c r="W35" s="87">
        <v>224636.24840285291</v>
      </c>
      <c r="X35" s="87">
        <v>234599.26741026496</v>
      </c>
      <c r="Y35" s="87">
        <v>233521.48488299683</v>
      </c>
      <c r="DA35" s="171" t="s">
        <v>479</v>
      </c>
    </row>
    <row r="36" spans="1:105" ht="11.45" customHeight="1" x14ac:dyDescent="0.25">
      <c r="A36" s="111" t="s">
        <v>112</v>
      </c>
      <c r="B36" s="87">
        <v>950.82488120407845</v>
      </c>
      <c r="C36" s="87">
        <v>937.7418756160871</v>
      </c>
      <c r="D36" s="87">
        <v>1129.9918711431976</v>
      </c>
      <c r="E36" s="87">
        <v>1158.7025074322933</v>
      </c>
      <c r="F36" s="87">
        <v>1527.105186023213</v>
      </c>
      <c r="G36" s="87">
        <v>1614.3578618166096</v>
      </c>
      <c r="H36" s="87">
        <v>2399.2546477684255</v>
      </c>
      <c r="I36" s="87">
        <v>3874.0692754072502</v>
      </c>
      <c r="J36" s="87">
        <v>4295.4017735865382</v>
      </c>
      <c r="K36" s="87">
        <v>5143.9168454524115</v>
      </c>
      <c r="L36" s="87">
        <v>5689.7457088873507</v>
      </c>
      <c r="M36" s="87">
        <v>6260.0367833897963</v>
      </c>
      <c r="N36" s="87">
        <v>6552.158282552683</v>
      </c>
      <c r="O36" s="87">
        <v>6780.9909673408883</v>
      </c>
      <c r="P36" s="87">
        <v>7032.0764392468809</v>
      </c>
      <c r="Q36" s="87">
        <v>6528.8075477230268</v>
      </c>
      <c r="R36" s="87">
        <v>6314.6881631548385</v>
      </c>
      <c r="S36" s="87">
        <v>6071.9962160588311</v>
      </c>
      <c r="T36" s="87">
        <v>5448.5039972808781</v>
      </c>
      <c r="U36" s="87">
        <v>5104.1300419290192</v>
      </c>
      <c r="V36" s="87">
        <v>4337.2487229445233</v>
      </c>
      <c r="W36" s="87">
        <v>4165.3323135352903</v>
      </c>
      <c r="X36" s="87">
        <v>4329.2015716998985</v>
      </c>
      <c r="Y36" s="87">
        <v>4455.6388286185447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516.64645700881476</v>
      </c>
      <c r="H37" s="87">
        <v>585.91839077348709</v>
      </c>
      <c r="I37" s="87">
        <v>564.28341413644796</v>
      </c>
      <c r="J37" s="87">
        <v>549.02501316087489</v>
      </c>
      <c r="K37" s="87">
        <v>1162.3246728472195</v>
      </c>
      <c r="L37" s="87">
        <v>1201.0640083751562</v>
      </c>
      <c r="M37" s="87">
        <v>1284.0482631572877</v>
      </c>
      <c r="N37" s="87">
        <v>1281.2399640260801</v>
      </c>
      <c r="O37" s="87">
        <v>1385.3231395613432</v>
      </c>
      <c r="P37" s="87">
        <v>1470.176698302922</v>
      </c>
      <c r="Q37" s="87">
        <v>1370.8878929457367</v>
      </c>
      <c r="R37" s="87">
        <v>1380.3515787517395</v>
      </c>
      <c r="S37" s="87">
        <v>1407.5527171350493</v>
      </c>
      <c r="T37" s="87">
        <v>1468.6163357613209</v>
      </c>
      <c r="U37" s="87">
        <v>1548.818493529632</v>
      </c>
      <c r="V37" s="87">
        <v>1377.358611537655</v>
      </c>
      <c r="W37" s="87">
        <v>1351.7293203766108</v>
      </c>
      <c r="X37" s="87">
        <v>1418.6472093399821</v>
      </c>
      <c r="Y37" s="87">
        <v>1481.052577466327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2.3781069243403912</v>
      </c>
      <c r="N38" s="87">
        <v>11.439617346039954</v>
      </c>
      <c r="O38" s="87">
        <v>26.869900221238112</v>
      </c>
      <c r="P38" s="87">
        <v>65.153570640596939</v>
      </c>
      <c r="Q38" s="87">
        <v>157.58641389584704</v>
      </c>
      <c r="R38" s="87">
        <v>284.58288210668036</v>
      </c>
      <c r="S38" s="87">
        <v>401.36692191347851</v>
      </c>
      <c r="T38" s="87">
        <v>578.28283473048725</v>
      </c>
      <c r="U38" s="87">
        <v>964.99419039179031</v>
      </c>
      <c r="V38" s="87">
        <v>2249.4195994792822</v>
      </c>
      <c r="W38" s="87">
        <v>4848.010805997068</v>
      </c>
      <c r="X38" s="87">
        <v>7768.4351869572192</v>
      </c>
      <c r="Y38" s="87">
        <v>8687.0059547508445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0.31260959006736472</v>
      </c>
      <c r="I39" s="87">
        <v>0.42873345737162027</v>
      </c>
      <c r="J39" s="87">
        <v>21.443892399268538</v>
      </c>
      <c r="K39" s="87">
        <v>26.225053357794408</v>
      </c>
      <c r="L39" s="87">
        <v>38.158663126832074</v>
      </c>
      <c r="M39" s="87">
        <v>75.128291755677353</v>
      </c>
      <c r="N39" s="87">
        <v>117.97716106098997</v>
      </c>
      <c r="O39" s="87">
        <v>201.71990146061566</v>
      </c>
      <c r="P39" s="87">
        <v>314.7052561467093</v>
      </c>
      <c r="Q39" s="87">
        <v>424.28298462707363</v>
      </c>
      <c r="R39" s="87">
        <v>565.55942891256757</v>
      </c>
      <c r="S39" s="87">
        <v>894.64439975889161</v>
      </c>
      <c r="T39" s="87">
        <v>1378.3168354935506</v>
      </c>
      <c r="U39" s="87">
        <v>2218.3533679251209</v>
      </c>
      <c r="V39" s="87">
        <v>4759.104786511587</v>
      </c>
      <c r="W39" s="87">
        <v>10876.843067115244</v>
      </c>
      <c r="X39" s="87">
        <v>16128.273495763529</v>
      </c>
      <c r="Y39" s="87">
        <v>22647.57632051373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3688.606866628038</v>
      </c>
      <c r="C40" s="116">
        <f t="shared" ref="C40:V40" si="107">SUM(C41:C45)</f>
        <v>3671.9721566122771</v>
      </c>
      <c r="D40" s="116">
        <f t="shared" si="107"/>
        <v>3606.6594795562705</v>
      </c>
      <c r="E40" s="116">
        <f t="shared" si="107"/>
        <v>3604.3137735560399</v>
      </c>
      <c r="F40" s="116">
        <f t="shared" si="107"/>
        <v>3615.9452461602177</v>
      </c>
      <c r="G40" s="116">
        <f t="shared" si="107"/>
        <v>3566.9746674403941</v>
      </c>
      <c r="H40" s="116">
        <f t="shared" si="107"/>
        <v>3639.7209855336032</v>
      </c>
      <c r="I40" s="116">
        <f t="shared" si="107"/>
        <v>3424.0000000000005</v>
      </c>
      <c r="J40" s="116">
        <f t="shared" si="107"/>
        <v>3295</v>
      </c>
      <c r="K40" s="116">
        <f t="shared" si="107"/>
        <v>3347.3087300656521</v>
      </c>
      <c r="L40" s="116">
        <f t="shared" si="107"/>
        <v>3524.9350056790067</v>
      </c>
      <c r="M40" s="116">
        <f t="shared" si="107"/>
        <v>3686.2592306788129</v>
      </c>
      <c r="N40" s="116">
        <f t="shared" si="107"/>
        <v>3882.1495084716385</v>
      </c>
      <c r="O40" s="116">
        <f t="shared" si="107"/>
        <v>4129.9999999999991</v>
      </c>
      <c r="P40" s="116">
        <f t="shared" si="107"/>
        <v>4240.0000000000009</v>
      </c>
      <c r="Q40" s="116">
        <f t="shared" si="107"/>
        <v>4378</v>
      </c>
      <c r="R40" s="116">
        <f t="shared" si="107"/>
        <v>4515</v>
      </c>
      <c r="S40" s="116">
        <f t="shared" si="107"/>
        <v>4476.9999999999991</v>
      </c>
      <c r="T40" s="116">
        <f t="shared" si="107"/>
        <v>4486</v>
      </c>
      <c r="U40" s="116">
        <f t="shared" si="107"/>
        <v>4427</v>
      </c>
      <c r="V40" s="116">
        <f t="shared" si="107"/>
        <v>4075</v>
      </c>
      <c r="W40" s="116">
        <f t="shared" ref="W40:Y40" si="108">SUM(W41:W45)</f>
        <v>3997.0000000000005</v>
      </c>
      <c r="X40" s="116">
        <f t="shared" si="108"/>
        <v>4176.0000000000009</v>
      </c>
      <c r="Y40" s="116">
        <f t="shared" si="108"/>
        <v>4292</v>
      </c>
      <c r="DA40" s="176" t="s">
        <v>484</v>
      </c>
    </row>
    <row r="41" spans="1:105" ht="11.45" customHeight="1" x14ac:dyDescent="0.25">
      <c r="A41" s="111" t="s">
        <v>110</v>
      </c>
      <c r="B41" s="101">
        <v>0</v>
      </c>
      <c r="C41" s="101">
        <v>0</v>
      </c>
      <c r="D41" s="101">
        <v>0</v>
      </c>
      <c r="E41" s="101">
        <v>0</v>
      </c>
      <c r="F41" s="101">
        <v>0</v>
      </c>
      <c r="G41" s="101">
        <v>0</v>
      </c>
      <c r="H41" s="101">
        <v>0</v>
      </c>
      <c r="I41" s="101">
        <v>0</v>
      </c>
      <c r="J41" s="101">
        <v>0</v>
      </c>
      <c r="K41" s="101">
        <v>0</v>
      </c>
      <c r="L41" s="101">
        <v>0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0</v>
      </c>
      <c r="W41" s="101">
        <v>0</v>
      </c>
      <c r="X41" s="101">
        <v>0</v>
      </c>
      <c r="Y41" s="101">
        <v>0</v>
      </c>
      <c r="DA41" s="175" t="s">
        <v>485</v>
      </c>
    </row>
    <row r="42" spans="1:105" ht="11.45" customHeight="1" x14ac:dyDescent="0.25">
      <c r="A42" s="111" t="s">
        <v>111</v>
      </c>
      <c r="B42" s="101">
        <v>3646.4183786564809</v>
      </c>
      <c r="C42" s="101">
        <v>3614.3803320950365</v>
      </c>
      <c r="D42" s="101">
        <v>3531.1648879776185</v>
      </c>
      <c r="E42" s="101">
        <v>3513.9997816527957</v>
      </c>
      <c r="F42" s="101">
        <v>3526.9804567862548</v>
      </c>
      <c r="G42" s="101">
        <v>3490.9081292258925</v>
      </c>
      <c r="H42" s="101">
        <v>3540.3129484778242</v>
      </c>
      <c r="I42" s="101">
        <v>3329.9607455305568</v>
      </c>
      <c r="J42" s="101">
        <v>3228.6440362270328</v>
      </c>
      <c r="K42" s="101">
        <v>3270.3279889051114</v>
      </c>
      <c r="L42" s="101">
        <v>3443.6301055501044</v>
      </c>
      <c r="M42" s="101">
        <v>3610.6014829969236</v>
      </c>
      <c r="N42" s="101">
        <v>3801.7178873641506</v>
      </c>
      <c r="O42" s="101">
        <v>4039.6735475967785</v>
      </c>
      <c r="P42" s="101">
        <v>4159.3585918047202</v>
      </c>
      <c r="Q42" s="101">
        <v>4318.9793177786769</v>
      </c>
      <c r="R42" s="101">
        <v>4444.0473828397253</v>
      </c>
      <c r="S42" s="101">
        <v>4395.4019899106024</v>
      </c>
      <c r="T42" s="101">
        <v>4404.5819414875168</v>
      </c>
      <c r="U42" s="101">
        <v>4339.638460086655</v>
      </c>
      <c r="V42" s="101">
        <v>3979.7909395160841</v>
      </c>
      <c r="W42" s="101">
        <v>3888.7169270569384</v>
      </c>
      <c r="X42" s="101">
        <v>4044.5111111021902</v>
      </c>
      <c r="Y42" s="101">
        <v>4130.9503703288447</v>
      </c>
      <c r="DA42" s="175" t="s">
        <v>486</v>
      </c>
    </row>
    <row r="43" spans="1:105" ht="11.45" customHeight="1" x14ac:dyDescent="0.25">
      <c r="A43" s="111" t="s">
        <v>112</v>
      </c>
      <c r="B43" s="101">
        <v>0</v>
      </c>
      <c r="C43" s="101">
        <v>0</v>
      </c>
      <c r="D43" s="101">
        <v>0</v>
      </c>
      <c r="E43" s="101">
        <v>0</v>
      </c>
      <c r="F43" s="101">
        <v>0.22309712345890845</v>
      </c>
      <c r="G43" s="101">
        <v>0.22660847672968254</v>
      </c>
      <c r="H43" s="101">
        <v>0.23484477812676796</v>
      </c>
      <c r="I43" s="101">
        <v>0.29872848560041204</v>
      </c>
      <c r="J43" s="101">
        <v>0.40942224919407288</v>
      </c>
      <c r="K43" s="101">
        <v>0.53402959151106455</v>
      </c>
      <c r="L43" s="101">
        <v>0.58120429588240252</v>
      </c>
      <c r="M43" s="101">
        <v>0.56297172798252326</v>
      </c>
      <c r="N43" s="101">
        <v>0.54857902640055789</v>
      </c>
      <c r="O43" s="101">
        <v>0.53547103677760144</v>
      </c>
      <c r="P43" s="101">
        <v>0.5274460973138001</v>
      </c>
      <c r="Q43" s="101">
        <v>0.52740326198716547</v>
      </c>
      <c r="R43" s="101">
        <v>0.53496699329979014</v>
      </c>
      <c r="S43" s="101">
        <v>0.49657876487101671</v>
      </c>
      <c r="T43" s="101">
        <v>0.48555812026133599</v>
      </c>
      <c r="U43" s="101">
        <v>0.50559563089147808</v>
      </c>
      <c r="V43" s="101">
        <v>0.42337809747184446</v>
      </c>
      <c r="W43" s="101">
        <v>0.42208378508401384</v>
      </c>
      <c r="X43" s="101">
        <v>0.33804029728447782</v>
      </c>
      <c r="Y43" s="101">
        <v>0.21073968962311354</v>
      </c>
      <c r="DA43" s="175" t="s">
        <v>487</v>
      </c>
    </row>
    <row r="44" spans="1:105" ht="11.45" customHeight="1" x14ac:dyDescent="0.25">
      <c r="A44" s="111" t="s">
        <v>113</v>
      </c>
      <c r="B44" s="101">
        <v>38.184074611892754</v>
      </c>
      <c r="C44" s="101">
        <v>53.090929165177272</v>
      </c>
      <c r="D44" s="101">
        <v>70.266164641555903</v>
      </c>
      <c r="E44" s="101">
        <v>85.389094881832889</v>
      </c>
      <c r="F44" s="101">
        <v>84.23347475324482</v>
      </c>
      <c r="G44" s="101">
        <v>71.674455392858576</v>
      </c>
      <c r="H44" s="101">
        <v>95.346985471368583</v>
      </c>
      <c r="I44" s="101">
        <v>90.212320497359016</v>
      </c>
      <c r="J44" s="101">
        <v>62.411079787039426</v>
      </c>
      <c r="K44" s="101">
        <v>72.826362508727414</v>
      </c>
      <c r="L44" s="101">
        <v>77.2559544921845</v>
      </c>
      <c r="M44" s="101">
        <v>71.434190357798684</v>
      </c>
      <c r="N44" s="101">
        <v>76.177586326158135</v>
      </c>
      <c r="O44" s="101">
        <v>85.968215014110598</v>
      </c>
      <c r="P44" s="101">
        <v>75.630642350782651</v>
      </c>
      <c r="Q44" s="101">
        <v>53.189140773301204</v>
      </c>
      <c r="R44" s="101">
        <v>63.920824516843389</v>
      </c>
      <c r="S44" s="101">
        <v>74.029794684958063</v>
      </c>
      <c r="T44" s="101">
        <v>72.127134576255912</v>
      </c>
      <c r="U44" s="101">
        <v>71.988436923670719</v>
      </c>
      <c r="V44" s="101">
        <v>66.784791503303495</v>
      </c>
      <c r="W44" s="101">
        <v>58.4245552926184</v>
      </c>
      <c r="X44" s="101">
        <v>58.677823920998648</v>
      </c>
      <c r="Y44" s="101">
        <v>58.824701151237605</v>
      </c>
      <c r="DA44" s="175" t="s">
        <v>488</v>
      </c>
    </row>
    <row r="45" spans="1:105" ht="11.45" customHeight="1" x14ac:dyDescent="0.25">
      <c r="A45" s="111" t="s">
        <v>115</v>
      </c>
      <c r="B45" s="101">
        <v>4.0044133596643521</v>
      </c>
      <c r="C45" s="101">
        <v>4.500895352063349</v>
      </c>
      <c r="D45" s="101">
        <v>5.2284269370963976</v>
      </c>
      <c r="E45" s="101">
        <v>4.9248970214110432</v>
      </c>
      <c r="F45" s="101">
        <v>4.5082174972591877</v>
      </c>
      <c r="G45" s="101">
        <v>4.1654743449135223</v>
      </c>
      <c r="H45" s="101">
        <v>3.8262068062833965</v>
      </c>
      <c r="I45" s="101">
        <v>3.5282054864840156</v>
      </c>
      <c r="J45" s="101">
        <v>3.5354617367337204</v>
      </c>
      <c r="K45" s="101">
        <v>3.6203490603021922</v>
      </c>
      <c r="L45" s="101">
        <v>3.4677413408352238</v>
      </c>
      <c r="M45" s="101">
        <v>3.6605855961079761</v>
      </c>
      <c r="N45" s="101">
        <v>3.7054557549290084</v>
      </c>
      <c r="O45" s="101">
        <v>3.8227663523332951</v>
      </c>
      <c r="P45" s="101">
        <v>4.4833197471838089</v>
      </c>
      <c r="Q45" s="101">
        <v>5.3041381860351109</v>
      </c>
      <c r="R45" s="101">
        <v>6.4968256501310986</v>
      </c>
      <c r="S45" s="101">
        <v>7.0716366395685757</v>
      </c>
      <c r="T45" s="101">
        <v>8.8053658159659989</v>
      </c>
      <c r="U45" s="101">
        <v>14.867507358782854</v>
      </c>
      <c r="V45" s="101">
        <v>28.00089088314034</v>
      </c>
      <c r="W45" s="101">
        <v>49.436433865359348</v>
      </c>
      <c r="X45" s="101">
        <v>72.473024679527796</v>
      </c>
      <c r="Y45" s="101">
        <v>102.01418883029444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62626.068232114863</v>
      </c>
      <c r="C46" s="29">
        <f t="shared" ref="C46:V46" si="110">C47+C53</f>
        <v>65406.190777734897</v>
      </c>
      <c r="D46" s="29">
        <f t="shared" si="110"/>
        <v>65042.185003769759</v>
      </c>
      <c r="E46" s="29">
        <f t="shared" si="110"/>
        <v>66161.669235990455</v>
      </c>
      <c r="F46" s="29">
        <f t="shared" si="110"/>
        <v>67177.572308313771</v>
      </c>
      <c r="G46" s="29">
        <f t="shared" si="110"/>
        <v>67705.060814827913</v>
      </c>
      <c r="H46" s="29">
        <f t="shared" si="110"/>
        <v>68856.092569164466</v>
      </c>
      <c r="I46" s="29">
        <f t="shared" si="110"/>
        <v>69717.393424028167</v>
      </c>
      <c r="J46" s="29">
        <f t="shared" si="110"/>
        <v>69853.430250557474</v>
      </c>
      <c r="K46" s="29">
        <f t="shared" si="110"/>
        <v>67672.921149518079</v>
      </c>
      <c r="L46" s="29">
        <f t="shared" si="110"/>
        <v>67530.206768389471</v>
      </c>
      <c r="M46" s="29">
        <f t="shared" si="110"/>
        <v>69083.134562037259</v>
      </c>
      <c r="N46" s="29">
        <f t="shared" si="110"/>
        <v>67704.190068608616</v>
      </c>
      <c r="O46" s="29">
        <f t="shared" si="110"/>
        <v>69832.16630137185</v>
      </c>
      <c r="P46" s="29">
        <f t="shared" si="110"/>
        <v>72248.342841280522</v>
      </c>
      <c r="Q46" s="29">
        <f t="shared" si="110"/>
        <v>77412.208458735302</v>
      </c>
      <c r="R46" s="29">
        <f t="shared" si="110"/>
        <v>81338.460372222151</v>
      </c>
      <c r="S46" s="29">
        <f t="shared" si="110"/>
        <v>83649.380073967681</v>
      </c>
      <c r="T46" s="29">
        <f t="shared" si="110"/>
        <v>81522.122808734493</v>
      </c>
      <c r="U46" s="29">
        <f t="shared" si="110"/>
        <v>85299.082815614485</v>
      </c>
      <c r="V46" s="29">
        <f t="shared" si="110"/>
        <v>82549.959286419471</v>
      </c>
      <c r="W46" s="29">
        <f t="shared" ref="W46:Y46" si="111">W47+W53</f>
        <v>85500.214085225613</v>
      </c>
      <c r="X46" s="29">
        <f t="shared" si="111"/>
        <v>86859.329206986411</v>
      </c>
      <c r="Y46" s="29">
        <f t="shared" si="111"/>
        <v>86776.191129111859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31274.542802276548</v>
      </c>
      <c r="C47" s="152">
        <f t="shared" ref="C47:V47" si="113">SUM(C48:C52)</f>
        <v>33575.443080764671</v>
      </c>
      <c r="D47" s="152">
        <f t="shared" si="113"/>
        <v>33889.371961089666</v>
      </c>
      <c r="E47" s="152">
        <f t="shared" si="113"/>
        <v>35223.66739128004</v>
      </c>
      <c r="F47" s="152">
        <f t="shared" si="113"/>
        <v>34423.335828976109</v>
      </c>
      <c r="G47" s="152">
        <f t="shared" si="113"/>
        <v>34656.861678321817</v>
      </c>
      <c r="H47" s="152">
        <f t="shared" si="113"/>
        <v>34084.204216256134</v>
      </c>
      <c r="I47" s="152">
        <f t="shared" si="113"/>
        <v>33441.790469018211</v>
      </c>
      <c r="J47" s="152">
        <f t="shared" si="113"/>
        <v>32630.453893297181</v>
      </c>
      <c r="K47" s="152">
        <f t="shared" si="113"/>
        <v>33017.535114752427</v>
      </c>
      <c r="L47" s="152">
        <f t="shared" si="113"/>
        <v>31989.708685590987</v>
      </c>
      <c r="M47" s="152">
        <f t="shared" si="113"/>
        <v>32334.983551346031</v>
      </c>
      <c r="N47" s="152">
        <f t="shared" si="113"/>
        <v>31652.402906527892</v>
      </c>
      <c r="O47" s="152">
        <f t="shared" si="113"/>
        <v>33223.792945652443</v>
      </c>
      <c r="P47" s="152">
        <f t="shared" si="113"/>
        <v>34691.29575128782</v>
      </c>
      <c r="Q47" s="152">
        <f t="shared" si="113"/>
        <v>39182.032267686373</v>
      </c>
      <c r="R47" s="152">
        <f t="shared" si="113"/>
        <v>41942.690401799373</v>
      </c>
      <c r="S47" s="152">
        <f t="shared" si="113"/>
        <v>43137.967782293868</v>
      </c>
      <c r="T47" s="152">
        <f t="shared" si="113"/>
        <v>41457.018716974475</v>
      </c>
      <c r="U47" s="152">
        <f t="shared" si="113"/>
        <v>44293.755185846603</v>
      </c>
      <c r="V47" s="152">
        <f t="shared" si="113"/>
        <v>41642.434557425135</v>
      </c>
      <c r="W47" s="152">
        <f t="shared" ref="W47:Y47" si="114">SUM(W48:W52)</f>
        <v>43775.283912888437</v>
      </c>
      <c r="X47" s="152">
        <f t="shared" si="114"/>
        <v>45489.503984691371</v>
      </c>
      <c r="Y47" s="152">
        <f t="shared" si="114"/>
        <v>46665.054602328957</v>
      </c>
      <c r="DA47" s="174" t="s">
        <v>491</v>
      </c>
    </row>
    <row r="48" spans="1:105" ht="11.45" customHeight="1" x14ac:dyDescent="0.25">
      <c r="A48" s="111" t="s">
        <v>110</v>
      </c>
      <c r="B48" s="87">
        <v>3287.9850524365402</v>
      </c>
      <c r="C48" s="87">
        <v>3120.1719565421836</v>
      </c>
      <c r="D48" s="87">
        <v>2982.146686893685</v>
      </c>
      <c r="E48" s="87">
        <v>2716.7472347949838</v>
      </c>
      <c r="F48" s="87">
        <v>2503.7428766953285</v>
      </c>
      <c r="G48" s="87">
        <v>2297.8724591286086</v>
      </c>
      <c r="H48" s="87">
        <v>2070.6536734630963</v>
      </c>
      <c r="I48" s="87">
        <v>1988.7547444225474</v>
      </c>
      <c r="J48" s="87">
        <v>1759.2315134824883</v>
      </c>
      <c r="K48" s="87">
        <v>1656.4181841502714</v>
      </c>
      <c r="L48" s="87">
        <v>1560.1478387676864</v>
      </c>
      <c r="M48" s="87">
        <v>1525.4121409945803</v>
      </c>
      <c r="N48" s="87">
        <v>1424.6504323157649</v>
      </c>
      <c r="O48" s="87">
        <v>1400.1250701925042</v>
      </c>
      <c r="P48" s="87">
        <v>1404.4315213302382</v>
      </c>
      <c r="Q48" s="87">
        <v>1378.4575876095325</v>
      </c>
      <c r="R48" s="87">
        <v>1475.4721096511503</v>
      </c>
      <c r="S48" s="87">
        <v>1581.1888538353917</v>
      </c>
      <c r="T48" s="87">
        <v>1589.7092845802647</v>
      </c>
      <c r="U48" s="87">
        <v>1648.6994058002376</v>
      </c>
      <c r="V48" s="87">
        <v>1618.7826007168699</v>
      </c>
      <c r="W48" s="87">
        <v>1822.6353757908068</v>
      </c>
      <c r="X48" s="87">
        <v>1926.570742430782</v>
      </c>
      <c r="Y48" s="87">
        <v>1873.9420530600205</v>
      </c>
      <c r="DA48" s="171" t="s">
        <v>492</v>
      </c>
    </row>
    <row r="49" spans="1:105" ht="11.45" customHeight="1" x14ac:dyDescent="0.25">
      <c r="A49" s="111" t="s">
        <v>111</v>
      </c>
      <c r="B49" s="87">
        <v>27975.834402959426</v>
      </c>
      <c r="C49" s="87">
        <v>30444.649010441011</v>
      </c>
      <c r="D49" s="87">
        <v>30896.997248626845</v>
      </c>
      <c r="E49" s="87">
        <v>32497.354448675927</v>
      </c>
      <c r="F49" s="87">
        <v>31910.466956611821</v>
      </c>
      <c r="G49" s="87">
        <v>32350.561286592241</v>
      </c>
      <c r="H49" s="87">
        <v>31831.863983420008</v>
      </c>
      <c r="I49" s="87">
        <v>31226.220944908418</v>
      </c>
      <c r="J49" s="87">
        <v>30579.266219771744</v>
      </c>
      <c r="K49" s="87">
        <v>31034.334856961046</v>
      </c>
      <c r="L49" s="87">
        <v>30078.77249725744</v>
      </c>
      <c r="M49" s="87">
        <v>30458.568612954386</v>
      </c>
      <c r="N49" s="87">
        <v>29874.329752616475</v>
      </c>
      <c r="O49" s="87">
        <v>31472.90412532198</v>
      </c>
      <c r="P49" s="87">
        <v>32917.071428704206</v>
      </c>
      <c r="Q49" s="87">
        <v>37433.011514930207</v>
      </c>
      <c r="R49" s="87">
        <v>40051.465404474257</v>
      </c>
      <c r="S49" s="87">
        <v>41055.795125008146</v>
      </c>
      <c r="T49" s="87">
        <v>39321.788318415696</v>
      </c>
      <c r="U49" s="87">
        <v>42036.146866601783</v>
      </c>
      <c r="V49" s="87">
        <v>39395.133150190915</v>
      </c>
      <c r="W49" s="87">
        <v>41094.643288810119</v>
      </c>
      <c r="X49" s="87">
        <v>42475.564498772932</v>
      </c>
      <c r="Y49" s="87">
        <v>43577.369677171591</v>
      </c>
      <c r="DA49" s="171" t="s">
        <v>493</v>
      </c>
    </row>
    <row r="50" spans="1:105" ht="11.45" customHeight="1" x14ac:dyDescent="0.25">
      <c r="A50" s="111" t="s">
        <v>112</v>
      </c>
      <c r="B50" s="87">
        <v>0</v>
      </c>
      <c r="C50" s="87">
        <v>0</v>
      </c>
      <c r="D50" s="87">
        <v>0</v>
      </c>
      <c r="E50" s="87">
        <v>0</v>
      </c>
      <c r="F50" s="87">
        <v>0</v>
      </c>
      <c r="G50" s="87">
        <v>0</v>
      </c>
      <c r="H50" s="87">
        <v>26.986002981332266</v>
      </c>
      <c r="I50" s="87">
        <v>40.169637886586898</v>
      </c>
      <c r="J50" s="87">
        <v>76.486843804947512</v>
      </c>
      <c r="K50" s="87">
        <v>97.300184595426032</v>
      </c>
      <c r="L50" s="87">
        <v>111.00248311834041</v>
      </c>
      <c r="M50" s="87">
        <v>124.53478628349872</v>
      </c>
      <c r="N50" s="87">
        <v>139.18227734375864</v>
      </c>
      <c r="O50" s="87">
        <v>147.07939472031867</v>
      </c>
      <c r="P50" s="87">
        <v>163.38946979413319</v>
      </c>
      <c r="Q50" s="87">
        <v>174.18181128002155</v>
      </c>
      <c r="R50" s="87">
        <v>179.97070113855665</v>
      </c>
      <c r="S50" s="87">
        <v>188.13879693414501</v>
      </c>
      <c r="T50" s="87">
        <v>186.03297817140722</v>
      </c>
      <c r="U50" s="87">
        <v>195.73076474053221</v>
      </c>
      <c r="V50" s="87">
        <v>196.61233298114269</v>
      </c>
      <c r="W50" s="87">
        <v>227.77290541075232</v>
      </c>
      <c r="X50" s="87">
        <v>244.3765486593079</v>
      </c>
      <c r="Y50" s="87">
        <v>243.96920851275522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0</v>
      </c>
      <c r="F51" s="87">
        <v>0</v>
      </c>
      <c r="G51" s="87">
        <v>0</v>
      </c>
      <c r="H51" s="87">
        <v>147.04585461114982</v>
      </c>
      <c r="I51" s="87">
        <v>179.9745815736199</v>
      </c>
      <c r="J51" s="87">
        <v>208.56099861898764</v>
      </c>
      <c r="K51" s="87">
        <v>221.92640131110872</v>
      </c>
      <c r="L51" s="87">
        <v>229.66279489964285</v>
      </c>
      <c r="M51" s="87">
        <v>212.38885719055227</v>
      </c>
      <c r="N51" s="87">
        <v>189.0134597726215</v>
      </c>
      <c r="O51" s="87">
        <v>176.5929087272003</v>
      </c>
      <c r="P51" s="87">
        <v>173.46056329634234</v>
      </c>
      <c r="Q51" s="87">
        <v>167.15792215965803</v>
      </c>
      <c r="R51" s="87">
        <v>177.44670362346872</v>
      </c>
      <c r="S51" s="87">
        <v>188.22930371286924</v>
      </c>
      <c r="T51" s="87">
        <v>177.17083439800075</v>
      </c>
      <c r="U51" s="87">
        <v>172.00215944986687</v>
      </c>
      <c r="V51" s="87">
        <v>151.9828608689532</v>
      </c>
      <c r="W51" s="87">
        <v>146.66911856081452</v>
      </c>
      <c r="X51" s="87">
        <v>133.63496988773898</v>
      </c>
      <c r="Y51" s="87">
        <v>113.04205204575214</v>
      </c>
      <c r="DA51" s="171" t="s">
        <v>495</v>
      </c>
    </row>
    <row r="52" spans="1:105" ht="11.45" customHeight="1" x14ac:dyDescent="0.25">
      <c r="A52" s="111" t="s">
        <v>115</v>
      </c>
      <c r="B52" s="87">
        <v>10.723346880584311</v>
      </c>
      <c r="C52" s="87">
        <v>10.62211378148168</v>
      </c>
      <c r="D52" s="87">
        <v>10.228025569138383</v>
      </c>
      <c r="E52" s="87">
        <v>9.5657078091324017</v>
      </c>
      <c r="F52" s="87">
        <v>9.1259956689632276</v>
      </c>
      <c r="G52" s="87">
        <v>8.4279326009646667</v>
      </c>
      <c r="H52" s="87">
        <v>7.6547017805460289</v>
      </c>
      <c r="I52" s="87">
        <v>6.6705602270364643</v>
      </c>
      <c r="J52" s="87">
        <v>6.9083176190117044</v>
      </c>
      <c r="K52" s="87">
        <v>7.5554877345694313</v>
      </c>
      <c r="L52" s="87">
        <v>10.123071547876952</v>
      </c>
      <c r="M52" s="87">
        <v>14.079153923015708</v>
      </c>
      <c r="N52" s="87">
        <v>25.226984479273586</v>
      </c>
      <c r="O52" s="87">
        <v>27.091446690435699</v>
      </c>
      <c r="P52" s="87">
        <v>32.942768162893096</v>
      </c>
      <c r="Q52" s="87">
        <v>29.223431706954059</v>
      </c>
      <c r="R52" s="87">
        <v>58.335482911943913</v>
      </c>
      <c r="S52" s="87">
        <v>124.61570280331729</v>
      </c>
      <c r="T52" s="87">
        <v>182.31730140911142</v>
      </c>
      <c r="U52" s="87">
        <v>241.17598925418196</v>
      </c>
      <c r="V52" s="87">
        <v>279.92361266724913</v>
      </c>
      <c r="W52" s="87">
        <v>483.56322431593799</v>
      </c>
      <c r="X52" s="87">
        <v>709.35722494060383</v>
      </c>
      <c r="Y52" s="87">
        <v>856.73161153883859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31351.525429838315</v>
      </c>
      <c r="C53" s="116">
        <f t="shared" ref="C53:V53" si="116">SUM(C54:C55)</f>
        <v>31830.747696970226</v>
      </c>
      <c r="D53" s="116">
        <f t="shared" si="116"/>
        <v>31152.813042680093</v>
      </c>
      <c r="E53" s="116">
        <f t="shared" si="116"/>
        <v>30938.001844710416</v>
      </c>
      <c r="F53" s="116">
        <f t="shared" si="116"/>
        <v>32754.236479337658</v>
      </c>
      <c r="G53" s="116">
        <f t="shared" si="116"/>
        <v>33048.199136506097</v>
      </c>
      <c r="H53" s="116">
        <f t="shared" si="116"/>
        <v>34771.88835290834</v>
      </c>
      <c r="I53" s="116">
        <f t="shared" si="116"/>
        <v>36275.602955009956</v>
      </c>
      <c r="J53" s="116">
        <f t="shared" si="116"/>
        <v>37222.976357260297</v>
      </c>
      <c r="K53" s="116">
        <f t="shared" si="116"/>
        <v>34655.386034765645</v>
      </c>
      <c r="L53" s="116">
        <f t="shared" si="116"/>
        <v>35540.498082798476</v>
      </c>
      <c r="M53" s="116">
        <f t="shared" si="116"/>
        <v>36748.151010691225</v>
      </c>
      <c r="N53" s="116">
        <f t="shared" si="116"/>
        <v>36051.787162080727</v>
      </c>
      <c r="O53" s="116">
        <f t="shared" si="116"/>
        <v>36608.373355719399</v>
      </c>
      <c r="P53" s="116">
        <f t="shared" si="116"/>
        <v>37557.047089992702</v>
      </c>
      <c r="Q53" s="116">
        <f t="shared" si="116"/>
        <v>38230.176191048929</v>
      </c>
      <c r="R53" s="116">
        <f t="shared" si="116"/>
        <v>39395.769970422785</v>
      </c>
      <c r="S53" s="116">
        <f t="shared" si="116"/>
        <v>40511.41229167382</v>
      </c>
      <c r="T53" s="116">
        <f t="shared" si="116"/>
        <v>40065.104091760018</v>
      </c>
      <c r="U53" s="116">
        <f t="shared" si="116"/>
        <v>41005.327629767882</v>
      </c>
      <c r="V53" s="116">
        <f t="shared" si="116"/>
        <v>40907.524728994344</v>
      </c>
      <c r="W53" s="116">
        <f t="shared" ref="W53:Y53" si="117">SUM(W54:W55)</f>
        <v>41724.930172337175</v>
      </c>
      <c r="X53" s="116">
        <f t="shared" si="117"/>
        <v>41369.82522229504</v>
      </c>
      <c r="Y53" s="116">
        <f t="shared" si="117"/>
        <v>40111.136526782895</v>
      </c>
      <c r="DA53" s="176" t="s">
        <v>497</v>
      </c>
    </row>
    <row r="54" spans="1:105" ht="11.45" customHeight="1" x14ac:dyDescent="0.25">
      <c r="A54" s="128" t="s">
        <v>27</v>
      </c>
      <c r="B54" s="101">
        <v>24609</v>
      </c>
      <c r="C54" s="101">
        <v>24602</v>
      </c>
      <c r="D54" s="101">
        <v>23548</v>
      </c>
      <c r="E54" s="101">
        <v>23165</v>
      </c>
      <c r="F54" s="101">
        <v>23564</v>
      </c>
      <c r="G54" s="101">
        <v>23535</v>
      </c>
      <c r="H54" s="101">
        <v>24616</v>
      </c>
      <c r="I54" s="101">
        <v>25527</v>
      </c>
      <c r="J54" s="101">
        <v>26053</v>
      </c>
      <c r="K54" s="101">
        <v>24480</v>
      </c>
      <c r="L54" s="101">
        <v>24788</v>
      </c>
      <c r="M54" s="101">
        <v>25955</v>
      </c>
      <c r="N54" s="101">
        <v>25137</v>
      </c>
      <c r="O54" s="101">
        <v>25275</v>
      </c>
      <c r="P54" s="101">
        <v>25966</v>
      </c>
      <c r="Q54" s="101">
        <v>26560</v>
      </c>
      <c r="R54" s="101">
        <v>26799</v>
      </c>
      <c r="S54" s="101">
        <v>26855</v>
      </c>
      <c r="T54" s="101">
        <v>27170</v>
      </c>
      <c r="U54" s="101">
        <v>27120</v>
      </c>
      <c r="V54" s="101">
        <v>26733</v>
      </c>
      <c r="W54" s="101">
        <v>26910</v>
      </c>
      <c r="X54" s="101">
        <v>26514</v>
      </c>
      <c r="Y54" s="101">
        <v>25391</v>
      </c>
      <c r="DA54" s="175" t="s">
        <v>498</v>
      </c>
    </row>
    <row r="55" spans="1:105" ht="11.45" customHeight="1" x14ac:dyDescent="0.25">
      <c r="A55" s="138" t="s">
        <v>116</v>
      </c>
      <c r="B55" s="88">
        <v>6742.5254298383161</v>
      </c>
      <c r="C55" s="88">
        <v>7228.7476969702248</v>
      </c>
      <c r="D55" s="88">
        <v>7604.8130426800908</v>
      </c>
      <c r="E55" s="88">
        <v>7773.0018447104148</v>
      </c>
      <c r="F55" s="88">
        <v>9190.2364793376582</v>
      </c>
      <c r="G55" s="88">
        <v>9513.1991365060931</v>
      </c>
      <c r="H55" s="88">
        <v>10155.888352908336</v>
      </c>
      <c r="I55" s="88">
        <v>10748.602955009957</v>
      </c>
      <c r="J55" s="88">
        <v>11169.976357260295</v>
      </c>
      <c r="K55" s="88">
        <v>10175.386034765646</v>
      </c>
      <c r="L55" s="88">
        <v>10752.498082798476</v>
      </c>
      <c r="M55" s="88">
        <v>10793.151010691223</v>
      </c>
      <c r="N55" s="88">
        <v>10914.787162080724</v>
      </c>
      <c r="O55" s="88">
        <v>11333.373355719397</v>
      </c>
      <c r="P55" s="88">
        <v>11591.047089992699</v>
      </c>
      <c r="Q55" s="88">
        <v>11670.176191048928</v>
      </c>
      <c r="R55" s="88">
        <v>12596.769970422787</v>
      </c>
      <c r="S55" s="88">
        <v>13656.412291673822</v>
      </c>
      <c r="T55" s="88">
        <v>12895.10409176002</v>
      </c>
      <c r="U55" s="88">
        <v>13885.327629767886</v>
      </c>
      <c r="V55" s="88">
        <v>14174.524728994344</v>
      </c>
      <c r="W55" s="88">
        <v>14814.930172337175</v>
      </c>
      <c r="X55" s="88">
        <v>14855.82522229504</v>
      </c>
      <c r="Y55" s="88">
        <v>14720.136526782897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45226814</v>
      </c>
      <c r="C57" s="54">
        <f t="shared" si="118"/>
        <v>45701783</v>
      </c>
      <c r="D57" s="54">
        <f t="shared" si="118"/>
        <v>46098042</v>
      </c>
      <c r="E57" s="54">
        <f t="shared" si="118"/>
        <v>46440122</v>
      </c>
      <c r="F57" s="54">
        <f t="shared" si="118"/>
        <v>46677105</v>
      </c>
      <c r="G57" s="54">
        <f t="shared" si="118"/>
        <v>47230960</v>
      </c>
      <c r="H57" s="54">
        <f t="shared" si="118"/>
        <v>47711863</v>
      </c>
      <c r="I57" s="54">
        <f t="shared" si="118"/>
        <v>47632110</v>
      </c>
      <c r="J57" s="54">
        <f t="shared" si="118"/>
        <v>47640775</v>
      </c>
      <c r="K57" s="54">
        <f t="shared" si="118"/>
        <v>48196524</v>
      </c>
      <c r="L57" s="54">
        <f t="shared" ref="L57" si="119">L58+L73</f>
        <v>48897087</v>
      </c>
      <c r="M57" s="54">
        <f t="shared" ref="M57:V57" si="120">M58+M73</f>
        <v>49699211</v>
      </c>
      <c r="N57" s="54">
        <f t="shared" si="120"/>
        <v>50331619</v>
      </c>
      <c r="O57" s="54">
        <f t="shared" si="120"/>
        <v>50876430</v>
      </c>
      <c r="P57" s="54">
        <f t="shared" si="120"/>
        <v>51591320</v>
      </c>
      <c r="Q57" s="54">
        <f t="shared" si="120"/>
        <v>52439595</v>
      </c>
      <c r="R57" s="54">
        <f t="shared" si="120"/>
        <v>53403266</v>
      </c>
      <c r="S57" s="54">
        <f t="shared" si="120"/>
        <v>54286326</v>
      </c>
      <c r="T57" s="54">
        <f t="shared" si="120"/>
        <v>55102144</v>
      </c>
      <c r="U57" s="54">
        <f t="shared" si="120"/>
        <v>55955439</v>
      </c>
      <c r="V57" s="54">
        <f t="shared" si="120"/>
        <v>56804068</v>
      </c>
      <c r="W57" s="54">
        <f t="shared" ref="W57:Y57" si="121">W58+W73</f>
        <v>57387887</v>
      </c>
      <c r="X57" s="54">
        <f t="shared" si="121"/>
        <v>57855236</v>
      </c>
      <c r="Y57" s="54">
        <f t="shared" si="121"/>
        <v>58388064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42555593</v>
      </c>
      <c r="C58" s="28">
        <f t="shared" si="122"/>
        <v>43031852</v>
      </c>
      <c r="D58" s="28">
        <f t="shared" si="122"/>
        <v>43463864</v>
      </c>
      <c r="E58" s="28">
        <f t="shared" si="122"/>
        <v>43848962</v>
      </c>
      <c r="F58" s="28">
        <f t="shared" si="122"/>
        <v>44092985</v>
      </c>
      <c r="G58" s="28">
        <f t="shared" si="122"/>
        <v>44646404</v>
      </c>
      <c r="H58" s="28">
        <f t="shared" si="122"/>
        <v>45072249</v>
      </c>
      <c r="I58" s="28">
        <f t="shared" si="122"/>
        <v>45072457</v>
      </c>
      <c r="J58" s="28">
        <f t="shared" si="122"/>
        <v>45055031</v>
      </c>
      <c r="K58" s="28">
        <f t="shared" si="122"/>
        <v>45576621</v>
      </c>
      <c r="L58" s="28">
        <f t="shared" ref="L58" si="123">L59+L60+L67</f>
        <v>46205920</v>
      </c>
      <c r="M58" s="28">
        <f t="shared" ref="M58:V58" si="124">M59+M60+M67</f>
        <v>46912060</v>
      </c>
      <c r="N58" s="28">
        <f t="shared" si="124"/>
        <v>47490001</v>
      </c>
      <c r="O58" s="28">
        <f t="shared" si="124"/>
        <v>47982740</v>
      </c>
      <c r="P58" s="28">
        <f t="shared" si="124"/>
        <v>48625893</v>
      </c>
      <c r="Q58" s="28">
        <f t="shared" si="124"/>
        <v>49377583</v>
      </c>
      <c r="R58" s="28">
        <f t="shared" si="124"/>
        <v>50197002</v>
      </c>
      <c r="S58" s="28">
        <f t="shared" si="124"/>
        <v>50927010</v>
      </c>
      <c r="T58" s="28">
        <f t="shared" si="124"/>
        <v>51614903</v>
      </c>
      <c r="U58" s="28">
        <f t="shared" si="124"/>
        <v>52303751</v>
      </c>
      <c r="V58" s="28">
        <f t="shared" si="124"/>
        <v>52985693</v>
      </c>
      <c r="W58" s="28">
        <f t="shared" ref="W58:Y58" si="125">W59+W60+W67</f>
        <v>53401957</v>
      </c>
      <c r="X58" s="28">
        <f t="shared" si="125"/>
        <v>53759067</v>
      </c>
      <c r="Y58" s="28">
        <f t="shared" si="125"/>
        <v>54175892</v>
      </c>
      <c r="DA58" s="173" t="s">
        <v>501</v>
      </c>
    </row>
    <row r="59" spans="1:105" ht="11.45" customHeight="1" x14ac:dyDescent="0.25">
      <c r="A59" s="136" t="s">
        <v>173</v>
      </c>
      <c r="B59" s="137">
        <v>3410000</v>
      </c>
      <c r="C59" s="137">
        <v>3557000</v>
      </c>
      <c r="D59" s="137">
        <v>3657000</v>
      </c>
      <c r="E59" s="137">
        <v>3745000</v>
      </c>
      <c r="F59" s="137">
        <v>3828000</v>
      </c>
      <c r="G59" s="137">
        <v>3903000</v>
      </c>
      <c r="H59" s="137">
        <v>3969000</v>
      </c>
      <c r="I59" s="137">
        <v>3813795</v>
      </c>
      <c r="J59" s="137">
        <v>3658590</v>
      </c>
      <c r="K59" s="137">
        <v>3762561</v>
      </c>
      <c r="L59" s="137">
        <v>3827894</v>
      </c>
      <c r="M59" s="137">
        <v>3908072</v>
      </c>
      <c r="N59" s="137">
        <v>3982978</v>
      </c>
      <c r="O59" s="137">
        <v>4054946</v>
      </c>
      <c r="P59" s="137">
        <v>4145392</v>
      </c>
      <c r="Q59" s="137">
        <v>4228238</v>
      </c>
      <c r="R59" s="137">
        <v>4314493</v>
      </c>
      <c r="S59" s="137">
        <v>4372978</v>
      </c>
      <c r="T59" s="137">
        <v>4438600</v>
      </c>
      <c r="U59" s="137">
        <v>4506410</v>
      </c>
      <c r="V59" s="137">
        <v>4661561</v>
      </c>
      <c r="W59" s="137">
        <v>4780854</v>
      </c>
      <c r="X59" s="137">
        <v>4913099</v>
      </c>
      <c r="Y59" s="137">
        <v>4992579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39058937</v>
      </c>
      <c r="C60" s="110">
        <f t="shared" si="126"/>
        <v>39388319</v>
      </c>
      <c r="D60" s="110">
        <f t="shared" si="126"/>
        <v>39720951</v>
      </c>
      <c r="E60" s="110">
        <f t="shared" si="126"/>
        <v>40017482</v>
      </c>
      <c r="F60" s="110">
        <f t="shared" si="126"/>
        <v>40179477</v>
      </c>
      <c r="G60" s="110">
        <f t="shared" si="126"/>
        <v>40659500</v>
      </c>
      <c r="H60" s="110">
        <f t="shared" si="126"/>
        <v>41019700</v>
      </c>
      <c r="I60" s="110">
        <f t="shared" si="126"/>
        <v>41183594</v>
      </c>
      <c r="J60" s="110">
        <f t="shared" si="126"/>
        <v>41321171</v>
      </c>
      <c r="K60" s="110">
        <f t="shared" si="126"/>
        <v>41737627</v>
      </c>
      <c r="L60" s="110">
        <f t="shared" ref="L60" si="127">SUM(L61:L66)</f>
        <v>42301563</v>
      </c>
      <c r="M60" s="110">
        <f t="shared" ref="M60:V60" si="128">SUM(M61:M66)</f>
        <v>42928000</v>
      </c>
      <c r="N60" s="110">
        <f t="shared" si="128"/>
        <v>43431000</v>
      </c>
      <c r="O60" s="110">
        <f t="shared" si="128"/>
        <v>43851000</v>
      </c>
      <c r="P60" s="110">
        <f t="shared" si="128"/>
        <v>44403000</v>
      </c>
      <c r="Q60" s="110">
        <f t="shared" si="128"/>
        <v>45071000</v>
      </c>
      <c r="R60" s="110">
        <f t="shared" si="128"/>
        <v>45803560</v>
      </c>
      <c r="S60" s="110">
        <f t="shared" si="128"/>
        <v>46474594</v>
      </c>
      <c r="T60" s="110">
        <f t="shared" si="128"/>
        <v>47095784</v>
      </c>
      <c r="U60" s="110">
        <f t="shared" si="128"/>
        <v>47715977</v>
      </c>
      <c r="V60" s="110">
        <f t="shared" si="128"/>
        <v>48248584</v>
      </c>
      <c r="W60" s="110">
        <f t="shared" ref="W60:Y60" si="129">SUM(W61:W66)</f>
        <v>48540878</v>
      </c>
      <c r="X60" s="110">
        <f t="shared" si="129"/>
        <v>48763036</v>
      </c>
      <c r="Y60" s="110">
        <f t="shared" si="129"/>
        <v>49098685</v>
      </c>
      <c r="DA60" s="176" t="s">
        <v>503</v>
      </c>
    </row>
    <row r="61" spans="1:105" ht="11.45" customHeight="1" x14ac:dyDescent="0.25">
      <c r="A61" s="111" t="s">
        <v>110</v>
      </c>
      <c r="B61" s="84">
        <v>33333963</v>
      </c>
      <c r="C61" s="84">
        <v>33146912</v>
      </c>
      <c r="D61" s="84">
        <v>32891503</v>
      </c>
      <c r="E61" s="84">
        <v>32578129</v>
      </c>
      <c r="F61" s="84">
        <v>32060673</v>
      </c>
      <c r="G61" s="84">
        <v>31634147</v>
      </c>
      <c r="H61" s="84">
        <v>31306000</v>
      </c>
      <c r="I61" s="84">
        <v>30974469</v>
      </c>
      <c r="J61" s="84">
        <v>30677679</v>
      </c>
      <c r="K61" s="84">
        <v>30472205</v>
      </c>
      <c r="L61" s="84">
        <v>30527857</v>
      </c>
      <c r="M61" s="84">
        <v>30488391</v>
      </c>
      <c r="N61" s="84">
        <v>30254900</v>
      </c>
      <c r="O61" s="84">
        <v>30016823</v>
      </c>
      <c r="P61" s="84">
        <v>29909684</v>
      </c>
      <c r="Q61" s="84">
        <v>29903874</v>
      </c>
      <c r="R61" s="84">
        <v>30075467</v>
      </c>
      <c r="S61" s="84">
        <v>30640319</v>
      </c>
      <c r="T61" s="84">
        <v>31287107</v>
      </c>
      <c r="U61" s="84">
        <v>31811896</v>
      </c>
      <c r="V61" s="84">
        <v>31953186</v>
      </c>
      <c r="W61" s="84">
        <v>31705097</v>
      </c>
      <c r="X61" s="84">
        <v>31529972</v>
      </c>
      <c r="Y61" s="84">
        <v>31511676</v>
      </c>
      <c r="DA61" s="171" t="s">
        <v>504</v>
      </c>
    </row>
    <row r="62" spans="1:105" ht="11.45" customHeight="1" x14ac:dyDescent="0.25">
      <c r="A62" s="111" t="s">
        <v>111</v>
      </c>
      <c r="B62" s="84">
        <v>5664974</v>
      </c>
      <c r="C62" s="84">
        <v>6182472</v>
      </c>
      <c r="D62" s="84">
        <v>6757907</v>
      </c>
      <c r="E62" s="84">
        <v>7362078</v>
      </c>
      <c r="F62" s="84">
        <v>8019368</v>
      </c>
      <c r="G62" s="84">
        <v>8887223</v>
      </c>
      <c r="H62" s="84">
        <v>9516517</v>
      </c>
      <c r="I62" s="84">
        <v>9903245</v>
      </c>
      <c r="J62" s="84">
        <v>10302990</v>
      </c>
      <c r="K62" s="84">
        <v>10825889</v>
      </c>
      <c r="L62" s="84">
        <v>11281221</v>
      </c>
      <c r="M62" s="84">
        <v>11903697</v>
      </c>
      <c r="N62" s="84">
        <v>12596593</v>
      </c>
      <c r="O62" s="84">
        <v>13239157</v>
      </c>
      <c r="P62" s="84">
        <v>13891841</v>
      </c>
      <c r="Q62" s="84">
        <v>14568174</v>
      </c>
      <c r="R62" s="84">
        <v>15136810</v>
      </c>
      <c r="S62" s="84">
        <v>15239253</v>
      </c>
      <c r="T62" s="84">
        <v>15182137</v>
      </c>
      <c r="U62" s="84">
        <v>15203498</v>
      </c>
      <c r="V62" s="84">
        <v>15257669</v>
      </c>
      <c r="W62" s="84">
        <v>15138655</v>
      </c>
      <c r="X62" s="84">
        <v>14903850</v>
      </c>
      <c r="Y62" s="84">
        <v>14754929</v>
      </c>
      <c r="DA62" s="171" t="s">
        <v>505</v>
      </c>
    </row>
    <row r="63" spans="1:105" ht="11.45" customHeight="1" x14ac:dyDescent="0.25">
      <c r="A63" s="111" t="s">
        <v>112</v>
      </c>
      <c r="B63" s="84">
        <v>60000</v>
      </c>
      <c r="C63" s="84">
        <v>58935</v>
      </c>
      <c r="D63" s="84">
        <v>71541</v>
      </c>
      <c r="E63" s="84">
        <v>77275</v>
      </c>
      <c r="F63" s="84">
        <v>99436</v>
      </c>
      <c r="G63" s="84">
        <v>110277</v>
      </c>
      <c r="H63" s="84">
        <v>164772</v>
      </c>
      <c r="I63" s="84">
        <v>273182</v>
      </c>
      <c r="J63" s="84">
        <v>306402</v>
      </c>
      <c r="K63" s="84">
        <v>369430</v>
      </c>
      <c r="L63" s="84">
        <v>418659</v>
      </c>
      <c r="M63" s="84">
        <v>456252</v>
      </c>
      <c r="N63" s="84">
        <v>494777</v>
      </c>
      <c r="O63" s="84">
        <v>500867</v>
      </c>
      <c r="P63" s="84">
        <v>494148</v>
      </c>
      <c r="Q63" s="84">
        <v>475711</v>
      </c>
      <c r="R63" s="84">
        <v>448025</v>
      </c>
      <c r="S63" s="84">
        <v>421283</v>
      </c>
      <c r="T63" s="84">
        <v>395592</v>
      </c>
      <c r="U63" s="84">
        <v>371472</v>
      </c>
      <c r="V63" s="84">
        <v>359441</v>
      </c>
      <c r="W63" s="84">
        <v>345098</v>
      </c>
      <c r="X63" s="84">
        <v>338809</v>
      </c>
      <c r="Y63" s="84">
        <v>343975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27853</v>
      </c>
      <c r="H64" s="84">
        <v>32392</v>
      </c>
      <c r="I64" s="84">
        <v>32672</v>
      </c>
      <c r="J64" s="84">
        <v>32800</v>
      </c>
      <c r="K64" s="84">
        <v>68515</v>
      </c>
      <c r="L64" s="84">
        <v>71519</v>
      </c>
      <c r="M64" s="84">
        <v>74853</v>
      </c>
      <c r="N64" s="84">
        <v>76284</v>
      </c>
      <c r="O64" s="84">
        <v>79065</v>
      </c>
      <c r="P64" s="84">
        <v>81423</v>
      </c>
      <c r="Q64" s="84">
        <v>80300</v>
      </c>
      <c r="R64" s="84">
        <v>77187</v>
      </c>
      <c r="S64" s="84">
        <v>75459</v>
      </c>
      <c r="T64" s="84">
        <v>80776</v>
      </c>
      <c r="U64" s="84">
        <v>83716</v>
      </c>
      <c r="V64" s="84">
        <v>83112</v>
      </c>
      <c r="W64" s="84">
        <v>83207</v>
      </c>
      <c r="X64" s="84">
        <v>84173</v>
      </c>
      <c r="Y64" s="84">
        <v>88453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266</v>
      </c>
      <c r="N65" s="84">
        <v>1332</v>
      </c>
      <c r="O65" s="84">
        <v>2932</v>
      </c>
      <c r="P65" s="84">
        <v>6956</v>
      </c>
      <c r="Q65" s="84">
        <v>17439</v>
      </c>
      <c r="R65" s="84">
        <v>32049</v>
      </c>
      <c r="S65" s="84">
        <v>44419</v>
      </c>
      <c r="T65" s="84">
        <v>66997</v>
      </c>
      <c r="U65" s="84">
        <v>111509</v>
      </c>
      <c r="V65" s="84">
        <v>287037</v>
      </c>
      <c r="W65" s="84">
        <v>609849</v>
      </c>
      <c r="X65" s="84">
        <v>931306</v>
      </c>
      <c r="Y65" s="84">
        <v>1031342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19</v>
      </c>
      <c r="I66" s="84">
        <v>26</v>
      </c>
      <c r="J66" s="84">
        <v>1300</v>
      </c>
      <c r="K66" s="84">
        <v>1588</v>
      </c>
      <c r="L66" s="84">
        <v>2307</v>
      </c>
      <c r="M66" s="84">
        <v>4541</v>
      </c>
      <c r="N66" s="84">
        <v>7114</v>
      </c>
      <c r="O66" s="84">
        <v>12156</v>
      </c>
      <c r="P66" s="84">
        <v>18948</v>
      </c>
      <c r="Q66" s="84">
        <v>25502</v>
      </c>
      <c r="R66" s="84">
        <v>34022</v>
      </c>
      <c r="S66" s="84">
        <v>53861</v>
      </c>
      <c r="T66" s="84">
        <v>83175</v>
      </c>
      <c r="U66" s="84">
        <v>133886</v>
      </c>
      <c r="V66" s="84">
        <v>308139</v>
      </c>
      <c r="W66" s="84">
        <v>658972</v>
      </c>
      <c r="X66" s="84">
        <v>974926</v>
      </c>
      <c r="Y66" s="84">
        <v>1368310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86656</v>
      </c>
      <c r="C67" s="110">
        <f t="shared" si="130"/>
        <v>86533</v>
      </c>
      <c r="D67" s="110">
        <f t="shared" si="130"/>
        <v>85913</v>
      </c>
      <c r="E67" s="110">
        <f t="shared" si="130"/>
        <v>86480</v>
      </c>
      <c r="F67" s="110">
        <f t="shared" si="130"/>
        <v>85508</v>
      </c>
      <c r="G67" s="110">
        <f t="shared" si="130"/>
        <v>83904</v>
      </c>
      <c r="H67" s="110">
        <f t="shared" si="130"/>
        <v>83549</v>
      </c>
      <c r="I67" s="110">
        <f t="shared" si="130"/>
        <v>75068</v>
      </c>
      <c r="J67" s="110">
        <f t="shared" si="130"/>
        <v>75270</v>
      </c>
      <c r="K67" s="110">
        <f t="shared" si="130"/>
        <v>76433</v>
      </c>
      <c r="L67" s="110">
        <f t="shared" ref="L67" si="131">SUM(L68:L72)</f>
        <v>76463</v>
      </c>
      <c r="M67" s="110">
        <f t="shared" ref="M67:V67" si="132">SUM(M68:M72)</f>
        <v>75988</v>
      </c>
      <c r="N67" s="110">
        <f t="shared" si="132"/>
        <v>76023</v>
      </c>
      <c r="O67" s="110">
        <f t="shared" si="132"/>
        <v>76794</v>
      </c>
      <c r="P67" s="110">
        <f t="shared" si="132"/>
        <v>77501</v>
      </c>
      <c r="Q67" s="110">
        <f t="shared" si="132"/>
        <v>78345</v>
      </c>
      <c r="R67" s="110">
        <f t="shared" si="132"/>
        <v>78949</v>
      </c>
      <c r="S67" s="110">
        <f t="shared" si="132"/>
        <v>79438</v>
      </c>
      <c r="T67" s="110">
        <f t="shared" si="132"/>
        <v>80519</v>
      </c>
      <c r="U67" s="110">
        <f t="shared" si="132"/>
        <v>81364</v>
      </c>
      <c r="V67" s="110">
        <f t="shared" si="132"/>
        <v>75548</v>
      </c>
      <c r="W67" s="110">
        <f t="shared" ref="W67:Y67" si="133">SUM(W68:W72)</f>
        <v>80225</v>
      </c>
      <c r="X67" s="110">
        <f t="shared" si="133"/>
        <v>82932</v>
      </c>
      <c r="Y67" s="110">
        <f t="shared" si="133"/>
        <v>84628</v>
      </c>
      <c r="DA67" s="176" t="s">
        <v>510</v>
      </c>
    </row>
    <row r="68" spans="1:105" ht="11.45" customHeight="1" x14ac:dyDescent="0.25">
      <c r="A68" s="111" t="s">
        <v>110</v>
      </c>
      <c r="B68" s="102">
        <v>0</v>
      </c>
      <c r="C68" s="102">
        <v>0</v>
      </c>
      <c r="D68" s="102">
        <v>0</v>
      </c>
      <c r="E68" s="102">
        <v>0</v>
      </c>
      <c r="F68" s="102">
        <v>0</v>
      </c>
      <c r="G68" s="102">
        <v>0</v>
      </c>
      <c r="H68" s="102">
        <v>0</v>
      </c>
      <c r="I68" s="102">
        <v>0</v>
      </c>
      <c r="J68" s="102">
        <v>0</v>
      </c>
      <c r="K68" s="102">
        <v>0</v>
      </c>
      <c r="L68" s="102">
        <v>0</v>
      </c>
      <c r="M68" s="102">
        <v>0</v>
      </c>
      <c r="N68" s="102">
        <v>0</v>
      </c>
      <c r="O68" s="102">
        <v>0</v>
      </c>
      <c r="P68" s="102">
        <v>0</v>
      </c>
      <c r="Q68" s="102">
        <v>0</v>
      </c>
      <c r="R68" s="102">
        <v>0</v>
      </c>
      <c r="S68" s="102">
        <v>0</v>
      </c>
      <c r="T68" s="102">
        <v>0</v>
      </c>
      <c r="U68" s="102">
        <v>0</v>
      </c>
      <c r="V68" s="102">
        <v>0</v>
      </c>
      <c r="W68" s="102">
        <v>0</v>
      </c>
      <c r="X68" s="102">
        <v>0</v>
      </c>
      <c r="Y68" s="102">
        <v>0</v>
      </c>
      <c r="DA68" s="175" t="s">
        <v>511</v>
      </c>
    </row>
    <row r="69" spans="1:105" ht="11.45" customHeight="1" x14ac:dyDescent="0.25">
      <c r="A69" s="111" t="s">
        <v>111</v>
      </c>
      <c r="B69" s="102">
        <v>85549</v>
      </c>
      <c r="C69" s="102">
        <v>85213</v>
      </c>
      <c r="D69" s="102">
        <v>84456</v>
      </c>
      <c r="E69" s="102">
        <v>85016</v>
      </c>
      <c r="F69" s="102">
        <v>84083</v>
      </c>
      <c r="G69" s="102">
        <v>82508</v>
      </c>
      <c r="H69" s="102">
        <v>82016</v>
      </c>
      <c r="I69" s="102">
        <v>73488</v>
      </c>
      <c r="J69" s="102">
        <v>73775</v>
      </c>
      <c r="K69" s="102">
        <v>74784</v>
      </c>
      <c r="L69" s="102">
        <v>74815</v>
      </c>
      <c r="M69" s="102">
        <v>74368</v>
      </c>
      <c r="N69" s="102">
        <v>74272</v>
      </c>
      <c r="O69" s="102">
        <v>74940</v>
      </c>
      <c r="P69" s="102">
        <v>75750</v>
      </c>
      <c r="Q69" s="102">
        <v>76765</v>
      </c>
      <c r="R69" s="102">
        <v>77477</v>
      </c>
      <c r="S69" s="102">
        <v>78074</v>
      </c>
      <c r="T69" s="102">
        <v>79165</v>
      </c>
      <c r="U69" s="102">
        <v>79856</v>
      </c>
      <c r="V69" s="102">
        <v>73762</v>
      </c>
      <c r="W69" s="102">
        <v>77918</v>
      </c>
      <c r="X69" s="102">
        <v>80032</v>
      </c>
      <c r="Y69" s="102">
        <v>80972</v>
      </c>
      <c r="DA69" s="175" t="s">
        <v>512</v>
      </c>
    </row>
    <row r="70" spans="1:105" ht="11.45" customHeight="1" x14ac:dyDescent="0.25">
      <c r="A70" s="111" t="s">
        <v>112</v>
      </c>
      <c r="B70" s="102">
        <v>0</v>
      </c>
      <c r="C70" s="102">
        <v>0</v>
      </c>
      <c r="D70" s="102">
        <v>0</v>
      </c>
      <c r="E70" s="102">
        <v>0</v>
      </c>
      <c r="F70" s="102">
        <v>10</v>
      </c>
      <c r="G70" s="102">
        <v>10</v>
      </c>
      <c r="H70" s="102">
        <v>10</v>
      </c>
      <c r="I70" s="102">
        <v>12</v>
      </c>
      <c r="J70" s="102">
        <v>17</v>
      </c>
      <c r="K70" s="102">
        <v>23</v>
      </c>
      <c r="L70" s="102">
        <v>25</v>
      </c>
      <c r="M70" s="102">
        <v>24</v>
      </c>
      <c r="N70" s="102">
        <v>24</v>
      </c>
      <c r="O70" s="102">
        <v>23</v>
      </c>
      <c r="P70" s="102">
        <v>22</v>
      </c>
      <c r="Q70" s="102">
        <v>21</v>
      </c>
      <c r="R70" s="102">
        <v>21</v>
      </c>
      <c r="S70" s="102">
        <v>20</v>
      </c>
      <c r="T70" s="102">
        <v>20</v>
      </c>
      <c r="U70" s="102">
        <v>21</v>
      </c>
      <c r="V70" s="102">
        <v>18</v>
      </c>
      <c r="W70" s="102">
        <v>20</v>
      </c>
      <c r="X70" s="102">
        <v>16</v>
      </c>
      <c r="Y70" s="102">
        <v>10</v>
      </c>
      <c r="DA70" s="175" t="s">
        <v>513</v>
      </c>
    </row>
    <row r="71" spans="1:105" ht="11.45" customHeight="1" x14ac:dyDescent="0.25">
      <c r="A71" s="111" t="s">
        <v>113</v>
      </c>
      <c r="B71" s="102">
        <v>1002</v>
      </c>
      <c r="C71" s="102">
        <v>1202</v>
      </c>
      <c r="D71" s="102">
        <v>1320</v>
      </c>
      <c r="E71" s="102">
        <v>1335</v>
      </c>
      <c r="F71" s="102">
        <v>1297</v>
      </c>
      <c r="G71" s="102">
        <v>1277</v>
      </c>
      <c r="H71" s="102">
        <v>1423</v>
      </c>
      <c r="I71" s="102">
        <v>1476</v>
      </c>
      <c r="J71" s="102">
        <v>1386</v>
      </c>
      <c r="K71" s="102">
        <v>1532</v>
      </c>
      <c r="L71" s="102">
        <v>1533</v>
      </c>
      <c r="M71" s="102">
        <v>1501</v>
      </c>
      <c r="N71" s="102">
        <v>1631</v>
      </c>
      <c r="O71" s="102">
        <v>1732</v>
      </c>
      <c r="P71" s="102">
        <v>1613</v>
      </c>
      <c r="Q71" s="102">
        <v>1422</v>
      </c>
      <c r="R71" s="102">
        <v>1283</v>
      </c>
      <c r="S71" s="102">
        <v>1161</v>
      </c>
      <c r="T71" s="102">
        <v>1106</v>
      </c>
      <c r="U71" s="102">
        <v>1102</v>
      </c>
      <c r="V71" s="102">
        <v>1036</v>
      </c>
      <c r="W71" s="102">
        <v>1000</v>
      </c>
      <c r="X71" s="102">
        <v>1000</v>
      </c>
      <c r="Y71" s="102">
        <v>995</v>
      </c>
      <c r="DA71" s="175" t="s">
        <v>514</v>
      </c>
    </row>
    <row r="72" spans="1:105" ht="11.45" customHeight="1" x14ac:dyDescent="0.25">
      <c r="A72" s="111" t="s">
        <v>115</v>
      </c>
      <c r="B72" s="102">
        <v>105</v>
      </c>
      <c r="C72" s="102">
        <v>118</v>
      </c>
      <c r="D72" s="102">
        <v>137</v>
      </c>
      <c r="E72" s="102">
        <v>129</v>
      </c>
      <c r="F72" s="102">
        <v>118</v>
      </c>
      <c r="G72" s="102">
        <v>109</v>
      </c>
      <c r="H72" s="102">
        <v>100</v>
      </c>
      <c r="I72" s="102">
        <v>92</v>
      </c>
      <c r="J72" s="102">
        <v>92</v>
      </c>
      <c r="K72" s="102">
        <v>94</v>
      </c>
      <c r="L72" s="102">
        <v>90</v>
      </c>
      <c r="M72" s="102">
        <v>95</v>
      </c>
      <c r="N72" s="102">
        <v>96</v>
      </c>
      <c r="O72" s="102">
        <v>99</v>
      </c>
      <c r="P72" s="102">
        <v>116</v>
      </c>
      <c r="Q72" s="102">
        <v>137</v>
      </c>
      <c r="R72" s="102">
        <v>168</v>
      </c>
      <c r="S72" s="102">
        <v>183</v>
      </c>
      <c r="T72" s="102">
        <v>228</v>
      </c>
      <c r="U72" s="102">
        <v>385</v>
      </c>
      <c r="V72" s="102">
        <v>732</v>
      </c>
      <c r="W72" s="102">
        <v>1287</v>
      </c>
      <c r="X72" s="102">
        <v>1884</v>
      </c>
      <c r="Y72" s="102">
        <v>2651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2671221</v>
      </c>
      <c r="C73" s="28">
        <f t="shared" si="134"/>
        <v>2669931</v>
      </c>
      <c r="D73" s="28">
        <f t="shared" si="134"/>
        <v>2634178</v>
      </c>
      <c r="E73" s="28">
        <f t="shared" si="134"/>
        <v>2591160</v>
      </c>
      <c r="F73" s="28">
        <f t="shared" si="134"/>
        <v>2584120</v>
      </c>
      <c r="G73" s="28">
        <f t="shared" si="134"/>
        <v>2584556</v>
      </c>
      <c r="H73" s="28">
        <f t="shared" si="134"/>
        <v>2639614</v>
      </c>
      <c r="I73" s="28">
        <f t="shared" si="134"/>
        <v>2559653</v>
      </c>
      <c r="J73" s="28">
        <f t="shared" si="134"/>
        <v>2585744</v>
      </c>
      <c r="K73" s="28">
        <f t="shared" si="134"/>
        <v>2619903</v>
      </c>
      <c r="L73" s="28">
        <f t="shared" ref="L73" si="135">L74+L80</f>
        <v>2691167</v>
      </c>
      <c r="M73" s="28">
        <f t="shared" ref="M73:V73" si="136">M74+M80</f>
        <v>2787151</v>
      </c>
      <c r="N73" s="28">
        <f t="shared" si="136"/>
        <v>2841618</v>
      </c>
      <c r="O73" s="28">
        <f t="shared" si="136"/>
        <v>2893690</v>
      </c>
      <c r="P73" s="28">
        <f t="shared" si="136"/>
        <v>2965427</v>
      </c>
      <c r="Q73" s="28">
        <f t="shared" si="136"/>
        <v>3062012</v>
      </c>
      <c r="R73" s="28">
        <f t="shared" si="136"/>
        <v>3206264</v>
      </c>
      <c r="S73" s="28">
        <f t="shared" si="136"/>
        <v>3359316</v>
      </c>
      <c r="T73" s="28">
        <f t="shared" si="136"/>
        <v>3487241</v>
      </c>
      <c r="U73" s="28">
        <f t="shared" si="136"/>
        <v>3651688</v>
      </c>
      <c r="V73" s="28">
        <f t="shared" si="136"/>
        <v>3818375</v>
      </c>
      <c r="W73" s="28">
        <f t="shared" ref="W73:Y73" si="137">W74+W80</f>
        <v>3985930</v>
      </c>
      <c r="X73" s="28">
        <f t="shared" si="137"/>
        <v>4096169</v>
      </c>
      <c r="Y73" s="28">
        <f t="shared" si="137"/>
        <v>4212172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1732021</v>
      </c>
      <c r="C74" s="137">
        <f t="shared" si="138"/>
        <v>1739889</v>
      </c>
      <c r="D74" s="137">
        <f t="shared" si="138"/>
        <v>1741182</v>
      </c>
      <c r="E74" s="137">
        <f t="shared" si="138"/>
        <v>1730969</v>
      </c>
      <c r="F74" s="137">
        <f t="shared" si="138"/>
        <v>1729794</v>
      </c>
      <c r="G74" s="137">
        <f t="shared" si="138"/>
        <v>1736770</v>
      </c>
      <c r="H74" s="137">
        <f t="shared" si="138"/>
        <v>1782979</v>
      </c>
      <c r="I74" s="137">
        <f t="shared" si="138"/>
        <v>1812800</v>
      </c>
      <c r="J74" s="137">
        <f t="shared" si="138"/>
        <v>1848272</v>
      </c>
      <c r="K74" s="137">
        <f t="shared" si="138"/>
        <v>1886261</v>
      </c>
      <c r="L74" s="137">
        <f t="shared" ref="L74" si="139">SUM(L75:L79)</f>
        <v>1954844</v>
      </c>
      <c r="M74" s="137">
        <f t="shared" ref="M74:V74" si="140">SUM(M75:M79)</f>
        <v>2035658</v>
      </c>
      <c r="N74" s="137">
        <f t="shared" si="140"/>
        <v>2091479</v>
      </c>
      <c r="O74" s="137">
        <f t="shared" si="140"/>
        <v>2129315</v>
      </c>
      <c r="P74" s="137">
        <f t="shared" si="140"/>
        <v>2187308</v>
      </c>
      <c r="Q74" s="137">
        <f t="shared" si="140"/>
        <v>2267996</v>
      </c>
      <c r="R74" s="137">
        <f t="shared" si="140"/>
        <v>2383394</v>
      </c>
      <c r="S74" s="137">
        <f t="shared" si="140"/>
        <v>2500520</v>
      </c>
      <c r="T74" s="137">
        <f t="shared" si="140"/>
        <v>2616118</v>
      </c>
      <c r="U74" s="137">
        <f t="shared" si="140"/>
        <v>2743525</v>
      </c>
      <c r="V74" s="137">
        <f t="shared" si="140"/>
        <v>2880870</v>
      </c>
      <c r="W74" s="137">
        <f t="shared" ref="W74:Y74" si="141">SUM(W75:W79)</f>
        <v>3018598</v>
      </c>
      <c r="X74" s="137">
        <f t="shared" si="141"/>
        <v>3110652</v>
      </c>
      <c r="Y74" s="137">
        <f t="shared" si="141"/>
        <v>3208845</v>
      </c>
      <c r="DA74" s="174" t="s">
        <v>517</v>
      </c>
    </row>
    <row r="75" spans="1:105" ht="11.45" customHeight="1" x14ac:dyDescent="0.25">
      <c r="A75" s="111" t="s">
        <v>110</v>
      </c>
      <c r="B75" s="84">
        <v>243980</v>
      </c>
      <c r="C75" s="84">
        <v>230397</v>
      </c>
      <c r="D75" s="84">
        <v>210181</v>
      </c>
      <c r="E75" s="84">
        <v>190023</v>
      </c>
      <c r="F75" s="84">
        <v>171731</v>
      </c>
      <c r="G75" s="84">
        <v>157706</v>
      </c>
      <c r="H75" s="84">
        <v>147292</v>
      </c>
      <c r="I75" s="84">
        <v>145481</v>
      </c>
      <c r="J75" s="84">
        <v>140765</v>
      </c>
      <c r="K75" s="84">
        <v>137065</v>
      </c>
      <c r="L75" s="84">
        <v>132527</v>
      </c>
      <c r="M75" s="84">
        <v>129134</v>
      </c>
      <c r="N75" s="84">
        <v>124532</v>
      </c>
      <c r="O75" s="84">
        <v>121844</v>
      </c>
      <c r="P75" s="84">
        <v>119360</v>
      </c>
      <c r="Q75" s="84">
        <v>117552</v>
      </c>
      <c r="R75" s="84">
        <v>118634</v>
      </c>
      <c r="S75" s="84">
        <v>119853</v>
      </c>
      <c r="T75" s="84">
        <v>121035</v>
      </c>
      <c r="U75" s="84">
        <v>122442</v>
      </c>
      <c r="V75" s="84">
        <v>124714</v>
      </c>
      <c r="W75" s="84">
        <v>127142</v>
      </c>
      <c r="X75" s="84">
        <v>129404</v>
      </c>
      <c r="Y75" s="84">
        <v>131536</v>
      </c>
      <c r="DA75" s="171" t="s">
        <v>518</v>
      </c>
    </row>
    <row r="76" spans="1:105" ht="11.45" customHeight="1" x14ac:dyDescent="0.25">
      <c r="A76" s="111" t="s">
        <v>111</v>
      </c>
      <c r="B76" s="84">
        <v>1487122</v>
      </c>
      <c r="C76" s="84">
        <v>1508584</v>
      </c>
      <c r="D76" s="84">
        <v>1530129</v>
      </c>
      <c r="E76" s="84">
        <v>1540132</v>
      </c>
      <c r="F76" s="84">
        <v>1557287</v>
      </c>
      <c r="G76" s="84">
        <v>1578349</v>
      </c>
      <c r="H76" s="84">
        <v>1623700</v>
      </c>
      <c r="I76" s="84">
        <v>1652913</v>
      </c>
      <c r="J76" s="84">
        <v>1688668</v>
      </c>
      <c r="K76" s="84">
        <v>1727537</v>
      </c>
      <c r="L76" s="84">
        <v>1798234</v>
      </c>
      <c r="M76" s="84">
        <v>1881389</v>
      </c>
      <c r="N76" s="84">
        <v>1940662</v>
      </c>
      <c r="O76" s="84">
        <v>1981210</v>
      </c>
      <c r="P76" s="84">
        <v>2040172</v>
      </c>
      <c r="Q76" s="84">
        <v>2122126</v>
      </c>
      <c r="R76" s="84">
        <v>2233045</v>
      </c>
      <c r="S76" s="84">
        <v>2342249</v>
      </c>
      <c r="T76" s="84">
        <v>2451278</v>
      </c>
      <c r="U76" s="84">
        <v>2571190</v>
      </c>
      <c r="V76" s="84">
        <v>2700397</v>
      </c>
      <c r="W76" s="84">
        <v>2819002</v>
      </c>
      <c r="X76" s="84">
        <v>2889297</v>
      </c>
      <c r="Y76" s="84">
        <v>2972672</v>
      </c>
      <c r="DA76" s="171" t="s">
        <v>519</v>
      </c>
    </row>
    <row r="77" spans="1:105" ht="11.45" customHeight="1" x14ac:dyDescent="0.25">
      <c r="A77" s="111" t="s">
        <v>112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1505</v>
      </c>
      <c r="I77" s="84">
        <v>2238</v>
      </c>
      <c r="J77" s="84">
        <v>4528</v>
      </c>
      <c r="K77" s="84">
        <v>6014</v>
      </c>
      <c r="L77" s="84">
        <v>7317</v>
      </c>
      <c r="M77" s="84">
        <v>8576</v>
      </c>
      <c r="N77" s="84">
        <v>9749</v>
      </c>
      <c r="O77" s="84">
        <v>10160</v>
      </c>
      <c r="P77" s="84">
        <v>11392</v>
      </c>
      <c r="Q77" s="84">
        <v>12475</v>
      </c>
      <c r="R77" s="84">
        <v>13021</v>
      </c>
      <c r="S77" s="84">
        <v>13749</v>
      </c>
      <c r="T77" s="84">
        <v>14631</v>
      </c>
      <c r="U77" s="84">
        <v>16088</v>
      </c>
      <c r="V77" s="84">
        <v>17962</v>
      </c>
      <c r="W77" s="84">
        <v>20187</v>
      </c>
      <c r="X77" s="84">
        <v>21836</v>
      </c>
      <c r="Y77" s="84">
        <v>23246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9833</v>
      </c>
      <c r="I78" s="84">
        <v>11603</v>
      </c>
      <c r="J78" s="84">
        <v>13727</v>
      </c>
      <c r="K78" s="84">
        <v>15007</v>
      </c>
      <c r="L78" s="84">
        <v>15913</v>
      </c>
      <c r="M78" s="84">
        <v>15374</v>
      </c>
      <c r="N78" s="84">
        <v>14416</v>
      </c>
      <c r="O78" s="84">
        <v>13825</v>
      </c>
      <c r="P78" s="84">
        <v>13619</v>
      </c>
      <c r="Q78" s="84">
        <v>13391</v>
      </c>
      <c r="R78" s="84">
        <v>13797</v>
      </c>
      <c r="S78" s="84">
        <v>14203</v>
      </c>
      <c r="T78" s="84">
        <v>13823</v>
      </c>
      <c r="U78" s="84">
        <v>13475</v>
      </c>
      <c r="V78" s="84">
        <v>12715</v>
      </c>
      <c r="W78" s="84">
        <v>11437</v>
      </c>
      <c r="X78" s="84">
        <v>10094</v>
      </c>
      <c r="Y78" s="84">
        <v>8748</v>
      </c>
      <c r="DA78" s="171" t="s">
        <v>521</v>
      </c>
    </row>
    <row r="79" spans="1:105" ht="11.45" customHeight="1" x14ac:dyDescent="0.25">
      <c r="A79" s="111" t="s">
        <v>115</v>
      </c>
      <c r="B79" s="84">
        <v>919</v>
      </c>
      <c r="C79" s="84">
        <v>908</v>
      </c>
      <c r="D79" s="84">
        <v>872</v>
      </c>
      <c r="E79" s="84">
        <v>814</v>
      </c>
      <c r="F79" s="84">
        <v>776</v>
      </c>
      <c r="G79" s="84">
        <v>715</v>
      </c>
      <c r="H79" s="84">
        <v>649</v>
      </c>
      <c r="I79" s="84">
        <v>565</v>
      </c>
      <c r="J79" s="84">
        <v>584</v>
      </c>
      <c r="K79" s="84">
        <v>638</v>
      </c>
      <c r="L79" s="84">
        <v>853</v>
      </c>
      <c r="M79" s="84">
        <v>1185</v>
      </c>
      <c r="N79" s="84">
        <v>2120</v>
      </c>
      <c r="O79" s="84">
        <v>2276</v>
      </c>
      <c r="P79" s="84">
        <v>2765</v>
      </c>
      <c r="Q79" s="84">
        <v>2452</v>
      </c>
      <c r="R79" s="84">
        <v>4897</v>
      </c>
      <c r="S79" s="84">
        <v>10466</v>
      </c>
      <c r="T79" s="84">
        <v>15351</v>
      </c>
      <c r="U79" s="84">
        <v>20330</v>
      </c>
      <c r="V79" s="84">
        <v>25082</v>
      </c>
      <c r="W79" s="84">
        <v>40830</v>
      </c>
      <c r="X79" s="84">
        <v>60021</v>
      </c>
      <c r="Y79" s="84">
        <v>72643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939200</v>
      </c>
      <c r="C80" s="110">
        <f t="shared" si="142"/>
        <v>930042</v>
      </c>
      <c r="D80" s="110">
        <f t="shared" si="142"/>
        <v>892996</v>
      </c>
      <c r="E80" s="110">
        <f t="shared" si="142"/>
        <v>860191</v>
      </c>
      <c r="F80" s="110">
        <f t="shared" si="142"/>
        <v>854326</v>
      </c>
      <c r="G80" s="110">
        <f t="shared" si="142"/>
        <v>847786</v>
      </c>
      <c r="H80" s="110">
        <f t="shared" si="142"/>
        <v>856635</v>
      </c>
      <c r="I80" s="110">
        <f t="shared" si="142"/>
        <v>746853</v>
      </c>
      <c r="J80" s="110">
        <f t="shared" si="142"/>
        <v>737472</v>
      </c>
      <c r="K80" s="110">
        <f t="shared" si="142"/>
        <v>733642</v>
      </c>
      <c r="L80" s="110">
        <f t="shared" ref="L80" si="143">SUM(L81:L82)</f>
        <v>736323</v>
      </c>
      <c r="M80" s="110">
        <f t="shared" ref="M80:V80" si="144">SUM(M81:M82)</f>
        <v>751493</v>
      </c>
      <c r="N80" s="110">
        <f t="shared" si="144"/>
        <v>750139</v>
      </c>
      <c r="O80" s="110">
        <f t="shared" si="144"/>
        <v>764375</v>
      </c>
      <c r="P80" s="110">
        <f t="shared" si="144"/>
        <v>778119</v>
      </c>
      <c r="Q80" s="110">
        <f t="shared" si="144"/>
        <v>794016</v>
      </c>
      <c r="R80" s="110">
        <f t="shared" si="144"/>
        <v>822870</v>
      </c>
      <c r="S80" s="110">
        <f t="shared" si="144"/>
        <v>858796</v>
      </c>
      <c r="T80" s="110">
        <f t="shared" si="144"/>
        <v>871123</v>
      </c>
      <c r="U80" s="110">
        <f t="shared" si="144"/>
        <v>908163</v>
      </c>
      <c r="V80" s="110">
        <f t="shared" si="144"/>
        <v>937505</v>
      </c>
      <c r="W80" s="110">
        <f t="shared" ref="W80:Y80" si="145">SUM(W81:W82)</f>
        <v>967332</v>
      </c>
      <c r="X80" s="110">
        <f t="shared" si="145"/>
        <v>985517</v>
      </c>
      <c r="Y80" s="110">
        <f t="shared" si="145"/>
        <v>1003327</v>
      </c>
      <c r="DA80" s="176" t="s">
        <v>523</v>
      </c>
    </row>
    <row r="81" spans="1:105" ht="11.45" customHeight="1" x14ac:dyDescent="0.25">
      <c r="A81" s="128" t="s">
        <v>27</v>
      </c>
      <c r="B81" s="102">
        <v>859876</v>
      </c>
      <c r="C81" s="102">
        <v>844998</v>
      </c>
      <c r="D81" s="102">
        <v>803528</v>
      </c>
      <c r="E81" s="102">
        <v>768744</v>
      </c>
      <c r="F81" s="102">
        <v>746206</v>
      </c>
      <c r="G81" s="102">
        <v>735866</v>
      </c>
      <c r="H81" s="102">
        <v>737154</v>
      </c>
      <c r="I81" s="102">
        <v>620399</v>
      </c>
      <c r="J81" s="102">
        <v>606061</v>
      </c>
      <c r="K81" s="102">
        <v>613932</v>
      </c>
      <c r="L81" s="102">
        <v>609823</v>
      </c>
      <c r="M81" s="102">
        <v>624515</v>
      </c>
      <c r="N81" s="102">
        <v>621730</v>
      </c>
      <c r="O81" s="102">
        <v>631041</v>
      </c>
      <c r="P81" s="102">
        <v>641754</v>
      </c>
      <c r="Q81" s="102">
        <v>656720</v>
      </c>
      <c r="R81" s="102">
        <v>674673</v>
      </c>
      <c r="S81" s="102">
        <v>698132</v>
      </c>
      <c r="T81" s="102">
        <v>719416</v>
      </c>
      <c r="U81" s="102">
        <v>744806</v>
      </c>
      <c r="V81" s="102">
        <v>770746</v>
      </c>
      <c r="W81" s="102">
        <v>793039</v>
      </c>
      <c r="X81" s="102">
        <v>810743</v>
      </c>
      <c r="Y81" s="102">
        <v>830149</v>
      </c>
      <c r="DA81" s="175" t="s">
        <v>524</v>
      </c>
    </row>
    <row r="82" spans="1:105" ht="11.45" customHeight="1" x14ac:dyDescent="0.25">
      <c r="A82" s="138" t="s">
        <v>116</v>
      </c>
      <c r="B82" s="86">
        <v>79324</v>
      </c>
      <c r="C82" s="86">
        <v>85044</v>
      </c>
      <c r="D82" s="86">
        <v>89468</v>
      </c>
      <c r="E82" s="86">
        <v>91447</v>
      </c>
      <c r="F82" s="86">
        <v>108120</v>
      </c>
      <c r="G82" s="86">
        <v>111920</v>
      </c>
      <c r="H82" s="86">
        <v>119481</v>
      </c>
      <c r="I82" s="86">
        <v>126454</v>
      </c>
      <c r="J82" s="86">
        <v>131411</v>
      </c>
      <c r="K82" s="86">
        <v>119710</v>
      </c>
      <c r="L82" s="86">
        <v>126500</v>
      </c>
      <c r="M82" s="86">
        <v>126978</v>
      </c>
      <c r="N82" s="86">
        <v>128409</v>
      </c>
      <c r="O82" s="86">
        <v>133334</v>
      </c>
      <c r="P82" s="86">
        <v>136365</v>
      </c>
      <c r="Q82" s="86">
        <v>137296</v>
      </c>
      <c r="R82" s="86">
        <v>148197</v>
      </c>
      <c r="S82" s="86">
        <v>160664</v>
      </c>
      <c r="T82" s="86">
        <v>151707</v>
      </c>
      <c r="U82" s="86">
        <v>163357</v>
      </c>
      <c r="V82" s="86">
        <v>166759</v>
      </c>
      <c r="W82" s="86">
        <v>174293</v>
      </c>
      <c r="X82" s="86">
        <v>174774</v>
      </c>
      <c r="Y82" s="86">
        <v>173178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45226814</v>
      </c>
      <c r="C84" s="54">
        <f t="shared" si="146"/>
        <v>45701783</v>
      </c>
      <c r="D84" s="54">
        <f t="shared" ref="D84:V84" si="147">D85+D100</f>
        <v>46098042</v>
      </c>
      <c r="E84" s="54">
        <f t="shared" si="147"/>
        <v>46440122</v>
      </c>
      <c r="F84" s="54">
        <f t="shared" si="147"/>
        <v>46677105</v>
      </c>
      <c r="G84" s="54">
        <f t="shared" si="147"/>
        <v>47230960</v>
      </c>
      <c r="H84" s="54">
        <f t="shared" si="147"/>
        <v>47711863</v>
      </c>
      <c r="I84" s="54">
        <f t="shared" si="147"/>
        <v>47632110</v>
      </c>
      <c r="J84" s="54">
        <f t="shared" si="147"/>
        <v>47640775</v>
      </c>
      <c r="K84" s="54">
        <f t="shared" si="147"/>
        <v>48196524</v>
      </c>
      <c r="L84" s="54">
        <f t="shared" si="147"/>
        <v>48897087</v>
      </c>
      <c r="M84" s="54">
        <f t="shared" si="147"/>
        <v>49699211</v>
      </c>
      <c r="N84" s="54">
        <f t="shared" si="147"/>
        <v>50331619</v>
      </c>
      <c r="O84" s="54">
        <f t="shared" si="147"/>
        <v>50876430</v>
      </c>
      <c r="P84" s="54">
        <f t="shared" si="147"/>
        <v>51591320</v>
      </c>
      <c r="Q84" s="54">
        <f t="shared" si="147"/>
        <v>52439595</v>
      </c>
      <c r="R84" s="54">
        <f t="shared" si="147"/>
        <v>53403266</v>
      </c>
      <c r="S84" s="54">
        <f t="shared" si="147"/>
        <v>54286326</v>
      </c>
      <c r="T84" s="54">
        <f t="shared" si="147"/>
        <v>55102144</v>
      </c>
      <c r="U84" s="54">
        <f t="shared" si="147"/>
        <v>55955439</v>
      </c>
      <c r="V84" s="54">
        <f t="shared" si="147"/>
        <v>56804068</v>
      </c>
      <c r="W84" s="54">
        <f t="shared" ref="W84:Y84" si="148">W85+W100</f>
        <v>57387887</v>
      </c>
      <c r="X84" s="54">
        <f t="shared" si="148"/>
        <v>57855236</v>
      </c>
      <c r="Y84" s="54">
        <f t="shared" si="148"/>
        <v>58388064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42555593</v>
      </c>
      <c r="C85" s="28">
        <f t="shared" si="149"/>
        <v>43031852</v>
      </c>
      <c r="D85" s="28">
        <f t="shared" ref="D85:V85" si="150">D86+D87+D94</f>
        <v>43463864</v>
      </c>
      <c r="E85" s="28">
        <f t="shared" si="150"/>
        <v>43848962</v>
      </c>
      <c r="F85" s="28">
        <f t="shared" si="150"/>
        <v>44092985</v>
      </c>
      <c r="G85" s="28">
        <f t="shared" si="150"/>
        <v>44646404</v>
      </c>
      <c r="H85" s="28">
        <f t="shared" si="150"/>
        <v>45072249</v>
      </c>
      <c r="I85" s="28">
        <f t="shared" si="150"/>
        <v>45072457</v>
      </c>
      <c r="J85" s="28">
        <f t="shared" si="150"/>
        <v>45055031</v>
      </c>
      <c r="K85" s="28">
        <f t="shared" si="150"/>
        <v>45576621</v>
      </c>
      <c r="L85" s="28">
        <f t="shared" si="150"/>
        <v>46205920</v>
      </c>
      <c r="M85" s="28">
        <f t="shared" si="150"/>
        <v>46912060</v>
      </c>
      <c r="N85" s="28">
        <f t="shared" si="150"/>
        <v>47490001</v>
      </c>
      <c r="O85" s="28">
        <f t="shared" si="150"/>
        <v>47982740</v>
      </c>
      <c r="P85" s="28">
        <f t="shared" si="150"/>
        <v>48625893</v>
      </c>
      <c r="Q85" s="28">
        <f t="shared" si="150"/>
        <v>49377583</v>
      </c>
      <c r="R85" s="28">
        <f t="shared" si="150"/>
        <v>50197002</v>
      </c>
      <c r="S85" s="28">
        <f t="shared" si="150"/>
        <v>50927010</v>
      </c>
      <c r="T85" s="28">
        <f t="shared" si="150"/>
        <v>51614903</v>
      </c>
      <c r="U85" s="28">
        <f t="shared" si="150"/>
        <v>52303751</v>
      </c>
      <c r="V85" s="28">
        <f t="shared" si="150"/>
        <v>52985693</v>
      </c>
      <c r="W85" s="28">
        <f t="shared" ref="W85:Y85" si="151">W86+W87+W94</f>
        <v>53401957</v>
      </c>
      <c r="X85" s="28">
        <f t="shared" si="151"/>
        <v>53759067</v>
      </c>
      <c r="Y85" s="28">
        <f t="shared" si="151"/>
        <v>54175892</v>
      </c>
      <c r="DA85" s="173"/>
    </row>
    <row r="86" spans="1:105" ht="11.45" hidden="1" customHeight="1" x14ac:dyDescent="0.25">
      <c r="A86" s="136" t="s">
        <v>173</v>
      </c>
      <c r="B86" s="137">
        <v>3410000</v>
      </c>
      <c r="C86" s="137">
        <v>3557000</v>
      </c>
      <c r="D86" s="137">
        <v>3657000</v>
      </c>
      <c r="E86" s="137">
        <v>3745000</v>
      </c>
      <c r="F86" s="137">
        <v>3828000</v>
      </c>
      <c r="G86" s="137">
        <v>3903000</v>
      </c>
      <c r="H86" s="137">
        <v>3969000</v>
      </c>
      <c r="I86" s="137">
        <v>3813795</v>
      </c>
      <c r="J86" s="137">
        <v>3658590</v>
      </c>
      <c r="K86" s="137">
        <v>3762561</v>
      </c>
      <c r="L86" s="137">
        <v>3827894</v>
      </c>
      <c r="M86" s="137">
        <v>3908072</v>
      </c>
      <c r="N86" s="137">
        <v>3982978</v>
      </c>
      <c r="O86" s="137">
        <v>4054946</v>
      </c>
      <c r="P86" s="137">
        <v>4145392</v>
      </c>
      <c r="Q86" s="137">
        <v>4228238</v>
      </c>
      <c r="R86" s="137">
        <v>4314493</v>
      </c>
      <c r="S86" s="137">
        <v>4372978</v>
      </c>
      <c r="T86" s="137">
        <v>4438600</v>
      </c>
      <c r="U86" s="137">
        <v>4506410</v>
      </c>
      <c r="V86" s="137">
        <v>4661561</v>
      </c>
      <c r="W86" s="137">
        <v>4780854</v>
      </c>
      <c r="X86" s="137">
        <v>4913099</v>
      </c>
      <c r="Y86" s="137">
        <v>4992579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39058937</v>
      </c>
      <c r="C87" s="110">
        <f t="shared" si="152"/>
        <v>39388319</v>
      </c>
      <c r="D87" s="110">
        <f t="shared" ref="D87:V87" si="153">SUM(D88:D93)</f>
        <v>39720951</v>
      </c>
      <c r="E87" s="110">
        <f t="shared" si="153"/>
        <v>40017482</v>
      </c>
      <c r="F87" s="110">
        <f t="shared" si="153"/>
        <v>40179477</v>
      </c>
      <c r="G87" s="110">
        <f t="shared" si="153"/>
        <v>40659500</v>
      </c>
      <c r="H87" s="110">
        <f t="shared" si="153"/>
        <v>41019700</v>
      </c>
      <c r="I87" s="110">
        <f t="shared" si="153"/>
        <v>41183594</v>
      </c>
      <c r="J87" s="110">
        <f t="shared" si="153"/>
        <v>41321171</v>
      </c>
      <c r="K87" s="110">
        <f t="shared" si="153"/>
        <v>41737627</v>
      </c>
      <c r="L87" s="110">
        <f t="shared" si="153"/>
        <v>42301563</v>
      </c>
      <c r="M87" s="110">
        <f t="shared" si="153"/>
        <v>42928000</v>
      </c>
      <c r="N87" s="110">
        <f t="shared" si="153"/>
        <v>43431000</v>
      </c>
      <c r="O87" s="110">
        <f t="shared" si="153"/>
        <v>43851000</v>
      </c>
      <c r="P87" s="110">
        <f t="shared" si="153"/>
        <v>44403000</v>
      </c>
      <c r="Q87" s="110">
        <f t="shared" si="153"/>
        <v>45071000</v>
      </c>
      <c r="R87" s="110">
        <f t="shared" si="153"/>
        <v>45803560</v>
      </c>
      <c r="S87" s="110">
        <f t="shared" si="153"/>
        <v>46474594</v>
      </c>
      <c r="T87" s="110">
        <f t="shared" si="153"/>
        <v>47095784</v>
      </c>
      <c r="U87" s="110">
        <f t="shared" si="153"/>
        <v>47715977</v>
      </c>
      <c r="V87" s="110">
        <f t="shared" si="153"/>
        <v>48248584</v>
      </c>
      <c r="W87" s="110">
        <f t="shared" ref="W87:Y87" si="154">SUM(W88:W93)</f>
        <v>48540878</v>
      </c>
      <c r="X87" s="110">
        <f t="shared" si="154"/>
        <v>48763036</v>
      </c>
      <c r="Y87" s="110">
        <f t="shared" si="154"/>
        <v>49098685</v>
      </c>
      <c r="DA87" s="176"/>
    </row>
    <row r="88" spans="1:105" ht="11.45" hidden="1" customHeight="1" x14ac:dyDescent="0.25">
      <c r="A88" s="111" t="s">
        <v>110</v>
      </c>
      <c r="B88" s="84">
        <v>33333963</v>
      </c>
      <c r="C88" s="84">
        <v>33146912</v>
      </c>
      <c r="D88" s="84">
        <v>32891503</v>
      </c>
      <c r="E88" s="84">
        <v>32578129</v>
      </c>
      <c r="F88" s="84">
        <v>32060673</v>
      </c>
      <c r="G88" s="84">
        <v>31634147</v>
      </c>
      <c r="H88" s="84">
        <v>31306000</v>
      </c>
      <c r="I88" s="84">
        <v>30974469</v>
      </c>
      <c r="J88" s="84">
        <v>30677679</v>
      </c>
      <c r="K88" s="84">
        <v>30472205</v>
      </c>
      <c r="L88" s="84">
        <v>30527857</v>
      </c>
      <c r="M88" s="84">
        <v>30488391</v>
      </c>
      <c r="N88" s="84">
        <v>30254900</v>
      </c>
      <c r="O88" s="84">
        <v>30016823</v>
      </c>
      <c r="P88" s="84">
        <v>29909684</v>
      </c>
      <c r="Q88" s="84">
        <v>29903874</v>
      </c>
      <c r="R88" s="84">
        <v>30075467</v>
      </c>
      <c r="S88" s="84">
        <v>30640319</v>
      </c>
      <c r="T88" s="84">
        <v>31287107</v>
      </c>
      <c r="U88" s="84">
        <v>31811896</v>
      </c>
      <c r="V88" s="84">
        <v>31953186</v>
      </c>
      <c r="W88" s="84">
        <v>31705097</v>
      </c>
      <c r="X88" s="84">
        <v>31529972</v>
      </c>
      <c r="Y88" s="84">
        <v>31511676</v>
      </c>
      <c r="DA88" s="171"/>
    </row>
    <row r="89" spans="1:105" ht="11.45" hidden="1" customHeight="1" x14ac:dyDescent="0.25">
      <c r="A89" s="111" t="s">
        <v>111</v>
      </c>
      <c r="B89" s="84">
        <v>5664974</v>
      </c>
      <c r="C89" s="84">
        <v>6182472</v>
      </c>
      <c r="D89" s="84">
        <v>6757907</v>
      </c>
      <c r="E89" s="84">
        <v>7362078</v>
      </c>
      <c r="F89" s="84">
        <v>8019368</v>
      </c>
      <c r="G89" s="84">
        <v>8887223</v>
      </c>
      <c r="H89" s="84">
        <v>9516517</v>
      </c>
      <c r="I89" s="84">
        <v>9903245</v>
      </c>
      <c r="J89" s="84">
        <v>10302990</v>
      </c>
      <c r="K89" s="84">
        <v>10825889</v>
      </c>
      <c r="L89" s="84">
        <v>11281221</v>
      </c>
      <c r="M89" s="84">
        <v>11903697</v>
      </c>
      <c r="N89" s="84">
        <v>12596593</v>
      </c>
      <c r="O89" s="84">
        <v>13239157</v>
      </c>
      <c r="P89" s="84">
        <v>13891841</v>
      </c>
      <c r="Q89" s="84">
        <v>14568174</v>
      </c>
      <c r="R89" s="84">
        <v>15136810</v>
      </c>
      <c r="S89" s="84">
        <v>15239253</v>
      </c>
      <c r="T89" s="84">
        <v>15182137</v>
      </c>
      <c r="U89" s="84">
        <v>15203498</v>
      </c>
      <c r="V89" s="84">
        <v>15257669</v>
      </c>
      <c r="W89" s="84">
        <v>15138655</v>
      </c>
      <c r="X89" s="84">
        <v>14903850</v>
      </c>
      <c r="Y89" s="84">
        <v>14754929</v>
      </c>
      <c r="DA89" s="171"/>
    </row>
    <row r="90" spans="1:105" ht="11.45" hidden="1" customHeight="1" x14ac:dyDescent="0.25">
      <c r="A90" s="111" t="s">
        <v>112</v>
      </c>
      <c r="B90" s="84">
        <v>60000</v>
      </c>
      <c r="C90" s="84">
        <v>58935</v>
      </c>
      <c r="D90" s="84">
        <v>71541</v>
      </c>
      <c r="E90" s="84">
        <v>77275</v>
      </c>
      <c r="F90" s="84">
        <v>99436</v>
      </c>
      <c r="G90" s="84">
        <v>110277</v>
      </c>
      <c r="H90" s="84">
        <v>164772</v>
      </c>
      <c r="I90" s="84">
        <v>273182</v>
      </c>
      <c r="J90" s="84">
        <v>306402</v>
      </c>
      <c r="K90" s="84">
        <v>369430</v>
      </c>
      <c r="L90" s="84">
        <v>418659</v>
      </c>
      <c r="M90" s="84">
        <v>456252</v>
      </c>
      <c r="N90" s="84">
        <v>494777</v>
      </c>
      <c r="O90" s="84">
        <v>500867</v>
      </c>
      <c r="P90" s="84">
        <v>494148</v>
      </c>
      <c r="Q90" s="84">
        <v>475711</v>
      </c>
      <c r="R90" s="84">
        <v>448025</v>
      </c>
      <c r="S90" s="84">
        <v>421283</v>
      </c>
      <c r="T90" s="84">
        <v>395592</v>
      </c>
      <c r="U90" s="84">
        <v>371472</v>
      </c>
      <c r="V90" s="84">
        <v>359441</v>
      </c>
      <c r="W90" s="84">
        <v>345098</v>
      </c>
      <c r="X90" s="84">
        <v>338809</v>
      </c>
      <c r="Y90" s="84">
        <v>343975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27853</v>
      </c>
      <c r="H91" s="84">
        <v>32392</v>
      </c>
      <c r="I91" s="84">
        <v>32672</v>
      </c>
      <c r="J91" s="84">
        <v>32800</v>
      </c>
      <c r="K91" s="84">
        <v>68515</v>
      </c>
      <c r="L91" s="84">
        <v>71519</v>
      </c>
      <c r="M91" s="84">
        <v>74853</v>
      </c>
      <c r="N91" s="84">
        <v>76284</v>
      </c>
      <c r="O91" s="84">
        <v>79065</v>
      </c>
      <c r="P91" s="84">
        <v>81423</v>
      </c>
      <c r="Q91" s="84">
        <v>80300</v>
      </c>
      <c r="R91" s="84">
        <v>77187</v>
      </c>
      <c r="S91" s="84">
        <v>75459</v>
      </c>
      <c r="T91" s="84">
        <v>80776</v>
      </c>
      <c r="U91" s="84">
        <v>83716</v>
      </c>
      <c r="V91" s="84">
        <v>83112</v>
      </c>
      <c r="W91" s="84">
        <v>83207</v>
      </c>
      <c r="X91" s="84">
        <v>84173</v>
      </c>
      <c r="Y91" s="84">
        <v>88453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266</v>
      </c>
      <c r="N92" s="84">
        <v>1332</v>
      </c>
      <c r="O92" s="84">
        <v>2932</v>
      </c>
      <c r="P92" s="84">
        <v>6956</v>
      </c>
      <c r="Q92" s="84">
        <v>17439</v>
      </c>
      <c r="R92" s="84">
        <v>32049</v>
      </c>
      <c r="S92" s="84">
        <v>44419</v>
      </c>
      <c r="T92" s="84">
        <v>66997</v>
      </c>
      <c r="U92" s="84">
        <v>111509</v>
      </c>
      <c r="V92" s="84">
        <v>287037</v>
      </c>
      <c r="W92" s="84">
        <v>609849</v>
      </c>
      <c r="X92" s="84">
        <v>931306</v>
      </c>
      <c r="Y92" s="84">
        <v>1031342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19</v>
      </c>
      <c r="I93" s="84">
        <v>26</v>
      </c>
      <c r="J93" s="84">
        <v>1300</v>
      </c>
      <c r="K93" s="84">
        <v>1588</v>
      </c>
      <c r="L93" s="84">
        <v>2307</v>
      </c>
      <c r="M93" s="84">
        <v>4541</v>
      </c>
      <c r="N93" s="84">
        <v>7114</v>
      </c>
      <c r="O93" s="84">
        <v>12156</v>
      </c>
      <c r="P93" s="84">
        <v>18948</v>
      </c>
      <c r="Q93" s="84">
        <v>25502</v>
      </c>
      <c r="R93" s="84">
        <v>34022</v>
      </c>
      <c r="S93" s="84">
        <v>53861</v>
      </c>
      <c r="T93" s="84">
        <v>83175</v>
      </c>
      <c r="U93" s="84">
        <v>133886</v>
      </c>
      <c r="V93" s="84">
        <v>308139</v>
      </c>
      <c r="W93" s="84">
        <v>658972</v>
      </c>
      <c r="X93" s="84">
        <v>974926</v>
      </c>
      <c r="Y93" s="84">
        <v>1368310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86656</v>
      </c>
      <c r="C94" s="110">
        <f t="shared" si="155"/>
        <v>86533</v>
      </c>
      <c r="D94" s="110">
        <f t="shared" ref="D94:V94" si="156">SUM(D95:D99)</f>
        <v>85913</v>
      </c>
      <c r="E94" s="110">
        <f t="shared" si="156"/>
        <v>86480</v>
      </c>
      <c r="F94" s="110">
        <f t="shared" si="156"/>
        <v>85508</v>
      </c>
      <c r="G94" s="110">
        <f t="shared" si="156"/>
        <v>83904</v>
      </c>
      <c r="H94" s="110">
        <f t="shared" si="156"/>
        <v>83549</v>
      </c>
      <c r="I94" s="110">
        <f t="shared" si="156"/>
        <v>75068</v>
      </c>
      <c r="J94" s="110">
        <f t="shared" si="156"/>
        <v>75270</v>
      </c>
      <c r="K94" s="110">
        <f t="shared" si="156"/>
        <v>76433</v>
      </c>
      <c r="L94" s="110">
        <f t="shared" si="156"/>
        <v>76463</v>
      </c>
      <c r="M94" s="110">
        <f t="shared" si="156"/>
        <v>75988</v>
      </c>
      <c r="N94" s="110">
        <f t="shared" si="156"/>
        <v>76023</v>
      </c>
      <c r="O94" s="110">
        <f t="shared" si="156"/>
        <v>76794</v>
      </c>
      <c r="P94" s="110">
        <f t="shared" si="156"/>
        <v>77501</v>
      </c>
      <c r="Q94" s="110">
        <f t="shared" si="156"/>
        <v>78345</v>
      </c>
      <c r="R94" s="110">
        <f t="shared" si="156"/>
        <v>78949</v>
      </c>
      <c r="S94" s="110">
        <f t="shared" si="156"/>
        <v>79438</v>
      </c>
      <c r="T94" s="110">
        <f t="shared" si="156"/>
        <v>80519</v>
      </c>
      <c r="U94" s="110">
        <f t="shared" si="156"/>
        <v>81364</v>
      </c>
      <c r="V94" s="110">
        <f t="shared" si="156"/>
        <v>75548</v>
      </c>
      <c r="W94" s="110">
        <f t="shared" ref="W94:Y94" si="157">SUM(W95:W99)</f>
        <v>80225</v>
      </c>
      <c r="X94" s="110">
        <f t="shared" si="157"/>
        <v>82932</v>
      </c>
      <c r="Y94" s="110">
        <f t="shared" si="157"/>
        <v>84628</v>
      </c>
      <c r="DA94" s="176"/>
    </row>
    <row r="95" spans="1:105" ht="11.45" hidden="1" customHeight="1" x14ac:dyDescent="0.25">
      <c r="A95" s="111" t="s">
        <v>110</v>
      </c>
      <c r="B95" s="102">
        <v>0</v>
      </c>
      <c r="C95" s="102">
        <v>0</v>
      </c>
      <c r="D95" s="102">
        <v>0</v>
      </c>
      <c r="E95" s="102">
        <v>0</v>
      </c>
      <c r="F95" s="102">
        <v>0</v>
      </c>
      <c r="G95" s="102">
        <v>0</v>
      </c>
      <c r="H95" s="102">
        <v>0</v>
      </c>
      <c r="I95" s="102">
        <v>0</v>
      </c>
      <c r="J95" s="102">
        <v>0</v>
      </c>
      <c r="K95" s="102">
        <v>0</v>
      </c>
      <c r="L95" s="102">
        <v>0</v>
      </c>
      <c r="M95" s="102">
        <v>0</v>
      </c>
      <c r="N95" s="102">
        <v>0</v>
      </c>
      <c r="O95" s="102">
        <v>0</v>
      </c>
      <c r="P95" s="102">
        <v>0</v>
      </c>
      <c r="Q95" s="102">
        <v>0</v>
      </c>
      <c r="R95" s="102">
        <v>0</v>
      </c>
      <c r="S95" s="102">
        <v>0</v>
      </c>
      <c r="T95" s="102">
        <v>0</v>
      </c>
      <c r="U95" s="102">
        <v>0</v>
      </c>
      <c r="V95" s="102">
        <v>0</v>
      </c>
      <c r="W95" s="102">
        <v>0</v>
      </c>
      <c r="X95" s="102">
        <v>0</v>
      </c>
      <c r="Y95" s="102">
        <v>0</v>
      </c>
      <c r="DA95" s="175"/>
    </row>
    <row r="96" spans="1:105" ht="11.45" hidden="1" customHeight="1" x14ac:dyDescent="0.25">
      <c r="A96" s="111" t="s">
        <v>111</v>
      </c>
      <c r="B96" s="102">
        <v>85549</v>
      </c>
      <c r="C96" s="102">
        <v>85213</v>
      </c>
      <c r="D96" s="102">
        <v>84456</v>
      </c>
      <c r="E96" s="102">
        <v>85016</v>
      </c>
      <c r="F96" s="102">
        <v>84083</v>
      </c>
      <c r="G96" s="102">
        <v>82508</v>
      </c>
      <c r="H96" s="102">
        <v>82016</v>
      </c>
      <c r="I96" s="102">
        <v>73488</v>
      </c>
      <c r="J96" s="102">
        <v>73775</v>
      </c>
      <c r="K96" s="102">
        <v>74784</v>
      </c>
      <c r="L96" s="102">
        <v>74815</v>
      </c>
      <c r="M96" s="102">
        <v>74368</v>
      </c>
      <c r="N96" s="102">
        <v>74272</v>
      </c>
      <c r="O96" s="102">
        <v>74940</v>
      </c>
      <c r="P96" s="102">
        <v>75750</v>
      </c>
      <c r="Q96" s="102">
        <v>76765</v>
      </c>
      <c r="R96" s="102">
        <v>77477</v>
      </c>
      <c r="S96" s="102">
        <v>78074</v>
      </c>
      <c r="T96" s="102">
        <v>79165</v>
      </c>
      <c r="U96" s="102">
        <v>79856</v>
      </c>
      <c r="V96" s="102">
        <v>73762</v>
      </c>
      <c r="W96" s="102">
        <v>77918</v>
      </c>
      <c r="X96" s="102">
        <v>80032</v>
      </c>
      <c r="Y96" s="102">
        <v>80972</v>
      </c>
      <c r="DA96" s="175"/>
    </row>
    <row r="97" spans="1:105" ht="11.45" hidden="1" customHeight="1" x14ac:dyDescent="0.25">
      <c r="A97" s="111" t="s">
        <v>112</v>
      </c>
      <c r="B97" s="102">
        <v>0</v>
      </c>
      <c r="C97" s="102">
        <v>0</v>
      </c>
      <c r="D97" s="102">
        <v>0</v>
      </c>
      <c r="E97" s="102">
        <v>0</v>
      </c>
      <c r="F97" s="102">
        <v>10</v>
      </c>
      <c r="G97" s="102">
        <v>10</v>
      </c>
      <c r="H97" s="102">
        <v>10</v>
      </c>
      <c r="I97" s="102">
        <v>12</v>
      </c>
      <c r="J97" s="102">
        <v>17</v>
      </c>
      <c r="K97" s="102">
        <v>23</v>
      </c>
      <c r="L97" s="102">
        <v>25</v>
      </c>
      <c r="M97" s="102">
        <v>24</v>
      </c>
      <c r="N97" s="102">
        <v>24</v>
      </c>
      <c r="O97" s="102">
        <v>23</v>
      </c>
      <c r="P97" s="102">
        <v>22</v>
      </c>
      <c r="Q97" s="102">
        <v>21</v>
      </c>
      <c r="R97" s="102">
        <v>21</v>
      </c>
      <c r="S97" s="102">
        <v>20</v>
      </c>
      <c r="T97" s="102">
        <v>20</v>
      </c>
      <c r="U97" s="102">
        <v>21</v>
      </c>
      <c r="V97" s="102">
        <v>18</v>
      </c>
      <c r="W97" s="102">
        <v>20</v>
      </c>
      <c r="X97" s="102">
        <v>16</v>
      </c>
      <c r="Y97" s="102">
        <v>10</v>
      </c>
      <c r="DA97" s="175"/>
    </row>
    <row r="98" spans="1:105" ht="11.45" hidden="1" customHeight="1" x14ac:dyDescent="0.25">
      <c r="A98" s="111" t="s">
        <v>113</v>
      </c>
      <c r="B98" s="102">
        <v>1002</v>
      </c>
      <c r="C98" s="102">
        <v>1202</v>
      </c>
      <c r="D98" s="102">
        <v>1320</v>
      </c>
      <c r="E98" s="102">
        <v>1335</v>
      </c>
      <c r="F98" s="102">
        <v>1297</v>
      </c>
      <c r="G98" s="102">
        <v>1277</v>
      </c>
      <c r="H98" s="102">
        <v>1423</v>
      </c>
      <c r="I98" s="102">
        <v>1476</v>
      </c>
      <c r="J98" s="102">
        <v>1386</v>
      </c>
      <c r="K98" s="102">
        <v>1532</v>
      </c>
      <c r="L98" s="102">
        <v>1533</v>
      </c>
      <c r="M98" s="102">
        <v>1501</v>
      </c>
      <c r="N98" s="102">
        <v>1631</v>
      </c>
      <c r="O98" s="102">
        <v>1732</v>
      </c>
      <c r="P98" s="102">
        <v>1613</v>
      </c>
      <c r="Q98" s="102">
        <v>1422</v>
      </c>
      <c r="R98" s="102">
        <v>1283</v>
      </c>
      <c r="S98" s="102">
        <v>1161</v>
      </c>
      <c r="T98" s="102">
        <v>1106</v>
      </c>
      <c r="U98" s="102">
        <v>1102</v>
      </c>
      <c r="V98" s="102">
        <v>1036</v>
      </c>
      <c r="W98" s="102">
        <v>1000</v>
      </c>
      <c r="X98" s="102">
        <v>1000</v>
      </c>
      <c r="Y98" s="102">
        <v>995</v>
      </c>
      <c r="DA98" s="175"/>
    </row>
    <row r="99" spans="1:105" ht="11.45" hidden="1" customHeight="1" x14ac:dyDescent="0.25">
      <c r="A99" s="111" t="s">
        <v>115</v>
      </c>
      <c r="B99" s="102">
        <v>105</v>
      </c>
      <c r="C99" s="102">
        <v>118</v>
      </c>
      <c r="D99" s="102">
        <v>137</v>
      </c>
      <c r="E99" s="102">
        <v>129</v>
      </c>
      <c r="F99" s="102">
        <v>118</v>
      </c>
      <c r="G99" s="102">
        <v>109</v>
      </c>
      <c r="H99" s="102">
        <v>100</v>
      </c>
      <c r="I99" s="102">
        <v>92</v>
      </c>
      <c r="J99" s="102">
        <v>92</v>
      </c>
      <c r="K99" s="102">
        <v>94</v>
      </c>
      <c r="L99" s="102">
        <v>90</v>
      </c>
      <c r="M99" s="102">
        <v>95</v>
      </c>
      <c r="N99" s="102">
        <v>96</v>
      </c>
      <c r="O99" s="102">
        <v>99</v>
      </c>
      <c r="P99" s="102">
        <v>116</v>
      </c>
      <c r="Q99" s="102">
        <v>137</v>
      </c>
      <c r="R99" s="102">
        <v>168</v>
      </c>
      <c r="S99" s="102">
        <v>183</v>
      </c>
      <c r="T99" s="102">
        <v>228</v>
      </c>
      <c r="U99" s="102">
        <v>385</v>
      </c>
      <c r="V99" s="102">
        <v>732</v>
      </c>
      <c r="W99" s="102">
        <v>1287</v>
      </c>
      <c r="X99" s="102">
        <v>1884</v>
      </c>
      <c r="Y99" s="102">
        <v>2651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2671221</v>
      </c>
      <c r="C100" s="28">
        <f t="shared" si="158"/>
        <v>2669931</v>
      </c>
      <c r="D100" s="28">
        <f t="shared" ref="D100:V100" si="159">D101+D107</f>
        <v>2634178</v>
      </c>
      <c r="E100" s="28">
        <f t="shared" si="159"/>
        <v>2591160</v>
      </c>
      <c r="F100" s="28">
        <f t="shared" si="159"/>
        <v>2584120</v>
      </c>
      <c r="G100" s="28">
        <f t="shared" si="159"/>
        <v>2584556</v>
      </c>
      <c r="H100" s="28">
        <f t="shared" si="159"/>
        <v>2639614</v>
      </c>
      <c r="I100" s="28">
        <f t="shared" si="159"/>
        <v>2559653</v>
      </c>
      <c r="J100" s="28">
        <f t="shared" si="159"/>
        <v>2585744</v>
      </c>
      <c r="K100" s="28">
        <f t="shared" si="159"/>
        <v>2619903</v>
      </c>
      <c r="L100" s="28">
        <f t="shared" si="159"/>
        <v>2691167</v>
      </c>
      <c r="M100" s="28">
        <f t="shared" si="159"/>
        <v>2787151</v>
      </c>
      <c r="N100" s="28">
        <f t="shared" si="159"/>
        <v>2841618</v>
      </c>
      <c r="O100" s="28">
        <f t="shared" si="159"/>
        <v>2893690</v>
      </c>
      <c r="P100" s="28">
        <f t="shared" si="159"/>
        <v>2965427</v>
      </c>
      <c r="Q100" s="28">
        <f t="shared" si="159"/>
        <v>3062012</v>
      </c>
      <c r="R100" s="28">
        <f t="shared" si="159"/>
        <v>3206264</v>
      </c>
      <c r="S100" s="28">
        <f t="shared" si="159"/>
        <v>3359316</v>
      </c>
      <c r="T100" s="28">
        <f t="shared" si="159"/>
        <v>3487241</v>
      </c>
      <c r="U100" s="28">
        <f t="shared" si="159"/>
        <v>3651688</v>
      </c>
      <c r="V100" s="28">
        <f t="shared" si="159"/>
        <v>3818375</v>
      </c>
      <c r="W100" s="28">
        <f t="shared" ref="W100:Y100" si="160">W101+W107</f>
        <v>3985930</v>
      </c>
      <c r="X100" s="28">
        <f t="shared" si="160"/>
        <v>4096169</v>
      </c>
      <c r="Y100" s="28">
        <f t="shared" si="160"/>
        <v>4212172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1732021</v>
      </c>
      <c r="C101" s="137">
        <f t="shared" si="161"/>
        <v>1739889</v>
      </c>
      <c r="D101" s="137">
        <f t="shared" ref="D101:V101" si="162">SUM(D102:D106)</f>
        <v>1741182</v>
      </c>
      <c r="E101" s="137">
        <f t="shared" si="162"/>
        <v>1730969</v>
      </c>
      <c r="F101" s="137">
        <f t="shared" si="162"/>
        <v>1729794</v>
      </c>
      <c r="G101" s="137">
        <f t="shared" si="162"/>
        <v>1736770</v>
      </c>
      <c r="H101" s="137">
        <f t="shared" si="162"/>
        <v>1782979</v>
      </c>
      <c r="I101" s="137">
        <f t="shared" si="162"/>
        <v>1812800</v>
      </c>
      <c r="J101" s="137">
        <f t="shared" si="162"/>
        <v>1848272</v>
      </c>
      <c r="K101" s="137">
        <f t="shared" si="162"/>
        <v>1886261</v>
      </c>
      <c r="L101" s="137">
        <f t="shared" si="162"/>
        <v>1954844</v>
      </c>
      <c r="M101" s="137">
        <f t="shared" si="162"/>
        <v>2035658</v>
      </c>
      <c r="N101" s="137">
        <f t="shared" si="162"/>
        <v>2091479</v>
      </c>
      <c r="O101" s="137">
        <f t="shared" si="162"/>
        <v>2129315</v>
      </c>
      <c r="P101" s="137">
        <f t="shared" si="162"/>
        <v>2187308</v>
      </c>
      <c r="Q101" s="137">
        <f t="shared" si="162"/>
        <v>2267996</v>
      </c>
      <c r="R101" s="137">
        <f t="shared" si="162"/>
        <v>2383394</v>
      </c>
      <c r="S101" s="137">
        <f t="shared" si="162"/>
        <v>2500520</v>
      </c>
      <c r="T101" s="137">
        <f t="shared" si="162"/>
        <v>2616118</v>
      </c>
      <c r="U101" s="137">
        <f t="shared" si="162"/>
        <v>2743525</v>
      </c>
      <c r="V101" s="137">
        <f t="shared" si="162"/>
        <v>2880870</v>
      </c>
      <c r="W101" s="137">
        <f t="shared" ref="W101:Y101" si="163">SUM(W102:W106)</f>
        <v>3018598</v>
      </c>
      <c r="X101" s="137">
        <f t="shared" si="163"/>
        <v>3110652</v>
      </c>
      <c r="Y101" s="137">
        <f t="shared" si="163"/>
        <v>3208845</v>
      </c>
      <c r="DA101" s="174"/>
    </row>
    <row r="102" spans="1:105" ht="11.45" hidden="1" customHeight="1" x14ac:dyDescent="0.25">
      <c r="A102" s="111" t="s">
        <v>110</v>
      </c>
      <c r="B102" s="84">
        <v>243980</v>
      </c>
      <c r="C102" s="84">
        <v>230397</v>
      </c>
      <c r="D102" s="84">
        <v>210181</v>
      </c>
      <c r="E102" s="84">
        <v>190023</v>
      </c>
      <c r="F102" s="84">
        <v>171731</v>
      </c>
      <c r="G102" s="84">
        <v>157706</v>
      </c>
      <c r="H102" s="84">
        <v>147292</v>
      </c>
      <c r="I102" s="84">
        <v>145481</v>
      </c>
      <c r="J102" s="84">
        <v>140765</v>
      </c>
      <c r="K102" s="84">
        <v>137065</v>
      </c>
      <c r="L102" s="84">
        <v>132527</v>
      </c>
      <c r="M102" s="84">
        <v>129134</v>
      </c>
      <c r="N102" s="84">
        <v>124532</v>
      </c>
      <c r="O102" s="84">
        <v>121844</v>
      </c>
      <c r="P102" s="84">
        <v>119360</v>
      </c>
      <c r="Q102" s="84">
        <v>117552</v>
      </c>
      <c r="R102" s="84">
        <v>118634</v>
      </c>
      <c r="S102" s="84">
        <v>119853</v>
      </c>
      <c r="T102" s="84">
        <v>121035</v>
      </c>
      <c r="U102" s="84">
        <v>122442</v>
      </c>
      <c r="V102" s="84">
        <v>124714</v>
      </c>
      <c r="W102" s="84">
        <v>127142</v>
      </c>
      <c r="X102" s="84">
        <v>129404</v>
      </c>
      <c r="Y102" s="84">
        <v>131536</v>
      </c>
      <c r="DA102" s="171"/>
    </row>
    <row r="103" spans="1:105" ht="11.45" hidden="1" customHeight="1" x14ac:dyDescent="0.25">
      <c r="A103" s="111" t="s">
        <v>111</v>
      </c>
      <c r="B103" s="84">
        <v>1487122</v>
      </c>
      <c r="C103" s="84">
        <v>1508584</v>
      </c>
      <c r="D103" s="84">
        <v>1530129</v>
      </c>
      <c r="E103" s="84">
        <v>1540132</v>
      </c>
      <c r="F103" s="84">
        <v>1557287</v>
      </c>
      <c r="G103" s="84">
        <v>1578349</v>
      </c>
      <c r="H103" s="84">
        <v>1623700</v>
      </c>
      <c r="I103" s="84">
        <v>1652913</v>
      </c>
      <c r="J103" s="84">
        <v>1688668</v>
      </c>
      <c r="K103" s="84">
        <v>1727537</v>
      </c>
      <c r="L103" s="84">
        <v>1798234</v>
      </c>
      <c r="M103" s="84">
        <v>1881389</v>
      </c>
      <c r="N103" s="84">
        <v>1940662</v>
      </c>
      <c r="O103" s="84">
        <v>1981210</v>
      </c>
      <c r="P103" s="84">
        <v>2040172</v>
      </c>
      <c r="Q103" s="84">
        <v>2122126</v>
      </c>
      <c r="R103" s="84">
        <v>2233045</v>
      </c>
      <c r="S103" s="84">
        <v>2342249</v>
      </c>
      <c r="T103" s="84">
        <v>2451278</v>
      </c>
      <c r="U103" s="84">
        <v>2571190</v>
      </c>
      <c r="V103" s="84">
        <v>2700397</v>
      </c>
      <c r="W103" s="84">
        <v>2819002</v>
      </c>
      <c r="X103" s="84">
        <v>2889297</v>
      </c>
      <c r="Y103" s="84">
        <v>2972672</v>
      </c>
      <c r="DA103" s="171"/>
    </row>
    <row r="104" spans="1:105" ht="11.45" hidden="1" customHeight="1" x14ac:dyDescent="0.25">
      <c r="A104" s="111" t="s">
        <v>112</v>
      </c>
      <c r="B104" s="84">
        <v>0</v>
      </c>
      <c r="C104" s="84">
        <v>0</v>
      </c>
      <c r="D104" s="84">
        <v>0</v>
      </c>
      <c r="E104" s="84">
        <v>0</v>
      </c>
      <c r="F104" s="84">
        <v>0</v>
      </c>
      <c r="G104" s="84">
        <v>0</v>
      </c>
      <c r="H104" s="84">
        <v>1505</v>
      </c>
      <c r="I104" s="84">
        <v>2238</v>
      </c>
      <c r="J104" s="84">
        <v>4528</v>
      </c>
      <c r="K104" s="84">
        <v>6014</v>
      </c>
      <c r="L104" s="84">
        <v>7317</v>
      </c>
      <c r="M104" s="84">
        <v>8576</v>
      </c>
      <c r="N104" s="84">
        <v>9749</v>
      </c>
      <c r="O104" s="84">
        <v>10160</v>
      </c>
      <c r="P104" s="84">
        <v>11392</v>
      </c>
      <c r="Q104" s="84">
        <v>12475</v>
      </c>
      <c r="R104" s="84">
        <v>13021</v>
      </c>
      <c r="S104" s="84">
        <v>13749</v>
      </c>
      <c r="T104" s="84">
        <v>14631</v>
      </c>
      <c r="U104" s="84">
        <v>16088</v>
      </c>
      <c r="V104" s="84">
        <v>17962</v>
      </c>
      <c r="W104" s="84">
        <v>20187</v>
      </c>
      <c r="X104" s="84">
        <v>21836</v>
      </c>
      <c r="Y104" s="84">
        <v>23246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0</v>
      </c>
      <c r="F105" s="84">
        <v>0</v>
      </c>
      <c r="G105" s="84">
        <v>0</v>
      </c>
      <c r="H105" s="84">
        <v>9833</v>
      </c>
      <c r="I105" s="84">
        <v>11603</v>
      </c>
      <c r="J105" s="84">
        <v>13727</v>
      </c>
      <c r="K105" s="84">
        <v>15007</v>
      </c>
      <c r="L105" s="84">
        <v>15913</v>
      </c>
      <c r="M105" s="84">
        <v>15374</v>
      </c>
      <c r="N105" s="84">
        <v>14416</v>
      </c>
      <c r="O105" s="84">
        <v>13825</v>
      </c>
      <c r="P105" s="84">
        <v>13619</v>
      </c>
      <c r="Q105" s="84">
        <v>13391</v>
      </c>
      <c r="R105" s="84">
        <v>13797</v>
      </c>
      <c r="S105" s="84">
        <v>14203</v>
      </c>
      <c r="T105" s="84">
        <v>13823</v>
      </c>
      <c r="U105" s="84">
        <v>13475</v>
      </c>
      <c r="V105" s="84">
        <v>12715</v>
      </c>
      <c r="W105" s="84">
        <v>11437</v>
      </c>
      <c r="X105" s="84">
        <v>10094</v>
      </c>
      <c r="Y105" s="84">
        <v>8748</v>
      </c>
      <c r="DA105" s="171"/>
    </row>
    <row r="106" spans="1:105" ht="11.45" hidden="1" customHeight="1" x14ac:dyDescent="0.25">
      <c r="A106" s="111" t="s">
        <v>115</v>
      </c>
      <c r="B106" s="84">
        <v>919</v>
      </c>
      <c r="C106" s="84">
        <v>908</v>
      </c>
      <c r="D106" s="84">
        <v>872</v>
      </c>
      <c r="E106" s="84">
        <v>814</v>
      </c>
      <c r="F106" s="84">
        <v>776</v>
      </c>
      <c r="G106" s="84">
        <v>715</v>
      </c>
      <c r="H106" s="84">
        <v>649</v>
      </c>
      <c r="I106" s="84">
        <v>565</v>
      </c>
      <c r="J106" s="84">
        <v>584</v>
      </c>
      <c r="K106" s="84">
        <v>638</v>
      </c>
      <c r="L106" s="84">
        <v>853</v>
      </c>
      <c r="M106" s="84">
        <v>1185</v>
      </c>
      <c r="N106" s="84">
        <v>2120</v>
      </c>
      <c r="O106" s="84">
        <v>2276</v>
      </c>
      <c r="P106" s="84">
        <v>2765</v>
      </c>
      <c r="Q106" s="84">
        <v>2452</v>
      </c>
      <c r="R106" s="84">
        <v>4897</v>
      </c>
      <c r="S106" s="84">
        <v>10466</v>
      </c>
      <c r="T106" s="84">
        <v>15351</v>
      </c>
      <c r="U106" s="84">
        <v>20330</v>
      </c>
      <c r="V106" s="84">
        <v>25082</v>
      </c>
      <c r="W106" s="84">
        <v>40830</v>
      </c>
      <c r="X106" s="84">
        <v>60021</v>
      </c>
      <c r="Y106" s="84">
        <v>72643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939200</v>
      </c>
      <c r="C107" s="110">
        <f t="shared" si="164"/>
        <v>930042</v>
      </c>
      <c r="D107" s="110">
        <f t="shared" ref="D107:V107" si="165">SUM(D108:D109)</f>
        <v>892996</v>
      </c>
      <c r="E107" s="110">
        <f t="shared" si="165"/>
        <v>860191</v>
      </c>
      <c r="F107" s="110">
        <f t="shared" si="165"/>
        <v>854326</v>
      </c>
      <c r="G107" s="110">
        <f t="shared" si="165"/>
        <v>847786</v>
      </c>
      <c r="H107" s="110">
        <f t="shared" si="165"/>
        <v>856635</v>
      </c>
      <c r="I107" s="110">
        <f t="shared" si="165"/>
        <v>746853</v>
      </c>
      <c r="J107" s="110">
        <f t="shared" si="165"/>
        <v>737472</v>
      </c>
      <c r="K107" s="110">
        <f t="shared" si="165"/>
        <v>733642</v>
      </c>
      <c r="L107" s="110">
        <f t="shared" si="165"/>
        <v>736323</v>
      </c>
      <c r="M107" s="110">
        <f t="shared" si="165"/>
        <v>751493</v>
      </c>
      <c r="N107" s="110">
        <f t="shared" si="165"/>
        <v>750139</v>
      </c>
      <c r="O107" s="110">
        <f t="shared" si="165"/>
        <v>764375</v>
      </c>
      <c r="P107" s="110">
        <f t="shared" si="165"/>
        <v>778119</v>
      </c>
      <c r="Q107" s="110">
        <f t="shared" si="165"/>
        <v>794016</v>
      </c>
      <c r="R107" s="110">
        <f t="shared" si="165"/>
        <v>822870</v>
      </c>
      <c r="S107" s="110">
        <f t="shared" si="165"/>
        <v>858796</v>
      </c>
      <c r="T107" s="110">
        <f t="shared" si="165"/>
        <v>871123</v>
      </c>
      <c r="U107" s="110">
        <f t="shared" si="165"/>
        <v>908163</v>
      </c>
      <c r="V107" s="110">
        <f t="shared" si="165"/>
        <v>937505</v>
      </c>
      <c r="W107" s="110">
        <f t="shared" ref="W107:Y107" si="166">SUM(W108:W109)</f>
        <v>967332</v>
      </c>
      <c r="X107" s="110">
        <f t="shared" si="166"/>
        <v>985517</v>
      </c>
      <c r="Y107" s="110">
        <f t="shared" si="166"/>
        <v>1003327</v>
      </c>
      <c r="DA107" s="176"/>
    </row>
    <row r="108" spans="1:105" ht="11.45" hidden="1" customHeight="1" x14ac:dyDescent="0.25">
      <c r="A108" s="128" t="s">
        <v>27</v>
      </c>
      <c r="B108" s="102">
        <v>859876</v>
      </c>
      <c r="C108" s="102">
        <v>844998</v>
      </c>
      <c r="D108" s="102">
        <v>803528</v>
      </c>
      <c r="E108" s="102">
        <v>768744</v>
      </c>
      <c r="F108" s="102">
        <v>746206</v>
      </c>
      <c r="G108" s="102">
        <v>735866</v>
      </c>
      <c r="H108" s="102">
        <v>737154</v>
      </c>
      <c r="I108" s="102">
        <v>620399</v>
      </c>
      <c r="J108" s="102">
        <v>606061</v>
      </c>
      <c r="K108" s="102">
        <v>613932</v>
      </c>
      <c r="L108" s="102">
        <v>609823</v>
      </c>
      <c r="M108" s="102">
        <v>624515</v>
      </c>
      <c r="N108" s="102">
        <v>621730</v>
      </c>
      <c r="O108" s="102">
        <v>631041</v>
      </c>
      <c r="P108" s="102">
        <v>641754</v>
      </c>
      <c r="Q108" s="102">
        <v>656720</v>
      </c>
      <c r="R108" s="102">
        <v>674673</v>
      </c>
      <c r="S108" s="102">
        <v>698132</v>
      </c>
      <c r="T108" s="102">
        <v>719416</v>
      </c>
      <c r="U108" s="102">
        <v>744806</v>
      </c>
      <c r="V108" s="102">
        <v>770746</v>
      </c>
      <c r="W108" s="102">
        <v>793039</v>
      </c>
      <c r="X108" s="102">
        <v>810743</v>
      </c>
      <c r="Y108" s="102">
        <v>830149</v>
      </c>
      <c r="DA108" s="175"/>
    </row>
    <row r="109" spans="1:105" ht="11.45" hidden="1" customHeight="1" x14ac:dyDescent="0.25">
      <c r="A109" s="138" t="s">
        <v>116</v>
      </c>
      <c r="B109" s="86">
        <v>79324</v>
      </c>
      <c r="C109" s="86">
        <v>85044</v>
      </c>
      <c r="D109" s="86">
        <v>89468</v>
      </c>
      <c r="E109" s="86">
        <v>91447</v>
      </c>
      <c r="F109" s="86">
        <v>108120</v>
      </c>
      <c r="G109" s="86">
        <v>111920</v>
      </c>
      <c r="H109" s="86">
        <v>119481</v>
      </c>
      <c r="I109" s="86">
        <v>126454</v>
      </c>
      <c r="J109" s="86">
        <v>131411</v>
      </c>
      <c r="K109" s="86">
        <v>119710</v>
      </c>
      <c r="L109" s="86">
        <v>126500</v>
      </c>
      <c r="M109" s="86">
        <v>126978</v>
      </c>
      <c r="N109" s="86">
        <v>128409</v>
      </c>
      <c r="O109" s="86">
        <v>133334</v>
      </c>
      <c r="P109" s="86">
        <v>136365</v>
      </c>
      <c r="Q109" s="86">
        <v>137296</v>
      </c>
      <c r="R109" s="86">
        <v>148197</v>
      </c>
      <c r="S109" s="86">
        <v>160664</v>
      </c>
      <c r="T109" s="86">
        <v>151707</v>
      </c>
      <c r="U109" s="86">
        <v>163357</v>
      </c>
      <c r="V109" s="86">
        <v>166759</v>
      </c>
      <c r="W109" s="86">
        <v>174293</v>
      </c>
      <c r="X109" s="86">
        <v>174774</v>
      </c>
      <c r="Y109" s="86">
        <v>173178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4009329</v>
      </c>
      <c r="C111" s="54">
        <f t="shared" si="167"/>
        <v>3975238</v>
      </c>
      <c r="D111" s="54">
        <f t="shared" si="167"/>
        <v>3863426</v>
      </c>
      <c r="E111" s="54">
        <f t="shared" si="167"/>
        <v>3835232</v>
      </c>
      <c r="F111" s="54">
        <f t="shared" si="167"/>
        <v>3921214</v>
      </c>
      <c r="G111" s="54">
        <f t="shared" si="167"/>
        <v>3842784</v>
      </c>
      <c r="H111" s="54">
        <f t="shared" si="167"/>
        <v>4163891</v>
      </c>
      <c r="I111" s="54">
        <f t="shared" si="167"/>
        <v>3734472</v>
      </c>
      <c r="J111" s="54">
        <f t="shared" si="167"/>
        <v>3656063</v>
      </c>
      <c r="K111" s="54">
        <f t="shared" si="167"/>
        <v>4413836</v>
      </c>
      <c r="L111" s="54">
        <f t="shared" ref="L111" si="168">L112+L127</f>
        <v>3474336</v>
      </c>
      <c r="M111" s="54">
        <f t="shared" ref="M111:V111" si="169">M112+M127</f>
        <v>3788776</v>
      </c>
      <c r="N111" s="54">
        <f t="shared" si="169"/>
        <v>3673490</v>
      </c>
      <c r="O111" s="54">
        <f t="shared" si="169"/>
        <v>3518610</v>
      </c>
      <c r="P111" s="54">
        <f t="shared" si="169"/>
        <v>3651579</v>
      </c>
      <c r="Q111" s="54">
        <f t="shared" si="169"/>
        <v>3830260</v>
      </c>
      <c r="R111" s="54">
        <f t="shared" si="169"/>
        <v>4070827</v>
      </c>
      <c r="S111" s="54">
        <f t="shared" si="169"/>
        <v>4270853</v>
      </c>
      <c r="T111" s="54">
        <f t="shared" si="169"/>
        <v>4181937</v>
      </c>
      <c r="U111" s="54">
        <f t="shared" si="169"/>
        <v>4449926</v>
      </c>
      <c r="V111" s="54">
        <f t="shared" si="169"/>
        <v>3853370</v>
      </c>
      <c r="W111" s="54">
        <f t="shared" ref="W111:Y111" si="170">W112+W127</f>
        <v>3665797</v>
      </c>
      <c r="X111" s="54">
        <f t="shared" si="170"/>
        <v>3771395</v>
      </c>
      <c r="Y111" s="54">
        <f t="shared" si="170"/>
        <v>4187142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3815333</v>
      </c>
      <c r="C112" s="28">
        <f t="shared" si="171"/>
        <v>3762783</v>
      </c>
      <c r="D112" s="28">
        <f t="shared" si="171"/>
        <v>3679332</v>
      </c>
      <c r="E112" s="28">
        <f t="shared" si="171"/>
        <v>3660008</v>
      </c>
      <c r="F112" s="28">
        <f t="shared" si="171"/>
        <v>3694133</v>
      </c>
      <c r="G112" s="28">
        <f t="shared" si="171"/>
        <v>3759129</v>
      </c>
      <c r="H112" s="28">
        <f t="shared" si="171"/>
        <v>3881527</v>
      </c>
      <c r="I112" s="28">
        <f t="shared" si="171"/>
        <v>3491368</v>
      </c>
      <c r="J112" s="28">
        <f t="shared" si="171"/>
        <v>3411860</v>
      </c>
      <c r="K112" s="28">
        <f t="shared" si="171"/>
        <v>4185413</v>
      </c>
      <c r="L112" s="28">
        <f t="shared" ref="L112" si="172">L113+L114+L121</f>
        <v>3200482</v>
      </c>
      <c r="M112" s="28">
        <f t="shared" ref="M112:V112" si="173">M113+M114+M121</f>
        <v>3465059</v>
      </c>
      <c r="N112" s="28">
        <f t="shared" si="173"/>
        <v>3385252</v>
      </c>
      <c r="O112" s="28">
        <f t="shared" si="173"/>
        <v>3226119</v>
      </c>
      <c r="P112" s="28">
        <f t="shared" si="173"/>
        <v>3345646</v>
      </c>
      <c r="Q112" s="28">
        <f t="shared" si="173"/>
        <v>3514995</v>
      </c>
      <c r="R112" s="28">
        <f t="shared" si="173"/>
        <v>3719945</v>
      </c>
      <c r="S112" s="28">
        <f t="shared" si="173"/>
        <v>3903101</v>
      </c>
      <c r="T112" s="28">
        <f t="shared" si="173"/>
        <v>3821195</v>
      </c>
      <c r="U112" s="28">
        <f t="shared" si="173"/>
        <v>4047530</v>
      </c>
      <c r="V112" s="28">
        <f t="shared" si="173"/>
        <v>3499389</v>
      </c>
      <c r="W112" s="28">
        <f t="shared" ref="W112:Y112" si="174">W113+W114+W121</f>
        <v>3308908</v>
      </c>
      <c r="X112" s="28">
        <f t="shared" si="174"/>
        <v>3447682</v>
      </c>
      <c r="Y112" s="28">
        <f t="shared" si="174"/>
        <v>3856651</v>
      </c>
      <c r="DA112" s="173" t="s">
        <v>527</v>
      </c>
    </row>
    <row r="113" spans="1:105" ht="11.45" customHeight="1" x14ac:dyDescent="0.25">
      <c r="A113" s="136" t="s">
        <v>173</v>
      </c>
      <c r="B113" s="137">
        <v>429447</v>
      </c>
      <c r="C113" s="137">
        <v>413893</v>
      </c>
      <c r="D113" s="137">
        <v>408258</v>
      </c>
      <c r="E113" s="137">
        <v>409744</v>
      </c>
      <c r="F113" s="137">
        <v>401985</v>
      </c>
      <c r="G113" s="137">
        <v>382069</v>
      </c>
      <c r="H113" s="137">
        <v>365356</v>
      </c>
      <c r="I113" s="137">
        <v>337734</v>
      </c>
      <c r="J113" s="137">
        <v>315934</v>
      </c>
      <c r="K113" s="137">
        <v>301815</v>
      </c>
      <c r="L113" s="137">
        <v>244586</v>
      </c>
      <c r="M113" s="137">
        <v>261432</v>
      </c>
      <c r="N113" s="137">
        <v>253701</v>
      </c>
      <c r="O113" s="137">
        <v>250255</v>
      </c>
      <c r="P113" s="137">
        <v>287413</v>
      </c>
      <c r="Q113" s="137">
        <v>288156</v>
      </c>
      <c r="R113" s="137">
        <v>331786</v>
      </c>
      <c r="S113" s="137">
        <v>267267</v>
      </c>
      <c r="T113" s="137">
        <v>296605</v>
      </c>
      <c r="U113" s="137">
        <v>301136</v>
      </c>
      <c r="V113" s="137">
        <v>311504</v>
      </c>
      <c r="W113" s="137">
        <v>319476</v>
      </c>
      <c r="X113" s="137">
        <v>387520</v>
      </c>
      <c r="Y113" s="137">
        <v>406235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3379643</v>
      </c>
      <c r="C114" s="110">
        <f t="shared" si="175"/>
        <v>3342665</v>
      </c>
      <c r="D114" s="110">
        <f t="shared" si="175"/>
        <v>3265337</v>
      </c>
      <c r="E114" s="110">
        <f t="shared" si="175"/>
        <v>3244595</v>
      </c>
      <c r="F114" s="110">
        <f t="shared" si="175"/>
        <v>3286750</v>
      </c>
      <c r="G114" s="110">
        <f t="shared" si="175"/>
        <v>3371634</v>
      </c>
      <c r="H114" s="110">
        <f t="shared" si="175"/>
        <v>3510452</v>
      </c>
      <c r="I114" s="110">
        <f t="shared" si="175"/>
        <v>3148163</v>
      </c>
      <c r="J114" s="110">
        <f t="shared" si="175"/>
        <v>3090040</v>
      </c>
      <c r="K114" s="110">
        <f t="shared" si="175"/>
        <v>3877911</v>
      </c>
      <c r="L114" s="110">
        <f t="shared" ref="L114" si="176">SUM(L115:L120)</f>
        <v>2950677</v>
      </c>
      <c r="M114" s="110">
        <f t="shared" ref="M114:V114" si="177">SUM(M115:M120)</f>
        <v>3198585</v>
      </c>
      <c r="N114" s="110">
        <f t="shared" si="177"/>
        <v>3126299</v>
      </c>
      <c r="O114" s="110">
        <f t="shared" si="177"/>
        <v>2970037</v>
      </c>
      <c r="P114" s="110">
        <f t="shared" si="177"/>
        <v>3052443</v>
      </c>
      <c r="Q114" s="110">
        <f t="shared" si="177"/>
        <v>3220702</v>
      </c>
      <c r="R114" s="110">
        <f t="shared" si="177"/>
        <v>3381476</v>
      </c>
      <c r="S114" s="110">
        <f t="shared" si="177"/>
        <v>3629137</v>
      </c>
      <c r="T114" s="110">
        <f t="shared" si="177"/>
        <v>3517903</v>
      </c>
      <c r="U114" s="110">
        <f t="shared" si="177"/>
        <v>3739957</v>
      </c>
      <c r="V114" s="110">
        <f t="shared" si="177"/>
        <v>3180448</v>
      </c>
      <c r="W114" s="110">
        <f t="shared" ref="W114:Y114" si="178">SUM(W115:W120)</f>
        <v>2981657</v>
      </c>
      <c r="X114" s="110">
        <f t="shared" si="178"/>
        <v>3052691</v>
      </c>
      <c r="Y114" s="110">
        <f t="shared" si="178"/>
        <v>3442407</v>
      </c>
      <c r="DA114" s="176" t="s">
        <v>529</v>
      </c>
    </row>
    <row r="115" spans="1:105" ht="11.45" customHeight="1" x14ac:dyDescent="0.25">
      <c r="A115" s="111" t="s">
        <v>110</v>
      </c>
      <c r="B115" s="84">
        <v>2349941</v>
      </c>
      <c r="C115" s="84">
        <v>2183723</v>
      </c>
      <c r="D115" s="84">
        <v>2013610</v>
      </c>
      <c r="E115" s="84">
        <v>1942837</v>
      </c>
      <c r="F115" s="84">
        <v>1823530</v>
      </c>
      <c r="G115" s="84">
        <v>1903190</v>
      </c>
      <c r="H115" s="84">
        <v>1910823</v>
      </c>
      <c r="I115" s="84">
        <v>1888754</v>
      </c>
      <c r="J115" s="84">
        <v>1997632</v>
      </c>
      <c r="K115" s="84">
        <v>2608767</v>
      </c>
      <c r="L115" s="84">
        <v>1672128</v>
      </c>
      <c r="M115" s="84">
        <v>1654206</v>
      </c>
      <c r="N115" s="84">
        <v>1589557</v>
      </c>
      <c r="O115" s="84">
        <v>1542134</v>
      </c>
      <c r="P115" s="84">
        <v>1571683</v>
      </c>
      <c r="Q115" s="84">
        <v>1647610</v>
      </c>
      <c r="R115" s="84">
        <v>1807549</v>
      </c>
      <c r="S115" s="84">
        <v>2218514</v>
      </c>
      <c r="T115" s="84">
        <v>2306038</v>
      </c>
      <c r="U115" s="84">
        <v>2379287</v>
      </c>
      <c r="V115" s="84">
        <v>1798477</v>
      </c>
      <c r="W115" s="84">
        <v>1541752</v>
      </c>
      <c r="X115" s="84">
        <v>1483443</v>
      </c>
      <c r="Y115" s="84">
        <v>1888966</v>
      </c>
      <c r="DA115" s="171" t="s">
        <v>530</v>
      </c>
    </row>
    <row r="116" spans="1:105" ht="11.45" customHeight="1" x14ac:dyDescent="0.25">
      <c r="A116" s="111" t="s">
        <v>111</v>
      </c>
      <c r="B116" s="84">
        <v>1026002</v>
      </c>
      <c r="C116" s="84">
        <v>1155324</v>
      </c>
      <c r="D116" s="84">
        <v>1236213</v>
      </c>
      <c r="E116" s="84">
        <v>1292727</v>
      </c>
      <c r="F116" s="84">
        <v>1437346</v>
      </c>
      <c r="G116" s="84">
        <v>1425576</v>
      </c>
      <c r="H116" s="84">
        <v>1535881</v>
      </c>
      <c r="I116" s="84">
        <v>1145349</v>
      </c>
      <c r="J116" s="84">
        <v>1044910</v>
      </c>
      <c r="K116" s="84">
        <v>1168633</v>
      </c>
      <c r="L116" s="84">
        <v>1221938</v>
      </c>
      <c r="M116" s="84">
        <v>1495966</v>
      </c>
      <c r="N116" s="84">
        <v>1486119</v>
      </c>
      <c r="O116" s="84">
        <v>1403484</v>
      </c>
      <c r="P116" s="84">
        <v>1453001</v>
      </c>
      <c r="Q116" s="84">
        <v>1538867</v>
      </c>
      <c r="R116" s="84">
        <v>1540653</v>
      </c>
      <c r="S116" s="84">
        <v>1348492</v>
      </c>
      <c r="T116" s="84">
        <v>1129026</v>
      </c>
      <c r="U116" s="84">
        <v>1237838</v>
      </c>
      <c r="V116" s="84">
        <v>974500</v>
      </c>
      <c r="W116" s="84">
        <v>746623</v>
      </c>
      <c r="X116" s="84">
        <v>721805</v>
      </c>
      <c r="Y116" s="84">
        <v>836529</v>
      </c>
      <c r="DA116" s="171" t="s">
        <v>531</v>
      </c>
    </row>
    <row r="117" spans="1:105" ht="11.45" customHeight="1" x14ac:dyDescent="0.25">
      <c r="A117" s="111" t="s">
        <v>112</v>
      </c>
      <c r="B117" s="84">
        <v>3700</v>
      </c>
      <c r="C117" s="84">
        <v>3618</v>
      </c>
      <c r="D117" s="84">
        <v>15514</v>
      </c>
      <c r="E117" s="84">
        <v>9031</v>
      </c>
      <c r="F117" s="84">
        <v>25874</v>
      </c>
      <c r="G117" s="84">
        <v>15015</v>
      </c>
      <c r="H117" s="84">
        <v>59190</v>
      </c>
      <c r="I117" s="84">
        <v>113772</v>
      </c>
      <c r="J117" s="84">
        <v>34328</v>
      </c>
      <c r="K117" s="84">
        <v>64401</v>
      </c>
      <c r="L117" s="84">
        <v>50908</v>
      </c>
      <c r="M117" s="84">
        <v>39626</v>
      </c>
      <c r="N117" s="84">
        <v>40948</v>
      </c>
      <c r="O117" s="84">
        <v>8932</v>
      </c>
      <c r="P117" s="84">
        <v>6234</v>
      </c>
      <c r="Q117" s="84">
        <v>4716</v>
      </c>
      <c r="R117" s="84">
        <v>2990</v>
      </c>
      <c r="S117" s="84">
        <v>4400</v>
      </c>
      <c r="T117" s="84">
        <v>4663</v>
      </c>
      <c r="U117" s="84">
        <v>7256</v>
      </c>
      <c r="V117" s="84">
        <v>6543</v>
      </c>
      <c r="W117" s="84">
        <v>10118</v>
      </c>
      <c r="X117" s="84">
        <v>15006</v>
      </c>
      <c r="Y117" s="84">
        <v>13147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27853</v>
      </c>
      <c r="H118" s="84">
        <v>4539</v>
      </c>
      <c r="I118" s="84">
        <v>280</v>
      </c>
      <c r="J118" s="84">
        <v>11896</v>
      </c>
      <c r="K118" s="84">
        <v>35821</v>
      </c>
      <c r="L118" s="84">
        <v>4982</v>
      </c>
      <c r="M118" s="84">
        <v>6283</v>
      </c>
      <c r="N118" s="84">
        <v>5215</v>
      </c>
      <c r="O118" s="84">
        <v>7835</v>
      </c>
      <c r="P118" s="84">
        <v>8194</v>
      </c>
      <c r="Q118" s="84">
        <v>5285</v>
      </c>
      <c r="R118" s="84">
        <v>3240</v>
      </c>
      <c r="S118" s="84">
        <v>3723</v>
      </c>
      <c r="T118" s="84">
        <v>10804</v>
      </c>
      <c r="U118" s="84">
        <v>7628</v>
      </c>
      <c r="V118" s="84">
        <v>7159</v>
      </c>
      <c r="W118" s="84">
        <v>3916</v>
      </c>
      <c r="X118" s="84">
        <v>2312</v>
      </c>
      <c r="Y118" s="84">
        <v>5713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266</v>
      </c>
      <c r="N119" s="84">
        <v>1232</v>
      </c>
      <c r="O119" s="84">
        <v>1601</v>
      </c>
      <c r="P119" s="84">
        <v>4190</v>
      </c>
      <c r="Q119" s="84">
        <v>10855</v>
      </c>
      <c r="R119" s="84">
        <v>14629</v>
      </c>
      <c r="S119" s="84">
        <v>28244</v>
      </c>
      <c r="T119" s="84">
        <v>30839</v>
      </c>
      <c r="U119" s="84">
        <v>44667</v>
      </c>
      <c r="V119" s="84">
        <v>199606</v>
      </c>
      <c r="W119" s="84">
        <v>323287</v>
      </c>
      <c r="X119" s="84">
        <v>359566</v>
      </c>
      <c r="Y119" s="84">
        <v>173833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19</v>
      </c>
      <c r="I120" s="84">
        <v>8</v>
      </c>
      <c r="J120" s="84">
        <v>1274</v>
      </c>
      <c r="K120" s="84">
        <v>289</v>
      </c>
      <c r="L120" s="84">
        <v>721</v>
      </c>
      <c r="M120" s="84">
        <v>2238</v>
      </c>
      <c r="N120" s="84">
        <v>3228</v>
      </c>
      <c r="O120" s="84">
        <v>6051</v>
      </c>
      <c r="P120" s="84">
        <v>9141</v>
      </c>
      <c r="Q120" s="84">
        <v>13369</v>
      </c>
      <c r="R120" s="84">
        <v>12415</v>
      </c>
      <c r="S120" s="84">
        <v>25764</v>
      </c>
      <c r="T120" s="84">
        <v>36533</v>
      </c>
      <c r="U120" s="84">
        <v>63281</v>
      </c>
      <c r="V120" s="84">
        <v>194163</v>
      </c>
      <c r="W120" s="84">
        <v>355961</v>
      </c>
      <c r="X120" s="84">
        <v>470559</v>
      </c>
      <c r="Y120" s="84">
        <v>524219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6243</v>
      </c>
      <c r="C121" s="110">
        <f t="shared" si="179"/>
        <v>6225</v>
      </c>
      <c r="D121" s="110">
        <f t="shared" si="179"/>
        <v>5737</v>
      </c>
      <c r="E121" s="110">
        <f t="shared" si="179"/>
        <v>5669</v>
      </c>
      <c r="F121" s="110">
        <f t="shared" si="179"/>
        <v>5398</v>
      </c>
      <c r="G121" s="110">
        <f t="shared" si="179"/>
        <v>5426</v>
      </c>
      <c r="H121" s="110">
        <f t="shared" si="179"/>
        <v>5719</v>
      </c>
      <c r="I121" s="110">
        <f t="shared" si="179"/>
        <v>5471</v>
      </c>
      <c r="J121" s="110">
        <f t="shared" si="179"/>
        <v>5886</v>
      </c>
      <c r="K121" s="110">
        <f t="shared" si="179"/>
        <v>5687</v>
      </c>
      <c r="L121" s="110">
        <f t="shared" ref="L121" si="180">SUM(L122:L126)</f>
        <v>5219</v>
      </c>
      <c r="M121" s="110">
        <f t="shared" ref="M121:V121" si="181">SUM(M122:M126)</f>
        <v>5042</v>
      </c>
      <c r="N121" s="110">
        <f t="shared" si="181"/>
        <v>5252</v>
      </c>
      <c r="O121" s="110">
        <f t="shared" si="181"/>
        <v>5827</v>
      </c>
      <c r="P121" s="110">
        <f t="shared" si="181"/>
        <v>5790</v>
      </c>
      <c r="Q121" s="110">
        <f t="shared" si="181"/>
        <v>6137</v>
      </c>
      <c r="R121" s="110">
        <f t="shared" si="181"/>
        <v>6683</v>
      </c>
      <c r="S121" s="110">
        <f t="shared" si="181"/>
        <v>6697</v>
      </c>
      <c r="T121" s="110">
        <f t="shared" si="181"/>
        <v>6687</v>
      </c>
      <c r="U121" s="110">
        <f t="shared" si="181"/>
        <v>6437</v>
      </c>
      <c r="V121" s="110">
        <f t="shared" si="181"/>
        <v>7437</v>
      </c>
      <c r="W121" s="110">
        <f t="shared" ref="W121:Y121" si="182">SUM(W122:W126)</f>
        <v>7775</v>
      </c>
      <c r="X121" s="110">
        <f t="shared" si="182"/>
        <v>7471</v>
      </c>
      <c r="Y121" s="110">
        <f t="shared" si="182"/>
        <v>8009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0</v>
      </c>
      <c r="D122" s="102">
        <v>0</v>
      </c>
      <c r="E122" s="102">
        <v>0</v>
      </c>
      <c r="F122" s="102">
        <v>0</v>
      </c>
      <c r="G122" s="102">
        <v>0</v>
      </c>
      <c r="H122" s="102">
        <v>0</v>
      </c>
      <c r="I122" s="102">
        <v>0</v>
      </c>
      <c r="J122" s="102">
        <v>0</v>
      </c>
      <c r="K122" s="102">
        <v>0</v>
      </c>
      <c r="L122" s="102">
        <v>0</v>
      </c>
      <c r="M122" s="102">
        <v>0</v>
      </c>
      <c r="N122" s="102">
        <v>0</v>
      </c>
      <c r="O122" s="102">
        <v>0</v>
      </c>
      <c r="P122" s="102">
        <v>0</v>
      </c>
      <c r="Q122" s="102">
        <v>0</v>
      </c>
      <c r="R122" s="102">
        <v>0</v>
      </c>
      <c r="S122" s="102">
        <v>0</v>
      </c>
      <c r="T122" s="102">
        <v>0</v>
      </c>
      <c r="U122" s="102">
        <v>0</v>
      </c>
      <c r="V122" s="102">
        <v>0</v>
      </c>
      <c r="W122" s="102">
        <v>0</v>
      </c>
      <c r="X122" s="102">
        <v>0</v>
      </c>
      <c r="Y122" s="102">
        <v>0</v>
      </c>
      <c r="DA122" s="175" t="s">
        <v>537</v>
      </c>
    </row>
    <row r="123" spans="1:105" ht="11.45" customHeight="1" x14ac:dyDescent="0.25">
      <c r="A123" s="111" t="s">
        <v>111</v>
      </c>
      <c r="B123" s="102">
        <v>6240</v>
      </c>
      <c r="C123" s="102">
        <v>5932</v>
      </c>
      <c r="D123" s="102">
        <v>5518</v>
      </c>
      <c r="E123" s="102">
        <v>5558</v>
      </c>
      <c r="F123" s="102">
        <v>5335</v>
      </c>
      <c r="G123" s="102">
        <v>5356</v>
      </c>
      <c r="H123" s="102">
        <v>5482</v>
      </c>
      <c r="I123" s="102">
        <v>5324</v>
      </c>
      <c r="J123" s="102">
        <v>5737</v>
      </c>
      <c r="K123" s="102">
        <v>5519</v>
      </c>
      <c r="L123" s="102">
        <v>5168</v>
      </c>
      <c r="M123" s="102">
        <v>4969</v>
      </c>
      <c r="N123" s="102">
        <v>5024</v>
      </c>
      <c r="O123" s="102">
        <v>5696</v>
      </c>
      <c r="P123" s="102">
        <v>5700</v>
      </c>
      <c r="Q123" s="102">
        <v>6058</v>
      </c>
      <c r="R123" s="102">
        <v>6549</v>
      </c>
      <c r="S123" s="102">
        <v>6582</v>
      </c>
      <c r="T123" s="102">
        <v>6492</v>
      </c>
      <c r="U123" s="102">
        <v>6227</v>
      </c>
      <c r="V123" s="102">
        <v>6905</v>
      </c>
      <c r="W123" s="102">
        <v>7130</v>
      </c>
      <c r="X123" s="102">
        <v>6810</v>
      </c>
      <c r="Y123" s="102">
        <v>7157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10</v>
      </c>
      <c r="G124" s="102">
        <v>0</v>
      </c>
      <c r="H124" s="102">
        <v>0</v>
      </c>
      <c r="I124" s="102">
        <v>2</v>
      </c>
      <c r="J124" s="102">
        <v>5</v>
      </c>
      <c r="K124" s="102">
        <v>6</v>
      </c>
      <c r="L124" s="102">
        <v>3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1</v>
      </c>
      <c r="S124" s="102">
        <v>0</v>
      </c>
      <c r="T124" s="102">
        <v>1</v>
      </c>
      <c r="U124" s="102">
        <v>2</v>
      </c>
      <c r="V124" s="102">
        <v>1</v>
      </c>
      <c r="W124" s="102">
        <v>3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279</v>
      </c>
      <c r="D125" s="102">
        <v>200</v>
      </c>
      <c r="E125" s="102">
        <v>100</v>
      </c>
      <c r="F125" s="102">
        <v>50</v>
      </c>
      <c r="G125" s="102">
        <v>70</v>
      </c>
      <c r="H125" s="102">
        <v>237</v>
      </c>
      <c r="I125" s="102">
        <v>145</v>
      </c>
      <c r="J125" s="102">
        <v>141</v>
      </c>
      <c r="K125" s="102">
        <v>146</v>
      </c>
      <c r="L125" s="102">
        <v>44</v>
      </c>
      <c r="M125" s="102">
        <v>60</v>
      </c>
      <c r="N125" s="102">
        <v>221</v>
      </c>
      <c r="O125" s="102">
        <v>126</v>
      </c>
      <c r="P125" s="102">
        <v>64</v>
      </c>
      <c r="Q125" s="102">
        <v>56</v>
      </c>
      <c r="R125" s="102">
        <v>78</v>
      </c>
      <c r="S125" s="102">
        <v>86</v>
      </c>
      <c r="T125" s="102">
        <v>99</v>
      </c>
      <c r="U125" s="102">
        <v>21</v>
      </c>
      <c r="V125" s="102">
        <v>77</v>
      </c>
      <c r="W125" s="102">
        <v>52</v>
      </c>
      <c r="X125" s="102">
        <v>30</v>
      </c>
      <c r="Y125" s="102">
        <v>43</v>
      </c>
      <c r="DA125" s="175" t="s">
        <v>540</v>
      </c>
    </row>
    <row r="126" spans="1:105" ht="11.45" customHeight="1" x14ac:dyDescent="0.25">
      <c r="A126" s="111" t="s">
        <v>115</v>
      </c>
      <c r="B126" s="102">
        <v>3</v>
      </c>
      <c r="C126" s="102">
        <v>14</v>
      </c>
      <c r="D126" s="102">
        <v>19</v>
      </c>
      <c r="E126" s="102">
        <v>11</v>
      </c>
      <c r="F126" s="102">
        <v>3</v>
      </c>
      <c r="G126" s="102">
        <v>0</v>
      </c>
      <c r="H126" s="102">
        <v>0</v>
      </c>
      <c r="I126" s="102">
        <v>0</v>
      </c>
      <c r="J126" s="102">
        <v>3</v>
      </c>
      <c r="K126" s="102">
        <v>16</v>
      </c>
      <c r="L126" s="102">
        <v>4</v>
      </c>
      <c r="M126" s="102">
        <v>13</v>
      </c>
      <c r="N126" s="102">
        <v>7</v>
      </c>
      <c r="O126" s="102">
        <v>5</v>
      </c>
      <c r="P126" s="102">
        <v>26</v>
      </c>
      <c r="Q126" s="102">
        <v>23</v>
      </c>
      <c r="R126" s="102">
        <v>55</v>
      </c>
      <c r="S126" s="102">
        <v>29</v>
      </c>
      <c r="T126" s="102">
        <v>95</v>
      </c>
      <c r="U126" s="102">
        <v>187</v>
      </c>
      <c r="V126" s="102">
        <v>454</v>
      </c>
      <c r="W126" s="102">
        <v>590</v>
      </c>
      <c r="X126" s="102">
        <v>631</v>
      </c>
      <c r="Y126" s="102">
        <v>809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193996</v>
      </c>
      <c r="C127" s="28">
        <f t="shared" si="183"/>
        <v>212455</v>
      </c>
      <c r="D127" s="28">
        <f t="shared" si="183"/>
        <v>184094</v>
      </c>
      <c r="E127" s="28">
        <f t="shared" si="183"/>
        <v>175224</v>
      </c>
      <c r="F127" s="28">
        <f t="shared" si="183"/>
        <v>227081</v>
      </c>
      <c r="G127" s="28">
        <f t="shared" si="183"/>
        <v>83655</v>
      </c>
      <c r="H127" s="28">
        <f t="shared" si="183"/>
        <v>282364</v>
      </c>
      <c r="I127" s="28">
        <f t="shared" si="183"/>
        <v>243104</v>
      </c>
      <c r="J127" s="28">
        <f t="shared" si="183"/>
        <v>244203</v>
      </c>
      <c r="K127" s="28">
        <f t="shared" si="183"/>
        <v>228423</v>
      </c>
      <c r="L127" s="28">
        <f t="shared" ref="L127" si="184">L128+L134</f>
        <v>273854</v>
      </c>
      <c r="M127" s="28">
        <f t="shared" ref="M127:V127" si="185">M128+M134</f>
        <v>323717</v>
      </c>
      <c r="N127" s="28">
        <f t="shared" si="185"/>
        <v>288238</v>
      </c>
      <c r="O127" s="28">
        <f t="shared" si="185"/>
        <v>292491</v>
      </c>
      <c r="P127" s="28">
        <f t="shared" si="185"/>
        <v>305933</v>
      </c>
      <c r="Q127" s="28">
        <f t="shared" si="185"/>
        <v>315265</v>
      </c>
      <c r="R127" s="28">
        <f t="shared" si="185"/>
        <v>350882</v>
      </c>
      <c r="S127" s="28">
        <f t="shared" si="185"/>
        <v>367752</v>
      </c>
      <c r="T127" s="28">
        <f t="shared" si="185"/>
        <v>360742</v>
      </c>
      <c r="U127" s="28">
        <f t="shared" si="185"/>
        <v>402396</v>
      </c>
      <c r="V127" s="28">
        <f t="shared" si="185"/>
        <v>353981</v>
      </c>
      <c r="W127" s="28">
        <f t="shared" ref="W127:Y127" si="186">W128+W134</f>
        <v>356889</v>
      </c>
      <c r="X127" s="28">
        <f t="shared" si="186"/>
        <v>323713</v>
      </c>
      <c r="Y127" s="28">
        <f t="shared" si="186"/>
        <v>330491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186064</v>
      </c>
      <c r="C128" s="137">
        <f t="shared" si="187"/>
        <v>178553</v>
      </c>
      <c r="D128" s="137">
        <f t="shared" si="187"/>
        <v>167007</v>
      </c>
      <c r="E128" s="137">
        <f t="shared" si="187"/>
        <v>150695</v>
      </c>
      <c r="F128" s="137">
        <f t="shared" si="187"/>
        <v>168541</v>
      </c>
      <c r="G128" s="137">
        <f t="shared" si="187"/>
        <v>25857</v>
      </c>
      <c r="H128" s="137">
        <f t="shared" si="187"/>
        <v>203621</v>
      </c>
      <c r="I128" s="137">
        <f t="shared" si="187"/>
        <v>220680</v>
      </c>
      <c r="J128" s="137">
        <f t="shared" si="187"/>
        <v>223912</v>
      </c>
      <c r="K128" s="137">
        <f t="shared" si="187"/>
        <v>168578</v>
      </c>
      <c r="L128" s="137">
        <f t="shared" ref="L128" si="188">SUM(L129:L133)</f>
        <v>199325</v>
      </c>
      <c r="M128" s="137">
        <f t="shared" ref="M128:V128" si="189">SUM(M129:M133)</f>
        <v>238703</v>
      </c>
      <c r="N128" s="137">
        <f t="shared" si="189"/>
        <v>223371</v>
      </c>
      <c r="O128" s="137">
        <f t="shared" si="189"/>
        <v>213071</v>
      </c>
      <c r="P128" s="137">
        <f t="shared" si="189"/>
        <v>228551</v>
      </c>
      <c r="Q128" s="137">
        <f t="shared" si="189"/>
        <v>238175</v>
      </c>
      <c r="R128" s="137">
        <f t="shared" si="189"/>
        <v>262980</v>
      </c>
      <c r="S128" s="137">
        <f t="shared" si="189"/>
        <v>275468</v>
      </c>
      <c r="T128" s="137">
        <f t="shared" si="189"/>
        <v>290381</v>
      </c>
      <c r="U128" s="137">
        <f t="shared" si="189"/>
        <v>309896</v>
      </c>
      <c r="V128" s="137">
        <f t="shared" si="189"/>
        <v>276504</v>
      </c>
      <c r="W128" s="137">
        <f t="shared" ref="W128:Y128" si="190">SUM(W129:W133)</f>
        <v>271895</v>
      </c>
      <c r="X128" s="137">
        <f t="shared" si="190"/>
        <v>239443</v>
      </c>
      <c r="Y128" s="137">
        <f t="shared" si="190"/>
        <v>246205</v>
      </c>
      <c r="DA128" s="174" t="s">
        <v>543</v>
      </c>
    </row>
    <row r="129" spans="1:105" ht="11.45" customHeight="1" x14ac:dyDescent="0.25">
      <c r="A129" s="111" t="s">
        <v>110</v>
      </c>
      <c r="B129" s="84">
        <v>11583</v>
      </c>
      <c r="C129" s="84">
        <v>8772</v>
      </c>
      <c r="D129" s="84">
        <v>6234</v>
      </c>
      <c r="E129" s="84">
        <v>5625</v>
      </c>
      <c r="F129" s="84">
        <v>4344</v>
      </c>
      <c r="G129" s="84">
        <v>4795</v>
      </c>
      <c r="H129" s="84">
        <v>5246</v>
      </c>
      <c r="I129" s="84">
        <v>5340</v>
      </c>
      <c r="J129" s="84">
        <v>8313</v>
      </c>
      <c r="K129" s="84">
        <v>8084</v>
      </c>
      <c r="L129" s="84">
        <v>10318</v>
      </c>
      <c r="M129" s="84">
        <v>12782</v>
      </c>
      <c r="N129" s="84">
        <v>11176</v>
      </c>
      <c r="O129" s="84">
        <v>7861</v>
      </c>
      <c r="P129" s="84">
        <v>7728</v>
      </c>
      <c r="Q129" s="84">
        <v>7819</v>
      </c>
      <c r="R129" s="84">
        <v>11333</v>
      </c>
      <c r="S129" s="84">
        <v>16932</v>
      </c>
      <c r="T129" s="84">
        <v>22443</v>
      </c>
      <c r="U129" s="84">
        <v>21614</v>
      </c>
      <c r="V129" s="84">
        <v>19820</v>
      </c>
      <c r="W129" s="84">
        <v>26266</v>
      </c>
      <c r="X129" s="84">
        <v>29405</v>
      </c>
      <c r="Y129" s="84">
        <v>16601</v>
      </c>
      <c r="DA129" s="171" t="s">
        <v>544</v>
      </c>
    </row>
    <row r="130" spans="1:105" ht="11.45" customHeight="1" x14ac:dyDescent="0.25">
      <c r="A130" s="111" t="s">
        <v>111</v>
      </c>
      <c r="B130" s="84">
        <v>174429</v>
      </c>
      <c r="C130" s="84">
        <v>169747</v>
      </c>
      <c r="D130" s="84">
        <v>160773</v>
      </c>
      <c r="E130" s="84">
        <v>145070</v>
      </c>
      <c r="F130" s="84">
        <v>164195</v>
      </c>
      <c r="G130" s="84">
        <v>21062</v>
      </c>
      <c r="H130" s="84">
        <v>187016</v>
      </c>
      <c r="I130" s="84">
        <v>212786</v>
      </c>
      <c r="J130" s="84">
        <v>211033</v>
      </c>
      <c r="K130" s="84">
        <v>157444</v>
      </c>
      <c r="L130" s="84">
        <v>186238</v>
      </c>
      <c r="M130" s="84">
        <v>222997</v>
      </c>
      <c r="N130" s="84">
        <v>208944</v>
      </c>
      <c r="O130" s="84">
        <v>203419</v>
      </c>
      <c r="P130" s="84">
        <v>218197</v>
      </c>
      <c r="Q130" s="84">
        <v>227386</v>
      </c>
      <c r="R130" s="84">
        <v>244516</v>
      </c>
      <c r="S130" s="84">
        <v>251342</v>
      </c>
      <c r="T130" s="84">
        <v>260056</v>
      </c>
      <c r="U130" s="84">
        <v>280205</v>
      </c>
      <c r="V130" s="84">
        <v>245945</v>
      </c>
      <c r="W130" s="84">
        <v>227360</v>
      </c>
      <c r="X130" s="84">
        <v>188946</v>
      </c>
      <c r="Y130" s="84">
        <v>208108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0</v>
      </c>
      <c r="D131" s="84">
        <v>0</v>
      </c>
      <c r="E131" s="84">
        <v>0</v>
      </c>
      <c r="F131" s="84">
        <v>0</v>
      </c>
      <c r="G131" s="84">
        <v>0</v>
      </c>
      <c r="H131" s="84">
        <v>1505</v>
      </c>
      <c r="I131" s="84">
        <v>733</v>
      </c>
      <c r="J131" s="84">
        <v>2290</v>
      </c>
      <c r="K131" s="84">
        <v>1486</v>
      </c>
      <c r="L131" s="84">
        <v>1303</v>
      </c>
      <c r="M131" s="84">
        <v>1293</v>
      </c>
      <c r="N131" s="84">
        <v>1223</v>
      </c>
      <c r="O131" s="84">
        <v>479</v>
      </c>
      <c r="P131" s="84">
        <v>1319</v>
      </c>
      <c r="Q131" s="84">
        <v>1190</v>
      </c>
      <c r="R131" s="84">
        <v>674</v>
      </c>
      <c r="S131" s="84">
        <v>877</v>
      </c>
      <c r="T131" s="84">
        <v>1203</v>
      </c>
      <c r="U131" s="84">
        <v>1457</v>
      </c>
      <c r="V131" s="84">
        <v>1874</v>
      </c>
      <c r="W131" s="84">
        <v>2225</v>
      </c>
      <c r="X131" s="84">
        <v>1654</v>
      </c>
      <c r="Y131" s="84">
        <v>1841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0</v>
      </c>
      <c r="F132" s="84">
        <v>0</v>
      </c>
      <c r="G132" s="84">
        <v>0</v>
      </c>
      <c r="H132" s="84">
        <v>9833</v>
      </c>
      <c r="I132" s="84">
        <v>1805</v>
      </c>
      <c r="J132" s="84">
        <v>2239</v>
      </c>
      <c r="K132" s="84">
        <v>1493</v>
      </c>
      <c r="L132" s="84">
        <v>1235</v>
      </c>
      <c r="M132" s="84">
        <v>1284</v>
      </c>
      <c r="N132" s="84">
        <v>1079</v>
      </c>
      <c r="O132" s="84">
        <v>820</v>
      </c>
      <c r="P132" s="84">
        <v>751</v>
      </c>
      <c r="Q132" s="84">
        <v>827</v>
      </c>
      <c r="R132" s="84">
        <v>3583</v>
      </c>
      <c r="S132" s="84">
        <v>715</v>
      </c>
      <c r="T132" s="84">
        <v>743</v>
      </c>
      <c r="U132" s="84">
        <v>0</v>
      </c>
      <c r="V132" s="84">
        <v>0</v>
      </c>
      <c r="W132" s="84">
        <v>0</v>
      </c>
      <c r="X132" s="84">
        <v>0</v>
      </c>
      <c r="Y132" s="84">
        <v>0</v>
      </c>
      <c r="DA132" s="171" t="s">
        <v>547</v>
      </c>
    </row>
    <row r="133" spans="1:105" ht="11.45" customHeight="1" x14ac:dyDescent="0.25">
      <c r="A133" s="111" t="s">
        <v>115</v>
      </c>
      <c r="B133" s="84">
        <v>52</v>
      </c>
      <c r="C133" s="84">
        <v>34</v>
      </c>
      <c r="D133" s="84">
        <v>0</v>
      </c>
      <c r="E133" s="84">
        <v>0</v>
      </c>
      <c r="F133" s="84">
        <v>2</v>
      </c>
      <c r="G133" s="84">
        <v>0</v>
      </c>
      <c r="H133" s="84">
        <v>21</v>
      </c>
      <c r="I133" s="84">
        <v>16</v>
      </c>
      <c r="J133" s="84">
        <v>37</v>
      </c>
      <c r="K133" s="84">
        <v>71</v>
      </c>
      <c r="L133" s="84">
        <v>231</v>
      </c>
      <c r="M133" s="84">
        <v>347</v>
      </c>
      <c r="N133" s="84">
        <v>949</v>
      </c>
      <c r="O133" s="84">
        <v>492</v>
      </c>
      <c r="P133" s="84">
        <v>556</v>
      </c>
      <c r="Q133" s="84">
        <v>953</v>
      </c>
      <c r="R133" s="84">
        <v>2874</v>
      </c>
      <c r="S133" s="84">
        <v>5602</v>
      </c>
      <c r="T133" s="84">
        <v>5936</v>
      </c>
      <c r="U133" s="84">
        <v>6620</v>
      </c>
      <c r="V133" s="84">
        <v>8865</v>
      </c>
      <c r="W133" s="84">
        <v>16044</v>
      </c>
      <c r="X133" s="84">
        <v>19438</v>
      </c>
      <c r="Y133" s="84">
        <v>19655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7932</v>
      </c>
      <c r="C134" s="110">
        <f t="shared" si="191"/>
        <v>33902</v>
      </c>
      <c r="D134" s="110">
        <f t="shared" si="191"/>
        <v>17087</v>
      </c>
      <c r="E134" s="110">
        <f t="shared" si="191"/>
        <v>24529</v>
      </c>
      <c r="F134" s="110">
        <f t="shared" si="191"/>
        <v>58540</v>
      </c>
      <c r="G134" s="110">
        <f t="shared" si="191"/>
        <v>57798</v>
      </c>
      <c r="H134" s="110">
        <f t="shared" si="191"/>
        <v>78743</v>
      </c>
      <c r="I134" s="110">
        <f t="shared" si="191"/>
        <v>22424</v>
      </c>
      <c r="J134" s="110">
        <f t="shared" si="191"/>
        <v>20291</v>
      </c>
      <c r="K134" s="110">
        <f t="shared" si="191"/>
        <v>59845</v>
      </c>
      <c r="L134" s="110">
        <f t="shared" ref="L134" si="192">SUM(L135:L136)</f>
        <v>74529</v>
      </c>
      <c r="M134" s="110">
        <f t="shared" ref="M134:V134" si="193">SUM(M135:M136)</f>
        <v>85014</v>
      </c>
      <c r="N134" s="110">
        <f t="shared" si="193"/>
        <v>64867</v>
      </c>
      <c r="O134" s="110">
        <f t="shared" si="193"/>
        <v>79420</v>
      </c>
      <c r="P134" s="110">
        <f t="shared" si="193"/>
        <v>77382</v>
      </c>
      <c r="Q134" s="110">
        <f t="shared" si="193"/>
        <v>77090</v>
      </c>
      <c r="R134" s="110">
        <f t="shared" si="193"/>
        <v>87902</v>
      </c>
      <c r="S134" s="110">
        <f t="shared" si="193"/>
        <v>92284</v>
      </c>
      <c r="T134" s="110">
        <f t="shared" si="193"/>
        <v>70361</v>
      </c>
      <c r="U134" s="110">
        <f t="shared" si="193"/>
        <v>92500</v>
      </c>
      <c r="V134" s="110">
        <f t="shared" si="193"/>
        <v>77477</v>
      </c>
      <c r="W134" s="110">
        <f t="shared" ref="W134:Y134" si="194">SUM(W135:W136)</f>
        <v>84994</v>
      </c>
      <c r="X134" s="110">
        <f t="shared" si="194"/>
        <v>84270</v>
      </c>
      <c r="Y134" s="110">
        <f t="shared" si="194"/>
        <v>84286</v>
      </c>
      <c r="DA134" s="176" t="s">
        <v>549</v>
      </c>
    </row>
    <row r="135" spans="1:105" ht="11.45" customHeight="1" x14ac:dyDescent="0.25">
      <c r="A135" s="128" t="s">
        <v>27</v>
      </c>
      <c r="B135" s="102">
        <v>0</v>
      </c>
      <c r="C135" s="102">
        <v>24715</v>
      </c>
      <c r="D135" s="102">
        <v>8450</v>
      </c>
      <c r="E135" s="102">
        <v>17582</v>
      </c>
      <c r="F135" s="102">
        <v>36173</v>
      </c>
      <c r="G135" s="102">
        <v>47461</v>
      </c>
      <c r="H135" s="102">
        <v>63862</v>
      </c>
      <c r="I135" s="102">
        <v>7372</v>
      </c>
      <c r="J135" s="102">
        <v>6541</v>
      </c>
      <c r="K135" s="102">
        <v>59845</v>
      </c>
      <c r="L135" s="102">
        <v>58189</v>
      </c>
      <c r="M135" s="102">
        <v>74678</v>
      </c>
      <c r="N135" s="102">
        <v>53389</v>
      </c>
      <c r="O135" s="102">
        <v>64391</v>
      </c>
      <c r="P135" s="102">
        <v>64290</v>
      </c>
      <c r="Q135" s="102">
        <v>65886</v>
      </c>
      <c r="R135" s="102">
        <v>66392</v>
      </c>
      <c r="S135" s="102">
        <v>68828</v>
      </c>
      <c r="T135" s="102">
        <v>67832</v>
      </c>
      <c r="U135" s="102">
        <v>68943</v>
      </c>
      <c r="V135" s="102">
        <v>61872</v>
      </c>
      <c r="W135" s="102">
        <v>64932</v>
      </c>
      <c r="X135" s="102">
        <v>70910</v>
      </c>
      <c r="Y135" s="102">
        <v>72694</v>
      </c>
      <c r="DA135" s="175" t="s">
        <v>550</v>
      </c>
    </row>
    <row r="136" spans="1:105" ht="11.45" customHeight="1" x14ac:dyDescent="0.25">
      <c r="A136" s="138" t="s">
        <v>116</v>
      </c>
      <c r="B136" s="86">
        <v>7932</v>
      </c>
      <c r="C136" s="86">
        <v>9187</v>
      </c>
      <c r="D136" s="86">
        <v>8637</v>
      </c>
      <c r="E136" s="86">
        <v>6947</v>
      </c>
      <c r="F136" s="86">
        <v>22367</v>
      </c>
      <c r="G136" s="86">
        <v>10337</v>
      </c>
      <c r="H136" s="86">
        <v>14881</v>
      </c>
      <c r="I136" s="86">
        <v>15052</v>
      </c>
      <c r="J136" s="86">
        <v>13750</v>
      </c>
      <c r="K136" s="86">
        <v>0</v>
      </c>
      <c r="L136" s="86">
        <v>16340</v>
      </c>
      <c r="M136" s="86">
        <v>10336</v>
      </c>
      <c r="N136" s="86">
        <v>11478</v>
      </c>
      <c r="O136" s="86">
        <v>15029</v>
      </c>
      <c r="P136" s="86">
        <v>13092</v>
      </c>
      <c r="Q136" s="86">
        <v>11204</v>
      </c>
      <c r="R136" s="86">
        <v>21510</v>
      </c>
      <c r="S136" s="86">
        <v>23456</v>
      </c>
      <c r="T136" s="86">
        <v>2529</v>
      </c>
      <c r="U136" s="86">
        <v>23557</v>
      </c>
      <c r="V136" s="86">
        <v>15605</v>
      </c>
      <c r="W136" s="86">
        <v>20062</v>
      </c>
      <c r="X136" s="86">
        <v>13360</v>
      </c>
      <c r="Y136" s="86">
        <v>11592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1.8070751542263084</v>
      </c>
      <c r="C141" s="32">
        <f t="shared" si="195"/>
        <v>1.8230642066401408</v>
      </c>
      <c r="D141" s="32">
        <f t="shared" si="195"/>
        <v>1.8306412316289282</v>
      </c>
      <c r="E141" s="32">
        <f t="shared" si="195"/>
        <v>1.8821947340994161</v>
      </c>
      <c r="F141" s="32">
        <f t="shared" si="195"/>
        <v>1.8708329595505104</v>
      </c>
      <c r="G141" s="32">
        <f t="shared" si="195"/>
        <v>1.9061201382070505</v>
      </c>
      <c r="H141" s="32">
        <f t="shared" si="195"/>
        <v>1.9456668633171912</v>
      </c>
      <c r="I141" s="32">
        <f t="shared" si="195"/>
        <v>1.989166626235362</v>
      </c>
      <c r="J141" s="32">
        <f t="shared" si="195"/>
        <v>2.0023863087490614</v>
      </c>
      <c r="K141" s="32">
        <f t="shared" si="195"/>
        <v>2.0100629712999383</v>
      </c>
      <c r="L141" s="32">
        <f t="shared" ref="L141" si="196">IF(L4=0,0,L4/L31)</f>
        <v>2.0364774171369264</v>
      </c>
      <c r="M141" s="32">
        <f t="shared" ref="M141:V141" si="197">IF(M4=0,0,M4/M31)</f>
        <v>1.9948132726955736</v>
      </c>
      <c r="N141" s="32">
        <f t="shared" si="197"/>
        <v>2.0289358563700728</v>
      </c>
      <c r="O141" s="32">
        <f t="shared" si="197"/>
        <v>1.9700122235171655</v>
      </c>
      <c r="P141" s="32">
        <f t="shared" si="197"/>
        <v>1.8926369418315181</v>
      </c>
      <c r="Q141" s="32">
        <f t="shared" si="197"/>
        <v>1.9179262843070819</v>
      </c>
      <c r="R141" s="32">
        <f t="shared" si="197"/>
        <v>1.8754517788831506</v>
      </c>
      <c r="S141" s="32">
        <f t="shared" si="197"/>
        <v>1.7227862316283078</v>
      </c>
      <c r="T141" s="32">
        <f t="shared" si="197"/>
        <v>1.77592987984892</v>
      </c>
      <c r="U141" s="32">
        <f t="shared" si="197"/>
        <v>1.7616835787298386</v>
      </c>
      <c r="V141" s="32">
        <f t="shared" si="197"/>
        <v>1.6769778052353419</v>
      </c>
      <c r="W141" s="32">
        <f t="shared" ref="W141:Y141" si="198">IF(W4=0,0,W4/W31)</f>
        <v>1.7420304851753818</v>
      </c>
      <c r="X141" s="32">
        <f t="shared" si="198"/>
        <v>1.7174823470525655</v>
      </c>
      <c r="Y141" s="32">
        <f t="shared" si="198"/>
        <v>1.717960138504907</v>
      </c>
      <c r="DA141" s="173" t="s">
        <v>552</v>
      </c>
    </row>
    <row r="142" spans="1:105" ht="11.45" customHeight="1" x14ac:dyDescent="0.25">
      <c r="A142" s="136" t="s">
        <v>173</v>
      </c>
      <c r="B142" s="141">
        <v>1.2106660164615322</v>
      </c>
      <c r="C142" s="141">
        <v>1.2105123483510856</v>
      </c>
      <c r="D142" s="141">
        <v>1.2103539126071365</v>
      </c>
      <c r="E142" s="141">
        <v>1.2242180567777241</v>
      </c>
      <c r="F142" s="141">
        <v>1.2143393138075915</v>
      </c>
      <c r="G142" s="141">
        <v>1.2337012778548604</v>
      </c>
      <c r="H142" s="141">
        <v>1.2225500691072277</v>
      </c>
      <c r="I142" s="141">
        <v>1.2265852112308864</v>
      </c>
      <c r="J142" s="141">
        <v>1.2262294896763808</v>
      </c>
      <c r="K142" s="141">
        <v>1.215354453404742</v>
      </c>
      <c r="L142" s="141">
        <v>1.2065303015209909</v>
      </c>
      <c r="M142" s="141">
        <v>1.2406986740142969</v>
      </c>
      <c r="N142" s="141">
        <v>1.1969694806476119</v>
      </c>
      <c r="O142" s="141">
        <v>1.1821451950787571</v>
      </c>
      <c r="P142" s="141">
        <v>1.1810217922654438</v>
      </c>
      <c r="Q142" s="141">
        <v>1.1747123666512578</v>
      </c>
      <c r="R142" s="141">
        <v>1.1750536243319432</v>
      </c>
      <c r="S142" s="141">
        <v>1.1743534783374059</v>
      </c>
      <c r="T142" s="141">
        <v>1.173764328892805</v>
      </c>
      <c r="U142" s="141">
        <v>1.1747086017610919</v>
      </c>
      <c r="V142" s="141">
        <v>1.1731816052726447</v>
      </c>
      <c r="W142" s="141">
        <v>1.1739851955033953</v>
      </c>
      <c r="X142" s="141">
        <v>1.1739812699590939</v>
      </c>
      <c r="Y142" s="141">
        <v>1.1753355192538208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1.6920024309858688</v>
      </c>
      <c r="C143" s="130">
        <f t="shared" si="199"/>
        <v>1.7107924229870095</v>
      </c>
      <c r="D143" s="130">
        <f t="shared" si="199"/>
        <v>1.7218604821784875</v>
      </c>
      <c r="E143" s="130">
        <f t="shared" si="199"/>
        <v>1.7706720546200405</v>
      </c>
      <c r="F143" s="130">
        <f t="shared" si="199"/>
        <v>1.7611709240433651</v>
      </c>
      <c r="G143" s="130">
        <f t="shared" si="199"/>
        <v>1.7950230168854622</v>
      </c>
      <c r="H143" s="130">
        <f t="shared" si="199"/>
        <v>1.8368860507294129</v>
      </c>
      <c r="I143" s="130">
        <f t="shared" si="199"/>
        <v>1.8779971469782317</v>
      </c>
      <c r="J143" s="130">
        <f t="shared" si="199"/>
        <v>1.894990410602182</v>
      </c>
      <c r="K143" s="130">
        <f t="shared" si="199"/>
        <v>1.9075116176308384</v>
      </c>
      <c r="L143" s="130">
        <f t="shared" ref="L143" si="200">IF(L6=0,0,L6/L33)</f>
        <v>1.9355278563593539</v>
      </c>
      <c r="M143" s="130">
        <f t="shared" ref="M143:V143" si="201">IF(M6=0,0,M6/M33)</f>
        <v>1.896946129676095</v>
      </c>
      <c r="N143" s="130">
        <f t="shared" si="201"/>
        <v>1.9363907028474467</v>
      </c>
      <c r="O143" s="130">
        <f t="shared" si="201"/>
        <v>1.8790515855739545</v>
      </c>
      <c r="P143" s="130">
        <f t="shared" si="201"/>
        <v>1.802173894826</v>
      </c>
      <c r="Q143" s="130">
        <f t="shared" si="201"/>
        <v>1.8229929426205798</v>
      </c>
      <c r="R143" s="130">
        <f t="shared" si="201"/>
        <v>1.7853505302596906</v>
      </c>
      <c r="S143" s="130">
        <f t="shared" si="201"/>
        <v>1.6340445576073817</v>
      </c>
      <c r="T143" s="130">
        <f t="shared" si="201"/>
        <v>1.6854699867611387</v>
      </c>
      <c r="U143" s="130">
        <f t="shared" si="201"/>
        <v>1.6747617422372414</v>
      </c>
      <c r="V143" s="130">
        <f t="shared" si="201"/>
        <v>1.6309918803079166</v>
      </c>
      <c r="W143" s="130">
        <f t="shared" ref="W143:Y143" si="202">IF(W6=0,0,W6/W33)</f>
        <v>1.6981223952311753</v>
      </c>
      <c r="X143" s="130">
        <f t="shared" si="202"/>
        <v>1.6534938874779093</v>
      </c>
      <c r="Y143" s="130">
        <f t="shared" si="202"/>
        <v>1.6482899796409667</v>
      </c>
      <c r="DA143" s="176" t="s">
        <v>554</v>
      </c>
    </row>
    <row r="144" spans="1:105" ht="11.45" customHeight="1" x14ac:dyDescent="0.25">
      <c r="A144" s="111" t="s">
        <v>110</v>
      </c>
      <c r="B144" s="96">
        <v>1.6814865404623791</v>
      </c>
      <c r="C144" s="96">
        <v>1.6989566681192971</v>
      </c>
      <c r="D144" s="96">
        <v>1.70896216850118</v>
      </c>
      <c r="E144" s="96">
        <v>1.756211949855117</v>
      </c>
      <c r="F144" s="96">
        <v>1.745397034662824</v>
      </c>
      <c r="G144" s="96">
        <v>1.7779918923835019</v>
      </c>
      <c r="H144" s="96">
        <v>1.8190062650094476</v>
      </c>
      <c r="I144" s="96">
        <v>1.8590468217150971</v>
      </c>
      <c r="J144" s="96">
        <v>1.87578849451366</v>
      </c>
      <c r="K144" s="96">
        <v>1.8877022405609731</v>
      </c>
      <c r="L144" s="96">
        <v>1.9150805061296459</v>
      </c>
      <c r="M144" s="96">
        <v>1.8764727249413524</v>
      </c>
      <c r="N144" s="96">
        <v>1.9147878827867619</v>
      </c>
      <c r="O144" s="96">
        <v>1.8574115443781125</v>
      </c>
      <c r="P144" s="96">
        <v>1.7806101370718406</v>
      </c>
      <c r="Q144" s="96">
        <v>1.8004566704609923</v>
      </c>
      <c r="R144" s="96">
        <v>1.7626712572560155</v>
      </c>
      <c r="S144" s="96">
        <v>1.6132333988433218</v>
      </c>
      <c r="T144" s="96">
        <v>1.6641873576606576</v>
      </c>
      <c r="U144" s="96">
        <v>1.6538931040945244</v>
      </c>
      <c r="V144" s="96">
        <v>1.6117190600931943</v>
      </c>
      <c r="W144" s="96">
        <v>1.6794556041389364</v>
      </c>
      <c r="X144" s="96">
        <v>1.6362111355839264</v>
      </c>
      <c r="Y144" s="96">
        <v>1.6320861076863591</v>
      </c>
      <c r="DA144" s="171" t="s">
        <v>555</v>
      </c>
    </row>
    <row r="145" spans="1:105" ht="11.45" customHeight="1" x14ac:dyDescent="0.25">
      <c r="A145" s="111" t="s">
        <v>111</v>
      </c>
      <c r="B145" s="96">
        <v>1.7253101402254092</v>
      </c>
      <c r="C145" s="96">
        <v>1.7432355815966052</v>
      </c>
      <c r="D145" s="96">
        <v>1.7535018494801082</v>
      </c>
      <c r="E145" s="96">
        <v>1.8019830742367244</v>
      </c>
      <c r="F145" s="96">
        <v>1.7908862962382461</v>
      </c>
      <c r="G145" s="96">
        <v>1.8243306546624443</v>
      </c>
      <c r="H145" s="96">
        <v>1.8664139608821131</v>
      </c>
      <c r="I145" s="96">
        <v>1.9074980711869924</v>
      </c>
      <c r="J145" s="96">
        <v>1.9246760724071235</v>
      </c>
      <c r="K145" s="96">
        <v>1.9369003194462022</v>
      </c>
      <c r="L145" s="96">
        <v>1.964992128729687</v>
      </c>
      <c r="M145" s="96">
        <v>1.9253781355320674</v>
      </c>
      <c r="N145" s="96">
        <v>1.9646918789158498</v>
      </c>
      <c r="O145" s="96">
        <v>1.9058201745736745</v>
      </c>
      <c r="P145" s="96">
        <v>1.8270171371299992</v>
      </c>
      <c r="Q145" s="96">
        <v>1.8473809191054473</v>
      </c>
      <c r="R145" s="96">
        <v>1.8086107267866753</v>
      </c>
      <c r="S145" s="96">
        <v>1.6552781569154398</v>
      </c>
      <c r="T145" s="96">
        <v>1.7075600989451409</v>
      </c>
      <c r="U145" s="96">
        <v>1.6969975522721139</v>
      </c>
      <c r="V145" s="96">
        <v>1.6537243508406003</v>
      </c>
      <c r="W145" s="96">
        <v>1.7232262727969945</v>
      </c>
      <c r="X145" s="96">
        <v>1.6788547489630301</v>
      </c>
      <c r="Y145" s="96">
        <v>1.6746222128771748</v>
      </c>
      <c r="DA145" s="171" t="s">
        <v>556</v>
      </c>
    </row>
    <row r="146" spans="1:105" ht="11.45" customHeight="1" x14ac:dyDescent="0.25">
      <c r="A146" s="111" t="s">
        <v>112</v>
      </c>
      <c r="B146" s="96">
        <v>1.6412423580562927</v>
      </c>
      <c r="C146" s="96">
        <v>1.6594686502973992</v>
      </c>
      <c r="D146" s="96">
        <v>1.6702046677131328</v>
      </c>
      <c r="E146" s="96">
        <v>1.7175518929814393</v>
      </c>
      <c r="F146" s="96">
        <v>1.708335796322064</v>
      </c>
      <c r="G146" s="96">
        <v>1.7411723263788983</v>
      </c>
      <c r="H146" s="96">
        <v>1.7817794692075304</v>
      </c>
      <c r="I146" s="96">
        <v>1.8216572325688847</v>
      </c>
      <c r="J146" s="96">
        <v>1.8381406982841164</v>
      </c>
      <c r="K146" s="96">
        <v>1.8502862691019131</v>
      </c>
      <c r="L146" s="96">
        <v>1.8774620206685733</v>
      </c>
      <c r="M146" s="96">
        <v>1.8400377457858126</v>
      </c>
      <c r="N146" s="96">
        <v>1.878298981762023</v>
      </c>
      <c r="O146" s="96">
        <v>1.8226800380067358</v>
      </c>
      <c r="P146" s="96">
        <v>1.7481086779812198</v>
      </c>
      <c r="Q146" s="96">
        <v>1.7683031543419618</v>
      </c>
      <c r="R146" s="96">
        <v>1.7317900143519001</v>
      </c>
      <c r="S146" s="96">
        <v>1.5850232208791599</v>
      </c>
      <c r="T146" s="96">
        <v>1.6349058871583044</v>
      </c>
      <c r="U146" s="96">
        <v>1.6245188899701244</v>
      </c>
      <c r="V146" s="96">
        <v>1.5820621238986796</v>
      </c>
      <c r="W146" s="96">
        <v>1.6471787233742399</v>
      </c>
      <c r="X146" s="96">
        <v>1.6038890708535722</v>
      </c>
      <c r="Y146" s="96">
        <v>1.5988412802517382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1.7411723263788983</v>
      </c>
      <c r="H147" s="96">
        <v>1.7817794692075302</v>
      </c>
      <c r="I147" s="96">
        <v>1.8216572325688847</v>
      </c>
      <c r="J147" s="96">
        <v>1.8381406982841164</v>
      </c>
      <c r="K147" s="96">
        <v>1.8502862691019133</v>
      </c>
      <c r="L147" s="96">
        <v>1.877462020668573</v>
      </c>
      <c r="M147" s="96">
        <v>1.8400377457858121</v>
      </c>
      <c r="N147" s="96">
        <v>1.8782989817620235</v>
      </c>
      <c r="O147" s="96">
        <v>1.8226800380067358</v>
      </c>
      <c r="P147" s="96">
        <v>1.7481086779812198</v>
      </c>
      <c r="Q147" s="96">
        <v>1.7683031543419621</v>
      </c>
      <c r="R147" s="96">
        <v>1.7317900143519003</v>
      </c>
      <c r="S147" s="96">
        <v>1.5850232208791597</v>
      </c>
      <c r="T147" s="96">
        <v>1.6349058871583044</v>
      </c>
      <c r="U147" s="96">
        <v>1.6245188899701242</v>
      </c>
      <c r="V147" s="96">
        <v>1.5820621238986796</v>
      </c>
      <c r="W147" s="96">
        <v>1.6471787233742399</v>
      </c>
      <c r="X147" s="96">
        <v>1.6038890708535722</v>
      </c>
      <c r="Y147" s="96">
        <v>1.5988412802517382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1.8400377457858121</v>
      </c>
      <c r="N148" s="96">
        <v>1.8782989817620233</v>
      </c>
      <c r="O148" s="96">
        <v>1.8226800380067358</v>
      </c>
      <c r="P148" s="96">
        <v>1.7481086779812198</v>
      </c>
      <c r="Q148" s="96">
        <v>1.7683031543419618</v>
      </c>
      <c r="R148" s="96">
        <v>1.7317900143519001</v>
      </c>
      <c r="S148" s="96">
        <v>1.5850232208791597</v>
      </c>
      <c r="T148" s="96">
        <v>1.6349058871583044</v>
      </c>
      <c r="U148" s="96">
        <v>1.6245188899701242</v>
      </c>
      <c r="V148" s="96">
        <v>1.5820621238986796</v>
      </c>
      <c r="W148" s="96">
        <v>1.6471787233742399</v>
      </c>
      <c r="X148" s="96">
        <v>1.6038890708535722</v>
      </c>
      <c r="Y148" s="96">
        <v>1.5988412802517382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1.7717308897681279</v>
      </c>
      <c r="I149" s="96">
        <v>1.8113837572431355</v>
      </c>
      <c r="J149" s="96">
        <v>1.8277742622875666</v>
      </c>
      <c r="K149" s="96">
        <v>1.8398513365628291</v>
      </c>
      <c r="L149" s="96">
        <v>1.8668738269076808</v>
      </c>
      <c r="M149" s="96">
        <v>1.829660611140608</v>
      </c>
      <c r="N149" s="96">
        <v>1.8677060678490693</v>
      </c>
      <c r="O149" s="96">
        <v>1.8124007944353249</v>
      </c>
      <c r="P149" s="96">
        <v>1.7382499893932228</v>
      </c>
      <c r="Q149" s="96">
        <v>1.7583305763510089</v>
      </c>
      <c r="R149" s="96">
        <v>1.7220233570116859</v>
      </c>
      <c r="S149" s="96">
        <v>1.5760842741556436</v>
      </c>
      <c r="T149" s="96">
        <v>1.6256856205838088</v>
      </c>
      <c r="U149" s="96">
        <v>1.6153572022311051</v>
      </c>
      <c r="V149" s="96">
        <v>1.5731398766706677</v>
      </c>
      <c r="W149" s="96">
        <v>1.6378892425272746</v>
      </c>
      <c r="X149" s="96">
        <v>1.5948437276901843</v>
      </c>
      <c r="Y149" s="96">
        <v>1.5898244047667205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18.70624940387772</v>
      </c>
      <c r="C150" s="130">
        <f t="shared" si="203"/>
        <v>18.709292192286636</v>
      </c>
      <c r="D150" s="130">
        <f t="shared" si="203"/>
        <v>18.715379254019446</v>
      </c>
      <c r="E150" s="130">
        <f t="shared" si="203"/>
        <v>18.727559319399667</v>
      </c>
      <c r="F150" s="130">
        <f t="shared" si="203"/>
        <v>18.751943235867131</v>
      </c>
      <c r="G150" s="130">
        <f t="shared" si="203"/>
        <v>18.800806356195025</v>
      </c>
      <c r="H150" s="130">
        <f t="shared" si="203"/>
        <v>18.183811413856787</v>
      </c>
      <c r="I150" s="130">
        <f t="shared" si="203"/>
        <v>19.096670560747665</v>
      </c>
      <c r="J150" s="130">
        <f t="shared" si="203"/>
        <v>19.299544764795144</v>
      </c>
      <c r="K150" s="130">
        <f t="shared" si="203"/>
        <v>18.551321377153659</v>
      </c>
      <c r="L150" s="130">
        <f t="shared" ref="L150" si="204">IF(L13=0,0,L13/L40)</f>
        <v>17.522876280126429</v>
      </c>
      <c r="M150" s="130">
        <f t="shared" ref="M150:V150" si="205">IF(M13=0,0,M13/M40)</f>
        <v>16.656452017535784</v>
      </c>
      <c r="N150" s="130">
        <f t="shared" si="205"/>
        <v>15.300801751807123</v>
      </c>
      <c r="O150" s="130">
        <f t="shared" si="205"/>
        <v>14.64891041162228</v>
      </c>
      <c r="P150" s="130">
        <f t="shared" si="205"/>
        <v>14.669811320754715</v>
      </c>
      <c r="Q150" s="130">
        <f t="shared" si="205"/>
        <v>14.869803563270896</v>
      </c>
      <c r="R150" s="130">
        <f t="shared" si="205"/>
        <v>14.263565891472869</v>
      </c>
      <c r="S150" s="130">
        <f t="shared" si="205"/>
        <v>13.960241232968512</v>
      </c>
      <c r="T150" s="130">
        <f t="shared" si="205"/>
        <v>13.932233615693267</v>
      </c>
      <c r="U150" s="130">
        <f t="shared" si="205"/>
        <v>13.846848881861307</v>
      </c>
      <c r="V150" s="130">
        <f t="shared" si="205"/>
        <v>8.3435582822085887</v>
      </c>
      <c r="W150" s="130">
        <f t="shared" ref="W150:Y150" si="206">IF(W13=0,0,W13/W40)</f>
        <v>8.5814360770577949</v>
      </c>
      <c r="X150" s="130">
        <f t="shared" si="206"/>
        <v>11.015325670498083</v>
      </c>
      <c r="Y150" s="130">
        <f t="shared" si="206"/>
        <v>11.696178937558248</v>
      </c>
      <c r="DA150" s="176" t="s">
        <v>561</v>
      </c>
    </row>
    <row r="151" spans="1:105" ht="11.45" customHeight="1" x14ac:dyDescent="0.25">
      <c r="A151" s="111" t="s">
        <v>110</v>
      </c>
      <c r="B151" s="97">
        <v>0</v>
      </c>
      <c r="C151" s="97">
        <v>0</v>
      </c>
      <c r="D151" s="97">
        <v>0</v>
      </c>
      <c r="E151" s="97">
        <v>0</v>
      </c>
      <c r="F151" s="97">
        <v>0</v>
      </c>
      <c r="G151" s="97">
        <v>0</v>
      </c>
      <c r="H151" s="97">
        <v>0</v>
      </c>
      <c r="I151" s="97">
        <v>0</v>
      </c>
      <c r="J151" s="97">
        <v>0</v>
      </c>
      <c r="K151" s="97">
        <v>0</v>
      </c>
      <c r="L151" s="97">
        <v>0</v>
      </c>
      <c r="M151" s="97">
        <v>0</v>
      </c>
      <c r="N151" s="97">
        <v>0</v>
      </c>
      <c r="O151" s="97">
        <v>0</v>
      </c>
      <c r="P151" s="97">
        <v>0</v>
      </c>
      <c r="Q151" s="97">
        <v>0</v>
      </c>
      <c r="R151" s="97">
        <v>0</v>
      </c>
      <c r="S151" s="97">
        <v>0</v>
      </c>
      <c r="T151" s="97">
        <v>0</v>
      </c>
      <c r="U151" s="97">
        <v>0</v>
      </c>
      <c r="V151" s="97">
        <v>0</v>
      </c>
      <c r="W151" s="97">
        <v>0</v>
      </c>
      <c r="X151" s="97">
        <v>0</v>
      </c>
      <c r="Y151" s="97">
        <v>0</v>
      </c>
      <c r="DA151" s="175" t="s">
        <v>562</v>
      </c>
    </row>
    <row r="152" spans="1:105" ht="11.45" customHeight="1" x14ac:dyDescent="0.25">
      <c r="A152" s="111" t="s">
        <v>111</v>
      </c>
      <c r="B152" s="97">
        <v>18.70624940387772</v>
      </c>
      <c r="C152" s="97">
        <v>18.709292192286636</v>
      </c>
      <c r="D152" s="97">
        <v>18.715379254019446</v>
      </c>
      <c r="E152" s="97">
        <v>18.727559319399667</v>
      </c>
      <c r="F152" s="97">
        <v>18.751943235867127</v>
      </c>
      <c r="G152" s="97">
        <v>18.800806356195025</v>
      </c>
      <c r="H152" s="97">
        <v>18.183811413856787</v>
      </c>
      <c r="I152" s="97">
        <v>19.096670560747665</v>
      </c>
      <c r="J152" s="97">
        <v>19.299544764795144</v>
      </c>
      <c r="K152" s="97">
        <v>18.551321377153659</v>
      </c>
      <c r="L152" s="97">
        <v>17.522876280126432</v>
      </c>
      <c r="M152" s="97">
        <v>16.656452017535781</v>
      </c>
      <c r="N152" s="97">
        <v>15.300801751807121</v>
      </c>
      <c r="O152" s="97">
        <v>14.648910411622277</v>
      </c>
      <c r="P152" s="97">
        <v>14.669811320754715</v>
      </c>
      <c r="Q152" s="97">
        <v>14.869803563270896</v>
      </c>
      <c r="R152" s="97">
        <v>14.26356589147287</v>
      </c>
      <c r="S152" s="97">
        <v>13.960241232968507</v>
      </c>
      <c r="T152" s="97">
        <v>13.932233615693267</v>
      </c>
      <c r="U152" s="97">
        <v>13.846848881861307</v>
      </c>
      <c r="V152" s="97">
        <v>8.3435582822085905</v>
      </c>
      <c r="W152" s="97">
        <v>8.5814360770577931</v>
      </c>
      <c r="X152" s="97">
        <v>11.015325670498081</v>
      </c>
      <c r="Y152" s="97">
        <v>11.696178937558248</v>
      </c>
      <c r="DA152" s="175" t="s">
        <v>563</v>
      </c>
    </row>
    <row r="153" spans="1:105" ht="11.45" customHeight="1" x14ac:dyDescent="0.25">
      <c r="A153" s="111" t="s">
        <v>112</v>
      </c>
      <c r="B153" s="97">
        <v>0</v>
      </c>
      <c r="C153" s="97">
        <v>0</v>
      </c>
      <c r="D153" s="97">
        <v>0</v>
      </c>
      <c r="E153" s="97">
        <v>0</v>
      </c>
      <c r="F153" s="97">
        <v>18.751943235867127</v>
      </c>
      <c r="G153" s="97">
        <v>18.800806356195025</v>
      </c>
      <c r="H153" s="97">
        <v>18.183811413856787</v>
      </c>
      <c r="I153" s="97">
        <v>19.096670560747665</v>
      </c>
      <c r="J153" s="97">
        <v>19.299544764795144</v>
      </c>
      <c r="K153" s="97">
        <v>18.551321377153659</v>
      </c>
      <c r="L153" s="97">
        <v>17.522876280126432</v>
      </c>
      <c r="M153" s="97">
        <v>16.656452017535777</v>
      </c>
      <c r="N153" s="97">
        <v>15.30080175180712</v>
      </c>
      <c r="O153" s="97">
        <v>14.648910411622277</v>
      </c>
      <c r="P153" s="97">
        <v>14.669811320754716</v>
      </c>
      <c r="Q153" s="97">
        <v>14.869803563270898</v>
      </c>
      <c r="R153" s="97">
        <v>14.26356589147287</v>
      </c>
      <c r="S153" s="97">
        <v>13.960241232968505</v>
      </c>
      <c r="T153" s="97">
        <v>13.932233615693267</v>
      </c>
      <c r="U153" s="97">
        <v>13.846848881861305</v>
      </c>
      <c r="V153" s="97">
        <v>8.3435582822085887</v>
      </c>
      <c r="W153" s="97">
        <v>8.5814360770577931</v>
      </c>
      <c r="X153" s="97">
        <v>11.015325670498083</v>
      </c>
      <c r="Y153" s="97">
        <v>11.696178937558248</v>
      </c>
      <c r="DA153" s="175" t="s">
        <v>564</v>
      </c>
    </row>
    <row r="154" spans="1:105" ht="11.45" customHeight="1" x14ac:dyDescent="0.25">
      <c r="A154" s="111" t="s">
        <v>113</v>
      </c>
      <c r="B154" s="97">
        <v>18.70624940387772</v>
      </c>
      <c r="C154" s="97">
        <v>18.709292192286636</v>
      </c>
      <c r="D154" s="97">
        <v>18.715379254019446</v>
      </c>
      <c r="E154" s="97">
        <v>18.727559319399671</v>
      </c>
      <c r="F154" s="97">
        <v>18.751943235867131</v>
      </c>
      <c r="G154" s="97">
        <v>18.800806356195025</v>
      </c>
      <c r="H154" s="97">
        <v>18.183811413856787</v>
      </c>
      <c r="I154" s="97">
        <v>19.096670560747665</v>
      </c>
      <c r="J154" s="97">
        <v>19.299544764795144</v>
      </c>
      <c r="K154" s="97">
        <v>18.551321377153659</v>
      </c>
      <c r="L154" s="97">
        <v>17.522876280126432</v>
      </c>
      <c r="M154" s="97">
        <v>16.656452017535777</v>
      </c>
      <c r="N154" s="97">
        <v>15.30080175180712</v>
      </c>
      <c r="O154" s="97">
        <v>14.648910411622277</v>
      </c>
      <c r="P154" s="97">
        <v>14.669811320754716</v>
      </c>
      <c r="Q154" s="97">
        <v>14.869803563270898</v>
      </c>
      <c r="R154" s="97">
        <v>14.26356589147287</v>
      </c>
      <c r="S154" s="97">
        <v>13.960241232968505</v>
      </c>
      <c r="T154" s="97">
        <v>13.932233615693267</v>
      </c>
      <c r="U154" s="97">
        <v>13.846848881861305</v>
      </c>
      <c r="V154" s="97">
        <v>8.3435582822085887</v>
      </c>
      <c r="W154" s="97">
        <v>8.5814360770577931</v>
      </c>
      <c r="X154" s="97">
        <v>11.015325670498083</v>
      </c>
      <c r="Y154" s="97">
        <v>11.696178937558248</v>
      </c>
      <c r="DA154" s="175" t="s">
        <v>565</v>
      </c>
    </row>
    <row r="155" spans="1:105" ht="11.45" customHeight="1" x14ac:dyDescent="0.25">
      <c r="A155" s="111" t="s">
        <v>115</v>
      </c>
      <c r="B155" s="97">
        <v>18.70624940387772</v>
      </c>
      <c r="C155" s="97">
        <v>18.709292192286636</v>
      </c>
      <c r="D155" s="97">
        <v>18.715379254019446</v>
      </c>
      <c r="E155" s="97">
        <v>18.727559319399671</v>
      </c>
      <c r="F155" s="97">
        <v>18.751943235867131</v>
      </c>
      <c r="G155" s="97">
        <v>18.800806356195025</v>
      </c>
      <c r="H155" s="97">
        <v>18.183811413856784</v>
      </c>
      <c r="I155" s="97">
        <v>19.096670560747665</v>
      </c>
      <c r="J155" s="97">
        <v>19.299544764795144</v>
      </c>
      <c r="K155" s="97">
        <v>18.551321377153659</v>
      </c>
      <c r="L155" s="97">
        <v>17.522876280126432</v>
      </c>
      <c r="M155" s="97">
        <v>16.656452017535777</v>
      </c>
      <c r="N155" s="97">
        <v>15.300801751807121</v>
      </c>
      <c r="O155" s="97">
        <v>14.648910411622277</v>
      </c>
      <c r="P155" s="97">
        <v>14.669811320754715</v>
      </c>
      <c r="Q155" s="97">
        <v>14.869803563270898</v>
      </c>
      <c r="R155" s="97">
        <v>14.26356589147287</v>
      </c>
      <c r="S155" s="97">
        <v>13.960241232968505</v>
      </c>
      <c r="T155" s="97">
        <v>13.932233615693267</v>
      </c>
      <c r="U155" s="97">
        <v>13.846848881861305</v>
      </c>
      <c r="V155" s="97">
        <v>8.3435582822085887</v>
      </c>
      <c r="W155" s="97">
        <v>8.5814360770577931</v>
      </c>
      <c r="X155" s="97">
        <v>11.015325670498083</v>
      </c>
      <c r="Y155" s="97">
        <v>11.696178937558248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5.3675746734703669</v>
      </c>
      <c r="C156" s="32">
        <f t="shared" si="207"/>
        <v>5.310255225037853</v>
      </c>
      <c r="D156" s="32">
        <f t="shared" si="207"/>
        <v>5.3655671470054802</v>
      </c>
      <c r="E156" s="32">
        <f t="shared" si="207"/>
        <v>5.334733645617594</v>
      </c>
      <c r="F156" s="32">
        <f t="shared" si="207"/>
        <v>5.5912583909221265</v>
      </c>
      <c r="G156" s="32">
        <f t="shared" si="207"/>
        <v>5.695589905776389</v>
      </c>
      <c r="H156" s="32">
        <f t="shared" si="207"/>
        <v>5.9424415606301677</v>
      </c>
      <c r="I156" s="32">
        <f t="shared" si="207"/>
        <v>6.1347109595458615</v>
      </c>
      <c r="J156" s="32">
        <f t="shared" si="207"/>
        <v>6.217316660212008</v>
      </c>
      <c r="K156" s="32">
        <f t="shared" si="207"/>
        <v>5.9081250623895469</v>
      </c>
      <c r="L156" s="32">
        <f t="shared" ref="L156" si="208">IF(L19=0,0,L19/L46)</f>
        <v>6.2074321106430128</v>
      </c>
      <c r="M156" s="32">
        <f t="shared" ref="M156:V156" si="209">IF(M19=0,0,M19/M46)</f>
        <v>6.2546082883631531</v>
      </c>
      <c r="N156" s="32">
        <f t="shared" si="209"/>
        <v>6.2420322326266353</v>
      </c>
      <c r="O156" s="32">
        <f t="shared" si="209"/>
        <v>6.1801977497810414</v>
      </c>
      <c r="P156" s="32">
        <f t="shared" si="209"/>
        <v>6.1250416592007548</v>
      </c>
      <c r="Q156" s="32">
        <f t="shared" si="209"/>
        <v>5.8189726627336187</v>
      </c>
      <c r="R156" s="32">
        <f t="shared" si="209"/>
        <v>5.7255955453628564</v>
      </c>
      <c r="S156" s="32">
        <f t="shared" si="209"/>
        <v>5.7637062390706397</v>
      </c>
      <c r="T156" s="32">
        <f t="shared" si="209"/>
        <v>5.8541222833683877</v>
      </c>
      <c r="U156" s="32">
        <f t="shared" si="209"/>
        <v>5.7347391411307864</v>
      </c>
      <c r="V156" s="32">
        <f t="shared" si="209"/>
        <v>5.8813624505839508</v>
      </c>
      <c r="W156" s="32">
        <f t="shared" ref="W156:Y156" si="210">IF(W19=0,0,W19/W46)</f>
        <v>5.8493137853060322</v>
      </c>
      <c r="X156" s="32">
        <f t="shared" si="210"/>
        <v>5.7240153467622772</v>
      </c>
      <c r="Y156" s="32">
        <f t="shared" si="210"/>
        <v>5.5151414906522618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0.43134339697543472</v>
      </c>
      <c r="C157" s="141">
        <f t="shared" si="211"/>
        <v>0.42690824001242716</v>
      </c>
      <c r="D157" s="141">
        <f t="shared" si="211"/>
        <v>0.42703094909644362</v>
      </c>
      <c r="E157" s="141">
        <f t="shared" si="211"/>
        <v>0.42449666371011435</v>
      </c>
      <c r="F157" s="141">
        <f t="shared" si="211"/>
        <v>0.42714972451516708</v>
      </c>
      <c r="G157" s="141">
        <f t="shared" si="211"/>
        <v>0.42774056571192937</v>
      </c>
      <c r="H157" s="141">
        <f t="shared" si="211"/>
        <v>0.43156437008879911</v>
      </c>
      <c r="I157" s="141">
        <f t="shared" si="211"/>
        <v>0.4346869465327165</v>
      </c>
      <c r="J157" s="141">
        <f t="shared" si="211"/>
        <v>0.43887438434777459</v>
      </c>
      <c r="K157" s="141">
        <f t="shared" si="211"/>
        <v>0.4399389492535663</v>
      </c>
      <c r="L157" s="141">
        <f t="shared" ref="L157" si="212">IF(L20=0,0,L20/L47)</f>
        <v>0.44610369983034937</v>
      </c>
      <c r="M157" s="141">
        <f t="shared" ref="M157:V157" si="213">IF(M20=0,0,M20/M47)</f>
        <v>0.44908464278853466</v>
      </c>
      <c r="N157" s="141">
        <f t="shared" si="213"/>
        <v>0.45375364067776053</v>
      </c>
      <c r="O157" s="141">
        <f t="shared" si="213"/>
        <v>0.45137776674671065</v>
      </c>
      <c r="P157" s="141">
        <f t="shared" si="213"/>
        <v>0.4501254069006832</v>
      </c>
      <c r="Q157" s="141">
        <f t="shared" si="213"/>
        <v>0.44311675267192296</v>
      </c>
      <c r="R157" s="141">
        <f t="shared" si="213"/>
        <v>0.44150201990458743</v>
      </c>
      <c r="S157" s="141">
        <f t="shared" si="213"/>
        <v>0.44300381495010865</v>
      </c>
      <c r="T157" s="141">
        <f t="shared" si="213"/>
        <v>0.45033329216369083</v>
      </c>
      <c r="U157" s="141">
        <f t="shared" si="213"/>
        <v>0.44870860106283356</v>
      </c>
      <c r="V157" s="141">
        <f t="shared" si="213"/>
        <v>0.45848017886785863</v>
      </c>
      <c r="W157" s="141">
        <f t="shared" ref="W157:Y157" si="214">IF(W20=0,0,W20/W47)</f>
        <v>0.45739465528473799</v>
      </c>
      <c r="X157" s="141">
        <f t="shared" si="214"/>
        <v>0.45599823197122163</v>
      </c>
      <c r="Y157" s="141">
        <f t="shared" si="214"/>
        <v>0.45644374100598445</v>
      </c>
      <c r="DA157" s="174" t="s">
        <v>568</v>
      </c>
    </row>
    <row r="158" spans="1:105" ht="11.45" customHeight="1" x14ac:dyDescent="0.25">
      <c r="A158" s="111" t="s">
        <v>110</v>
      </c>
      <c r="B158" s="96">
        <v>0.34491601598429705</v>
      </c>
      <c r="C158" s="96">
        <v>0.34457847189498075</v>
      </c>
      <c r="D158" s="96">
        <v>0.34138259315741398</v>
      </c>
      <c r="E158" s="96">
        <v>0.34086300619802196</v>
      </c>
      <c r="F158" s="96">
        <v>0.3395316601800617</v>
      </c>
      <c r="G158" s="96">
        <v>0.3395728361167682</v>
      </c>
      <c r="H158" s="96">
        <v>0.34201316299507406</v>
      </c>
      <c r="I158" s="96">
        <v>0.34393271842144557</v>
      </c>
      <c r="J158" s="96">
        <v>0.35015700607057937</v>
      </c>
      <c r="K158" s="96">
        <v>0.35251678345780491</v>
      </c>
      <c r="L158" s="96">
        <v>0.35436939343029084</v>
      </c>
      <c r="M158" s="96">
        <v>0.35412710052899965</v>
      </c>
      <c r="N158" s="96">
        <v>0.35640436334214187</v>
      </c>
      <c r="O158" s="96">
        <v>0.35608685814350766</v>
      </c>
      <c r="P158" s="96">
        <v>0.35440523713148819</v>
      </c>
      <c r="Q158" s="96">
        <v>0.35464660391566266</v>
      </c>
      <c r="R158" s="96">
        <v>0.35049684774339612</v>
      </c>
      <c r="S158" s="96">
        <v>0.34638694504550938</v>
      </c>
      <c r="T158" s="96">
        <v>0.34669464634081926</v>
      </c>
      <c r="U158" s="96">
        <v>0.34497392442559499</v>
      </c>
      <c r="V158" s="96">
        <v>0.34751521102012722</v>
      </c>
      <c r="W158" s="96">
        <v>0.34067975893516006</v>
      </c>
      <c r="X158" s="96">
        <v>0.33811234719887118</v>
      </c>
      <c r="Y158" s="96">
        <v>0.3411035012852377</v>
      </c>
      <c r="DA158" s="171" t="s">
        <v>569</v>
      </c>
    </row>
    <row r="159" spans="1:105" ht="11.45" customHeight="1" x14ac:dyDescent="0.25">
      <c r="A159" s="111" t="s">
        <v>111</v>
      </c>
      <c r="B159" s="96">
        <v>0.44152998300091523</v>
      </c>
      <c r="C159" s="96">
        <v>0.43537069762441749</v>
      </c>
      <c r="D159" s="96">
        <v>0.43532122740318113</v>
      </c>
      <c r="E159" s="96">
        <v>0.43150862223240427</v>
      </c>
      <c r="F159" s="96">
        <v>0.43404483273471955</v>
      </c>
      <c r="G159" s="96">
        <v>0.43402199058077834</v>
      </c>
      <c r="H159" s="96">
        <v>0.43790130016445478</v>
      </c>
      <c r="I159" s="96">
        <v>0.44115743606821878</v>
      </c>
      <c r="J159" s="96">
        <v>0.44490873593417413</v>
      </c>
      <c r="K159" s="96">
        <v>0.4456197942599367</v>
      </c>
      <c r="L159" s="96">
        <v>0.45202734698370634</v>
      </c>
      <c r="M159" s="96">
        <v>0.45498943539400255</v>
      </c>
      <c r="N159" s="96">
        <v>0.45959768970542902</v>
      </c>
      <c r="O159" s="96">
        <v>0.45671600287178615</v>
      </c>
      <c r="P159" s="96">
        <v>0.45529890853206406</v>
      </c>
      <c r="Q159" s="96">
        <v>0.44725043361053535</v>
      </c>
      <c r="R159" s="96">
        <v>0.44576226703028154</v>
      </c>
      <c r="S159" s="96">
        <v>0.44781559077032934</v>
      </c>
      <c r="T159" s="96">
        <v>0.45582627131714976</v>
      </c>
      <c r="U159" s="96">
        <v>0.45409816248176182</v>
      </c>
      <c r="V159" s="96">
        <v>0.46456287362557008</v>
      </c>
      <c r="W159" s="96">
        <v>0.4646324357443396</v>
      </c>
      <c r="X159" s="96">
        <v>0.46385057154223219</v>
      </c>
      <c r="Y159" s="96">
        <v>0.46411401862495122</v>
      </c>
      <c r="DA159" s="171" t="s">
        <v>570</v>
      </c>
    </row>
    <row r="160" spans="1:105" ht="11.45" customHeight="1" x14ac:dyDescent="0.25">
      <c r="A160" s="111" t="s">
        <v>112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0.33734000125956781</v>
      </c>
      <c r="I160" s="96">
        <v>0.33727231075266256</v>
      </c>
      <c r="J160" s="96">
        <v>0.34139109657926764</v>
      </c>
      <c r="K160" s="96">
        <v>0.3443485090605492</v>
      </c>
      <c r="L160" s="96">
        <v>0.34880951813775918</v>
      </c>
      <c r="M160" s="96">
        <v>0.35187391539516588</v>
      </c>
      <c r="N160" s="96">
        <v>0.35307216567446942</v>
      </c>
      <c r="O160" s="96">
        <v>0.35209238298571011</v>
      </c>
      <c r="P160" s="96">
        <v>0.35274708827970375</v>
      </c>
      <c r="Q160" s="96">
        <v>0.35464660391566266</v>
      </c>
      <c r="R160" s="96">
        <v>0.35536672595740815</v>
      </c>
      <c r="S160" s="96">
        <v>0.35607936345497815</v>
      </c>
      <c r="T160" s="96">
        <v>0.36134751246507374</v>
      </c>
      <c r="U160" s="96">
        <v>0.36454978627787826</v>
      </c>
      <c r="V160" s="96">
        <v>0.37233772609299354</v>
      </c>
      <c r="W160" s="96">
        <v>0.37008561044600313</v>
      </c>
      <c r="X160" s="96">
        <v>0.37069008229845862</v>
      </c>
      <c r="Y160" s="96">
        <v>0.37548353533135875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</v>
      </c>
      <c r="F161" s="96">
        <v>0</v>
      </c>
      <c r="G161" s="96">
        <v>0</v>
      </c>
      <c r="H161" s="96">
        <v>0.34206232783199975</v>
      </c>
      <c r="I161" s="96">
        <v>0.33957086439265916</v>
      </c>
      <c r="J161" s="96">
        <v>0.34097858440275852</v>
      </c>
      <c r="K161" s="96">
        <v>0.34282744226502027</v>
      </c>
      <c r="L161" s="96">
        <v>0.34450131153679131</v>
      </c>
      <c r="M161" s="96">
        <v>0.34752785989442364</v>
      </c>
      <c r="N161" s="96">
        <v>0.35117937745189176</v>
      </c>
      <c r="O161" s="96">
        <v>0.35301809921055965</v>
      </c>
      <c r="P161" s="96">
        <v>0.35322179216894267</v>
      </c>
      <c r="Q161" s="96">
        <v>0.35464660391566266</v>
      </c>
      <c r="R161" s="96">
        <v>0.35253475749335461</v>
      </c>
      <c r="S161" s="96">
        <v>0.35042668192675053</v>
      </c>
      <c r="T161" s="96">
        <v>0.35277728351609489</v>
      </c>
      <c r="U161" s="96">
        <v>0.35306736072009132</v>
      </c>
      <c r="V161" s="96">
        <v>0.3577362466383664</v>
      </c>
      <c r="W161" s="96">
        <v>0.35273884134951522</v>
      </c>
      <c r="X161" s="96">
        <v>0.35049936239966906</v>
      </c>
      <c r="Y161" s="96">
        <v>0.35220242718722955</v>
      </c>
      <c r="DA161" s="171" t="s">
        <v>572</v>
      </c>
    </row>
    <row r="162" spans="1:105" ht="11.45" customHeight="1" x14ac:dyDescent="0.25">
      <c r="A162" s="111" t="s">
        <v>115</v>
      </c>
      <c r="B162" s="96">
        <v>0.35615167099428191</v>
      </c>
      <c r="C162" s="96">
        <v>0.35596961992179454</v>
      </c>
      <c r="D162" s="96">
        <v>0.35578111429435338</v>
      </c>
      <c r="E162" s="96">
        <v>0.35564721632511409</v>
      </c>
      <c r="F162" s="96">
        <v>0.35559385520218506</v>
      </c>
      <c r="G162" s="96">
        <v>0.35543071286201672</v>
      </c>
      <c r="H162" s="96">
        <v>0.35538675605225239</v>
      </c>
      <c r="I162" s="96">
        <v>0.355316342209197</v>
      </c>
      <c r="J162" s="96">
        <v>0.35517800629563484</v>
      </c>
      <c r="K162" s="96">
        <v>0.3550991148702996</v>
      </c>
      <c r="L162" s="96">
        <v>0.35494846302671557</v>
      </c>
      <c r="M162" s="96">
        <v>0.35486757085103465</v>
      </c>
      <c r="N162" s="96">
        <v>0.35475788674507153</v>
      </c>
      <c r="O162" s="96">
        <v>0.3547365738201208</v>
      </c>
      <c r="P162" s="96">
        <v>0.35467041585543452</v>
      </c>
      <c r="Q162" s="96">
        <v>0.35464660391566266</v>
      </c>
      <c r="R162" s="96">
        <v>0.35468058518137685</v>
      </c>
      <c r="S162" s="96">
        <v>0.35471499410205504</v>
      </c>
      <c r="T162" s="96">
        <v>0.3548948625440953</v>
      </c>
      <c r="U162" s="96">
        <v>0.3549756940644237</v>
      </c>
      <c r="V162" s="96">
        <v>0.35933744938412049</v>
      </c>
      <c r="W162" s="96">
        <v>0.35509387238747764</v>
      </c>
      <c r="X162" s="96">
        <v>0.35524305896963243</v>
      </c>
      <c r="Y162" s="96">
        <v>0.35539208466692279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10.291685198304663</v>
      </c>
      <c r="C163" s="130">
        <f t="shared" si="215"/>
        <v>10.4612664516749</v>
      </c>
      <c r="D163" s="130">
        <f t="shared" si="215"/>
        <v>10.737919554634042</v>
      </c>
      <c r="E163" s="130">
        <f t="shared" si="215"/>
        <v>10.925157847258234</v>
      </c>
      <c r="F163" s="130">
        <f t="shared" si="215"/>
        <v>11.018521120529416</v>
      </c>
      <c r="G163" s="130">
        <f t="shared" si="215"/>
        <v>11.219858419372441</v>
      </c>
      <c r="H163" s="130">
        <f t="shared" si="215"/>
        <v>11.344330053620492</v>
      </c>
      <c r="I163" s="130">
        <f t="shared" si="215"/>
        <v>11.389455007438576</v>
      </c>
      <c r="J163" s="130">
        <f t="shared" si="215"/>
        <v>11.282822235262294</v>
      </c>
      <c r="K163" s="130">
        <f t="shared" si="215"/>
        <v>11.117878802352172</v>
      </c>
      <c r="L163" s="130">
        <f t="shared" ref="L163" si="216">IF(L26=0,0,L26/L53)</f>
        <v>11.393156212611027</v>
      </c>
      <c r="M163" s="130">
        <f t="shared" ref="M163:V163" si="217">IF(M26=0,0,M26/M53)</f>
        <v>11.362933644161094</v>
      </c>
      <c r="N163" s="130">
        <f t="shared" si="217"/>
        <v>11.323969649596052</v>
      </c>
      <c r="O163" s="130">
        <f t="shared" si="217"/>
        <v>11.379366996931234</v>
      </c>
      <c r="P163" s="130">
        <f t="shared" si="217"/>
        <v>11.366939340895462</v>
      </c>
      <c r="Q163" s="130">
        <f t="shared" si="217"/>
        <v>11.328676794931356</v>
      </c>
      <c r="R163" s="130">
        <f t="shared" si="217"/>
        <v>11.351303558148023</v>
      </c>
      <c r="S163" s="130">
        <f t="shared" si="217"/>
        <v>11.429376151991885</v>
      </c>
      <c r="T163" s="130">
        <f t="shared" si="217"/>
        <v>11.445646040248574</v>
      </c>
      <c r="U163" s="130">
        <f t="shared" si="217"/>
        <v>11.444683584464668</v>
      </c>
      <c r="V163" s="130">
        <f t="shared" si="217"/>
        <v>11.401667617141745</v>
      </c>
      <c r="W163" s="130">
        <f t="shared" ref="W163:Y163" si="218">IF(W26=0,0,W26/W53)</f>
        <v>11.506190615947244</v>
      </c>
      <c r="X163" s="130">
        <f t="shared" si="218"/>
        <v>11.516630719127047</v>
      </c>
      <c r="Y163" s="130">
        <f t="shared" si="218"/>
        <v>11.400399978561174</v>
      </c>
      <c r="DA163" s="176" t="s">
        <v>574</v>
      </c>
    </row>
    <row r="164" spans="1:105" ht="11.45" customHeight="1" x14ac:dyDescent="0.25">
      <c r="A164" s="128" t="s">
        <v>27</v>
      </c>
      <c r="B164" s="97">
        <v>9.2051282051282044</v>
      </c>
      <c r="C164" s="97">
        <v>9.3494837818063576</v>
      </c>
      <c r="D164" s="97">
        <v>9.5750806862578557</v>
      </c>
      <c r="E164" s="97">
        <v>9.8081156917763863</v>
      </c>
      <c r="F164" s="97">
        <v>9.8583856730606012</v>
      </c>
      <c r="G164" s="97">
        <v>10.096324622902062</v>
      </c>
      <c r="H164" s="97">
        <v>10.212016574585636</v>
      </c>
      <c r="I164" s="97">
        <v>10.241704861519176</v>
      </c>
      <c r="J164" s="97">
        <v>10.154108931792884</v>
      </c>
      <c r="K164" s="97">
        <v>10.031372549019608</v>
      </c>
      <c r="L164" s="97">
        <v>10.184847506858157</v>
      </c>
      <c r="M164" s="97">
        <v>10.210942015026006</v>
      </c>
      <c r="N164" s="97">
        <v>10.124477861319967</v>
      </c>
      <c r="O164" s="97">
        <v>10.157111770524233</v>
      </c>
      <c r="P164" s="97">
        <v>10.129862127397367</v>
      </c>
      <c r="Q164" s="97">
        <v>10.152484939759036</v>
      </c>
      <c r="R164" s="97">
        <v>10.137654390089182</v>
      </c>
      <c r="S164" s="97">
        <v>10.116030534351145</v>
      </c>
      <c r="T164" s="97">
        <v>10.163820390136179</v>
      </c>
      <c r="U164" s="97">
        <v>10.104609144542772</v>
      </c>
      <c r="V164" s="97">
        <v>10.097183256649085</v>
      </c>
      <c r="W164" s="97">
        <v>10.107766629505759</v>
      </c>
      <c r="X164" s="97">
        <v>10.128875311156371</v>
      </c>
      <c r="Y164" s="97">
        <v>9.9876334134142013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13.993137904941619</v>
      </c>
      <c r="G165" s="98">
        <v>13.999403714336371</v>
      </c>
      <c r="H165" s="98">
        <v>14.088849058887035</v>
      </c>
      <c r="I165" s="98">
        <v>14.115262081857328</v>
      </c>
      <c r="J165" s="98">
        <v>13.915448013039786</v>
      </c>
      <c r="K165" s="98">
        <v>13.731801555818866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14.138211571635043</v>
      </c>
      <c r="Q165" s="98">
        <v>14.005556317739059</v>
      </c>
      <c r="R165" s="98">
        <v>13.933281647068959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13.993433342768185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12544.137495239107</v>
      </c>
      <c r="C167" s="54">
        <f t="shared" si="219"/>
        <v>12632.767072985549</v>
      </c>
      <c r="D167" s="54">
        <f t="shared" si="219"/>
        <v>12584.577108590895</v>
      </c>
      <c r="E167" s="54">
        <f t="shared" si="219"/>
        <v>12152.223182447346</v>
      </c>
      <c r="F167" s="54">
        <f t="shared" si="219"/>
        <v>12310.27794151124</v>
      </c>
      <c r="G167" s="54">
        <f t="shared" si="219"/>
        <v>11843.607863271467</v>
      </c>
      <c r="H167" s="54">
        <f t="shared" si="219"/>
        <v>11601.328934277535</v>
      </c>
      <c r="I167" s="54">
        <f t="shared" si="219"/>
        <v>11423.002308453713</v>
      </c>
      <c r="J167" s="54">
        <f t="shared" si="219"/>
        <v>11392.821610684136</v>
      </c>
      <c r="K167" s="54">
        <f t="shared" si="219"/>
        <v>11266.298132697866</v>
      </c>
      <c r="L167" s="54">
        <f t="shared" si="219"/>
        <v>11030.516910046697</v>
      </c>
      <c r="M167" s="54">
        <f>IF(M30=0,0,M30*1000000/M57)</f>
        <v>11162.02018558182</v>
      </c>
      <c r="N167" s="54">
        <f t="shared" ref="N167:V167" si="220">IF(N30=0,0,N30*1000000/N57)</f>
        <v>10826.179853912468</v>
      </c>
      <c r="O167" s="54">
        <f t="shared" si="220"/>
        <v>11116.18759540045</v>
      </c>
      <c r="P167" s="54">
        <f t="shared" si="220"/>
        <v>11561.505476949151</v>
      </c>
      <c r="Q167" s="54">
        <f t="shared" si="220"/>
        <v>11472.939940109971</v>
      </c>
      <c r="R167" s="54">
        <f t="shared" si="220"/>
        <v>11751.378283941336</v>
      </c>
      <c r="S167" s="54">
        <f t="shared" si="220"/>
        <v>11945.975695108978</v>
      </c>
      <c r="T167" s="54">
        <f t="shared" si="220"/>
        <v>11426.481266723833</v>
      </c>
      <c r="U167" s="54">
        <f t="shared" si="220"/>
        <v>11437.788842380291</v>
      </c>
      <c r="V167" s="54">
        <f t="shared" si="220"/>
        <v>10177.802035758539</v>
      </c>
      <c r="W167" s="54">
        <f t="shared" ref="W167:Y191" si="221">IF(W30=0,0,W30*1000000/W57)</f>
        <v>10189.581493462816</v>
      </c>
      <c r="X167" s="54">
        <f t="shared" si="221"/>
        <v>10661.372438853734</v>
      </c>
      <c r="Y167" s="54">
        <f t="shared" si="221"/>
        <v>10732.658013685577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11859.905349115688</v>
      </c>
      <c r="C168" s="28">
        <f t="shared" si="219"/>
        <v>11896.624590579926</v>
      </c>
      <c r="D168" s="28">
        <f t="shared" si="219"/>
        <v>11850.814255729585</v>
      </c>
      <c r="E168" s="28">
        <f t="shared" si="219"/>
        <v>11361.478931430409</v>
      </c>
      <c r="F168" s="28">
        <f t="shared" si="219"/>
        <v>11508.192601312661</v>
      </c>
      <c r="G168" s="28">
        <f t="shared" si="219"/>
        <v>11012.754989876279</v>
      </c>
      <c r="H168" s="28">
        <f t="shared" si="219"/>
        <v>10753.06724013309</v>
      </c>
      <c r="I168" s="28">
        <f t="shared" si="219"/>
        <v>10524.926765418913</v>
      </c>
      <c r="J168" s="28">
        <f t="shared" si="219"/>
        <v>10496.2622424826</v>
      </c>
      <c r="K168" s="28">
        <f t="shared" si="219"/>
        <v>10429.10766013588</v>
      </c>
      <c r="L168" s="28">
        <f t="shared" si="219"/>
        <v>10211.460744362088</v>
      </c>
      <c r="M168" s="28">
        <f t="shared" ref="M168:M192" si="222">IF(M31=0,0,M31*1000000/M58)</f>
        <v>10352.571637814512</v>
      </c>
      <c r="N168" s="28">
        <f t="shared" si="219"/>
        <v>10048.325110879436</v>
      </c>
      <c r="O168" s="28">
        <f t="shared" si="219"/>
        <v>10331.21021773428</v>
      </c>
      <c r="P168" s="28">
        <f t="shared" si="219"/>
        <v>10780.778584400614</v>
      </c>
      <c r="Q168" s="28">
        <f t="shared" si="219"/>
        <v>10616.641876941523</v>
      </c>
      <c r="R168" s="28">
        <f t="shared" si="219"/>
        <v>10881.596474461177</v>
      </c>
      <c r="S168" s="28">
        <f t="shared" si="219"/>
        <v>11091.437547556685</v>
      </c>
      <c r="T168" s="28">
        <f t="shared" si="219"/>
        <v>10619.054991996876</v>
      </c>
      <c r="U168" s="28">
        <f t="shared" si="219"/>
        <v>10605.499652387767</v>
      </c>
      <c r="V168" s="28">
        <f t="shared" si="219"/>
        <v>9353.2908901153187</v>
      </c>
      <c r="W168" s="28">
        <f t="shared" si="221"/>
        <v>9349.0644404456889</v>
      </c>
      <c r="X168" s="28">
        <f t="shared" si="221"/>
        <v>9858.0001272490827</v>
      </c>
      <c r="Y168" s="28">
        <f t="shared" si="221"/>
        <v>9965.3722704570246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2851.9413102636795</v>
      </c>
      <c r="C169" s="137">
        <f t="shared" si="219"/>
        <v>2777.3581189529527</v>
      </c>
      <c r="D169" s="137">
        <f t="shared" si="219"/>
        <v>2811.3266655155589</v>
      </c>
      <c r="E169" s="137">
        <f t="shared" si="219"/>
        <v>2716.1713071113386</v>
      </c>
      <c r="F169" s="137">
        <f t="shared" si="219"/>
        <v>2766.8814753305783</v>
      </c>
      <c r="G169" s="137">
        <f t="shared" si="219"/>
        <v>2754.6417736170638</v>
      </c>
      <c r="H169" s="137">
        <f t="shared" si="219"/>
        <v>2778.9871504157218</v>
      </c>
      <c r="I169" s="137">
        <f t="shared" si="219"/>
        <v>2503.5430588167428</v>
      </c>
      <c r="J169" s="137">
        <f t="shared" si="219"/>
        <v>2680.9235251831992</v>
      </c>
      <c r="K169" s="137">
        <f t="shared" si="219"/>
        <v>2675.1705519170032</v>
      </c>
      <c r="L169" s="137">
        <f t="shared" si="219"/>
        <v>2620.7843033924637</v>
      </c>
      <c r="M169" s="137">
        <f t="shared" si="222"/>
        <v>2681.5081756620607</v>
      </c>
      <c r="N169" s="137">
        <f t="shared" si="219"/>
        <v>2621.4947204950354</v>
      </c>
      <c r="O169" s="137">
        <f t="shared" si="219"/>
        <v>2706.5649757349884</v>
      </c>
      <c r="P169" s="137">
        <f t="shared" si="219"/>
        <v>2771.2690242805888</v>
      </c>
      <c r="Q169" s="137">
        <f t="shared" si="219"/>
        <v>2682.365190483104</v>
      </c>
      <c r="R169" s="137">
        <f t="shared" si="219"/>
        <v>2705.4279716316587</v>
      </c>
      <c r="S169" s="137">
        <f t="shared" si="219"/>
        <v>2516.3005339755687</v>
      </c>
      <c r="T169" s="137">
        <f t="shared" si="219"/>
        <v>2358.9491538262091</v>
      </c>
      <c r="U169" s="137">
        <f t="shared" si="219"/>
        <v>2515.9895339489658</v>
      </c>
      <c r="V169" s="137">
        <f t="shared" si="219"/>
        <v>2138.3690898615582</v>
      </c>
      <c r="W169" s="137">
        <f t="shared" si="221"/>
        <v>2231.2525085370576</v>
      </c>
      <c r="X169" s="137">
        <f t="shared" si="221"/>
        <v>2200.39051915653</v>
      </c>
      <c r="Y169" s="137">
        <f t="shared" si="221"/>
        <v>2334.2638780775501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12578.211698922143</v>
      </c>
      <c r="C170" s="110">
        <f t="shared" si="219"/>
        <v>12653.059748390584</v>
      </c>
      <c r="D170" s="110">
        <f t="shared" si="219"/>
        <v>12617.887673559106</v>
      </c>
      <c r="E170" s="110">
        <f t="shared" si="219"/>
        <v>12105.026563375592</v>
      </c>
      <c r="F170" s="110">
        <f t="shared" si="219"/>
        <v>12275.495676886598</v>
      </c>
      <c r="G170" s="110">
        <f t="shared" si="219"/>
        <v>11740.468203523515</v>
      </c>
      <c r="H170" s="110">
        <f t="shared" si="219"/>
        <v>11457.797184657318</v>
      </c>
      <c r="I170" s="110">
        <f t="shared" si="219"/>
        <v>11203.789282268399</v>
      </c>
      <c r="J170" s="110">
        <f t="shared" si="219"/>
        <v>11127.613511223655</v>
      </c>
      <c r="K170" s="110">
        <f t="shared" si="219"/>
        <v>11067.008818617136</v>
      </c>
      <c r="L170" s="110">
        <f t="shared" si="219"/>
        <v>10833.474846336196</v>
      </c>
      <c r="M170" s="110">
        <f t="shared" si="222"/>
        <v>10983.383236528556</v>
      </c>
      <c r="N170" s="110">
        <f t="shared" si="219"/>
        <v>10657.628520104763</v>
      </c>
      <c r="O170" s="110">
        <f t="shared" si="219"/>
        <v>10960.178763102111</v>
      </c>
      <c r="P170" s="110">
        <f t="shared" si="219"/>
        <v>11451.861123317234</v>
      </c>
      <c r="Q170" s="110">
        <f t="shared" si="219"/>
        <v>11282.297642201815</v>
      </c>
      <c r="R170" s="110">
        <f t="shared" si="219"/>
        <v>11571.938293576126</v>
      </c>
      <c r="S170" s="110">
        <f t="shared" si="219"/>
        <v>11820.93218549325</v>
      </c>
      <c r="T170" s="110">
        <f t="shared" si="219"/>
        <v>11320.441372191859</v>
      </c>
      <c r="U170" s="110">
        <f t="shared" si="219"/>
        <v>11294.79823190864</v>
      </c>
      <c r="V170" s="110">
        <f t="shared" si="219"/>
        <v>9980.5511741120299</v>
      </c>
      <c r="W170" s="110">
        <f t="shared" si="221"/>
        <v>9983.215481979134</v>
      </c>
      <c r="X170" s="110">
        <f t="shared" si="221"/>
        <v>10560.666338894785</v>
      </c>
      <c r="Y170" s="110">
        <f t="shared" si="221"/>
        <v>10671.099135260465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11147.114200044634</v>
      </c>
      <c r="C171" s="84">
        <f t="shared" si="219"/>
        <v>10963.042567007862</v>
      </c>
      <c r="D171" s="84">
        <f t="shared" si="219"/>
        <v>10760.81980728399</v>
      </c>
      <c r="E171" s="84">
        <f t="shared" si="219"/>
        <v>10106.125981339561</v>
      </c>
      <c r="F171" s="84">
        <f t="shared" si="219"/>
        <v>9963.0271608299245</v>
      </c>
      <c r="G171" s="84">
        <f t="shared" si="219"/>
        <v>9423.0504012776164</v>
      </c>
      <c r="H171" s="84">
        <f t="shared" si="219"/>
        <v>9180.5725408782982</v>
      </c>
      <c r="I171" s="84">
        <f t="shared" si="219"/>
        <v>8816.2860090794475</v>
      </c>
      <c r="J171" s="84">
        <f t="shared" si="219"/>
        <v>8820.3289406169406</v>
      </c>
      <c r="K171" s="84">
        <f t="shared" si="219"/>
        <v>8688.9191366646482</v>
      </c>
      <c r="L171" s="84">
        <f t="shared" si="219"/>
        <v>8463.4928595315123</v>
      </c>
      <c r="M171" s="84">
        <f t="shared" si="222"/>
        <v>8553.9408082101527</v>
      </c>
      <c r="N171" s="84">
        <f t="shared" si="219"/>
        <v>8219.826627314942</v>
      </c>
      <c r="O171" s="84">
        <f t="shared" si="219"/>
        <v>8372.1538111271657</v>
      </c>
      <c r="P171" s="84">
        <f t="shared" si="219"/>
        <v>8594.0755038179032</v>
      </c>
      <c r="Q171" s="84">
        <f t="shared" si="219"/>
        <v>8356.8410167228249</v>
      </c>
      <c r="R171" s="84">
        <f t="shared" si="219"/>
        <v>8444.0790258200195</v>
      </c>
      <c r="S171" s="84">
        <f t="shared" si="219"/>
        <v>8570.165903078303</v>
      </c>
      <c r="T171" s="84">
        <f t="shared" si="219"/>
        <v>8194.3628480552197</v>
      </c>
      <c r="U171" s="84">
        <f t="shared" si="219"/>
        <v>8204.7061689209368</v>
      </c>
      <c r="V171" s="84">
        <f t="shared" si="219"/>
        <v>7444.8757763764179</v>
      </c>
      <c r="W171" s="84">
        <f t="shared" si="221"/>
        <v>7529.2588080895403</v>
      </c>
      <c r="X171" s="84">
        <f t="shared" si="221"/>
        <v>7951.9997034405542</v>
      </c>
      <c r="Y171" s="84">
        <f t="shared" si="221"/>
        <v>8033.3453695569724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20964.484768790899</v>
      </c>
      <c r="C172" s="84">
        <f t="shared" si="219"/>
        <v>21682.913339387258</v>
      </c>
      <c r="D172" s="84">
        <f t="shared" si="219"/>
        <v>21622.814454247626</v>
      </c>
      <c r="E172" s="84">
        <f t="shared" si="219"/>
        <v>20920.085903958166</v>
      </c>
      <c r="F172" s="84">
        <f t="shared" si="219"/>
        <v>21482.308223485274</v>
      </c>
      <c r="G172" s="84">
        <f t="shared" si="219"/>
        <v>19932.030626430089</v>
      </c>
      <c r="H172" s="84">
        <f t="shared" si="219"/>
        <v>18872.757077260496</v>
      </c>
      <c r="I172" s="84">
        <f t="shared" si="219"/>
        <v>18569.03973961333</v>
      </c>
      <c r="J172" s="84">
        <f t="shared" si="219"/>
        <v>17893.148505956022</v>
      </c>
      <c r="K172" s="84">
        <f t="shared" si="219"/>
        <v>17625.129386106502</v>
      </c>
      <c r="L172" s="84">
        <f t="shared" si="219"/>
        <v>17105.564247391078</v>
      </c>
      <c r="M172" s="84">
        <f t="shared" si="222"/>
        <v>17060.010195227882</v>
      </c>
      <c r="N172" s="84">
        <f t="shared" si="219"/>
        <v>16370.983535383997</v>
      </c>
      <c r="O172" s="84">
        <f t="shared" si="219"/>
        <v>16686.442796533571</v>
      </c>
      <c r="P172" s="84">
        <f t="shared" si="219"/>
        <v>17461.241811145392</v>
      </c>
      <c r="Q172" s="84">
        <f t="shared" si="219"/>
        <v>17168.998076929554</v>
      </c>
      <c r="R172" s="84">
        <f t="shared" si="219"/>
        <v>17674.210603604308</v>
      </c>
      <c r="S172" s="84">
        <f t="shared" si="219"/>
        <v>18242.682014283961</v>
      </c>
      <c r="T172" s="84">
        <f t="shared" si="219"/>
        <v>17645.304769823702</v>
      </c>
      <c r="U172" s="84">
        <f t="shared" si="219"/>
        <v>17634.019302883229</v>
      </c>
      <c r="V172" s="84">
        <f t="shared" si="219"/>
        <v>15135.787094379863</v>
      </c>
      <c r="W172" s="84">
        <f t="shared" si="221"/>
        <v>14838.586942027076</v>
      </c>
      <c r="X172" s="84">
        <f t="shared" si="221"/>
        <v>15740.850009243582</v>
      </c>
      <c r="Y172" s="84">
        <f t="shared" si="221"/>
        <v>15826.676284446834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15847.081353401307</v>
      </c>
      <c r="C173" s="84">
        <f t="shared" si="219"/>
        <v>15911.459669399967</v>
      </c>
      <c r="D173" s="84">
        <f t="shared" si="219"/>
        <v>15795.024826927181</v>
      </c>
      <c r="E173" s="84">
        <f t="shared" si="219"/>
        <v>14994.532609929385</v>
      </c>
      <c r="F173" s="84">
        <f t="shared" si="219"/>
        <v>15357.66911403529</v>
      </c>
      <c r="G173" s="84">
        <f t="shared" si="219"/>
        <v>14639.116604700977</v>
      </c>
      <c r="H173" s="84">
        <f t="shared" si="219"/>
        <v>14561.057993885039</v>
      </c>
      <c r="I173" s="84">
        <f t="shared" si="219"/>
        <v>14181.275762704901</v>
      </c>
      <c r="J173" s="84">
        <f t="shared" si="219"/>
        <v>14018.843785571042</v>
      </c>
      <c r="K173" s="84">
        <f t="shared" si="219"/>
        <v>13923.928336768568</v>
      </c>
      <c r="L173" s="84">
        <f t="shared" si="219"/>
        <v>13590.405816875669</v>
      </c>
      <c r="M173" s="84">
        <f t="shared" si="222"/>
        <v>13720.568421376336</v>
      </c>
      <c r="N173" s="84">
        <f t="shared" si="219"/>
        <v>13242.649279478801</v>
      </c>
      <c r="O173" s="84">
        <f t="shared" si="219"/>
        <v>13538.506164991681</v>
      </c>
      <c r="P173" s="84">
        <f t="shared" si="219"/>
        <v>14230.70909777411</v>
      </c>
      <c r="Q173" s="84">
        <f t="shared" si="219"/>
        <v>13724.314862853764</v>
      </c>
      <c r="R173" s="84">
        <f t="shared" si="219"/>
        <v>14094.499555057952</v>
      </c>
      <c r="S173" s="84">
        <f t="shared" si="219"/>
        <v>14413.105242933683</v>
      </c>
      <c r="T173" s="84">
        <f t="shared" si="219"/>
        <v>13773.038881678291</v>
      </c>
      <c r="U173" s="84">
        <f t="shared" si="219"/>
        <v>13740.282018372904</v>
      </c>
      <c r="V173" s="84">
        <f t="shared" si="219"/>
        <v>12066.649945177436</v>
      </c>
      <c r="W173" s="84">
        <f t="shared" si="221"/>
        <v>12069.998416494127</v>
      </c>
      <c r="X173" s="84">
        <f t="shared" si="221"/>
        <v>12777.705349326312</v>
      </c>
      <c r="Y173" s="84">
        <f t="shared" si="221"/>
        <v>12953.379834634914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18549.041647535803</v>
      </c>
      <c r="H174" s="84">
        <f t="shared" si="219"/>
        <v>18088.367213308444</v>
      </c>
      <c r="I174" s="84">
        <f t="shared" si="219"/>
        <v>17271.162283804111</v>
      </c>
      <c r="J174" s="84">
        <f t="shared" si="219"/>
        <v>16738.567474416916</v>
      </c>
      <c r="K174" s="84">
        <f t="shared" si="219"/>
        <v>16964.528538965475</v>
      </c>
      <c r="L174" s="84">
        <f t="shared" si="219"/>
        <v>16793.635374867605</v>
      </c>
      <c r="M174" s="84">
        <f t="shared" si="222"/>
        <v>17154.265869868777</v>
      </c>
      <c r="N174" s="84">
        <f t="shared" si="219"/>
        <v>16795.657857821825</v>
      </c>
      <c r="O174" s="84">
        <f t="shared" si="219"/>
        <v>17521.319668138156</v>
      </c>
      <c r="P174" s="84">
        <f t="shared" si="219"/>
        <v>18056.036971161982</v>
      </c>
      <c r="Q174" s="84">
        <f t="shared" si="219"/>
        <v>17072.078367941926</v>
      </c>
      <c r="R174" s="84">
        <f t="shared" si="219"/>
        <v>17883.213219217479</v>
      </c>
      <c r="S174" s="84">
        <f t="shared" si="219"/>
        <v>18653.211904942411</v>
      </c>
      <c r="T174" s="84">
        <f t="shared" si="219"/>
        <v>18181.345149070527</v>
      </c>
      <c r="U174" s="84">
        <f t="shared" si="219"/>
        <v>18500.865945931862</v>
      </c>
      <c r="V174" s="84">
        <f t="shared" si="219"/>
        <v>16572.319418828265</v>
      </c>
      <c r="W174" s="84">
        <f t="shared" si="221"/>
        <v>16245.379840357311</v>
      </c>
      <c r="X174" s="84">
        <f t="shared" si="221"/>
        <v>16853.946150665677</v>
      </c>
      <c r="Y174" s="84">
        <f t="shared" si="221"/>
        <v>16743.949639541079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8940.2515952646281</v>
      </c>
      <c r="N175" s="84">
        <f t="shared" si="219"/>
        <v>8588.3013108408068</v>
      </c>
      <c r="O175" s="84">
        <f t="shared" si="219"/>
        <v>9164.3588749106784</v>
      </c>
      <c r="P175" s="84">
        <f t="shared" si="219"/>
        <v>9366.5282692060009</v>
      </c>
      <c r="Q175" s="84">
        <f t="shared" si="219"/>
        <v>9036.4363722602811</v>
      </c>
      <c r="R175" s="84">
        <f t="shared" si="219"/>
        <v>8879.6181505407458</v>
      </c>
      <c r="S175" s="84">
        <f t="shared" si="219"/>
        <v>9035.9288122983071</v>
      </c>
      <c r="T175" s="84">
        <f t="shared" si="219"/>
        <v>8631.4735694208284</v>
      </c>
      <c r="U175" s="84">
        <f t="shared" si="219"/>
        <v>8653.957890320873</v>
      </c>
      <c r="V175" s="84">
        <f t="shared" si="219"/>
        <v>7836.6886480811963</v>
      </c>
      <c r="W175" s="84">
        <f t="shared" si="221"/>
        <v>7949.5265319727805</v>
      </c>
      <c r="X175" s="84">
        <f t="shared" si="221"/>
        <v>8341.4422187307064</v>
      </c>
      <c r="Y175" s="84">
        <f t="shared" si="221"/>
        <v>8423.0119153014657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16453.136319334986</v>
      </c>
      <c r="I176" s="84">
        <f t="shared" si="219"/>
        <v>16489.748360446934</v>
      </c>
      <c r="J176" s="84">
        <f t="shared" si="219"/>
        <v>16495.301845591184</v>
      </c>
      <c r="K176" s="84">
        <f t="shared" si="219"/>
        <v>16514.517227830231</v>
      </c>
      <c r="L176" s="84">
        <f t="shared" si="219"/>
        <v>16540.382803134838</v>
      </c>
      <c r="M176" s="84">
        <f t="shared" si="222"/>
        <v>16544.437735229545</v>
      </c>
      <c r="N176" s="84">
        <f t="shared" si="219"/>
        <v>16583.801105002807</v>
      </c>
      <c r="O176" s="84">
        <f t="shared" si="219"/>
        <v>16594.266326144756</v>
      </c>
      <c r="P176" s="84">
        <f t="shared" si="219"/>
        <v>16608.890444728167</v>
      </c>
      <c r="Q176" s="84">
        <f t="shared" si="219"/>
        <v>16637.243534902111</v>
      </c>
      <c r="R176" s="84">
        <f t="shared" si="219"/>
        <v>16623.344568589961</v>
      </c>
      <c r="S176" s="84">
        <f t="shared" si="219"/>
        <v>16610.244885146796</v>
      </c>
      <c r="T176" s="84">
        <f t="shared" si="219"/>
        <v>16571.287472119635</v>
      </c>
      <c r="U176" s="84">
        <f t="shared" si="219"/>
        <v>16568.971871032976</v>
      </c>
      <c r="V176" s="84">
        <f t="shared" si="219"/>
        <v>15444.668758292806</v>
      </c>
      <c r="W176" s="84">
        <f t="shared" si="221"/>
        <v>16505.77424703211</v>
      </c>
      <c r="X176" s="84">
        <f t="shared" si="221"/>
        <v>16543.074546953849</v>
      </c>
      <c r="Y176" s="84">
        <f t="shared" si="221"/>
        <v>16551.495144019798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42566.087364152947</v>
      </c>
      <c r="C177" s="110">
        <f t="shared" si="219"/>
        <v>42434.35633356381</v>
      </c>
      <c r="D177" s="110">
        <f t="shared" si="219"/>
        <v>41980.369438341935</v>
      </c>
      <c r="E177" s="110">
        <f t="shared" si="219"/>
        <v>41678.003857030984</v>
      </c>
      <c r="F177" s="110">
        <f t="shared" si="219"/>
        <v>42287.800511767527</v>
      </c>
      <c r="G177" s="110">
        <f t="shared" si="219"/>
        <v>42512.56993040134</v>
      </c>
      <c r="H177" s="110">
        <f t="shared" si="219"/>
        <v>43563.908431382821</v>
      </c>
      <c r="I177" s="110">
        <f t="shared" si="219"/>
        <v>45611.97847285129</v>
      </c>
      <c r="J177" s="110">
        <f t="shared" si="219"/>
        <v>43775.740666932375</v>
      </c>
      <c r="K177" s="110">
        <f t="shared" si="219"/>
        <v>43794.02522556555</v>
      </c>
      <c r="L177" s="110">
        <f t="shared" si="219"/>
        <v>46099.8784468175</v>
      </c>
      <c r="M177" s="110">
        <f t="shared" si="222"/>
        <v>48511.070572706391</v>
      </c>
      <c r="N177" s="110">
        <f t="shared" si="219"/>
        <v>51065.460564192923</v>
      </c>
      <c r="O177" s="110">
        <f t="shared" si="219"/>
        <v>53780.243248170416</v>
      </c>
      <c r="P177" s="110">
        <f t="shared" si="219"/>
        <v>54708.971497141982</v>
      </c>
      <c r="Q177" s="110">
        <f t="shared" si="219"/>
        <v>55881.038994192357</v>
      </c>
      <c r="R177" s="110">
        <f t="shared" si="219"/>
        <v>57188.818097759315</v>
      </c>
      <c r="S177" s="110">
        <f t="shared" si="219"/>
        <v>56358.417885646653</v>
      </c>
      <c r="T177" s="110">
        <f t="shared" si="219"/>
        <v>55713.558290589797</v>
      </c>
      <c r="U177" s="110">
        <f t="shared" si="219"/>
        <v>54409.812693574553</v>
      </c>
      <c r="V177" s="110">
        <f t="shared" si="219"/>
        <v>53939.217451156881</v>
      </c>
      <c r="W177" s="110">
        <f t="shared" si="221"/>
        <v>49822.374571517612</v>
      </c>
      <c r="X177" s="110">
        <f t="shared" si="221"/>
        <v>50354.507307191445</v>
      </c>
      <c r="Y177" s="110">
        <f t="shared" si="221"/>
        <v>50716.07505790046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0</v>
      </c>
      <c r="C178" s="102">
        <f t="shared" si="219"/>
        <v>0</v>
      </c>
      <c r="D178" s="102">
        <f t="shared" si="219"/>
        <v>0</v>
      </c>
      <c r="E178" s="102">
        <f t="shared" si="219"/>
        <v>0</v>
      </c>
      <c r="F178" s="102">
        <f t="shared" si="219"/>
        <v>0</v>
      </c>
      <c r="G178" s="102">
        <f t="shared" si="219"/>
        <v>0</v>
      </c>
      <c r="H178" s="102">
        <f t="shared" si="219"/>
        <v>0</v>
      </c>
      <c r="I178" s="102">
        <f t="shared" si="219"/>
        <v>0</v>
      </c>
      <c r="J178" s="102">
        <f t="shared" si="219"/>
        <v>0</v>
      </c>
      <c r="K178" s="102">
        <f t="shared" si="219"/>
        <v>0</v>
      </c>
      <c r="L178" s="102">
        <f t="shared" si="219"/>
        <v>0</v>
      </c>
      <c r="M178" s="102">
        <f t="shared" si="222"/>
        <v>0</v>
      </c>
      <c r="N178" s="102">
        <f t="shared" si="219"/>
        <v>0</v>
      </c>
      <c r="O178" s="102">
        <f t="shared" si="219"/>
        <v>0</v>
      </c>
      <c r="P178" s="102">
        <f t="shared" si="219"/>
        <v>0</v>
      </c>
      <c r="Q178" s="102">
        <f t="shared" si="219"/>
        <v>0</v>
      </c>
      <c r="R178" s="102">
        <f t="shared" si="219"/>
        <v>0</v>
      </c>
      <c r="S178" s="102">
        <f t="shared" si="219"/>
        <v>0</v>
      </c>
      <c r="T178" s="102">
        <f t="shared" si="219"/>
        <v>0</v>
      </c>
      <c r="U178" s="102">
        <f t="shared" si="219"/>
        <v>0</v>
      </c>
      <c r="V178" s="102">
        <f t="shared" si="219"/>
        <v>0</v>
      </c>
      <c r="W178" s="102">
        <f t="shared" si="221"/>
        <v>0</v>
      </c>
      <c r="X178" s="102">
        <f t="shared" si="221"/>
        <v>0</v>
      </c>
      <c r="Y178" s="102">
        <f t="shared" si="221"/>
        <v>0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42623.74053064888</v>
      </c>
      <c r="C179" s="102">
        <f t="shared" si="219"/>
        <v>42415.832467992404</v>
      </c>
      <c r="D179" s="102">
        <f t="shared" si="219"/>
        <v>41810.704840125254</v>
      </c>
      <c r="E179" s="102">
        <f t="shared" si="219"/>
        <v>41333.393498315563</v>
      </c>
      <c r="F179" s="102">
        <f t="shared" si="219"/>
        <v>41946.415527351011</v>
      </c>
      <c r="G179" s="102">
        <f t="shared" si="219"/>
        <v>42309.935148420671</v>
      </c>
      <c r="H179" s="102">
        <f t="shared" si="219"/>
        <v>43166.125493535706</v>
      </c>
      <c r="I179" s="102">
        <f t="shared" si="219"/>
        <v>45312.986413163468</v>
      </c>
      <c r="J179" s="102">
        <f t="shared" si="219"/>
        <v>43763.389172850322</v>
      </c>
      <c r="K179" s="102">
        <f t="shared" si="219"/>
        <v>43730.316496912594</v>
      </c>
      <c r="L179" s="102">
        <f t="shared" si="219"/>
        <v>46028.605300409072</v>
      </c>
      <c r="M179" s="102">
        <f t="shared" si="222"/>
        <v>48550.47174856018</v>
      </c>
      <c r="N179" s="102">
        <f t="shared" si="219"/>
        <v>51186.421361537999</v>
      </c>
      <c r="O179" s="102">
        <f t="shared" si="219"/>
        <v>53905.438318611938</v>
      </c>
      <c r="P179" s="102">
        <f t="shared" si="219"/>
        <v>54909.024314253729</v>
      </c>
      <c r="Q179" s="102">
        <f t="shared" si="219"/>
        <v>56262.35026090897</v>
      </c>
      <c r="R179" s="102">
        <f t="shared" si="219"/>
        <v>57359.569715395868</v>
      </c>
      <c r="S179" s="102">
        <f t="shared" si="219"/>
        <v>56297.896737846182</v>
      </c>
      <c r="T179" s="102">
        <f t="shared" si="219"/>
        <v>55637.995850281266</v>
      </c>
      <c r="U179" s="102">
        <f t="shared" si="219"/>
        <v>54343.298688722884</v>
      </c>
      <c r="V179" s="102">
        <f t="shared" si="219"/>
        <v>53954.487941163257</v>
      </c>
      <c r="W179" s="102">
        <f t="shared" si="221"/>
        <v>49907.81240607996</v>
      </c>
      <c r="X179" s="102">
        <f t="shared" si="221"/>
        <v>50536.174419009774</v>
      </c>
      <c r="Y179" s="102">
        <f t="shared" si="221"/>
        <v>51017.022802065461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0</v>
      </c>
      <c r="C180" s="102">
        <f t="shared" si="219"/>
        <v>0</v>
      </c>
      <c r="D180" s="102">
        <f t="shared" si="219"/>
        <v>0</v>
      </c>
      <c r="E180" s="102">
        <f t="shared" si="219"/>
        <v>0</v>
      </c>
      <c r="F180" s="102">
        <f t="shared" ref="B180:V192" si="223">IF(F43=0,0,F43*1000000/F70)</f>
        <v>22309.712345890843</v>
      </c>
      <c r="G180" s="102">
        <f t="shared" si="223"/>
        <v>22660.847672968252</v>
      </c>
      <c r="H180" s="102">
        <f t="shared" si="223"/>
        <v>23484.477812676796</v>
      </c>
      <c r="I180" s="102">
        <f t="shared" si="223"/>
        <v>24894.040466701004</v>
      </c>
      <c r="J180" s="102">
        <f t="shared" si="223"/>
        <v>24083.661717298408</v>
      </c>
      <c r="K180" s="102">
        <f t="shared" si="223"/>
        <v>23218.677891785417</v>
      </c>
      <c r="L180" s="102">
        <f t="shared" si="223"/>
        <v>23248.171835296103</v>
      </c>
      <c r="M180" s="102">
        <f t="shared" si="222"/>
        <v>23457.155332605136</v>
      </c>
      <c r="N180" s="102">
        <f t="shared" si="223"/>
        <v>22857.459433356576</v>
      </c>
      <c r="O180" s="102">
        <f t="shared" si="223"/>
        <v>23281.349425113109</v>
      </c>
      <c r="P180" s="102">
        <f t="shared" si="223"/>
        <v>23974.822605172732</v>
      </c>
      <c r="Q180" s="102">
        <f t="shared" si="223"/>
        <v>25114.441047007876</v>
      </c>
      <c r="R180" s="102">
        <f t="shared" si="223"/>
        <v>25474.618728561436</v>
      </c>
      <c r="S180" s="102">
        <f t="shared" si="223"/>
        <v>24828.938243550838</v>
      </c>
      <c r="T180" s="102">
        <f t="shared" si="223"/>
        <v>24277.9060130668</v>
      </c>
      <c r="U180" s="102">
        <f t="shared" si="223"/>
        <v>24075.982423403719</v>
      </c>
      <c r="V180" s="102">
        <f t="shared" si="223"/>
        <v>23521.005415102471</v>
      </c>
      <c r="W180" s="102">
        <f t="shared" si="221"/>
        <v>21104.18925420069</v>
      </c>
      <c r="X180" s="102">
        <f t="shared" si="221"/>
        <v>21127.518580279862</v>
      </c>
      <c r="Y180" s="102">
        <f t="shared" si="221"/>
        <v>21073.968962311355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38107.858894104545</v>
      </c>
      <c r="C181" s="102">
        <f t="shared" si="223"/>
        <v>44168.826260546812</v>
      </c>
      <c r="D181" s="102">
        <f t="shared" si="223"/>
        <v>53231.942910269623</v>
      </c>
      <c r="E181" s="102">
        <f t="shared" si="223"/>
        <v>63961.868825342986</v>
      </c>
      <c r="F181" s="102">
        <f t="shared" si="223"/>
        <v>64944.853317844885</v>
      </c>
      <c r="G181" s="102">
        <f t="shared" si="223"/>
        <v>56127.216439200143</v>
      </c>
      <c r="H181" s="102">
        <f t="shared" si="223"/>
        <v>67004.206234271667</v>
      </c>
      <c r="I181" s="102">
        <f t="shared" si="223"/>
        <v>61119.458331544054</v>
      </c>
      <c r="J181" s="102">
        <f t="shared" si="223"/>
        <v>45029.639095988045</v>
      </c>
      <c r="K181" s="102">
        <f t="shared" si="223"/>
        <v>47536.790149299879</v>
      </c>
      <c r="L181" s="102">
        <f t="shared" si="223"/>
        <v>50395.273641346706</v>
      </c>
      <c r="M181" s="102">
        <f t="shared" si="222"/>
        <v>47591.066194402854</v>
      </c>
      <c r="N181" s="102">
        <f t="shared" si="223"/>
        <v>46706.061512052809</v>
      </c>
      <c r="O181" s="102">
        <f t="shared" si="223"/>
        <v>49635.228068193181</v>
      </c>
      <c r="P181" s="102">
        <f t="shared" si="223"/>
        <v>46888.184966387256</v>
      </c>
      <c r="Q181" s="102">
        <f t="shared" si="223"/>
        <v>37404.459052954437</v>
      </c>
      <c r="R181" s="102">
        <f t="shared" si="223"/>
        <v>49821.375305411835</v>
      </c>
      <c r="S181" s="102">
        <f t="shared" si="223"/>
        <v>63763.819711419514</v>
      </c>
      <c r="T181" s="102">
        <f t="shared" si="223"/>
        <v>65214.407392636451</v>
      </c>
      <c r="U181" s="102">
        <f t="shared" si="223"/>
        <v>65325.260366307375</v>
      </c>
      <c r="V181" s="102">
        <f t="shared" si="223"/>
        <v>64464.084462648163</v>
      </c>
      <c r="W181" s="102">
        <f t="shared" si="221"/>
        <v>58424.555292618403</v>
      </c>
      <c r="X181" s="102">
        <f t="shared" si="221"/>
        <v>58677.82392099865</v>
      </c>
      <c r="Y181" s="102">
        <f t="shared" si="221"/>
        <v>59120.302664560411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38137.27009204145</v>
      </c>
      <c r="C182" s="102">
        <f t="shared" si="223"/>
        <v>38143.180949689406</v>
      </c>
      <c r="D182" s="102">
        <f t="shared" si="223"/>
        <v>38163.700270776622</v>
      </c>
      <c r="E182" s="102">
        <f t="shared" si="223"/>
        <v>38177.496290008086</v>
      </c>
      <c r="F182" s="102">
        <f t="shared" si="223"/>
        <v>38205.233027620234</v>
      </c>
      <c r="G182" s="102">
        <f t="shared" si="223"/>
        <v>38215.360962509381</v>
      </c>
      <c r="H182" s="102">
        <f t="shared" si="223"/>
        <v>38262.068062833969</v>
      </c>
      <c r="I182" s="102">
        <f t="shared" si="223"/>
        <v>38350.059635695819</v>
      </c>
      <c r="J182" s="102">
        <f t="shared" si="223"/>
        <v>38428.931921018702</v>
      </c>
      <c r="K182" s="102">
        <f t="shared" si="223"/>
        <v>38514.351705342473</v>
      </c>
      <c r="L182" s="102">
        <f t="shared" si="223"/>
        <v>38530.459342613598</v>
      </c>
      <c r="M182" s="102">
        <f t="shared" si="222"/>
        <v>38532.479959031327</v>
      </c>
      <c r="N182" s="102">
        <f t="shared" si="223"/>
        <v>38598.497447177171</v>
      </c>
      <c r="O182" s="102">
        <f t="shared" si="223"/>
        <v>38613.801538720152</v>
      </c>
      <c r="P182" s="102">
        <f t="shared" si="223"/>
        <v>38649.308165377661</v>
      </c>
      <c r="Q182" s="102">
        <f t="shared" si="223"/>
        <v>38716.337124343874</v>
      </c>
      <c r="R182" s="102">
        <f t="shared" si="223"/>
        <v>38671.581250780349</v>
      </c>
      <c r="S182" s="102">
        <f t="shared" si="223"/>
        <v>38642.823167041395</v>
      </c>
      <c r="T182" s="102">
        <f t="shared" si="223"/>
        <v>38620.025508622799</v>
      </c>
      <c r="U182" s="102">
        <f t="shared" si="223"/>
        <v>38616.902230604814</v>
      </c>
      <c r="V182" s="102">
        <f t="shared" si="223"/>
        <v>38252.583173688989</v>
      </c>
      <c r="W182" s="102">
        <f t="shared" si="221"/>
        <v>38412.147525531742</v>
      </c>
      <c r="X182" s="102">
        <f t="shared" si="221"/>
        <v>38467.63518021645</v>
      </c>
      <c r="Y182" s="102">
        <f t="shared" si="221"/>
        <v>38481.399030665576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23444.734910407959</v>
      </c>
      <c r="C183" s="28">
        <f t="shared" si="223"/>
        <v>24497.333742982457</v>
      </c>
      <c r="D183" s="28">
        <f t="shared" si="223"/>
        <v>24691.643846304145</v>
      </c>
      <c r="E183" s="28">
        <f t="shared" si="223"/>
        <v>25533.610134453469</v>
      </c>
      <c r="F183" s="28">
        <f t="shared" si="223"/>
        <v>25996.305244459923</v>
      </c>
      <c r="G183" s="28">
        <f t="shared" si="223"/>
        <v>26196.012318877172</v>
      </c>
      <c r="H183" s="28">
        <f t="shared" si="223"/>
        <v>26085.667286642842</v>
      </c>
      <c r="I183" s="28">
        <f t="shared" si="223"/>
        <v>27237.048703096931</v>
      </c>
      <c r="J183" s="28">
        <f t="shared" si="223"/>
        <v>27014.828324287897</v>
      </c>
      <c r="K183" s="28">
        <f t="shared" si="223"/>
        <v>25830.315530581887</v>
      </c>
      <c r="L183" s="28">
        <f t="shared" si="223"/>
        <v>25093.279892473962</v>
      </c>
      <c r="M183" s="28">
        <f t="shared" si="222"/>
        <v>24786.290574869199</v>
      </c>
      <c r="N183" s="28">
        <f t="shared" si="223"/>
        <v>23825.929477012254</v>
      </c>
      <c r="O183" s="28">
        <f t="shared" si="223"/>
        <v>24132.566481334165</v>
      </c>
      <c r="P183" s="28">
        <f t="shared" si="223"/>
        <v>24363.55467232224</v>
      </c>
      <c r="Q183" s="28">
        <f t="shared" si="223"/>
        <v>25281.484350399445</v>
      </c>
      <c r="R183" s="28">
        <f t="shared" si="223"/>
        <v>25368.609812611237</v>
      </c>
      <c r="S183" s="28">
        <f t="shared" si="223"/>
        <v>24900.717906254631</v>
      </c>
      <c r="T183" s="28">
        <f t="shared" si="223"/>
        <v>23377.255202245698</v>
      </c>
      <c r="U183" s="28">
        <f t="shared" si="223"/>
        <v>23358.809081064563</v>
      </c>
      <c r="V183" s="28">
        <f t="shared" si="223"/>
        <v>21619.133606945223</v>
      </c>
      <c r="W183" s="28">
        <f t="shared" si="221"/>
        <v>21450.505675018281</v>
      </c>
      <c r="X183" s="28">
        <f t="shared" si="221"/>
        <v>21205.016005683945</v>
      </c>
      <c r="Y183" s="28">
        <f t="shared" si="221"/>
        <v>20601.293377647413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18056.676450387466</v>
      </c>
      <c r="C184" s="137">
        <f t="shared" si="223"/>
        <v>19297.462700646232</v>
      </c>
      <c r="D184" s="137">
        <f t="shared" si="223"/>
        <v>19463.428843790978</v>
      </c>
      <c r="E184" s="137">
        <f t="shared" si="223"/>
        <v>20349.103531767487</v>
      </c>
      <c r="F184" s="137">
        <f t="shared" si="223"/>
        <v>19900.251607403028</v>
      </c>
      <c r="G184" s="137">
        <f t="shared" si="223"/>
        <v>19954.779088953524</v>
      </c>
      <c r="H184" s="137">
        <f t="shared" si="223"/>
        <v>19116.436153345683</v>
      </c>
      <c r="I184" s="137">
        <f t="shared" si="223"/>
        <v>18447.589623244821</v>
      </c>
      <c r="J184" s="137">
        <f t="shared" si="223"/>
        <v>17654.57351152708</v>
      </c>
      <c r="K184" s="137">
        <f t="shared" si="223"/>
        <v>17504.224025600077</v>
      </c>
      <c r="L184" s="137">
        <f t="shared" si="223"/>
        <v>16364.328143622197</v>
      </c>
      <c r="M184" s="137">
        <f t="shared" si="222"/>
        <v>15884.29075578807</v>
      </c>
      <c r="N184" s="137">
        <f t="shared" si="223"/>
        <v>15133.980741153937</v>
      </c>
      <c r="O184" s="137">
        <f t="shared" si="223"/>
        <v>15603.042737055082</v>
      </c>
      <c r="P184" s="137">
        <f t="shared" si="223"/>
        <v>15860.270136298966</v>
      </c>
      <c r="Q184" s="137">
        <f t="shared" si="223"/>
        <v>17276.058805961904</v>
      </c>
      <c r="R184" s="137">
        <f t="shared" si="223"/>
        <v>17597.883690988299</v>
      </c>
      <c r="S184" s="137">
        <f t="shared" si="223"/>
        <v>17251.598780371231</v>
      </c>
      <c r="T184" s="137">
        <f t="shared" si="223"/>
        <v>15846.769418265718</v>
      </c>
      <c r="U184" s="137">
        <f t="shared" si="223"/>
        <v>16144.833812648547</v>
      </c>
      <c r="V184" s="137">
        <f t="shared" si="223"/>
        <v>14454.812107948339</v>
      </c>
      <c r="W184" s="137">
        <f t="shared" si="221"/>
        <v>14501.8594436518</v>
      </c>
      <c r="X184" s="137">
        <f t="shared" si="221"/>
        <v>14623.784333538875</v>
      </c>
      <c r="Y184" s="137">
        <f t="shared" si="221"/>
        <v>14542.63281720649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13476.453202871302</v>
      </c>
      <c r="C185" s="84">
        <f t="shared" si="223"/>
        <v>13542.589341624167</v>
      </c>
      <c r="D185" s="84">
        <f t="shared" si="223"/>
        <v>14188.469399677824</v>
      </c>
      <c r="E185" s="84">
        <f t="shared" si="223"/>
        <v>14296.93897472929</v>
      </c>
      <c r="F185" s="84">
        <f t="shared" si="223"/>
        <v>14579.446207704659</v>
      </c>
      <c r="G185" s="84">
        <f t="shared" si="223"/>
        <v>14570.608975743527</v>
      </c>
      <c r="H185" s="84">
        <f t="shared" si="223"/>
        <v>14058.154369980015</v>
      </c>
      <c r="I185" s="84">
        <f t="shared" si="223"/>
        <v>13670.202599807173</v>
      </c>
      <c r="J185" s="84">
        <f t="shared" si="223"/>
        <v>12497.648658988301</v>
      </c>
      <c r="K185" s="84">
        <f t="shared" si="223"/>
        <v>12084.909963522938</v>
      </c>
      <c r="L185" s="84">
        <f t="shared" si="223"/>
        <v>11772.301785807318</v>
      </c>
      <c r="M185" s="84">
        <f t="shared" si="222"/>
        <v>11812.629834083822</v>
      </c>
      <c r="N185" s="84">
        <f t="shared" si="223"/>
        <v>11440.034949376584</v>
      </c>
      <c r="O185" s="84">
        <f t="shared" si="223"/>
        <v>11491.128575822397</v>
      </c>
      <c r="P185" s="84">
        <f t="shared" si="223"/>
        <v>11766.3498770965</v>
      </c>
      <c r="Q185" s="84">
        <f t="shared" si="223"/>
        <v>11726.364397113895</v>
      </c>
      <c r="R185" s="84">
        <f t="shared" si="223"/>
        <v>12437.177450403344</v>
      </c>
      <c r="S185" s="84">
        <f t="shared" si="223"/>
        <v>13192.734882192284</v>
      </c>
      <c r="T185" s="84">
        <f t="shared" si="223"/>
        <v>13134.294085018919</v>
      </c>
      <c r="U185" s="84">
        <f t="shared" si="223"/>
        <v>13465.1459940236</v>
      </c>
      <c r="V185" s="84">
        <f t="shared" si="223"/>
        <v>12979.958951816716</v>
      </c>
      <c r="W185" s="84">
        <f t="shared" si="221"/>
        <v>14335.431059687646</v>
      </c>
      <c r="X185" s="84">
        <f t="shared" si="221"/>
        <v>14888.030836997172</v>
      </c>
      <c r="Y185" s="84">
        <f t="shared" si="221"/>
        <v>14246.609696661146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18812.06410970951</v>
      </c>
      <c r="C186" s="84">
        <f t="shared" si="223"/>
        <v>20180.943858904116</v>
      </c>
      <c r="D186" s="84">
        <f t="shared" si="223"/>
        <v>20192.413351179439</v>
      </c>
      <c r="E186" s="84">
        <f t="shared" si="223"/>
        <v>21100.369610316469</v>
      </c>
      <c r="F186" s="84">
        <f t="shared" si="223"/>
        <v>20491.063597533288</v>
      </c>
      <c r="G186" s="84">
        <f t="shared" si="223"/>
        <v>20496.456288559908</v>
      </c>
      <c r="H186" s="84">
        <f t="shared" si="223"/>
        <v>19604.522992806556</v>
      </c>
      <c r="I186" s="84">
        <f t="shared" si="223"/>
        <v>18891.630076663696</v>
      </c>
      <c r="J186" s="84">
        <f t="shared" si="223"/>
        <v>18108.512875101409</v>
      </c>
      <c r="K186" s="84">
        <f t="shared" si="223"/>
        <v>17964.497927952365</v>
      </c>
      <c r="L186" s="84">
        <f t="shared" si="223"/>
        <v>16726.840053773558</v>
      </c>
      <c r="M186" s="84">
        <f t="shared" si="222"/>
        <v>16189.405068783961</v>
      </c>
      <c r="N186" s="84">
        <f t="shared" si="223"/>
        <v>15393.886082489622</v>
      </c>
      <c r="O186" s="84">
        <f t="shared" si="223"/>
        <v>15885.698197223908</v>
      </c>
      <c r="P186" s="84">
        <f t="shared" si="223"/>
        <v>16134.45897145153</v>
      </c>
      <c r="Q186" s="84">
        <f t="shared" si="223"/>
        <v>17639.391588873706</v>
      </c>
      <c r="R186" s="84">
        <f t="shared" si="223"/>
        <v>17935.807565218907</v>
      </c>
      <c r="S186" s="84">
        <f t="shared" si="223"/>
        <v>17528.364885632633</v>
      </c>
      <c r="T186" s="84">
        <f t="shared" si="223"/>
        <v>16041.341830023235</v>
      </c>
      <c r="U186" s="84">
        <f t="shared" si="223"/>
        <v>16348.907263407909</v>
      </c>
      <c r="V186" s="84">
        <f t="shared" si="223"/>
        <v>14588.644984493361</v>
      </c>
      <c r="W186" s="84">
        <f t="shared" si="221"/>
        <v>14577.727610271337</v>
      </c>
      <c r="X186" s="84">
        <f t="shared" si="221"/>
        <v>14701.003219389677</v>
      </c>
      <c r="Y186" s="84">
        <f t="shared" si="221"/>
        <v>14659.326584692692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0</v>
      </c>
      <c r="C187" s="84">
        <f t="shared" si="223"/>
        <v>0</v>
      </c>
      <c r="D187" s="84">
        <f t="shared" si="223"/>
        <v>0</v>
      </c>
      <c r="E187" s="84">
        <f t="shared" si="223"/>
        <v>0</v>
      </c>
      <c r="F187" s="84">
        <f t="shared" si="223"/>
        <v>0</v>
      </c>
      <c r="G187" s="84">
        <f t="shared" si="223"/>
        <v>0</v>
      </c>
      <c r="H187" s="84">
        <f t="shared" si="223"/>
        <v>17930.898990918449</v>
      </c>
      <c r="I187" s="84">
        <f t="shared" si="223"/>
        <v>17948.899859958397</v>
      </c>
      <c r="J187" s="84">
        <f t="shared" si="223"/>
        <v>16891.970804979574</v>
      </c>
      <c r="K187" s="84">
        <f t="shared" si="223"/>
        <v>16178.946557270709</v>
      </c>
      <c r="L187" s="84">
        <f t="shared" si="223"/>
        <v>15170.491064417165</v>
      </c>
      <c r="M187" s="84">
        <f t="shared" si="222"/>
        <v>14521.313699101996</v>
      </c>
      <c r="N187" s="84">
        <f t="shared" si="223"/>
        <v>14276.569632142644</v>
      </c>
      <c r="O187" s="84">
        <f t="shared" si="223"/>
        <v>14476.318377984122</v>
      </c>
      <c r="P187" s="84">
        <f t="shared" si="223"/>
        <v>14342.474525468151</v>
      </c>
      <c r="Q187" s="84">
        <f t="shared" si="223"/>
        <v>13962.469842085895</v>
      </c>
      <c r="R187" s="84">
        <f t="shared" si="223"/>
        <v>13821.57293130763</v>
      </c>
      <c r="S187" s="84">
        <f t="shared" si="223"/>
        <v>13683.816781885593</v>
      </c>
      <c r="T187" s="84">
        <f t="shared" si="223"/>
        <v>12714.98723063408</v>
      </c>
      <c r="U187" s="84">
        <f t="shared" si="223"/>
        <v>12166.258375219557</v>
      </c>
      <c r="V187" s="84">
        <f t="shared" si="223"/>
        <v>10946.01564308778</v>
      </c>
      <c r="W187" s="84">
        <f t="shared" si="221"/>
        <v>11283.147838249979</v>
      </c>
      <c r="X187" s="84">
        <f t="shared" si="221"/>
        <v>11191.452127647366</v>
      </c>
      <c r="Y187" s="84">
        <f t="shared" si="221"/>
        <v>10495.104900316408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0</v>
      </c>
      <c r="F188" s="84">
        <f t="shared" si="223"/>
        <v>0</v>
      </c>
      <c r="G188" s="84">
        <f t="shared" si="223"/>
        <v>0</v>
      </c>
      <c r="H188" s="84">
        <f t="shared" si="223"/>
        <v>14954.322649359281</v>
      </c>
      <c r="I188" s="84">
        <f t="shared" si="223"/>
        <v>15511.038660141334</v>
      </c>
      <c r="J188" s="84">
        <f t="shared" si="223"/>
        <v>15193.487187221363</v>
      </c>
      <c r="K188" s="84">
        <f t="shared" si="223"/>
        <v>14788.19226435055</v>
      </c>
      <c r="L188" s="84">
        <f t="shared" si="223"/>
        <v>14432.400860908871</v>
      </c>
      <c r="M188" s="84">
        <f t="shared" si="222"/>
        <v>13814.807934860952</v>
      </c>
      <c r="N188" s="84">
        <f t="shared" si="223"/>
        <v>13111.366521408263</v>
      </c>
      <c r="O188" s="84">
        <f t="shared" si="223"/>
        <v>12773.447285873439</v>
      </c>
      <c r="P188" s="84">
        <f t="shared" si="223"/>
        <v>12736.65932126752</v>
      </c>
      <c r="Q188" s="84">
        <f t="shared" si="223"/>
        <v>12482.855810593534</v>
      </c>
      <c r="R188" s="84">
        <f t="shared" si="223"/>
        <v>12861.252708811244</v>
      </c>
      <c r="S188" s="84">
        <f t="shared" si="223"/>
        <v>13252.784884381414</v>
      </c>
      <c r="T188" s="84">
        <f t="shared" si="223"/>
        <v>12817.104420024651</v>
      </c>
      <c r="U188" s="84">
        <f t="shared" si="223"/>
        <v>12764.538734683998</v>
      </c>
      <c r="V188" s="84">
        <f t="shared" si="223"/>
        <v>11953.036639319953</v>
      </c>
      <c r="W188" s="84">
        <f t="shared" si="221"/>
        <v>12824.090107616903</v>
      </c>
      <c r="X188" s="84">
        <f t="shared" si="221"/>
        <v>13239.049919530313</v>
      </c>
      <c r="Y188" s="84">
        <f t="shared" si="221"/>
        <v>12922.045272719723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11668.494973432329</v>
      </c>
      <c r="C189" s="84">
        <f t="shared" si="223"/>
        <v>11698.363195464404</v>
      </c>
      <c r="D189" s="84">
        <f t="shared" si="223"/>
        <v>11729.38712057154</v>
      </c>
      <c r="E189" s="84">
        <f t="shared" si="223"/>
        <v>11751.483795002949</v>
      </c>
      <c r="F189" s="84">
        <f t="shared" si="223"/>
        <v>11760.303697117561</v>
      </c>
      <c r="G189" s="84">
        <f t="shared" si="223"/>
        <v>11787.318323027506</v>
      </c>
      <c r="H189" s="84">
        <f t="shared" si="223"/>
        <v>11794.609831349813</v>
      </c>
      <c r="I189" s="84">
        <f t="shared" si="223"/>
        <v>11806.301286790202</v>
      </c>
      <c r="J189" s="84">
        <f t="shared" si="223"/>
        <v>11829.310991458398</v>
      </c>
      <c r="K189" s="84">
        <f t="shared" si="223"/>
        <v>11842.457264215409</v>
      </c>
      <c r="L189" s="84">
        <f t="shared" si="223"/>
        <v>11867.610255424328</v>
      </c>
      <c r="M189" s="84">
        <f t="shared" si="222"/>
        <v>11881.142551068107</v>
      </c>
      <c r="N189" s="84">
        <f t="shared" si="223"/>
        <v>11899.520980789428</v>
      </c>
      <c r="O189" s="84">
        <f t="shared" si="223"/>
        <v>11903.096085428691</v>
      </c>
      <c r="P189" s="84">
        <f t="shared" si="223"/>
        <v>11914.201867230775</v>
      </c>
      <c r="Q189" s="84">
        <f t="shared" si="223"/>
        <v>11918.202164336892</v>
      </c>
      <c r="R189" s="84">
        <f t="shared" si="223"/>
        <v>11912.493957921975</v>
      </c>
      <c r="S189" s="84">
        <f t="shared" si="223"/>
        <v>11906.717256193129</v>
      </c>
      <c r="T189" s="84">
        <f t="shared" si="223"/>
        <v>11876.574907765709</v>
      </c>
      <c r="U189" s="84">
        <f t="shared" si="223"/>
        <v>11863.058989384257</v>
      </c>
      <c r="V189" s="84">
        <f t="shared" si="223"/>
        <v>11160.338596094774</v>
      </c>
      <c r="W189" s="84">
        <f t="shared" si="221"/>
        <v>11843.331479694783</v>
      </c>
      <c r="X189" s="84">
        <f t="shared" si="221"/>
        <v>11818.483946295528</v>
      </c>
      <c r="Y189" s="84">
        <f t="shared" si="221"/>
        <v>11793.725638242344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33381.096070952211</v>
      </c>
      <c r="C190" s="110">
        <f t="shared" si="223"/>
        <v>34225.06477876292</v>
      </c>
      <c r="D190" s="110">
        <f t="shared" si="223"/>
        <v>34885.72517982174</v>
      </c>
      <c r="E190" s="110">
        <f t="shared" si="223"/>
        <v>35966.432855854589</v>
      </c>
      <c r="F190" s="110">
        <f t="shared" si="223"/>
        <v>38339.271518527654</v>
      </c>
      <c r="G190" s="110">
        <f t="shared" si="223"/>
        <v>38981.770324711775</v>
      </c>
      <c r="H190" s="110">
        <f t="shared" si="223"/>
        <v>40591.25339603021</v>
      </c>
      <c r="I190" s="110">
        <f t="shared" si="223"/>
        <v>48571.275679430837</v>
      </c>
      <c r="J190" s="110">
        <f t="shared" si="223"/>
        <v>50473.748640301324</v>
      </c>
      <c r="K190" s="110">
        <f t="shared" si="223"/>
        <v>47237.461915710453</v>
      </c>
      <c r="L190" s="110">
        <f t="shared" si="223"/>
        <v>48267.537592603352</v>
      </c>
      <c r="M190" s="110">
        <f t="shared" si="222"/>
        <v>48900.19070129891</v>
      </c>
      <c r="N190" s="110">
        <f t="shared" si="223"/>
        <v>48060.142403048936</v>
      </c>
      <c r="O190" s="110">
        <f t="shared" si="223"/>
        <v>47893.211258504525</v>
      </c>
      <c r="P190" s="110">
        <f t="shared" si="223"/>
        <v>48266.456788733725</v>
      </c>
      <c r="Q190" s="110">
        <f t="shared" si="223"/>
        <v>48147.866278574897</v>
      </c>
      <c r="R190" s="110">
        <f t="shared" si="223"/>
        <v>47876.055720129283</v>
      </c>
      <c r="S190" s="110">
        <f t="shared" si="223"/>
        <v>47172.334630894671</v>
      </c>
      <c r="T190" s="110">
        <f t="shared" si="223"/>
        <v>45992.476483527607</v>
      </c>
      <c r="U190" s="110">
        <f t="shared" si="223"/>
        <v>45151.946985032293</v>
      </c>
      <c r="V190" s="110">
        <f t="shared" si="223"/>
        <v>43634.460327138891</v>
      </c>
      <c r="W190" s="110">
        <f t="shared" si="221"/>
        <v>43134.032754356493</v>
      </c>
      <c r="X190" s="110">
        <f t="shared" si="221"/>
        <v>41977.789548323402</v>
      </c>
      <c r="Y190" s="110">
        <f t="shared" si="221"/>
        <v>39978.129290632962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28619.242774539583</v>
      </c>
      <c r="C191" s="102">
        <f t="shared" si="223"/>
        <v>29114.861810323811</v>
      </c>
      <c r="D191" s="102">
        <f t="shared" si="223"/>
        <v>29305.761591382005</v>
      </c>
      <c r="E191" s="102">
        <f t="shared" si="223"/>
        <v>30133.568522160822</v>
      </c>
      <c r="F191" s="102">
        <f t="shared" si="223"/>
        <v>31578.411323414715</v>
      </c>
      <c r="G191" s="102">
        <f t="shared" si="223"/>
        <v>31982.725115714002</v>
      </c>
      <c r="H191" s="102">
        <f t="shared" si="223"/>
        <v>33393.293667266269</v>
      </c>
      <c r="I191" s="102">
        <f t="shared" si="223"/>
        <v>41146.101138138518</v>
      </c>
      <c r="J191" s="102">
        <f t="shared" si="223"/>
        <v>42987.42205817566</v>
      </c>
      <c r="K191" s="102">
        <f t="shared" si="223"/>
        <v>39874.122867027618</v>
      </c>
      <c r="L191" s="102">
        <f t="shared" si="223"/>
        <v>40647.860116787982</v>
      </c>
      <c r="M191" s="102">
        <f t="shared" si="222"/>
        <v>41560.250754585555</v>
      </c>
      <c r="N191" s="102">
        <f t="shared" si="223"/>
        <v>40430.73359818571</v>
      </c>
      <c r="O191" s="102">
        <f t="shared" si="223"/>
        <v>40052.865027787419</v>
      </c>
      <c r="P191" s="102">
        <f t="shared" si="223"/>
        <v>40460.986608575869</v>
      </c>
      <c r="Q191" s="102">
        <f t="shared" si="223"/>
        <v>40443.415763186749</v>
      </c>
      <c r="R191" s="102">
        <f t="shared" si="223"/>
        <v>39721.465065298304</v>
      </c>
      <c r="S191" s="102">
        <f t="shared" si="223"/>
        <v>38466.937484601767</v>
      </c>
      <c r="T191" s="102">
        <f t="shared" si="223"/>
        <v>37766.744136911053</v>
      </c>
      <c r="U191" s="102">
        <f t="shared" si="223"/>
        <v>36412.16638963703</v>
      </c>
      <c r="V191" s="102">
        <f t="shared" si="223"/>
        <v>34684.57831762993</v>
      </c>
      <c r="W191" s="102">
        <f t="shared" si="221"/>
        <v>33932.757405373508</v>
      </c>
      <c r="X191" s="102">
        <f t="shared" si="221"/>
        <v>32703.335088924603</v>
      </c>
      <c r="Y191" s="102">
        <f t="shared" si="221"/>
        <v>30586.075511745483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84999.816320890473</v>
      </c>
      <c r="C192" s="86">
        <f t="shared" si="223"/>
        <v>85000.090505740838</v>
      </c>
      <c r="D192" s="86">
        <f t="shared" si="223"/>
        <v>85000.369324005136</v>
      </c>
      <c r="E192" s="86">
        <f t="shared" si="223"/>
        <v>85000.074848933422</v>
      </c>
      <c r="F192" s="86">
        <f t="shared" si="223"/>
        <v>85000.337396759685</v>
      </c>
      <c r="G192" s="86">
        <f t="shared" si="223"/>
        <v>84999.992284722073</v>
      </c>
      <c r="H192" s="86">
        <f t="shared" si="223"/>
        <v>85000.028062272133</v>
      </c>
      <c r="I192" s="86">
        <f t="shared" si="223"/>
        <v>85000.102448399877</v>
      </c>
      <c r="J192" s="86">
        <f t="shared" si="223"/>
        <v>85000.314716882873</v>
      </c>
      <c r="K192" s="86">
        <f t="shared" si="223"/>
        <v>85000.301017171878</v>
      </c>
      <c r="L192" s="86">
        <f t="shared" si="223"/>
        <v>84999.984844256731</v>
      </c>
      <c r="M192" s="86">
        <f t="shared" si="222"/>
        <v>85000.165467177168</v>
      </c>
      <c r="N192" s="86">
        <f t="shared" si="223"/>
        <v>85000.172589777372</v>
      </c>
      <c r="O192" s="86">
        <f t="shared" si="223"/>
        <v>84999.875168519633</v>
      </c>
      <c r="P192" s="86">
        <f t="shared" si="223"/>
        <v>85000.161991659872</v>
      </c>
      <c r="Q192" s="86">
        <f t="shared" si="223"/>
        <v>85000.117928045438</v>
      </c>
      <c r="R192" s="86">
        <f t="shared" si="223"/>
        <v>85000.168494792655</v>
      </c>
      <c r="S192" s="86">
        <f t="shared" si="223"/>
        <v>84999.827538675891</v>
      </c>
      <c r="T192" s="86">
        <f t="shared" si="223"/>
        <v>85000.059929733106</v>
      </c>
      <c r="U192" s="86">
        <f t="shared" si="223"/>
        <v>84999.893667047538</v>
      </c>
      <c r="V192" s="86">
        <f t="shared" ref="V192:W192" si="224">IF(V55=0,0,V55*1000000/V82)</f>
        <v>85000.058341644792</v>
      </c>
      <c r="W192" s="86">
        <f t="shared" si="224"/>
        <v>85000.144425405349</v>
      </c>
      <c r="X192" s="86">
        <f t="shared" ref="X192:Y192" si="225">IF(X55=0,0,X55*1000000/X82)</f>
        <v>85000.20153051964</v>
      </c>
      <c r="Y192" s="86">
        <f t="shared" si="225"/>
        <v>85000.03768829121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21431.740287862653</v>
      </c>
      <c r="C195" s="28">
        <f t="shared" si="226"/>
        <v>21688.31047092118</v>
      </c>
      <c r="D195" s="28">
        <f t="shared" si="226"/>
        <v>21694.589204914468</v>
      </c>
      <c r="E195" s="28">
        <f t="shared" si="226"/>
        <v>21384.515816319778</v>
      </c>
      <c r="F195" s="28">
        <f t="shared" si="226"/>
        <v>21529.906023391053</v>
      </c>
      <c r="G195" s="28">
        <f t="shared" si="226"/>
        <v>20991.634063343354</v>
      </c>
      <c r="H195" s="28">
        <f t="shared" si="226"/>
        <v>20921.886608148594</v>
      </c>
      <c r="I195" s="28">
        <f t="shared" si="226"/>
        <v>20935.833065342602</v>
      </c>
      <c r="J195" s="28">
        <f t="shared" si="226"/>
        <v>21017.571807386877</v>
      </c>
      <c r="K195" s="28">
        <f t="shared" si="226"/>
        <v>20963.163131339672</v>
      </c>
      <c r="L195" s="28">
        <f t="shared" si="226"/>
        <v>20795.409201873619</v>
      </c>
      <c r="M195" s="28">
        <f>IF(M4=0,0,M4*1000000/M58)</f>
        <v>20651.44730964414</v>
      </c>
      <c r="N195" s="28">
        <f t="shared" ref="N195:V195" si="227">IF(N4=0,0,N4*1000000/N58)</f>
        <v>20387.407113927075</v>
      </c>
      <c r="O195" s="28">
        <f t="shared" si="227"/>
        <v>20352.610412661968</v>
      </c>
      <c r="P195" s="28">
        <f t="shared" si="227"/>
        <v>20404.099810542702</v>
      </c>
      <c r="Q195" s="28">
        <f t="shared" si="227"/>
        <v>20361.936506861421</v>
      </c>
      <c r="R195" s="28">
        <f t="shared" si="227"/>
        <v>20407.909465116834</v>
      </c>
      <c r="S195" s="28">
        <f t="shared" si="227"/>
        <v>19108.175895895904</v>
      </c>
      <c r="T195" s="28">
        <f t="shared" si="227"/>
        <v>18858.697056046083</v>
      </c>
      <c r="U195" s="28">
        <f t="shared" si="227"/>
        <v>18683.534581836542</v>
      </c>
      <c r="V195" s="28">
        <f t="shared" si="227"/>
        <v>15685.261228633306</v>
      </c>
      <c r="W195" s="28">
        <f t="shared" ref="W195:Y195" si="228">IF(W4=0,0,W4*1000000/W58)</f>
        <v>16286.355263125513</v>
      </c>
      <c r="X195" s="28">
        <f t="shared" si="228"/>
        <v>16930.941195792246</v>
      </c>
      <c r="Y195" s="28">
        <f t="shared" si="228"/>
        <v>17120.112326007307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3452.7484252790114</v>
      </c>
      <c r="C196" s="137">
        <f t="shared" si="229"/>
        <v>3362.0262987856918</v>
      </c>
      <c r="D196" s="137">
        <f t="shared" si="229"/>
        <v>3402.7002292235316</v>
      </c>
      <c r="E196" s="137">
        <f t="shared" si="229"/>
        <v>3325.1859594672542</v>
      </c>
      <c r="F196" s="137">
        <f t="shared" si="229"/>
        <v>3359.9329521398713</v>
      </c>
      <c r="G196" s="137">
        <f t="shared" si="229"/>
        <v>3398.4050761437511</v>
      </c>
      <c r="H196" s="137">
        <f t="shared" si="229"/>
        <v>3397.4509327888386</v>
      </c>
      <c r="I196" s="137">
        <f t="shared" si="229"/>
        <v>3070.8088916243541</v>
      </c>
      <c r="J196" s="137">
        <f t="shared" si="229"/>
        <v>3287.4274861467979</v>
      </c>
      <c r="K196" s="137">
        <f t="shared" si="229"/>
        <v>3251.2804438895523</v>
      </c>
      <c r="L196" s="137">
        <f t="shared" si="229"/>
        <v>3162.0556757935897</v>
      </c>
      <c r="M196" s="137">
        <f>IF(M5=0,0,M5*1000000/M59)</f>
        <v>3326.943637902415</v>
      </c>
      <c r="N196" s="137">
        <f t="shared" ref="N196:V196" si="230">IF(N5=0,0,N5*1000000/N59)</f>
        <v>3137.8491741113994</v>
      </c>
      <c r="O196" s="137">
        <f t="shared" si="230"/>
        <v>3199.5527812335695</v>
      </c>
      <c r="P196" s="137">
        <f t="shared" si="230"/>
        <v>3272.9291099055686</v>
      </c>
      <c r="Q196" s="137">
        <f t="shared" si="230"/>
        <v>3151.0075611353591</v>
      </c>
      <c r="R196" s="137">
        <f t="shared" si="230"/>
        <v>3179.0229434347984</v>
      </c>
      <c r="S196" s="137">
        <f t="shared" si="230"/>
        <v>2955.0262846164815</v>
      </c>
      <c r="T196" s="137">
        <f t="shared" si="230"/>
        <v>2768.8503704330706</v>
      </c>
      <c r="U196" s="137">
        <f t="shared" si="230"/>
        <v>2955.554547470731</v>
      </c>
      <c r="V196" s="137">
        <f t="shared" si="230"/>
        <v>2508.6952815091872</v>
      </c>
      <c r="W196" s="137">
        <f t="shared" ref="W196:Y196" si="231">IF(W5=0,0,W5*1000000/W59)</f>
        <v>2619.4574124523187</v>
      </c>
      <c r="X196" s="137">
        <f t="shared" si="231"/>
        <v>2583.2172560853332</v>
      </c>
      <c r="Y196" s="137">
        <f t="shared" si="231"/>
        <v>2743.5432472157145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21282.364772031164</v>
      </c>
      <c r="C197" s="110">
        <f t="shared" si="232"/>
        <v>21646.758745148527</v>
      </c>
      <c r="D197" s="110">
        <f t="shared" si="232"/>
        <v>21726.242153668474</v>
      </c>
      <c r="E197" s="110">
        <f t="shared" si="232"/>
        <v>21434.032256202427</v>
      </c>
      <c r="F197" s="110">
        <f t="shared" si="232"/>
        <v>21619.246064352705</v>
      </c>
      <c r="G197" s="110">
        <f t="shared" si="232"/>
        <v>21074.410654336625</v>
      </c>
      <c r="H197" s="110">
        <f t="shared" si="232"/>
        <v>21046.667820583767</v>
      </c>
      <c r="I197" s="110">
        <f t="shared" si="232"/>
        <v>21040.684307445343</v>
      </c>
      <c r="J197" s="110">
        <f t="shared" si="232"/>
        <v>21086.720896656097</v>
      </c>
      <c r="K197" s="110">
        <f t="shared" si="232"/>
        <v>21110.447893935128</v>
      </c>
      <c r="L197" s="110">
        <f t="shared" si="232"/>
        <v>20968.492346252075</v>
      </c>
      <c r="M197" s="110">
        <f>IF(M6=0,0,M6*1000000/M60)</f>
        <v>20834.886321282145</v>
      </c>
      <c r="N197" s="110">
        <f t="shared" ref="N197:V197" si="233">IF(N6=0,0,N6*1000000/N60)</f>
        <v>20637.332780732657</v>
      </c>
      <c r="O197" s="110">
        <f t="shared" si="233"/>
        <v>20594.741282981005</v>
      </c>
      <c r="P197" s="110">
        <f t="shared" si="233"/>
        <v>20638.245163615073</v>
      </c>
      <c r="Q197" s="110">
        <f t="shared" si="233"/>
        <v>20567.548978278715</v>
      </c>
      <c r="R197" s="110">
        <f t="shared" si="233"/>
        <v>20659.966168568553</v>
      </c>
      <c r="S197" s="110">
        <f t="shared" si="233"/>
        <v>19315.929903551176</v>
      </c>
      <c r="T197" s="110">
        <f t="shared" si="233"/>
        <v>19080.264169718463</v>
      </c>
      <c r="U197" s="110">
        <f t="shared" si="233"/>
        <v>18916.095965089429</v>
      </c>
      <c r="V197" s="110">
        <f t="shared" si="233"/>
        <v>16278.197925974364</v>
      </c>
      <c r="W197" s="110">
        <f t="shared" ref="W197:Y209" si="234">IF(W6=0,0,W6*1000000/W60)</f>
        <v>16952.721786367358</v>
      </c>
      <c r="X197" s="110">
        <f t="shared" si="234"/>
        <v>17461.997239056236</v>
      </c>
      <c r="Y197" s="110">
        <f t="shared" si="234"/>
        <v>17589.065776405208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18743.722492372111</v>
      </c>
      <c r="C198" s="84">
        <f t="shared" si="232"/>
        <v>18625.734272093701</v>
      </c>
      <c r="D198" s="84">
        <f t="shared" si="232"/>
        <v>18389.833952706496</v>
      </c>
      <c r="E198" s="84">
        <f t="shared" si="232"/>
        <v>17748.499215169806</v>
      </c>
      <c r="F198" s="84">
        <f t="shared" si="232"/>
        <v>17389.438062777728</v>
      </c>
      <c r="G198" s="84">
        <f t="shared" si="232"/>
        <v>16754.107214992706</v>
      </c>
      <c r="H198" s="84">
        <f t="shared" si="232"/>
        <v>16699.518968231328</v>
      </c>
      <c r="I198" s="84">
        <f t="shared" si="232"/>
        <v>16389.888484510422</v>
      </c>
      <c r="J198" s="84">
        <f t="shared" si="232"/>
        <v>16545.071544635117</v>
      </c>
      <c r="K198" s="84">
        <f t="shared" si="232"/>
        <v>16402.092122334972</v>
      </c>
      <c r="L198" s="84">
        <f t="shared" si="232"/>
        <v>16208.270189056255</v>
      </c>
      <c r="M198" s="84">
        <f t="shared" ref="M198:M219" si="235">IF(M7=0,0,M7*1000000/M61)</f>
        <v>16051.236617369141</v>
      </c>
      <c r="N198" s="84">
        <f t="shared" si="232"/>
        <v>15739.224424590628</v>
      </c>
      <c r="O198" s="84">
        <f t="shared" si="232"/>
        <v>15550.53514009681</v>
      </c>
      <c r="P198" s="84">
        <f t="shared" si="232"/>
        <v>15302.697960858944</v>
      </c>
      <c r="Q198" s="84">
        <f t="shared" si="232"/>
        <v>15046.130152540632</v>
      </c>
      <c r="R198" s="84">
        <f t="shared" si="232"/>
        <v>14884.135392811324</v>
      </c>
      <c r="S198" s="84">
        <f t="shared" si="232"/>
        <v>13825.677868474157</v>
      </c>
      <c r="T198" s="84">
        <f t="shared" si="232"/>
        <v>13636.955055817678</v>
      </c>
      <c r="U198" s="84">
        <f t="shared" si="232"/>
        <v>13569.706953900142</v>
      </c>
      <c r="V198" s="84">
        <f t="shared" si="232"/>
        <v>11999.04818881199</v>
      </c>
      <c r="W198" s="84">
        <f t="shared" si="234"/>
        <v>12645.055900258427</v>
      </c>
      <c r="X198" s="84">
        <f t="shared" si="234"/>
        <v>13011.150464929517</v>
      </c>
      <c r="Y198" s="84">
        <f t="shared" si="234"/>
        <v>13111.111375900475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36170.238156196079</v>
      </c>
      <c r="C199" s="84">
        <f t="shared" si="232"/>
        <v>37798.42604589554</v>
      </c>
      <c r="D199" s="84">
        <f t="shared" si="232"/>
        <v>37915.645136488427</v>
      </c>
      <c r="E199" s="84">
        <f t="shared" si="232"/>
        <v>37697.640710510896</v>
      </c>
      <c r="F199" s="84">
        <f t="shared" si="232"/>
        <v>38472.371409005958</v>
      </c>
      <c r="G199" s="84">
        <f t="shared" si="232"/>
        <v>36362.614481467092</v>
      </c>
      <c r="H199" s="84">
        <f t="shared" si="232"/>
        <v>35224.377289335695</v>
      </c>
      <c r="I199" s="84">
        <f t="shared" si="232"/>
        <v>35420.407487107041</v>
      </c>
      <c r="J199" s="84">
        <f t="shared" si="232"/>
        <v>34438.514789440822</v>
      </c>
      <c r="K199" s="84">
        <f t="shared" si="232"/>
        <v>34138.118738230332</v>
      </c>
      <c r="L199" s="84">
        <f t="shared" si="232"/>
        <v>33612.299103603422</v>
      </c>
      <c r="M199" s="84">
        <f t="shared" si="235"/>
        <v>32846.970621845918</v>
      </c>
      <c r="N199" s="84">
        <f t="shared" si="232"/>
        <v>32163.938401834028</v>
      </c>
      <c r="O199" s="84">
        <f t="shared" si="232"/>
        <v>31801.359323503242</v>
      </c>
      <c r="P199" s="84">
        <f t="shared" si="232"/>
        <v>31901.988024533497</v>
      </c>
      <c r="Q199" s="84">
        <f t="shared" si="232"/>
        <v>31717.679447477774</v>
      </c>
      <c r="R199" s="84">
        <f t="shared" si="232"/>
        <v>31965.766885165547</v>
      </c>
      <c r="S199" s="84">
        <f t="shared" si="232"/>
        <v>30196.7130617984</v>
      </c>
      <c r="T199" s="84">
        <f t="shared" si="232"/>
        <v>30130.418358677329</v>
      </c>
      <c r="U199" s="84">
        <f t="shared" si="232"/>
        <v>29924.887593712047</v>
      </c>
      <c r="V199" s="84">
        <f t="shared" si="232"/>
        <v>25030.419687114874</v>
      </c>
      <c r="W199" s="84">
        <f t="shared" si="234"/>
        <v>25570.242869683476</v>
      </c>
      <c r="X199" s="84">
        <f t="shared" si="234"/>
        <v>26426.600790733344</v>
      </c>
      <c r="Y199" s="84">
        <f t="shared" si="234"/>
        <v>26503.703661951058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26008.901168766268</v>
      </c>
      <c r="C200" s="84">
        <f t="shared" si="232"/>
        <v>26404.568501840666</v>
      </c>
      <c r="D200" s="84">
        <f t="shared" si="232"/>
        <v>26380.924192578601</v>
      </c>
      <c r="E200" s="84">
        <f t="shared" si="232"/>
        <v>25753.887868556136</v>
      </c>
      <c r="F200" s="84">
        <f t="shared" si="232"/>
        <v>26236.055895576243</v>
      </c>
      <c r="G200" s="84">
        <f t="shared" si="232"/>
        <v>25489.224714739161</v>
      </c>
      <c r="H200" s="84">
        <f t="shared" si="232"/>
        <v>25944.594183444551</v>
      </c>
      <c r="I200" s="84">
        <f t="shared" si="232"/>
        <v>25833.423560185209</v>
      </c>
      <c r="J200" s="84">
        <f t="shared" si="232"/>
        <v>25768.607305145499</v>
      </c>
      <c r="K200" s="84">
        <f t="shared" si="232"/>
        <v>25763.253413481918</v>
      </c>
      <c r="L200" s="84">
        <f t="shared" si="232"/>
        <v>25515.470766657327</v>
      </c>
      <c r="M200" s="84">
        <f t="shared" si="235"/>
        <v>25246.36378896932</v>
      </c>
      <c r="N200" s="84">
        <f t="shared" si="232"/>
        <v>24873.654657476622</v>
      </c>
      <c r="O200" s="84">
        <f t="shared" si="232"/>
        <v>24676.364931361466</v>
      </c>
      <c r="P200" s="84">
        <f t="shared" si="232"/>
        <v>24876.826067645219</v>
      </c>
      <c r="Q200" s="84">
        <f t="shared" si="232"/>
        <v>24268.749263166581</v>
      </c>
      <c r="R200" s="84">
        <f t="shared" si="232"/>
        <v>24408.713586736656</v>
      </c>
      <c r="S200" s="84">
        <f t="shared" si="232"/>
        <v>22845.106495025055</v>
      </c>
      <c r="T200" s="84">
        <f t="shared" si="232"/>
        <v>22517.622351716065</v>
      </c>
      <c r="U200" s="84">
        <f t="shared" si="232"/>
        <v>22321.347692363608</v>
      </c>
      <c r="V200" s="84">
        <f t="shared" si="232"/>
        <v>19090.189840609302</v>
      </c>
      <c r="W200" s="84">
        <f t="shared" si="234"/>
        <v>19881.444582809894</v>
      </c>
      <c r="X200" s="84">
        <f t="shared" si="234"/>
        <v>20494.021960371701</v>
      </c>
      <c r="Y200" s="84">
        <f t="shared" si="234"/>
        <v>20710.398398394733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32297.077997538992</v>
      </c>
      <c r="H201" s="84">
        <f t="shared" si="232"/>
        <v>32229.481332159612</v>
      </c>
      <c r="I201" s="84">
        <f t="shared" si="232"/>
        <v>31462.137689162701</v>
      </c>
      <c r="J201" s="84">
        <f t="shared" si="232"/>
        <v>30767.842105700511</v>
      </c>
      <c r="K201" s="84">
        <f t="shared" si="232"/>
        <v>31389.234217435362</v>
      </c>
      <c r="L201" s="84">
        <f t="shared" si="232"/>
        <v>31529.412605270161</v>
      </c>
      <c r="M201" s="84">
        <f t="shared" si="235"/>
        <v>31564.496701803841</v>
      </c>
      <c r="N201" s="84">
        <f t="shared" si="232"/>
        <v>31547.267052370058</v>
      </c>
      <c r="O201" s="84">
        <f t="shared" si="232"/>
        <v>31935.75959865022</v>
      </c>
      <c r="P201" s="84">
        <f t="shared" si="232"/>
        <v>31563.914919237999</v>
      </c>
      <c r="Q201" s="84">
        <f t="shared" si="232"/>
        <v>30188.61002920488</v>
      </c>
      <c r="R201" s="84">
        <f t="shared" si="232"/>
        <v>30969.970077566726</v>
      </c>
      <c r="S201" s="84">
        <f t="shared" si="232"/>
        <v>29565.774013313308</v>
      </c>
      <c r="T201" s="84">
        <f t="shared" si="232"/>
        <v>29724.788220672486</v>
      </c>
      <c r="U201" s="84">
        <f t="shared" si="232"/>
        <v>30055.006209971303</v>
      </c>
      <c r="V201" s="84">
        <f t="shared" si="232"/>
        <v>26218.438857678782</v>
      </c>
      <c r="W201" s="84">
        <f t="shared" si="234"/>
        <v>26759.044026169369</v>
      </c>
      <c r="X201" s="84">
        <f t="shared" si="234"/>
        <v>27031.860031807319</v>
      </c>
      <c r="Y201" s="84">
        <f t="shared" si="234"/>
        <v>26770.917878154487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16450.400392108735</v>
      </c>
      <c r="N202" s="84">
        <f t="shared" si="232"/>
        <v>16131.397607217736</v>
      </c>
      <c r="O202" s="84">
        <f t="shared" si="232"/>
        <v>16703.693982429562</v>
      </c>
      <c r="P202" s="84">
        <f t="shared" si="232"/>
        <v>16373.709349955423</v>
      </c>
      <c r="Q202" s="84">
        <f t="shared" si="232"/>
        <v>15979.158941078291</v>
      </c>
      <c r="R202" s="84">
        <f t="shared" si="232"/>
        <v>15377.634044364349</v>
      </c>
      <c r="S202" s="84">
        <f t="shared" si="232"/>
        <v>14322.156989703864</v>
      </c>
      <c r="T202" s="84">
        <f t="shared" si="232"/>
        <v>14111.646953497417</v>
      </c>
      <c r="U202" s="84">
        <f t="shared" si="232"/>
        <v>14058.518065832264</v>
      </c>
      <c r="V202" s="84">
        <f t="shared" si="232"/>
        <v>12398.128286916008</v>
      </c>
      <c r="W202" s="84">
        <f t="shared" si="234"/>
        <v>13094.290964364574</v>
      </c>
      <c r="X202" s="84">
        <f t="shared" si="234"/>
        <v>13378.748009778752</v>
      </c>
      <c r="Y202" s="84">
        <f t="shared" si="234"/>
        <v>13467.05915423624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29150.529850531675</v>
      </c>
      <c r="I203" s="84">
        <f t="shared" si="232"/>
        <v>29869.262341140202</v>
      </c>
      <c r="J203" s="84">
        <f t="shared" si="232"/>
        <v>30149.68816203616</v>
      </c>
      <c r="K203" s="84">
        <f t="shared" si="232"/>
        <v>30384.25659431332</v>
      </c>
      <c r="L203" s="84">
        <f t="shared" si="232"/>
        <v>30878.807742206329</v>
      </c>
      <c r="M203" s="84">
        <f t="shared" si="235"/>
        <v>30270.706057617823</v>
      </c>
      <c r="N203" s="84">
        <f t="shared" si="232"/>
        <v>30973.665951815845</v>
      </c>
      <c r="O203" s="84">
        <f t="shared" si="232"/>
        <v>30075.461472576117</v>
      </c>
      <c r="P203" s="84">
        <f t="shared" si="232"/>
        <v>28870.403639381941</v>
      </c>
      <c r="Q203" s="84">
        <f t="shared" si="232"/>
        <v>29253.774013616527</v>
      </c>
      <c r="R203" s="84">
        <f t="shared" si="232"/>
        <v>28625.787618765255</v>
      </c>
      <c r="S203" s="84">
        <f t="shared" si="232"/>
        <v>26179.145753354082</v>
      </c>
      <c r="T203" s="84">
        <f t="shared" si="232"/>
        <v>26939.703757985506</v>
      </c>
      <c r="U203" s="84">
        <f t="shared" si="232"/>
        <v>26764.808045437705</v>
      </c>
      <c r="V203" s="84">
        <f t="shared" si="232"/>
        <v>24296.624305640056</v>
      </c>
      <c r="W203" s="84">
        <f t="shared" si="234"/>
        <v>27034.630078797618</v>
      </c>
      <c r="X203" s="84">
        <f t="shared" si="234"/>
        <v>26383.618677920487</v>
      </c>
      <c r="Y203" s="84">
        <f t="shared" si="234"/>
        <v>26313.970915340542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796251.84638109303</v>
      </c>
      <c r="C204" s="110">
        <f t="shared" si="232"/>
        <v>793916.77163625439</v>
      </c>
      <c r="D204" s="110">
        <f t="shared" si="232"/>
        <v>785678.53526241658</v>
      </c>
      <c r="E204" s="110">
        <f t="shared" si="232"/>
        <v>780527.28954671603</v>
      </c>
      <c r="F204" s="110">
        <f t="shared" si="232"/>
        <v>792978.43476633762</v>
      </c>
      <c r="G204" s="110">
        <f t="shared" si="232"/>
        <v>799270.59496567503</v>
      </c>
      <c r="H204" s="110">
        <f t="shared" si="232"/>
        <v>792157.89536679094</v>
      </c>
      <c r="I204" s="110">
        <f t="shared" si="232"/>
        <v>871036.92651995539</v>
      </c>
      <c r="J204" s="110">
        <f t="shared" si="232"/>
        <v>844851.86661352462</v>
      </c>
      <c r="K204" s="110">
        <f t="shared" si="232"/>
        <v>812437.03635864088</v>
      </c>
      <c r="L204" s="110">
        <f t="shared" si="232"/>
        <v>807802.46655244997</v>
      </c>
      <c r="M204" s="110">
        <f t="shared" si="235"/>
        <v>808022.31931357598</v>
      </c>
      <c r="N204" s="110">
        <f t="shared" si="232"/>
        <v>781342.48845744063</v>
      </c>
      <c r="O204" s="110">
        <f t="shared" si="232"/>
        <v>787821.9652577024</v>
      </c>
      <c r="P204" s="110">
        <f t="shared" si="232"/>
        <v>802570.2894156205</v>
      </c>
      <c r="Q204" s="110">
        <f t="shared" si="232"/>
        <v>830940.07275512139</v>
      </c>
      <c r="R204" s="110">
        <f t="shared" si="232"/>
        <v>815716.47519284603</v>
      </c>
      <c r="S204" s="110">
        <f t="shared" si="232"/>
        <v>786777.10919207451</v>
      </c>
      <c r="T204" s="110">
        <f t="shared" si="232"/>
        <v>776214.30966604152</v>
      </c>
      <c r="U204" s="110">
        <f t="shared" si="232"/>
        <v>753404.45405830594</v>
      </c>
      <c r="V204" s="110">
        <f t="shared" si="232"/>
        <v>450045.00450045004</v>
      </c>
      <c r="W204" s="110">
        <f t="shared" si="234"/>
        <v>427547.52259270812</v>
      </c>
      <c r="X204" s="110">
        <f t="shared" si="234"/>
        <v>554671.29696618917</v>
      </c>
      <c r="Y204" s="110">
        <f t="shared" si="234"/>
        <v>593184.28888783848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0</v>
      </c>
      <c r="C205" s="102">
        <f t="shared" si="232"/>
        <v>0</v>
      </c>
      <c r="D205" s="102">
        <f t="shared" si="232"/>
        <v>0</v>
      </c>
      <c r="E205" s="102">
        <f t="shared" si="232"/>
        <v>0</v>
      </c>
      <c r="F205" s="102">
        <f t="shared" si="232"/>
        <v>0</v>
      </c>
      <c r="G205" s="102">
        <f t="shared" si="232"/>
        <v>0</v>
      </c>
      <c r="H205" s="102">
        <f t="shared" si="232"/>
        <v>0</v>
      </c>
      <c r="I205" s="102">
        <f t="shared" si="232"/>
        <v>0</v>
      </c>
      <c r="J205" s="102">
        <f t="shared" si="232"/>
        <v>0</v>
      </c>
      <c r="K205" s="102">
        <f t="shared" si="232"/>
        <v>0</v>
      </c>
      <c r="L205" s="102">
        <f t="shared" si="232"/>
        <v>0</v>
      </c>
      <c r="M205" s="102">
        <f t="shared" si="235"/>
        <v>0</v>
      </c>
      <c r="N205" s="102">
        <f t="shared" si="232"/>
        <v>0</v>
      </c>
      <c r="O205" s="102">
        <f t="shared" si="232"/>
        <v>0</v>
      </c>
      <c r="P205" s="102">
        <f t="shared" si="232"/>
        <v>0</v>
      </c>
      <c r="Q205" s="102">
        <f t="shared" si="232"/>
        <v>0</v>
      </c>
      <c r="R205" s="102">
        <f t="shared" si="232"/>
        <v>0</v>
      </c>
      <c r="S205" s="102">
        <f t="shared" si="232"/>
        <v>0</v>
      </c>
      <c r="T205" s="102">
        <f t="shared" si="232"/>
        <v>0</v>
      </c>
      <c r="U205" s="102">
        <f t="shared" si="232"/>
        <v>0</v>
      </c>
      <c r="V205" s="102">
        <f t="shared" si="232"/>
        <v>0</v>
      </c>
      <c r="W205" s="102">
        <f t="shared" si="234"/>
        <v>0</v>
      </c>
      <c r="X205" s="102">
        <f t="shared" si="234"/>
        <v>0</v>
      </c>
      <c r="Y205" s="102">
        <f t="shared" si="234"/>
        <v>0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797330.32089248917</v>
      </c>
      <c r="C206" s="102">
        <f t="shared" si="232"/>
        <v>793570.20322274824</v>
      </c>
      <c r="D206" s="102">
        <f t="shared" si="232"/>
        <v>782503.19796081062</v>
      </c>
      <c r="E206" s="102">
        <f t="shared" si="232"/>
        <v>774073.57861179311</v>
      </c>
      <c r="F206" s="102">
        <f t="shared" si="232"/>
        <v>786576.80291698163</v>
      </c>
      <c r="G206" s="102">
        <f t="shared" si="232"/>
        <v>795460.89766862651</v>
      </c>
      <c r="H206" s="102">
        <f t="shared" si="232"/>
        <v>784924.68544132891</v>
      </c>
      <c r="I206" s="102">
        <f t="shared" si="232"/>
        <v>865327.17365581763</v>
      </c>
      <c r="J206" s="102">
        <f t="shared" si="232"/>
        <v>844613.48840057605</v>
      </c>
      <c r="K206" s="102">
        <f t="shared" si="232"/>
        <v>811255.15525886987</v>
      </c>
      <c r="L206" s="102">
        <f t="shared" si="232"/>
        <v>806553.55602583976</v>
      </c>
      <c r="M206" s="102">
        <f t="shared" si="235"/>
        <v>808678.60310861911</v>
      </c>
      <c r="N206" s="102">
        <f t="shared" si="232"/>
        <v>783193.2856373582</v>
      </c>
      <c r="O206" s="102">
        <f t="shared" si="232"/>
        <v>789655.93662857672</v>
      </c>
      <c r="P206" s="102">
        <f t="shared" si="232"/>
        <v>805505.02649683529</v>
      </c>
      <c r="Q206" s="102">
        <f t="shared" si="232"/>
        <v>836610.09638765943</v>
      </c>
      <c r="R206" s="102">
        <f t="shared" si="232"/>
        <v>818152.00214208069</v>
      </c>
      <c r="S206" s="102">
        <f t="shared" si="232"/>
        <v>785932.21936908341</v>
      </c>
      <c r="T206" s="102">
        <f t="shared" si="232"/>
        <v>775161.55609509116</v>
      </c>
      <c r="U206" s="102">
        <f t="shared" si="232"/>
        <v>752483.44468459755</v>
      </c>
      <c r="V206" s="102">
        <f t="shared" si="232"/>
        <v>450172.41472381615</v>
      </c>
      <c r="W206" s="102">
        <f t="shared" si="234"/>
        <v>428280.70190856711</v>
      </c>
      <c r="X206" s="102">
        <f t="shared" si="234"/>
        <v>556672.41936648684</v>
      </c>
      <c r="Y206" s="102">
        <f t="shared" si="234"/>
        <v>596704.22755444702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0</v>
      </c>
      <c r="C207" s="102">
        <f t="shared" si="232"/>
        <v>0</v>
      </c>
      <c r="D207" s="102">
        <f t="shared" si="232"/>
        <v>0</v>
      </c>
      <c r="E207" s="102">
        <f t="shared" si="232"/>
        <v>0</v>
      </c>
      <c r="F207" s="102">
        <f t="shared" si="232"/>
        <v>418350.45951866923</v>
      </c>
      <c r="G207" s="102">
        <f t="shared" si="232"/>
        <v>426042.20896670886</v>
      </c>
      <c r="H207" s="102">
        <f t="shared" si="232"/>
        <v>427037.31569861883</v>
      </c>
      <c r="I207" s="102">
        <f t="shared" si="232"/>
        <v>475393.28971851012</v>
      </c>
      <c r="J207" s="102">
        <f t="shared" si="232"/>
        <v>464803.7074131837</v>
      </c>
      <c r="K207" s="102">
        <f t="shared" si="232"/>
        <v>430737.15552312386</v>
      </c>
      <c r="L207" s="102">
        <f t="shared" si="232"/>
        <v>407374.83880901342</v>
      </c>
      <c r="M207" s="102">
        <f t="shared" si="235"/>
        <v>390712.98226542096</v>
      </c>
      <c r="N207" s="102">
        <f t="shared" si="232"/>
        <v>349737.45533976256</v>
      </c>
      <c r="O207" s="102">
        <f t="shared" si="232"/>
        <v>341046.40199015569</v>
      </c>
      <c r="P207" s="102">
        <f t="shared" si="232"/>
        <v>351706.124066449</v>
      </c>
      <c r="Q207" s="102">
        <f t="shared" si="232"/>
        <v>373446.80497035466</v>
      </c>
      <c r="R207" s="102">
        <f t="shared" si="232"/>
        <v>363358.90279498487</v>
      </c>
      <c r="S207" s="102">
        <f t="shared" si="232"/>
        <v>346617.967438447</v>
      </c>
      <c r="T207" s="102">
        <f t="shared" si="232"/>
        <v>338245.45827389101</v>
      </c>
      <c r="U207" s="102">
        <f t="shared" si="232"/>
        <v>333376.49029922026</v>
      </c>
      <c r="V207" s="102">
        <f t="shared" si="232"/>
        <v>196248.87953705125</v>
      </c>
      <c r="W207" s="102">
        <f t="shared" si="234"/>
        <v>181104.2510430532</v>
      </c>
      <c r="X207" s="102">
        <f t="shared" si="234"/>
        <v>232726.49777128198</v>
      </c>
      <c r="Y207" s="102">
        <f t="shared" si="234"/>
        <v>246484.91190774232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712855.11272089952</v>
      </c>
      <c r="C208" s="102">
        <f t="shared" si="232"/>
        <v>826367.47629891348</v>
      </c>
      <c r="D208" s="102">
        <f t="shared" si="232"/>
        <v>996255.99999400752</v>
      </c>
      <c r="E208" s="102">
        <f t="shared" si="232"/>
        <v>1197849.6926062712</v>
      </c>
      <c r="F208" s="102">
        <f t="shared" si="232"/>
        <v>1217842.2028779446</v>
      </c>
      <c r="G208" s="102">
        <f t="shared" si="232"/>
        <v>1055236.9275856479</v>
      </c>
      <c r="H208" s="102">
        <f t="shared" si="232"/>
        <v>1218391.8500991634</v>
      </c>
      <c r="I208" s="102">
        <f t="shared" si="232"/>
        <v>1167178.1606088409</v>
      </c>
      <c r="J208" s="102">
        <f t="shared" si="232"/>
        <v>869051.53547559073</v>
      </c>
      <c r="K208" s="102">
        <f t="shared" si="232"/>
        <v>881870.27129797428</v>
      </c>
      <c r="L208" s="102">
        <f t="shared" si="232"/>
        <v>883070.14512043505</v>
      </c>
      <c r="M208" s="102">
        <f t="shared" si="235"/>
        <v>792698.31053044018</v>
      </c>
      <c r="N208" s="102">
        <f t="shared" si="232"/>
        <v>714640.18780362874</v>
      </c>
      <c r="O208" s="102">
        <f t="shared" si="232"/>
        <v>727102.00923140149</v>
      </c>
      <c r="P208" s="102">
        <f t="shared" si="232"/>
        <v>687840.82662954892</v>
      </c>
      <c r="Q208" s="102">
        <f t="shared" si="232"/>
        <v>556196.95850784227</v>
      </c>
      <c r="R208" s="102">
        <f t="shared" si="232"/>
        <v>710630.46947254112</v>
      </c>
      <c r="S208" s="102">
        <f t="shared" si="232"/>
        <v>890158.30510692869</v>
      </c>
      <c r="T208" s="102">
        <f t="shared" si="232"/>
        <v>908582.35890320514</v>
      </c>
      <c r="U208" s="102">
        <f t="shared" si="232"/>
        <v>904549.00846050179</v>
      </c>
      <c r="V208" s="102">
        <f t="shared" si="232"/>
        <v>537859.84582332207</v>
      </c>
      <c r="W208" s="102">
        <f t="shared" si="234"/>
        <v>501366.58657413331</v>
      </c>
      <c r="X208" s="102">
        <f t="shared" si="234"/>
        <v>646355.34012594295</v>
      </c>
      <c r="Y208" s="102">
        <f t="shared" si="234"/>
        <v>691481.63880730013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713405.28592477401</v>
      </c>
      <c r="C209" s="102">
        <f t="shared" si="232"/>
        <v>713631.91753100022</v>
      </c>
      <c r="D209" s="102">
        <f t="shared" si="232"/>
        <v>714248.12430430914</v>
      </c>
      <c r="E209" s="102">
        <f t="shared" si="232"/>
        <v>714971.32643728727</v>
      </c>
      <c r="F209" s="102">
        <f t="shared" si="232"/>
        <v>716422.36104701075</v>
      </c>
      <c r="G209" s="102">
        <f t="shared" si="232"/>
        <v>718479.60128823342</v>
      </c>
      <c r="H209" s="102">
        <f t="shared" si="232"/>
        <v>695750.22995872539</v>
      </c>
      <c r="I209" s="102">
        <f t="shared" si="232"/>
        <v>732358.45484790963</v>
      </c>
      <c r="J209" s="102">
        <f t="shared" si="232"/>
        <v>741660.8918729655</v>
      </c>
      <c r="K209" s="102">
        <f t="shared" si="232"/>
        <v>714492.11611853424</v>
      </c>
      <c r="L209" s="102">
        <f t="shared" si="232"/>
        <v>675164.47207705968</v>
      </c>
      <c r="M209" s="102">
        <f t="shared" si="235"/>
        <v>641814.40355426422</v>
      </c>
      <c r="N209" s="102">
        <f t="shared" si="232"/>
        <v>590587.95735689113</v>
      </c>
      <c r="O209" s="102">
        <f t="shared" si="232"/>
        <v>565650.11939287384</v>
      </c>
      <c r="P209" s="102">
        <f t="shared" si="232"/>
        <v>566978.05846379488</v>
      </c>
      <c r="Q209" s="102">
        <f t="shared" si="232"/>
        <v>575704.3277283659</v>
      </c>
      <c r="R209" s="102">
        <f t="shared" si="232"/>
        <v>551594.64729795232</v>
      </c>
      <c r="S209" s="102">
        <f t="shared" si="232"/>
        <v>539463.13333484193</v>
      </c>
      <c r="T209" s="102">
        <f t="shared" si="232"/>
        <v>538063.21763016609</v>
      </c>
      <c r="U209" s="102">
        <f t="shared" si="232"/>
        <v>534722.40947279765</v>
      </c>
      <c r="V209" s="102">
        <f t="shared" si="232"/>
        <v>319162.65715470567</v>
      </c>
      <c r="W209" s="102">
        <f t="shared" si="234"/>
        <v>329631.38857286429</v>
      </c>
      <c r="X209" s="102">
        <f t="shared" si="234"/>
        <v>423733.52928399341</v>
      </c>
      <c r="Y209" s="102">
        <f t="shared" si="234"/>
        <v>450085.32883024501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125841.36533133233</v>
      </c>
      <c r="C210" s="28">
        <f t="shared" si="232"/>
        <v>130087.0945081687</v>
      </c>
      <c r="D210" s="28">
        <f t="shared" si="232"/>
        <v>132484.67302728957</v>
      </c>
      <c r="E210" s="28">
        <f t="shared" si="232"/>
        <v>136215.00907835132</v>
      </c>
      <c r="F210" s="28">
        <f t="shared" ref="B210:V219" si="236">IF(F19=0,0,F19*1000000/F73)</f>
        <v>145352.05983105942</v>
      </c>
      <c r="G210" s="28">
        <f t="shared" si="236"/>
        <v>149201.74333499078</v>
      </c>
      <c r="H210" s="28">
        <f t="shared" si="236"/>
        <v>155012.55342091722</v>
      </c>
      <c r="I210" s="28">
        <f t="shared" si="236"/>
        <v>167091.42118457315</v>
      </c>
      <c r="J210" s="28">
        <f t="shared" si="236"/>
        <v>167959.74221336236</v>
      </c>
      <c r="K210" s="28">
        <f t="shared" si="236"/>
        <v>152608.73455566081</v>
      </c>
      <c r="L210" s="28">
        <f t="shared" si="236"/>
        <v>155764.83136589552</v>
      </c>
      <c r="M210" s="28">
        <f t="shared" si="235"/>
        <v>155028.53846735437</v>
      </c>
      <c r="N210" s="28">
        <f t="shared" si="236"/>
        <v>148722.2197677996</v>
      </c>
      <c r="O210" s="28">
        <f t="shared" si="236"/>
        <v>149144.03306438276</v>
      </c>
      <c r="P210" s="28">
        <f t="shared" si="236"/>
        <v>149227.78733418891</v>
      </c>
      <c r="Q210" s="28">
        <f t="shared" si="236"/>
        <v>147112.26630830218</v>
      </c>
      <c r="R210" s="28">
        <f t="shared" si="236"/>
        <v>145250.39933513533</v>
      </c>
      <c r="S210" s="28">
        <f t="shared" si="236"/>
        <v>143520.42315361783</v>
      </c>
      <c r="T210" s="28">
        <f t="shared" si="236"/>
        <v>136853.31060345611</v>
      </c>
      <c r="U210" s="28">
        <f t="shared" si="236"/>
        <v>133956.6767273822</v>
      </c>
      <c r="V210" s="28">
        <f t="shared" si="236"/>
        <v>127149.96061004522</v>
      </c>
      <c r="W210" s="28">
        <f t="shared" ref="W210:Y210" si="237">IF(W19=0,0,W19*1000000/W73)</f>
        <v>125470.7385466697</v>
      </c>
      <c r="X210" s="28">
        <f t="shared" si="237"/>
        <v>121377.83704487463</v>
      </c>
      <c r="Y210" s="28">
        <f t="shared" si="237"/>
        <v>113619.04786816292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7788.6281581964649</v>
      </c>
      <c r="C211" s="137">
        <f t="shared" si="236"/>
        <v>8238.2458382383429</v>
      </c>
      <c r="D211" s="137">
        <f t="shared" si="236"/>
        <v>8311.4864918351577</v>
      </c>
      <c r="E211" s="137">
        <f t="shared" si="236"/>
        <v>8638.1265587270045</v>
      </c>
      <c r="F211" s="137">
        <f t="shared" si="236"/>
        <v>8500.3869918847122</v>
      </c>
      <c r="G211" s="137">
        <f t="shared" si="236"/>
        <v>8535.4684961655603</v>
      </c>
      <c r="H211" s="137">
        <f t="shared" si="236"/>
        <v>8249.9727268613769</v>
      </c>
      <c r="I211" s="137">
        <f t="shared" si="236"/>
        <v>8018.9264042169179</v>
      </c>
      <c r="J211" s="137">
        <f t="shared" si="236"/>
        <v>7748.1400807939763</v>
      </c>
      <c r="K211" s="137">
        <f t="shared" si="236"/>
        <v>7700.7899253215282</v>
      </c>
      <c r="L211" s="137">
        <f t="shared" si="236"/>
        <v>7300.187330107774</v>
      </c>
      <c r="M211" s="137">
        <f t="shared" si="235"/>
        <v>7133.3910400123086</v>
      </c>
      <c r="N211" s="137">
        <f t="shared" si="236"/>
        <v>6867.0988592457106</v>
      </c>
      <c r="O211" s="137">
        <f t="shared" si="236"/>
        <v>7042.8665851054066</v>
      </c>
      <c r="P211" s="137">
        <f t="shared" si="236"/>
        <v>7139.1105486563256</v>
      </c>
      <c r="Q211" s="137">
        <f t="shared" si="236"/>
        <v>7655.3110770670182</v>
      </c>
      <c r="R211" s="137">
        <f t="shared" si="236"/>
        <v>7769.5011956173312</v>
      </c>
      <c r="S211" s="137">
        <f t="shared" si="236"/>
        <v>7642.5240736930964</v>
      </c>
      <c r="T211" s="137">
        <f t="shared" si="236"/>
        <v>7136.3278422864969</v>
      </c>
      <c r="U211" s="137">
        <f t="shared" si="236"/>
        <v>7244.3257944654633</v>
      </c>
      <c r="V211" s="137">
        <f t="shared" si="236"/>
        <v>6627.2448407534439</v>
      </c>
      <c r="W211" s="137">
        <f t="shared" ref="W211:Y211" si="238">IF(W20=0,0,W20*1000000/W74)</f>
        <v>6633.0730012168378</v>
      </c>
      <c r="X211" s="137">
        <f t="shared" si="238"/>
        <v>6668.4198008221765</v>
      </c>
      <c r="Y211" s="137">
        <f t="shared" si="238"/>
        <v>6637.8937271621289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4648.2445483331894</v>
      </c>
      <c r="C212" s="84">
        <f t="shared" si="236"/>
        <v>4666.4847408381102</v>
      </c>
      <c r="D212" s="84">
        <f t="shared" si="236"/>
        <v>4843.6964765966322</v>
      </c>
      <c r="E212" s="84">
        <f t="shared" si="236"/>
        <v>4873.2975983558918</v>
      </c>
      <c r="F212" s="84">
        <f t="shared" si="236"/>
        <v>4950.1835754078666</v>
      </c>
      <c r="G212" s="84">
        <f t="shared" si="236"/>
        <v>4947.7830138416684</v>
      </c>
      <c r="H212" s="84">
        <f t="shared" si="236"/>
        <v>4808.0738419498875</v>
      </c>
      <c r="I212" s="84">
        <f t="shared" si="236"/>
        <v>4701.6299415235944</v>
      </c>
      <c r="J212" s="84">
        <f t="shared" si="236"/>
        <v>4376.1392373533345</v>
      </c>
      <c r="K212" s="84">
        <f t="shared" si="236"/>
        <v>4260.133588718284</v>
      </c>
      <c r="L212" s="84">
        <f t="shared" si="236"/>
        <v>4171.7434431148686</v>
      </c>
      <c r="M212" s="84">
        <f t="shared" si="235"/>
        <v>4183.1723527664626</v>
      </c>
      <c r="N212" s="84">
        <f t="shared" si="236"/>
        <v>4077.2783727444144</v>
      </c>
      <c r="O212" s="84">
        <f t="shared" si="236"/>
        <v>4091.8398710876768</v>
      </c>
      <c r="P212" s="84">
        <f t="shared" si="236"/>
        <v>4170.056018364442</v>
      </c>
      <c r="Q212" s="84">
        <f t="shared" si="236"/>
        <v>4158.7153097139799</v>
      </c>
      <c r="R212" s="84">
        <f t="shared" si="236"/>
        <v>4359.1914911916201</v>
      </c>
      <c r="S212" s="84">
        <f t="shared" si="236"/>
        <v>4569.7911326379126</v>
      </c>
      <c r="T212" s="84">
        <f t="shared" si="236"/>
        <v>4553.589442741948</v>
      </c>
      <c r="U212" s="84">
        <f t="shared" si="236"/>
        <v>4645.1242565219</v>
      </c>
      <c r="V212" s="84">
        <f t="shared" si="236"/>
        <v>4510.7331741731759</v>
      </c>
      <c r="W212" s="84">
        <f t="shared" ref="W212:Y212" si="239">IF(W21=0,0,W21*1000000/W75)</f>
        <v>4883.7911976459945</v>
      </c>
      <c r="X212" s="84">
        <f t="shared" si="239"/>
        <v>5033.827051466289</v>
      </c>
      <c r="Y212" s="84">
        <f t="shared" si="239"/>
        <v>4859.5684489753348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8306.0903465721676</v>
      </c>
      <c r="C213" s="84">
        <f t="shared" si="236"/>
        <v>8786.1916065702899</v>
      </c>
      <c r="D213" s="84">
        <f t="shared" si="236"/>
        <v>8790.1861642678159</v>
      </c>
      <c r="E213" s="84">
        <f t="shared" si="236"/>
        <v>9104.991419142154</v>
      </c>
      <c r="F213" s="84">
        <f t="shared" si="236"/>
        <v>8894.0402717478355</v>
      </c>
      <c r="G213" s="84">
        <f t="shared" si="236"/>
        <v>8895.9127582126821</v>
      </c>
      <c r="H213" s="84">
        <f t="shared" si="236"/>
        <v>8584.8461076539388</v>
      </c>
      <c r="I213" s="84">
        <f t="shared" si="236"/>
        <v>8334.1830877702032</v>
      </c>
      <c r="J213" s="84">
        <f t="shared" si="236"/>
        <v>8056.6355729090847</v>
      </c>
      <c r="K213" s="84">
        <f t="shared" si="236"/>
        <v>8005.3358706371919</v>
      </c>
      <c r="L213" s="84">
        <f t="shared" si="236"/>
        <v>7560.9891329280572</v>
      </c>
      <c r="M213" s="84">
        <f t="shared" si="235"/>
        <v>7366.0082716108182</v>
      </c>
      <c r="N213" s="84">
        <f t="shared" si="236"/>
        <v>7074.9944791007874</v>
      </c>
      <c r="O213" s="84">
        <f t="shared" si="236"/>
        <v>7255.2525834636435</v>
      </c>
      <c r="P213" s="84">
        <f t="shared" si="236"/>
        <v>7346.0015594572496</v>
      </c>
      <c r="Q213" s="84">
        <f t="shared" si="236"/>
        <v>7889.2255367497964</v>
      </c>
      <c r="R213" s="84">
        <f t="shared" si="236"/>
        <v>7995.1062412908559</v>
      </c>
      <c r="S213" s="84">
        <f t="shared" si="236"/>
        <v>7849.4750764974733</v>
      </c>
      <c r="T213" s="84">
        <f t="shared" si="236"/>
        <v>7312.0650333033136</v>
      </c>
      <c r="U213" s="84">
        <f t="shared" si="236"/>
        <v>7424.0087468982611</v>
      </c>
      <c r="V213" s="84">
        <f t="shared" si="236"/>
        <v>6777.3428362994946</v>
      </c>
      <c r="W213" s="84">
        <f t="shared" ref="W213:Y213" si="240">IF(W22=0,0,W22*1000000/W76)</f>
        <v>6773.2850871778819</v>
      </c>
      <c r="X213" s="84">
        <f t="shared" si="240"/>
        <v>6819.0687455580965</v>
      </c>
      <c r="Y213" s="84">
        <f t="shared" si="240"/>
        <v>6803.598971557306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0</v>
      </c>
      <c r="C214" s="84">
        <f t="shared" si="236"/>
        <v>0</v>
      </c>
      <c r="D214" s="84">
        <f t="shared" si="236"/>
        <v>0</v>
      </c>
      <c r="E214" s="84">
        <f t="shared" si="236"/>
        <v>0</v>
      </c>
      <c r="F214" s="84">
        <f t="shared" si="236"/>
        <v>0</v>
      </c>
      <c r="G214" s="84">
        <f t="shared" si="236"/>
        <v>0</v>
      </c>
      <c r="H214" s="84">
        <f t="shared" si="236"/>
        <v>6048.8094881816123</v>
      </c>
      <c r="I214" s="84">
        <f t="shared" si="236"/>
        <v>6053.666931236311</v>
      </c>
      <c r="J214" s="84">
        <f t="shared" si="236"/>
        <v>5766.7684364969518</v>
      </c>
      <c r="K214" s="84">
        <f t="shared" si="236"/>
        <v>5571.1961251664734</v>
      </c>
      <c r="L214" s="84">
        <f t="shared" si="236"/>
        <v>5291.6116780925322</v>
      </c>
      <c r="M214" s="84">
        <f t="shared" si="235"/>
        <v>5109.6715079844789</v>
      </c>
      <c r="N214" s="84">
        <f t="shared" si="236"/>
        <v>5040.6593584229668</v>
      </c>
      <c r="O214" s="84">
        <f t="shared" si="236"/>
        <v>5097.0014345642594</v>
      </c>
      <c r="P214" s="84">
        <f t="shared" si="236"/>
        <v>5059.2661275847167</v>
      </c>
      <c r="Q214" s="84">
        <f t="shared" si="236"/>
        <v>4951.7425117706216</v>
      </c>
      <c r="R214" s="84">
        <f t="shared" si="236"/>
        <v>4911.7271201803296</v>
      </c>
      <c r="S214" s="84">
        <f t="shared" si="236"/>
        <v>4872.5247693283691</v>
      </c>
      <c r="T214" s="84">
        <f t="shared" si="236"/>
        <v>4594.5290068148015</v>
      </c>
      <c r="U214" s="84">
        <f t="shared" si="236"/>
        <v>4435.206890487736</v>
      </c>
      <c r="V214" s="84">
        <f t="shared" si="236"/>
        <v>4075.6145743256402</v>
      </c>
      <c r="W214" s="84">
        <f t="shared" ref="W214:Y214" si="241">IF(W23=0,0,W23*1000000/W77)</f>
        <v>4175.7306554712441</v>
      </c>
      <c r="X214" s="84">
        <f t="shared" si="241"/>
        <v>4148.5603102368623</v>
      </c>
      <c r="Y214" s="84">
        <f t="shared" si="241"/>
        <v>3940.7390916442719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0</v>
      </c>
      <c r="F215" s="84">
        <f t="shared" si="236"/>
        <v>0</v>
      </c>
      <c r="G215" s="84">
        <f t="shared" si="236"/>
        <v>0</v>
      </c>
      <c r="H215" s="84">
        <f t="shared" si="236"/>
        <v>5115.3104165906343</v>
      </c>
      <c r="I215" s="84">
        <f t="shared" si="236"/>
        <v>5267.0968054521463</v>
      </c>
      <c r="J215" s="84">
        <f t="shared" si="236"/>
        <v>5180.653753240189</v>
      </c>
      <c r="K215" s="84">
        <f t="shared" si="236"/>
        <v>5069.7981297106571</v>
      </c>
      <c r="L215" s="84">
        <f t="shared" si="236"/>
        <v>4971.9810252078214</v>
      </c>
      <c r="M215" s="84">
        <f t="shared" si="235"/>
        <v>4801.0306364547296</v>
      </c>
      <c r="N215" s="84">
        <f t="shared" si="236"/>
        <v>4604.4415325317286</v>
      </c>
      <c r="O215" s="84">
        <f t="shared" si="236"/>
        <v>4509.2580812253236</v>
      </c>
      <c r="P215" s="84">
        <f t="shared" si="236"/>
        <v>4498.865631703382</v>
      </c>
      <c r="Q215" s="84">
        <f t="shared" si="236"/>
        <v>4427.0024203958928</v>
      </c>
      <c r="R215" s="84">
        <f t="shared" si="236"/>
        <v>4534.038604761522</v>
      </c>
      <c r="S215" s="84">
        <f t="shared" si="236"/>
        <v>4644.1294333227734</v>
      </c>
      <c r="T215" s="84">
        <f t="shared" si="236"/>
        <v>4521.5832798384299</v>
      </c>
      <c r="U215" s="84">
        <f t="shared" si="236"/>
        <v>4506.7420018642533</v>
      </c>
      <c r="V215" s="84">
        <f t="shared" si="236"/>
        <v>4276.034463281193</v>
      </c>
      <c r="W215" s="84">
        <f t="shared" ref="W215:Y215" si="242">IF(W24=0,0,W24*1000000/W78)</f>
        <v>4523.5546859225669</v>
      </c>
      <c r="X215" s="84">
        <f t="shared" si="242"/>
        <v>4640.2785555727642</v>
      </c>
      <c r="Y215" s="84">
        <f t="shared" si="242"/>
        <v>4551.1757092751523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4155.753982776303</v>
      </c>
      <c r="C216" s="84">
        <f t="shared" si="236"/>
        <v>4164.2619003965738</v>
      </c>
      <c r="D216" s="84">
        <f t="shared" si="236"/>
        <v>4173.0944197467797</v>
      </c>
      <c r="E216" s="84">
        <f t="shared" si="236"/>
        <v>4179.3824993824874</v>
      </c>
      <c r="F216" s="84">
        <f t="shared" si="236"/>
        <v>4181.8917300065432</v>
      </c>
      <c r="G216" s="84">
        <f t="shared" si="236"/>
        <v>4189.5749542851781</v>
      </c>
      <c r="H216" s="84">
        <f t="shared" si="236"/>
        <v>4191.6481268654143</v>
      </c>
      <c r="I216" s="84">
        <f t="shared" si="236"/>
        <v>4194.9717882420309</v>
      </c>
      <c r="J216" s="84">
        <f t="shared" si="236"/>
        <v>4201.5110937972331</v>
      </c>
      <c r="K216" s="84">
        <f t="shared" si="236"/>
        <v>4205.2460924122415</v>
      </c>
      <c r="L216" s="84">
        <f t="shared" si="236"/>
        <v>4212.3900199629525</v>
      </c>
      <c r="M216" s="84">
        <f t="shared" si="235"/>
        <v>4216.2321960324043</v>
      </c>
      <c r="N216" s="84">
        <f t="shared" si="236"/>
        <v>4221.4489164234983</v>
      </c>
      <c r="O216" s="84">
        <f t="shared" si="236"/>
        <v>4222.4635231966649</v>
      </c>
      <c r="P216" s="84">
        <f t="shared" si="236"/>
        <v>4225.6149308363338</v>
      </c>
      <c r="Q216" s="84">
        <f t="shared" si="236"/>
        <v>4226.7499223623799</v>
      </c>
      <c r="R216" s="84">
        <f t="shared" si="236"/>
        <v>4225.130327965383</v>
      </c>
      <c r="S216" s="84">
        <f t="shared" si="236"/>
        <v>4223.4911413053824</v>
      </c>
      <c r="T216" s="84">
        <f t="shared" si="236"/>
        <v>4214.9354193861636</v>
      </c>
      <c r="U216" s="84">
        <f t="shared" si="236"/>
        <v>4211.0975984838778</v>
      </c>
      <c r="V216" s="84">
        <f t="shared" si="236"/>
        <v>4010.3276053838517</v>
      </c>
      <c r="W216" s="84">
        <f t="shared" ref="W216:Y216" si="243">IF(W25=0,0,W25*1000000/W79)</f>
        <v>4205.4944370933363</v>
      </c>
      <c r="X216" s="84">
        <f t="shared" si="243"/>
        <v>4198.4343894655158</v>
      </c>
      <c r="Y216" s="84">
        <f t="shared" si="243"/>
        <v>4191.3967405646808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343547.73233660479</v>
      </c>
      <c r="C217" s="110">
        <f t="shared" si="236"/>
        <v>358037.52197647281</v>
      </c>
      <c r="D217" s="110">
        <f t="shared" si="236"/>
        <v>374600.11058599706</v>
      </c>
      <c r="E217" s="110">
        <f t="shared" si="236"/>
        <v>392938.95615302614</v>
      </c>
      <c r="F217" s="110">
        <f t="shared" si="236"/>
        <v>422442.07297260885</v>
      </c>
      <c r="G217" s="110">
        <f t="shared" si="236"/>
        <v>437369.94397976017</v>
      </c>
      <c r="H217" s="110">
        <f t="shared" si="236"/>
        <v>460480.57581471041</v>
      </c>
      <c r="I217" s="110">
        <f t="shared" si="236"/>
        <v>553200.35900477308</v>
      </c>
      <c r="J217" s="110">
        <f t="shared" si="236"/>
        <v>569486.33345583174</v>
      </c>
      <c r="K217" s="110">
        <f t="shared" si="236"/>
        <v>525180.3765095952</v>
      </c>
      <c r="L217" s="110">
        <f t="shared" si="236"/>
        <v>549919.59579060518</v>
      </c>
      <c r="M217" s="110">
        <f t="shared" si="235"/>
        <v>555649.62212568289</v>
      </c>
      <c r="N217" s="110">
        <f t="shared" si="236"/>
        <v>544231.59392739041</v>
      </c>
      <c r="O217" s="110">
        <f t="shared" si="236"/>
        <v>544994.4275720818</v>
      </c>
      <c r="P217" s="110">
        <f t="shared" si="236"/>
        <v>548641.88651748828</v>
      </c>
      <c r="Q217" s="110">
        <f t="shared" si="236"/>
        <v>545451.61543554952</v>
      </c>
      <c r="R217" s="110">
        <f t="shared" si="236"/>
        <v>543455.6416459966</v>
      </c>
      <c r="S217" s="110">
        <f t="shared" si="236"/>
        <v>539150.35646412848</v>
      </c>
      <c r="T217" s="110">
        <f t="shared" si="236"/>
        <v>526413.60634491337</v>
      </c>
      <c r="U217" s="110">
        <f t="shared" si="236"/>
        <v>516749.74646621809</v>
      </c>
      <c r="V217" s="110">
        <f t="shared" si="236"/>
        <v>497505.61330339569</v>
      </c>
      <c r="W217" s="110">
        <f t="shared" ref="W217:Y217" si="244">IF(W26=0,0,W26*1000000/W80)</f>
        <v>496308.40290613769</v>
      </c>
      <c r="X217" s="110">
        <f t="shared" si="244"/>
        <v>483442.70063327166</v>
      </c>
      <c r="Y217" s="110">
        <f t="shared" si="244"/>
        <v>455766.66430784779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263443.79887332587</v>
      </c>
      <c r="C218" s="163">
        <f t="shared" si="236"/>
        <v>272208.92830515577</v>
      </c>
      <c r="D218" s="163">
        <f t="shared" si="236"/>
        <v>280605.03180971916</v>
      </c>
      <c r="E218" s="163">
        <f t="shared" si="236"/>
        <v>295553.52627142455</v>
      </c>
      <c r="F218" s="163">
        <f t="shared" si="236"/>
        <v>311312.15776876628</v>
      </c>
      <c r="G218" s="163">
        <f t="shared" si="236"/>
        <v>322907.97509329149</v>
      </c>
      <c r="H218" s="163">
        <f t="shared" si="236"/>
        <v>341012.86841012875</v>
      </c>
      <c r="I218" s="163">
        <f t="shared" si="236"/>
        <v>421406.22405903303</v>
      </c>
      <c r="J218" s="163">
        <f t="shared" si="236"/>
        <v>436498.9662756719</v>
      </c>
      <c r="K218" s="163">
        <f t="shared" si="236"/>
        <v>399992.18154453585</v>
      </c>
      <c r="L218" s="163">
        <f t="shared" si="236"/>
        <v>413992.25676958723</v>
      </c>
      <c r="M218" s="163">
        <f t="shared" si="235"/>
        <v>424369.310585014</v>
      </c>
      <c r="N218" s="163">
        <f t="shared" si="236"/>
        <v>409340.06723175658</v>
      </c>
      <c r="O218" s="163">
        <f t="shared" si="236"/>
        <v>406821.426816958</v>
      </c>
      <c r="P218" s="163">
        <f t="shared" si="236"/>
        <v>409864.2158833447</v>
      </c>
      <c r="Q218" s="163">
        <f t="shared" si="236"/>
        <v>410601.16944816662</v>
      </c>
      <c r="R218" s="163">
        <f t="shared" si="236"/>
        <v>402682.48469999543</v>
      </c>
      <c r="S218" s="163">
        <f t="shared" si="236"/>
        <v>389132.7141572081</v>
      </c>
      <c r="T218" s="163">
        <f t="shared" si="236"/>
        <v>383854.40412779257</v>
      </c>
      <c r="U218" s="163">
        <f t="shared" si="236"/>
        <v>367930.70947333938</v>
      </c>
      <c r="V218" s="163">
        <f t="shared" si="236"/>
        <v>350216.54345270689</v>
      </c>
      <c r="W218" s="163">
        <f t="shared" ref="W218:Y218" si="245">IF(W27=0,0,W27*1000000/W81)</f>
        <v>342984.39294914878</v>
      </c>
      <c r="X218" s="163">
        <f t="shared" si="245"/>
        <v>331248.00337468222</v>
      </c>
      <c r="Y218" s="163">
        <f t="shared" si="245"/>
        <v>305482.50976631901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1211878.2488343918</v>
      </c>
      <c r="C219" s="86">
        <f t="shared" si="236"/>
        <v>1210831.2522228817</v>
      </c>
      <c r="D219" s="86">
        <f t="shared" si="236"/>
        <v>1218786.6092105892</v>
      </c>
      <c r="E219" s="86">
        <f t="shared" si="236"/>
        <v>1211604.0289154123</v>
      </c>
      <c r="F219" s="86">
        <f t="shared" si="236"/>
        <v>1189421.4431594247</v>
      </c>
      <c r="G219" s="86">
        <f t="shared" si="236"/>
        <v>1189949.2077093008</v>
      </c>
      <c r="H219" s="86">
        <f t="shared" si="236"/>
        <v>1197552.5653705141</v>
      </c>
      <c r="I219" s="86">
        <f t="shared" si="236"/>
        <v>1199798.7230438867</v>
      </c>
      <c r="J219" s="86">
        <f t="shared" si="236"/>
        <v>1182817.460534804</v>
      </c>
      <c r="K219" s="86">
        <f t="shared" si="236"/>
        <v>1167207.2657526729</v>
      </c>
      <c r="L219" s="86">
        <f t="shared" si="236"/>
        <v>1205189.3006428913</v>
      </c>
      <c r="M219" s="86">
        <f t="shared" si="235"/>
        <v>1201324.6505701446</v>
      </c>
      <c r="N219" s="86">
        <f t="shared" si="236"/>
        <v>1197348.656535747</v>
      </c>
      <c r="O219" s="86">
        <f t="shared" si="236"/>
        <v>1198937.3721287143</v>
      </c>
      <c r="P219" s="86">
        <f t="shared" si="236"/>
        <v>1201750.2738613389</v>
      </c>
      <c r="Q219" s="86">
        <f t="shared" si="236"/>
        <v>1190473.9386557019</v>
      </c>
      <c r="R219" s="86">
        <f t="shared" si="236"/>
        <v>1184331.2876862637</v>
      </c>
      <c r="S219" s="86">
        <f t="shared" si="236"/>
        <v>1191020.8231462413</v>
      </c>
      <c r="T219" s="86">
        <f t="shared" si="236"/>
        <v>1202449.4584956528</v>
      </c>
      <c r="U219" s="86">
        <f t="shared" si="236"/>
        <v>1195271.7055283827</v>
      </c>
      <c r="V219" s="86">
        <f t="shared" si="236"/>
        <v>1178263.2421638411</v>
      </c>
      <c r="W219" s="86">
        <f t="shared" ref="W219:Y219" si="246">IF(W28=0,0,W28*1000000/W82)</f>
        <v>1193937.7944036766</v>
      </c>
      <c r="X219" s="86">
        <f t="shared" si="246"/>
        <v>1189444.6542391889</v>
      </c>
      <c r="Y219" s="86">
        <f t="shared" si="246"/>
        <v>1176171.3381607363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1.290937540826447E-2</v>
      </c>
      <c r="C223" s="154">
        <f t="shared" si="251"/>
        <v>1.2813542458169231E-2</v>
      </c>
      <c r="D223" s="154">
        <f t="shared" si="251"/>
        <v>1.3196807646250822E-2</v>
      </c>
      <c r="E223" s="154">
        <f t="shared" si="251"/>
        <v>1.3280334727005311E-2</v>
      </c>
      <c r="F223" s="154">
        <f t="shared" si="251"/>
        <v>1.3548490320690226E-2</v>
      </c>
      <c r="G223" s="154">
        <f t="shared" si="251"/>
        <v>1.4152754175289405E-2</v>
      </c>
      <c r="H223" s="154">
        <f t="shared" si="251"/>
        <v>1.429961086692811E-2</v>
      </c>
      <c r="I223" s="154">
        <f t="shared" si="251"/>
        <v>1.2411053698664224E-2</v>
      </c>
      <c r="J223" s="154">
        <f t="shared" si="251"/>
        <v>1.2701180625401747E-2</v>
      </c>
      <c r="K223" s="154">
        <f t="shared" si="251"/>
        <v>1.2803804771597668E-2</v>
      </c>
      <c r="L223" s="154">
        <f t="shared" ref="L223" si="252">IF(L5=0,0,L5/L$4)</f>
        <v>1.2596918601270464E-2</v>
      </c>
      <c r="M223" s="154">
        <f t="shared" ref="M223:V223" si="253">IF(M5=0,0,M5/M$4)</f>
        <v>1.3420633055557294E-2</v>
      </c>
      <c r="N223" s="154">
        <f t="shared" si="253"/>
        <v>1.290850056641232E-2</v>
      </c>
      <c r="O223" s="154">
        <f t="shared" si="253"/>
        <v>1.3285233448108096E-2</v>
      </c>
      <c r="P223" s="154">
        <f t="shared" si="253"/>
        <v>1.3674680066429268E-2</v>
      </c>
      <c r="Q223" s="154">
        <f t="shared" si="253"/>
        <v>1.3251345082331315E-2</v>
      </c>
      <c r="R223" s="154">
        <f t="shared" si="253"/>
        <v>1.3388968882673824E-2</v>
      </c>
      <c r="S223" s="154">
        <f t="shared" si="253"/>
        <v>1.3279179192300091E-2</v>
      </c>
      <c r="T223" s="154">
        <f t="shared" si="253"/>
        <v>1.262579391226887E-2</v>
      </c>
      <c r="U223" s="154">
        <f t="shared" si="253"/>
        <v>1.3629433502918406E-2</v>
      </c>
      <c r="V223" s="154">
        <f t="shared" si="253"/>
        <v>1.4071127873570377E-2</v>
      </c>
      <c r="W223" s="154">
        <f t="shared" ref="W223:Y223" si="254">IF(W5=0,0,W5/W$4)</f>
        <v>1.4399113215029164E-2</v>
      </c>
      <c r="X223" s="154">
        <f t="shared" si="254"/>
        <v>1.3943879605269112E-2</v>
      </c>
      <c r="Y223" s="154">
        <f t="shared" si="254"/>
        <v>1.4768081339640521E-2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0.91143608262627851</v>
      </c>
      <c r="C224" s="156">
        <f t="shared" si="255"/>
        <v>0.91357575242459432</v>
      </c>
      <c r="D224" s="156">
        <f t="shared" si="255"/>
        <v>0.91521786608494793</v>
      </c>
      <c r="E224" s="156">
        <f t="shared" si="255"/>
        <v>0.91473416383776396</v>
      </c>
      <c r="F224" s="156">
        <f t="shared" si="255"/>
        <v>0.91502548318653787</v>
      </c>
      <c r="G224" s="156">
        <f t="shared" si="255"/>
        <v>0.91429162244400752</v>
      </c>
      <c r="H224" s="156">
        <f t="shared" si="255"/>
        <v>0.9155156098570828</v>
      </c>
      <c r="I224" s="156">
        <f t="shared" si="255"/>
        <v>0.91829585567339911</v>
      </c>
      <c r="J224" s="156">
        <f t="shared" si="255"/>
        <v>0.92014408258249902</v>
      </c>
      <c r="K224" s="156">
        <f t="shared" si="255"/>
        <v>0.92220243238236055</v>
      </c>
      <c r="L224" s="156">
        <f t="shared" ref="L224" si="256">IF(L6=0,0,L6/L$4)</f>
        <v>0.92312078012902332</v>
      </c>
      <c r="M224" s="156">
        <f t="shared" ref="M224:V224" si="257">IF(M6=0,0,M6/M$4)</f>
        <v>0.92320211947594644</v>
      </c>
      <c r="N224" s="156">
        <f t="shared" si="257"/>
        <v>0.92574041115656025</v>
      </c>
      <c r="O224" s="156">
        <f t="shared" si="257"/>
        <v>0.92476349696244664</v>
      </c>
      <c r="P224" s="156">
        <f t="shared" si="257"/>
        <v>0.92363429714604972</v>
      </c>
      <c r="Q224" s="156">
        <f t="shared" si="257"/>
        <v>0.92199980154085159</v>
      </c>
      <c r="R224" s="156">
        <f t="shared" si="257"/>
        <v>0.92374593721809217</v>
      </c>
      <c r="S224" s="156">
        <f t="shared" si="257"/>
        <v>0.92249456450642808</v>
      </c>
      <c r="T224" s="156">
        <f t="shared" si="257"/>
        <v>0.92316560356928012</v>
      </c>
      <c r="U224" s="156">
        <f t="shared" si="257"/>
        <v>0.92364153264889082</v>
      </c>
      <c r="V224" s="156">
        <f t="shared" si="257"/>
        <v>0.94501896041993882</v>
      </c>
      <c r="W224" s="156">
        <f t="shared" ref="W224:Y224" si="258">IF(W6=0,0,W6/W$4)</f>
        <v>0.94616305382098986</v>
      </c>
      <c r="X224" s="156">
        <f t="shared" si="258"/>
        <v>0.93551731088146339</v>
      </c>
      <c r="Y224" s="156">
        <f t="shared" si="258"/>
        <v>0.9311077751751875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0.68506015787915575</v>
      </c>
      <c r="C225" s="103">
        <f t="shared" si="259"/>
        <v>0.66151655741049498</v>
      </c>
      <c r="D225" s="103">
        <f t="shared" si="259"/>
        <v>0.64147799496801972</v>
      </c>
      <c r="E225" s="103">
        <f t="shared" si="259"/>
        <v>0.61663622705204513</v>
      </c>
      <c r="F225" s="103">
        <f t="shared" si="259"/>
        <v>0.5872818077116515</v>
      </c>
      <c r="G225" s="103">
        <f t="shared" si="259"/>
        <v>0.56551572674788009</v>
      </c>
      <c r="H225" s="103">
        <f t="shared" si="259"/>
        <v>0.55439776328074408</v>
      </c>
      <c r="I225" s="103">
        <f t="shared" si="259"/>
        <v>0.53799518500165477</v>
      </c>
      <c r="J225" s="103">
        <f t="shared" si="259"/>
        <v>0.53600064907444356</v>
      </c>
      <c r="K225" s="103">
        <f t="shared" si="259"/>
        <v>0.52312345208041355</v>
      </c>
      <c r="L225" s="103">
        <f t="shared" ref="L225" si="260">IF(L7=0,0,L7/L$4)</f>
        <v>0.51495335728289149</v>
      </c>
      <c r="M225" s="103">
        <f t="shared" ref="M225:V225" si="261">IF(M7=0,0,M7/M$4)</f>
        <v>0.50513563217027801</v>
      </c>
      <c r="N225" s="103">
        <f t="shared" si="261"/>
        <v>0.49182984141754443</v>
      </c>
      <c r="O225" s="103">
        <f t="shared" si="261"/>
        <v>0.47797468935526993</v>
      </c>
      <c r="P225" s="103">
        <f t="shared" si="261"/>
        <v>0.4613120528046063</v>
      </c>
      <c r="Q225" s="103">
        <f t="shared" si="261"/>
        <v>0.44751063615312958</v>
      </c>
      <c r="R225" s="103">
        <f t="shared" si="261"/>
        <v>0.43697812086103249</v>
      </c>
      <c r="S225" s="103">
        <f t="shared" si="261"/>
        <v>0.43532369523049463</v>
      </c>
      <c r="T225" s="103">
        <f t="shared" si="261"/>
        <v>0.43832477343194259</v>
      </c>
      <c r="U225" s="103">
        <f t="shared" si="261"/>
        <v>0.44174144446782904</v>
      </c>
      <c r="V225" s="103">
        <f t="shared" si="261"/>
        <v>0.46132882372080108</v>
      </c>
      <c r="W225" s="103">
        <f t="shared" ref="W225:Y225" si="262">IF(W7=0,0,W7/W$4)</f>
        <v>0.46096586116134508</v>
      </c>
      <c r="X225" s="103">
        <f t="shared" si="262"/>
        <v>0.45071961649892811</v>
      </c>
      <c r="Y225" s="103">
        <f t="shared" si="262"/>
        <v>0.44544934907434852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0.2246648886558637</v>
      </c>
      <c r="C226" s="103">
        <f t="shared" si="263"/>
        <v>0.25039180727596833</v>
      </c>
      <c r="D226" s="103">
        <f t="shared" si="263"/>
        <v>0.27173832662566955</v>
      </c>
      <c r="E226" s="103">
        <f t="shared" si="263"/>
        <v>0.2959755571224606</v>
      </c>
      <c r="F226" s="103">
        <f t="shared" si="263"/>
        <v>0.32499558796416028</v>
      </c>
      <c r="G226" s="103">
        <f t="shared" si="263"/>
        <v>0.34481682411355197</v>
      </c>
      <c r="H226" s="103">
        <f t="shared" si="263"/>
        <v>0.35547681398558345</v>
      </c>
      <c r="I226" s="103">
        <f t="shared" si="263"/>
        <v>0.37173169902525743</v>
      </c>
      <c r="J226" s="103">
        <f t="shared" si="263"/>
        <v>0.37469841775554324</v>
      </c>
      <c r="K226" s="103">
        <f t="shared" si="263"/>
        <v>0.38681581025146017</v>
      </c>
      <c r="L226" s="103">
        <f t="shared" ref="L226" si="264">IF(L8=0,0,L8/L$4)</f>
        <v>0.39462921557748631</v>
      </c>
      <c r="M226" s="103">
        <f t="shared" ref="M226:V226" si="265">IF(M8=0,0,M8/M$4)</f>
        <v>0.40359166452182532</v>
      </c>
      <c r="N226" s="103">
        <f t="shared" si="265"/>
        <v>0.41846404136867726</v>
      </c>
      <c r="O226" s="103">
        <f t="shared" si="265"/>
        <v>0.43112266245922165</v>
      </c>
      <c r="P226" s="103">
        <f t="shared" si="265"/>
        <v>0.44667590109558608</v>
      </c>
      <c r="Q226" s="103">
        <f t="shared" si="265"/>
        <v>0.45957629435392933</v>
      </c>
      <c r="R226" s="103">
        <f t="shared" si="265"/>
        <v>0.47232745309654578</v>
      </c>
      <c r="S226" s="103">
        <f t="shared" si="265"/>
        <v>0.47288543968242591</v>
      </c>
      <c r="T226" s="103">
        <f t="shared" si="265"/>
        <v>0.46994958272651827</v>
      </c>
      <c r="U226" s="103">
        <f t="shared" si="265"/>
        <v>0.46556912662443695</v>
      </c>
      <c r="V226" s="103">
        <f t="shared" si="265"/>
        <v>0.45952161623898324</v>
      </c>
      <c r="W226" s="103">
        <f t="shared" ref="W226:Y226" si="266">IF(W8=0,0,W8/W$4)</f>
        <v>0.44508306290129013</v>
      </c>
      <c r="X226" s="103">
        <f t="shared" si="266"/>
        <v>0.4327199825603964</v>
      </c>
      <c r="Y226" s="103">
        <f t="shared" si="266"/>
        <v>0.4216295206342176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1.7110360912590008E-3</v>
      </c>
      <c r="C227" s="103">
        <f t="shared" si="267"/>
        <v>1.667387738131035E-3</v>
      </c>
      <c r="D227" s="103">
        <f t="shared" si="267"/>
        <v>2.0015444912587334E-3</v>
      </c>
      <c r="E227" s="103">
        <f t="shared" si="267"/>
        <v>2.122379663258336E-3</v>
      </c>
      <c r="F227" s="103">
        <f t="shared" si="267"/>
        <v>2.7480875107261048E-3</v>
      </c>
      <c r="G227" s="103">
        <f t="shared" si="267"/>
        <v>2.9992235484291216E-3</v>
      </c>
      <c r="H227" s="103">
        <f t="shared" si="267"/>
        <v>4.5333601460714208E-3</v>
      </c>
      <c r="I227" s="103">
        <f t="shared" si="267"/>
        <v>7.4788111188529389E-3</v>
      </c>
      <c r="J227" s="103">
        <f t="shared" si="267"/>
        <v>8.3379005402216076E-3</v>
      </c>
      <c r="K227" s="103">
        <f t="shared" si="267"/>
        <v>9.9617107521837566E-3</v>
      </c>
      <c r="L227" s="103">
        <f t="shared" ref="L227" si="268">IF(L9=0,0,L9/L$4)</f>
        <v>1.1117289751301176E-2</v>
      </c>
      <c r="M227" s="103">
        <f t="shared" ref="M227:V227" si="269">IF(M9=0,0,M9/M$4)</f>
        <v>1.1889637656589744E-2</v>
      </c>
      <c r="N227" s="103">
        <f t="shared" si="269"/>
        <v>1.2711152502840432E-2</v>
      </c>
      <c r="O227" s="103">
        <f t="shared" si="269"/>
        <v>1.2656057503097014E-2</v>
      </c>
      <c r="P227" s="103">
        <f t="shared" si="269"/>
        <v>1.2389876637745783E-2</v>
      </c>
      <c r="Q227" s="103">
        <f t="shared" si="269"/>
        <v>1.1482638223344204E-2</v>
      </c>
      <c r="R227" s="103">
        <f t="shared" si="269"/>
        <v>1.0675072693695331E-2</v>
      </c>
      <c r="S227" s="103">
        <f t="shared" si="269"/>
        <v>9.8900778929517912E-3</v>
      </c>
      <c r="T227" s="103">
        <f t="shared" si="269"/>
        <v>9.1513092546879823E-3</v>
      </c>
      <c r="U227" s="103">
        <f t="shared" si="269"/>
        <v>8.4850541938492445E-3</v>
      </c>
      <c r="V227" s="103">
        <f t="shared" si="269"/>
        <v>8.256338423850644E-3</v>
      </c>
      <c r="W227" s="103">
        <f t="shared" ref="W227:Y227" si="270">IF(W9=0,0,W9/W$4)</f>
        <v>7.8887701511078951E-3</v>
      </c>
      <c r="X227" s="103">
        <f t="shared" si="270"/>
        <v>7.6286784784837195E-3</v>
      </c>
      <c r="Y227" s="103">
        <f t="shared" si="270"/>
        <v>7.6807327157522734E-3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9.5984803414630874E-4</v>
      </c>
      <c r="H228" s="103">
        <f t="shared" si="271"/>
        <v>1.1070851041398919E-3</v>
      </c>
      <c r="I228" s="103">
        <f t="shared" si="271"/>
        <v>1.089337534209254E-3</v>
      </c>
      <c r="J228" s="103">
        <f t="shared" si="271"/>
        <v>1.0657247436034304E-3</v>
      </c>
      <c r="K228" s="103">
        <f t="shared" si="271"/>
        <v>2.2509582753591842E-3</v>
      </c>
      <c r="L228" s="103">
        <f t="shared" ref="L228" si="272">IF(L10=0,0,L10/L$4)</f>
        <v>2.3467791486901043E-3</v>
      </c>
      <c r="M228" s="103">
        <f t="shared" ref="M228:V228" si="273">IF(M10=0,0,M10/M$4)</f>
        <v>2.4387825680229577E-3</v>
      </c>
      <c r="N228" s="103">
        <f t="shared" si="273"/>
        <v>2.485598771146345E-3</v>
      </c>
      <c r="O228" s="103">
        <f t="shared" si="273"/>
        <v>2.5855703685643706E-3</v>
      </c>
      <c r="P228" s="103">
        <f t="shared" si="273"/>
        <v>2.5903171111735556E-3</v>
      </c>
      <c r="Q228" s="103">
        <f t="shared" si="273"/>
        <v>2.4110696485376499E-3</v>
      </c>
      <c r="R228" s="103">
        <f t="shared" si="273"/>
        <v>2.3335045318643426E-3</v>
      </c>
      <c r="S228" s="103">
        <f t="shared" si="273"/>
        <v>2.2926242895350804E-3</v>
      </c>
      <c r="T228" s="103">
        <f t="shared" si="273"/>
        <v>2.4666885206922409E-3</v>
      </c>
      <c r="U228" s="103">
        <f t="shared" si="273"/>
        <v>2.5747402096103623E-3</v>
      </c>
      <c r="V228" s="103">
        <f t="shared" si="273"/>
        <v>2.6219245319506592E-3</v>
      </c>
      <c r="W228" s="103">
        <f t="shared" ref="W228:Y228" si="274">IF(W10=0,0,W10/W$4)</f>
        <v>2.5600555039302078E-3</v>
      </c>
      <c r="X228" s="103">
        <f t="shared" si="274"/>
        <v>2.499861292021891E-3</v>
      </c>
      <c r="Y228" s="103">
        <f t="shared" si="274"/>
        <v>2.5530725049861822E-3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4.5167194087513923E-6</v>
      </c>
      <c r="N229" s="103">
        <f t="shared" si="277"/>
        <v>2.2192797302662447E-5</v>
      </c>
      <c r="O229" s="103">
        <f t="shared" si="277"/>
        <v>5.0150045021490902E-5</v>
      </c>
      <c r="P229" s="103">
        <f t="shared" si="277"/>
        <v>1.1479464276587209E-4</v>
      </c>
      <c r="Q229" s="103">
        <f t="shared" si="277"/>
        <v>2.7715746963796989E-4</v>
      </c>
      <c r="R229" s="103">
        <f t="shared" si="277"/>
        <v>4.8109152429664479E-4</v>
      </c>
      <c r="S229" s="103">
        <f t="shared" si="277"/>
        <v>6.5374713358354645E-4</v>
      </c>
      <c r="T229" s="103">
        <f t="shared" si="277"/>
        <v>9.712840552080624E-4</v>
      </c>
      <c r="U229" s="103">
        <f t="shared" si="277"/>
        <v>1.6041965888332831E-3</v>
      </c>
      <c r="V229" s="103">
        <f t="shared" si="277"/>
        <v>4.28197012827412E-3</v>
      </c>
      <c r="W229" s="103">
        <f t="shared" ref="W229:Y229" si="278">IF(W11=0,0,W11/W$4)</f>
        <v>9.1817026973625097E-3</v>
      </c>
      <c r="X229" s="103">
        <f t="shared" si="278"/>
        <v>1.3689104870893341E-2</v>
      </c>
      <c r="Y229" s="103">
        <f t="shared" si="278"/>
        <v>1.4974860711337487E-2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5.8734054398972981E-7</v>
      </c>
      <c r="I230" s="103">
        <f t="shared" si="279"/>
        <v>8.2299342472127933E-7</v>
      </c>
      <c r="J230" s="103">
        <f t="shared" si="279"/>
        <v>4.1390468687115243E-5</v>
      </c>
      <c r="K230" s="103">
        <f t="shared" si="279"/>
        <v>5.0501022943820187E-5</v>
      </c>
      <c r="L230" s="103">
        <f t="shared" ref="L230" si="280">IF(L12=0,0,L12/L$4)</f>
        <v>7.4138368654180642E-5</v>
      </c>
      <c r="M230" s="103">
        <f t="shared" ref="M230:V230" si="281">IF(M12=0,0,M12/M$4)</f>
        <v>1.4188583982169622E-4</v>
      </c>
      <c r="N230" s="103">
        <f t="shared" si="281"/>
        <v>2.2758429904908098E-4</v>
      </c>
      <c r="O230" s="103">
        <f t="shared" si="281"/>
        <v>3.7436723127209784E-4</v>
      </c>
      <c r="P230" s="103">
        <f t="shared" si="281"/>
        <v>5.5135485417202726E-4</v>
      </c>
      <c r="Q230" s="103">
        <f t="shared" si="281"/>
        <v>7.4200569227291413E-4</v>
      </c>
      <c r="R230" s="103">
        <f t="shared" si="281"/>
        <v>9.506945106576727E-4</v>
      </c>
      <c r="S230" s="103">
        <f t="shared" si="281"/>
        <v>1.4489802774370422E-3</v>
      </c>
      <c r="T230" s="103">
        <f t="shared" si="281"/>
        <v>2.3019655802309917E-3</v>
      </c>
      <c r="U230" s="103">
        <f t="shared" si="281"/>
        <v>3.6669705643319317E-3</v>
      </c>
      <c r="V230" s="103">
        <f t="shared" si="281"/>
        <v>9.0082873760791403E-3</v>
      </c>
      <c r="W230" s="103">
        <f t="shared" ref="W230:Y230" si="282">IF(W12=0,0,W12/W$4)</f>
        <v>2.0483601405953976E-2</v>
      </c>
      <c r="X230" s="103">
        <f t="shared" si="282"/>
        <v>2.8260067180739992E-2</v>
      </c>
      <c r="Y230" s="103">
        <f t="shared" si="282"/>
        <v>3.8820239534545713E-2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7.5654541965456984E-2</v>
      </c>
      <c r="C231" s="156">
        <f t="shared" si="283"/>
        <v>7.3610705117236497E-2</v>
      </c>
      <c r="D231" s="156">
        <f t="shared" si="283"/>
        <v>7.158532626880125E-2</v>
      </c>
      <c r="E231" s="156">
        <f t="shared" si="283"/>
        <v>7.1985501435230734E-2</v>
      </c>
      <c r="F231" s="156">
        <f t="shared" si="283"/>
        <v>7.142602649277198E-2</v>
      </c>
      <c r="G231" s="156">
        <f t="shared" si="283"/>
        <v>7.1555623380703176E-2</v>
      </c>
      <c r="H231" s="156">
        <f t="shared" si="283"/>
        <v>7.0184779275989165E-2</v>
      </c>
      <c r="I231" s="156">
        <f t="shared" si="283"/>
        <v>6.9293090627936621E-2</v>
      </c>
      <c r="J231" s="156">
        <f t="shared" si="283"/>
        <v>6.7154736792099282E-2</v>
      </c>
      <c r="K231" s="156">
        <f t="shared" si="283"/>
        <v>6.4993762846041817E-2</v>
      </c>
      <c r="L231" s="156">
        <f t="shared" ref="L231" si="284">IF(L13=0,0,L13/L$4)</f>
        <v>6.4282301269706174E-2</v>
      </c>
      <c r="M231" s="156">
        <f t="shared" ref="M231:V231" si="285">IF(M13=0,0,M13/M$4)</f>
        <v>6.3377247468496337E-2</v>
      </c>
      <c r="N231" s="156">
        <f t="shared" si="285"/>
        <v>6.1351088277027427E-2</v>
      </c>
      <c r="O231" s="156">
        <f t="shared" si="285"/>
        <v>6.1951269589445267E-2</v>
      </c>
      <c r="P231" s="156">
        <f t="shared" si="285"/>
        <v>6.2691022787521047E-2</v>
      </c>
      <c r="Q231" s="156">
        <f t="shared" si="285"/>
        <v>6.4748853376817073E-2</v>
      </c>
      <c r="R231" s="156">
        <f t="shared" si="285"/>
        <v>6.2865093899234004E-2</v>
      </c>
      <c r="S231" s="156">
        <f t="shared" si="285"/>
        <v>6.4226256301271878E-2</v>
      </c>
      <c r="T231" s="156">
        <f t="shared" si="285"/>
        <v>6.4208602518450925E-2</v>
      </c>
      <c r="U231" s="156">
        <f t="shared" si="285"/>
        <v>6.2729033848190799E-2</v>
      </c>
      <c r="V231" s="156">
        <f t="shared" si="285"/>
        <v>4.0909911706490866E-2</v>
      </c>
      <c r="W231" s="156">
        <f t="shared" ref="W231:Y231" si="286">IF(W13=0,0,W13/W$4)</f>
        <v>3.9437832963980991E-2</v>
      </c>
      <c r="X231" s="156">
        <f t="shared" si="286"/>
        <v>5.053880951326755E-2</v>
      </c>
      <c r="Y231" s="156">
        <f t="shared" si="286"/>
        <v>5.4124143485171868E-2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0</v>
      </c>
      <c r="C232" s="103">
        <f t="shared" si="287"/>
        <v>0</v>
      </c>
      <c r="D232" s="103">
        <f t="shared" si="287"/>
        <v>0</v>
      </c>
      <c r="E232" s="103">
        <f t="shared" si="287"/>
        <v>0</v>
      </c>
      <c r="F232" s="103">
        <f t="shared" si="287"/>
        <v>0</v>
      </c>
      <c r="G232" s="103">
        <f t="shared" si="287"/>
        <v>0</v>
      </c>
      <c r="H232" s="103">
        <f t="shared" si="287"/>
        <v>0</v>
      </c>
      <c r="I232" s="103">
        <f t="shared" si="287"/>
        <v>0</v>
      </c>
      <c r="J232" s="103">
        <f t="shared" si="287"/>
        <v>0</v>
      </c>
      <c r="K232" s="103">
        <f t="shared" si="287"/>
        <v>0</v>
      </c>
      <c r="L232" s="103">
        <f t="shared" ref="L232" si="288">IF(L14=0,0,L14/L$4)</f>
        <v>0</v>
      </c>
      <c r="M232" s="103">
        <f t="shared" ref="M232:V232" si="289">IF(M14=0,0,M14/M$4)</f>
        <v>0</v>
      </c>
      <c r="N232" s="103">
        <f t="shared" si="289"/>
        <v>0</v>
      </c>
      <c r="O232" s="103">
        <f t="shared" si="289"/>
        <v>0</v>
      </c>
      <c r="P232" s="103">
        <f t="shared" si="289"/>
        <v>0</v>
      </c>
      <c r="Q232" s="103">
        <f t="shared" si="289"/>
        <v>0</v>
      </c>
      <c r="R232" s="103">
        <f t="shared" si="289"/>
        <v>0</v>
      </c>
      <c r="S232" s="103">
        <f t="shared" si="289"/>
        <v>0</v>
      </c>
      <c r="T232" s="103">
        <f t="shared" si="289"/>
        <v>0</v>
      </c>
      <c r="U232" s="103">
        <f t="shared" si="289"/>
        <v>0</v>
      </c>
      <c r="V232" s="103">
        <f t="shared" si="289"/>
        <v>0</v>
      </c>
      <c r="W232" s="103">
        <f t="shared" ref="W232:Y232" si="290">IF(W14=0,0,W14/W$4)</f>
        <v>0</v>
      </c>
      <c r="X232" s="103">
        <f t="shared" si="290"/>
        <v>0</v>
      </c>
      <c r="Y232" s="103">
        <f t="shared" si="290"/>
        <v>0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7.4789242179085044E-2</v>
      </c>
      <c r="C233" s="103">
        <f t="shared" si="291"/>
        <v>7.245618252531863E-2</v>
      </c>
      <c r="D233" s="103">
        <f t="shared" si="291"/>
        <v>7.0086902311585139E-2</v>
      </c>
      <c r="E233" s="103">
        <f t="shared" si="291"/>
        <v>7.0181746711801593E-2</v>
      </c>
      <c r="F233" s="103">
        <f t="shared" si="291"/>
        <v>6.9668698610250435E-2</v>
      </c>
      <c r="G233" s="103">
        <f t="shared" si="291"/>
        <v>7.0029683594801481E-2</v>
      </c>
      <c r="H233" s="103">
        <f t="shared" si="291"/>
        <v>6.8267893018292586E-2</v>
      </c>
      <c r="I233" s="103">
        <f t="shared" si="291"/>
        <v>6.738997421948606E-2</v>
      </c>
      <c r="J233" s="103">
        <f t="shared" si="291"/>
        <v>6.5802349149683595E-2</v>
      </c>
      <c r="K233" s="103">
        <f t="shared" si="291"/>
        <v>6.3499049200490931E-2</v>
      </c>
      <c r="L233" s="103">
        <f t="shared" ref="L233" si="292">IF(L15=0,0,L15/L$4)</f>
        <v>6.2799588517167729E-2</v>
      </c>
      <c r="M233" s="103">
        <f t="shared" ref="M233:V233" si="293">IF(M15=0,0,M15/M$4)</f>
        <v>6.2076476280773542E-2</v>
      </c>
      <c r="N233" s="103">
        <f t="shared" si="293"/>
        <v>6.0079996713948342E-2</v>
      </c>
      <c r="O233" s="103">
        <f t="shared" si="293"/>
        <v>6.0596345036445225E-2</v>
      </c>
      <c r="P233" s="103">
        <f t="shared" si="293"/>
        <v>6.1498689684033284E-2</v>
      </c>
      <c r="Q233" s="103">
        <f t="shared" si="293"/>
        <v>6.3875961302959569E-2</v>
      </c>
      <c r="R233" s="103">
        <f t="shared" si="293"/>
        <v>6.1877177411930127E-2</v>
      </c>
      <c r="S233" s="103">
        <f t="shared" si="293"/>
        <v>6.3055665568710909E-2</v>
      </c>
      <c r="T233" s="103">
        <f t="shared" si="293"/>
        <v>6.3043257053258764E-2</v>
      </c>
      <c r="U233" s="103">
        <f t="shared" si="293"/>
        <v>6.1491151536409834E-2</v>
      </c>
      <c r="V233" s="103">
        <f t="shared" si="293"/>
        <v>3.995408489469824E-2</v>
      </c>
      <c r="W233" s="103">
        <f t="shared" ref="W233:Y233" si="294">IF(W15=0,0,W15/W$4)</f>
        <v>3.8369419217782579E-2</v>
      </c>
      <c r="X233" s="103">
        <f t="shared" si="294"/>
        <v>4.8947503979475011E-2</v>
      </c>
      <c r="Y233" s="103">
        <f t="shared" si="294"/>
        <v>5.2093231727353743E-2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0</v>
      </c>
      <c r="C234" s="103">
        <f t="shared" si="295"/>
        <v>0</v>
      </c>
      <c r="D234" s="103">
        <f t="shared" si="295"/>
        <v>0</v>
      </c>
      <c r="E234" s="103">
        <f t="shared" si="295"/>
        <v>0</v>
      </c>
      <c r="F234" s="103">
        <f t="shared" si="295"/>
        <v>4.4068535240013862E-6</v>
      </c>
      <c r="G234" s="103">
        <f t="shared" si="295"/>
        <v>4.5459001892434844E-6</v>
      </c>
      <c r="H234" s="103">
        <f t="shared" si="295"/>
        <v>4.5285144060374802E-6</v>
      </c>
      <c r="I234" s="103">
        <f t="shared" si="295"/>
        <v>6.045508185121381E-6</v>
      </c>
      <c r="J234" s="103">
        <f t="shared" si="295"/>
        <v>8.3443530747973434E-6</v>
      </c>
      <c r="K234" s="103">
        <f t="shared" si="295"/>
        <v>1.0369104084031701E-5</v>
      </c>
      <c r="L234" s="103">
        <f t="shared" ref="L234" si="296">IF(L16=0,0,L16/L$4)</f>
        <v>1.0599103128701003E-5</v>
      </c>
      <c r="M234" s="103">
        <f t="shared" ref="M234:V234" si="297">IF(M16=0,0,M16/M$4)</f>
        <v>9.6790801431360766E-6</v>
      </c>
      <c r="N234" s="103">
        <f t="shared" si="297"/>
        <v>8.6694034328617003E-6</v>
      </c>
      <c r="O234" s="103">
        <f t="shared" si="297"/>
        <v>8.0322301590191156E-6</v>
      </c>
      <c r="P234" s="103">
        <f t="shared" si="297"/>
        <v>7.798616817426529E-6</v>
      </c>
      <c r="Q234" s="103">
        <f t="shared" si="297"/>
        <v>7.8000814255052593E-6</v>
      </c>
      <c r="R234" s="103">
        <f t="shared" si="297"/>
        <v>7.4486711554334886E-6</v>
      </c>
      <c r="S234" s="103">
        <f t="shared" si="297"/>
        <v>7.123831812904832E-6</v>
      </c>
      <c r="T234" s="103">
        <f t="shared" si="297"/>
        <v>6.9498458188734544E-6</v>
      </c>
      <c r="U234" s="103">
        <f t="shared" si="297"/>
        <v>7.1641123658660281E-6</v>
      </c>
      <c r="V234" s="103">
        <f t="shared" si="297"/>
        <v>4.2503952358368683E-6</v>
      </c>
      <c r="W234" s="103">
        <f t="shared" ref="W234:Y234" si="298">IF(W16=0,0,W16/W$4)</f>
        <v>4.1646409339374995E-6</v>
      </c>
      <c r="X234" s="103">
        <f t="shared" si="298"/>
        <v>4.0910330920183328E-6</v>
      </c>
      <c r="Y234" s="103">
        <f t="shared" si="298"/>
        <v>2.657526840443146E-6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7.8316794919876991E-4</v>
      </c>
      <c r="C235" s="103">
        <f t="shared" si="299"/>
        <v>1.0642947616420627E-3</v>
      </c>
      <c r="D235" s="103">
        <f t="shared" si="299"/>
        <v>1.3946496335556281E-3</v>
      </c>
      <c r="E235" s="103">
        <f t="shared" si="299"/>
        <v>1.7053944796001446E-3</v>
      </c>
      <c r="F235" s="103">
        <f t="shared" si="299"/>
        <v>1.6638698845598957E-3</v>
      </c>
      <c r="G235" s="103">
        <f t="shared" si="299"/>
        <v>1.437832004506127E-3</v>
      </c>
      <c r="H235" s="103">
        <f t="shared" si="299"/>
        <v>1.8385769559085803E-3</v>
      </c>
      <c r="I235" s="103">
        <f t="shared" si="299"/>
        <v>1.8256689544334003E-3</v>
      </c>
      <c r="J235" s="103">
        <f t="shared" si="299"/>
        <v>1.2719877499269619E-3</v>
      </c>
      <c r="K235" s="103">
        <f t="shared" si="299"/>
        <v>1.4140492304512541E-3</v>
      </c>
      <c r="L235" s="103">
        <f t="shared" ref="L235" si="300">IF(L17=0,0,L17/L$4)</f>
        <v>1.4088743575539145E-3</v>
      </c>
      <c r="M235" s="103">
        <f t="shared" ref="M235:V235" si="301">IF(M17=0,0,M17/M$4)</f>
        <v>1.2281562626793863E-3</v>
      </c>
      <c r="N235" s="103">
        <f t="shared" si="301"/>
        <v>1.2038634300993068E-3</v>
      </c>
      <c r="O235" s="103">
        <f t="shared" si="301"/>
        <v>1.2895496524122426E-3</v>
      </c>
      <c r="P235" s="103">
        <f t="shared" si="301"/>
        <v>1.1182458309074927E-3</v>
      </c>
      <c r="Q235" s="103">
        <f t="shared" si="301"/>
        <v>7.8664592900168178E-4</v>
      </c>
      <c r="R235" s="103">
        <f t="shared" si="301"/>
        <v>8.9000855711358136E-4</v>
      </c>
      <c r="S235" s="103">
        <f t="shared" si="301"/>
        <v>1.0620184425657025E-3</v>
      </c>
      <c r="T235" s="103">
        <f t="shared" si="301"/>
        <v>1.0323634674100834E-3</v>
      </c>
      <c r="U235" s="103">
        <f t="shared" si="301"/>
        <v>1.0200508462758725E-3</v>
      </c>
      <c r="V235" s="103">
        <f t="shared" si="301"/>
        <v>6.7046869294148394E-4</v>
      </c>
      <c r="W235" s="103">
        <f t="shared" ref="W235:Y235" si="302">IF(W17=0,0,W17/W$4)</f>
        <v>5.7646681326623851E-4</v>
      </c>
      <c r="X235" s="103">
        <f t="shared" si="302"/>
        <v>7.1013107418496277E-4</v>
      </c>
      <c r="Y235" s="103">
        <f t="shared" si="302"/>
        <v>7.4180721472086179E-4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8.213183717317882E-5</v>
      </c>
      <c r="C236" s="103">
        <f t="shared" si="303"/>
        <v>9.022783027579991E-5</v>
      </c>
      <c r="D236" s="103">
        <f t="shared" si="303"/>
        <v>1.0377432366048666E-4</v>
      </c>
      <c r="E236" s="103">
        <f t="shared" si="303"/>
        <v>9.836024382898699E-5</v>
      </c>
      <c r="F236" s="103">
        <f t="shared" si="303"/>
        <v>8.9051144437640462E-5</v>
      </c>
      <c r="G236" s="103">
        <f t="shared" si="303"/>
        <v>8.3561881206321747E-5</v>
      </c>
      <c r="H236" s="103">
        <f t="shared" si="303"/>
        <v>7.378078738195311E-5</v>
      </c>
      <c r="I236" s="103">
        <f t="shared" si="303"/>
        <v>7.1401945832044416E-5</v>
      </c>
      <c r="J236" s="103">
        <f t="shared" si="303"/>
        <v>7.205553941392752E-5</v>
      </c>
      <c r="K236" s="103">
        <f t="shared" si="303"/>
        <v>7.0295311015591906E-5</v>
      </c>
      <c r="L236" s="103">
        <f t="shared" ref="L236" si="304">IF(L18=0,0,L18/L$4)</f>
        <v>6.3239291855835176E-5</v>
      </c>
      <c r="M236" s="103">
        <f t="shared" ref="M236:V236" si="305">IF(M18=0,0,M18/M$4)</f>
        <v>6.2935844900258582E-5</v>
      </c>
      <c r="N236" s="103">
        <f t="shared" si="305"/>
        <v>5.8558729546912218E-5</v>
      </c>
      <c r="O236" s="103">
        <f t="shared" si="305"/>
        <v>5.7342670428779727E-5</v>
      </c>
      <c r="P236" s="103">
        <f t="shared" si="305"/>
        <v>6.6288655762840377E-5</v>
      </c>
      <c r="Q236" s="103">
        <f t="shared" si="305"/>
        <v>7.8446063430325243E-5</v>
      </c>
      <c r="R236" s="103">
        <f t="shared" si="305"/>
        <v>9.0459259034871226E-5</v>
      </c>
      <c r="S236" s="103">
        <f t="shared" si="305"/>
        <v>1.0144845818235341E-4</v>
      </c>
      <c r="T236" s="103">
        <f t="shared" si="305"/>
        <v>1.2603215196320023E-4</v>
      </c>
      <c r="U236" s="103">
        <f t="shared" si="305"/>
        <v>2.1066735313921735E-4</v>
      </c>
      <c r="V236" s="103">
        <f t="shared" si="305"/>
        <v>2.8110772361530212E-4</v>
      </c>
      <c r="W236" s="103">
        <f t="shared" ref="W236:Y236" si="306">IF(W18=0,0,W18/W$4)</f>
        <v>4.8778229199823232E-4</v>
      </c>
      <c r="X236" s="103">
        <f t="shared" si="306"/>
        <v>8.7708342651556339E-4</v>
      </c>
      <c r="Y236" s="103">
        <f t="shared" si="306"/>
        <v>1.2864470162568206E-3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4.0131083173304265E-2</v>
      </c>
      <c r="C238" s="154">
        <f t="shared" si="311"/>
        <v>4.1268818769814843E-2</v>
      </c>
      <c r="D238" s="154">
        <f t="shared" si="311"/>
        <v>4.1467906982570385E-2</v>
      </c>
      <c r="E238" s="154">
        <f t="shared" si="311"/>
        <v>4.2363287815671259E-2</v>
      </c>
      <c r="F238" s="154">
        <f t="shared" si="311"/>
        <v>3.9147065850267629E-2</v>
      </c>
      <c r="G238" s="154">
        <f t="shared" si="311"/>
        <v>3.8442341135509858E-2</v>
      </c>
      <c r="H238" s="154">
        <f t="shared" si="311"/>
        <v>3.5949383550192615E-2</v>
      </c>
      <c r="I238" s="154">
        <f t="shared" si="311"/>
        <v>3.3988411934908765E-2</v>
      </c>
      <c r="J238" s="154">
        <f t="shared" si="311"/>
        <v>3.2974075131309386E-2</v>
      </c>
      <c r="K238" s="154">
        <f t="shared" si="311"/>
        <v>3.6330590627779234E-2</v>
      </c>
      <c r="L238" s="154">
        <f t="shared" ref="L238" si="312">IF(L20=0,0,L20/L$19)</f>
        <v>3.4043644942596749E-2</v>
      </c>
      <c r="M238" s="154">
        <f t="shared" ref="M238:V238" si="313">IF(M20=0,0,M20/M$19)</f>
        <v>3.3606918849641607E-2</v>
      </c>
      <c r="N238" s="154">
        <f t="shared" si="313"/>
        <v>3.3984841896378994E-2</v>
      </c>
      <c r="O238" s="154">
        <f t="shared" si="313"/>
        <v>3.4748134086938748E-2</v>
      </c>
      <c r="P238" s="154">
        <f t="shared" si="313"/>
        <v>3.5287192885730428E-2</v>
      </c>
      <c r="Q238" s="154">
        <f t="shared" si="313"/>
        <v>3.8543340625107732E-2</v>
      </c>
      <c r="R238" s="154">
        <f t="shared" si="313"/>
        <v>3.9762379475042388E-2</v>
      </c>
      <c r="S238" s="154">
        <f t="shared" si="313"/>
        <v>3.9637164889856635E-2</v>
      </c>
      <c r="T238" s="154">
        <f t="shared" si="313"/>
        <v>3.9119640248154355E-2</v>
      </c>
      <c r="U238" s="154">
        <f t="shared" si="313"/>
        <v>4.0630191212895427E-2</v>
      </c>
      <c r="V238" s="154">
        <f t="shared" si="313"/>
        <v>3.9324378620592779E-2</v>
      </c>
      <c r="W238" s="154">
        <f t="shared" ref="W238:Y238" si="314">IF(W20=0,0,W20/W$19)</f>
        <v>4.0035746912720112E-2</v>
      </c>
      <c r="X238" s="154">
        <f t="shared" si="314"/>
        <v>4.1721229615315748E-2</v>
      </c>
      <c r="Y238" s="154">
        <f t="shared" si="314"/>
        <v>4.4506330853370427E-2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3.3737271311867199E-3</v>
      </c>
      <c r="C239" s="103">
        <f t="shared" si="315"/>
        <v>3.0955114742250169E-3</v>
      </c>
      <c r="D239" s="103">
        <f t="shared" si="315"/>
        <v>2.9171557576557956E-3</v>
      </c>
      <c r="E239" s="103">
        <f t="shared" si="315"/>
        <v>2.6236742267515124E-3</v>
      </c>
      <c r="F239" s="103">
        <f t="shared" si="315"/>
        <v>2.2632687955417901E-3</v>
      </c>
      <c r="G239" s="103">
        <f t="shared" si="315"/>
        <v>2.0234804729006182E-3</v>
      </c>
      <c r="H239" s="103">
        <f t="shared" si="315"/>
        <v>1.7307844906364628E-3</v>
      </c>
      <c r="I239" s="103">
        <f t="shared" si="315"/>
        <v>1.5992614697128251E-3</v>
      </c>
      <c r="J239" s="103">
        <f t="shared" si="315"/>
        <v>1.418388140314744E-3</v>
      </c>
      <c r="K239" s="103">
        <f t="shared" si="315"/>
        <v>1.460444928538065E-3</v>
      </c>
      <c r="L239" s="103">
        <f t="shared" ref="L239" si="316">IF(L21=0,0,L21/L$19)</f>
        <v>1.318900099683297E-3</v>
      </c>
      <c r="M239" s="103">
        <f t="shared" ref="M239:V239" si="317">IF(M21=0,0,M21/M$19)</f>
        <v>1.2501847912689966E-3</v>
      </c>
      <c r="N239" s="103">
        <f t="shared" si="317"/>
        <v>1.2014612615562428E-3</v>
      </c>
      <c r="O239" s="103">
        <f t="shared" si="317"/>
        <v>1.1552205116646382E-3</v>
      </c>
      <c r="P239" s="103">
        <f t="shared" si="317"/>
        <v>1.124770098237063E-3</v>
      </c>
      <c r="Q239" s="103">
        <f t="shared" si="317"/>
        <v>1.0852591080691735E-3</v>
      </c>
      <c r="R239" s="103">
        <f t="shared" si="317"/>
        <v>1.1104487182701859E-3</v>
      </c>
      <c r="S239" s="103">
        <f t="shared" si="317"/>
        <v>1.1360061831250765E-3</v>
      </c>
      <c r="T239" s="103">
        <f t="shared" si="317"/>
        <v>1.1548553113990233E-3</v>
      </c>
      <c r="U239" s="103">
        <f t="shared" si="317"/>
        <v>1.1627054858325044E-3</v>
      </c>
      <c r="V239" s="103">
        <f t="shared" si="317"/>
        <v>1.1586907465748824E-3</v>
      </c>
      <c r="W239" s="103">
        <f t="shared" ref="W239:Y239" si="318">IF(W21=0,0,W21/W$19)</f>
        <v>1.2415779891990369E-3</v>
      </c>
      <c r="X239" s="103">
        <f t="shared" si="318"/>
        <v>1.3101732577950674E-3</v>
      </c>
      <c r="Y239" s="103">
        <f t="shared" si="318"/>
        <v>1.3356266995954674E-3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3.6745994635603525E-2</v>
      </c>
      <c r="C240" s="103">
        <f t="shared" si="319"/>
        <v>3.8162420761613622E-2</v>
      </c>
      <c r="D240" s="103">
        <f t="shared" si="319"/>
        <v>3.8540324115290105E-2</v>
      </c>
      <c r="E240" s="103">
        <f t="shared" si="319"/>
        <v>3.9729974914066123E-2</v>
      </c>
      <c r="F240" s="103">
        <f t="shared" si="319"/>
        <v>3.6875157315428599E-2</v>
      </c>
      <c r="G240" s="103">
        <f t="shared" si="319"/>
        <v>3.6411092538380083E-2</v>
      </c>
      <c r="H240" s="103">
        <f t="shared" si="319"/>
        <v>3.4066774186571384E-2</v>
      </c>
      <c r="I240" s="103">
        <f t="shared" si="319"/>
        <v>3.220904034135072E-2</v>
      </c>
      <c r="J240" s="103">
        <f t="shared" si="319"/>
        <v>3.1326167676105264E-2</v>
      </c>
      <c r="K240" s="103">
        <f t="shared" si="319"/>
        <v>3.4589342942615543E-2</v>
      </c>
      <c r="L240" s="103">
        <f t="shared" ref="L240" si="320">IF(L22=0,0,L22/L$19)</f>
        <v>3.2435064114161312E-2</v>
      </c>
      <c r="M240" s="103">
        <f t="shared" ref="M240:V240" si="321">IF(M22=0,0,M22/M$19)</f>
        <v>3.2072931133204759E-2</v>
      </c>
      <c r="N240" s="103">
        <f t="shared" si="321"/>
        <v>3.2488858551987805E-2</v>
      </c>
      <c r="O240" s="103">
        <f t="shared" si="321"/>
        <v>3.3306205826577555E-2</v>
      </c>
      <c r="P240" s="103">
        <f t="shared" si="321"/>
        <v>3.3867322400459893E-2</v>
      </c>
      <c r="Q240" s="103">
        <f t="shared" si="321"/>
        <v>3.7166337285148385E-2</v>
      </c>
      <c r="R240" s="103">
        <f t="shared" si="321"/>
        <v>3.8335850284690803E-2</v>
      </c>
      <c r="S240" s="103">
        <f t="shared" si="321"/>
        <v>3.8133714646158785E-2</v>
      </c>
      <c r="T240" s="103">
        <f t="shared" si="321"/>
        <v>3.7557384720114606E-2</v>
      </c>
      <c r="U240" s="103">
        <f t="shared" si="321"/>
        <v>3.9022457483115974E-2</v>
      </c>
      <c r="V240" s="103">
        <f t="shared" si="321"/>
        <v>3.7695739210771954E-2</v>
      </c>
      <c r="W240" s="103">
        <f t="shared" ref="W240:Y240" si="322">IF(W22=0,0,W22/W$19)</f>
        <v>3.8178830212571374E-2</v>
      </c>
      <c r="X240" s="103">
        <f t="shared" si="322"/>
        <v>3.9627802952974252E-2</v>
      </c>
      <c r="Y240" s="103">
        <f t="shared" si="322"/>
        <v>4.2259899204856607E-2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0</v>
      </c>
      <c r="C241" s="103">
        <f t="shared" si="323"/>
        <v>0</v>
      </c>
      <c r="D241" s="103">
        <f t="shared" si="323"/>
        <v>0</v>
      </c>
      <c r="E241" s="103">
        <f t="shared" si="323"/>
        <v>0</v>
      </c>
      <c r="F241" s="103">
        <f t="shared" si="323"/>
        <v>0</v>
      </c>
      <c r="G241" s="103">
        <f t="shared" si="323"/>
        <v>0</v>
      </c>
      <c r="H241" s="103">
        <f t="shared" si="323"/>
        <v>2.2248416849519503E-5</v>
      </c>
      <c r="I241" s="103">
        <f t="shared" si="323"/>
        <v>3.1676949913924537E-5</v>
      </c>
      <c r="J241" s="103">
        <f t="shared" si="323"/>
        <v>6.0124047039300273E-5</v>
      </c>
      <c r="K241" s="103">
        <f t="shared" si="323"/>
        <v>8.3800626952021227E-5</v>
      </c>
      <c r="L241" s="103">
        <f t="shared" ref="L241" si="324">IF(L23=0,0,L23/L$19)</f>
        <v>9.2365750492500015E-5</v>
      </c>
      <c r="M241" s="103">
        <f t="shared" ref="M241:V241" si="325">IF(M23=0,0,M23/M$19)</f>
        <v>1.0141579568773051E-4</v>
      </c>
      <c r="N241" s="103">
        <f t="shared" si="325"/>
        <v>1.1628022560354045E-4</v>
      </c>
      <c r="O241" s="103">
        <f t="shared" si="325"/>
        <v>1.1999152625647203E-4</v>
      </c>
      <c r="P241" s="103">
        <f t="shared" si="325"/>
        <v>1.3024185227574817E-4</v>
      </c>
      <c r="Q241" s="103">
        <f t="shared" si="325"/>
        <v>1.3713327043992838E-4</v>
      </c>
      <c r="R241" s="103">
        <f t="shared" si="325"/>
        <v>1.3732890457189792E-4</v>
      </c>
      <c r="S241" s="103">
        <f t="shared" si="325"/>
        <v>1.38950656449454E-4</v>
      </c>
      <c r="T241" s="103">
        <f t="shared" si="325"/>
        <v>1.4085677413885257E-4</v>
      </c>
      <c r="U241" s="103">
        <f t="shared" si="325"/>
        <v>1.4586728909006489E-4</v>
      </c>
      <c r="V241" s="103">
        <f t="shared" si="325"/>
        <v>1.5078321210567906E-4</v>
      </c>
      <c r="W241" s="103">
        <f t="shared" ref="W241:Y241" si="326">IF(W23=0,0,W23/W$19)</f>
        <v>1.685513126554948E-4</v>
      </c>
      <c r="X241" s="103">
        <f t="shared" si="326"/>
        <v>1.8220203914517252E-4</v>
      </c>
      <c r="Y241" s="103">
        <f t="shared" si="326"/>
        <v>1.9141178492620533E-4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0</v>
      </c>
      <c r="F242" s="103">
        <f t="shared" si="327"/>
        <v>0</v>
      </c>
      <c r="G242" s="103">
        <f t="shared" si="327"/>
        <v>0</v>
      </c>
      <c r="H242" s="103">
        <f t="shared" si="327"/>
        <v>1.2292797835526483E-4</v>
      </c>
      <c r="I242" s="103">
        <f t="shared" si="327"/>
        <v>1.4289148370820402E-4</v>
      </c>
      <c r="J242" s="103">
        <f t="shared" si="327"/>
        <v>1.6374553858807903E-4</v>
      </c>
      <c r="K242" s="103">
        <f t="shared" si="327"/>
        <v>1.9029174384964224E-4</v>
      </c>
      <c r="L242" s="103">
        <f t="shared" ref="L242" si="328">IF(L24=0,0,L24/L$19)</f>
        <v>1.8874326670201465E-4</v>
      </c>
      <c r="M242" s="103">
        <f t="shared" ref="M242:V242" si="329">IF(M24=0,0,M24/M$19)</f>
        <v>1.7082412431336381E-4</v>
      </c>
      <c r="N242" s="103">
        <f t="shared" si="329"/>
        <v>1.5706527616229525E-4</v>
      </c>
      <c r="O242" s="103">
        <f t="shared" si="329"/>
        <v>1.4444827036680214E-4</v>
      </c>
      <c r="P242" s="103">
        <f t="shared" si="329"/>
        <v>1.3845584837891329E-4</v>
      </c>
      <c r="Q242" s="103">
        <f t="shared" si="329"/>
        <v>1.3160336534131628E-4</v>
      </c>
      <c r="R242" s="103">
        <f t="shared" si="329"/>
        <v>1.3432389111458603E-4</v>
      </c>
      <c r="S242" s="103">
        <f t="shared" si="329"/>
        <v>1.368106283640611E-4</v>
      </c>
      <c r="T242" s="103">
        <f t="shared" si="329"/>
        <v>1.3096509800983625E-4</v>
      </c>
      <c r="U242" s="103">
        <f t="shared" si="329"/>
        <v>1.2414620304273302E-4</v>
      </c>
      <c r="V242" s="103">
        <f t="shared" si="329"/>
        <v>1.1198574754861887E-4</v>
      </c>
      <c r="W242" s="103">
        <f t="shared" ref="W242:Y242" si="330">IF(W24=0,0,W24/W$19)</f>
        <v>1.034474629951562E-4</v>
      </c>
      <c r="X242" s="103">
        <f t="shared" si="330"/>
        <v>9.4208500622414281E-5</v>
      </c>
      <c r="Y242" s="103">
        <f t="shared" si="330"/>
        <v>8.3190768217877354E-5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1.136140651402032E-5</v>
      </c>
      <c r="C243" s="103">
        <f t="shared" si="331"/>
        <v>1.0886533976208923E-5</v>
      </c>
      <c r="D243" s="103">
        <f t="shared" si="331"/>
        <v>1.0427109624489374E-5</v>
      </c>
      <c r="E243" s="103">
        <f t="shared" si="331"/>
        <v>9.6386748536216763E-6</v>
      </c>
      <c r="F243" s="103">
        <f t="shared" si="331"/>
        <v>8.6397392972403305E-6</v>
      </c>
      <c r="G243" s="103">
        <f t="shared" si="331"/>
        <v>7.7681242291527547E-6</v>
      </c>
      <c r="H243" s="103">
        <f t="shared" si="331"/>
        <v>6.6484777799793462E-6</v>
      </c>
      <c r="I243" s="103">
        <f t="shared" si="331"/>
        <v>5.5416902230970374E-6</v>
      </c>
      <c r="J243" s="103">
        <f t="shared" si="331"/>
        <v>5.6497292619986133E-6</v>
      </c>
      <c r="K243" s="103">
        <f t="shared" si="331"/>
        <v>6.7103858239687915E-6</v>
      </c>
      <c r="L243" s="103">
        <f t="shared" ref="L243" si="332">IF(L25=0,0,L25/L$19)</f>
        <v>8.5717115576255481E-6</v>
      </c>
      <c r="M243" s="103">
        <f t="shared" ref="M243:V243" si="333">IF(M25=0,0,M25/M$19)</f>
        <v>1.1563005166759005E-5</v>
      </c>
      <c r="N243" s="103">
        <f t="shared" si="333"/>
        <v>2.1176581069108691E-5</v>
      </c>
      <c r="O243" s="103">
        <f t="shared" si="333"/>
        <v>2.2267952073285812E-5</v>
      </c>
      <c r="P243" s="103">
        <f t="shared" si="333"/>
        <v>2.6402686378808169E-5</v>
      </c>
      <c r="Q243" s="103">
        <f t="shared" si="333"/>
        <v>2.3007596108929456E-5</v>
      </c>
      <c r="R243" s="103">
        <f t="shared" si="333"/>
        <v>4.4427676394908318E-5</v>
      </c>
      <c r="S243" s="103">
        <f t="shared" si="333"/>
        <v>9.1682775759253406E-5</v>
      </c>
      <c r="T243" s="103">
        <f t="shared" si="333"/>
        <v>1.3557834449204028E-4</v>
      </c>
      <c r="U243" s="103">
        <f t="shared" si="333"/>
        <v>1.7501475181414146E-4</v>
      </c>
      <c r="V243" s="103">
        <f t="shared" si="333"/>
        <v>2.0717970359164926E-4</v>
      </c>
      <c r="W243" s="103">
        <f t="shared" ref="W243:Y243" si="334">IF(W25=0,0,W25/W$19)</f>
        <v>3.4333993529905377E-4</v>
      </c>
      <c r="X243" s="103">
        <f t="shared" si="334"/>
        <v>5.0684286477884377E-4</v>
      </c>
      <c r="Y243" s="103">
        <f t="shared" si="334"/>
        <v>6.3620239577426817E-4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0.95986891682669573</v>
      </c>
      <c r="C244" s="156">
        <f t="shared" si="335"/>
        <v>0.95873118123018519</v>
      </c>
      <c r="D244" s="156">
        <f t="shared" si="335"/>
        <v>0.95853209301742959</v>
      </c>
      <c r="E244" s="156">
        <f t="shared" si="335"/>
        <v>0.95763671218432878</v>
      </c>
      <c r="F244" s="156">
        <f t="shared" si="335"/>
        <v>0.96085293414973227</v>
      </c>
      <c r="G244" s="156">
        <f t="shared" si="335"/>
        <v>0.96155765886449007</v>
      </c>
      <c r="H244" s="156">
        <f t="shared" si="335"/>
        <v>0.96405061644980738</v>
      </c>
      <c r="I244" s="156">
        <f t="shared" si="335"/>
        <v>0.96601158806509113</v>
      </c>
      <c r="J244" s="156">
        <f t="shared" si="335"/>
        <v>0.96702592486869055</v>
      </c>
      <c r="K244" s="156">
        <f t="shared" si="335"/>
        <v>0.96366940937222068</v>
      </c>
      <c r="L244" s="156">
        <f t="shared" ref="L244" si="336">IF(L26=0,0,L26/L$19)</f>
        <v>0.96595635505740329</v>
      </c>
      <c r="M244" s="156">
        <f t="shared" ref="M244:V244" si="337">IF(M26=0,0,M26/M$19)</f>
        <v>0.96639308115035838</v>
      </c>
      <c r="N244" s="156">
        <f t="shared" si="337"/>
        <v>0.96601515810362093</v>
      </c>
      <c r="O244" s="156">
        <f t="shared" si="337"/>
        <v>0.96525186591306122</v>
      </c>
      <c r="P244" s="156">
        <f t="shared" si="337"/>
        <v>0.96471280711426965</v>
      </c>
      <c r="Q244" s="156">
        <f t="shared" si="337"/>
        <v>0.96145665937489222</v>
      </c>
      <c r="R244" s="156">
        <f t="shared" si="337"/>
        <v>0.96023762052495765</v>
      </c>
      <c r="S244" s="156">
        <f t="shared" si="337"/>
        <v>0.96036283511014331</v>
      </c>
      <c r="T244" s="156">
        <f t="shared" si="337"/>
        <v>0.9608803597518456</v>
      </c>
      <c r="U244" s="156">
        <f t="shared" si="337"/>
        <v>0.95936980878710465</v>
      </c>
      <c r="V244" s="156">
        <f t="shared" si="337"/>
        <v>0.96067562137940721</v>
      </c>
      <c r="W244" s="156">
        <f t="shared" ref="W244:Y244" si="338">IF(W26=0,0,W26/W$19)</f>
        <v>0.95996425308727984</v>
      </c>
      <c r="X244" s="156">
        <f t="shared" si="338"/>
        <v>0.95827877038468434</v>
      </c>
      <c r="Y244" s="156">
        <f t="shared" si="338"/>
        <v>0.95549366914662959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0.67389241152042823</v>
      </c>
      <c r="C245" s="103">
        <f t="shared" si="339"/>
        <v>0.66225278760166739</v>
      </c>
      <c r="D245" s="103">
        <f t="shared" si="339"/>
        <v>0.64607913068848333</v>
      </c>
      <c r="E245" s="103">
        <f t="shared" si="339"/>
        <v>0.64372250106898221</v>
      </c>
      <c r="F245" s="103">
        <f t="shared" si="339"/>
        <v>0.61847329268166884</v>
      </c>
      <c r="G245" s="103">
        <f t="shared" si="339"/>
        <v>0.6161942824698039</v>
      </c>
      <c r="H245" s="103">
        <f t="shared" si="339"/>
        <v>0.61435825895732932</v>
      </c>
      <c r="I245" s="103">
        <f t="shared" si="339"/>
        <v>0.61127521614875024</v>
      </c>
      <c r="J245" s="103">
        <f t="shared" si="339"/>
        <v>0.60912837767013406</v>
      </c>
      <c r="K245" s="103">
        <f t="shared" si="339"/>
        <v>0.61419626319348464</v>
      </c>
      <c r="L245" s="103">
        <f t="shared" ref="L245" si="340">IF(L27=0,0,L27/L$19)</f>
        <v>0.60226269116548092</v>
      </c>
      <c r="M245" s="103">
        <f t="shared" ref="M245:V245" si="341">IF(M27=0,0,M27/M$19)</f>
        <v>0.61335892945522419</v>
      </c>
      <c r="N245" s="103">
        <f t="shared" si="341"/>
        <v>0.60220523450676866</v>
      </c>
      <c r="O245" s="103">
        <f t="shared" si="341"/>
        <v>0.59484458092001691</v>
      </c>
      <c r="P245" s="103">
        <f t="shared" si="341"/>
        <v>0.59439021338688647</v>
      </c>
      <c r="Q245" s="103">
        <f t="shared" si="341"/>
        <v>0.59861094097137524</v>
      </c>
      <c r="R245" s="103">
        <f t="shared" si="341"/>
        <v>0.58336377340896672</v>
      </c>
      <c r="S245" s="103">
        <f t="shared" si="341"/>
        <v>0.56346990289403864</v>
      </c>
      <c r="T245" s="103">
        <f t="shared" si="341"/>
        <v>0.57864119673034697</v>
      </c>
      <c r="U245" s="103">
        <f t="shared" si="341"/>
        <v>0.56021041074678668</v>
      </c>
      <c r="V245" s="103">
        <f t="shared" si="341"/>
        <v>0.55597226740128003</v>
      </c>
      <c r="W245" s="103">
        <f t="shared" ref="W245:Y245" si="342">IF(W27=0,0,W27/W$19)</f>
        <v>0.54387210206259207</v>
      </c>
      <c r="X245" s="103">
        <f t="shared" si="342"/>
        <v>0.54015601457095352</v>
      </c>
      <c r="Y245" s="103">
        <f t="shared" si="342"/>
        <v>0.52988930819844304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0.2859765053062675</v>
      </c>
      <c r="C246" s="105">
        <f t="shared" si="343"/>
        <v>0.29647839362851786</v>
      </c>
      <c r="D246" s="105">
        <f t="shared" si="343"/>
        <v>0.31245296232894626</v>
      </c>
      <c r="E246" s="105">
        <f t="shared" si="343"/>
        <v>0.31391421111534656</v>
      </c>
      <c r="F246" s="105">
        <f t="shared" si="343"/>
        <v>0.34237964146806349</v>
      </c>
      <c r="G246" s="105">
        <f t="shared" si="343"/>
        <v>0.34536337639468623</v>
      </c>
      <c r="H246" s="105">
        <f t="shared" si="343"/>
        <v>0.34969235749247818</v>
      </c>
      <c r="I246" s="105">
        <f t="shared" si="343"/>
        <v>0.35473637191634083</v>
      </c>
      <c r="J246" s="105">
        <f t="shared" si="343"/>
        <v>0.35789754719855649</v>
      </c>
      <c r="K246" s="105">
        <f t="shared" si="343"/>
        <v>0.34947314617873604</v>
      </c>
      <c r="L246" s="105">
        <f t="shared" ref="L246" si="344">IF(L28=0,0,L28/L$19)</f>
        <v>0.36369366389192237</v>
      </c>
      <c r="M246" s="105">
        <f t="shared" ref="M246:V246" si="345">IF(M28=0,0,M28/M$19)</f>
        <v>0.35303415169513414</v>
      </c>
      <c r="N246" s="105">
        <f t="shared" si="345"/>
        <v>0.36380992359685227</v>
      </c>
      <c r="O246" s="105">
        <f t="shared" si="345"/>
        <v>0.37040728499304426</v>
      </c>
      <c r="P246" s="105">
        <f t="shared" si="345"/>
        <v>0.37032259372738313</v>
      </c>
      <c r="Q246" s="105">
        <f t="shared" si="345"/>
        <v>0.36284571840351709</v>
      </c>
      <c r="R246" s="105">
        <f t="shared" si="345"/>
        <v>0.37687384711599092</v>
      </c>
      <c r="S246" s="105">
        <f t="shared" si="345"/>
        <v>0.39689293221610472</v>
      </c>
      <c r="T246" s="105">
        <f t="shared" si="345"/>
        <v>0.38223916302149868</v>
      </c>
      <c r="U246" s="105">
        <f t="shared" si="345"/>
        <v>0.39915939804031786</v>
      </c>
      <c r="V246" s="105">
        <f t="shared" si="345"/>
        <v>0.40470335397812718</v>
      </c>
      <c r="W246" s="105">
        <f t="shared" ref="W246:Y246" si="346">IF(W28=0,0,W28/W$19)</f>
        <v>0.41609215102468783</v>
      </c>
      <c r="X246" s="105">
        <f t="shared" si="346"/>
        <v>0.41812275581373076</v>
      </c>
      <c r="Y246" s="105">
        <f t="shared" si="346"/>
        <v>0.42560436094818643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1.9268907559689533E-2</v>
      </c>
      <c r="C250" s="154">
        <f t="shared" si="351"/>
        <v>1.9297540126353971E-2</v>
      </c>
      <c r="D250" s="154">
        <f t="shared" si="351"/>
        <v>1.9959963735783952E-2</v>
      </c>
      <c r="E250" s="154">
        <f t="shared" si="351"/>
        <v>2.0418074992325855E-2</v>
      </c>
      <c r="F250" s="154">
        <f t="shared" si="351"/>
        <v>2.0873047554247671E-2</v>
      </c>
      <c r="G250" s="154">
        <f t="shared" si="351"/>
        <v>2.1866597878150824E-2</v>
      </c>
      <c r="H250" s="154">
        <f t="shared" si="351"/>
        <v>2.2757578380760934E-2</v>
      </c>
      <c r="I250" s="154">
        <f t="shared" si="351"/>
        <v>2.0127141259940352E-2</v>
      </c>
      <c r="J250" s="154">
        <f t="shared" si="351"/>
        <v>2.0740546857966478E-2</v>
      </c>
      <c r="K250" s="154">
        <f t="shared" si="351"/>
        <v>2.1176088828277886E-2</v>
      </c>
      <c r="L250" s="154">
        <f t="shared" ref="L250" si="352">IF(L32=0,0,L32/L$31)</f>
        <v>2.1262077068980322E-2</v>
      </c>
      <c r="M250" s="154">
        <f t="shared" ref="M250:V250" si="353">IF(M32=0,0,M32/M$31)</f>
        <v>2.1577887933564559E-2</v>
      </c>
      <c r="N250" s="154">
        <f t="shared" si="353"/>
        <v>2.1880691257890012E-2</v>
      </c>
      <c r="O250" s="154">
        <f t="shared" si="353"/>
        <v>2.2139473555368473E-2</v>
      </c>
      <c r="P250" s="154">
        <f t="shared" si="353"/>
        <v>2.1914248179794902E-2</v>
      </c>
      <c r="Q250" s="154">
        <f t="shared" si="353"/>
        <v>2.1635171091521944E-2</v>
      </c>
      <c r="R250" s="154">
        <f t="shared" si="353"/>
        <v>2.136954857928109E-2</v>
      </c>
      <c r="S250" s="154">
        <f t="shared" si="353"/>
        <v>1.9480665320809668E-2</v>
      </c>
      <c r="T250" s="154">
        <f t="shared" si="353"/>
        <v>1.9103089192328518E-2</v>
      </c>
      <c r="U250" s="154">
        <f t="shared" si="353"/>
        <v>2.0439749188424585E-2</v>
      </c>
      <c r="V250" s="154">
        <f t="shared" si="353"/>
        <v>2.0113654213937331E-2</v>
      </c>
      <c r="W250" s="154">
        <f t="shared" ref="W250:Y250" si="354">IF(W32=0,0,W32/W$31)</f>
        <v>2.1366278106528271E-2</v>
      </c>
      <c r="X250" s="154">
        <f t="shared" si="354"/>
        <v>2.0399275256163543E-2</v>
      </c>
      <c r="Y250" s="154">
        <f t="shared" si="354"/>
        <v>2.1586155313171939E-2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0.97342265555708307</v>
      </c>
      <c r="C251" s="156">
        <f t="shared" si="355"/>
        <v>0.97352971168277103</v>
      </c>
      <c r="D251" s="156">
        <f t="shared" si="355"/>
        <v>0.97303793130718552</v>
      </c>
      <c r="E251" s="156">
        <f t="shared" si="355"/>
        <v>0.97234709373991024</v>
      </c>
      <c r="F251" s="156">
        <f t="shared" si="355"/>
        <v>0.97200096220294829</v>
      </c>
      <c r="G251" s="156">
        <f t="shared" si="355"/>
        <v>0.97087873377710687</v>
      </c>
      <c r="H251" s="156">
        <f t="shared" si="355"/>
        <v>0.96973265393420571</v>
      </c>
      <c r="I251" s="156">
        <f t="shared" si="355"/>
        <v>0.97265508206703533</v>
      </c>
      <c r="J251" s="156">
        <f t="shared" si="355"/>
        <v>0.9722919455060276</v>
      </c>
      <c r="K251" s="156">
        <f t="shared" si="355"/>
        <v>0.97178174132266948</v>
      </c>
      <c r="L251" s="156">
        <f t="shared" ref="L251" si="356">IF(L33=0,0,L33/L$31)</f>
        <v>0.97126714856928886</v>
      </c>
      <c r="M251" s="156">
        <f t="shared" ref="M251:V251" si="357">IF(M33=0,0,M33/M$31)</f>
        <v>0.97083191372743938</v>
      </c>
      <c r="N251" s="156">
        <f t="shared" si="357"/>
        <v>0.96998395578141394</v>
      </c>
      <c r="O251" s="156">
        <f t="shared" si="357"/>
        <v>0.96952920657685582</v>
      </c>
      <c r="P251" s="156">
        <f t="shared" si="357"/>
        <v>0.96999762150587743</v>
      </c>
      <c r="Q251" s="156">
        <f t="shared" si="357"/>
        <v>0.97001343897640913</v>
      </c>
      <c r="R251" s="156">
        <f t="shared" si="357"/>
        <v>0.97036460450136897</v>
      </c>
      <c r="S251" s="156">
        <f t="shared" si="357"/>
        <v>0.97259338925902417</v>
      </c>
      <c r="T251" s="156">
        <f t="shared" si="357"/>
        <v>0.97271229526781877</v>
      </c>
      <c r="U251" s="156">
        <f t="shared" si="357"/>
        <v>0.97157946689584229</v>
      </c>
      <c r="V251" s="156">
        <f t="shared" si="357"/>
        <v>0.971663833085191</v>
      </c>
      <c r="W251" s="156">
        <f t="shared" ref="W251:Y251" si="358">IF(W33=0,0,W33/W$31)</f>
        <v>0.97062784657428336</v>
      </c>
      <c r="X251" s="156">
        <f t="shared" si="358"/>
        <v>0.97172083850383539</v>
      </c>
      <c r="Y251" s="156">
        <f t="shared" si="358"/>
        <v>0.97046397306339871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0.73622664271422533</v>
      </c>
      <c r="C252" s="103">
        <f t="shared" si="359"/>
        <v>0.7098398567456573</v>
      </c>
      <c r="D252" s="103">
        <f t="shared" si="359"/>
        <v>0.68715158732918435</v>
      </c>
      <c r="E252" s="103">
        <f t="shared" si="359"/>
        <v>0.66087094983497863</v>
      </c>
      <c r="F252" s="103">
        <f t="shared" si="359"/>
        <v>0.62948781314024105</v>
      </c>
      <c r="G252" s="103">
        <f t="shared" si="359"/>
        <v>0.60626874613128134</v>
      </c>
      <c r="H252" s="103">
        <f t="shared" si="359"/>
        <v>0.59300145242045632</v>
      </c>
      <c r="I252" s="103">
        <f t="shared" si="359"/>
        <v>0.57565094895959312</v>
      </c>
      <c r="J252" s="103">
        <f t="shared" si="359"/>
        <v>0.57217557540544983</v>
      </c>
      <c r="K252" s="103">
        <f t="shared" si="359"/>
        <v>0.55703227863572224</v>
      </c>
      <c r="L252" s="103">
        <f t="shared" ref="L252" si="360">IF(L34=0,0,L34/L$31)</f>
        <v>0.54759623923322309</v>
      </c>
      <c r="M252" s="103">
        <f t="shared" ref="M252:V252" si="361">IF(M34=0,0,M34/M$31)</f>
        <v>0.53699222491828813</v>
      </c>
      <c r="N252" s="103">
        <f t="shared" si="361"/>
        <v>0.52114973645673079</v>
      </c>
      <c r="O252" s="103">
        <f t="shared" si="361"/>
        <v>0.5069506450585608</v>
      </c>
      <c r="P252" s="103">
        <f t="shared" si="361"/>
        <v>0.49033542754390369</v>
      </c>
      <c r="Q252" s="103">
        <f t="shared" si="361"/>
        <v>0.47670817391307252</v>
      </c>
      <c r="R252" s="103">
        <f t="shared" si="361"/>
        <v>0.46493717460260864</v>
      </c>
      <c r="S252" s="103">
        <f t="shared" si="361"/>
        <v>0.46488602887987396</v>
      </c>
      <c r="T252" s="103">
        <f t="shared" si="361"/>
        <v>0.46775626472132137</v>
      </c>
      <c r="U252" s="103">
        <f t="shared" si="361"/>
        <v>0.47053140667723387</v>
      </c>
      <c r="V252" s="103">
        <f t="shared" si="361"/>
        <v>0.48000809660362076</v>
      </c>
      <c r="W252" s="103">
        <f t="shared" ref="W252:Y252" si="362">IF(W34=0,0,W34/W$31)</f>
        <v>0.47814100044632946</v>
      </c>
      <c r="X252" s="103">
        <f t="shared" si="362"/>
        <v>0.47310702633187474</v>
      </c>
      <c r="Y252" s="103">
        <f t="shared" si="362"/>
        <v>0.46888716338473407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0.23531209192568117</v>
      </c>
      <c r="C253" s="103">
        <f t="shared" si="363"/>
        <v>0.26185809095444817</v>
      </c>
      <c r="D253" s="103">
        <f t="shared" si="363"/>
        <v>0.28369253507333858</v>
      </c>
      <c r="E253" s="103">
        <f t="shared" si="363"/>
        <v>0.3091503150072612</v>
      </c>
      <c r="F253" s="103">
        <f t="shared" si="363"/>
        <v>0.33950366304604451</v>
      </c>
      <c r="G253" s="103">
        <f t="shared" si="363"/>
        <v>0.36027585830215247</v>
      </c>
      <c r="H253" s="103">
        <f t="shared" si="363"/>
        <v>0.37057130526522258</v>
      </c>
      <c r="I253" s="103">
        <f t="shared" si="363"/>
        <v>0.38764720173723483</v>
      </c>
      <c r="J253" s="103">
        <f t="shared" si="363"/>
        <v>0.38982714669761231</v>
      </c>
      <c r="K253" s="103">
        <f t="shared" si="363"/>
        <v>0.40142702703572924</v>
      </c>
      <c r="L253" s="103">
        <f t="shared" ref="L253" si="364">IF(L35=0,0,L35/L$31)</f>
        <v>0.40898560045914806</v>
      </c>
      <c r="M253" s="103">
        <f t="shared" ref="M253:V253" si="365">IF(M35=0,0,M35/M$31)</f>
        <v>0.4181464379800669</v>
      </c>
      <c r="N253" s="103">
        <f t="shared" si="365"/>
        <v>0.43214750732463542</v>
      </c>
      <c r="O253" s="103">
        <f t="shared" si="365"/>
        <v>0.44564378434598167</v>
      </c>
      <c r="P253" s="103">
        <f t="shared" si="365"/>
        <v>0.46271887343508511</v>
      </c>
      <c r="Q253" s="103">
        <f t="shared" si="365"/>
        <v>0.47712599251737631</v>
      </c>
      <c r="R253" s="103">
        <f t="shared" si="365"/>
        <v>0.48978331766233496</v>
      </c>
      <c r="S253" s="103">
        <f t="shared" si="365"/>
        <v>0.49217137386776988</v>
      </c>
      <c r="T253" s="103">
        <f t="shared" si="365"/>
        <v>0.48876610931710984</v>
      </c>
      <c r="U253" s="103">
        <f t="shared" si="365"/>
        <v>0.48331565595938264</v>
      </c>
      <c r="V253" s="103">
        <f t="shared" si="365"/>
        <v>0.46598307091925062</v>
      </c>
      <c r="W253" s="103">
        <f t="shared" ref="W253:Y253" si="366">IF(W35=0,0,W35/W$31)</f>
        <v>0.44993990414897744</v>
      </c>
      <c r="X253" s="103">
        <f t="shared" si="366"/>
        <v>0.44267613486123009</v>
      </c>
      <c r="Y253" s="103">
        <f t="shared" si="366"/>
        <v>0.4325409660140731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1.8839209171766867E-3</v>
      </c>
      <c r="C254" s="103">
        <f t="shared" si="367"/>
        <v>1.831763982665529E-3</v>
      </c>
      <c r="D254" s="103">
        <f t="shared" si="367"/>
        <v>2.1938089046625248E-3</v>
      </c>
      <c r="E254" s="103">
        <f t="shared" si="367"/>
        <v>2.3258288976702847E-3</v>
      </c>
      <c r="F254" s="103">
        <f t="shared" si="367"/>
        <v>3.0094860166626552E-3</v>
      </c>
      <c r="G254" s="103">
        <f t="shared" si="367"/>
        <v>3.2833512904118494E-3</v>
      </c>
      <c r="H254" s="103">
        <f t="shared" si="367"/>
        <v>4.9503368784560835E-3</v>
      </c>
      <c r="I254" s="103">
        <f t="shared" si="367"/>
        <v>8.1665206909212907E-3</v>
      </c>
      <c r="J254" s="103">
        <f t="shared" si="367"/>
        <v>9.082927058323878E-3</v>
      </c>
      <c r="K254" s="103">
        <f t="shared" si="367"/>
        <v>1.0821928610800348E-2</v>
      </c>
      <c r="L254" s="103">
        <f t="shared" ref="L254" si="368">IF(L36=0,0,L36/L$31)</f>
        <v>1.2058890815927337E-2</v>
      </c>
      <c r="M254" s="103">
        <f t="shared" ref="M254:V254" si="369">IF(M36=0,0,M36/M$31)</f>
        <v>1.28897393867197E-2</v>
      </c>
      <c r="N254" s="103">
        <f t="shared" si="369"/>
        <v>1.3730568636419941E-2</v>
      </c>
      <c r="O254" s="103">
        <f t="shared" si="369"/>
        <v>1.3679081057969601E-2</v>
      </c>
      <c r="P254" s="103">
        <f t="shared" si="369"/>
        <v>1.3414233637014685E-2</v>
      </c>
      <c r="Q254" s="103">
        <f t="shared" si="369"/>
        <v>1.2454229699056539E-2</v>
      </c>
      <c r="R254" s="103">
        <f t="shared" si="369"/>
        <v>1.1560630276870086E-2</v>
      </c>
      <c r="S254" s="103">
        <f t="shared" si="369"/>
        <v>1.0749678490046452E-2</v>
      </c>
      <c r="T254" s="103">
        <f t="shared" si="369"/>
        <v>9.9406844594502851E-3</v>
      </c>
      <c r="U254" s="103">
        <f t="shared" si="369"/>
        <v>9.20148157723907E-3</v>
      </c>
      <c r="V254" s="103">
        <f t="shared" si="369"/>
        <v>8.7516767389571853E-3</v>
      </c>
      <c r="W254" s="103">
        <f t="shared" ref="W254:Y254" si="370">IF(W36=0,0,W36/W$31)</f>
        <v>8.343040071340976E-3</v>
      </c>
      <c r="X254" s="103">
        <f t="shared" si="370"/>
        <v>8.1689693235223616E-3</v>
      </c>
      <c r="Y254" s="103">
        <f t="shared" si="370"/>
        <v>8.2529722012777643E-3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1.0507780532612197E-3</v>
      </c>
      <c r="H255" s="103">
        <f t="shared" si="371"/>
        <v>1.208914368597522E-3</v>
      </c>
      <c r="I255" s="103">
        <f t="shared" si="371"/>
        <v>1.1895069110772632E-3</v>
      </c>
      <c r="J255" s="103">
        <f t="shared" si="371"/>
        <v>1.1609517364359924E-3</v>
      </c>
      <c r="K255" s="103">
        <f t="shared" si="371"/>
        <v>2.4453339760429548E-3</v>
      </c>
      <c r="L255" s="103">
        <f t="shared" ref="L255" si="372">IF(L37=0,0,L37/L$31)</f>
        <v>2.5455442968765544E-3</v>
      </c>
      <c r="M255" s="103">
        <f t="shared" ref="M255:V255" si="373">IF(M37=0,0,M37/M$31)</f>
        <v>2.6439217603295229E-3</v>
      </c>
      <c r="N255" s="103">
        <f t="shared" si="373"/>
        <v>2.6849402146815215E-3</v>
      </c>
      <c r="O255" s="103">
        <f t="shared" si="373"/>
        <v>2.7945690547013986E-3</v>
      </c>
      <c r="P255" s="103">
        <f t="shared" si="373"/>
        <v>2.8044765851325633E-3</v>
      </c>
      <c r="Q255" s="103">
        <f t="shared" si="373"/>
        <v>2.6150797960580569E-3</v>
      </c>
      <c r="R255" s="103">
        <f t="shared" si="373"/>
        <v>2.527081914694303E-3</v>
      </c>
      <c r="S255" s="103">
        <f t="shared" si="373"/>
        <v>2.4918887674824724E-3</v>
      </c>
      <c r="T255" s="103">
        <f t="shared" si="373"/>
        <v>2.6794605625843652E-3</v>
      </c>
      <c r="U255" s="103">
        <f t="shared" si="373"/>
        <v>2.7921359208383325E-3</v>
      </c>
      <c r="V255" s="103">
        <f t="shared" si="373"/>
        <v>2.7792266692081616E-3</v>
      </c>
      <c r="W255" s="103">
        <f t="shared" ref="W255:Y255" si="374">IF(W37=0,0,W37/W$31)</f>
        <v>2.7074747070869017E-3</v>
      </c>
      <c r="X255" s="103">
        <f t="shared" si="374"/>
        <v>2.6769105901087533E-3</v>
      </c>
      <c r="Y255" s="103">
        <f t="shared" si="374"/>
        <v>2.7432846827600936E-3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4.8966451075551921E-6</v>
      </c>
      <c r="N256" s="103">
        <f t="shared" si="377"/>
        <v>2.397262770077453E-5</v>
      </c>
      <c r="O256" s="103">
        <f t="shared" si="377"/>
        <v>5.420380957829316E-5</v>
      </c>
      <c r="P256" s="103">
        <f t="shared" si="377"/>
        <v>1.2428551174172242E-4</v>
      </c>
      <c r="Q256" s="103">
        <f t="shared" si="377"/>
        <v>3.0060886031078567E-4</v>
      </c>
      <c r="R256" s="103">
        <f t="shared" si="377"/>
        <v>5.2100078391167394E-4</v>
      </c>
      <c r="S256" s="103">
        <f t="shared" si="377"/>
        <v>7.1056786163643912E-4</v>
      </c>
      <c r="T256" s="103">
        <f t="shared" si="377"/>
        <v>1.055065241989556E-3</v>
      </c>
      <c r="U256" s="103">
        <f t="shared" si="377"/>
        <v>1.7396453836581681E-3</v>
      </c>
      <c r="V256" s="103">
        <f t="shared" si="377"/>
        <v>4.5388665586031749E-3</v>
      </c>
      <c r="W256" s="103">
        <f t="shared" ref="W256:Y256" si="378">IF(W38=0,0,W38/W$31)</f>
        <v>9.7104253337228757E-3</v>
      </c>
      <c r="X256" s="103">
        <f t="shared" si="378"/>
        <v>1.4658617226064404E-2</v>
      </c>
      <c r="Y256" s="103">
        <f t="shared" si="378"/>
        <v>1.6090536377501109E-2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6.4500147314870607E-7</v>
      </c>
      <c r="I257" s="103">
        <f t="shared" si="379"/>
        <v>9.0376820898420783E-7</v>
      </c>
      <c r="J257" s="103">
        <f t="shared" si="379"/>
        <v>4.5344608205642139E-5</v>
      </c>
      <c r="K257" s="103">
        <f t="shared" si="379"/>
        <v>5.5173064374744984E-5</v>
      </c>
      <c r="L257" s="103">
        <f t="shared" ref="L257" si="380">IF(L39=0,0,L39/L$31)</f>
        <v>8.0873764113827953E-5</v>
      </c>
      <c r="M257" s="103">
        <f t="shared" ref="M257:V257" si="381">IF(M39=0,0,M39/M$31)</f>
        <v>1.5469303692745165E-4</v>
      </c>
      <c r="N257" s="103">
        <f t="shared" si="381"/>
        <v>2.4723052124540429E-4</v>
      </c>
      <c r="O257" s="103">
        <f t="shared" si="381"/>
        <v>4.0692325006406202E-4</v>
      </c>
      <c r="P257" s="103">
        <f t="shared" si="381"/>
        <v>6.0032479299963726E-4</v>
      </c>
      <c r="Q257" s="103">
        <f t="shared" si="381"/>
        <v>8.0935419053510427E-4</v>
      </c>
      <c r="R257" s="103">
        <f t="shared" si="381"/>
        <v>1.035399260949327E-3</v>
      </c>
      <c r="S257" s="103">
        <f t="shared" si="381"/>
        <v>1.5838513922149479E-3</v>
      </c>
      <c r="T257" s="103">
        <f t="shared" si="381"/>
        <v>2.5147109653635637E-3</v>
      </c>
      <c r="U257" s="103">
        <f t="shared" si="381"/>
        <v>3.9991413774902226E-3</v>
      </c>
      <c r="V257" s="103">
        <f t="shared" si="381"/>
        <v>9.6028955955510219E-3</v>
      </c>
      <c r="W257" s="103">
        <f t="shared" ref="W257:Y257" si="382">IF(W39=0,0,W39/W$31)</f>
        <v>2.1786001866825822E-2</v>
      </c>
      <c r="X257" s="103">
        <f t="shared" si="382"/>
        <v>3.0433180171035027E-2</v>
      </c>
      <c r="Y257" s="103">
        <f t="shared" si="382"/>
        <v>4.1949050403052329E-2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7.3084368832273157E-3</v>
      </c>
      <c r="C258" s="156">
        <f t="shared" si="383"/>
        <v>7.1727481908750194E-3</v>
      </c>
      <c r="D258" s="156">
        <f t="shared" si="383"/>
        <v>7.0021049570305879E-3</v>
      </c>
      <c r="E258" s="156">
        <f t="shared" si="383"/>
        <v>7.2348312677639696E-3</v>
      </c>
      <c r="F258" s="156">
        <f t="shared" si="383"/>
        <v>7.1259902428041141E-3</v>
      </c>
      <c r="G258" s="156">
        <f t="shared" si="383"/>
        <v>7.2546683447422839E-3</v>
      </c>
      <c r="H258" s="156">
        <f t="shared" si="383"/>
        <v>7.5097676850334021E-3</v>
      </c>
      <c r="I258" s="156">
        <f t="shared" si="383"/>
        <v>7.2177766730242739E-3</v>
      </c>
      <c r="J258" s="156">
        <f t="shared" si="383"/>
        <v>6.9675076360058265E-3</v>
      </c>
      <c r="K258" s="156">
        <f t="shared" si="383"/>
        <v>7.0421698490527023E-3</v>
      </c>
      <c r="L258" s="156">
        <f t="shared" ref="L258" si="384">IF(L40=0,0,L40/L$31)</f>
        <v>7.4707743617307811E-3</v>
      </c>
      <c r="M258" s="156">
        <f t="shared" ref="M258:V258" si="385">IF(M40=0,0,M40/M$31)</f>
        <v>7.5901983389961057E-3</v>
      </c>
      <c r="N258" s="156">
        <f t="shared" si="385"/>
        <v>8.1353529606959969E-3</v>
      </c>
      <c r="O258" s="156">
        <f t="shared" si="385"/>
        <v>8.3313198677756606E-3</v>
      </c>
      <c r="P258" s="156">
        <f t="shared" si="385"/>
        <v>8.0881303143276982E-3</v>
      </c>
      <c r="Q258" s="156">
        <f t="shared" si="385"/>
        <v>8.3513899320689002E-3</v>
      </c>
      <c r="R258" s="156">
        <f t="shared" si="385"/>
        <v>8.2658469193498587E-3</v>
      </c>
      <c r="S258" s="156">
        <f t="shared" si="385"/>
        <v>7.9259454201661937E-3</v>
      </c>
      <c r="T258" s="156">
        <f t="shared" si="385"/>
        <v>8.1846155398525803E-3</v>
      </c>
      <c r="U258" s="156">
        <f t="shared" si="385"/>
        <v>7.9807839157331265E-3</v>
      </c>
      <c r="V258" s="156">
        <f t="shared" si="385"/>
        <v>8.2225127008716137E-3</v>
      </c>
      <c r="W258" s="156">
        <f t="shared" ref="W258:Y258" si="386">IF(W40=0,0,W40/W$31)</f>
        <v>8.0058753191883485E-3</v>
      </c>
      <c r="X258" s="156">
        <f t="shared" si="386"/>
        <v>7.8798862400011518E-3</v>
      </c>
      <c r="Y258" s="156">
        <f t="shared" si="386"/>
        <v>7.9498716234292621E-3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0</v>
      </c>
      <c r="C259" s="103">
        <f t="shared" si="387"/>
        <v>0</v>
      </c>
      <c r="D259" s="103">
        <f t="shared" si="387"/>
        <v>0</v>
      </c>
      <c r="E259" s="103">
        <f t="shared" si="387"/>
        <v>0</v>
      </c>
      <c r="F259" s="103">
        <f t="shared" si="387"/>
        <v>0</v>
      </c>
      <c r="G259" s="103">
        <f t="shared" si="387"/>
        <v>0</v>
      </c>
      <c r="H259" s="103">
        <f t="shared" si="387"/>
        <v>0</v>
      </c>
      <c r="I259" s="103">
        <f t="shared" si="387"/>
        <v>0</v>
      </c>
      <c r="J259" s="103">
        <f t="shared" si="387"/>
        <v>0</v>
      </c>
      <c r="K259" s="103">
        <f t="shared" si="387"/>
        <v>0</v>
      </c>
      <c r="L259" s="103">
        <f t="shared" ref="L259" si="388">IF(L41=0,0,L41/L$31)</f>
        <v>0</v>
      </c>
      <c r="M259" s="103">
        <f t="shared" ref="M259:V259" si="389">IF(M41=0,0,M41/M$31)</f>
        <v>0</v>
      </c>
      <c r="N259" s="103">
        <f t="shared" si="389"/>
        <v>0</v>
      </c>
      <c r="O259" s="103">
        <f t="shared" si="389"/>
        <v>0</v>
      </c>
      <c r="P259" s="103">
        <f t="shared" si="389"/>
        <v>0</v>
      </c>
      <c r="Q259" s="103">
        <f t="shared" si="389"/>
        <v>0</v>
      </c>
      <c r="R259" s="103">
        <f t="shared" si="389"/>
        <v>0</v>
      </c>
      <c r="S259" s="103">
        <f t="shared" si="389"/>
        <v>0</v>
      </c>
      <c r="T259" s="103">
        <f t="shared" si="389"/>
        <v>0</v>
      </c>
      <c r="U259" s="103">
        <f t="shared" si="389"/>
        <v>0</v>
      </c>
      <c r="V259" s="103">
        <f t="shared" si="389"/>
        <v>0</v>
      </c>
      <c r="W259" s="103">
        <f t="shared" ref="W259:Y259" si="390">IF(W41=0,0,W41/W$31)</f>
        <v>0</v>
      </c>
      <c r="X259" s="103">
        <f t="shared" si="390"/>
        <v>0</v>
      </c>
      <c r="Y259" s="103">
        <f t="shared" si="390"/>
        <v>0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7.2248465433815343E-3</v>
      </c>
      <c r="C260" s="103">
        <f t="shared" si="391"/>
        <v>7.0602496104129218E-3</v>
      </c>
      <c r="D260" s="103">
        <f t="shared" si="391"/>
        <v>6.8555369050926993E-3</v>
      </c>
      <c r="E260" s="103">
        <f t="shared" si="391"/>
        <v>7.0535466922278288E-3</v>
      </c>
      <c r="F260" s="103">
        <f t="shared" si="391"/>
        <v>6.9506661773456593E-3</v>
      </c>
      <c r="G260" s="103">
        <f t="shared" si="391"/>
        <v>7.0999609082370322E-3</v>
      </c>
      <c r="H260" s="103">
        <f t="shared" si="391"/>
        <v>7.3046609564458957E-3</v>
      </c>
      <c r="I260" s="103">
        <f t="shared" si="391"/>
        <v>7.0195423455540222E-3</v>
      </c>
      <c r="J260" s="103">
        <f t="shared" si="391"/>
        <v>6.827193316041434E-3</v>
      </c>
      <c r="K260" s="103">
        <f t="shared" si="391"/>
        <v>6.8802154259398219E-3</v>
      </c>
      <c r="L260" s="103">
        <f t="shared" ref="L260" si="392">IF(L42=0,0,L42/L$31)</f>
        <v>7.2984561310719216E-3</v>
      </c>
      <c r="M260" s="103">
        <f t="shared" ref="M260:V260" si="393">IF(M42=0,0,M42/M$31)</f>
        <v>7.4344151249432205E-3</v>
      </c>
      <c r="N260" s="103">
        <f t="shared" si="393"/>
        <v>7.966802103630221E-3</v>
      </c>
      <c r="O260" s="103">
        <f t="shared" si="393"/>
        <v>8.1491071395692095E-3</v>
      </c>
      <c r="P260" s="103">
        <f t="shared" si="393"/>
        <v>7.9343005458809238E-3</v>
      </c>
      <c r="Q260" s="103">
        <f t="shared" si="393"/>
        <v>8.238803195822441E-3</v>
      </c>
      <c r="R260" s="103">
        <f t="shared" si="393"/>
        <v>8.1359502478162878E-3</v>
      </c>
      <c r="S260" s="103">
        <f t="shared" si="393"/>
        <v>7.7814867705430692E-3</v>
      </c>
      <c r="T260" s="103">
        <f t="shared" si="393"/>
        <v>8.0360699520402989E-3</v>
      </c>
      <c r="U260" s="103">
        <f t="shared" si="393"/>
        <v>7.8232927089126828E-3</v>
      </c>
      <c r="V260" s="103">
        <f t="shared" si="393"/>
        <v>8.0304003796281657E-3</v>
      </c>
      <c r="W260" s="103">
        <f t="shared" ref="W260:Y260" si="394">IF(W42=0,0,W42/W$31)</f>
        <v>7.7889874580022757E-3</v>
      </c>
      <c r="X260" s="103">
        <f t="shared" si="394"/>
        <v>7.6317738151115682E-3</v>
      </c>
      <c r="Y260" s="103">
        <f t="shared" si="394"/>
        <v>7.6515668981528154E-3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0</v>
      </c>
      <c r="C261" s="103">
        <f t="shared" si="395"/>
        <v>0</v>
      </c>
      <c r="D261" s="103">
        <f t="shared" si="395"/>
        <v>0</v>
      </c>
      <c r="E261" s="103">
        <f t="shared" si="395"/>
        <v>0</v>
      </c>
      <c r="F261" s="103">
        <f t="shared" si="395"/>
        <v>4.3966039769381095E-7</v>
      </c>
      <c r="G261" s="103">
        <f t="shared" si="395"/>
        <v>4.608861839663087E-7</v>
      </c>
      <c r="H261" s="103">
        <f t="shared" si="395"/>
        <v>4.8455080287333706E-7</v>
      </c>
      <c r="I261" s="103">
        <f t="shared" si="395"/>
        <v>6.2971831043648414E-7</v>
      </c>
      <c r="J261" s="103">
        <f t="shared" si="395"/>
        <v>8.6575194161164893E-7</v>
      </c>
      <c r="K261" s="103">
        <f t="shared" si="395"/>
        <v>1.1235076866564946E-6</v>
      </c>
      <c r="L261" s="103">
        <f t="shared" ref="L261" si="396">IF(L43=0,0,L43/L$31)</f>
        <v>1.2318088548045832E-6</v>
      </c>
      <c r="M261" s="103">
        <f t="shared" ref="M261:V261" si="397">IF(M43=0,0,M43/M$31)</f>
        <v>1.1591878940776079E-6</v>
      </c>
      <c r="N261" s="103">
        <f t="shared" si="397"/>
        <v>1.1495909667735844E-6</v>
      </c>
      <c r="O261" s="103">
        <f t="shared" si="397"/>
        <v>1.0801889799815166E-6</v>
      </c>
      <c r="P261" s="103">
        <f t="shared" si="397"/>
        <v>1.0061445209569771E-6</v>
      </c>
      <c r="Q261" s="103">
        <f t="shared" si="397"/>
        <v>1.0060644797395866E-6</v>
      </c>
      <c r="R261" s="103">
        <f t="shared" si="397"/>
        <v>9.7939208715856614E-7</v>
      </c>
      <c r="S261" s="103">
        <f t="shared" si="397"/>
        <v>8.7912802930114383E-7</v>
      </c>
      <c r="T261" s="103">
        <f t="shared" si="397"/>
        <v>8.8589089090337467E-7</v>
      </c>
      <c r="U261" s="103">
        <f t="shared" si="397"/>
        <v>9.1146362748670668E-7</v>
      </c>
      <c r="V261" s="103">
        <f t="shared" si="397"/>
        <v>8.5429000827806163E-7</v>
      </c>
      <c r="W261" s="103">
        <f t="shared" ref="W261:Y261" si="398">IF(W43=0,0,W43/W$31)</f>
        <v>8.4542160561263575E-7</v>
      </c>
      <c r="X261" s="103">
        <f t="shared" si="398"/>
        <v>6.3786376607707251E-7</v>
      </c>
      <c r="Y261" s="103">
        <f t="shared" si="398"/>
        <v>3.9034330812327132E-7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7.5656178426130433E-5</v>
      </c>
      <c r="C262" s="103">
        <f t="shared" si="399"/>
        <v>1.0370663226181116E-4</v>
      </c>
      <c r="D262" s="103">
        <f t="shared" si="399"/>
        <v>1.3641738637568812E-4</v>
      </c>
      <c r="E262" s="103">
        <f t="shared" si="399"/>
        <v>1.7139897700073079E-4</v>
      </c>
      <c r="F262" s="103">
        <f t="shared" si="399"/>
        <v>1.6600000230825208E-4</v>
      </c>
      <c r="G262" s="103">
        <f t="shared" si="399"/>
        <v>1.4577462728052946E-4</v>
      </c>
      <c r="H262" s="103">
        <f t="shared" si="399"/>
        <v>1.9672763742170708E-4</v>
      </c>
      <c r="I262" s="103">
        <f t="shared" si="399"/>
        <v>1.9016716778774166E-4</v>
      </c>
      <c r="J262" s="103">
        <f t="shared" si="399"/>
        <v>1.3197258724964071E-4</v>
      </c>
      <c r="K262" s="103">
        <f t="shared" si="399"/>
        <v>1.5321431503125302E-4</v>
      </c>
      <c r="L262" s="103">
        <f t="shared" ref="L262" si="400">IF(L44=0,0,L44/L$31)</f>
        <v>1.6373686413547744E-4</v>
      </c>
      <c r="M262" s="103">
        <f t="shared" ref="M262:V262" si="401">IF(M44=0,0,M44/M$31)</f>
        <v>1.470866911607437E-4</v>
      </c>
      <c r="N262" s="103">
        <f t="shared" si="401"/>
        <v>1.5963618894759347E-4</v>
      </c>
      <c r="O262" s="103">
        <f t="shared" si="401"/>
        <v>1.7342099218989578E-4</v>
      </c>
      <c r="P262" s="103">
        <f t="shared" si="401"/>
        <v>1.4427134223807578E-4</v>
      </c>
      <c r="Q262" s="103">
        <f t="shared" si="401"/>
        <v>1.0146259816115648E-4</v>
      </c>
      <c r="R262" s="103">
        <f t="shared" si="401"/>
        <v>1.1702320053485112E-4</v>
      </c>
      <c r="S262" s="103">
        <f t="shared" si="401"/>
        <v>1.3106010992608601E-4</v>
      </c>
      <c r="T262" s="103">
        <f t="shared" si="401"/>
        <v>1.3159448651312139E-4</v>
      </c>
      <c r="U262" s="103">
        <f t="shared" si="401"/>
        <v>1.297773118407951E-4</v>
      </c>
      <c r="V262" s="103">
        <f t="shared" si="401"/>
        <v>1.3475798683704922E-4</v>
      </c>
      <c r="W262" s="103">
        <f t="shared" ref="W262:Y262" si="402">IF(W44=0,0,W44/W$31)</f>
        <v>1.1702269333293184E-4</v>
      </c>
      <c r="X262" s="103">
        <f t="shared" si="402"/>
        <v>1.1072188153934089E-4</v>
      </c>
      <c r="Y262" s="103">
        <f t="shared" si="402"/>
        <v>1.0895825313115808E-4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7.9341614196507891E-6</v>
      </c>
      <c r="C263" s="103">
        <f t="shared" si="403"/>
        <v>8.7919482002866961E-6</v>
      </c>
      <c r="D263" s="103">
        <f t="shared" si="403"/>
        <v>1.0150665562200257E-5</v>
      </c>
      <c r="E263" s="103">
        <f t="shared" si="403"/>
        <v>9.8855985354096058E-6</v>
      </c>
      <c r="F263" s="103">
        <f t="shared" si="403"/>
        <v>8.8844027525090234E-6</v>
      </c>
      <c r="G263" s="103">
        <f t="shared" si="403"/>
        <v>8.4719230407557159E-6</v>
      </c>
      <c r="H263" s="103">
        <f t="shared" si="403"/>
        <v>7.8945403629254725E-6</v>
      </c>
      <c r="I263" s="103">
        <f t="shared" si="403"/>
        <v>7.4374413720737688E-6</v>
      </c>
      <c r="J263" s="103">
        <f t="shared" si="403"/>
        <v>7.4759807731407037E-6</v>
      </c>
      <c r="K263" s="103">
        <f t="shared" si="403"/>
        <v>7.6166003949705392E-6</v>
      </c>
      <c r="L263" s="103">
        <f t="shared" ref="L263" si="404">IF(L45=0,0,L45/L$31)</f>
        <v>7.3495576685775842E-6</v>
      </c>
      <c r="M263" s="103">
        <f t="shared" ref="M263:V263" si="405">IF(M45=0,0,M45/M$31)</f>
        <v>7.5373349980639831E-6</v>
      </c>
      <c r="N263" s="103">
        <f t="shared" si="405"/>
        <v>7.7650771514097549E-6</v>
      </c>
      <c r="O263" s="103">
        <f t="shared" si="405"/>
        <v>7.7115470365759525E-6</v>
      </c>
      <c r="P263" s="103">
        <f t="shared" si="405"/>
        <v>8.5522816877408841E-6</v>
      </c>
      <c r="Q263" s="103">
        <f t="shared" si="405"/>
        <v>1.0118073605563231E-5</v>
      </c>
      <c r="R263" s="103">
        <f t="shared" si="405"/>
        <v>1.1894078911559087E-5</v>
      </c>
      <c r="S263" s="103">
        <f t="shared" si="405"/>
        <v>1.2519411667739114E-5</v>
      </c>
      <c r="T263" s="103">
        <f t="shared" si="405"/>
        <v>1.6065210408257247E-5</v>
      </c>
      <c r="U263" s="103">
        <f t="shared" si="405"/>
        <v>2.6802431352161304E-5</v>
      </c>
      <c r="V263" s="103">
        <f t="shared" si="405"/>
        <v>5.6500044398120642E-5</v>
      </c>
      <c r="W263" s="103">
        <f t="shared" ref="W263:Y263" si="406">IF(W45=0,0,W45/W$31)</f>
        <v>9.9019746247527499E-5</v>
      </c>
      <c r="X263" s="103">
        <f t="shared" si="406"/>
        <v>1.3675267958416541E-4</v>
      </c>
      <c r="Y263" s="103">
        <f t="shared" si="406"/>
        <v>1.88956128837165E-4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0.4993853787269828</v>
      </c>
      <c r="C265" s="154">
        <f t="shared" si="411"/>
        <v>0.51333738720332545</v>
      </c>
      <c r="D265" s="154">
        <f t="shared" si="411"/>
        <v>0.52103680033389843</v>
      </c>
      <c r="E265" s="154">
        <f t="shared" si="411"/>
        <v>0.53238782814928076</v>
      </c>
      <c r="F265" s="154">
        <f t="shared" si="411"/>
        <v>0.51242304010316164</v>
      </c>
      <c r="G265" s="154">
        <f t="shared" si="411"/>
        <v>0.51187992834254581</v>
      </c>
      <c r="H265" s="154">
        <f t="shared" si="411"/>
        <v>0.49500636682250426</v>
      </c>
      <c r="I265" s="154">
        <f t="shared" si="411"/>
        <v>0.47967643118298892</v>
      </c>
      <c r="J265" s="154">
        <f t="shared" si="411"/>
        <v>0.46712743778301097</v>
      </c>
      <c r="K265" s="154">
        <f t="shared" si="411"/>
        <v>0.48789877182636671</v>
      </c>
      <c r="L265" s="154">
        <f t="shared" ref="L265" si="412">IF(L47=0,0,L47/L$46)</f>
        <v>0.47370962146328272</v>
      </c>
      <c r="M265" s="154">
        <f t="shared" ref="M265:V265" si="413">IF(M47=0,0,M47/M$46)</f>
        <v>0.46805900971834064</v>
      </c>
      <c r="N265" s="154">
        <f t="shared" si="413"/>
        <v>0.46751025120384221</v>
      </c>
      <c r="O265" s="154">
        <f t="shared" si="413"/>
        <v>0.47576632238888117</v>
      </c>
      <c r="P265" s="154">
        <f t="shared" si="413"/>
        <v>0.48016735591430426</v>
      </c>
      <c r="Q265" s="154">
        <f t="shared" si="413"/>
        <v>0.50614797133158163</v>
      </c>
      <c r="R265" s="154">
        <f t="shared" si="413"/>
        <v>0.51565631080131924</v>
      </c>
      <c r="S265" s="154">
        <f t="shared" si="413"/>
        <v>0.51569979053220416</v>
      </c>
      <c r="T265" s="154">
        <f t="shared" si="413"/>
        <v>0.50853703618881552</v>
      </c>
      <c r="U265" s="154">
        <f t="shared" si="413"/>
        <v>0.51927586702888184</v>
      </c>
      <c r="V265" s="154">
        <f t="shared" si="413"/>
        <v>0.50445130339726107</v>
      </c>
      <c r="W265" s="154">
        <f t="shared" ref="W265:Y265" si="414">IF(W47=0,0,W47/W$46)</f>
        <v>0.51199034272889354</v>
      </c>
      <c r="X265" s="154">
        <f t="shared" si="414"/>
        <v>0.52371465909309012</v>
      </c>
      <c r="Y265" s="154">
        <f t="shared" si="414"/>
        <v>0.53776334263043801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5.2501859772676102E-2</v>
      </c>
      <c r="C266" s="103">
        <f t="shared" si="415"/>
        <v>4.7704535601916294E-2</v>
      </c>
      <c r="D266" s="103">
        <f t="shared" si="415"/>
        <v>4.5849423519840914E-2</v>
      </c>
      <c r="E266" s="103">
        <f t="shared" si="415"/>
        <v>4.1062253509727573E-2</v>
      </c>
      <c r="F266" s="103">
        <f t="shared" si="415"/>
        <v>3.7270517386432403E-2</v>
      </c>
      <c r="G266" s="103">
        <f t="shared" si="415"/>
        <v>3.3939449008298615E-2</v>
      </c>
      <c r="H266" s="103">
        <f t="shared" si="415"/>
        <v>3.0072192542485172E-2</v>
      </c>
      <c r="I266" s="103">
        <f t="shared" si="415"/>
        <v>2.8525948070472772E-2</v>
      </c>
      <c r="J266" s="103">
        <f t="shared" si="415"/>
        <v>2.5184611652889422E-2</v>
      </c>
      <c r="K266" s="103">
        <f t="shared" si="415"/>
        <v>2.4476824053309944E-2</v>
      </c>
      <c r="L266" s="103">
        <f t="shared" ref="L266" si="416">IF(L48=0,0,L48/L$46)</f>
        <v>2.3102962561903233E-2</v>
      </c>
      <c r="M266" s="103">
        <f t="shared" ref="M266:V266" si="417">IF(M48=0,0,M48/M$46)</f>
        <v>2.2080818287490225E-2</v>
      </c>
      <c r="N266" s="103">
        <f t="shared" si="417"/>
        <v>2.1042278636995485E-2</v>
      </c>
      <c r="O266" s="103">
        <f t="shared" si="417"/>
        <v>2.004985874489474E-2</v>
      </c>
      <c r="P266" s="103">
        <f t="shared" si="417"/>
        <v>1.9438944425556961E-2</v>
      </c>
      <c r="Q266" s="103">
        <f t="shared" si="417"/>
        <v>1.7806720865537914E-2</v>
      </c>
      <c r="R266" s="103">
        <f t="shared" si="417"/>
        <v>1.8139907036586075E-2</v>
      </c>
      <c r="S266" s="103">
        <f t="shared" si="417"/>
        <v>1.8902577071548073E-2</v>
      </c>
      <c r="T266" s="103">
        <f t="shared" si="417"/>
        <v>1.9500342113391814E-2</v>
      </c>
      <c r="U266" s="103">
        <f t="shared" si="417"/>
        <v>1.9328454086242928E-2</v>
      </c>
      <c r="V266" s="103">
        <f t="shared" si="417"/>
        <v>1.9609732272553408E-2</v>
      </c>
      <c r="W266" s="103">
        <f t="shared" ref="W266:Y266" si="418">IF(W48=0,0,W48/W$46)</f>
        <v>2.1317319439387899E-2</v>
      </c>
      <c r="X266" s="103">
        <f t="shared" si="418"/>
        <v>2.2180354833730639E-2</v>
      </c>
      <c r="Y266" s="103">
        <f t="shared" si="418"/>
        <v>2.1595117608605736E-2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0.44671229078713459</v>
      </c>
      <c r="C267" s="103">
        <f t="shared" si="419"/>
        <v>0.46547044933252341</v>
      </c>
      <c r="D267" s="103">
        <f t="shared" si="419"/>
        <v>0.47503012463120814</v>
      </c>
      <c r="E267" s="103">
        <f t="shared" si="419"/>
        <v>0.4911809938283434</v>
      </c>
      <c r="F267" s="103">
        <f t="shared" si="419"/>
        <v>0.47501667387082164</v>
      </c>
      <c r="G267" s="103">
        <f t="shared" si="419"/>
        <v>0.47781599923631157</v>
      </c>
      <c r="H267" s="103">
        <f t="shared" si="419"/>
        <v>0.46229553254776379</v>
      </c>
      <c r="I267" s="103">
        <f t="shared" si="419"/>
        <v>0.44789713744728543</v>
      </c>
      <c r="J267" s="103">
        <f t="shared" si="419"/>
        <v>0.4377632724704697</v>
      </c>
      <c r="K267" s="103">
        <f t="shared" si="419"/>
        <v>0.45859310237832185</v>
      </c>
      <c r="L267" s="103">
        <f t="shared" ref="L267" si="420">IF(L49=0,0,L49/L$46)</f>
        <v>0.44541211905983907</v>
      </c>
      <c r="M267" s="103">
        <f t="shared" ref="M267:V267" si="421">IF(M49=0,0,M49/M$46)</f>
        <v>0.4408973160533462</v>
      </c>
      <c r="N267" s="103">
        <f t="shared" si="421"/>
        <v>0.44124787139973271</v>
      </c>
      <c r="O267" s="103">
        <f t="shared" si="421"/>
        <v>0.45069350977163797</v>
      </c>
      <c r="P267" s="103">
        <f t="shared" si="421"/>
        <v>0.45561005462808185</v>
      </c>
      <c r="Q267" s="103">
        <f t="shared" si="421"/>
        <v>0.48355436771816079</v>
      </c>
      <c r="R267" s="103">
        <f t="shared" si="421"/>
        <v>0.49240501014145344</v>
      </c>
      <c r="S267" s="103">
        <f t="shared" si="421"/>
        <v>0.49080812181398364</v>
      </c>
      <c r="T267" s="103">
        <f t="shared" si="421"/>
        <v>0.48234499990477009</v>
      </c>
      <c r="U267" s="103">
        <f t="shared" si="421"/>
        <v>0.49280889640359443</v>
      </c>
      <c r="V267" s="103">
        <f t="shared" si="421"/>
        <v>0.47722777201504835</v>
      </c>
      <c r="W267" s="103">
        <f t="shared" ref="W267:Y267" si="422">IF(W49=0,0,W49/W$46)</f>
        <v>0.48063789931388312</v>
      </c>
      <c r="X267" s="103">
        <f t="shared" si="422"/>
        <v>0.48901557134471246</v>
      </c>
      <c r="Y267" s="103">
        <f t="shared" si="422"/>
        <v>0.50218117562147946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0</v>
      </c>
      <c r="C268" s="103">
        <f t="shared" si="423"/>
        <v>0</v>
      </c>
      <c r="D268" s="103">
        <f t="shared" si="423"/>
        <v>0</v>
      </c>
      <c r="E268" s="103">
        <f t="shared" si="423"/>
        <v>0</v>
      </c>
      <c r="F268" s="103">
        <f t="shared" si="423"/>
        <v>0</v>
      </c>
      <c r="G268" s="103">
        <f t="shared" si="423"/>
        <v>0</v>
      </c>
      <c r="H268" s="103">
        <f t="shared" si="423"/>
        <v>3.9191888436343388E-4</v>
      </c>
      <c r="I268" s="103">
        <f t="shared" si="423"/>
        <v>5.7617813738776978E-4</v>
      </c>
      <c r="J268" s="103">
        <f t="shared" si="423"/>
        <v>1.09496188706262E-3</v>
      </c>
      <c r="K268" s="103">
        <f t="shared" si="423"/>
        <v>1.4378008654369863E-3</v>
      </c>
      <c r="L268" s="103">
        <f t="shared" ref="L268" si="424">IF(L50=0,0,L50/L$46)</f>
        <v>1.6437456425840544E-3</v>
      </c>
      <c r="M268" s="103">
        <f t="shared" ref="M268:V268" si="425">IF(M50=0,0,M50/M$46)</f>
        <v>1.802680018401096E-3</v>
      </c>
      <c r="N268" s="103">
        <f t="shared" si="425"/>
        <v>2.0557409696906072E-3</v>
      </c>
      <c r="O268" s="103">
        <f t="shared" si="425"/>
        <v>2.1061840482733143E-3</v>
      </c>
      <c r="P268" s="103">
        <f t="shared" si="425"/>
        <v>2.2614978194458652E-3</v>
      </c>
      <c r="Q268" s="103">
        <f t="shared" si="425"/>
        <v>2.250056092546041E-3</v>
      </c>
      <c r="R268" s="103">
        <f t="shared" si="425"/>
        <v>2.2126150447767555E-3</v>
      </c>
      <c r="S268" s="103">
        <f t="shared" si="425"/>
        <v>2.2491355795796891E-3</v>
      </c>
      <c r="T268" s="103">
        <f t="shared" si="425"/>
        <v>2.2819937921375517E-3</v>
      </c>
      <c r="U268" s="103">
        <f t="shared" si="425"/>
        <v>2.2946409067918206E-3</v>
      </c>
      <c r="V268" s="103">
        <f t="shared" si="425"/>
        <v>2.3817374918256068E-3</v>
      </c>
      <c r="W268" s="103">
        <f t="shared" ref="W268:Y268" si="426">IF(W50=0,0,W50/W$46)</f>
        <v>2.6640039191447046E-3</v>
      </c>
      <c r="X268" s="103">
        <f t="shared" si="426"/>
        <v>2.813474970281624E-3</v>
      </c>
      <c r="Y268" s="103">
        <f t="shared" si="426"/>
        <v>2.8114763432029446E-3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0</v>
      </c>
      <c r="F269" s="103">
        <f t="shared" si="427"/>
        <v>0</v>
      </c>
      <c r="G269" s="103">
        <f t="shared" si="427"/>
        <v>0</v>
      </c>
      <c r="H269" s="103">
        <f t="shared" si="427"/>
        <v>2.1355532840241468E-3</v>
      </c>
      <c r="I269" s="103">
        <f t="shared" si="427"/>
        <v>2.5814875274954197E-3</v>
      </c>
      <c r="J269" s="103">
        <f t="shared" si="427"/>
        <v>2.9856944443658611E-3</v>
      </c>
      <c r="K269" s="103">
        <f t="shared" si="427"/>
        <v>3.2793973947242432E-3</v>
      </c>
      <c r="L269" s="103">
        <f t="shared" ref="L269" si="428">IF(L51=0,0,L51/L$46)</f>
        <v>3.4008898519639476E-3</v>
      </c>
      <c r="M269" s="103">
        <f t="shared" ref="M269:V269" si="429">IF(M51=0,0,M51/M$46)</f>
        <v>3.0743951984376914E-3</v>
      </c>
      <c r="N269" s="103">
        <f t="shared" si="429"/>
        <v>2.7917542412232259E-3</v>
      </c>
      <c r="O269" s="103">
        <f t="shared" si="429"/>
        <v>2.528818996751231E-3</v>
      </c>
      <c r="P269" s="103">
        <f t="shared" si="429"/>
        <v>2.4008933142924934E-3</v>
      </c>
      <c r="Q269" s="103">
        <f t="shared" si="429"/>
        <v>2.1593224826903347E-3</v>
      </c>
      <c r="R269" s="103">
        <f t="shared" si="429"/>
        <v>2.1815842445435376E-3</v>
      </c>
      <c r="S269" s="103">
        <f t="shared" si="429"/>
        <v>2.2502175574573998E-3</v>
      </c>
      <c r="T269" s="103">
        <f t="shared" si="429"/>
        <v>2.1732853401484069E-3</v>
      </c>
      <c r="U269" s="103">
        <f t="shared" si="429"/>
        <v>2.0164596590290756E-3</v>
      </c>
      <c r="V269" s="103">
        <f t="shared" si="429"/>
        <v>1.8411015848187866E-3</v>
      </c>
      <c r="W269" s="103">
        <f t="shared" ref="W269:Y269" si="430">IF(W51=0,0,W51/W$46)</f>
        <v>1.7154239919752302E-3</v>
      </c>
      <c r="X269" s="103">
        <f t="shared" si="430"/>
        <v>1.5385217812272747E-3</v>
      </c>
      <c r="Y269" s="103">
        <f t="shared" si="430"/>
        <v>1.3026851095314848E-3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1.7122816717217036E-4</v>
      </c>
      <c r="C270" s="103">
        <f t="shared" si="431"/>
        <v>1.6240226888580069E-4</v>
      </c>
      <c r="D270" s="103">
        <f t="shared" si="431"/>
        <v>1.5725218284941658E-4</v>
      </c>
      <c r="E270" s="103">
        <f t="shared" si="431"/>
        <v>1.4458081120977633E-4</v>
      </c>
      <c r="F270" s="103">
        <f t="shared" si="431"/>
        <v>1.3584884590766628E-4</v>
      </c>
      <c r="G270" s="103">
        <f t="shared" si="431"/>
        <v>1.2448009793558721E-4</v>
      </c>
      <c r="H270" s="103">
        <f t="shared" si="431"/>
        <v>1.1116956386767149E-4</v>
      </c>
      <c r="I270" s="103">
        <f t="shared" si="431"/>
        <v>9.5680000347480703E-5</v>
      </c>
      <c r="J270" s="103">
        <f t="shared" si="431"/>
        <v>9.8897328223284664E-5</v>
      </c>
      <c r="K270" s="103">
        <f t="shared" si="431"/>
        <v>1.1164713457360834E-4</v>
      </c>
      <c r="L270" s="103">
        <f t="shared" ref="L270" si="432">IF(L52=0,0,L52/L$46)</f>
        <v>1.4990434699239672E-4</v>
      </c>
      <c r="M270" s="103">
        <f t="shared" ref="M270:V270" si="433">IF(M52=0,0,M52/M$46)</f>
        <v>2.038001606654444E-4</v>
      </c>
      <c r="N270" s="103">
        <f t="shared" si="433"/>
        <v>3.7260595620019392E-4</v>
      </c>
      <c r="O270" s="103">
        <f t="shared" si="433"/>
        <v>3.8795082732387594E-4</v>
      </c>
      <c r="P270" s="103">
        <f t="shared" si="433"/>
        <v>4.5596572692696547E-4</v>
      </c>
      <c r="Q270" s="103">
        <f t="shared" si="433"/>
        <v>3.7750417264651034E-4</v>
      </c>
      <c r="R270" s="103">
        <f t="shared" si="433"/>
        <v>7.1719433395946142E-4</v>
      </c>
      <c r="S270" s="103">
        <f t="shared" si="433"/>
        <v>1.4897385096353946E-3</v>
      </c>
      <c r="T270" s="103">
        <f t="shared" si="433"/>
        <v>2.2364150383676891E-3</v>
      </c>
      <c r="U270" s="103">
        <f t="shared" si="433"/>
        <v>2.8274159732234929E-3</v>
      </c>
      <c r="V270" s="103">
        <f t="shared" si="433"/>
        <v>3.3909600330148215E-3</v>
      </c>
      <c r="W270" s="103">
        <f t="shared" ref="W270:Y270" si="434">IF(W52=0,0,W52/W$46)</f>
        <v>5.6556960645025734E-3</v>
      </c>
      <c r="X270" s="103">
        <f t="shared" si="434"/>
        <v>8.1667361631379901E-3</v>
      </c>
      <c r="Y270" s="103">
        <f t="shared" si="434"/>
        <v>9.8728879476183938E-3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0.50061462127301715</v>
      </c>
      <c r="C271" s="156">
        <f t="shared" si="435"/>
        <v>0.48666261279667455</v>
      </c>
      <c r="D271" s="156">
        <f t="shared" si="435"/>
        <v>0.47896319966610157</v>
      </c>
      <c r="E271" s="156">
        <f t="shared" si="435"/>
        <v>0.46761217185071929</v>
      </c>
      <c r="F271" s="156">
        <f t="shared" si="435"/>
        <v>0.4875769598968383</v>
      </c>
      <c r="G271" s="156">
        <f t="shared" si="435"/>
        <v>0.48812007165745419</v>
      </c>
      <c r="H271" s="156">
        <f t="shared" si="435"/>
        <v>0.5049936331774959</v>
      </c>
      <c r="I271" s="156">
        <f t="shared" si="435"/>
        <v>0.52032356881701103</v>
      </c>
      <c r="J271" s="156">
        <f t="shared" si="435"/>
        <v>0.53287256221698909</v>
      </c>
      <c r="K271" s="156">
        <f t="shared" si="435"/>
        <v>0.51210122817363324</v>
      </c>
      <c r="L271" s="156">
        <f t="shared" ref="L271" si="436">IF(L53=0,0,L53/L$46)</f>
        <v>0.52629037853671723</v>
      </c>
      <c r="M271" s="156">
        <f t="shared" ref="M271:V271" si="437">IF(M53=0,0,M53/M$46)</f>
        <v>0.53194099028165931</v>
      </c>
      <c r="N271" s="156">
        <f t="shared" si="437"/>
        <v>0.53248974879615785</v>
      </c>
      <c r="O271" s="156">
        <f t="shared" si="437"/>
        <v>0.52423367761111872</v>
      </c>
      <c r="P271" s="156">
        <f t="shared" si="437"/>
        <v>0.51983264408569574</v>
      </c>
      <c r="Q271" s="156">
        <f t="shared" si="437"/>
        <v>0.49385202866841843</v>
      </c>
      <c r="R271" s="156">
        <f t="shared" si="437"/>
        <v>0.48434368919868087</v>
      </c>
      <c r="S271" s="156">
        <f t="shared" si="437"/>
        <v>0.48430020946779589</v>
      </c>
      <c r="T271" s="156">
        <f t="shared" si="437"/>
        <v>0.49146296381118448</v>
      </c>
      <c r="U271" s="156">
        <f t="shared" si="437"/>
        <v>0.48072413297111821</v>
      </c>
      <c r="V271" s="156">
        <f t="shared" si="437"/>
        <v>0.49554869660273904</v>
      </c>
      <c r="W271" s="156">
        <f t="shared" ref="W271:Y271" si="438">IF(W53=0,0,W53/W$46)</f>
        <v>0.4880096572711064</v>
      </c>
      <c r="X271" s="156">
        <f t="shared" si="438"/>
        <v>0.47628534090690994</v>
      </c>
      <c r="Y271" s="156">
        <f t="shared" si="438"/>
        <v>0.46223665736956188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0.39295138102539257</v>
      </c>
      <c r="C272" s="104">
        <f t="shared" si="439"/>
        <v>0.37614176437217062</v>
      </c>
      <c r="D272" s="104">
        <f t="shared" si="439"/>
        <v>0.36204195782529736</v>
      </c>
      <c r="E272" s="104">
        <f t="shared" si="439"/>
        <v>0.35012720004650005</v>
      </c>
      <c r="F272" s="104">
        <f t="shared" si="439"/>
        <v>0.35077183039381377</v>
      </c>
      <c r="G272" s="104">
        <f t="shared" si="439"/>
        <v>0.3476106470736034</v>
      </c>
      <c r="H272" s="104">
        <f t="shared" si="439"/>
        <v>0.35749922892115549</v>
      </c>
      <c r="I272" s="104">
        <f t="shared" si="439"/>
        <v>0.36614966145883038</v>
      </c>
      <c r="J272" s="104">
        <f t="shared" si="439"/>
        <v>0.3729666518387203</v>
      </c>
      <c r="K272" s="104">
        <f t="shared" si="439"/>
        <v>0.36173996310744938</v>
      </c>
      <c r="L272" s="104">
        <f t="shared" ref="L272" si="440">IF(L54=0,0,L54/L$46)</f>
        <v>0.36706536505976062</v>
      </c>
      <c r="M272" s="104">
        <f t="shared" ref="M272:V272" si="441">IF(M54=0,0,M54/M$46)</f>
        <v>0.37570675049048596</v>
      </c>
      <c r="N272" s="104">
        <f t="shared" si="441"/>
        <v>0.3712768733298073</v>
      </c>
      <c r="O272" s="104">
        <f t="shared" si="441"/>
        <v>0.361939222834957</v>
      </c>
      <c r="P272" s="104">
        <f t="shared" si="441"/>
        <v>0.35939924680409158</v>
      </c>
      <c r="Q272" s="104">
        <f t="shared" si="441"/>
        <v>0.3430983371848621</v>
      </c>
      <c r="R272" s="104">
        <f t="shared" si="441"/>
        <v>0.32947513239569642</v>
      </c>
      <c r="S272" s="104">
        <f t="shared" si="441"/>
        <v>0.32104242704791403</v>
      </c>
      <c r="T272" s="104">
        <f t="shared" si="441"/>
        <v>0.33328376474868898</v>
      </c>
      <c r="U272" s="104">
        <f t="shared" si="441"/>
        <v>0.31794011265775918</v>
      </c>
      <c r="V272" s="104">
        <f t="shared" si="441"/>
        <v>0.32384025662866583</v>
      </c>
      <c r="W272" s="104">
        <f t="shared" ref="W272:Y272" si="442">IF(W54=0,0,W54/W$46)</f>
        <v>0.3147360540311212</v>
      </c>
      <c r="X272" s="104">
        <f t="shared" si="442"/>
        <v>0.30525218467686926</v>
      </c>
      <c r="Y272" s="104">
        <f t="shared" si="442"/>
        <v>0.2926033013159271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0.10766324024762465</v>
      </c>
      <c r="C273" s="105">
        <f t="shared" si="443"/>
        <v>0.11052084842450392</v>
      </c>
      <c r="D273" s="105">
        <f t="shared" si="443"/>
        <v>0.11692124184080419</v>
      </c>
      <c r="E273" s="105">
        <f t="shared" si="443"/>
        <v>0.11748497180421918</v>
      </c>
      <c r="F273" s="105">
        <f t="shared" si="443"/>
        <v>0.13680512950302451</v>
      </c>
      <c r="G273" s="105">
        <f t="shared" si="443"/>
        <v>0.14050942458385077</v>
      </c>
      <c r="H273" s="105">
        <f t="shared" si="443"/>
        <v>0.14749440425634033</v>
      </c>
      <c r="I273" s="105">
        <f t="shared" si="443"/>
        <v>0.15417390735818073</v>
      </c>
      <c r="J273" s="105">
        <f t="shared" si="443"/>
        <v>0.15990591037826882</v>
      </c>
      <c r="K273" s="105">
        <f t="shared" si="443"/>
        <v>0.15036126506618383</v>
      </c>
      <c r="L273" s="105">
        <f t="shared" ref="L273" si="444">IF(L55=0,0,L55/L$46)</f>
        <v>0.15922501347695656</v>
      </c>
      <c r="M273" s="105">
        <f t="shared" ref="M273:V273" si="445">IF(M55=0,0,M55/M$46)</f>
        <v>0.15623423979117332</v>
      </c>
      <c r="N273" s="105">
        <f t="shared" si="445"/>
        <v>0.16121287546635049</v>
      </c>
      <c r="O273" s="105">
        <f t="shared" si="445"/>
        <v>0.1622944547761617</v>
      </c>
      <c r="P273" s="105">
        <f t="shared" si="445"/>
        <v>0.16043339728160413</v>
      </c>
      <c r="Q273" s="105">
        <f t="shared" si="445"/>
        <v>0.15075369148355627</v>
      </c>
      <c r="R273" s="105">
        <f t="shared" si="445"/>
        <v>0.15486855680298448</v>
      </c>
      <c r="S273" s="105">
        <f t="shared" si="445"/>
        <v>0.16325778241988192</v>
      </c>
      <c r="T273" s="105">
        <f t="shared" si="445"/>
        <v>0.15817919906249553</v>
      </c>
      <c r="U273" s="105">
        <f t="shared" si="445"/>
        <v>0.16278402031335906</v>
      </c>
      <c r="V273" s="105">
        <f t="shared" si="445"/>
        <v>0.1717084399740732</v>
      </c>
      <c r="W273" s="105">
        <f t="shared" ref="W273:Y273" si="446">IF(W55=0,0,W55/W$46)</f>
        <v>0.1732736032399852</v>
      </c>
      <c r="X273" s="105">
        <f t="shared" si="446"/>
        <v>0.17103315623004064</v>
      </c>
      <c r="Y273" s="105">
        <f t="shared" si="446"/>
        <v>0.1696333560536348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56825.517318194725</v>
      </c>
      <c r="C4" s="145">
        <f t="shared" si="0"/>
        <v>55652.259904024162</v>
      </c>
      <c r="D4" s="145">
        <f t="shared" si="0"/>
        <v>55093.056353092186</v>
      </c>
      <c r="E4" s="145">
        <f t="shared" si="0"/>
        <v>52976.695096217052</v>
      </c>
      <c r="F4" s="145">
        <f t="shared" si="0"/>
        <v>53130.450394114974</v>
      </c>
      <c r="G4" s="145">
        <f t="shared" si="0"/>
        <v>51337.760400875668</v>
      </c>
      <c r="H4" s="145">
        <f t="shared" si="0"/>
        <v>52272.318314608252</v>
      </c>
      <c r="I4" s="145">
        <f t="shared" si="0"/>
        <v>51041.207571417806</v>
      </c>
      <c r="J4" s="145">
        <f t="shared" si="0"/>
        <v>50390.012286254911</v>
      </c>
      <c r="K4" s="145">
        <f t="shared" si="0"/>
        <v>49721.180130287219</v>
      </c>
      <c r="L4" s="145">
        <f t="shared" ref="L4" si="1">L5+L9+L10+L15</f>
        <v>50308.84086151325</v>
      </c>
      <c r="M4" s="145">
        <f t="shared" ref="M4:V4" si="2">M5+M9+M10+M15</f>
        <v>50885.432295173545</v>
      </c>
      <c r="N4" s="145">
        <f t="shared" si="2"/>
        <v>50549.819341093724</v>
      </c>
      <c r="O4" s="145">
        <f t="shared" si="2"/>
        <v>51625.047679110641</v>
      </c>
      <c r="P4" s="145">
        <f t="shared" si="2"/>
        <v>52808.627795384389</v>
      </c>
      <c r="Q4" s="145">
        <f t="shared" si="2"/>
        <v>52560.836465723456</v>
      </c>
      <c r="R4" s="145">
        <f t="shared" si="2"/>
        <v>53882.497631678423</v>
      </c>
      <c r="S4" s="145">
        <f t="shared" si="2"/>
        <v>54722.088446297079</v>
      </c>
      <c r="T4" s="145">
        <f t="shared" si="2"/>
        <v>52821.705579245885</v>
      </c>
      <c r="U4" s="145">
        <f t="shared" si="2"/>
        <v>53364.467626567071</v>
      </c>
      <c r="V4" s="145">
        <f t="shared" si="2"/>
        <v>48975.902323864677</v>
      </c>
      <c r="W4" s="145">
        <f t="shared" ref="W4:Y4" si="3">W5+W9+W10+W15</f>
        <v>47660.440129972812</v>
      </c>
      <c r="X4" s="145">
        <f t="shared" si="3"/>
        <v>48404.472142775958</v>
      </c>
      <c r="Y4" s="145">
        <f t="shared" si="3"/>
        <v>47009.400001970847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56568.768529664645</v>
      </c>
      <c r="C5" s="97">
        <f t="shared" si="4"/>
        <v>55296.297850386924</v>
      </c>
      <c r="D5" s="97">
        <f t="shared" si="4"/>
        <v>54547.900515907138</v>
      </c>
      <c r="E5" s="97">
        <f t="shared" si="4"/>
        <v>52246.540412725706</v>
      </c>
      <c r="F5" s="97">
        <f t="shared" si="4"/>
        <v>52170.328374892517</v>
      </c>
      <c r="G5" s="97">
        <f t="shared" si="4"/>
        <v>49448.009544282031</v>
      </c>
      <c r="H5" s="97">
        <f t="shared" si="4"/>
        <v>48836.590799656056</v>
      </c>
      <c r="I5" s="97">
        <f t="shared" si="4"/>
        <v>47164.637575236462</v>
      </c>
      <c r="J5" s="97">
        <f t="shared" si="4"/>
        <v>47394.732502149607</v>
      </c>
      <c r="K5" s="97">
        <f t="shared" si="4"/>
        <v>46966.586328460879</v>
      </c>
      <c r="L5" s="97">
        <f t="shared" ref="L5" si="5">SUM(L6:L8)</f>
        <v>47301.608168529667</v>
      </c>
      <c r="M5" s="97">
        <f t="shared" ref="M5:V5" si="6">SUM(M6:M8)</f>
        <v>47942.488048151325</v>
      </c>
      <c r="N5" s="97">
        <f t="shared" si="6"/>
        <v>47450.794067067924</v>
      </c>
      <c r="O5" s="97">
        <f t="shared" si="6"/>
        <v>48766.907996560622</v>
      </c>
      <c r="P5" s="97">
        <f t="shared" si="6"/>
        <v>49868.568443680138</v>
      </c>
      <c r="Q5" s="97">
        <f t="shared" si="6"/>
        <v>49825.936285468604</v>
      </c>
      <c r="R5" s="97">
        <f t="shared" si="6"/>
        <v>51150.501977644017</v>
      </c>
      <c r="S5" s="97">
        <f t="shared" si="6"/>
        <v>51967.355546001716</v>
      </c>
      <c r="T5" s="97">
        <f t="shared" si="6"/>
        <v>49979.993293207226</v>
      </c>
      <c r="U5" s="97">
        <f t="shared" si="6"/>
        <v>50500.276956147885</v>
      </c>
      <c r="V5" s="97">
        <f t="shared" si="6"/>
        <v>45386.991831470332</v>
      </c>
      <c r="W5" s="97">
        <f t="shared" ref="W5:Y5" si="7">SUM(W6:W8)</f>
        <v>44345.850644883918</v>
      </c>
      <c r="X5" s="97">
        <f t="shared" si="7"/>
        <v>44772.95855546002</v>
      </c>
      <c r="Y5" s="97">
        <f t="shared" si="7"/>
        <v>43218.420206362847</v>
      </c>
      <c r="DA5" s="175"/>
    </row>
    <row r="6" spans="1:105" ht="11.45" customHeight="1" x14ac:dyDescent="0.25">
      <c r="A6" s="128" t="s">
        <v>52</v>
      </c>
      <c r="B6" s="97">
        <v>71.173688736027515</v>
      </c>
      <c r="C6" s="97">
        <v>70.043938091143588</v>
      </c>
      <c r="D6" s="97">
        <v>82.471109200343932</v>
      </c>
      <c r="E6" s="97">
        <v>82.830008598452281</v>
      </c>
      <c r="F6" s="97">
        <v>111.00885640584696</v>
      </c>
      <c r="G6" s="97">
        <v>121.96001719690457</v>
      </c>
      <c r="H6" s="97">
        <v>175.67214101461735</v>
      </c>
      <c r="I6" s="97">
        <v>278.1936371453138</v>
      </c>
      <c r="J6" s="97">
        <v>439.8203783319002</v>
      </c>
      <c r="K6" s="97">
        <v>635.4713671539123</v>
      </c>
      <c r="L6" s="97">
        <v>618.97996560619094</v>
      </c>
      <c r="M6" s="97">
        <v>631.07368873602752</v>
      </c>
      <c r="N6" s="97">
        <v>628.87480653482373</v>
      </c>
      <c r="O6" s="97">
        <v>612.38331900257958</v>
      </c>
      <c r="P6" s="97">
        <v>645.73542562338764</v>
      </c>
      <c r="Q6" s="97">
        <v>593.7845227858985</v>
      </c>
      <c r="R6" s="97">
        <v>536.00730868443668</v>
      </c>
      <c r="S6" s="97">
        <v>496.9127257093723</v>
      </c>
      <c r="T6" s="97">
        <v>551.43938091143582</v>
      </c>
      <c r="U6" s="97">
        <v>478.39423903697337</v>
      </c>
      <c r="V6" s="97">
        <v>358.02407566637999</v>
      </c>
      <c r="W6" s="97">
        <v>339.50558899398101</v>
      </c>
      <c r="X6" s="97">
        <v>234.56749785038696</v>
      </c>
      <c r="Y6" s="97">
        <v>302.46861564918322</v>
      </c>
      <c r="DA6" s="175" t="s">
        <v>630</v>
      </c>
    </row>
    <row r="7" spans="1:105" ht="11.45" customHeight="1" x14ac:dyDescent="0.25">
      <c r="A7" s="128" t="s">
        <v>53</v>
      </c>
      <c r="B7" s="97">
        <v>30251.655202063619</v>
      </c>
      <c r="C7" s="97">
        <v>29346.96663800516</v>
      </c>
      <c r="D7" s="97">
        <v>28549.16878761823</v>
      </c>
      <c r="E7" s="97">
        <v>26498.152966466034</v>
      </c>
      <c r="F7" s="97">
        <v>25619.524763542559</v>
      </c>
      <c r="G7" s="97">
        <v>23721.512553740329</v>
      </c>
      <c r="H7" s="97">
        <v>22593.105245055889</v>
      </c>
      <c r="I7" s="97">
        <v>21322.217110920039</v>
      </c>
      <c r="J7" s="97">
        <v>20740.853396388651</v>
      </c>
      <c r="K7" s="97">
        <v>19720.6067927773</v>
      </c>
      <c r="L7" s="97">
        <v>18859.48125537403</v>
      </c>
      <c r="M7" s="97">
        <v>18779.4007738607</v>
      </c>
      <c r="N7" s="97">
        <v>17617.713327601032</v>
      </c>
      <c r="O7" s="97">
        <v>17590.67308684437</v>
      </c>
      <c r="P7" s="97">
        <v>17682.19372312984</v>
      </c>
      <c r="Q7" s="97">
        <v>16926.336113499568</v>
      </c>
      <c r="R7" s="97">
        <v>16938.454514187441</v>
      </c>
      <c r="S7" s="97">
        <v>17186.881169389511</v>
      </c>
      <c r="T7" s="97">
        <v>16413.32502149613</v>
      </c>
      <c r="U7" s="97">
        <v>16585.00197764402</v>
      </c>
      <c r="V7" s="97">
        <v>14914.686414445399</v>
      </c>
      <c r="W7" s="97">
        <v>14795.52235597592</v>
      </c>
      <c r="X7" s="97">
        <v>15346.90834049871</v>
      </c>
      <c r="Y7" s="97">
        <v>15249.96130696474</v>
      </c>
      <c r="DA7" s="175" t="s">
        <v>631</v>
      </c>
    </row>
    <row r="8" spans="1:105" ht="11.45" customHeight="1" x14ac:dyDescent="0.25">
      <c r="A8" s="128" t="s">
        <v>54</v>
      </c>
      <c r="B8" s="97">
        <v>26245.939638864998</v>
      </c>
      <c r="C8" s="97">
        <v>25879.287274290618</v>
      </c>
      <c r="D8" s="97">
        <v>25916.26061908856</v>
      </c>
      <c r="E8" s="97">
        <v>25665.55743766122</v>
      </c>
      <c r="F8" s="97">
        <v>26439.794754944109</v>
      </c>
      <c r="G8" s="97">
        <v>25604.536973344799</v>
      </c>
      <c r="H8" s="97">
        <v>26067.813413585551</v>
      </c>
      <c r="I8" s="97">
        <v>25564.226827171111</v>
      </c>
      <c r="J8" s="97">
        <v>26214.058727429059</v>
      </c>
      <c r="K8" s="97">
        <v>26610.508168529661</v>
      </c>
      <c r="L8" s="97">
        <v>27823.146947549441</v>
      </c>
      <c r="M8" s="97">
        <v>28532.0135855546</v>
      </c>
      <c r="N8" s="97">
        <v>29204.205932932069</v>
      </c>
      <c r="O8" s="97">
        <v>30563.851590713672</v>
      </c>
      <c r="P8" s="97">
        <v>31540.63929492691</v>
      </c>
      <c r="Q8" s="97">
        <v>32305.81564918314</v>
      </c>
      <c r="R8" s="97">
        <v>33676.040154772141</v>
      </c>
      <c r="S8" s="97">
        <v>34283.561650902833</v>
      </c>
      <c r="T8" s="97">
        <v>33015.228890799663</v>
      </c>
      <c r="U8" s="97">
        <v>33436.880739466891</v>
      </c>
      <c r="V8" s="97">
        <v>30114.28134135855</v>
      </c>
      <c r="W8" s="97">
        <v>29210.822699914017</v>
      </c>
      <c r="X8" s="97">
        <v>29191.482717110925</v>
      </c>
      <c r="Y8" s="97">
        <v>27665.990283748928</v>
      </c>
      <c r="DA8" s="175" t="s">
        <v>632</v>
      </c>
    </row>
    <row r="9" spans="1:105" ht="11.45" customHeight="1" x14ac:dyDescent="0.25">
      <c r="A9" s="92" t="s">
        <v>55</v>
      </c>
      <c r="B9" s="97">
        <v>18.572656921754081</v>
      </c>
      <c r="C9" s="97">
        <v>25.193465176268269</v>
      </c>
      <c r="D9" s="97">
        <v>32.867583834909723</v>
      </c>
      <c r="E9" s="97">
        <v>40.800171969045557</v>
      </c>
      <c r="F9" s="97">
        <v>53.073344797936372</v>
      </c>
      <c r="G9" s="97">
        <v>74.52734307824592</v>
      </c>
      <c r="H9" s="97">
        <v>105.931728288908</v>
      </c>
      <c r="I9" s="97">
        <v>106.70679277730009</v>
      </c>
      <c r="J9" s="97">
        <v>96.731728288907988</v>
      </c>
      <c r="K9" s="97">
        <v>146.4118658641444</v>
      </c>
      <c r="L9" s="97">
        <v>138.5226999140155</v>
      </c>
      <c r="M9" s="97">
        <v>166.46552020636281</v>
      </c>
      <c r="N9" s="97">
        <v>169.86190885640579</v>
      </c>
      <c r="O9" s="97">
        <v>175.9693895098882</v>
      </c>
      <c r="P9" s="97">
        <v>177.98744625967319</v>
      </c>
      <c r="Q9" s="97">
        <v>176.4402407566638</v>
      </c>
      <c r="R9" s="97">
        <v>162.50980223559759</v>
      </c>
      <c r="S9" s="97">
        <v>143.0274290627687</v>
      </c>
      <c r="T9" s="97">
        <v>125.450214961307</v>
      </c>
      <c r="U9" s="97">
        <v>142.3174548581255</v>
      </c>
      <c r="V9" s="97">
        <v>133.21263972484951</v>
      </c>
      <c r="W9" s="97">
        <v>172.32634773704274</v>
      </c>
      <c r="X9" s="97">
        <v>272.43396912424959</v>
      </c>
      <c r="Y9" s="97">
        <v>284.27000692668508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236.49561478933788</v>
      </c>
      <c r="C10" s="97">
        <f t="shared" ref="C10:W10" si="8">SUM(C11:C13)</f>
        <v>328.93860705073087</v>
      </c>
      <c r="D10" s="97">
        <f t="shared" si="8"/>
        <v>510.23215821152183</v>
      </c>
      <c r="E10" s="97">
        <f t="shared" si="8"/>
        <v>687.43981083404981</v>
      </c>
      <c r="F10" s="97">
        <f t="shared" si="8"/>
        <v>905.29879621668101</v>
      </c>
      <c r="G10" s="97">
        <f t="shared" si="8"/>
        <v>1813.6105760963023</v>
      </c>
      <c r="H10" s="97">
        <f t="shared" si="8"/>
        <v>3328.3162510748061</v>
      </c>
      <c r="I10" s="97">
        <f t="shared" si="8"/>
        <v>3768.5088564058465</v>
      </c>
      <c r="J10" s="97">
        <f t="shared" si="8"/>
        <v>2896.8820292347373</v>
      </c>
      <c r="K10" s="97">
        <f t="shared" si="8"/>
        <v>2606.4233018056748</v>
      </c>
      <c r="L10" s="97">
        <f t="shared" si="8"/>
        <v>2866.7928632846092</v>
      </c>
      <c r="M10" s="97">
        <f t="shared" si="8"/>
        <v>2773.8750644883926</v>
      </c>
      <c r="N10" s="97">
        <f t="shared" si="8"/>
        <v>2925.6773000859848</v>
      </c>
      <c r="O10" s="97">
        <f t="shared" si="8"/>
        <v>2677.3409286328456</v>
      </c>
      <c r="P10" s="97">
        <f t="shared" si="8"/>
        <v>2754.9957867583835</v>
      </c>
      <c r="Q10" s="97">
        <f t="shared" si="8"/>
        <v>2548.448323301805</v>
      </c>
      <c r="R10" s="97">
        <f t="shared" si="8"/>
        <v>2554.9929492691313</v>
      </c>
      <c r="S10" s="97">
        <f t="shared" si="8"/>
        <v>2589.7844368013748</v>
      </c>
      <c r="T10" s="97">
        <f t="shared" si="8"/>
        <v>2683.1063628546858</v>
      </c>
      <c r="U10" s="97">
        <f t="shared" si="8"/>
        <v>2664.7890799656061</v>
      </c>
      <c r="V10" s="97">
        <f t="shared" si="8"/>
        <v>3329.0608770421318</v>
      </c>
      <c r="W10" s="97">
        <f t="shared" si="8"/>
        <v>2864.6035748768859</v>
      </c>
      <c r="X10" s="97">
        <f t="shared" ref="X10:Y10" si="9">SUM(X11:X13)</f>
        <v>2936.6623335412705</v>
      </c>
      <c r="Y10" s="97">
        <f t="shared" si="9"/>
        <v>2948.7989526605893</v>
      </c>
      <c r="DA10" s="175"/>
    </row>
    <row r="11" spans="1:105" ht="11.45" customHeight="1" x14ac:dyDescent="0.25">
      <c r="A11" s="128" t="s">
        <v>57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0.3343938091143594</v>
      </c>
      <c r="K11" s="97">
        <v>1.1226139294926909</v>
      </c>
      <c r="L11" s="97">
        <v>6.44883920894239</v>
      </c>
      <c r="M11" s="97">
        <v>7.9535683576956142</v>
      </c>
      <c r="N11" s="97">
        <v>28.661478933791919</v>
      </c>
      <c r="O11" s="97">
        <v>41.487532244196039</v>
      </c>
      <c r="P11" s="97">
        <v>38.62141014617368</v>
      </c>
      <c r="Q11" s="97">
        <v>29.664660361134999</v>
      </c>
      <c r="R11" s="97">
        <v>32.554686156491833</v>
      </c>
      <c r="S11" s="97">
        <v>38.287016337059327</v>
      </c>
      <c r="T11" s="97">
        <v>33.414531384350823</v>
      </c>
      <c r="U11" s="97">
        <v>56.797592433361991</v>
      </c>
      <c r="V11" s="97">
        <v>75.976870163370592</v>
      </c>
      <c r="W11" s="97">
        <v>1.7821647307130528</v>
      </c>
      <c r="X11" s="97">
        <v>3.1935459230419299</v>
      </c>
      <c r="Y11" s="97">
        <v>4.0662785419304814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41.788650042992252</v>
      </c>
      <c r="G12" s="97">
        <v>153.01057609630271</v>
      </c>
      <c r="H12" s="97">
        <v>329.16560619088563</v>
      </c>
      <c r="I12" s="97">
        <v>295.09183147033531</v>
      </c>
      <c r="J12" s="97">
        <v>401.81349957007745</v>
      </c>
      <c r="K12" s="97">
        <v>573.46818572656923</v>
      </c>
      <c r="L12" s="97">
        <v>748.98022355975934</v>
      </c>
      <c r="M12" s="97">
        <v>781.624505588994</v>
      </c>
      <c r="N12" s="97">
        <v>791.76723989681852</v>
      </c>
      <c r="O12" s="97">
        <v>765.14256233877904</v>
      </c>
      <c r="P12" s="97">
        <v>779.08882201203778</v>
      </c>
      <c r="Q12" s="97">
        <v>744.22312983662937</v>
      </c>
      <c r="R12" s="97">
        <v>744.85709372312976</v>
      </c>
      <c r="S12" s="97">
        <v>733.44651762682713</v>
      </c>
      <c r="T12" s="97">
        <v>746.75881341358559</v>
      </c>
      <c r="U12" s="97">
        <v>718.866294067068</v>
      </c>
      <c r="V12" s="97">
        <v>690.33989681857258</v>
      </c>
      <c r="W12" s="97">
        <v>734.71435941530513</v>
      </c>
      <c r="X12" s="97">
        <v>748.02665520206347</v>
      </c>
      <c r="Y12" s="97">
        <v>786.6958727429062</v>
      </c>
      <c r="DA12" s="175" t="s">
        <v>635</v>
      </c>
    </row>
    <row r="13" spans="1:105" ht="11.45" customHeight="1" x14ac:dyDescent="0.25">
      <c r="A13" s="128" t="s">
        <v>177</v>
      </c>
      <c r="B13" s="97">
        <v>236.49561478933788</v>
      </c>
      <c r="C13" s="97">
        <v>328.93860705073087</v>
      </c>
      <c r="D13" s="97">
        <v>510.23215821152183</v>
      </c>
      <c r="E13" s="97">
        <v>687.43981083404981</v>
      </c>
      <c r="F13" s="97">
        <v>863.51014617368878</v>
      </c>
      <c r="G13" s="97">
        <v>1660.5999999999997</v>
      </c>
      <c r="H13" s="97">
        <v>2999.1506448839204</v>
      </c>
      <c r="I13" s="97">
        <v>3473.4170249355111</v>
      </c>
      <c r="J13" s="97">
        <v>2494.7341358555454</v>
      </c>
      <c r="K13" s="97">
        <v>2031.8325021496128</v>
      </c>
      <c r="L13" s="97">
        <v>2111.3638005159073</v>
      </c>
      <c r="M13" s="97">
        <v>1984.2969905417028</v>
      </c>
      <c r="N13" s="97">
        <v>2105.2485812553741</v>
      </c>
      <c r="O13" s="97">
        <v>1870.7108340498705</v>
      </c>
      <c r="P13" s="97">
        <v>1937.285554600172</v>
      </c>
      <c r="Q13" s="97">
        <v>1774.5605331040406</v>
      </c>
      <c r="R13" s="97">
        <v>1777.5811693895098</v>
      </c>
      <c r="S13" s="97">
        <v>1818.0509028374886</v>
      </c>
      <c r="T13" s="97">
        <v>1902.9330180567495</v>
      </c>
      <c r="U13" s="97">
        <v>1889.1251934651764</v>
      </c>
      <c r="V13" s="97">
        <v>2562.7441100601886</v>
      </c>
      <c r="W13" s="97">
        <v>2128.1070507308677</v>
      </c>
      <c r="X13" s="97">
        <v>2185.4421324161649</v>
      </c>
      <c r="Y13" s="97">
        <v>2158.0368013757525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1.6805168189909381</v>
      </c>
      <c r="C15" s="98">
        <v>1.8299814102346297</v>
      </c>
      <c r="D15" s="98">
        <v>2.0560951386229203</v>
      </c>
      <c r="E15" s="98">
        <v>1.9147006882578657</v>
      </c>
      <c r="F15" s="98">
        <v>1.7498782078423245</v>
      </c>
      <c r="G15" s="98">
        <v>1.6129374190857881</v>
      </c>
      <c r="H15" s="98">
        <v>1.4795355884784722</v>
      </c>
      <c r="I15" s="98">
        <v>1.3543469981984253</v>
      </c>
      <c r="J15" s="98">
        <v>1.6660265816590387</v>
      </c>
      <c r="K15" s="98">
        <v>1.758634156517866</v>
      </c>
      <c r="L15" s="98">
        <v>1.9171297849579032</v>
      </c>
      <c r="M15" s="98">
        <v>2.6036623274606523</v>
      </c>
      <c r="N15" s="98">
        <v>3.4860650834084757</v>
      </c>
      <c r="O15" s="98">
        <v>4.8293644072859498</v>
      </c>
      <c r="P15" s="98">
        <v>7.0761186861994867</v>
      </c>
      <c r="Q15" s="98">
        <v>10.011616196378661</v>
      </c>
      <c r="R15" s="98">
        <v>14.4929025296837</v>
      </c>
      <c r="S15" s="98">
        <v>21.921034431215283</v>
      </c>
      <c r="T15" s="98">
        <v>33.155708222671386</v>
      </c>
      <c r="U15" s="98">
        <v>57.084135595454065</v>
      </c>
      <c r="V15" s="98">
        <v>126.63697562736078</v>
      </c>
      <c r="W15" s="98">
        <v>277.6595624749699</v>
      </c>
      <c r="X15" s="98">
        <v>422.41728465041695</v>
      </c>
      <c r="Y15" s="98">
        <v>557.91083602072331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56825.517318194725</v>
      </c>
      <c r="C17" s="79">
        <f t="shared" si="10"/>
        <v>55652.259904024155</v>
      </c>
      <c r="D17" s="79">
        <f t="shared" si="10"/>
        <v>55093.056353092194</v>
      </c>
      <c r="E17" s="79">
        <f t="shared" si="10"/>
        <v>52976.695096217052</v>
      </c>
      <c r="F17" s="79">
        <f t="shared" si="10"/>
        <v>53130.450394114967</v>
      </c>
      <c r="G17" s="79">
        <f t="shared" si="10"/>
        <v>51337.760400875661</v>
      </c>
      <c r="H17" s="79">
        <f t="shared" si="10"/>
        <v>52272.318314608252</v>
      </c>
      <c r="I17" s="79">
        <f t="shared" si="10"/>
        <v>51041.207571417814</v>
      </c>
      <c r="J17" s="79">
        <f t="shared" si="10"/>
        <v>50390.012286254918</v>
      </c>
      <c r="K17" s="79">
        <f t="shared" si="10"/>
        <v>49721.180130287212</v>
      </c>
      <c r="L17" s="79">
        <f t="shared" ref="L17" si="11">L18+L42</f>
        <v>50308.84086151325</v>
      </c>
      <c r="M17" s="79">
        <f t="shared" ref="M17:V17" si="12">M18+M42</f>
        <v>50885.432295173538</v>
      </c>
      <c r="N17" s="79">
        <f t="shared" si="12"/>
        <v>50549.819341093731</v>
      </c>
      <c r="O17" s="79">
        <f t="shared" si="12"/>
        <v>51625.047679110648</v>
      </c>
      <c r="P17" s="79">
        <f t="shared" si="12"/>
        <v>52808.627795384396</v>
      </c>
      <c r="Q17" s="79">
        <f t="shared" si="12"/>
        <v>52560.836465723449</v>
      </c>
      <c r="R17" s="79">
        <f t="shared" si="12"/>
        <v>53882.49763167843</v>
      </c>
      <c r="S17" s="79">
        <f t="shared" si="12"/>
        <v>54722.088446297072</v>
      </c>
      <c r="T17" s="79">
        <f t="shared" si="12"/>
        <v>52821.7055792459</v>
      </c>
      <c r="U17" s="79">
        <f t="shared" si="12"/>
        <v>53364.467626567071</v>
      </c>
      <c r="V17" s="79">
        <f t="shared" si="12"/>
        <v>48975.902323864677</v>
      </c>
      <c r="W17" s="79">
        <f t="shared" ref="W17:Y17" si="13">W18+W42</f>
        <v>47660.440129972812</v>
      </c>
      <c r="X17" s="79">
        <f t="shared" si="13"/>
        <v>48404.472142775965</v>
      </c>
      <c r="Y17" s="79">
        <f t="shared" si="13"/>
        <v>47009.400001970847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40506.647449270706</v>
      </c>
      <c r="C18" s="32">
        <f t="shared" si="14"/>
        <v>40226.719601299781</v>
      </c>
      <c r="D18" s="32">
        <f t="shared" si="14"/>
        <v>40147.875226372322</v>
      </c>
      <c r="E18" s="32">
        <f t="shared" si="14"/>
        <v>39050.260361251982</v>
      </c>
      <c r="F18" s="32">
        <f t="shared" si="14"/>
        <v>39375.501054512613</v>
      </c>
      <c r="G18" s="32">
        <f t="shared" si="14"/>
        <v>37943.180937964353</v>
      </c>
      <c r="H18" s="32">
        <f t="shared" si="14"/>
        <v>36987.908491156879</v>
      </c>
      <c r="I18" s="32">
        <f t="shared" si="14"/>
        <v>35916.25995425885</v>
      </c>
      <c r="J18" s="32">
        <f t="shared" si="14"/>
        <v>35549.789567180385</v>
      </c>
      <c r="K18" s="32">
        <f t="shared" si="14"/>
        <v>35602.653672726439</v>
      </c>
      <c r="L18" s="32">
        <f t="shared" ref="L18" si="15">L19+L21+L33</f>
        <v>34982.987946431233</v>
      </c>
      <c r="M18" s="32">
        <f t="shared" ref="M18:V18" si="16">M19+M21+M33</f>
        <v>35714.711244585087</v>
      </c>
      <c r="N18" s="32">
        <f t="shared" si="16"/>
        <v>34696.731456945454</v>
      </c>
      <c r="O18" s="32">
        <f t="shared" si="16"/>
        <v>35816.575546523651</v>
      </c>
      <c r="P18" s="32">
        <f t="shared" si="16"/>
        <v>36425.222972781121</v>
      </c>
      <c r="Q18" s="32">
        <f t="shared" si="16"/>
        <v>37262.971022573627</v>
      </c>
      <c r="R18" s="32">
        <f t="shared" si="16"/>
        <v>38093.438894880426</v>
      </c>
      <c r="S18" s="32">
        <f t="shared" si="16"/>
        <v>38151.53937593459</v>
      </c>
      <c r="T18" s="32">
        <f t="shared" si="16"/>
        <v>35924.393412643905</v>
      </c>
      <c r="U18" s="32">
        <f t="shared" si="16"/>
        <v>36536.144116746727</v>
      </c>
      <c r="V18" s="32">
        <f t="shared" si="16"/>
        <v>31741.42798972108</v>
      </c>
      <c r="W18" s="32">
        <f t="shared" ref="W18:Y18" si="17">W19+W21+W33</f>
        <v>31533.515191621922</v>
      </c>
      <c r="X18" s="32">
        <f t="shared" si="17"/>
        <v>32790.912170936215</v>
      </c>
      <c r="Y18" s="32">
        <f t="shared" si="17"/>
        <v>32833.79049716593</v>
      </c>
      <c r="DA18" s="173" t="s">
        <v>391</v>
      </c>
    </row>
    <row r="19" spans="1:105" ht="11.45" customHeight="1" x14ac:dyDescent="0.25">
      <c r="A19" s="107" t="s">
        <v>174</v>
      </c>
      <c r="B19" s="129">
        <v>476.06641532138588</v>
      </c>
      <c r="C19" s="129">
        <v>475.40420640856058</v>
      </c>
      <c r="D19" s="129">
        <v>487.54763808366761</v>
      </c>
      <c r="E19" s="129">
        <v>475.00605848139679</v>
      </c>
      <c r="F19" s="129">
        <v>487.89198569822372</v>
      </c>
      <c r="G19" s="129">
        <v>488.19319165918006</v>
      </c>
      <c r="H19" s="129">
        <v>493.93907693535124</v>
      </c>
      <c r="I19" s="129">
        <v>419.12407373964072</v>
      </c>
      <c r="J19" s="129">
        <v>420.59060845466132</v>
      </c>
      <c r="K19" s="129">
        <v>424.9778484806983</v>
      </c>
      <c r="L19" s="129">
        <v>420.82579126051849</v>
      </c>
      <c r="M19" s="129">
        <v>435.56708668223428</v>
      </c>
      <c r="N19" s="129">
        <v>430.47073732542918</v>
      </c>
      <c r="O19" s="129">
        <v>438.92301773693509</v>
      </c>
      <c r="P19" s="129">
        <v>441.60123142356821</v>
      </c>
      <c r="Q19" s="129">
        <v>453.35878251801307</v>
      </c>
      <c r="R19" s="129">
        <v>460.47457849130012</v>
      </c>
      <c r="S19" s="129">
        <v>430.55147628715872</v>
      </c>
      <c r="T19" s="129">
        <v>404.96124143269674</v>
      </c>
      <c r="U19" s="129">
        <v>433.7024403055006</v>
      </c>
      <c r="V19" s="129">
        <v>379.22675957127336</v>
      </c>
      <c r="W19" s="129">
        <v>403.33623073932108</v>
      </c>
      <c r="X19" s="129">
        <v>404.45352283000034</v>
      </c>
      <c r="Y19" s="129">
        <v>430.83517560744593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0.79451691035929994</v>
      </c>
      <c r="G20" s="97">
        <v>3.1288047554219367</v>
      </c>
      <c r="H20" s="97">
        <v>7.0930038623092182</v>
      </c>
      <c r="I20" s="97">
        <v>5.7213453747986405</v>
      </c>
      <c r="J20" s="97">
        <v>7.9932671266640742</v>
      </c>
      <c r="K20" s="97">
        <v>12.008986662380703</v>
      </c>
      <c r="L20" s="97">
        <v>16.074193049599433</v>
      </c>
      <c r="M20" s="97">
        <v>17.404502264843334</v>
      </c>
      <c r="N20" s="97">
        <v>18.513973074843154</v>
      </c>
      <c r="O20" s="97">
        <v>18.29603700970123</v>
      </c>
      <c r="P20" s="97">
        <v>18.636114925795859</v>
      </c>
      <c r="Q20" s="97">
        <v>19.093911370785708</v>
      </c>
      <c r="R20" s="97">
        <v>19.396126917481823</v>
      </c>
      <c r="S20" s="97">
        <v>17.621691213308562</v>
      </c>
      <c r="T20" s="97">
        <v>17.622779646074161</v>
      </c>
      <c r="U20" s="97">
        <v>18.017593586282501</v>
      </c>
      <c r="V20" s="97">
        <v>16.776348648916162</v>
      </c>
      <c r="W20" s="97">
        <v>19.081288059372568</v>
      </c>
      <c r="X20" s="97">
        <v>18.797343136087882</v>
      </c>
      <c r="Y20" s="97">
        <v>21.135093846847568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37832.487790592233</v>
      </c>
      <c r="C21" s="130">
        <f t="shared" si="18"/>
        <v>37609.219054880043</v>
      </c>
      <c r="D21" s="130">
        <f t="shared" si="18"/>
        <v>37579.636072787835</v>
      </c>
      <c r="E21" s="130">
        <f t="shared" si="18"/>
        <v>36516.00748976662</v>
      </c>
      <c r="F21" s="130">
        <f t="shared" si="18"/>
        <v>36825.965480703948</v>
      </c>
      <c r="G21" s="130">
        <f t="shared" si="18"/>
        <v>35451.810734110259</v>
      </c>
      <c r="H21" s="130">
        <f t="shared" si="18"/>
        <v>34466.47949779495</v>
      </c>
      <c r="I21" s="130">
        <f t="shared" si="18"/>
        <v>33610.075583456921</v>
      </c>
      <c r="J21" s="130">
        <f t="shared" si="18"/>
        <v>33320.225144364478</v>
      </c>
      <c r="K21" s="130">
        <f t="shared" si="18"/>
        <v>33351.387058498673</v>
      </c>
      <c r="L21" s="130">
        <f t="shared" ref="L21" si="19">L22+L24+L26+L27+L29+L32</f>
        <v>32649.015636931166</v>
      </c>
      <c r="M21" s="130">
        <f t="shared" ref="M21:V21" si="20">M22+M24+M26+M27+M29+M32</f>
        <v>33257.716115314943</v>
      </c>
      <c r="N21" s="130">
        <f t="shared" si="20"/>
        <v>32113.006163632155</v>
      </c>
      <c r="O21" s="130">
        <f t="shared" si="20"/>
        <v>33082.720679248428</v>
      </c>
      <c r="P21" s="130">
        <f t="shared" si="20"/>
        <v>33620.652976834222</v>
      </c>
      <c r="Q21" s="130">
        <f t="shared" si="20"/>
        <v>34352.304524632971</v>
      </c>
      <c r="R21" s="130">
        <f t="shared" si="20"/>
        <v>35113.377352866664</v>
      </c>
      <c r="S21" s="130">
        <f t="shared" si="20"/>
        <v>35240.744878679834</v>
      </c>
      <c r="T21" s="130">
        <f t="shared" si="20"/>
        <v>33054.752078658676</v>
      </c>
      <c r="U21" s="130">
        <f t="shared" si="20"/>
        <v>33640.033962723435</v>
      </c>
      <c r="V21" s="130">
        <f t="shared" si="20"/>
        <v>29075.740284619107</v>
      </c>
      <c r="W21" s="130">
        <f t="shared" ref="W21:Y21" si="21">W22+W24+W26+W27+W29+W32</f>
        <v>28940.364098857081</v>
      </c>
      <c r="X21" s="130">
        <f t="shared" si="21"/>
        <v>30033.681376592715</v>
      </c>
      <c r="Y21" s="130">
        <f t="shared" si="21"/>
        <v>30021.278344427556</v>
      </c>
      <c r="DA21" s="176" t="s">
        <v>393</v>
      </c>
    </row>
    <row r="22" spans="1:105" ht="11.45" customHeight="1" x14ac:dyDescent="0.25">
      <c r="A22" s="111" t="s">
        <v>110</v>
      </c>
      <c r="B22" s="96">
        <v>29431.270948188721</v>
      </c>
      <c r="C22" s="96">
        <v>28551.023041498593</v>
      </c>
      <c r="D22" s="96">
        <v>27757.44041124131</v>
      </c>
      <c r="E22" s="96">
        <v>25748.137120891541</v>
      </c>
      <c r="F22" s="96">
        <v>24921.811852558334</v>
      </c>
      <c r="G22" s="96">
        <v>23157.375830870969</v>
      </c>
      <c r="H22" s="96">
        <v>22223.821352414165</v>
      </c>
      <c r="I22" s="96">
        <v>21002.579009752415</v>
      </c>
      <c r="J22" s="96">
        <v>20551.015297619309</v>
      </c>
      <c r="K22" s="96">
        <v>19709.85688450982</v>
      </c>
      <c r="L22" s="96">
        <v>19039.537553012859</v>
      </c>
      <c r="M22" s="96">
        <v>18982.663410880992</v>
      </c>
      <c r="N22" s="96">
        <v>17848.094761639622</v>
      </c>
      <c r="O22" s="96">
        <v>17789.90925848778</v>
      </c>
      <c r="P22" s="96">
        <v>17892.75279701273</v>
      </c>
      <c r="Q22" s="96">
        <v>17091.58596776257</v>
      </c>
      <c r="R22" s="96">
        <v>17087.756281319824</v>
      </c>
      <c r="S22" s="96">
        <v>17345.7435719163</v>
      </c>
      <c r="T22" s="96">
        <v>16605.612070625495</v>
      </c>
      <c r="U22" s="96">
        <v>16709.79265973713</v>
      </c>
      <c r="V22" s="96">
        <v>15048.063689986104</v>
      </c>
      <c r="W22" s="96">
        <v>14893.772000804036</v>
      </c>
      <c r="X22" s="96">
        <v>15414.487362559579</v>
      </c>
      <c r="Y22" s="96">
        <v>15326.235193288931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40.584394771956433</v>
      </c>
      <c r="G23" s="96">
        <v>148.41441638396446</v>
      </c>
      <c r="H23" s="96">
        <v>319.13581663953966</v>
      </c>
      <c r="I23" s="96">
        <v>286.70032528586052</v>
      </c>
      <c r="J23" s="96">
        <v>390.56924167087965</v>
      </c>
      <c r="K23" s="96">
        <v>556.95940221284525</v>
      </c>
      <c r="L23" s="96">
        <v>727.24915762771025</v>
      </c>
      <c r="M23" s="96">
        <v>758.51417251016187</v>
      </c>
      <c r="N23" s="96">
        <v>767.62278408819736</v>
      </c>
      <c r="O23" s="96">
        <v>741.55335910771396</v>
      </c>
      <c r="P23" s="96">
        <v>755.09616761949155</v>
      </c>
      <c r="Q23" s="96">
        <v>719.8387684077934</v>
      </c>
      <c r="R23" s="96">
        <v>719.77109062870545</v>
      </c>
      <c r="S23" s="96">
        <v>709.92983167865975</v>
      </c>
      <c r="T23" s="96">
        <v>722.62975432787869</v>
      </c>
      <c r="U23" s="96">
        <v>694.18620942532823</v>
      </c>
      <c r="V23" s="96">
        <v>665.70081509993224</v>
      </c>
      <c r="W23" s="96">
        <v>704.60408011705476</v>
      </c>
      <c r="X23" s="96">
        <v>716.40223626562602</v>
      </c>
      <c r="Y23" s="96">
        <v>751.84534009395622</v>
      </c>
      <c r="DA23" s="171" t="s">
        <v>642</v>
      </c>
    </row>
    <row r="24" spans="1:105" ht="11.45" customHeight="1" x14ac:dyDescent="0.25">
      <c r="A24" s="111" t="s">
        <v>111</v>
      </c>
      <c r="B24" s="96">
        <v>8330.0431536674896</v>
      </c>
      <c r="C24" s="96">
        <v>8988.1520752903089</v>
      </c>
      <c r="D24" s="96">
        <v>9739.7245523461788</v>
      </c>
      <c r="E24" s="96">
        <v>10685.040360276629</v>
      </c>
      <c r="F24" s="96">
        <v>11793.243299400199</v>
      </c>
      <c r="G24" s="96">
        <v>12129.978167417001</v>
      </c>
      <c r="H24" s="96">
        <v>12022.720513154734</v>
      </c>
      <c r="I24" s="96">
        <v>12288.690584852066</v>
      </c>
      <c r="J24" s="96">
        <v>12295.618189106268</v>
      </c>
      <c r="K24" s="96">
        <v>12930.031452170699</v>
      </c>
      <c r="L24" s="96">
        <v>12913.567335235184</v>
      </c>
      <c r="M24" s="96">
        <v>13562.426884891869</v>
      </c>
      <c r="N24" s="96">
        <v>13556.220669031796</v>
      </c>
      <c r="O24" s="96">
        <v>14596.121964157208</v>
      </c>
      <c r="P24" s="96">
        <v>14995.320865143058</v>
      </c>
      <c r="Q24" s="96">
        <v>16586.705503422101</v>
      </c>
      <c r="R24" s="96">
        <v>17405.875854401405</v>
      </c>
      <c r="S24" s="96">
        <v>17307.110132811515</v>
      </c>
      <c r="T24" s="96">
        <v>15792.222300086925</v>
      </c>
      <c r="U24" s="96">
        <v>16316.719095130546</v>
      </c>
      <c r="V24" s="96">
        <v>13465.705214777558</v>
      </c>
      <c r="W24" s="96">
        <v>13336.440983524733</v>
      </c>
      <c r="X24" s="96">
        <v>13847.139740771014</v>
      </c>
      <c r="Y24" s="96">
        <v>13722.551292178941</v>
      </c>
      <c r="DA24" s="171" t="s">
        <v>643</v>
      </c>
    </row>
    <row r="25" spans="1:105" ht="11.45" customHeight="1" x14ac:dyDescent="0.25">
      <c r="A25" s="160" t="s">
        <v>131</v>
      </c>
      <c r="B25" s="96">
        <v>74.389634411603552</v>
      </c>
      <c r="C25" s="96">
        <v>112.81000999426719</v>
      </c>
      <c r="D25" s="96">
        <v>188.05070807572605</v>
      </c>
      <c r="E25" s="96">
        <v>278.72814825426212</v>
      </c>
      <c r="F25" s="96">
        <v>372.97994811280256</v>
      </c>
      <c r="G25" s="96">
        <v>738.78380895372356</v>
      </c>
      <c r="H25" s="96">
        <v>1240.5131099262728</v>
      </c>
      <c r="I25" s="96">
        <v>1469.9452651525398</v>
      </c>
      <c r="J25" s="96">
        <v>1068.4635388149256</v>
      </c>
      <c r="K25" s="96">
        <v>917.23153705908817</v>
      </c>
      <c r="L25" s="96">
        <v>910.82960522086955</v>
      </c>
      <c r="M25" s="96">
        <v>881.88520643819697</v>
      </c>
      <c r="N25" s="96">
        <v>911.52065002383915</v>
      </c>
      <c r="O25" s="96">
        <v>841.85268590566557</v>
      </c>
      <c r="P25" s="96">
        <v>867.74250880865372</v>
      </c>
      <c r="Q25" s="96">
        <v>863.66749014614538</v>
      </c>
      <c r="R25" s="96">
        <v>872.69948738437108</v>
      </c>
      <c r="S25" s="96">
        <v>871.57345549668128</v>
      </c>
      <c r="T25" s="96">
        <v>860.62781087298413</v>
      </c>
      <c r="U25" s="96">
        <v>872.56751232581257</v>
      </c>
      <c r="V25" s="96">
        <v>1056.0678718533627</v>
      </c>
      <c r="W25" s="96">
        <v>905.62678159457778</v>
      </c>
      <c r="X25" s="96">
        <v>964.47063401088315</v>
      </c>
      <c r="Y25" s="96">
        <v>992.95010069444947</v>
      </c>
      <c r="DA25" s="171" t="s">
        <v>644</v>
      </c>
    </row>
    <row r="26" spans="1:105" ht="11.45" customHeight="1" x14ac:dyDescent="0.25">
      <c r="A26" s="111" t="s">
        <v>112</v>
      </c>
      <c r="B26" s="96">
        <v>71.173688736027515</v>
      </c>
      <c r="C26" s="96">
        <v>70.043938091143588</v>
      </c>
      <c r="D26" s="96">
        <v>82.471109200343932</v>
      </c>
      <c r="E26" s="96">
        <v>82.830008598452281</v>
      </c>
      <c r="F26" s="96">
        <v>110.91032874541264</v>
      </c>
      <c r="G26" s="96">
        <v>121.85993879741382</v>
      </c>
      <c r="H26" s="96">
        <v>171.6994854418904</v>
      </c>
      <c r="I26" s="96">
        <v>272.35547977280049</v>
      </c>
      <c r="J26" s="96">
        <v>429.10136466968873</v>
      </c>
      <c r="K26" s="96">
        <v>621.94247961881445</v>
      </c>
      <c r="L26" s="96">
        <v>603.86694746647117</v>
      </c>
      <c r="M26" s="96">
        <v>614.31496862539325</v>
      </c>
      <c r="N26" s="96">
        <v>610.34021571361893</v>
      </c>
      <c r="O26" s="96">
        <v>592.90577404648548</v>
      </c>
      <c r="P26" s="96">
        <v>624.47778892046404</v>
      </c>
      <c r="Q26" s="96">
        <v>571.26718595973045</v>
      </c>
      <c r="R26" s="96">
        <v>512.52667497851849</v>
      </c>
      <c r="S26" s="96">
        <v>472.41764377067295</v>
      </c>
      <c r="T26" s="96">
        <v>527.00213529025916</v>
      </c>
      <c r="U26" s="96">
        <v>452.80724353447982</v>
      </c>
      <c r="V26" s="96">
        <v>331.71548267557495</v>
      </c>
      <c r="W26" s="96">
        <v>308.41758438110492</v>
      </c>
      <c r="X26" s="96">
        <v>201.24210363024704</v>
      </c>
      <c r="Y26" s="96">
        <v>269.79314626592389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42.596797024870448</v>
      </c>
      <c r="H27" s="96">
        <v>48.233456045934325</v>
      </c>
      <c r="I27" s="96">
        <v>46.444089751164164</v>
      </c>
      <c r="J27" s="96">
        <v>44.172727220065354</v>
      </c>
      <c r="K27" s="96">
        <v>89.168335032362307</v>
      </c>
      <c r="L27" s="96">
        <v>91.481402416923999</v>
      </c>
      <c r="M27" s="96">
        <v>97.127549319302048</v>
      </c>
      <c r="N27" s="96">
        <v>96.33619651380576</v>
      </c>
      <c r="O27" s="96">
        <v>100.18786008533223</v>
      </c>
      <c r="P27" s="96">
        <v>101.99468256885211</v>
      </c>
      <c r="Q27" s="96">
        <v>92.281423534951216</v>
      </c>
      <c r="R27" s="96">
        <v>91.008458728626096</v>
      </c>
      <c r="S27" s="96">
        <v>90.929457908237396</v>
      </c>
      <c r="T27" s="96">
        <v>92.040585371570856</v>
      </c>
      <c r="U27" s="96">
        <v>94.849180043895998</v>
      </c>
      <c r="V27" s="96">
        <v>81.732862927186829</v>
      </c>
      <c r="W27" s="96">
        <v>78.819535730466626</v>
      </c>
      <c r="X27" s="96">
        <v>82.415478584548723</v>
      </c>
      <c r="Y27" s="96">
        <v>85.144952992928324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0.15217550876474284</v>
      </c>
      <c r="K28" s="96">
        <v>0.67849641058156385</v>
      </c>
      <c r="L28" s="96">
        <v>4.069411543564633</v>
      </c>
      <c r="M28" s="96">
        <v>4.4290485020095902</v>
      </c>
      <c r="N28" s="96">
        <v>13.908375721756729</v>
      </c>
      <c r="O28" s="96">
        <v>19.11434707269397</v>
      </c>
      <c r="P28" s="96">
        <v>18.18567593949081</v>
      </c>
      <c r="Q28" s="96">
        <v>13.282057204655054</v>
      </c>
      <c r="R28" s="96">
        <v>15.188576023849002</v>
      </c>
      <c r="S28" s="96">
        <v>19.200994343145346</v>
      </c>
      <c r="T28" s="96">
        <v>19.35919138309465</v>
      </c>
      <c r="U28" s="96">
        <v>27.055740608520495</v>
      </c>
      <c r="V28" s="96">
        <v>29.685078941184166</v>
      </c>
      <c r="W28" s="96">
        <v>0.80679223938593569</v>
      </c>
      <c r="X28" s="96">
        <v>0.95490327075682591</v>
      </c>
      <c r="Y28" s="96">
        <v>1.200761446815924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7.766621608487137E-2</v>
      </c>
      <c r="N29" s="96">
        <v>0.3146265758924745</v>
      </c>
      <c r="O29" s="96">
        <v>0.78313225497745309</v>
      </c>
      <c r="P29" s="96">
        <v>1.8310824359258882</v>
      </c>
      <c r="Q29" s="96">
        <v>4.610819598817061</v>
      </c>
      <c r="R29" s="96">
        <v>8.3727075399415014</v>
      </c>
      <c r="S29" s="96">
        <v>12.320810397243127</v>
      </c>
      <c r="T29" s="96">
        <v>18.706870911677093</v>
      </c>
      <c r="U29" s="96">
        <v>31.479030430190988</v>
      </c>
      <c r="V29" s="96">
        <v>73.526154285753506</v>
      </c>
      <c r="W29" s="96">
        <v>152.91956678106106</v>
      </c>
      <c r="X29" s="96">
        <v>235.9200898234788</v>
      </c>
      <c r="Y29" s="96">
        <v>260.4955312590622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2.233922831494766E-3</v>
      </c>
      <c r="N30" s="96">
        <v>8.6863984225027183E-3</v>
      </c>
      <c r="O30" s="96">
        <v>2.1139785004631491E-2</v>
      </c>
      <c r="P30" s="96">
        <v>4.6401338309178336E-2</v>
      </c>
      <c r="Q30" s="96">
        <v>0.11671588514171614</v>
      </c>
      <c r="R30" s="96">
        <v>0.21429281738730135</v>
      </c>
      <c r="S30" s="96">
        <v>0.30612536429377868</v>
      </c>
      <c r="T30" s="96">
        <v>0.49565089524749101</v>
      </c>
      <c r="U30" s="96">
        <v>0.79688196022474156</v>
      </c>
      <c r="V30" s="96">
        <v>1.6948517365907143</v>
      </c>
      <c r="W30" s="96">
        <v>3.540626125589339</v>
      </c>
      <c r="X30" s="96">
        <v>5.0791715257147523</v>
      </c>
      <c r="Y30" s="96">
        <v>5.6973029382623235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2.1759804928685303E-2</v>
      </c>
      <c r="N31" s="96">
        <v>0.11265802389549223</v>
      </c>
      <c r="O31" s="96">
        <v>0.27598755344329368</v>
      </c>
      <c r="P31" s="96">
        <v>0.73155669149771196</v>
      </c>
      <c r="Q31" s="96">
        <v>1.8395607110586809</v>
      </c>
      <c r="R31" s="96">
        <v>3.2852797673796883</v>
      </c>
      <c r="S31" s="96">
        <v>4.8412373000770419</v>
      </c>
      <c r="T31" s="96">
        <v>7.3171011995326243</v>
      </c>
      <c r="U31" s="96">
        <v>12.297242966185395</v>
      </c>
      <c r="V31" s="96">
        <v>35.214293613820843</v>
      </c>
      <c r="W31" s="96">
        <v>78.078560686039197</v>
      </c>
      <c r="X31" s="96">
        <v>126.63396349378203</v>
      </c>
      <c r="Y31" s="96">
        <v>144.35701161576355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4.6907382266212442E-3</v>
      </c>
      <c r="I32" s="96">
        <v>6.4193284678030135E-3</v>
      </c>
      <c r="J32" s="96">
        <v>0.31756574914509217</v>
      </c>
      <c r="K32" s="96">
        <v>0.38790716696995375</v>
      </c>
      <c r="L32" s="96">
        <v>0.56239879972631679</v>
      </c>
      <c r="M32" s="96">
        <v>1.1056353812984576</v>
      </c>
      <c r="N32" s="96">
        <v>1.6996941574165632</v>
      </c>
      <c r="O32" s="96">
        <v>2.8126902166452403</v>
      </c>
      <c r="P32" s="96">
        <v>4.2757607531911681</v>
      </c>
      <c r="Q32" s="96">
        <v>5.8536243547998286</v>
      </c>
      <c r="R32" s="96">
        <v>7.8373758983516231</v>
      </c>
      <c r="S32" s="96">
        <v>12.223261875871602</v>
      </c>
      <c r="T32" s="96">
        <v>19.168116372742539</v>
      </c>
      <c r="U32" s="96">
        <v>34.38675384719145</v>
      </c>
      <c r="V32" s="96">
        <v>74.996879966928887</v>
      </c>
      <c r="W32" s="96">
        <v>169.99442763568172</v>
      </c>
      <c r="X32" s="96">
        <v>252.47660122384596</v>
      </c>
      <c r="Y32" s="96">
        <v>357.05822844177192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2198.0932433570833</v>
      </c>
      <c r="C33" s="130">
        <f t="shared" si="22"/>
        <v>2142.0963400111782</v>
      </c>
      <c r="D33" s="130">
        <f t="shared" si="22"/>
        <v>2080.6915155008178</v>
      </c>
      <c r="E33" s="130">
        <f t="shared" si="22"/>
        <v>2059.2468130039665</v>
      </c>
      <c r="F33" s="130">
        <f t="shared" si="22"/>
        <v>2061.643588110443</v>
      </c>
      <c r="G33" s="130">
        <f t="shared" si="22"/>
        <v>2003.1770121949178</v>
      </c>
      <c r="H33" s="130">
        <f t="shared" si="22"/>
        <v>2027.4899164265801</v>
      </c>
      <c r="I33" s="130">
        <f t="shared" si="22"/>
        <v>1887.060297062289</v>
      </c>
      <c r="J33" s="130">
        <f t="shared" si="22"/>
        <v>1808.9738143612515</v>
      </c>
      <c r="K33" s="130">
        <f t="shared" si="22"/>
        <v>1826.2887657470724</v>
      </c>
      <c r="L33" s="130">
        <f t="shared" ref="L33" si="23">L34+L36+L38+L39+L41</f>
        <v>1913.1465182395489</v>
      </c>
      <c r="M33" s="130">
        <f t="shared" ref="M33:V33" si="24">M34+M36+M38+M39+M41</f>
        <v>2021.4280425879108</v>
      </c>
      <c r="N33" s="130">
        <f t="shared" si="24"/>
        <v>2153.2545559878677</v>
      </c>
      <c r="O33" s="130">
        <f t="shared" si="24"/>
        <v>2294.9318495382877</v>
      </c>
      <c r="P33" s="130">
        <f t="shared" si="24"/>
        <v>2362.9687645233284</v>
      </c>
      <c r="Q33" s="130">
        <f t="shared" si="24"/>
        <v>2457.3077154226416</v>
      </c>
      <c r="R33" s="130">
        <f t="shared" si="24"/>
        <v>2519.5869635224617</v>
      </c>
      <c r="S33" s="130">
        <f t="shared" si="24"/>
        <v>2480.2430209675922</v>
      </c>
      <c r="T33" s="130">
        <f t="shared" si="24"/>
        <v>2464.680092552529</v>
      </c>
      <c r="U33" s="130">
        <f t="shared" si="24"/>
        <v>2462.4077137177869</v>
      </c>
      <c r="V33" s="130">
        <f t="shared" si="24"/>
        <v>2286.4609455307</v>
      </c>
      <c r="W33" s="130">
        <f t="shared" ref="W33:Y33" si="25">W34+W36+W38+W39+W41</f>
        <v>2189.8148620255206</v>
      </c>
      <c r="X33" s="130">
        <f t="shared" si="25"/>
        <v>2352.7772715135002</v>
      </c>
      <c r="Y33" s="130">
        <f t="shared" si="25"/>
        <v>2381.6769771309291</v>
      </c>
      <c r="DA33" s="176" t="s">
        <v>394</v>
      </c>
    </row>
    <row r="34" spans="1:105" ht="11.45" customHeight="1" x14ac:dyDescent="0.25">
      <c r="A34" s="111" t="s">
        <v>110</v>
      </c>
      <c r="B34" s="97">
        <v>0</v>
      </c>
      <c r="C34" s="97">
        <v>0</v>
      </c>
      <c r="D34" s="97">
        <v>0</v>
      </c>
      <c r="E34" s="97">
        <v>0</v>
      </c>
      <c r="F34" s="97">
        <v>0</v>
      </c>
      <c r="G34" s="97">
        <v>0</v>
      </c>
      <c r="H34" s="97">
        <v>0</v>
      </c>
      <c r="I34" s="97">
        <v>0</v>
      </c>
      <c r="J34" s="97">
        <v>0</v>
      </c>
      <c r="K34" s="97">
        <v>0</v>
      </c>
      <c r="L34" s="97">
        <v>0</v>
      </c>
      <c r="M34" s="97">
        <v>0</v>
      </c>
      <c r="N34" s="97">
        <v>0</v>
      </c>
      <c r="O34" s="97">
        <v>0</v>
      </c>
      <c r="P34" s="97">
        <v>0</v>
      </c>
      <c r="Q34" s="97">
        <v>0</v>
      </c>
      <c r="R34" s="97">
        <v>0</v>
      </c>
      <c r="S34" s="97">
        <v>0</v>
      </c>
      <c r="T34" s="97">
        <v>0</v>
      </c>
      <c r="U34" s="97">
        <v>0</v>
      </c>
      <c r="V34" s="97">
        <v>0</v>
      </c>
      <c r="W34" s="97">
        <v>0</v>
      </c>
      <c r="X34" s="97">
        <v>0</v>
      </c>
      <c r="Y34" s="97">
        <v>0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0</v>
      </c>
      <c r="I35" s="97">
        <v>0</v>
      </c>
      <c r="J35" s="97">
        <v>0</v>
      </c>
      <c r="K35" s="97">
        <v>0</v>
      </c>
      <c r="L35" s="97">
        <v>0</v>
      </c>
      <c r="M35" s="97">
        <v>0</v>
      </c>
      <c r="N35" s="97">
        <v>0</v>
      </c>
      <c r="O35" s="97">
        <v>0</v>
      </c>
      <c r="P35" s="97">
        <v>0</v>
      </c>
      <c r="Q35" s="97">
        <v>0</v>
      </c>
      <c r="R35" s="97">
        <v>0</v>
      </c>
      <c r="S35" s="97">
        <v>0</v>
      </c>
      <c r="T35" s="97">
        <v>0</v>
      </c>
      <c r="U35" s="97">
        <v>0</v>
      </c>
      <c r="V35" s="97">
        <v>0</v>
      </c>
      <c r="W35" s="97">
        <v>0</v>
      </c>
      <c r="X35" s="97">
        <v>0</v>
      </c>
      <c r="Y35" s="97">
        <v>0</v>
      </c>
      <c r="DA35" s="175" t="s">
        <v>653</v>
      </c>
    </row>
    <row r="36" spans="1:105" ht="11.45" customHeight="1" x14ac:dyDescent="0.25">
      <c r="A36" s="111" t="s">
        <v>111</v>
      </c>
      <c r="B36" s="97">
        <v>2178.0496260062187</v>
      </c>
      <c r="C36" s="97">
        <v>2115.2791873145948</v>
      </c>
      <c r="D36" s="97">
        <v>2045.9664322181802</v>
      </c>
      <c r="E36" s="97">
        <v>2016.7176156521059</v>
      </c>
      <c r="F36" s="97">
        <v>2006.8988439440643</v>
      </c>
      <c r="G36" s="97">
        <v>1969.696853519142</v>
      </c>
      <c r="H36" s="97">
        <v>1983.1763990539571</v>
      </c>
      <c r="I36" s="97">
        <v>1843.5688239386391</v>
      </c>
      <c r="J36" s="97">
        <v>1775.5620295359479</v>
      </c>
      <c r="K36" s="97">
        <v>1788.5042710629559</v>
      </c>
      <c r="L36" s="97">
        <v>1880.8690816679964</v>
      </c>
      <c r="M36" s="97">
        <v>1963.451577085511</v>
      </c>
      <c r="N36" s="97">
        <v>2067.9825761357115</v>
      </c>
      <c r="O36" s="97">
        <v>2193.1962745400747</v>
      </c>
      <c r="P36" s="97">
        <v>2263.3212569563289</v>
      </c>
      <c r="Q36" s="97">
        <v>2357.4007373985596</v>
      </c>
      <c r="R36" s="97">
        <v>2429.064325808748</v>
      </c>
      <c r="S36" s="97">
        <v>2404.0816537713199</v>
      </c>
      <c r="T36" s="97">
        <v>2410.3693205652612</v>
      </c>
      <c r="U36" s="97">
        <v>2368.214739632871</v>
      </c>
      <c r="V36" s="97">
        <v>2163.1754107468023</v>
      </c>
      <c r="W36" s="97">
        <v>2091.498492036641</v>
      </c>
      <c r="X36" s="97">
        <v>2148.4197596744793</v>
      </c>
      <c r="Y36" s="97">
        <v>2156.9647850053175</v>
      </c>
      <c r="DA36" s="175" t="s">
        <v>654</v>
      </c>
    </row>
    <row r="37" spans="1:105" ht="11.45" customHeight="1" x14ac:dyDescent="0.25">
      <c r="A37" s="160" t="s">
        <v>131</v>
      </c>
      <c r="B37" s="97">
        <v>19.450597364264269</v>
      </c>
      <c r="C37" s="97">
        <v>26.548801607133186</v>
      </c>
      <c r="D37" s="97">
        <v>39.502701971701569</v>
      </c>
      <c r="E37" s="97">
        <v>52.6077532334103</v>
      </c>
      <c r="F37" s="97">
        <v>63.4713460647395</v>
      </c>
      <c r="G37" s="97">
        <v>119.96560289249948</v>
      </c>
      <c r="H37" s="97">
        <v>204.62559365253614</v>
      </c>
      <c r="I37" s="97">
        <v>220.52351672617704</v>
      </c>
      <c r="J37" s="97">
        <v>154.29263175593832</v>
      </c>
      <c r="K37" s="97">
        <v>126.8730495863114</v>
      </c>
      <c r="L37" s="97">
        <v>132.66289621252827</v>
      </c>
      <c r="M37" s="97">
        <v>127.67175919807836</v>
      </c>
      <c r="N37" s="97">
        <v>139.05120520377511</v>
      </c>
      <c r="O37" s="97">
        <v>126.49580340407022</v>
      </c>
      <c r="P37" s="97">
        <v>130.97286036183152</v>
      </c>
      <c r="Q37" s="97">
        <v>122.74953442186727</v>
      </c>
      <c r="R37" s="97">
        <v>121.78894125692129</v>
      </c>
      <c r="S37" s="97">
        <v>121.06780035456224</v>
      </c>
      <c r="T37" s="97">
        <v>131.35775525032119</v>
      </c>
      <c r="U37" s="97">
        <v>126.64477656120627</v>
      </c>
      <c r="V37" s="97">
        <v>169.65023487710715</v>
      </c>
      <c r="W37" s="97">
        <v>142.02567614500501</v>
      </c>
      <c r="X37" s="97">
        <v>149.64012832439138</v>
      </c>
      <c r="Y37" s="97">
        <v>156.07581672411678</v>
      </c>
      <c r="DA37" s="175" t="s">
        <v>655</v>
      </c>
    </row>
    <row r="38" spans="1:105" ht="11.45" customHeight="1" x14ac:dyDescent="0.25">
      <c r="A38" s="111" t="s">
        <v>112</v>
      </c>
      <c r="B38" s="97">
        <v>0</v>
      </c>
      <c r="C38" s="97">
        <v>0</v>
      </c>
      <c r="D38" s="97">
        <v>0</v>
      </c>
      <c r="E38" s="97">
        <v>0</v>
      </c>
      <c r="F38" s="97">
        <v>9.8527660434318223E-2</v>
      </c>
      <c r="G38" s="97">
        <v>0.100078399490761</v>
      </c>
      <c r="H38" s="97">
        <v>0.10371584445062933</v>
      </c>
      <c r="I38" s="97">
        <v>0.13227980104437509</v>
      </c>
      <c r="J38" s="97">
        <v>0.1820262470699511</v>
      </c>
      <c r="K38" s="97">
        <v>0.23786437474374544</v>
      </c>
      <c r="L38" s="97">
        <v>0.25925514578405923</v>
      </c>
      <c r="M38" s="97">
        <v>0.25121466549465876</v>
      </c>
      <c r="N38" s="97">
        <v>0.24479221560284103</v>
      </c>
      <c r="O38" s="97">
        <v>0.23903773371367407</v>
      </c>
      <c r="P38" s="97">
        <v>0.23555608952874368</v>
      </c>
      <c r="Q38" s="97">
        <v>0.23564609394141883</v>
      </c>
      <c r="R38" s="97">
        <v>0.23988518739369602</v>
      </c>
      <c r="S38" s="97">
        <v>0.22281444825252514</v>
      </c>
      <c r="T38" s="97">
        <v>0.21861247673910966</v>
      </c>
      <c r="U38" s="97">
        <v>0.22871206190551793</v>
      </c>
      <c r="V38" s="97">
        <v>0.19225620850346911</v>
      </c>
      <c r="W38" s="97">
        <v>0.19205823693367333</v>
      </c>
      <c r="X38" s="97">
        <v>0.15427412451210162</v>
      </c>
      <c r="Y38" s="97">
        <v>9.6951060871155403E-2</v>
      </c>
      <c r="DA38" s="175" t="s">
        <v>656</v>
      </c>
    </row>
    <row r="39" spans="1:105" ht="11.45" customHeight="1" x14ac:dyDescent="0.25">
      <c r="A39" s="111" t="s">
        <v>113</v>
      </c>
      <c r="B39" s="97">
        <v>18.572656921754081</v>
      </c>
      <c r="C39" s="97">
        <v>25.193465176268269</v>
      </c>
      <c r="D39" s="97">
        <v>32.867583834909723</v>
      </c>
      <c r="E39" s="97">
        <v>40.800171969045557</v>
      </c>
      <c r="F39" s="97">
        <v>53.073344797936372</v>
      </c>
      <c r="G39" s="97">
        <v>31.930546053375473</v>
      </c>
      <c r="H39" s="97">
        <v>42.882188987150251</v>
      </c>
      <c r="I39" s="97">
        <v>42.138534495675678</v>
      </c>
      <c r="J39" s="97">
        <v>32.011393082637596</v>
      </c>
      <c r="K39" s="97">
        <v>36.315341310854052</v>
      </c>
      <c r="L39" s="97">
        <v>30.84360709653933</v>
      </c>
      <c r="M39" s="97">
        <v>56.493953370589217</v>
      </c>
      <c r="N39" s="97">
        <v>83.784842445718738</v>
      </c>
      <c r="O39" s="97">
        <v>100.21662327233162</v>
      </c>
      <c r="P39" s="97">
        <v>97.909260732385789</v>
      </c>
      <c r="Q39" s="97">
        <v>97.889874418291626</v>
      </c>
      <c r="R39" s="97">
        <v>88.098029647017029</v>
      </c>
      <c r="S39" s="97">
        <v>73.557590875851503</v>
      </c>
      <c r="T39" s="97">
        <v>51.135258684718352</v>
      </c>
      <c r="U39" s="97">
        <v>89.044493712815623</v>
      </c>
      <c r="V39" s="97">
        <v>114.0634499649058</v>
      </c>
      <c r="W39" s="97">
        <v>82.460801395496816</v>
      </c>
      <c r="X39" s="97">
        <v>181.62626281831328</v>
      </c>
      <c r="Y39" s="97">
        <v>193.46744602661357</v>
      </c>
      <c r="DA39" s="175" t="s">
        <v>657</v>
      </c>
    </row>
    <row r="40" spans="1:105" ht="11.45" customHeight="1" x14ac:dyDescent="0.25">
      <c r="A40" s="160" t="s">
        <v>132</v>
      </c>
      <c r="B40" s="97">
        <v>0</v>
      </c>
      <c r="C40" s="97">
        <v>0</v>
      </c>
      <c r="D40" s="97">
        <v>0</v>
      </c>
      <c r="E40" s="97">
        <v>0</v>
      </c>
      <c r="F40" s="97">
        <v>0</v>
      </c>
      <c r="G40" s="97">
        <v>0</v>
      </c>
      <c r="H40" s="97">
        <v>0</v>
      </c>
      <c r="I40" s="97">
        <v>0</v>
      </c>
      <c r="J40" s="97">
        <v>0.11027958505595165</v>
      </c>
      <c r="K40" s="97">
        <v>0.2763293574957546</v>
      </c>
      <c r="L40" s="97">
        <v>1.3720311172296693</v>
      </c>
      <c r="M40" s="97">
        <v>2.576143033590192</v>
      </c>
      <c r="N40" s="97">
        <v>12.096295169347366</v>
      </c>
      <c r="O40" s="97">
        <v>19.119834659101695</v>
      </c>
      <c r="P40" s="97">
        <v>17.457244263222368</v>
      </c>
      <c r="Q40" s="97">
        <v>14.089281048940606</v>
      </c>
      <c r="R40" s="97">
        <v>14.702848938855141</v>
      </c>
      <c r="S40" s="97">
        <v>15.532687852686244</v>
      </c>
      <c r="T40" s="97">
        <v>10.755442887559933</v>
      </c>
      <c r="U40" s="97">
        <v>25.399953098129231</v>
      </c>
      <c r="V40" s="97">
        <v>41.427430720596455</v>
      </c>
      <c r="W40" s="97">
        <v>0.84406402553467563</v>
      </c>
      <c r="X40" s="97">
        <v>2.1044046021357703</v>
      </c>
      <c r="Y40" s="97">
        <v>2.7283854443139139</v>
      </c>
      <c r="DA40" s="175" t="s">
        <v>658</v>
      </c>
    </row>
    <row r="41" spans="1:105" ht="11.45" customHeight="1" x14ac:dyDescent="0.25">
      <c r="A41" s="111" t="s">
        <v>115</v>
      </c>
      <c r="B41" s="97">
        <v>1.4709604291107035</v>
      </c>
      <c r="C41" s="97">
        <v>1.6236875203154759</v>
      </c>
      <c r="D41" s="97">
        <v>1.8574994477280884</v>
      </c>
      <c r="E41" s="97">
        <v>1.729025382815061</v>
      </c>
      <c r="F41" s="97">
        <v>1.572871708008412</v>
      </c>
      <c r="G41" s="97">
        <v>1.449534222909399</v>
      </c>
      <c r="H41" s="97">
        <v>1.3276125410219828</v>
      </c>
      <c r="I41" s="97">
        <v>1.2206588269299248</v>
      </c>
      <c r="J41" s="97">
        <v>1.2183654955961964</v>
      </c>
      <c r="K41" s="97">
        <v>1.231288998518596</v>
      </c>
      <c r="L41" s="97">
        <v>1.1745743292291795</v>
      </c>
      <c r="M41" s="97">
        <v>1.2312974663159475</v>
      </c>
      <c r="N41" s="97">
        <v>1.2423451908345029</v>
      </c>
      <c r="O41" s="97">
        <v>1.2799139921676539</v>
      </c>
      <c r="P41" s="97">
        <v>1.5026907450849034</v>
      </c>
      <c r="Q41" s="97">
        <v>1.7814575118493192</v>
      </c>
      <c r="R41" s="97">
        <v>2.1847228793032651</v>
      </c>
      <c r="S41" s="97">
        <v>2.380961872168625</v>
      </c>
      <c r="T41" s="97">
        <v>2.9569008258102887</v>
      </c>
      <c r="U41" s="97">
        <v>4.9197683101951126</v>
      </c>
      <c r="V41" s="97">
        <v>9.029828610488476</v>
      </c>
      <c r="W41" s="97">
        <v>15.663510356449338</v>
      </c>
      <c r="X41" s="97">
        <v>22.576974896195679</v>
      </c>
      <c r="Y41" s="97">
        <v>31.147795038126656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16318.869868924021</v>
      </c>
      <c r="C42" s="32">
        <f t="shared" si="26"/>
        <v>15425.540302724376</v>
      </c>
      <c r="D42" s="32">
        <f t="shared" si="26"/>
        <v>14945.181126719872</v>
      </c>
      <c r="E42" s="32">
        <f t="shared" si="26"/>
        <v>13926.434734965071</v>
      </c>
      <c r="F42" s="32">
        <f t="shared" si="26"/>
        <v>13754.949339602355</v>
      </c>
      <c r="G42" s="32">
        <f t="shared" si="26"/>
        <v>13394.579462911308</v>
      </c>
      <c r="H42" s="32">
        <f t="shared" si="26"/>
        <v>15284.409823451371</v>
      </c>
      <c r="I42" s="32">
        <f t="shared" si="26"/>
        <v>15124.947617158961</v>
      </c>
      <c r="J42" s="32">
        <f t="shared" si="26"/>
        <v>14840.222719074529</v>
      </c>
      <c r="K42" s="32">
        <f t="shared" si="26"/>
        <v>14118.526457560774</v>
      </c>
      <c r="L42" s="32">
        <f t="shared" ref="L42" si="27">L43+L52</f>
        <v>15325.852915082016</v>
      </c>
      <c r="M42" s="32">
        <f t="shared" ref="M42:V42" si="28">M43+M52</f>
        <v>15170.721050588454</v>
      </c>
      <c r="N42" s="32">
        <f t="shared" si="28"/>
        <v>15853.087884148277</v>
      </c>
      <c r="O42" s="32">
        <f t="shared" si="28"/>
        <v>15808.472132586994</v>
      </c>
      <c r="P42" s="32">
        <f t="shared" si="28"/>
        <v>16383.404822603272</v>
      </c>
      <c r="Q42" s="32">
        <f t="shared" si="28"/>
        <v>15297.865443149825</v>
      </c>
      <c r="R42" s="32">
        <f t="shared" si="28"/>
        <v>15789.058736798004</v>
      </c>
      <c r="S42" s="32">
        <f t="shared" si="28"/>
        <v>16570.549070362482</v>
      </c>
      <c r="T42" s="32">
        <f t="shared" si="28"/>
        <v>16897.312166601994</v>
      </c>
      <c r="U42" s="32">
        <f t="shared" si="28"/>
        <v>16828.323509820348</v>
      </c>
      <c r="V42" s="32">
        <f t="shared" si="28"/>
        <v>17234.474334143593</v>
      </c>
      <c r="W42" s="32">
        <f t="shared" ref="W42:Y42" si="29">W43+W52</f>
        <v>16126.92493835089</v>
      </c>
      <c r="X42" s="32">
        <f t="shared" si="29"/>
        <v>15613.559971839746</v>
      </c>
      <c r="Y42" s="32">
        <f t="shared" si="29"/>
        <v>14175.609504804917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3376.262553730292</v>
      </c>
      <c r="C43" s="141">
        <f t="shared" si="30"/>
        <v>3446.9798164827403</v>
      </c>
      <c r="D43" s="141">
        <f t="shared" si="30"/>
        <v>3425.5971681676792</v>
      </c>
      <c r="E43" s="141">
        <f t="shared" si="30"/>
        <v>3519.1833682374318</v>
      </c>
      <c r="F43" s="141">
        <f t="shared" si="30"/>
        <v>3400.5531790402169</v>
      </c>
      <c r="G43" s="141">
        <f t="shared" si="30"/>
        <v>3420.8848575702909</v>
      </c>
      <c r="H43" s="141">
        <f t="shared" si="30"/>
        <v>3361.9204872772789</v>
      </c>
      <c r="I43" s="141">
        <f t="shared" si="30"/>
        <v>3291.4914892714519</v>
      </c>
      <c r="J43" s="141">
        <f t="shared" si="30"/>
        <v>3204.2128735279125</v>
      </c>
      <c r="K43" s="141">
        <f t="shared" si="30"/>
        <v>3232.7391950233759</v>
      </c>
      <c r="L43" s="141">
        <f t="shared" ref="L43" si="31">L44+L46+L48+L49+L51</f>
        <v>3135.2090382957581</v>
      </c>
      <c r="M43" s="141">
        <f t="shared" ref="M43:V43" si="32">M44+M46+M48+M49+M51</f>
        <v>3192.8263414915946</v>
      </c>
      <c r="N43" s="141">
        <f t="shared" si="32"/>
        <v>3113.0902087198956</v>
      </c>
      <c r="O43" s="141">
        <f t="shared" si="32"/>
        <v>3259.2399970072993</v>
      </c>
      <c r="P43" s="141">
        <f t="shared" si="32"/>
        <v>3391.6355618806519</v>
      </c>
      <c r="Q43" s="141">
        <f t="shared" si="32"/>
        <v>3813.1110233292243</v>
      </c>
      <c r="R43" s="141">
        <f t="shared" si="32"/>
        <v>4044.1567771979089</v>
      </c>
      <c r="S43" s="141">
        <f t="shared" si="32"/>
        <v>4106.9081481127487</v>
      </c>
      <c r="T43" s="141">
        <f t="shared" si="32"/>
        <v>3906.6809772249162</v>
      </c>
      <c r="U43" s="141">
        <f t="shared" si="32"/>
        <v>4136.9861097564581</v>
      </c>
      <c r="V43" s="141">
        <f t="shared" si="32"/>
        <v>3897.9612168325702</v>
      </c>
      <c r="W43" s="141">
        <f t="shared" ref="W43:Y43" si="33">W44+W46+W48+W49+W51</f>
        <v>4089.294884816848</v>
      </c>
      <c r="X43" s="141">
        <f t="shared" si="33"/>
        <v>4237.5961869976627</v>
      </c>
      <c r="Y43" s="141">
        <f t="shared" si="33"/>
        <v>4343.0051375318226</v>
      </c>
      <c r="DA43" s="174" t="s">
        <v>400</v>
      </c>
    </row>
    <row r="44" spans="1:105" ht="11.45" customHeight="1" x14ac:dyDescent="0.25">
      <c r="A44" s="111" t="s">
        <v>110</v>
      </c>
      <c r="B44" s="96">
        <v>344.31783855351068</v>
      </c>
      <c r="C44" s="96">
        <v>320.53939009800882</v>
      </c>
      <c r="D44" s="96">
        <v>304.18073829325402</v>
      </c>
      <c r="E44" s="96">
        <v>275.00978709309328</v>
      </c>
      <c r="F44" s="96">
        <v>251.60957532898817</v>
      </c>
      <c r="G44" s="96">
        <v>228.95410730647797</v>
      </c>
      <c r="H44" s="96">
        <v>204.51042189726081</v>
      </c>
      <c r="I44" s="96">
        <v>195.60585889831822</v>
      </c>
      <c r="J44" s="96">
        <v>171.06098988475844</v>
      </c>
      <c r="K44" s="96">
        <v>159.24024551335137</v>
      </c>
      <c r="L44" s="96">
        <v>148.09813466041373</v>
      </c>
      <c r="M44" s="96">
        <v>142.73887547530953</v>
      </c>
      <c r="N44" s="96">
        <v>130.71309998080289</v>
      </c>
      <c r="O44" s="96">
        <v>126.47622825690379</v>
      </c>
      <c r="P44" s="96">
        <v>125.82899096114934</v>
      </c>
      <c r="Q44" s="96">
        <v>122.84323416785435</v>
      </c>
      <c r="R44" s="96">
        <v>129.99332032688307</v>
      </c>
      <c r="S44" s="96">
        <v>136.55306571571103</v>
      </c>
      <c r="T44" s="96">
        <v>138.12075313937757</v>
      </c>
      <c r="U44" s="96">
        <v>141.19138420445373</v>
      </c>
      <c r="V44" s="96">
        <v>139.42400103466153</v>
      </c>
      <c r="W44" s="96">
        <v>158.28747775284489</v>
      </c>
      <c r="X44" s="96">
        <v>166.7079839814989</v>
      </c>
      <c r="Y44" s="96">
        <v>163.44829116797115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0.40973836067652181</v>
      </c>
      <c r="G45" s="96">
        <v>1.4673549569163111</v>
      </c>
      <c r="H45" s="96">
        <v>2.9367856890367436</v>
      </c>
      <c r="I45" s="96">
        <v>2.6701608096761569</v>
      </c>
      <c r="J45" s="96">
        <v>3.2509907725337404</v>
      </c>
      <c r="K45" s="96">
        <v>4.4997968513432269</v>
      </c>
      <c r="L45" s="96">
        <v>5.6568728824496963</v>
      </c>
      <c r="M45" s="96">
        <v>5.7035968911572574</v>
      </c>
      <c r="N45" s="96">
        <v>5.6217963353554721</v>
      </c>
      <c r="O45" s="96">
        <v>5.2720264363593179</v>
      </c>
      <c r="P45" s="96">
        <v>5.3101381284412721</v>
      </c>
      <c r="Q45" s="96">
        <v>5.173734172908607</v>
      </c>
      <c r="R45" s="96">
        <v>5.4755833595550607</v>
      </c>
      <c r="S45" s="96">
        <v>5.5888693705651109</v>
      </c>
      <c r="T45" s="96">
        <v>6.0106285443852583</v>
      </c>
      <c r="U45" s="96">
        <v>5.8656090952325899</v>
      </c>
      <c r="V45" s="96">
        <v>6.1678813331334128</v>
      </c>
      <c r="W45" s="96">
        <v>7.4883651132883688</v>
      </c>
      <c r="X45" s="96">
        <v>7.7479042746348332</v>
      </c>
      <c r="Y45" s="96">
        <v>8.0181358638401612</v>
      </c>
      <c r="DA45" s="171" t="s">
        <v>661</v>
      </c>
    </row>
    <row r="46" spans="1:105" ht="11.45" customHeight="1" x14ac:dyDescent="0.25">
      <c r="A46" s="111" t="s">
        <v>111</v>
      </c>
      <c r="B46" s="96">
        <v>3031.7351587869011</v>
      </c>
      <c r="C46" s="96">
        <v>3126.234132494812</v>
      </c>
      <c r="D46" s="96">
        <v>3121.2178341835306</v>
      </c>
      <c r="E46" s="96">
        <v>3243.987905838896</v>
      </c>
      <c r="F46" s="96">
        <v>3148.7665972113946</v>
      </c>
      <c r="G46" s="96">
        <v>3191.7673470676368</v>
      </c>
      <c r="H46" s="96">
        <v>3138.5778100866883</v>
      </c>
      <c r="I46" s="96">
        <v>3071.9283154284035</v>
      </c>
      <c r="J46" s="96">
        <v>3001.6027990957755</v>
      </c>
      <c r="K46" s="96">
        <v>3038.0176849082204</v>
      </c>
      <c r="L46" s="96">
        <v>2949.4304543759117</v>
      </c>
      <c r="M46" s="96">
        <v>3012.5374050220607</v>
      </c>
      <c r="N46" s="96">
        <v>2945.2535935915557</v>
      </c>
      <c r="O46" s="96">
        <v>3096.0120504865649</v>
      </c>
      <c r="P46" s="96">
        <v>3227.5134667050734</v>
      </c>
      <c r="Q46" s="96">
        <v>3651.5155216459166</v>
      </c>
      <c r="R46" s="96">
        <v>3873.779184351406</v>
      </c>
      <c r="S46" s="96">
        <v>3926.7798449077541</v>
      </c>
      <c r="T46" s="96">
        <v>3724.9390988271462</v>
      </c>
      <c r="U46" s="96">
        <v>3949.7346981047581</v>
      </c>
      <c r="V46" s="96">
        <v>3711.6317085833575</v>
      </c>
      <c r="W46" s="96">
        <v>3873.3602215494689</v>
      </c>
      <c r="X46" s="96">
        <v>4005.4015642395134</v>
      </c>
      <c r="Y46" s="96">
        <v>4111.9066406673282</v>
      </c>
      <c r="DA46" s="171" t="s">
        <v>662</v>
      </c>
    </row>
    <row r="47" spans="1:105" ht="11.45" customHeight="1" x14ac:dyDescent="0.25">
      <c r="A47" s="160" t="s">
        <v>131</v>
      </c>
      <c r="B47" s="96">
        <v>27.074249908977713</v>
      </c>
      <c r="C47" s="96">
        <v>39.237264876803735</v>
      </c>
      <c r="D47" s="96">
        <v>60.263226195181112</v>
      </c>
      <c r="E47" s="96">
        <v>84.62211760239795</v>
      </c>
      <c r="F47" s="96">
        <v>99.58471747182243</v>
      </c>
      <c r="G47" s="96">
        <v>194.39656076997508</v>
      </c>
      <c r="H47" s="96">
        <v>323.84075764517604</v>
      </c>
      <c r="I47" s="96">
        <v>367.4570899944552</v>
      </c>
      <c r="J47" s="96">
        <v>260.83301380325094</v>
      </c>
      <c r="K47" s="96">
        <v>215.51112547937765</v>
      </c>
      <c r="L47" s="96">
        <v>208.03148399246686</v>
      </c>
      <c r="M47" s="96">
        <v>195.88766773667672</v>
      </c>
      <c r="N47" s="96">
        <v>198.0389325063536</v>
      </c>
      <c r="O47" s="96">
        <v>178.56702394641277</v>
      </c>
      <c r="P47" s="96">
        <v>186.76830312598025</v>
      </c>
      <c r="Q47" s="96">
        <v>190.13391448705499</v>
      </c>
      <c r="R47" s="96">
        <v>194.22436059538251</v>
      </c>
      <c r="S47" s="96">
        <v>197.74977174915551</v>
      </c>
      <c r="T47" s="96">
        <v>202.99778722347062</v>
      </c>
      <c r="U47" s="96">
        <v>211.21955705548288</v>
      </c>
      <c r="V47" s="96">
        <v>291.09021303135944</v>
      </c>
      <c r="W47" s="96">
        <v>263.0251021042057</v>
      </c>
      <c r="X47" s="96">
        <v>278.9812378910222</v>
      </c>
      <c r="Y47" s="96">
        <v>297.53345613099117</v>
      </c>
      <c r="DA47" s="171" t="s">
        <v>663</v>
      </c>
    </row>
    <row r="48" spans="1:105" ht="11.45" customHeight="1" x14ac:dyDescent="0.25">
      <c r="A48" s="111" t="s">
        <v>112</v>
      </c>
      <c r="B48" s="96">
        <v>0</v>
      </c>
      <c r="C48" s="96">
        <v>0</v>
      </c>
      <c r="D48" s="96">
        <v>0</v>
      </c>
      <c r="E48" s="96">
        <v>0</v>
      </c>
      <c r="F48" s="96">
        <v>0</v>
      </c>
      <c r="G48" s="96">
        <v>0</v>
      </c>
      <c r="H48" s="96">
        <v>3.8689397282763354</v>
      </c>
      <c r="I48" s="96">
        <v>5.7058775714689443</v>
      </c>
      <c r="J48" s="96">
        <v>10.536987415141549</v>
      </c>
      <c r="K48" s="96">
        <v>13.29102316035417</v>
      </c>
      <c r="L48" s="96">
        <v>14.853762993935648</v>
      </c>
      <c r="M48" s="96">
        <v>16.507505445139621</v>
      </c>
      <c r="N48" s="96">
        <v>18.289798605601913</v>
      </c>
      <c r="O48" s="96">
        <v>19.238507222380505</v>
      </c>
      <c r="P48" s="96">
        <v>21.022080613394948</v>
      </c>
      <c r="Q48" s="96">
        <v>22.281690732226565</v>
      </c>
      <c r="R48" s="96">
        <v>23.240748518524466</v>
      </c>
      <c r="S48" s="96">
        <v>24.272267490446851</v>
      </c>
      <c r="T48" s="96">
        <v>24.218633144437614</v>
      </c>
      <c r="U48" s="96">
        <v>25.358283440588036</v>
      </c>
      <c r="V48" s="96">
        <v>26.116336782301573</v>
      </c>
      <c r="W48" s="96">
        <v>30.895946375942405</v>
      </c>
      <c r="X48" s="96">
        <v>33.171120095627785</v>
      </c>
      <c r="Y48" s="96">
        <v>32.578518322388142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</v>
      </c>
      <c r="F49" s="96">
        <v>0</v>
      </c>
      <c r="G49" s="96">
        <v>0</v>
      </c>
      <c r="H49" s="96">
        <v>14.816083255823436</v>
      </c>
      <c r="I49" s="96">
        <v>18.124168530460253</v>
      </c>
      <c r="J49" s="96">
        <v>20.882001795319397</v>
      </c>
      <c r="K49" s="96">
        <v>22.050803450420727</v>
      </c>
      <c r="L49" s="96">
        <v>22.646529609494554</v>
      </c>
      <c r="M49" s="96">
        <v>20.797585874167158</v>
      </c>
      <c r="N49" s="96">
        <v>18.402348830673226</v>
      </c>
      <c r="O49" s="96">
        <v>17.052438396420385</v>
      </c>
      <c r="P49" s="96">
        <v>16.704913104608973</v>
      </c>
      <c r="Q49" s="96">
        <v>15.933603164555937</v>
      </c>
      <c r="R49" s="96">
        <v>15.958000016446313</v>
      </c>
      <c r="S49" s="96">
        <v>16.827396615739143</v>
      </c>
      <c r="T49" s="96">
        <v>15.688902289368624</v>
      </c>
      <c r="U49" s="96">
        <v>15.22137353477587</v>
      </c>
      <c r="V49" s="96">
        <v>13.393196996127472</v>
      </c>
      <c r="W49" s="96">
        <v>12.82817534179236</v>
      </c>
      <c r="X49" s="96">
        <v>11.585773644429535</v>
      </c>
      <c r="Y49" s="96">
        <v>9.7238864490736745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0</v>
      </c>
      <c r="F50" s="96">
        <v>0</v>
      </c>
      <c r="G50" s="96">
        <v>0</v>
      </c>
      <c r="H50" s="96">
        <v>0</v>
      </c>
      <c r="I50" s="96">
        <v>0</v>
      </c>
      <c r="J50" s="96">
        <v>7.1938715293664898E-2</v>
      </c>
      <c r="K50" s="96">
        <v>0.16778816141537251</v>
      </c>
      <c r="L50" s="96">
        <v>1.007396548148088</v>
      </c>
      <c r="M50" s="96">
        <v>0.94837682209583185</v>
      </c>
      <c r="N50" s="96">
        <v>2.6568080426878238</v>
      </c>
      <c r="O50" s="96">
        <v>3.2533505124003712</v>
      </c>
      <c r="P50" s="96">
        <v>2.978489943460501</v>
      </c>
      <c r="Q50" s="96">
        <v>2.2933221075393404</v>
      </c>
      <c r="R50" s="96">
        <v>2.6632611937876907</v>
      </c>
      <c r="S50" s="96">
        <v>3.5533341412277375</v>
      </c>
      <c r="T50" s="96">
        <v>3.2998971136962387</v>
      </c>
      <c r="U50" s="96">
        <v>4.3418987267122677</v>
      </c>
      <c r="V50" s="96">
        <v>4.8643605015899691</v>
      </c>
      <c r="W50" s="96">
        <v>0.1313084657924416</v>
      </c>
      <c r="X50" s="96">
        <v>0.13423805014933385</v>
      </c>
      <c r="Y50" s="96">
        <v>0.13713165080064357</v>
      </c>
      <c r="DA50" s="171" t="s">
        <v>666</v>
      </c>
    </row>
    <row r="51" spans="1:105" ht="11.45" customHeight="1" x14ac:dyDescent="0.25">
      <c r="A51" s="111" t="s">
        <v>115</v>
      </c>
      <c r="B51" s="96">
        <v>0.20955638988023473</v>
      </c>
      <c r="C51" s="96">
        <v>0.20629388991915373</v>
      </c>
      <c r="D51" s="96">
        <v>0.19859569089483184</v>
      </c>
      <c r="E51" s="96">
        <v>0.18567530544280461</v>
      </c>
      <c r="F51" s="96">
        <v>0.17700649983391251</v>
      </c>
      <c r="G51" s="96">
        <v>0.16340319617638913</v>
      </c>
      <c r="H51" s="96">
        <v>0.14723230922986821</v>
      </c>
      <c r="I51" s="96">
        <v>0.12726884280069756</v>
      </c>
      <c r="J51" s="96">
        <v>0.13009533691775008</v>
      </c>
      <c r="K51" s="96">
        <v>0.13943799102931631</v>
      </c>
      <c r="L51" s="96">
        <v>0.18015665600240702</v>
      </c>
      <c r="M51" s="96">
        <v>0.24496967491756164</v>
      </c>
      <c r="N51" s="96">
        <v>0.43136771126191747</v>
      </c>
      <c r="O51" s="96">
        <v>0.46077264502976173</v>
      </c>
      <c r="P51" s="96">
        <v>0.56611049642570355</v>
      </c>
      <c r="Q51" s="96">
        <v>0.53697361867083193</v>
      </c>
      <c r="R51" s="96">
        <v>1.1855239846491241</v>
      </c>
      <c r="S51" s="96">
        <v>2.4755733830980144</v>
      </c>
      <c r="T51" s="96">
        <v>3.7135898245859362</v>
      </c>
      <c r="U51" s="96">
        <v>5.4803704718821038</v>
      </c>
      <c r="V51" s="96">
        <v>7.3959734361225733</v>
      </c>
      <c r="W51" s="96">
        <v>13.923063796799624</v>
      </c>
      <c r="X51" s="96">
        <v>20.729745036593251</v>
      </c>
      <c r="Y51" s="96">
        <v>25.347800925061257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12942.607315193729</v>
      </c>
      <c r="C52" s="130">
        <f t="shared" si="34"/>
        <v>11978.560486241635</v>
      </c>
      <c r="D52" s="130">
        <f t="shared" si="34"/>
        <v>11519.583958552194</v>
      </c>
      <c r="E52" s="130">
        <f t="shared" si="34"/>
        <v>10407.25136672764</v>
      </c>
      <c r="F52" s="130">
        <f t="shared" si="34"/>
        <v>10354.396160562139</v>
      </c>
      <c r="G52" s="130">
        <f t="shared" si="34"/>
        <v>9973.6946053410174</v>
      </c>
      <c r="H52" s="130">
        <f t="shared" si="34"/>
        <v>11922.489336174092</v>
      </c>
      <c r="I52" s="130">
        <f t="shared" si="34"/>
        <v>11833.45612788751</v>
      </c>
      <c r="J52" s="130">
        <f t="shared" si="34"/>
        <v>11636.009845546616</v>
      </c>
      <c r="K52" s="130">
        <f t="shared" si="34"/>
        <v>10885.787262537398</v>
      </c>
      <c r="L52" s="130">
        <f t="shared" ref="L52" si="35">L53+L55</f>
        <v>12190.643876786258</v>
      </c>
      <c r="M52" s="130">
        <f t="shared" ref="M52:V52" si="36">M53+M55</f>
        <v>11977.89470909686</v>
      </c>
      <c r="N52" s="130">
        <f t="shared" si="36"/>
        <v>12739.997675428382</v>
      </c>
      <c r="O52" s="130">
        <f t="shared" si="36"/>
        <v>12549.232135579694</v>
      </c>
      <c r="P52" s="130">
        <f t="shared" si="36"/>
        <v>12991.76926072262</v>
      </c>
      <c r="Q52" s="130">
        <f t="shared" si="36"/>
        <v>11484.754419820601</v>
      </c>
      <c r="R52" s="130">
        <f t="shared" si="36"/>
        <v>11744.901959600094</v>
      </c>
      <c r="S52" s="130">
        <f t="shared" si="36"/>
        <v>12463.640922249731</v>
      </c>
      <c r="T52" s="130">
        <f t="shared" si="36"/>
        <v>12990.63118937708</v>
      </c>
      <c r="U52" s="130">
        <f t="shared" si="36"/>
        <v>12691.337400063891</v>
      </c>
      <c r="V52" s="130">
        <f t="shared" si="36"/>
        <v>13336.513117311022</v>
      </c>
      <c r="W52" s="130">
        <f t="shared" ref="W52:Y52" si="37">W53+W55</f>
        <v>12037.630053534042</v>
      </c>
      <c r="X52" s="130">
        <f t="shared" si="37"/>
        <v>11375.963784842083</v>
      </c>
      <c r="Y52" s="130">
        <f t="shared" si="37"/>
        <v>9832.6043672730957</v>
      </c>
      <c r="DA52" s="176" t="s">
        <v>401</v>
      </c>
    </row>
    <row r="53" spans="1:105" ht="11.45" customHeight="1" x14ac:dyDescent="0.25">
      <c r="A53" s="128" t="s">
        <v>27</v>
      </c>
      <c r="B53" s="97">
        <v>9019.4148446407034</v>
      </c>
      <c r="C53" s="97">
        <v>8833.7439618215176</v>
      </c>
      <c r="D53" s="97">
        <v>8421.6062282662679</v>
      </c>
      <c r="E53" s="97">
        <v>8127.4298161019678</v>
      </c>
      <c r="F53" s="97">
        <v>8159.5288586596525</v>
      </c>
      <c r="G53" s="97">
        <v>8063.181501249469</v>
      </c>
      <c r="H53" s="97">
        <v>8602.7404711358449</v>
      </c>
      <c r="I53" s="97">
        <v>8819.4312063532852</v>
      </c>
      <c r="J53" s="97">
        <v>8927.7148867920005</v>
      </c>
      <c r="K53" s="97">
        <v>8362.8732210620783</v>
      </c>
      <c r="L53" s="97">
        <v>8571.9790880300206</v>
      </c>
      <c r="M53" s="97">
        <v>8846.064649624519</v>
      </c>
      <c r="N53" s="97">
        <v>8666.7710196241751</v>
      </c>
      <c r="O53" s="97">
        <v>8622.9827986193686</v>
      </c>
      <c r="P53" s="97">
        <v>8834.2077595720548</v>
      </c>
      <c r="Q53" s="97">
        <v>8759.7349566706871</v>
      </c>
      <c r="R53" s="97">
        <v>8754.4186274877848</v>
      </c>
      <c r="S53" s="97">
        <v>8736.1442434100554</v>
      </c>
      <c r="T53" s="97">
        <v>8831.3744489793371</v>
      </c>
      <c r="U53" s="97">
        <v>8615.7571174288314</v>
      </c>
      <c r="V53" s="97">
        <v>8494.6165234087584</v>
      </c>
      <c r="W53" s="97">
        <v>8276.0491580650596</v>
      </c>
      <c r="X53" s="97">
        <v>8002.7248155238485</v>
      </c>
      <c r="Y53" s="97">
        <v>7441.9837407319592</v>
      </c>
      <c r="DA53" s="175" t="s">
        <v>668</v>
      </c>
    </row>
    <row r="54" spans="1:105" ht="11.45" customHeight="1" x14ac:dyDescent="0.25">
      <c r="A54" s="160" t="s">
        <v>131</v>
      </c>
      <c r="B54" s="97">
        <v>80.545918012922982</v>
      </c>
      <c r="C54" s="97">
        <v>110.87203868740681</v>
      </c>
      <c r="D54" s="97">
        <v>162.60100640925458</v>
      </c>
      <c r="E54" s="97">
        <v>212.010753944399</v>
      </c>
      <c r="F54" s="97">
        <v>258.05798905908898</v>
      </c>
      <c r="G54" s="97">
        <v>491.093047288376</v>
      </c>
      <c r="H54" s="97">
        <v>887.63706384596617</v>
      </c>
      <c r="I54" s="97">
        <v>1054.9603355704994</v>
      </c>
      <c r="J54" s="97">
        <v>775.7997763726778</v>
      </c>
      <c r="K54" s="97">
        <v>593.24612528280409</v>
      </c>
      <c r="L54" s="97">
        <v>604.60538331716816</v>
      </c>
      <c r="M54" s="97">
        <v>575.20778662335624</v>
      </c>
      <c r="N54" s="97">
        <v>582.75392133903836</v>
      </c>
      <c r="O54" s="97">
        <v>497.3431468551878</v>
      </c>
      <c r="P54" s="97">
        <v>511.21397625090412</v>
      </c>
      <c r="Q54" s="97">
        <v>456.11820278670461</v>
      </c>
      <c r="R54" s="97">
        <v>438.93089393860441</v>
      </c>
      <c r="S54" s="97">
        <v>439.94585852383602</v>
      </c>
      <c r="T54" s="97">
        <v>481.28289449059105</v>
      </c>
      <c r="U54" s="97">
        <v>460.74395905987376</v>
      </c>
      <c r="V54" s="97">
        <v>666.20287990872134</v>
      </c>
      <c r="W54" s="97">
        <v>561.99489598431796</v>
      </c>
      <c r="X54" s="97">
        <v>557.39981116224033</v>
      </c>
      <c r="Y54" s="97">
        <v>538.49450786442674</v>
      </c>
      <c r="DA54" s="175" t="s">
        <v>669</v>
      </c>
    </row>
    <row r="55" spans="1:105" ht="11.45" customHeight="1" x14ac:dyDescent="0.25">
      <c r="A55" s="128" t="s">
        <v>116</v>
      </c>
      <c r="B55" s="97">
        <v>3923.192470553025</v>
      </c>
      <c r="C55" s="97">
        <v>3144.8165244201173</v>
      </c>
      <c r="D55" s="97">
        <v>3097.9777302859252</v>
      </c>
      <c r="E55" s="97">
        <v>2279.8215506256711</v>
      </c>
      <c r="F55" s="97">
        <v>2194.8673019024864</v>
      </c>
      <c r="G55" s="97">
        <v>1910.5131040915487</v>
      </c>
      <c r="H55" s="97">
        <v>3319.748865038247</v>
      </c>
      <c r="I55" s="97">
        <v>3014.0249215342246</v>
      </c>
      <c r="J55" s="97">
        <v>2708.2949587546159</v>
      </c>
      <c r="K55" s="97">
        <v>2522.9140414753206</v>
      </c>
      <c r="L55" s="97">
        <v>3618.6647887562376</v>
      </c>
      <c r="M55" s="97">
        <v>3131.830059472341</v>
      </c>
      <c r="N55" s="97">
        <v>4073.2266558042065</v>
      </c>
      <c r="O55" s="97">
        <v>3926.2493369603258</v>
      </c>
      <c r="P55" s="97">
        <v>4157.5615011505661</v>
      </c>
      <c r="Q55" s="97">
        <v>2725.0194631499148</v>
      </c>
      <c r="R55" s="97">
        <v>2990.4833321123087</v>
      </c>
      <c r="S55" s="97">
        <v>3727.496678839676</v>
      </c>
      <c r="T55" s="97">
        <v>4159.2567403977428</v>
      </c>
      <c r="U55" s="97">
        <v>4075.5802826350591</v>
      </c>
      <c r="V55" s="97">
        <v>4841.8965939022637</v>
      </c>
      <c r="W55" s="97">
        <v>3761.5808954689815</v>
      </c>
      <c r="X55" s="97">
        <v>3373.2389693182336</v>
      </c>
      <c r="Y55" s="97">
        <v>2390.6206265411365</v>
      </c>
      <c r="DA55" s="175" t="s">
        <v>670</v>
      </c>
    </row>
    <row r="56" spans="1:105" ht="11.45" customHeight="1" x14ac:dyDescent="0.25">
      <c r="A56" s="161" t="s">
        <v>131</v>
      </c>
      <c r="B56" s="98">
        <v>35.035215091569363</v>
      </c>
      <c r="C56" s="98">
        <v>39.470491885119941</v>
      </c>
      <c r="D56" s="98">
        <v>59.814515559658503</v>
      </c>
      <c r="E56" s="98">
        <v>59.471037799580444</v>
      </c>
      <c r="F56" s="98">
        <v>69.41614546523536</v>
      </c>
      <c r="G56" s="98">
        <v>116.36098009542553</v>
      </c>
      <c r="H56" s="98">
        <v>342.53411981396931</v>
      </c>
      <c r="I56" s="98">
        <v>360.53081749183963</v>
      </c>
      <c r="J56" s="98">
        <v>235.34517510875278</v>
      </c>
      <c r="K56" s="98">
        <v>178.9706647420314</v>
      </c>
      <c r="L56" s="98">
        <v>255.23443177287453</v>
      </c>
      <c r="M56" s="98">
        <v>203.64457054539429</v>
      </c>
      <c r="N56" s="98">
        <v>273.88387218236801</v>
      </c>
      <c r="O56" s="98">
        <v>226.45217393853432</v>
      </c>
      <c r="P56" s="98">
        <v>240.58790605280237</v>
      </c>
      <c r="Q56" s="98">
        <v>141.89139126226834</v>
      </c>
      <c r="R56" s="98">
        <v>149.93748621423052</v>
      </c>
      <c r="S56" s="98">
        <v>187.71401671325353</v>
      </c>
      <c r="T56" s="98">
        <v>226.66677021938258</v>
      </c>
      <c r="U56" s="98">
        <v>217.94938846280081</v>
      </c>
      <c r="V56" s="98">
        <v>379.73291038963799</v>
      </c>
      <c r="W56" s="98">
        <v>255.43459490276135</v>
      </c>
      <c r="X56" s="98">
        <v>234.95032102762798</v>
      </c>
      <c r="Y56" s="98">
        <v>172.98291996176826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10.016283250633382</v>
      </c>
      <c r="C60" s="79">
        <f>IF(C17=0,0,C17/TrRoad_act!C30*100)</f>
        <v>9.6394259680683891</v>
      </c>
      <c r="D60" s="79">
        <f>IF(D17=0,0,D17/TrRoad_act!D30*100)</f>
        <v>9.496766514569229</v>
      </c>
      <c r="E60" s="79">
        <f>IF(E17=0,0,E17/TrRoad_act!E30*100)</f>
        <v>9.3871935564662188</v>
      </c>
      <c r="F60" s="79">
        <f>IF(F17=0,0,F17/TrRoad_act!F30*100)</f>
        <v>9.2463797604529301</v>
      </c>
      <c r="G60" s="79">
        <f>IF(G17=0,0,G17/TrRoad_act!G30*100)</f>
        <v>9.177536620279076</v>
      </c>
      <c r="H60" s="79">
        <f>IF(H17=0,0,H17/TrRoad_act!H30*100)</f>
        <v>9.4436013691759104</v>
      </c>
      <c r="I60" s="79">
        <f>IF(I17=0,0,I17/TrRoad_act!I30*100)</f>
        <v>9.3808211476203258</v>
      </c>
      <c r="J60" s="79">
        <f>IF(J17=0,0,J17/TrRoad_act!J30*100)</f>
        <v>9.2839832711882124</v>
      </c>
      <c r="K60" s="79">
        <f>IF(K17=0,0,K17/TrRoad_act!K30*100)</f>
        <v>9.1568156559173204</v>
      </c>
      <c r="L60" s="79">
        <f>IF(L17=0,0,L17/TrRoad_act!L30*100)</f>
        <v>9.3275043266309474</v>
      </c>
      <c r="M60" s="79">
        <f>IF(M17=0,0,M17/TrRoad_act!M30*100)</f>
        <v>9.1727840801332068</v>
      </c>
      <c r="N60" s="79">
        <f>IF(N17=0,0,N17/TrRoad_act!N30*100)</f>
        <v>9.2769126998061981</v>
      </c>
      <c r="O60" s="79">
        <f>IF(O17=0,0,O17/TrRoad_act!O30*100)</f>
        <v>9.1282593201333384</v>
      </c>
      <c r="P60" s="79">
        <f>IF(P17=0,0,P17/TrRoad_act!P30*100)</f>
        <v>8.8534768028386761</v>
      </c>
      <c r="Q60" s="79">
        <f>IF(Q17=0,0,Q17/TrRoad_act!Q30*100)</f>
        <v>8.7363136792297205</v>
      </c>
      <c r="R60" s="79">
        <f>IF(R17=0,0,R17/TrRoad_act!R30*100)</f>
        <v>8.5860041426394709</v>
      </c>
      <c r="S60" s="79">
        <f>IF(S17=0,0,S17/TrRoad_act!S30*100)</f>
        <v>8.438214995849485</v>
      </c>
      <c r="T60" s="79">
        <f>IF(T17=0,0,T17/TrRoad_act!T30*100)</f>
        <v>8.3894098350957265</v>
      </c>
      <c r="U60" s="79">
        <f>IF(U17=0,0,U17/TrRoad_act!U30*100)</f>
        <v>8.3381134365625726</v>
      </c>
      <c r="V60" s="79">
        <f>IF(V17=0,0,V17/TrRoad_act!V30*100)</f>
        <v>8.4712794436230432</v>
      </c>
      <c r="W60" s="79">
        <f>IF(W17=0,0,W17/TrRoad_act!W30*100)</f>
        <v>8.1504477398491808</v>
      </c>
      <c r="X60" s="79">
        <f>IF(X17=0,0,X17/TrRoad_act!X30*100)</f>
        <v>7.8474707195341402</v>
      </c>
      <c r="Y60" s="79">
        <f>IF(Y17=0,0,Y17/TrRoad_act!Y30*100)</f>
        <v>7.5015903027844351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8.0258017983023144</v>
      </c>
      <c r="C61" s="32">
        <f>IF(C18=0,0,C18/TrRoad_act!C31*100)</f>
        <v>7.8577973344781586</v>
      </c>
      <c r="D61" s="32">
        <f>IF(D18=0,0,D18/TrRoad_act!D31*100)</f>
        <v>7.7944601571150667</v>
      </c>
      <c r="E61" s="32">
        <f>IF(E18=0,0,E18/TrRoad_act!E31*100)</f>
        <v>7.8384420010461975</v>
      </c>
      <c r="F61" s="32">
        <f>IF(F18=0,0,F18/TrRoad_act!F31*100)</f>
        <v>7.7597811144385744</v>
      </c>
      <c r="G61" s="32">
        <f>IF(G18=0,0,G18/TrRoad_act!G31*100)</f>
        <v>7.7170493012501504</v>
      </c>
      <c r="H61" s="32">
        <f>IF(H18=0,0,H18/TrRoad_act!H31*100)</f>
        <v>7.6316454208409548</v>
      </c>
      <c r="I61" s="32">
        <f>IF(I18=0,0,I18/TrRoad_act!I31*100)</f>
        <v>7.571131521031699</v>
      </c>
      <c r="J61" s="32">
        <f>IF(J18=0,0,J18/TrRoad_act!J31*100)</f>
        <v>7.5172512979584107</v>
      </c>
      <c r="K61" s="32">
        <f>IF(K18=0,0,K18/TrRoad_act!K31*100)</f>
        <v>7.4901944953079393</v>
      </c>
      <c r="L61" s="32">
        <f>IF(L18=0,0,L18/TrRoad_act!L31*100)</f>
        <v>7.4143213711990601</v>
      </c>
      <c r="M61" s="32">
        <f>IF(M18=0,0,M18/TrRoad_act!M31*100)</f>
        <v>7.3538436936367173</v>
      </c>
      <c r="N61" s="32">
        <f>IF(N18=0,0,N18/TrRoad_act!N31*100)</f>
        <v>7.270975946927452</v>
      </c>
      <c r="O61" s="32">
        <f>IF(O18=0,0,O18/TrRoad_act!O31*100)</f>
        <v>7.2251657977346353</v>
      </c>
      <c r="P61" s="32">
        <f>IF(P18=0,0,P18/TrRoad_act!P31*100)</f>
        <v>6.9483950502900145</v>
      </c>
      <c r="Q61" s="32">
        <f>IF(Q18=0,0,Q18/TrRoad_act!Q31*100)</f>
        <v>7.108213819938249</v>
      </c>
      <c r="R61" s="32">
        <f>IF(R18=0,0,R18/TrRoad_act!R31*100)</f>
        <v>6.9739653275014275</v>
      </c>
      <c r="S61" s="32">
        <f>IF(S18=0,0,S18/TrRoad_act!S31*100)</f>
        <v>6.7542331648197242</v>
      </c>
      <c r="T61" s="32">
        <f>IF(T18=0,0,T18/TrRoad_act!T31*100)</f>
        <v>6.5543323358203969</v>
      </c>
      <c r="U61" s="32">
        <f>IF(U18=0,0,U18/TrRoad_act!U31*100)</f>
        <v>6.5865613578007629</v>
      </c>
      <c r="V61" s="32">
        <f>IF(V18=0,0,V18/TrRoad_act!V31*100)</f>
        <v>6.4047679702891616</v>
      </c>
      <c r="W61" s="32">
        <f>IF(W18=0,0,W18/TrRoad_act!W31*100)</f>
        <v>6.3160718288680693</v>
      </c>
      <c r="X61" s="32">
        <f>IF(X18=0,0,X18/TrRoad_act!X31*100)</f>
        <v>6.1874678547137574</v>
      </c>
      <c r="Y61" s="32">
        <f>IF(Y18=0,0,Y18/TrRoad_act!Y31*100)</f>
        <v>6.0816500317577074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4.8952241389630515</v>
      </c>
      <c r="C62" s="141">
        <f>IF(C19=0,0,C19/TrRoad_act!C32*100)</f>
        <v>4.8122399323895939</v>
      </c>
      <c r="D62" s="141">
        <f>IF(D19=0,0,D19/TrRoad_act!D32*100)</f>
        <v>4.7422100283774684</v>
      </c>
      <c r="E62" s="141">
        <f>IF(E19=0,0,E19/TrRoad_act!E32*100)</f>
        <v>4.6697127851012672</v>
      </c>
      <c r="F62" s="141">
        <f>IF(F19=0,0,F19/TrRoad_act!F32*100)</f>
        <v>4.6063952476006254</v>
      </c>
      <c r="G62" s="141">
        <f>IF(G19=0,0,G19/TrRoad_act!G32*100)</f>
        <v>4.5407546669569108</v>
      </c>
      <c r="H62" s="141">
        <f>IF(H19=0,0,H19/TrRoad_act!H32*100)</f>
        <v>4.4782233307526091</v>
      </c>
      <c r="I62" s="141">
        <f>IF(I19=0,0,I19/TrRoad_act!I32*100)</f>
        <v>4.3896530555052449</v>
      </c>
      <c r="J62" s="141">
        <f>IF(J19=0,0,J19/TrRoad_act!J32*100)</f>
        <v>4.2880654179546234</v>
      </c>
      <c r="K62" s="141">
        <f>IF(K19=0,0,K19/TrRoad_act!K32*100)</f>
        <v>4.2221267687802158</v>
      </c>
      <c r="L62" s="141">
        <f>IF(L19=0,0,L19/TrRoad_act!L32*100)</f>
        <v>4.1947991051166245</v>
      </c>
      <c r="M62" s="141">
        <f>IF(M19=0,0,M19/TrRoad_act!M32*100)</f>
        <v>4.1563620752097634</v>
      </c>
      <c r="N62" s="141">
        <f>IF(N19=0,0,N19/TrRoad_act!N32*100)</f>
        <v>4.1227475207092201</v>
      </c>
      <c r="O62" s="141">
        <f>IF(O19=0,0,O19/TrRoad_act!O32*100)</f>
        <v>3.9993077419478045</v>
      </c>
      <c r="P62" s="141">
        <f>IF(P19=0,0,P19/TrRoad_act!P32*100)</f>
        <v>3.8440230514589362</v>
      </c>
      <c r="Q62" s="141">
        <f>IF(Q19=0,0,Q19/TrRoad_act!Q32*100)</f>
        <v>3.9972812259221344</v>
      </c>
      <c r="R62" s="141">
        <f>IF(R19=0,0,R19/TrRoad_act!R32*100)</f>
        <v>3.9449355684238219</v>
      </c>
      <c r="S62" s="141">
        <f>IF(S19=0,0,S19/TrRoad_act!S32*100)</f>
        <v>3.9127786532769471</v>
      </c>
      <c r="T62" s="141">
        <f>IF(T19=0,0,T19/TrRoad_act!T32*100)</f>
        <v>3.8676651783568015</v>
      </c>
      <c r="U62" s="141">
        <f>IF(U19=0,0,U19/TrRoad_act!U32*100)</f>
        <v>3.8251840273652968</v>
      </c>
      <c r="V62" s="141">
        <f>IF(V19=0,0,V19/TrRoad_act!V32*100)</f>
        <v>3.8043891583662197</v>
      </c>
      <c r="W62" s="141">
        <f>IF(W19=0,0,W19/TrRoad_act!W32*100)</f>
        <v>3.7810553285057025</v>
      </c>
      <c r="X62" s="141">
        <f>IF(X19=0,0,X19/TrRoad_act!X32*100)</f>
        <v>3.7412208164866629</v>
      </c>
      <c r="Y62" s="141">
        <f>IF(Y19=0,0,Y19/TrRoad_act!Y32*100)</f>
        <v>3.6968877058256524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7.7006180158626298</v>
      </c>
      <c r="C63" s="130">
        <f>IF(C21=0,0,C21/TrRoad_act!C33*100)</f>
        <v>7.5462521076412896</v>
      </c>
      <c r="D63" s="130">
        <f>IF(D21=0,0,D21/TrRoad_act!D33*100)</f>
        <v>7.4980144878639594</v>
      </c>
      <c r="E63" s="130">
        <f>IF(E21=0,0,E21/TrRoad_act!E33*100)</f>
        <v>7.5382021983950596</v>
      </c>
      <c r="F63" s="130">
        <f>IF(F21=0,0,F21/TrRoad_act!F33*100)</f>
        <v>7.4663926385126853</v>
      </c>
      <c r="G63" s="130">
        <f>IF(G21=0,0,G21/TrRoad_act!G33*100)</f>
        <v>7.4266160476142966</v>
      </c>
      <c r="H63" s="130">
        <f>IF(H21=0,0,H21/TrRoad_act!H33*100)</f>
        <v>7.3333652339841677</v>
      </c>
      <c r="I63" s="130">
        <f>IF(I21=0,0,I21/TrRoad_act!I33*100)</f>
        <v>7.2841740290254835</v>
      </c>
      <c r="J63" s="130">
        <f>IF(J21=0,0,J21/TrRoad_act!J33*100)</f>
        <v>7.2465830465308576</v>
      </c>
      <c r="K63" s="130">
        <f>IF(K21=0,0,K21/TrRoad_act!K33*100)</f>
        <v>7.2203107795016468</v>
      </c>
      <c r="L63" s="130">
        <f>IF(L21=0,0,L21/TrRoad_act!L33*100)</f>
        <v>7.1243606818480725</v>
      </c>
      <c r="M63" s="130">
        <f>IF(M21=0,0,M21/TrRoad_act!M33*100)</f>
        <v>7.0536779815309671</v>
      </c>
      <c r="N63" s="130">
        <f>IF(N21=0,0,N21/TrRoad_act!N33*100)</f>
        <v>6.9377804948945725</v>
      </c>
      <c r="O63" s="130">
        <f>IF(O21=0,0,O21/TrRoad_act!O33*100)</f>
        <v>6.8834169801175964</v>
      </c>
      <c r="P63" s="130">
        <f>IF(P21=0,0,P21/TrRoad_act!P33*100)</f>
        <v>6.6117703101107246</v>
      </c>
      <c r="Q63" s="130">
        <f>IF(Q21=0,0,Q21/TrRoad_act!Q33*100)</f>
        <v>6.7555564952706497</v>
      </c>
      <c r="R63" s="130">
        <f>IF(R21=0,0,R21/TrRoad_act!R33*100)</f>
        <v>6.6247159332293259</v>
      </c>
      <c r="S63" s="130">
        <f>IF(S21=0,0,S21/TrRoad_act!S33*100)</f>
        <v>6.4147206611381291</v>
      </c>
      <c r="T63" s="130">
        <f>IF(T21=0,0,T21/TrRoad_act!T33*100)</f>
        <v>6.1999546570676118</v>
      </c>
      <c r="U63" s="130">
        <f>IF(U21=0,0,U21/TrRoad_act!U33*100)</f>
        <v>6.2418614988179337</v>
      </c>
      <c r="V63" s="130">
        <f>IF(V21=0,0,V21/TrRoad_act!V33*100)</f>
        <v>6.0379801780182794</v>
      </c>
      <c r="W63" s="130">
        <f>IF(W21=0,0,W21/TrRoad_act!W33*100)</f>
        <v>5.9720841417442587</v>
      </c>
      <c r="X63" s="130">
        <f>IF(X21=0,0,X21/TrRoad_act!X33*100)</f>
        <v>5.8321207956142311</v>
      </c>
      <c r="Y63" s="130">
        <f>IF(Y21=0,0,Y21/TrRoad_act!Y33*100)</f>
        <v>5.7299412078661769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7.9206280138040981</v>
      </c>
      <c r="C64" s="96">
        <f>IF(C22=0,0,C22/TrRoad_act!C34*100)</f>
        <v>7.8568325781781665</v>
      </c>
      <c r="D64" s="96">
        <f>IF(D22=0,0,D22/TrRoad_act!D34*100)</f>
        <v>7.8424243441615484</v>
      </c>
      <c r="E64" s="96">
        <f>IF(E22=0,0,E22/TrRoad_act!E34*100)</f>
        <v>7.8205080401623439</v>
      </c>
      <c r="F64" s="96">
        <f>IF(F22=0,0,F22/TrRoad_act!F34*100)</f>
        <v>7.8021745862442247</v>
      </c>
      <c r="G64" s="96">
        <f>IF(G22=0,0,G22/TrRoad_act!G34*100)</f>
        <v>7.7685810588108613</v>
      </c>
      <c r="H64" s="96">
        <f>IF(H22=0,0,H22/TrRoad_act!H34*100)</f>
        <v>7.7325260156641704</v>
      </c>
      <c r="I64" s="96">
        <f>IF(I22=0,0,I22/TrRoad_act!I34*100)</f>
        <v>7.6910048733468734</v>
      </c>
      <c r="J64" s="96">
        <f>IF(J22=0,0,J22/TrRoad_act!J34*100)</f>
        <v>7.5949689361164658</v>
      </c>
      <c r="K64" s="96">
        <f>IF(K22=0,0,K22/TrRoad_act!K34*100)</f>
        <v>7.4441280322024461</v>
      </c>
      <c r="L64" s="96">
        <f>IF(L22=0,0,L22/TrRoad_act!L34*100)</f>
        <v>7.3690320411456884</v>
      </c>
      <c r="M64" s="96">
        <f>IF(M22=0,0,M22/TrRoad_act!M34*100)</f>
        <v>7.2787432611884446</v>
      </c>
      <c r="N64" s="96">
        <f>IF(N22=0,0,N22/TrRoad_act!N34*100)</f>
        <v>7.176843628641576</v>
      </c>
      <c r="O64" s="96">
        <f>IF(O22=0,0,O22/TrRoad_act!O34*100)</f>
        <v>7.0789983328655355</v>
      </c>
      <c r="P64" s="96">
        <f>IF(P22=0,0,P22/TrRoad_act!P34*100)</f>
        <v>6.9609124623227938</v>
      </c>
      <c r="Q64" s="96">
        <f>IF(Q22=0,0,Q22/TrRoad_act!Q34*100)</f>
        <v>6.8393175662290373</v>
      </c>
      <c r="R64" s="96">
        <f>IF(R22=0,0,R22/TrRoad_act!R34*100)</f>
        <v>6.7285327783619842</v>
      </c>
      <c r="S64" s="96">
        <f>IF(S22=0,0,S22/TrRoad_act!S34*100)</f>
        <v>6.6055716874148711</v>
      </c>
      <c r="T64" s="96">
        <f>IF(T22=0,0,T22/TrRoad_act!T34*100)</f>
        <v>6.4770058584344552</v>
      </c>
      <c r="U64" s="96">
        <f>IF(U22=0,0,U22/TrRoad_act!U34*100)</f>
        <v>6.4020413458801526</v>
      </c>
      <c r="V64" s="96">
        <f>IF(V22=0,0,V22/TrRoad_act!V34*100)</f>
        <v>6.3257059167969549</v>
      </c>
      <c r="W64" s="96">
        <f>IF(W22=0,0,W22/TrRoad_act!W34*100)</f>
        <v>6.2391207270584195</v>
      </c>
      <c r="X64" s="96">
        <f>IF(X22=0,0,X22/TrRoad_act!X34*100)</f>
        <v>6.1479332808479015</v>
      </c>
      <c r="Y64" s="96">
        <f>IF(Y22=0,0,Y22/TrRoad_act!Y34*100)</f>
        <v>6.0543502940918597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7.0139899105215271</v>
      </c>
      <c r="C65" s="96">
        <f>IF(C24=0,0,C24/TrRoad_act!C35*100)</f>
        <v>6.7048739813213594</v>
      </c>
      <c r="D65" s="96">
        <f>IF(D24=0,0,D24/TrRoad_act!D35*100)</f>
        <v>6.6653389960189182</v>
      </c>
      <c r="E65" s="96">
        <f>IF(E24=0,0,E24/TrRoad_act!E35*100)</f>
        <v>6.9376484475732898</v>
      </c>
      <c r="F65" s="96">
        <f>IF(F24=0,0,F24/TrRoad_act!F35*100)</f>
        <v>6.8456102872415627</v>
      </c>
      <c r="G65" s="96">
        <f>IF(G24=0,0,G24/TrRoad_act!G35*100)</f>
        <v>6.847663264606342</v>
      </c>
      <c r="H65" s="96">
        <f>IF(H24=0,0,H24/TrRoad_act!H35*100)</f>
        <v>6.6940565020193441</v>
      </c>
      <c r="I65" s="96">
        <f>IF(I24=0,0,I24/TrRoad_act!I35*100)</f>
        <v>6.682494966677158</v>
      </c>
      <c r="J65" s="96">
        <f>IF(J24=0,0,J24/TrRoad_act!J35*100)</f>
        <v>6.6696082241513199</v>
      </c>
      <c r="K65" s="96">
        <f>IF(K24=0,0,K24/TrRoad_act!K35*100)</f>
        <v>6.77647277096548</v>
      </c>
      <c r="L65" s="96">
        <f>IF(L24=0,0,L24/TrRoad_act!L35*100)</f>
        <v>6.6919504988329503</v>
      </c>
      <c r="M65" s="96">
        <f>IF(M24=0,0,M24/TrRoad_act!M35*100)</f>
        <v>6.6784589343791483</v>
      </c>
      <c r="N65" s="96">
        <f>IF(N24=0,0,N24/TrRoad_act!N35*100)</f>
        <v>6.5737133204624048</v>
      </c>
      <c r="O65" s="96">
        <f>IF(O24=0,0,O24/TrRoad_act!O35*100)</f>
        <v>6.6071381442640753</v>
      </c>
      <c r="P65" s="96">
        <f>IF(P24=0,0,P24/TrRoad_act!P35*100)</f>
        <v>6.1818837295788551</v>
      </c>
      <c r="Q65" s="96">
        <f>IF(Q24=0,0,Q24/TrRoad_act!Q35*100)</f>
        <v>6.6314738574356689</v>
      </c>
      <c r="R65" s="96">
        <f>IF(R24=0,0,R24/TrRoad_act!R35*100)</f>
        <v>6.5061114176329831</v>
      </c>
      <c r="S65" s="96">
        <f>IF(S24=0,0,S24/TrRoad_act!S35*100)</f>
        <v>6.2254706504552253</v>
      </c>
      <c r="T65" s="96">
        <f>IF(T24=0,0,T24/TrRoad_act!T35*100)</f>
        <v>5.8949642921063115</v>
      </c>
      <c r="U65" s="96">
        <f>IF(U24=0,0,U24/TrRoad_act!U35*100)</f>
        <v>6.0860848622053592</v>
      </c>
      <c r="V65" s="96">
        <f>IF(V24=0,0,V24/TrRoad_act!V35*100)</f>
        <v>5.8309041661173806</v>
      </c>
      <c r="W65" s="96">
        <f>IF(W24=0,0,W24/TrRoad_act!W35*100)</f>
        <v>5.9369051425786541</v>
      </c>
      <c r="X65" s="96">
        <f>IF(X24=0,0,X24/TrRoad_act!X35*100)</f>
        <v>5.9024650390554152</v>
      </c>
      <c r="Y65" s="96">
        <f>IF(Y24=0,0,Y24/TrRoad_act!Y35*100)</f>
        <v>5.8763549311338368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7.4854676337346797</v>
      </c>
      <c r="C66" s="96">
        <f>IF(C26=0,0,C26/TrRoad_act!C36*100)</f>
        <v>7.4694262794999329</v>
      </c>
      <c r="D66" s="96">
        <f>IF(D26=0,0,D26/TrRoad_act!D36*100)</f>
        <v>7.2983807500233633</v>
      </c>
      <c r="E66" s="96">
        <f>IF(E26=0,0,E26/TrRoad_act!E36*100)</f>
        <v>7.1485137960049085</v>
      </c>
      <c r="F66" s="96">
        <f>IF(F26=0,0,F26/TrRoad_act!F36*100)</f>
        <v>7.2627825352514206</v>
      </c>
      <c r="G66" s="96">
        <f>IF(G26=0,0,G26/TrRoad_act!G36*100)</f>
        <v>7.5485083995122926</v>
      </c>
      <c r="H66" s="96">
        <f>IF(H26=0,0,H26/TrRoad_act!H36*100)</f>
        <v>7.1563677328536217</v>
      </c>
      <c r="I66" s="96">
        <f>IF(I26=0,0,I26/TrRoad_act!I36*100)</f>
        <v>7.0302170769563714</v>
      </c>
      <c r="J66" s="96">
        <f>IF(J26=0,0,J26/TrRoad_act!J36*100)</f>
        <v>9.9897841293528487</v>
      </c>
      <c r="K66" s="96">
        <f>IF(K26=0,0,K26/TrRoad_act!K36*100)</f>
        <v>12.090834636424107</v>
      </c>
      <c r="L66" s="96">
        <f>IF(L26=0,0,L26/TrRoad_act!L36*100)</f>
        <v>10.613250193646342</v>
      </c>
      <c r="M66" s="96">
        <f>IF(M26=0,0,M26/TrRoad_act!M36*100)</f>
        <v>9.8132804946993133</v>
      </c>
      <c r="N66" s="96">
        <f>IF(N26=0,0,N26/TrRoad_act!N36*100)</f>
        <v>9.3151018243691439</v>
      </c>
      <c r="O66" s="96">
        <f>IF(O26=0,0,O26/TrRoad_act!O36*100)</f>
        <v>8.7436449466174224</v>
      </c>
      <c r="P66" s="96">
        <f>IF(P26=0,0,P26/TrRoad_act!P36*100)</f>
        <v>8.8804181000533049</v>
      </c>
      <c r="Q66" s="96">
        <f>IF(Q26=0,0,Q26/TrRoad_act!Q36*100)</f>
        <v>8.7499467825325077</v>
      </c>
      <c r="R66" s="96">
        <f>IF(R26=0,0,R26/TrRoad_act!R36*100)</f>
        <v>8.1164209813087353</v>
      </c>
      <c r="S66" s="96">
        <f>IF(S26=0,0,S26/TrRoad_act!S36*100)</f>
        <v>7.780269073970314</v>
      </c>
      <c r="T66" s="96">
        <f>IF(T26=0,0,T26/TrRoad_act!T36*100)</f>
        <v>9.6724189897495538</v>
      </c>
      <c r="U66" s="96">
        <f>IF(U26=0,0,U26/TrRoad_act!U36*100)</f>
        <v>8.8713892439023549</v>
      </c>
      <c r="V66" s="96">
        <f>IF(V26=0,0,V26/TrRoad_act!V36*100)</f>
        <v>7.6480622593941536</v>
      </c>
      <c r="W66" s="96">
        <f>IF(W26=0,0,W26/TrRoad_act!W36*100)</f>
        <v>7.4043932432209258</v>
      </c>
      <c r="X66" s="96">
        <f>IF(X26=0,0,X26/TrRoad_act!X36*100)</f>
        <v>4.6484807948369014</v>
      </c>
      <c r="Y66" s="96">
        <f>IF(Y26=0,0,Y26/TrRoad_act!Y36*100)</f>
        <v>6.0550946035626572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8.2448638613510674</v>
      </c>
      <c r="H67" s="96">
        <f>IF(H27=0,0,H27/TrRoad_act!H37*100)</f>
        <v>8.2321116396875684</v>
      </c>
      <c r="I67" s="96">
        <f>IF(I27=0,0,I27/TrRoad_act!I37*100)</f>
        <v>8.2306317335660051</v>
      </c>
      <c r="J67" s="96">
        <f>IF(J27=0,0,J27/TrRoad_act!J37*100)</f>
        <v>8.0456675308383261</v>
      </c>
      <c r="K67" s="96">
        <f>IF(K27=0,0,K27/TrRoad_act!K37*100)</f>
        <v>7.6715514275315515</v>
      </c>
      <c r="L67" s="96">
        <f>IF(L27=0,0,L27/TrRoad_act!L37*100)</f>
        <v>7.6166966771973659</v>
      </c>
      <c r="M67" s="96">
        <f>IF(M27=0,0,M27/TrRoad_act!M37*100)</f>
        <v>7.5641665586992461</v>
      </c>
      <c r="N67" s="96">
        <f>IF(N27=0,0,N27/TrRoad_act!N37*100)</f>
        <v>7.5189815505821045</v>
      </c>
      <c r="O67" s="96">
        <f>IF(O27=0,0,O27/TrRoad_act!O37*100)</f>
        <v>7.2320931647078606</v>
      </c>
      <c r="P67" s="96">
        <f>IF(P27=0,0,P27/TrRoad_act!P37*100)</f>
        <v>6.937579862787123</v>
      </c>
      <c r="Q67" s="96">
        <f>IF(Q27=0,0,Q27/TrRoad_act!Q37*100)</f>
        <v>6.7315076608240165</v>
      </c>
      <c r="R67" s="96">
        <f>IF(R27=0,0,R27/TrRoad_act!R37*100)</f>
        <v>6.5931361349929132</v>
      </c>
      <c r="S67" s="96">
        <f>IF(S27=0,0,S27/TrRoad_act!S37*100)</f>
        <v>6.4601102893905358</v>
      </c>
      <c r="T67" s="96">
        <f>IF(T27=0,0,T27/TrRoad_act!T37*100)</f>
        <v>6.26716339253149</v>
      </c>
      <c r="U67" s="96">
        <f>IF(U27=0,0,U27/TrRoad_act!U37*100)</f>
        <v>6.1239700094064862</v>
      </c>
      <c r="V67" s="96">
        <f>IF(V27=0,0,V27/TrRoad_act!V37*100)</f>
        <v>5.9340292529874947</v>
      </c>
      <c r="W67" s="96">
        <f>IF(W27=0,0,W27/TrRoad_act!W37*100)</f>
        <v>5.8310147262697827</v>
      </c>
      <c r="X67" s="96">
        <f>IF(X27=0,0,X27/TrRoad_act!X37*100)</f>
        <v>5.8094414201041626</v>
      </c>
      <c r="Y67" s="96">
        <f>IF(Y27=0,0,Y27/TrRoad_act!Y37*100)</f>
        <v>5.748948706371241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3.2658841068053923</v>
      </c>
      <c r="N68" s="96">
        <f>IF(N29=0,0,N29/TrRoad_act!N38*100)</f>
        <v>2.7503243017249055</v>
      </c>
      <c r="O68" s="96">
        <f>IF(O29=0,0,O29/TrRoad_act!O38*100)</f>
        <v>2.9145335432189703</v>
      </c>
      <c r="P68" s="96">
        <f>IF(P29=0,0,P29/TrRoad_act!P38*100)</f>
        <v>2.8104099559279527</v>
      </c>
      <c r="Q68" s="96">
        <f>IF(Q29=0,0,Q29/TrRoad_act!Q38*100)</f>
        <v>2.9258991843449595</v>
      </c>
      <c r="R68" s="96">
        <f>IF(R29=0,0,R29/TrRoad_act!R38*100)</f>
        <v>2.9420980903562781</v>
      </c>
      <c r="S68" s="96">
        <f>IF(S29=0,0,S29/TrRoad_act!S38*100)</f>
        <v>3.0697124562494684</v>
      </c>
      <c r="T68" s="96">
        <f>IF(T29=0,0,T29/TrRoad_act!T38*100)</f>
        <v>3.2348999119774255</v>
      </c>
      <c r="U68" s="96">
        <f>IF(U29=0,0,U29/TrRoad_act!U38*100)</f>
        <v>3.2620953311035392</v>
      </c>
      <c r="V68" s="96">
        <f>IF(V29=0,0,V29/TrRoad_act!V38*100)</f>
        <v>3.2686722522900604</v>
      </c>
      <c r="W68" s="96">
        <f>IF(W29=0,0,W29/TrRoad_act!W38*100)</f>
        <v>3.1542744622577383</v>
      </c>
      <c r="X68" s="96">
        <f>IF(X29=0,0,X29/TrRoad_act!X38*100)</f>
        <v>3.0369061998428695</v>
      </c>
      <c r="Y68" s="96">
        <f>IF(Y29=0,0,Y29/TrRoad_act!Y38*100)</f>
        <v>2.9986802428355603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1.5005100213369749</v>
      </c>
      <c r="I69" s="96">
        <f>IF(I32=0,0,I32/TrRoad_act!I39*100)</f>
        <v>1.4972772377404706</v>
      </c>
      <c r="J69" s="96">
        <f>IF(J32=0,0,J32/TrRoad_act!J39*100)</f>
        <v>1.4809146736621588</v>
      </c>
      <c r="K69" s="96">
        <f>IF(K32=0,0,K32/TrRoad_act!K39*100)</f>
        <v>1.4791472935351073</v>
      </c>
      <c r="L69" s="96">
        <f>IF(L32=0,0,L32/TrRoad_act!L39*100)</f>
        <v>1.4738430375744851</v>
      </c>
      <c r="M69" s="96">
        <f>IF(M32=0,0,M32/TrRoad_act!M39*100)</f>
        <v>1.4716631450826327</v>
      </c>
      <c r="N69" s="96">
        <f>IF(N32=0,0,N32/TrRoad_act!N39*100)</f>
        <v>1.4406976249732626</v>
      </c>
      <c r="O69" s="96">
        <f>IF(O32=0,0,O32/TrRoad_act!O39*100)</f>
        <v>1.3943543479245639</v>
      </c>
      <c r="P69" s="96">
        <f>IF(P32=0,0,P32/TrRoad_act!P39*100)</f>
        <v>1.3586556530844511</v>
      </c>
      <c r="Q69" s="96">
        <f>IF(Q32=0,0,Q32/TrRoad_act!Q39*100)</f>
        <v>1.3796509798631003</v>
      </c>
      <c r="R69" s="96">
        <f>IF(R32=0,0,R32/TrRoad_act!R39*100)</f>
        <v>1.3857740668245917</v>
      </c>
      <c r="S69" s="96">
        <f>IF(S32=0,0,S32/TrRoad_act!S39*100)</f>
        <v>1.3662704286938805</v>
      </c>
      <c r="T69" s="96">
        <f>IF(T32=0,0,T32/TrRoad_act!T39*100)</f>
        <v>1.3906901431613712</v>
      </c>
      <c r="U69" s="96">
        <f>IF(U32=0,0,U32/TrRoad_act!U39*100)</f>
        <v>1.5501026276690177</v>
      </c>
      <c r="V69" s="96">
        <f>IF(V32=0,0,V32/TrRoad_act!V39*100)</f>
        <v>1.5758610774759054</v>
      </c>
      <c r="W69" s="96">
        <f>IF(W32=0,0,W32/TrRoad_act!W39*100)</f>
        <v>1.5629022740029992</v>
      </c>
      <c r="X69" s="96">
        <f>IF(X32=0,0,X32/TrRoad_act!X39*100)</f>
        <v>1.5654285704552622</v>
      </c>
      <c r="Y69" s="96">
        <f>IF(Y32=0,0,Y32/TrRoad_act!Y39*100)</f>
        <v>1.576584723188925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59.591420903211713</v>
      </c>
      <c r="C70" s="130">
        <f>IF(C33=0,0,C33/TrRoad_act!C40*100)</f>
        <v>58.33639931484268</v>
      </c>
      <c r="D70" s="130">
        <f>IF(D33=0,0,D33/TrRoad_act!D40*100)</f>
        <v>57.690267886249316</v>
      </c>
      <c r="E70" s="130">
        <f>IF(E33=0,0,E33/TrRoad_act!E40*100)</f>
        <v>57.132839768617039</v>
      </c>
      <c r="F70" s="130">
        <f>IF(F33=0,0,F33/TrRoad_act!F40*100)</f>
        <v>57.015343091815559</v>
      </c>
      <c r="G70" s="130">
        <f>IF(G33=0,0,G33/TrRoad_act!G40*100)</f>
        <v>56.158991833613626</v>
      </c>
      <c r="H70" s="130">
        <f>IF(H33=0,0,H33/TrRoad_act!H40*100)</f>
        <v>55.70454231203491</v>
      </c>
      <c r="I70" s="130">
        <f>IF(I33=0,0,I33/TrRoad_act!I40*100)</f>
        <v>55.11274232074441</v>
      </c>
      <c r="J70" s="130">
        <f>IF(J33=0,0,J33/TrRoad_act!J40*100)</f>
        <v>54.900570997306573</v>
      </c>
      <c r="K70" s="130">
        <f>IF(K33=0,0,K33/TrRoad_act!K40*100)</f>
        <v>54.559914039098892</v>
      </c>
      <c r="L70" s="130">
        <f>IF(L33=0,0,L33/TrRoad_act!L40*100)</f>
        <v>54.274660813810392</v>
      </c>
      <c r="M70" s="130">
        <f>IF(M33=0,0,M33/TrRoad_act!M40*100)</f>
        <v>54.836839085125092</v>
      </c>
      <c r="N70" s="130">
        <f>IF(N33=0,0,N33/TrRoad_act!N40*100)</f>
        <v>55.465523707652906</v>
      </c>
      <c r="O70" s="130">
        <f>IF(O33=0,0,O33/TrRoad_act!O40*100)</f>
        <v>55.567357131677674</v>
      </c>
      <c r="P70" s="130">
        <f>IF(P33=0,0,P33/TrRoad_act!P40*100)</f>
        <v>55.73039538970113</v>
      </c>
      <c r="Q70" s="130">
        <f>IF(Q33=0,0,Q33/TrRoad_act!Q40*100)</f>
        <v>56.128545349991811</v>
      </c>
      <c r="R70" s="130">
        <f>IF(R33=0,0,R33/TrRoad_act!R40*100)</f>
        <v>55.804805393631483</v>
      </c>
      <c r="S70" s="130">
        <f>IF(S33=0,0,S33/TrRoad_act!S40*100)</f>
        <v>55.399665422550648</v>
      </c>
      <c r="T70" s="130">
        <f>IF(T33=0,0,T33/TrRoad_act!T40*100)</f>
        <v>54.941598139824542</v>
      </c>
      <c r="U70" s="130">
        <f>IF(U33=0,0,U33/TrRoad_act!U40*100)</f>
        <v>55.622491839118751</v>
      </c>
      <c r="V70" s="130">
        <f>IF(V33=0,0,V33/TrRoad_act!V40*100)</f>
        <v>56.109471055968093</v>
      </c>
      <c r="W70" s="130">
        <f>IF(W33=0,0,W33/TrRoad_act!W40*100)</f>
        <v>54.786461396685525</v>
      </c>
      <c r="X70" s="130">
        <f>IF(X33=0,0,X33/TrRoad_act!X40*100)</f>
        <v>56.340451904058895</v>
      </c>
      <c r="Y70" s="130">
        <f>IF(Y33=0,0,Y33/TrRoad_act!Y40*100)</f>
        <v>55.491075888418663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0</v>
      </c>
      <c r="C71" s="97">
        <f>IF(C34=0,0,C34/TrRoad_act!C41*100)</f>
        <v>0</v>
      </c>
      <c r="D71" s="97">
        <f>IF(D34=0,0,D34/TrRoad_act!D41*100)</f>
        <v>0</v>
      </c>
      <c r="E71" s="97">
        <f>IF(E34=0,0,E34/TrRoad_act!E41*100)</f>
        <v>0</v>
      </c>
      <c r="F71" s="97">
        <f>IF(F34=0,0,F34/TrRoad_act!F41*100)</f>
        <v>0</v>
      </c>
      <c r="G71" s="97">
        <f>IF(G34=0,0,G34/TrRoad_act!G41*100)</f>
        <v>0</v>
      </c>
      <c r="H71" s="97">
        <f>IF(H34=0,0,H34/TrRoad_act!H41*100)</f>
        <v>0</v>
      </c>
      <c r="I71" s="97">
        <f>IF(I34=0,0,I34/TrRoad_act!I41*100)</f>
        <v>0</v>
      </c>
      <c r="J71" s="97">
        <f>IF(J34=0,0,J34/TrRoad_act!J41*100)</f>
        <v>0</v>
      </c>
      <c r="K71" s="97">
        <f>IF(K34=0,0,K34/TrRoad_act!K41*100)</f>
        <v>0</v>
      </c>
      <c r="L71" s="97">
        <f>IF(L34=0,0,L34/TrRoad_act!L41*100)</f>
        <v>0</v>
      </c>
      <c r="M71" s="97">
        <f>IF(M34=0,0,M34/TrRoad_act!M41*100)</f>
        <v>0</v>
      </c>
      <c r="N71" s="97">
        <f>IF(N34=0,0,N34/TrRoad_act!N41*100)</f>
        <v>0</v>
      </c>
      <c r="O71" s="97">
        <f>IF(O34=0,0,O34/TrRoad_act!O41*100)</f>
        <v>0</v>
      </c>
      <c r="P71" s="97">
        <f>IF(P34=0,0,P34/TrRoad_act!P41*100)</f>
        <v>0</v>
      </c>
      <c r="Q71" s="97">
        <f>IF(Q34=0,0,Q34/TrRoad_act!Q41*100)</f>
        <v>0</v>
      </c>
      <c r="R71" s="97">
        <f>IF(R34=0,0,R34/TrRoad_act!R41*100)</f>
        <v>0</v>
      </c>
      <c r="S71" s="97">
        <f>IF(S34=0,0,S34/TrRoad_act!S41*100)</f>
        <v>0</v>
      </c>
      <c r="T71" s="97">
        <f>IF(T34=0,0,T34/TrRoad_act!T41*100)</f>
        <v>0</v>
      </c>
      <c r="U71" s="97">
        <f>IF(U34=0,0,U34/TrRoad_act!U41*100)</f>
        <v>0</v>
      </c>
      <c r="V71" s="97">
        <f>IF(V34=0,0,V34/TrRoad_act!V41*100)</f>
        <v>0</v>
      </c>
      <c r="W71" s="97">
        <f>IF(W34=0,0,W34/TrRoad_act!W41*100)</f>
        <v>0</v>
      </c>
      <c r="X71" s="97">
        <f>IF(X34=0,0,X34/TrRoad_act!X41*100)</f>
        <v>0</v>
      </c>
      <c r="Y71" s="97">
        <f>IF(Y34=0,0,Y34/TrRoad_act!Y41*100)</f>
        <v>0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59.731204700891148</v>
      </c>
      <c r="C72" s="97">
        <f>IF(C36=0,0,C36/TrRoad_act!C42*100)</f>
        <v>58.523979021557373</v>
      </c>
      <c r="D72" s="97">
        <f>IF(D36=0,0,D36/TrRoad_act!D42*100)</f>
        <v>57.940268923266103</v>
      </c>
      <c r="E72" s="97">
        <f>IF(E36=0,0,E36/TrRoad_act!E42*100)</f>
        <v>57.390943112226111</v>
      </c>
      <c r="F72" s="97">
        <f>IF(F36=0,0,F36/TrRoad_act!F42*100)</f>
        <v>56.901331564868606</v>
      </c>
      <c r="G72" s="97">
        <f>IF(G36=0,0,G36/TrRoad_act!G42*100)</f>
        <v>56.423623326802399</v>
      </c>
      <c r="H72" s="97">
        <f>IF(H36=0,0,H36/TrRoad_act!H42*100)</f>
        <v>56.016980078177383</v>
      </c>
      <c r="I72" s="97">
        <f>IF(I36=0,0,I36/TrRoad_act!I42*100)</f>
        <v>55.363079772428556</v>
      </c>
      <c r="J72" s="97">
        <f>IF(J36=0,0,J36/TrRoad_act!J42*100)</f>
        <v>54.994047334213256</v>
      </c>
      <c r="K72" s="97">
        <f>IF(K36=0,0,K36/TrRoad_act!K42*100)</f>
        <v>54.688834793654372</v>
      </c>
      <c r="L72" s="97">
        <f>IF(L36=0,0,L36/TrRoad_act!L42*100)</f>
        <v>54.618789591733339</v>
      </c>
      <c r="M72" s="97">
        <f>IF(M36=0,0,M36/TrRoad_act!M42*100)</f>
        <v>54.380179765942451</v>
      </c>
      <c r="N72" s="97">
        <f>IF(N36=0,0,N36/TrRoad_act!N42*100)</f>
        <v>54.39600300193522</v>
      </c>
      <c r="O72" s="97">
        <f>IF(O36=0,0,O36/TrRoad_act!O42*100)</f>
        <v>54.2914235197252</v>
      </c>
      <c r="P72" s="97">
        <f>IF(P36=0,0,P36/TrRoad_act!P42*100)</f>
        <v>54.41515096620433</v>
      </c>
      <c r="Q72" s="97">
        <f>IF(Q36=0,0,Q36/TrRoad_act!Q42*100)</f>
        <v>54.582357634697132</v>
      </c>
      <c r="R72" s="97">
        <f>IF(R36=0,0,R36/TrRoad_act!R42*100)</f>
        <v>54.658830488359634</v>
      </c>
      <c r="S72" s="97">
        <f>IF(S36=0,0,S36/TrRoad_act!S42*100)</f>
        <v>54.695376197438918</v>
      </c>
      <c r="T72" s="97">
        <f>IF(T36=0,0,T36/TrRoad_act!T42*100)</f>
        <v>54.724133926572613</v>
      </c>
      <c r="U72" s="97">
        <f>IF(U36=0,0,U36/TrRoad_act!U42*100)</f>
        <v>54.571705947725</v>
      </c>
      <c r="V72" s="97">
        <f>IF(V36=0,0,V36/TrRoad_act!V42*100)</f>
        <v>54.353996067186131</v>
      </c>
      <c r="W72" s="97">
        <f>IF(W36=0,0,W36/TrRoad_act!W42*100)</f>
        <v>53.783768046586268</v>
      </c>
      <c r="X72" s="97">
        <f>IF(X36=0,0,X36/TrRoad_act!X42*100)</f>
        <v>53.119393188884146</v>
      </c>
      <c r="Y72" s="97">
        <f>IF(Y36=0,0,Y36/TrRoad_act!Y42*100)</f>
        <v>52.2147349069607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0</v>
      </c>
      <c r="C73" s="97">
        <f>IF(C38=0,0,C38/TrRoad_act!C43*100)</f>
        <v>0</v>
      </c>
      <c r="D73" s="97">
        <f>IF(D38=0,0,D38/TrRoad_act!D43*100)</f>
        <v>0</v>
      </c>
      <c r="E73" s="97">
        <f>IF(E38=0,0,E38/TrRoad_act!E43*100)</f>
        <v>0</v>
      </c>
      <c r="F73" s="97">
        <f>IF(F38=0,0,F38/TrRoad_act!F43*100)</f>
        <v>44.16357275555179</v>
      </c>
      <c r="G73" s="97">
        <f>IF(G38=0,0,G38/TrRoad_act!G43*100)</f>
        <v>44.163572755551797</v>
      </c>
      <c r="H73" s="97">
        <f>IF(H38=0,0,H38/TrRoad_act!H43*100)</f>
        <v>44.163572755551783</v>
      </c>
      <c r="I73" s="97">
        <f>IF(I38=0,0,I38/TrRoad_act!I43*100)</f>
        <v>44.280946552019287</v>
      </c>
      <c r="J73" s="97">
        <f>IF(J38=0,0,J38/TrRoad_act!J43*100)</f>
        <v>44.45929536762123</v>
      </c>
      <c r="K73" s="97">
        <f>IF(K38=0,0,K38/TrRoad_act!K43*100)</f>
        <v>44.541422146794488</v>
      </c>
      <c r="L73" s="97">
        <f>IF(L38=0,0,L38/TrRoad_act!L43*100)</f>
        <v>44.606543279321428</v>
      </c>
      <c r="M73" s="97">
        <f>IF(M38=0,0,M38/TrRoad_act!M43*100)</f>
        <v>44.622962931889433</v>
      </c>
      <c r="N73" s="97">
        <f>IF(N38=0,0,N38/TrRoad_act!N43*100)</f>
        <v>44.622962931889461</v>
      </c>
      <c r="O73" s="97">
        <f>IF(O38=0,0,O38/TrRoad_act!O43*100)</f>
        <v>44.640646700925899</v>
      </c>
      <c r="P73" s="97">
        <f>IF(P38=0,0,P38/TrRoad_act!P43*100)</f>
        <v>44.659746413594441</v>
      </c>
      <c r="Q73" s="97">
        <f>IF(Q38=0,0,Q38/TrRoad_act!Q43*100)</f>
        <v>44.680439224729966</v>
      </c>
      <c r="R73" s="97">
        <f>IF(R38=0,0,R38/TrRoad_act!R43*100)</f>
        <v>44.841119246261009</v>
      </c>
      <c r="S73" s="97">
        <f>IF(S38=0,0,S38/TrRoad_act!S43*100)</f>
        <v>44.869910679809237</v>
      </c>
      <c r="T73" s="97">
        <f>IF(T38=0,0,T38/TrRoad_act!T43*100)</f>
        <v>45.02292673458917</v>
      </c>
      <c r="U73" s="97">
        <f>IF(U38=0,0,U38/TrRoad_act!U43*100)</f>
        <v>45.236162642910394</v>
      </c>
      <c r="V73" s="97">
        <f>IF(V38=0,0,V38/TrRoad_act!V43*100)</f>
        <v>45.410050650117668</v>
      </c>
      <c r="W73" s="97">
        <f>IF(W38=0,0,W38/TrRoad_act!W43*100)</f>
        <v>45.502396377402896</v>
      </c>
      <c r="X73" s="97">
        <f>IF(X38=0,0,X38/TrRoad_act!X43*100)</f>
        <v>45.637791041898247</v>
      </c>
      <c r="Y73" s="97">
        <f>IF(Y38=0,0,Y38/TrRoad_act!Y43*100)</f>
        <v>46.005126535273206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48.639798425203864</v>
      </c>
      <c r="C74" s="97">
        <f>IF(C39=0,0,C39/TrRoad_act!C44*100)</f>
        <v>47.453426738654343</v>
      </c>
      <c r="D74" s="97">
        <f>IF(D39=0,0,D39/TrRoad_act!D44*100)</f>
        <v>46.775833009493169</v>
      </c>
      <c r="E74" s="97">
        <f>IF(E39=0,0,E39/TrRoad_act!E44*100)</f>
        <v>47.781478449335424</v>
      </c>
      <c r="F74" s="97">
        <f>IF(F39=0,0,F39/TrRoad_act!F44*100)</f>
        <v>63.007426623928865</v>
      </c>
      <c r="G74" s="97">
        <f>IF(G39=0,0,G39/TrRoad_act!G44*100)</f>
        <v>44.549408681739258</v>
      </c>
      <c r="H74" s="97">
        <f>IF(H39=0,0,H39/TrRoad_act!H44*100)</f>
        <v>44.974876526145856</v>
      </c>
      <c r="I74" s="97">
        <f>IF(I39=0,0,I39/TrRoad_act!I44*100)</f>
        <v>46.710398605597661</v>
      </c>
      <c r="J74" s="97">
        <f>IF(J39=0,0,J39/TrRoad_act!J44*100)</f>
        <v>51.291202126077032</v>
      </c>
      <c r="K74" s="97">
        <f>IF(K39=0,0,K39/TrRoad_act!K44*100)</f>
        <v>49.865653123210798</v>
      </c>
      <c r="L74" s="97">
        <f>IF(L39=0,0,L39/TrRoad_act!L44*100)</f>
        <v>39.923922109666748</v>
      </c>
      <c r="M74" s="97">
        <f>IF(M39=0,0,M39/TrRoad_act!M44*100)</f>
        <v>79.085313471914503</v>
      </c>
      <c r="N74" s="97">
        <f>IF(N39=0,0,N39/TrRoad_act!N44*100)</f>
        <v>109.98621311915787</v>
      </c>
      <c r="O74" s="97">
        <f>IF(O39=0,0,O39/TrRoad_act!O44*100)</f>
        <v>116.5740422269816</v>
      </c>
      <c r="P74" s="97">
        <f>IF(P39=0,0,P39/TrRoad_act!P44*100)</f>
        <v>129.45713230660218</v>
      </c>
      <c r="Q74" s="97">
        <f>IF(Q39=0,0,Q39/TrRoad_act!Q44*100)</f>
        <v>184.04108995764861</v>
      </c>
      <c r="R74" s="97">
        <f>IF(R39=0,0,R39/TrRoad_act!R44*100)</f>
        <v>137.82367532478065</v>
      </c>
      <c r="S74" s="97">
        <f>IF(S39=0,0,S39/TrRoad_act!S44*100)</f>
        <v>99.36214356514688</v>
      </c>
      <c r="T74" s="97">
        <f>IF(T39=0,0,T39/TrRoad_act!T44*100)</f>
        <v>70.896007425133405</v>
      </c>
      <c r="U74" s="97">
        <f>IF(U39=0,0,U39/TrRoad_act!U44*100)</f>
        <v>123.69277278131408</v>
      </c>
      <c r="V74" s="97">
        <f>IF(V39=0,0,V39/TrRoad_act!V44*100)</f>
        <v>170.79255231224863</v>
      </c>
      <c r="W74" s="97">
        <f>IF(W39=0,0,W39/TrRoad_act!W44*100)</f>
        <v>141.14065735287718</v>
      </c>
      <c r="X74" s="97">
        <f>IF(X39=0,0,X39/TrRoad_act!X44*100)</f>
        <v>309.53135389418537</v>
      </c>
      <c r="Y74" s="97">
        <f>IF(Y39=0,0,Y39/TrRoad_act!Y44*100)</f>
        <v>328.888106935233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36.733481211689863</v>
      </c>
      <c r="C75" s="97">
        <f>IF(C41=0,0,C41/TrRoad_act!C45*100)</f>
        <v>36.074767203177203</v>
      </c>
      <c r="D75" s="97">
        <f>IF(D41=0,0,D41/TrRoad_act!D45*100)</f>
        <v>35.526927507562135</v>
      </c>
      <c r="E75" s="97">
        <f>IF(E41=0,0,E41/TrRoad_act!E45*100)</f>
        <v>35.107848454457105</v>
      </c>
      <c r="F75" s="97">
        <f>IF(F41=0,0,F41/TrRoad_act!F45*100)</f>
        <v>34.88899346503699</v>
      </c>
      <c r="G75" s="97">
        <f>IF(G41=0,0,G41/TrRoad_act!G45*100)</f>
        <v>34.798779271787645</v>
      </c>
      <c r="H75" s="97">
        <f>IF(H41=0,0,H41/TrRoad_act!H45*100)</f>
        <v>34.697877251218557</v>
      </c>
      <c r="I75" s="97">
        <f>IF(I41=0,0,I41/TrRoad_act!I45*100)</f>
        <v>34.597158005849472</v>
      </c>
      <c r="J75" s="97">
        <f>IF(J41=0,0,J41/TrRoad_act!J45*100)</f>
        <v>34.461283598045625</v>
      </c>
      <c r="K75" s="97">
        <f>IF(K41=0,0,K41/TrRoad_act!K45*100)</f>
        <v>34.01022879312692</v>
      </c>
      <c r="L75" s="97">
        <f>IF(L41=0,0,L41/TrRoad_act!L45*100)</f>
        <v>33.871451581399583</v>
      </c>
      <c r="M75" s="97">
        <f>IF(M41=0,0,M41/TrRoad_act!M45*100)</f>
        <v>33.636625452088673</v>
      </c>
      <c r="N75" s="97">
        <f>IF(N41=0,0,N41/TrRoad_act!N45*100)</f>
        <v>33.527459859207106</v>
      </c>
      <c r="O75" s="97">
        <f>IF(O41=0,0,O41/TrRoad_act!O45*100)</f>
        <v>33.48135549499213</v>
      </c>
      <c r="P75" s="97">
        <f>IF(P41=0,0,P41/TrRoad_act!P45*100)</f>
        <v>33.51736725958073</v>
      </c>
      <c r="Q75" s="97">
        <f>IF(Q41=0,0,Q41/TrRoad_act!Q45*100)</f>
        <v>33.586182134914814</v>
      </c>
      <c r="R75" s="97">
        <f>IF(R41=0,0,R41/TrRoad_act!R45*100)</f>
        <v>33.627543618308117</v>
      </c>
      <c r="S75" s="97">
        <f>IF(S41=0,0,S41/TrRoad_act!S45*100)</f>
        <v>33.669177214878538</v>
      </c>
      <c r="T75" s="97">
        <f>IF(T41=0,0,T41/TrRoad_act!T45*100)</f>
        <v>33.580669873462831</v>
      </c>
      <c r="U75" s="97">
        <f>IF(U41=0,0,U41/TrRoad_act!U45*100)</f>
        <v>33.090740710404297</v>
      </c>
      <c r="V75" s="97">
        <f>IF(V41=0,0,V41/TrRoad_act!V45*100)</f>
        <v>32.248361840249309</v>
      </c>
      <c r="W75" s="97">
        <f>IF(W41=0,0,W41/TrRoad_act!W45*100)</f>
        <v>31.684142911903951</v>
      </c>
      <c r="X75" s="97">
        <f>IF(X41=0,0,X41/TrRoad_act!X45*100)</f>
        <v>31.152245950862362</v>
      </c>
      <c r="Y75" s="97">
        <f>IF(Y41=0,0,Y41/TrRoad_act!Y45*100)</f>
        <v>30.532806656868612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26.057631158386606</v>
      </c>
      <c r="C76" s="32">
        <f>IF(C42=0,0,C42/TrRoad_act!C46*100)</f>
        <v>23.584220574997047</v>
      </c>
      <c r="D76" s="32">
        <f>IF(D42=0,0,D42/TrRoad_act!D46*100)</f>
        <v>22.977673837146874</v>
      </c>
      <c r="E76" s="32">
        <f>IF(E42=0,0,E42/TrRoad_act!E46*100)</f>
        <v>21.049098210160338</v>
      </c>
      <c r="F76" s="32">
        <f>IF(F42=0,0,F42/TrRoad_act!F46*100)</f>
        <v>20.475508219430054</v>
      </c>
      <c r="G76" s="32">
        <f>IF(G42=0,0,G42/TrRoad_act!G46*100)</f>
        <v>19.78371971268918</v>
      </c>
      <c r="H76" s="32">
        <f>IF(H42=0,0,H42/TrRoad_act!H46*100)</f>
        <v>22.197614260638606</v>
      </c>
      <c r="I76" s="32">
        <f>IF(I42=0,0,I42/TrRoad_act!I46*100)</f>
        <v>21.694654481941853</v>
      </c>
      <c r="J76" s="32">
        <f>IF(J42=0,0,J42/TrRoad_act!J46*100)</f>
        <v>21.24480167379625</v>
      </c>
      <c r="K76" s="32">
        <f>IF(K42=0,0,K42/TrRoad_act!K46*100)</f>
        <v>20.862889051836529</v>
      </c>
      <c r="L76" s="32">
        <f>IF(L42=0,0,L42/TrRoad_act!L46*100)</f>
        <v>22.694811179307635</v>
      </c>
      <c r="M76" s="32">
        <f>IF(M42=0,0,M42/TrRoad_act!M46*100)</f>
        <v>21.960093656382966</v>
      </c>
      <c r="N76" s="32">
        <f>IF(N42=0,0,N42/TrRoad_act!N46*100)</f>
        <v>23.415224180487819</v>
      </c>
      <c r="O76" s="32">
        <f>IF(O42=0,0,O42/TrRoad_act!O46*100)</f>
        <v>22.63780857715771</v>
      </c>
      <c r="P76" s="32">
        <f>IF(P42=0,0,P42/TrRoad_act!P46*100)</f>
        <v>22.676512952823451</v>
      </c>
      <c r="Q76" s="32">
        <f>IF(Q42=0,0,Q42/TrRoad_act!Q46*100)</f>
        <v>19.761567003096644</v>
      </c>
      <c r="R76" s="32">
        <f>IF(R42=0,0,R42/TrRoad_act!R46*100)</f>
        <v>19.411553482256615</v>
      </c>
      <c r="S76" s="32">
        <f>IF(S42=0,0,S42/TrRoad_act!S46*100)</f>
        <v>19.809530035619908</v>
      </c>
      <c r="T76" s="32">
        <f>IF(T42=0,0,T42/TrRoad_act!T46*100)</f>
        <v>20.727272039083324</v>
      </c>
      <c r="U76" s="32">
        <f>IF(U42=0,0,U42/TrRoad_act!U46*100)</f>
        <v>19.728610149533552</v>
      </c>
      <c r="V76" s="32">
        <f>IF(V42=0,0,V42/TrRoad_act!V46*100)</f>
        <v>20.877629114686776</v>
      </c>
      <c r="W76" s="32">
        <f>IF(W42=0,0,W42/TrRoad_act!W46*100)</f>
        <v>18.861853284104953</v>
      </c>
      <c r="X76" s="32">
        <f>IF(X42=0,0,X42/TrRoad_act!X46*100)</f>
        <v>17.97568564527193</v>
      </c>
      <c r="Y76" s="32">
        <f>IF(Y42=0,0,Y42/TrRoad_act!Y46*100)</f>
        <v>16.335828203975243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10.795561665203707</v>
      </c>
      <c r="C77" s="141">
        <f>IF(C43=0,0,C43/TrRoad_act!C47*100)</f>
        <v>10.266371789021932</v>
      </c>
      <c r="D77" s="141">
        <f>IF(D43=0,0,D43/TrRoad_act!D47*100)</f>
        <v>10.10817542473435</v>
      </c>
      <c r="E77" s="141">
        <f>IF(E43=0,0,E43/TrRoad_act!E47*100)</f>
        <v>9.9909624092937008</v>
      </c>
      <c r="F77" s="141">
        <f>IF(F43=0,0,F43/TrRoad_act!F47*100)</f>
        <v>9.8786276726201958</v>
      </c>
      <c r="G77" s="141">
        <f>IF(G43=0,0,G43/TrRoad_act!G47*100)</f>
        <v>9.8707288886174176</v>
      </c>
      <c r="H77" s="141">
        <f>IF(H43=0,0,H43/TrRoad_act!H47*100)</f>
        <v>9.8635733606884184</v>
      </c>
      <c r="I77" s="141">
        <f>IF(I43=0,0,I43/TrRoad_act!I47*100)</f>
        <v>9.8424499499236422</v>
      </c>
      <c r="J77" s="141">
        <f>IF(J43=0,0,J43/TrRoad_act!J47*100)</f>
        <v>9.8197005901475034</v>
      </c>
      <c r="K77" s="141">
        <f>IF(K43=0,0,K43/TrRoad_act!K47*100)</f>
        <v>9.7909767757889643</v>
      </c>
      <c r="L77" s="141">
        <f>IF(L43=0,0,L43/TrRoad_act!L47*100)</f>
        <v>9.8006801784598281</v>
      </c>
      <c r="M77" s="141">
        <f>IF(M43=0,0,M43/TrRoad_act!M47*100)</f>
        <v>9.8742166867707724</v>
      </c>
      <c r="N77" s="141">
        <f>IF(N43=0,0,N43/TrRoad_act!N47*100)</f>
        <v>9.8352413177385074</v>
      </c>
      <c r="O77" s="141">
        <f>IF(O43=0,0,O43/TrRoad_act!O47*100)</f>
        <v>9.8099575877407243</v>
      </c>
      <c r="P77" s="141">
        <f>IF(P43=0,0,P43/TrRoad_act!P47*100)</f>
        <v>9.7766182796869057</v>
      </c>
      <c r="Q77" s="141">
        <f>IF(Q43=0,0,Q43/TrRoad_act!Q47*100)</f>
        <v>9.7317847049855981</v>
      </c>
      <c r="R77" s="141">
        <f>IF(R43=0,0,R43/TrRoad_act!R47*100)</f>
        <v>9.6421014924317099</v>
      </c>
      <c r="S77" s="141">
        <f>IF(S43=0,0,S43/TrRoad_act!S47*100)</f>
        <v>9.520402465037872</v>
      </c>
      <c r="T77" s="141">
        <f>IF(T43=0,0,T43/TrRoad_act!T47*100)</f>
        <v>9.4234489071577521</v>
      </c>
      <c r="U77" s="141">
        <f>IF(U43=0,0,U43/TrRoad_act!U47*100)</f>
        <v>9.3398857071354584</v>
      </c>
      <c r="V77" s="141">
        <f>IF(V43=0,0,V43/TrRoad_act!V47*100)</f>
        <v>9.3605507417133875</v>
      </c>
      <c r="W77" s="141">
        <f>IF(W43=0,0,W43/TrRoad_act!W47*100)</f>
        <v>9.3415610803448548</v>
      </c>
      <c r="X77" s="141">
        <f>IF(X43=0,0,X43/TrRoad_act!X47*100)</f>
        <v>9.3155471390141891</v>
      </c>
      <c r="Y77" s="141">
        <f>IF(Y43=0,0,Y43/TrRoad_act!Y47*100)</f>
        <v>9.3067610753745313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10.47200133401933</v>
      </c>
      <c r="C78" s="96">
        <f>IF(C44=0,0,C44/TrRoad_act!C48*100)</f>
        <v>10.273132204330009</v>
      </c>
      <c r="D78" s="96">
        <f>IF(D44=0,0,D44/TrRoad_act!D48*100)</f>
        <v>10.200059562130392</v>
      </c>
      <c r="E78" s="96">
        <f>IF(E44=0,0,E44/TrRoad_act!E48*100)</f>
        <v>10.122759437126899</v>
      </c>
      <c r="F78" s="96">
        <f>IF(F44=0,0,F44/TrRoad_act!F48*100)</f>
        <v>10.049337640496287</v>
      </c>
      <c r="G78" s="96">
        <f>IF(G44=0,0,G44/TrRoad_act!G48*100)</f>
        <v>9.9637430440025891</v>
      </c>
      <c r="H78" s="96">
        <f>IF(H44=0,0,H44/TrRoad_act!H48*100)</f>
        <v>9.8766116477230224</v>
      </c>
      <c r="I78" s="96">
        <f>IF(I44=0,0,I44/TrRoad_act!I48*100)</f>
        <v>9.8355948337467893</v>
      </c>
      <c r="J78" s="96">
        <f>IF(J44=0,0,J44/TrRoad_act!J48*100)</f>
        <v>9.7236201474207622</v>
      </c>
      <c r="K78" s="96">
        <f>IF(K44=0,0,K44/TrRoad_act!K48*100)</f>
        <v>9.6135291822481577</v>
      </c>
      <c r="L78" s="96">
        <f>IF(L44=0,0,L44/TrRoad_act!L48*100)</f>
        <v>9.4925705744265851</v>
      </c>
      <c r="M78" s="96">
        <f>IF(M44=0,0,M44/TrRoad_act!M48*100)</f>
        <v>9.3573973642456192</v>
      </c>
      <c r="N78" s="96">
        <f>IF(N44=0,0,N44/TrRoad_act!N48*100)</f>
        <v>9.1750998712244893</v>
      </c>
      <c r="O78" s="96">
        <f>IF(O44=0,0,O44/TrRoad_act!O48*100)</f>
        <v>9.0332093146160499</v>
      </c>
      <c r="P78" s="96">
        <f>IF(P44=0,0,P44/TrRoad_act!P48*100)</f>
        <v>8.9594251517487766</v>
      </c>
      <c r="Q78" s="96">
        <f>IF(Q44=0,0,Q44/TrRoad_act!Q48*100)</f>
        <v>8.9116440920670108</v>
      </c>
      <c r="R78" s="96">
        <f>IF(R44=0,0,R44/TrRoad_act!R48*100)</f>
        <v>8.810286516199735</v>
      </c>
      <c r="S78" s="96">
        <f>IF(S44=0,0,S44/TrRoad_act!S48*100)</f>
        <v>8.6361009555868513</v>
      </c>
      <c r="T78" s="96">
        <f>IF(T44=0,0,T44/TrRoad_act!T48*100)</f>
        <v>8.68842841135233</v>
      </c>
      <c r="U78" s="96">
        <f>IF(U44=0,0,U44/TrRoad_act!U48*100)</f>
        <v>8.5638039116004254</v>
      </c>
      <c r="V78" s="96">
        <f>IF(V44=0,0,V44/TrRoad_act!V48*100)</f>
        <v>8.6128922421650884</v>
      </c>
      <c r="W78" s="96">
        <f>IF(W44=0,0,W44/TrRoad_act!W48*100)</f>
        <v>8.6845388746044154</v>
      </c>
      <c r="X78" s="96">
        <f>IF(X44=0,0,X44/TrRoad_act!X48*100)</f>
        <v>8.6530943458199232</v>
      </c>
      <c r="Y78" s="96">
        <f>IF(Y44=0,0,Y44/TrRoad_act!Y48*100)</f>
        <v>8.7221635749660003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10.83697849765006</v>
      </c>
      <c r="C79" s="96">
        <f>IF(C46=0,0,C46/TrRoad_act!C49*100)</f>
        <v>10.268583262111736</v>
      </c>
      <c r="D79" s="96">
        <f>IF(D46=0,0,D46/TrRoad_act!D49*100)</f>
        <v>10.10201026678166</v>
      </c>
      <c r="E79" s="96">
        <f>IF(E46=0,0,E46/TrRoad_act!E49*100)</f>
        <v>9.9823138248444998</v>
      </c>
      <c r="F79" s="96">
        <f>IF(F46=0,0,F46/TrRoad_act!F49*100)</f>
        <v>9.867503980724333</v>
      </c>
      <c r="G79" s="96">
        <f>IF(G46=0,0,G46/TrRoad_act!G49*100)</f>
        <v>9.8661884682367837</v>
      </c>
      <c r="H79" s="96">
        <f>IF(H46=0,0,H46/TrRoad_act!H49*100)</f>
        <v>9.8598618407060687</v>
      </c>
      <c r="I79" s="96">
        <f>IF(I46=0,0,I46/TrRoad_act!I49*100)</f>
        <v>9.8376563749040393</v>
      </c>
      <c r="J79" s="96">
        <f>IF(J46=0,0,J46/TrRoad_act!J49*100)</f>
        <v>9.8158104171741662</v>
      </c>
      <c r="K79" s="96">
        <f>IF(K46=0,0,K46/TrRoad_act!K49*100)</f>
        <v>9.7892147484732988</v>
      </c>
      <c r="L79" s="96">
        <f>IF(L46=0,0,L46/TrRoad_act!L49*100)</f>
        <v>9.8056875646931356</v>
      </c>
      <c r="M79" s="96">
        <f>IF(M46=0,0,M46/TrRoad_act!M49*100)</f>
        <v>9.8906072813309862</v>
      </c>
      <c r="N79" s="96">
        <f>IF(N46=0,0,N46/TrRoad_act!N49*100)</f>
        <v>9.85881061761261</v>
      </c>
      <c r="O79" s="96">
        <f>IF(O46=0,0,O46/TrRoad_act!O49*100)</f>
        <v>9.8370714000797381</v>
      </c>
      <c r="P79" s="96">
        <f>IF(P46=0,0,P46/TrRoad_act!P49*100)</f>
        <v>9.8049836349980719</v>
      </c>
      <c r="Q79" s="96">
        <f>IF(Q46=0,0,Q46/TrRoad_act!Q49*100)</f>
        <v>9.7548003055792201</v>
      </c>
      <c r="R79" s="96">
        <f>IF(R46=0,0,R46/TrRoad_act!R49*100)</f>
        <v>9.6720036214171969</v>
      </c>
      <c r="S79" s="96">
        <f>IF(S46=0,0,S46/TrRoad_act!S49*100)</f>
        <v>9.564495908437177</v>
      </c>
      <c r="T79" s="96">
        <f>IF(T46=0,0,T46/TrRoad_act!T49*100)</f>
        <v>9.4729646288305602</v>
      </c>
      <c r="U79" s="96">
        <f>IF(U46=0,0,U46/TrRoad_act!U49*100)</f>
        <v>9.3960436255942117</v>
      </c>
      <c r="V79" s="96">
        <f>IF(V46=0,0,V46/TrRoad_act!V49*100)</f>
        <v>9.4215488355707464</v>
      </c>
      <c r="W79" s="96">
        <f>IF(W46=0,0,W46/TrRoad_act!W49*100)</f>
        <v>9.4254625702132984</v>
      </c>
      <c r="X79" s="96">
        <f>IF(X46=0,0,X46/TrRoad_act!X49*100)</f>
        <v>9.429896015520228</v>
      </c>
      <c r="Y79" s="96">
        <f>IF(Y46=0,0,Y46/TrRoad_act!Y49*100)</f>
        <v>9.4358761695095801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0</v>
      </c>
      <c r="C80" s="96">
        <f>IF(C48=0,0,C48/TrRoad_act!C50*100)</f>
        <v>0</v>
      </c>
      <c r="D80" s="96">
        <f>IF(D48=0,0,D48/TrRoad_act!D50*100)</f>
        <v>0</v>
      </c>
      <c r="E80" s="96">
        <f>IF(E48=0,0,E48/TrRoad_act!E50*100)</f>
        <v>0</v>
      </c>
      <c r="F80" s="96">
        <f>IF(F48=0,0,F48/TrRoad_act!F50*100)</f>
        <v>0</v>
      </c>
      <c r="G80" s="96">
        <f>IF(G48=0,0,G48/TrRoad_act!G50*100)</f>
        <v>0</v>
      </c>
      <c r="H80" s="96">
        <f>IF(H48=0,0,H48/TrRoad_act!H50*100)</f>
        <v>14.336838734334604</v>
      </c>
      <c r="I80" s="96">
        <f>IF(I48=0,0,I48/TrRoad_act!I50*100)</f>
        <v>14.20445359148782</v>
      </c>
      <c r="J80" s="96">
        <f>IF(J48=0,0,J48/TrRoad_act!J50*100)</f>
        <v>13.776208941255815</v>
      </c>
      <c r="K80" s="96">
        <f>IF(K48=0,0,K48/TrRoad_act!K50*100)</f>
        <v>13.659812893077456</v>
      </c>
      <c r="L80" s="96">
        <f>IF(L48=0,0,L48/TrRoad_act!L50*100)</f>
        <v>13.381469113713395</v>
      </c>
      <c r="M80" s="96">
        <f>IF(M48=0,0,M48/TrRoad_act!M50*100)</f>
        <v>13.255336872350599</v>
      </c>
      <c r="N80" s="96">
        <f>IF(N48=0,0,N48/TrRoad_act!N50*100)</f>
        <v>13.140896207948192</v>
      </c>
      <c r="O80" s="96">
        <f>IF(O48=0,0,O48/TrRoad_act!O50*100)</f>
        <v>13.080355177531031</v>
      </c>
      <c r="P80" s="96">
        <f>IF(P48=0,0,P48/TrRoad_act!P50*100)</f>
        <v>12.866239568487654</v>
      </c>
      <c r="Q80" s="96">
        <f>IF(Q48=0,0,Q48/TrRoad_act!Q50*100)</f>
        <v>12.792202910558577</v>
      </c>
      <c r="R80" s="96">
        <f>IF(R48=0,0,R48/TrRoad_act!R50*100)</f>
        <v>12.913628924872485</v>
      </c>
      <c r="S80" s="96">
        <f>IF(S48=0,0,S48/TrRoad_act!S50*100)</f>
        <v>12.901255820692301</v>
      </c>
      <c r="T80" s="96">
        <f>IF(T48=0,0,T48/TrRoad_act!T50*100)</f>
        <v>13.018462308399444</v>
      </c>
      <c r="U80" s="96">
        <f>IF(U48=0,0,U48/TrRoad_act!U50*100)</f>
        <v>12.955696297515567</v>
      </c>
      <c r="V80" s="96">
        <f>IF(V48=0,0,V48/TrRoad_act!V50*100)</f>
        <v>13.283163058141639</v>
      </c>
      <c r="W80" s="96">
        <f>IF(W48=0,0,W48/TrRoad_act!W50*100)</f>
        <v>13.564364172387608</v>
      </c>
      <c r="X80" s="96">
        <f>IF(X48=0,0,X48/TrRoad_act!X50*100)</f>
        <v>13.573773865622663</v>
      </c>
      <c r="Y80" s="96">
        <f>IF(Y48=0,0,Y48/TrRoad_act!Y50*100)</f>
        <v>13.353536915985392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0</v>
      </c>
      <c r="F81" s="96">
        <f>IF(F49=0,0,F49/TrRoad_act!F51*100)</f>
        <v>0</v>
      </c>
      <c r="G81" s="96">
        <f>IF(G49=0,0,G49/TrRoad_act!G51*100)</f>
        <v>0</v>
      </c>
      <c r="H81" s="96">
        <f>IF(H49=0,0,H49/TrRoad_act!H51*100)</f>
        <v>10.075825187322215</v>
      </c>
      <c r="I81" s="96">
        <f>IF(I49=0,0,I49/TrRoad_act!I51*100)</f>
        <v>10.070404593798948</v>
      </c>
      <c r="J81" s="96">
        <f>IF(J49=0,0,J49/TrRoad_act!J51*100)</f>
        <v>10.012419356251719</v>
      </c>
      <c r="K81" s="96">
        <f>IF(K49=0,0,K49/TrRoad_act!K51*100)</f>
        <v>9.9360884149645123</v>
      </c>
      <c r="L81" s="96">
        <f>IF(L49=0,0,L49/TrRoad_act!L51*100)</f>
        <v>9.8607741926116272</v>
      </c>
      <c r="M81" s="96">
        <f>IF(M49=0,0,M49/TrRoad_act!M51*100)</f>
        <v>9.7922208110512408</v>
      </c>
      <c r="N81" s="96">
        <f>IF(N49=0,0,N49/TrRoad_act!N51*100)</f>
        <v>9.7359991467331461</v>
      </c>
      <c r="O81" s="96">
        <f>IF(O49=0,0,O49/TrRoad_act!O51*100)</f>
        <v>9.6563551273527608</v>
      </c>
      <c r="P81" s="96">
        <f>IF(P49=0,0,P49/TrRoad_act!P51*100)</f>
        <v>9.6303809852560409</v>
      </c>
      <c r="Q81" s="96">
        <f>IF(Q49=0,0,Q49/TrRoad_act!Q51*100)</f>
        <v>9.5320658205701001</v>
      </c>
      <c r="R81" s="96">
        <f>IF(R49=0,0,R49/TrRoad_act!R51*100)</f>
        <v>8.9931228310153521</v>
      </c>
      <c r="S81" s="96">
        <f>IF(S49=0,0,S49/TrRoad_act!S51*100)</f>
        <v>8.9398389537731973</v>
      </c>
      <c r="T81" s="96">
        <f>IF(T49=0,0,T49/TrRoad_act!T51*100)</f>
        <v>8.8552398269597248</v>
      </c>
      <c r="U81" s="96">
        <f>IF(U49=0,0,U49/TrRoad_act!U51*100)</f>
        <v>8.8495246707715989</v>
      </c>
      <c r="V81" s="96">
        <f>IF(V49=0,0,V49/TrRoad_act!V51*100)</f>
        <v>8.8123074664818422</v>
      </c>
      <c r="W81" s="96">
        <f>IF(W49=0,0,W49/TrRoad_act!W51*100)</f>
        <v>8.7463369710463734</v>
      </c>
      <c r="X81" s="96">
        <f>IF(X49=0,0,X49/TrRoad_act!X51*100)</f>
        <v>8.6697169566934829</v>
      </c>
      <c r="Y81" s="96">
        <f>IF(Y49=0,0,Y49/TrRoad_act!Y51*100)</f>
        <v>8.6020080784963735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1.9542069487620277</v>
      </c>
      <c r="C82" s="96">
        <f>IF(C51=0,0,C51/TrRoad_act!C52*100)</f>
        <v>1.9421171168284905</v>
      </c>
      <c r="D82" s="96">
        <f>IF(D51=0,0,D51/TrRoad_act!D52*100)</f>
        <v>1.9416816036720339</v>
      </c>
      <c r="E82" s="96">
        <f>IF(E51=0,0,E51/TrRoad_act!E52*100)</f>
        <v>1.9410514009798627</v>
      </c>
      <c r="F82" s="96">
        <f>IF(F51=0,0,F51/TrRoad_act!F52*100)</f>
        <v>1.9395856217190337</v>
      </c>
      <c r="G82" s="96">
        <f>IF(G51=0,0,G51/TrRoad_act!G52*100)</f>
        <v>1.9388289384004553</v>
      </c>
      <c r="H82" s="96">
        <f>IF(H51=0,0,H51/TrRoad_act!H52*100)</f>
        <v>1.9234231907512112</v>
      </c>
      <c r="I82" s="96">
        <f>IF(I51=0,0,I51/TrRoad_act!I52*100)</f>
        <v>1.9079183527174206</v>
      </c>
      <c r="J82" s="96">
        <f>IF(J51=0,0,J51/TrRoad_act!J52*100)</f>
        <v>1.8831695948623934</v>
      </c>
      <c r="K82" s="96">
        <f>IF(K51=0,0,K51/TrRoad_act!K52*100)</f>
        <v>1.8455193883954144</v>
      </c>
      <c r="L82" s="96">
        <f>IF(L51=0,0,L51/TrRoad_act!L52*100)</f>
        <v>1.7796639601958568</v>
      </c>
      <c r="M82" s="96">
        <f>IF(M51=0,0,M51/TrRoad_act!M52*100)</f>
        <v>1.7399459957398486</v>
      </c>
      <c r="N82" s="96">
        <f>IF(N51=0,0,N51/TrRoad_act!N52*100)</f>
        <v>1.7099456005783327</v>
      </c>
      <c r="O82" s="96">
        <f>IF(O51=0,0,O51/TrRoad_act!O52*100)</f>
        <v>1.7008048713486823</v>
      </c>
      <c r="P82" s="96">
        <f>IF(P51=0,0,P51/TrRoad_act!P52*100)</f>
        <v>1.7184666863040772</v>
      </c>
      <c r="Q82" s="96">
        <f>IF(Q51=0,0,Q51/TrRoad_act!Q52*100)</f>
        <v>1.8374762555454867</v>
      </c>
      <c r="R82" s="96">
        <f>IF(R51=0,0,R51/TrRoad_act!R52*100)</f>
        <v>2.0322519425075227</v>
      </c>
      <c r="S82" s="96">
        <f>IF(S51=0,0,S51/TrRoad_act!S52*100)</f>
        <v>1.986566160931778</v>
      </c>
      <c r="T82" s="96">
        <f>IF(T51=0,0,T51/TrRoad_act!T52*100)</f>
        <v>2.0368828388112306</v>
      </c>
      <c r="U82" s="96">
        <f>IF(U51=0,0,U51/TrRoad_act!U52*100)</f>
        <v>2.2723532673504208</v>
      </c>
      <c r="V82" s="96">
        <f>IF(V51=0,0,V51/TrRoad_act!V52*100)</f>
        <v>2.6421398915404528</v>
      </c>
      <c r="W82" s="96">
        <f>IF(W51=0,0,W51/TrRoad_act!W52*100)</f>
        <v>2.8792644057032208</v>
      </c>
      <c r="X82" s="96">
        <f>IF(X51=0,0,X51/TrRoad_act!X52*100)</f>
        <v>2.922328032724133</v>
      </c>
      <c r="Y82" s="96">
        <f>IF(Y51=0,0,Y51/TrRoad_act!Y52*100)</f>
        <v>2.9586629679196976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41.282225147730159</v>
      </c>
      <c r="C83" s="130">
        <f>IF(C52=0,0,C52/TrRoad_act!C53*100)</f>
        <v>37.632042452404605</v>
      </c>
      <c r="D83" s="130">
        <f>IF(D52=0,0,D52/TrRoad_act!D53*100)</f>
        <v>36.977668574488249</v>
      </c>
      <c r="E83" s="130">
        <f>IF(E52=0,0,E52/TrRoad_act!E53*100)</f>
        <v>33.639054710015174</v>
      </c>
      <c r="F83" s="130">
        <f>IF(F52=0,0,F52/TrRoad_act!F53*100)</f>
        <v>31.612387506251288</v>
      </c>
      <c r="G83" s="130">
        <f>IF(G52=0,0,G52/TrRoad_act!G53*100)</f>
        <v>30.179237797934217</v>
      </c>
      <c r="H83" s="130">
        <f>IF(H52=0,0,H52/TrRoad_act!H53*100)</f>
        <v>34.287724656106832</v>
      </c>
      <c r="I83" s="130">
        <f>IF(I52=0,0,I52/TrRoad_act!I53*100)</f>
        <v>32.620977086345619</v>
      </c>
      <c r="J83" s="130">
        <f>IF(J52=0,0,J52/TrRoad_act!J53*100)</f>
        <v>31.26028862889957</v>
      </c>
      <c r="K83" s="130">
        <f>IF(K52=0,0,K52/TrRoad_act!K53*100)</f>
        <v>31.411530812604362</v>
      </c>
      <c r="L83" s="130">
        <f>IF(L52=0,0,L52/TrRoad_act!L53*100)</f>
        <v>34.300711960720953</v>
      </c>
      <c r="M83" s="130">
        <f>IF(M52=0,0,M52/TrRoad_act!M53*100)</f>
        <v>32.594550690760201</v>
      </c>
      <c r="N83" s="130">
        <f>IF(N52=0,0,N52/TrRoad_act!N53*100)</f>
        <v>35.338047509689929</v>
      </c>
      <c r="O83" s="130">
        <f>IF(O52=0,0,O52/TrRoad_act!O53*100)</f>
        <v>34.279676984388878</v>
      </c>
      <c r="P83" s="130">
        <f>IF(P52=0,0,P52/TrRoad_act!P53*100)</f>
        <v>34.592094606352461</v>
      </c>
      <c r="Q83" s="130">
        <f>IF(Q52=0,0,Q52/TrRoad_act!Q53*100)</f>
        <v>30.041071122527548</v>
      </c>
      <c r="R83" s="130">
        <f>IF(R52=0,0,R52/TrRoad_act!R53*100)</f>
        <v>29.812596551400901</v>
      </c>
      <c r="S83" s="130">
        <f>IF(S52=0,0,S52/TrRoad_act!S53*100)</f>
        <v>30.765752703248374</v>
      </c>
      <c r="T83" s="130">
        <f>IF(T52=0,0,T52/TrRoad_act!T53*100)</f>
        <v>32.423804914184153</v>
      </c>
      <c r="U83" s="130">
        <f>IF(U52=0,0,U52/TrRoad_act!U53*100)</f>
        <v>30.950459693073135</v>
      </c>
      <c r="V83" s="130">
        <f>IF(V52=0,0,V52/TrRoad_act!V53*100)</f>
        <v>32.601613531161419</v>
      </c>
      <c r="W83" s="130">
        <f>IF(W52=0,0,W52/TrRoad_act!W53*100)</f>
        <v>28.849970518380303</v>
      </c>
      <c r="X83" s="130">
        <f>IF(X52=0,0,X52/TrRoad_act!X53*100)</f>
        <v>27.498215725386586</v>
      </c>
      <c r="Y83" s="130">
        <f>IF(Y52=0,0,Y52/TrRoad_act!Y53*100)</f>
        <v>24.513402557685438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36.650879128126718</v>
      </c>
      <c r="C84" s="97">
        <f>IF(C53=0,0,C53/TrRoad_act!C54*100)</f>
        <v>35.906609063578237</v>
      </c>
      <c r="D84" s="97">
        <f>IF(D53=0,0,D53/TrRoad_act!D54*100)</f>
        <v>35.763573247266301</v>
      </c>
      <c r="E84" s="97">
        <f>IF(E53=0,0,E53/TrRoad_act!E54*100)</f>
        <v>35.084954958350821</v>
      </c>
      <c r="F84" s="97">
        <f>IF(F53=0,0,F53/TrRoad_act!F54*100)</f>
        <v>34.6270958184504</v>
      </c>
      <c r="G84" s="97">
        <f>IF(G53=0,0,G53/TrRoad_act!G54*100)</f>
        <v>34.260384538982237</v>
      </c>
      <c r="H84" s="97">
        <f>IF(H53=0,0,H53/TrRoad_act!H54*100)</f>
        <v>34.947759470002623</v>
      </c>
      <c r="I84" s="97">
        <f>IF(I53=0,0,I53/TrRoad_act!I54*100)</f>
        <v>34.549422988809049</v>
      </c>
      <c r="J84" s="97">
        <f>IF(J53=0,0,J53/TrRoad_act!J54*100)</f>
        <v>34.267511944083218</v>
      </c>
      <c r="K84" s="97">
        <f>IF(K53=0,0,K53/TrRoad_act!K54*100)</f>
        <v>34.1620638115281</v>
      </c>
      <c r="L84" s="97">
        <f>IF(L53=0,0,L53/TrRoad_act!L54*100)</f>
        <v>34.581164628166938</v>
      </c>
      <c r="M84" s="97">
        <f>IF(M53=0,0,M53/TrRoad_act!M54*100)</f>
        <v>34.082314196203114</v>
      </c>
      <c r="N84" s="97">
        <f>IF(N53=0,0,N53/TrRoad_act!N54*100)</f>
        <v>34.478143850197618</v>
      </c>
      <c r="O84" s="97">
        <f>IF(O53=0,0,O53/TrRoad_act!O54*100)</f>
        <v>34.116648065754177</v>
      </c>
      <c r="P84" s="97">
        <f>IF(P53=0,0,P53/TrRoad_act!P54*100)</f>
        <v>34.022212738088484</v>
      </c>
      <c r="Q84" s="97">
        <f>IF(Q53=0,0,Q53/TrRoad_act!Q54*100)</f>
        <v>32.98092980674204</v>
      </c>
      <c r="R84" s="97">
        <f>IF(R53=0,0,R53/TrRoad_act!R54*100)</f>
        <v>32.666960063762765</v>
      </c>
      <c r="S84" s="97">
        <f>IF(S53=0,0,S53/TrRoad_act!S54*100)</f>
        <v>32.530792192925176</v>
      </c>
      <c r="T84" s="97">
        <f>IF(T53=0,0,T53/TrRoad_act!T54*100)</f>
        <v>32.504138568197781</v>
      </c>
      <c r="U84" s="97">
        <f>IF(U53=0,0,U53/TrRoad_act!U54*100)</f>
        <v>31.769015919722833</v>
      </c>
      <c r="V84" s="97">
        <f>IF(V53=0,0,V53/TrRoad_act!V54*100)</f>
        <v>31.775769735565625</v>
      </c>
      <c r="W84" s="97">
        <f>IF(W53=0,0,W53/TrRoad_act!W54*100)</f>
        <v>30.754549082367372</v>
      </c>
      <c r="X84" s="97">
        <f>IF(X53=0,0,X53/TrRoad_act!X54*100)</f>
        <v>30.183015823805722</v>
      </c>
      <c r="Y84" s="97">
        <f>IF(Y53=0,0,Y53/TrRoad_act!Y54*100)</f>
        <v>29.30953385345973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58.185801616577692</v>
      </c>
      <c r="C85" s="98">
        <f>IF(C55=0,0,C55/TrRoad_act!C55*100)</f>
        <v>43.504306088013003</v>
      </c>
      <c r="D85" s="98">
        <f>IF(D55=0,0,D55/TrRoad_act!D55*100)</f>
        <v>40.737066288142891</v>
      </c>
      <c r="E85" s="98">
        <f>IF(E55=0,0,E55/TrRoad_act!E55*100)</f>
        <v>29.330001409649821</v>
      </c>
      <c r="F85" s="98">
        <f>IF(F55=0,0,F55/TrRoad_act!F55*100)</f>
        <v>23.882598743102974</v>
      </c>
      <c r="G85" s="98">
        <f>IF(G55=0,0,G55/TrRoad_act!G55*100)</f>
        <v>20.082761610236005</v>
      </c>
      <c r="H85" s="98">
        <f>IF(H55=0,0,H55/TrRoad_act!H55*100)</f>
        <v>32.687922018043572</v>
      </c>
      <c r="I85" s="98">
        <f>IF(I55=0,0,I55/TrRoad_act!I55*100)</f>
        <v>28.041085284756733</v>
      </c>
      <c r="J85" s="98">
        <f>IF(J55=0,0,J55/TrRoad_act!J55*100)</f>
        <v>24.246201353812804</v>
      </c>
      <c r="K85" s="98">
        <f>IF(K55=0,0,K55/TrRoad_act!K55*100)</f>
        <v>24.794283311271215</v>
      </c>
      <c r="L85" s="98">
        <f>IF(L55=0,0,L55/TrRoad_act!L55*100)</f>
        <v>33.654177484070132</v>
      </c>
      <c r="M85" s="98">
        <f>IF(M55=0,0,M55/TrRoad_act!M55*100)</f>
        <v>29.01682795293133</v>
      </c>
      <c r="N85" s="98">
        <f>IF(N55=0,0,N55/TrRoad_act!N55*100)</f>
        <v>37.318424952481742</v>
      </c>
      <c r="O85" s="98">
        <f>IF(O55=0,0,O55/TrRoad_act!O55*100)</f>
        <v>34.64325416385352</v>
      </c>
      <c r="P85" s="98">
        <f>IF(P55=0,0,P55/TrRoad_act!P55*100)</f>
        <v>35.868731003086495</v>
      </c>
      <c r="Q85" s="98">
        <f>IF(Q55=0,0,Q55/TrRoad_act!Q55*100)</f>
        <v>23.350285535877475</v>
      </c>
      <c r="R85" s="98">
        <f>IF(R55=0,0,R55/TrRoad_act!R55*100)</f>
        <v>23.740080505827788</v>
      </c>
      <c r="S85" s="98">
        <f>IF(S55=0,0,S55/TrRoad_act!S55*100)</f>
        <v>27.294845814755416</v>
      </c>
      <c r="T85" s="98">
        <f>IF(T55=0,0,T55/TrRoad_act!T55*100)</f>
        <v>32.254541807502825</v>
      </c>
      <c r="U85" s="98">
        <f>IF(U55=0,0,U55/TrRoad_act!U55*100)</f>
        <v>29.351704124702664</v>
      </c>
      <c r="V85" s="98">
        <f>IF(V55=0,0,V55/TrRoad_act!V55*100)</f>
        <v>34.159145978263687</v>
      </c>
      <c r="W85" s="98">
        <f>IF(W55=0,0,W55/TrRoad_act!W55*100)</f>
        <v>25.390473338124153</v>
      </c>
      <c r="X85" s="98">
        <f>IF(X55=0,0,X55/TrRoad_act!X55*100)</f>
        <v>22.706506833802869</v>
      </c>
      <c r="Y85" s="98">
        <f>IF(Y55=0,0,Y55/TrRoad_act!Y55*100)</f>
        <v>16.240478627297144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44.413215352620604</v>
      </c>
      <c r="C88" s="29">
        <f>IF(TrRoad_act!C4=0,0,C18/TrRoad_act!C4*1000)</f>
        <v>43.102142567758882</v>
      </c>
      <c r="D88" s="29">
        <f>IF(TrRoad_act!D4=0,0,D18/TrRoad_act!D4*1000)</f>
        <v>42.577759215984976</v>
      </c>
      <c r="E88" s="29">
        <f>IF(TrRoad_act!E4=0,0,E18/TrRoad_act!E4*1000)</f>
        <v>41.645223307867234</v>
      </c>
      <c r="F88" s="29">
        <f>IF(TrRoad_act!F4=0,0,F18/TrRoad_act!F4*1000)</f>
        <v>41.477680168212096</v>
      </c>
      <c r="G88" s="29">
        <f>IF(TrRoad_act!G4=0,0,G18/TrRoad_act!G4*1000)</f>
        <v>40.485639632919579</v>
      </c>
      <c r="H88" s="29">
        <f>IF(TrRoad_act!H4=0,0,H18/TrRoad_act!H4*1000)</f>
        <v>39.223803235409328</v>
      </c>
      <c r="I88" s="29">
        <f>IF(TrRoad_act!I4=0,0,I18/TrRoad_act!I4*1000)</f>
        <v>38.061826602030813</v>
      </c>
      <c r="J88" s="29">
        <f>IF(TrRoad_act!J4=0,0,J18/TrRoad_act!J4*1000)</f>
        <v>37.541463728118565</v>
      </c>
      <c r="K88" s="29">
        <f>IF(TrRoad_act!K4=0,0,K18/TrRoad_act!K4*1000)</f>
        <v>37.26348180258212</v>
      </c>
      <c r="L88" s="29">
        <f>IF(TrRoad_act!L4=0,0,L18/TrRoad_act!L4*1000)</f>
        <v>36.407579621593932</v>
      </c>
      <c r="M88" s="29">
        <f>IF(TrRoad_act!M4=0,0,M18/TrRoad_act!M4*1000)</f>
        <v>36.864822358533509</v>
      </c>
      <c r="N88" s="29">
        <f>IF(TrRoad_act!N4=0,0,N18/TrRoad_act!N4*1000)</f>
        <v>35.836401254871625</v>
      </c>
      <c r="O88" s="29">
        <f>IF(TrRoad_act!O4=0,0,O18/TrRoad_act!O4*1000)</f>
        <v>36.675740949643298</v>
      </c>
      <c r="P88" s="29">
        <f>IF(TrRoad_act!P4=0,0,P18/TrRoad_act!P4*1000)</f>
        <v>36.712773045452671</v>
      </c>
      <c r="Q88" s="29">
        <f>IF(TrRoad_act!Q4=0,0,Q18/TrRoad_act!Q4*1000)</f>
        <v>37.061976146316489</v>
      </c>
      <c r="R88" s="29">
        <f>IF(TrRoad_act!R4=0,0,R18/TrRoad_act!R4*1000)</f>
        <v>37.185521942102348</v>
      </c>
      <c r="S88" s="29">
        <f>IF(TrRoad_act!S4=0,0,S18/TrRoad_act!S4*1000)</f>
        <v>39.205288739949445</v>
      </c>
      <c r="T88" s="29">
        <f>IF(TrRoad_act!T4=0,0,T18/TrRoad_act!T4*1000)</f>
        <v>36.906481557582552</v>
      </c>
      <c r="U88" s="29">
        <f>IF(TrRoad_act!U4=0,0,U18/TrRoad_act!U4*1000)</f>
        <v>37.387879624498893</v>
      </c>
      <c r="V88" s="29">
        <f>IF(TrRoad_act!V4=0,0,V18/TrRoad_act!V4*1000)</f>
        <v>38.192324014630216</v>
      </c>
      <c r="W88" s="29">
        <f>IF(TrRoad_act!W4=0,0,W18/TrRoad_act!W4*1000)</f>
        <v>36.256953495461865</v>
      </c>
      <c r="X88" s="29">
        <f>IF(TrRoad_act!X4=0,0,X18/TrRoad_act!X4*1000)</f>
        <v>36.026383999418087</v>
      </c>
      <c r="Y88" s="29">
        <f>IF(TrRoad_act!Y4=0,0,Y18/TrRoad_act!Y4*1000)</f>
        <v>35.400414104196841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40.434141806264144</v>
      </c>
      <c r="C89" s="152">
        <f>IF(TrRoad_act!C5=0,0,C19/TrRoad_act!C5*1000)</f>
        <v>39.753745089380111</v>
      </c>
      <c r="D89" s="152">
        <f>IF(TrRoad_act!D5=0,0,D19/TrRoad_act!D5*1000)</f>
        <v>39.180358562749753</v>
      </c>
      <c r="E89" s="152">
        <f>IF(TrRoad_act!E5=0,0,E19/TrRoad_act!E5*1000)</f>
        <v>38.144452773327508</v>
      </c>
      <c r="F89" s="152">
        <f>IF(TrRoad_act!F5=0,0,F19/TrRoad_act!F5*1000)</f>
        <v>37.933345278570918</v>
      </c>
      <c r="G89" s="152">
        <f>IF(TrRoad_act!G5=0,0,G19/TrRoad_act!G5*1000)</f>
        <v>36.805949288245053</v>
      </c>
      <c r="H89" s="152">
        <f>IF(TrRoad_act!H5=0,0,H19/TrRoad_act!H5*1000)</f>
        <v>36.630183449442278</v>
      </c>
      <c r="I89" s="152">
        <f>IF(TrRoad_act!I5=0,0,I19/TrRoad_act!I5*1000)</f>
        <v>35.787591561618441</v>
      </c>
      <c r="J89" s="152">
        <f>IF(TrRoad_act!J5=0,0,J19/TrRoad_act!J5*1000)</f>
        <v>34.969517974048273</v>
      </c>
      <c r="K89" s="152">
        <f>IF(TrRoad_act!K5=0,0,K19/TrRoad_act!K5*1000)</f>
        <v>34.739879851118182</v>
      </c>
      <c r="L89" s="152">
        <f>IF(TrRoad_act!L5=0,0,L19/TrRoad_act!L5*1000)</f>
        <v>34.767457558492524</v>
      </c>
      <c r="M89" s="152">
        <f>IF(TrRoad_act!M5=0,0,M19/TrRoad_act!M5*1000)</f>
        <v>33.500173428587608</v>
      </c>
      <c r="N89" s="152">
        <f>IF(TrRoad_act!N5=0,0,N19/TrRoad_act!N5*1000)</f>
        <v>34.443213359781211</v>
      </c>
      <c r="O89" s="152">
        <f>IF(TrRoad_act!O5=0,0,O19/TrRoad_act!O5*1000)</f>
        <v>33.830935138905353</v>
      </c>
      <c r="P89" s="152">
        <f>IF(TrRoad_act!P5=0,0,P19/TrRoad_act!P5*1000)</f>
        <v>32.548282145457335</v>
      </c>
      <c r="Q89" s="152">
        <f>IF(TrRoad_act!Q5=0,0,Q19/TrRoad_act!Q5*1000)</f>
        <v>34.027744487930683</v>
      </c>
      <c r="R89" s="152">
        <f>IF(TrRoad_act!R5=0,0,R19/TrRoad_act!R5*1000)</f>
        <v>33.572387563730537</v>
      </c>
      <c r="S89" s="152">
        <f>IF(TrRoad_act!S5=0,0,S19/TrRoad_act!S5*1000)</f>
        <v>33.318576778232682</v>
      </c>
      <c r="T89" s="152">
        <f>IF(TrRoad_act!T5=0,0,T19/TrRoad_act!T5*1000)</f>
        <v>32.950951763929602</v>
      </c>
      <c r="U89" s="152">
        <f>IF(TrRoad_act!U5=0,0,U19/TrRoad_act!U5*1000)</f>
        <v>32.562833213536379</v>
      </c>
      <c r="V89" s="152">
        <f>IF(TrRoad_act!V5=0,0,V19/TrRoad_act!V5*1000)</f>
        <v>32.427964615777356</v>
      </c>
      <c r="W89" s="152">
        <f>IF(TrRoad_act!W5=0,0,W19/TrRoad_act!W5*1000)</f>
        <v>32.207010301219483</v>
      </c>
      <c r="X89" s="152">
        <f>IF(TrRoad_act!X5=0,0,X19/TrRoad_act!X5*1000)</f>
        <v>31.867806686703116</v>
      </c>
      <c r="Y89" s="152">
        <f>IF(TrRoad_act!Y5=0,0,Y19/TrRoad_act!Y5*1000)</f>
        <v>31.453892486569927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45.511861418400898</v>
      </c>
      <c r="C90" s="116">
        <f>IF(TrRoad_act!C6=0,0,C21/TrRoad_act!C6*1000)</f>
        <v>44.10968862292296</v>
      </c>
      <c r="D90" s="116">
        <f>IF(TrRoad_act!D6=0,0,D21/TrRoad_act!D6*1000)</f>
        <v>43.546004832967164</v>
      </c>
      <c r="E90" s="116">
        <f>IF(TrRoad_act!E6=0,0,E21/TrRoad_act!E6*1000)</f>
        <v>42.572548534475203</v>
      </c>
      <c r="F90" s="116">
        <f>IF(TrRoad_act!F6=0,0,F21/TrRoad_act!F6*1000)</f>
        <v>42.394480493528981</v>
      </c>
      <c r="G90" s="116">
        <f>IF(TrRoad_act!G6=0,0,G21/TrRoad_act!G6*1000)</f>
        <v>41.373375036160766</v>
      </c>
      <c r="H90" s="116">
        <f>IF(TrRoad_act!H6=0,0,H21/TrRoad_act!H6*1000)</f>
        <v>39.922809752255162</v>
      </c>
      <c r="I90" s="116">
        <f>IF(TrRoad_act!I6=0,0,I21/TrRoad_act!I6*1000)</f>
        <v>38.786928088501064</v>
      </c>
      <c r="J90" s="116">
        <f>IF(TrRoad_act!J6=0,0,J21/TrRoad_act!J6*1000)</f>
        <v>38.240737293378011</v>
      </c>
      <c r="K90" s="116">
        <f>IF(TrRoad_act!K6=0,0,K21/TrRoad_act!K6*1000)</f>
        <v>37.85198848995423</v>
      </c>
      <c r="L90" s="116">
        <f>IF(TrRoad_act!L6=0,0,L21/TrRoad_act!L6*1000)</f>
        <v>36.808360357306839</v>
      </c>
      <c r="M90" s="116">
        <f>IF(TrRoad_act!M6=0,0,M21/TrRoad_act!M6*1000)</f>
        <v>37.184387427677713</v>
      </c>
      <c r="N90" s="116">
        <f>IF(TrRoad_act!N6=0,0,N21/TrRoad_act!N6*1000)</f>
        <v>35.828412544496437</v>
      </c>
      <c r="O90" s="116">
        <f>IF(TrRoad_act!O6=0,0,O21/TrRoad_act!O6*1000)</f>
        <v>36.632400264919092</v>
      </c>
      <c r="P90" s="116">
        <f>IF(TrRoad_act!P6=0,0,P21/TrRoad_act!P6*1000)</f>
        <v>36.687748774371691</v>
      </c>
      <c r="Q90" s="116">
        <f>IF(TrRoad_act!Q6=0,0,Q21/TrRoad_act!Q6*1000)</f>
        <v>37.057502184070081</v>
      </c>
      <c r="R90" s="116">
        <f>IF(TrRoad_act!R6=0,0,R21/TrRoad_act!R6*1000)</f>
        <v>37.105967825073094</v>
      </c>
      <c r="S90" s="116">
        <f>IF(TrRoad_act!S6=0,0,S21/TrRoad_act!S6*1000)</f>
        <v>39.256705891366636</v>
      </c>
      <c r="T90" s="116">
        <f>IF(TrRoad_act!T6=0,0,T21/TrRoad_act!T6*1000)</f>
        <v>36.784722989827152</v>
      </c>
      <c r="U90" s="116">
        <f>IF(TrRoad_act!U6=0,0,U21/TrRoad_act!U6*1000)</f>
        <v>37.270146202884376</v>
      </c>
      <c r="V90" s="116">
        <f>IF(TrRoad_act!V6=0,0,V21/TrRoad_act!V6*1000)</f>
        <v>37.020295753271085</v>
      </c>
      <c r="W90" s="116">
        <f>IF(TrRoad_act!W6=0,0,W21/TrRoad_act!W6*1000)</f>
        <v>35.168749664427125</v>
      </c>
      <c r="X90" s="116">
        <f>IF(TrRoad_act!X6=0,0,X21/TrRoad_act!X6*1000)</f>
        <v>35.271498974272127</v>
      </c>
      <c r="Y90" s="116">
        <f>IF(TrRoad_act!Y6=0,0,Y21/TrRoad_act!Y6*1000)</f>
        <v>34.76294389118523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47.104914747792549</v>
      </c>
      <c r="C91" s="87">
        <f>IF(TrRoad_act!C7=0,0,C22/TrRoad_act!C7*1000)</f>
        <v>46.245043947327304</v>
      </c>
      <c r="D91" s="87">
        <f>IF(TrRoad_act!D7=0,0,D22/TrRoad_act!D7*1000)</f>
        <v>45.88998216993668</v>
      </c>
      <c r="E91" s="87">
        <f>IF(TrRoad_act!E7=0,0,E22/TrRoad_act!E7*1000)</f>
        <v>44.530547926219931</v>
      </c>
      <c r="F91" s="87">
        <f>IF(TrRoad_act!F7=0,0,F22/TrRoad_act!F7*1000)</f>
        <v>44.701431429619966</v>
      </c>
      <c r="G91" s="87">
        <f>IF(TrRoad_act!G7=0,0,G22/TrRoad_act!G7*1000)</f>
        <v>43.693006093501502</v>
      </c>
      <c r="H91" s="87">
        <f>IF(TrRoad_act!H7=0,0,H22/TrRoad_act!H7*1000)</f>
        <v>42.509617280642011</v>
      </c>
      <c r="I91" s="87">
        <f>IF(TrRoad_act!I7=0,0,I22/TrRoad_act!I7*1000)</f>
        <v>41.370689449614829</v>
      </c>
      <c r="J91" s="87">
        <f>IF(TrRoad_act!J7=0,0,J22/TrRoad_act!J7*1000)</f>
        <v>40.489473937655376</v>
      </c>
      <c r="K91" s="87">
        <f>IF(TrRoad_act!K7=0,0,K22/TrRoad_act!K7*1000)</f>
        <v>39.434863572499957</v>
      </c>
      <c r="L91" s="87">
        <f>IF(TrRoad_act!L7=0,0,L22/TrRoad_act!L7*1000)</f>
        <v>38.478967424917357</v>
      </c>
      <c r="M91" s="87">
        <f>IF(TrRoad_act!M7=0,0,M22/TrRoad_act!M7*1000)</f>
        <v>38.789496721386861</v>
      </c>
      <c r="N91" s="87">
        <f>IF(TrRoad_act!N7=0,0,N22/TrRoad_act!N7*1000)</f>
        <v>37.481141870380306</v>
      </c>
      <c r="O91" s="87">
        <f>IF(TrRoad_act!O7=0,0,O22/TrRoad_act!O7*1000)</f>
        <v>38.112169348208091</v>
      </c>
      <c r="P91" s="87">
        <f>IF(TrRoad_act!P7=0,0,P22/TrRoad_act!P7*1000)</f>
        <v>39.092849790071419</v>
      </c>
      <c r="Q91" s="87">
        <f>IF(TrRoad_act!Q7=0,0,Q22/TrRoad_act!Q7*1000)</f>
        <v>37.986571287371696</v>
      </c>
      <c r="R91" s="87">
        <f>IF(TrRoad_act!R7=0,0,R22/TrRoad_act!R7*1000)</f>
        <v>38.172363398246027</v>
      </c>
      <c r="S91" s="87">
        <f>IF(TrRoad_act!S7=0,0,S22/TrRoad_act!S7*1000)</f>
        <v>40.94616248430652</v>
      </c>
      <c r="T91" s="87">
        <f>IF(TrRoad_act!T7=0,0,T22/TrRoad_act!T7*1000)</f>
        <v>38.919931873170576</v>
      </c>
      <c r="U91" s="87">
        <f>IF(TrRoad_act!U7=0,0,U22/TrRoad_act!U7*1000)</f>
        <v>38.708918551209209</v>
      </c>
      <c r="V91" s="87">
        <f>IF(TrRoad_act!V7=0,0,V22/TrRoad_act!V7*1000)</f>
        <v>39.248192029392413</v>
      </c>
      <c r="W91" s="87">
        <f>IF(TrRoad_act!W7=0,0,W22/TrRoad_act!W7*1000)</f>
        <v>37.149661543195371</v>
      </c>
      <c r="X91" s="87">
        <f>IF(TrRoad_act!X7=0,0,X22/TrRoad_act!X7*1000)</f>
        <v>37.574205108033595</v>
      </c>
      <c r="Y91" s="87">
        <f>IF(TrRoad_act!Y7=0,0,Y22/TrRoad_act!Y7*1000)</f>
        <v>37.095777395437125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40.653501924037613</v>
      </c>
      <c r="C92" s="87">
        <f>IF(TrRoad_act!C8=0,0,C24/TrRoad_act!C8*1000)</f>
        <v>38.46223684340162</v>
      </c>
      <c r="D92" s="87">
        <f>IF(TrRoad_act!D8=0,0,D24/TrRoad_act!D8*1000)</f>
        <v>38.011588057321468</v>
      </c>
      <c r="E92" s="87">
        <f>IF(TrRoad_act!E8=0,0,E24/TrRoad_act!E8*1000)</f>
        <v>38.500075537678995</v>
      </c>
      <c r="F92" s="87">
        <f>IF(TrRoad_act!F8=0,0,F24/TrRoad_act!F8*1000)</f>
        <v>38.224706401633412</v>
      </c>
      <c r="G92" s="87">
        <f>IF(TrRoad_act!G8=0,0,G24/TrRoad_act!G8*1000)</f>
        <v>37.535209130569399</v>
      </c>
      <c r="H92" s="87">
        <f>IF(TrRoad_act!H8=0,0,H24/TrRoad_act!H8*1000)</f>
        <v>35.865872428727272</v>
      </c>
      <c r="I92" s="87">
        <f>IF(TrRoad_act!I8=0,0,I24/TrRoad_act!I8*1000)</f>
        <v>35.03277443692928</v>
      </c>
      <c r="J92" s="87">
        <f>IF(TrRoad_act!J8=0,0,J24/TrRoad_act!J8*1000)</f>
        <v>34.653146676312545</v>
      </c>
      <c r="K92" s="87">
        <f>IF(TrRoad_act!K8=0,0,K24/TrRoad_act!K8*1000)</f>
        <v>34.98617199311014</v>
      </c>
      <c r="L92" s="87">
        <f>IF(TrRoad_act!L8=0,0,L24/TrRoad_act!L8*1000)</f>
        <v>34.055864148214745</v>
      </c>
      <c r="M92" s="87">
        <f>IF(TrRoad_act!M8=0,0,M24/TrRoad_act!M8*1000)</f>
        <v>34.686479560201271</v>
      </c>
      <c r="N92" s="87">
        <f>IF(TrRoad_act!N8=0,0,N24/TrRoad_act!N8*1000)</f>
        <v>33.459258375363618</v>
      </c>
      <c r="O92" s="87">
        <f>IF(TrRoad_act!O8=0,0,O24/TrRoad_act!O8*1000)</f>
        <v>34.668213887189388</v>
      </c>
      <c r="P92" s="87">
        <f>IF(TrRoad_act!P8=0,0,P24/TrRoad_act!P8*1000)</f>
        <v>33.835937298813583</v>
      </c>
      <c r="Q92" s="87">
        <f>IF(TrRoad_act!Q8=0,0,Q24/TrRoad_act!Q8*1000)</f>
        <v>35.896624182124881</v>
      </c>
      <c r="R92" s="87">
        <f>IF(TrRoad_act!R8=0,0,R24/TrRoad_act!R8*1000)</f>
        <v>35.972978160934993</v>
      </c>
      <c r="S92" s="87">
        <f>IF(TrRoad_act!S8=0,0,S24/TrRoad_act!S8*1000)</f>
        <v>37.609815754810654</v>
      </c>
      <c r="T92" s="87">
        <f>IF(TrRoad_act!T8=0,0,T24/TrRoad_act!T8*1000)</f>
        <v>34.522733904053943</v>
      </c>
      <c r="U92" s="87">
        <f>IF(TrRoad_act!U8=0,0,U24/TrRoad_act!U8*1000)</f>
        <v>35.863839956968036</v>
      </c>
      <c r="V92" s="87">
        <f>IF(TrRoad_act!V8=0,0,V24/TrRoad_act!V8*1000)</f>
        <v>35.259226624760579</v>
      </c>
      <c r="W92" s="87">
        <f>IF(TrRoad_act!W8=0,0,W24/TrRoad_act!W8*1000)</f>
        <v>34.452266868833036</v>
      </c>
      <c r="X92" s="87">
        <f>IF(TrRoad_act!X8=0,0,X24/TrRoad_act!X8*1000)</f>
        <v>35.157687362180454</v>
      </c>
      <c r="Y92" s="87">
        <f>IF(TrRoad_act!Y8=0,0,Y24/TrRoad_act!Y8*1000)</f>
        <v>35.090630507269154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45.608545240080481</v>
      </c>
      <c r="C93" s="87">
        <f>IF(TrRoad_act!C9=0,0,C26/TrRoad_act!C9*1000)</f>
        <v>45.010951416053032</v>
      </c>
      <c r="D93" s="87">
        <f>IF(TrRoad_act!D9=0,0,D26/TrRoad_act!D9*1000)</f>
        <v>43.697523370093357</v>
      </c>
      <c r="E93" s="87">
        <f>IF(TrRoad_act!E9=0,0,E26/TrRoad_act!E9*1000)</f>
        <v>41.620365738097426</v>
      </c>
      <c r="F93" s="87">
        <f>IF(TrRoad_act!F9=0,0,F26/TrRoad_act!F9*1000)</f>
        <v>42.513787692605398</v>
      </c>
      <c r="G93" s="87">
        <f>IF(TrRoad_act!G9=0,0,G26/TrRoad_act!G9*1000)</f>
        <v>43.353023047470906</v>
      </c>
      <c r="H93" s="87">
        <f>IF(TrRoad_act!H9=0,0,H26/TrRoad_act!H9*1000)</f>
        <v>40.164160921870476</v>
      </c>
      <c r="I93" s="87">
        <f>IF(TrRoad_act!I9=0,0,I26/TrRoad_act!I9*1000)</f>
        <v>38.592425354590027</v>
      </c>
      <c r="J93" s="87">
        <f>IF(TrRoad_act!J9=0,0,J26/TrRoad_act!J9*1000)</f>
        <v>54.347222378995248</v>
      </c>
      <c r="K93" s="87">
        <f>IF(TrRoad_act!K9=0,0,K26/TrRoad_act!K9*1000)</f>
        <v>65.345751294434677</v>
      </c>
      <c r="L93" s="87">
        <f>IF(TrRoad_act!L9=0,0,L26/TrRoad_act!L9*1000)</f>
        <v>56.529773048974448</v>
      </c>
      <c r="M93" s="87">
        <f>IF(TrRoad_act!M9=0,0,M26/TrRoad_act!M9*1000)</f>
        <v>53.331952114430258</v>
      </c>
      <c r="N93" s="87">
        <f>IF(TrRoad_act!N9=0,0,N26/TrRoad_act!N9*1000)</f>
        <v>49.593285812414656</v>
      </c>
      <c r="O93" s="87">
        <f>IF(TrRoad_act!O9=0,0,O26/TrRoad_act!O9*1000)</f>
        <v>47.971365046491556</v>
      </c>
      <c r="P93" s="87">
        <f>IF(TrRoad_act!P9=0,0,P26/TrRoad_act!P9*1000)</f>
        <v>50.80014882317694</v>
      </c>
      <c r="Q93" s="87">
        <f>IF(TrRoad_act!Q9=0,0,Q26/TrRoad_act!Q9*1000)</f>
        <v>49.482164644945293</v>
      </c>
      <c r="R93" s="87">
        <f>IF(TrRoad_act!R9=0,0,R26/TrRoad_act!R9*1000)</f>
        <v>46.86723513847145</v>
      </c>
      <c r="S93" s="87">
        <f>IF(TrRoad_act!S9=0,0,S26/TrRoad_act!S9*1000)</f>
        <v>49.086151997538913</v>
      </c>
      <c r="T93" s="87">
        <f>IF(TrRoad_act!T9=0,0,T26/TrRoad_act!T9*1000)</f>
        <v>59.161931373074772</v>
      </c>
      <c r="U93" s="87">
        <f>IF(TrRoad_act!U9=0,0,U26/TrRoad_act!U9*1000)</f>
        <v>54.60933263795723</v>
      </c>
      <c r="V93" s="87">
        <f>IF(TrRoad_act!V9=0,0,V26/TrRoad_act!V9*1000)</f>
        <v>48.342363702804626</v>
      </c>
      <c r="W93" s="87">
        <f>IF(TrRoad_act!W9=0,0,W26/TrRoad_act!W9*1000)</f>
        <v>44.951972352174707</v>
      </c>
      <c r="X93" s="87">
        <f>IF(TrRoad_act!X9=0,0,X26/TrRoad_act!X9*1000)</f>
        <v>28.982557954354224</v>
      </c>
      <c r="Y93" s="87">
        <f>IF(TrRoad_act!Y9=0,0,Y26/TrRoad_act!Y9*1000)</f>
        <v>37.871768000694104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47.352371367501817</v>
      </c>
      <c r="H94" s="87">
        <f>IF(TrRoad_act!H10=0,0,H27/TrRoad_act!H10*1000)</f>
        <v>46.201630347379123</v>
      </c>
      <c r="I94" s="87">
        <f>IF(TrRoad_act!I10=0,0,I27/TrRoad_act!I10*1000)</f>
        <v>45.182109929425316</v>
      </c>
      <c r="J94" s="87">
        <f>IF(TrRoad_act!J10=0,0,J27/TrRoad_act!J10*1000)</f>
        <v>43.770683812990299</v>
      </c>
      <c r="K94" s="87">
        <f>IF(TrRoad_act!K10=0,0,K27/TrRoad_act!K10*1000)</f>
        <v>41.461429810291726</v>
      </c>
      <c r="L94" s="87">
        <f>IF(TrRoad_act!L10=0,0,L27/TrRoad_act!L10*1000)</f>
        <v>40.569111882673525</v>
      </c>
      <c r="M94" s="87">
        <f>IF(TrRoad_act!M10=0,0,M27/TrRoad_act!M10*1000)</f>
        <v>41.108757556866692</v>
      </c>
      <c r="N94" s="87">
        <f>IF(TrRoad_act!N10=0,0,N27/TrRoad_act!N10*1000)</f>
        <v>40.030802463240356</v>
      </c>
      <c r="O94" s="87">
        <f>IF(TrRoad_act!O10=0,0,O27/TrRoad_act!O10*1000)</f>
        <v>39.678347345136906</v>
      </c>
      <c r="P94" s="87">
        <f>IF(TrRoad_act!P10=0,0,P27/TrRoad_act!P10*1000)</f>
        <v>39.686204583109188</v>
      </c>
      <c r="Q94" s="87">
        <f>IF(TrRoad_act!Q10=0,0,Q27/TrRoad_act!Q10*1000)</f>
        <v>38.067610999252054</v>
      </c>
      <c r="R94" s="87">
        <f>IF(TrRoad_act!R10=0,0,R27/TrRoad_act!R10*1000)</f>
        <v>38.071221570476069</v>
      </c>
      <c r="S94" s="87">
        <f>IF(TrRoad_act!S10=0,0,S27/TrRoad_act!S10*1000)</f>
        <v>40.757196514807696</v>
      </c>
      <c r="T94" s="87">
        <f>IF(TrRoad_act!T10=0,0,T27/TrRoad_act!T10*1000)</f>
        <v>38.333481099787939</v>
      </c>
      <c r="U94" s="87">
        <f>IF(TrRoad_act!U10=0,0,U27/TrRoad_act!U10*1000)</f>
        <v>37.697130191690846</v>
      </c>
      <c r="V94" s="87">
        <f>IF(TrRoad_act!V10=0,0,V27/TrRoad_act!V10*1000)</f>
        <v>37.508193662864834</v>
      </c>
      <c r="W94" s="87">
        <f>IF(TrRoad_act!W10=0,0,W27/TrRoad_act!W10*1000)</f>
        <v>35.400012418354763</v>
      </c>
      <c r="X94" s="87">
        <f>IF(TrRoad_act!X10=0,0,X27/TrRoad_act!X10*1000)</f>
        <v>36.220967682088144</v>
      </c>
      <c r="Y94" s="87">
        <f>IF(TrRoad_act!Y10=0,0,Y27/TrRoad_act!Y10*1000)</f>
        <v>35.956969446436027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17.749006042322538</v>
      </c>
      <c r="N95" s="87">
        <f>IF(TrRoad_act!N11=0,0,N29/TrRoad_act!N11*1000)</f>
        <v>14.642633193278096</v>
      </c>
      <c r="O95" s="87">
        <f>IF(TrRoad_act!O11=0,0,O29/TrRoad_act!O11*1000)</f>
        <v>15.990373968248834</v>
      </c>
      <c r="P95" s="87">
        <f>IF(TrRoad_act!P11=0,0,P29/TrRoad_act!P11*1000)</f>
        <v>16.07686061700419</v>
      </c>
      <c r="Q95" s="87">
        <f>IF(TrRoad_act!Q11=0,0,Q29/TrRoad_act!Q11*1000)</f>
        <v>16.546366369140895</v>
      </c>
      <c r="R95" s="87">
        <f>IF(TrRoad_act!R11=0,0,R29/TrRoad_act!R11*1000)</f>
        <v>16.988769227066598</v>
      </c>
      <c r="S95" s="87">
        <f>IF(TrRoad_act!S11=0,0,S29/TrRoad_act!S11*1000)</f>
        <v>19.366987283295451</v>
      </c>
      <c r="T95" s="87">
        <f>IF(TrRoad_act!T11=0,0,T29/TrRoad_act!T11*1000)</f>
        <v>19.786459498290355</v>
      </c>
      <c r="U95" s="87">
        <f>IF(TrRoad_act!U11=0,0,U29/TrRoad_act!U11*1000)</f>
        <v>20.080377958322977</v>
      </c>
      <c r="V95" s="87">
        <f>IF(TrRoad_act!V11=0,0,V29/TrRoad_act!V11*1000)</f>
        <v>20.660833749278208</v>
      </c>
      <c r="W95" s="87">
        <f>IF(TrRoad_act!W11=0,0,W29/TrRoad_act!W11*1000)</f>
        <v>19.149558074646677</v>
      </c>
      <c r="X95" s="87">
        <f>IF(TrRoad_act!X11=0,0,X29/TrRoad_act!X11*1000)</f>
        <v>18.934639901415757</v>
      </c>
      <c r="Y95" s="87">
        <f>IF(TrRoad_act!Y11=0,0,Y29/TrRoad_act!Y11*1000)</f>
        <v>18.755334127746668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8.4691757083568788</v>
      </c>
      <c r="I96" s="87">
        <f>IF(TrRoad_act!I12=0,0,I32/TrRoad_act!I12*1000)</f>
        <v>8.2659305724330636</v>
      </c>
      <c r="J96" s="87">
        <f>IF(TrRoad_act!J12=0,0,J32/TrRoad_act!J12*1000)</f>
        <v>8.1022843149607944</v>
      </c>
      <c r="K96" s="87">
        <f>IF(TrRoad_act!K12=0,0,K32/TrRoad_act!K12*1000)</f>
        <v>8.0394935402684151</v>
      </c>
      <c r="L96" s="87">
        <f>IF(TrRoad_act!L12=0,0,L32/TrRoad_act!L12*1000)</f>
        <v>7.8947115564621839</v>
      </c>
      <c r="M96" s="87">
        <f>IF(TrRoad_act!M12=0,0,M32/TrRoad_act!M12*1000)</f>
        <v>8.0433668196267298</v>
      </c>
      <c r="N96" s="87">
        <f>IF(TrRoad_act!N12=0,0,N32/TrRoad_act!N12*1000)</f>
        <v>7.7137278170993566</v>
      </c>
      <c r="O96" s="87">
        <f>IF(TrRoad_act!O12=0,0,O32/TrRoad_act!O12*1000)</f>
        <v>7.6934105977314555</v>
      </c>
      <c r="P96" s="87">
        <f>IF(TrRoad_act!P12=0,0,P32/TrRoad_act!P12*1000)</f>
        <v>7.816227017833735</v>
      </c>
      <c r="Q96" s="87">
        <f>IF(TrRoad_act!Q12=0,0,Q32/TrRoad_act!Q12*1000)</f>
        <v>7.8463685863111881</v>
      </c>
      <c r="R96" s="87">
        <f>IF(TrRoad_act!R12=0,0,R32/TrRoad_act!R12*1000)</f>
        <v>8.0473592949946706</v>
      </c>
      <c r="S96" s="87">
        <f>IF(TrRoad_act!S12=0,0,S32/TrRoad_act!S12*1000)</f>
        <v>8.6687650596972876</v>
      </c>
      <c r="T96" s="87">
        <f>IF(TrRoad_act!T12=0,0,T32/TrRoad_act!T12*1000)</f>
        <v>8.554483877774306</v>
      </c>
      <c r="U96" s="87">
        <f>IF(TrRoad_act!U12=0,0,U32/TrRoad_act!U12*1000)</f>
        <v>9.5960362545698317</v>
      </c>
      <c r="V96" s="87">
        <f>IF(TrRoad_act!V12=0,0,V32/TrRoad_act!V12*1000)</f>
        <v>10.017297894774602</v>
      </c>
      <c r="W96" s="87">
        <f>IF(TrRoad_act!W12=0,0,W32/TrRoad_act!W12*1000)</f>
        <v>9.5421731422536862</v>
      </c>
      <c r="X96" s="87">
        <f>IF(TrRoad_act!X12=0,0,X32/TrRoad_act!X12*1000)</f>
        <v>9.815560880829846</v>
      </c>
      <c r="Y96" s="87">
        <f>IF(TrRoad_act!Y12=0,0,Y32/TrRoad_act!Y12*1000)</f>
        <v>9.9167223654505534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31.856423816769322</v>
      </c>
      <c r="C97" s="116">
        <f>IF(TrRoad_act!C13=0,0,C33/TrRoad_act!C13*1000)</f>
        <v>31.180441630439272</v>
      </c>
      <c r="D97" s="116">
        <f>IF(TrRoad_act!D13=0,0,D33/TrRoad_act!D13*1000)</f>
        <v>30.825059488901005</v>
      </c>
      <c r="E97" s="116">
        <f>IF(TrRoad_act!E13=0,0,E33/TrRoad_act!E13*1000)</f>
        <v>30.507360192651358</v>
      </c>
      <c r="F97" s="116">
        <f>IF(TrRoad_act!F13=0,0,F33/TrRoad_act!F13*1000)</f>
        <v>30.405031827720894</v>
      </c>
      <c r="G97" s="116">
        <f>IF(TrRoad_act!G13=0,0,G33/TrRoad_act!G13*1000)</f>
        <v>29.870522981642626</v>
      </c>
      <c r="H97" s="116">
        <f>IF(TrRoad_act!H13=0,0,H33/TrRoad_act!H13*1000)</f>
        <v>30.634139919415261</v>
      </c>
      <c r="I97" s="116">
        <f>IF(TrRoad_act!I13=0,0,I33/TrRoad_act!I13*1000)</f>
        <v>28.859869653941743</v>
      </c>
      <c r="J97" s="116">
        <f>IF(TrRoad_act!J13=0,0,J33/TrRoad_act!J13*1000)</f>
        <v>28.446562686521126</v>
      </c>
      <c r="K97" s="116">
        <f>IF(TrRoad_act!K13=0,0,K33/TrRoad_act!K13*1000)</f>
        <v>29.410257592912256</v>
      </c>
      <c r="L97" s="116">
        <f>IF(TrRoad_act!L13=0,0,L33/TrRoad_act!L13*1000)</f>
        <v>30.973602704349396</v>
      </c>
      <c r="M97" s="116">
        <f>IF(TrRoad_act!M13=0,0,M33/TrRoad_act!M13*1000)</f>
        <v>32.922280823907336</v>
      </c>
      <c r="N97" s="116">
        <f>IF(TrRoad_act!N13=0,0,N33/TrRoad_act!N13*1000)</f>
        <v>36.250076700132453</v>
      </c>
      <c r="O97" s="116">
        <f>IF(TrRoad_act!O13=0,0,O33/TrRoad_act!O13*1000)</f>
        <v>37.932757843608066</v>
      </c>
      <c r="P97" s="116">
        <f>IF(TrRoad_act!P13=0,0,P33/TrRoad_act!P13*1000)</f>
        <v>37.98985151966766</v>
      </c>
      <c r="Q97" s="116">
        <f>IF(TrRoad_act!Q13=0,0,Q33/TrRoad_act!Q13*1000)</f>
        <v>37.746662295278682</v>
      </c>
      <c r="R97" s="116">
        <f>IF(TrRoad_act!R13=0,0,R33/TrRoad_act!R13*1000)</f>
        <v>39.124021172709028</v>
      </c>
      <c r="S97" s="116">
        <f>IF(TrRoad_act!S13=0,0,S33/TrRoad_act!S13*1000)</f>
        <v>39.683888335481463</v>
      </c>
      <c r="T97" s="116">
        <f>IF(TrRoad_act!T13=0,0,T33/TrRoad_act!T13*1000)</f>
        <v>39.434881480840467</v>
      </c>
      <c r="U97" s="116">
        <f>IF(TrRoad_act!U13=0,0,U33/TrRoad_act!U13*1000)</f>
        <v>40.169783258038933</v>
      </c>
      <c r="V97" s="116">
        <f>IF(TrRoad_act!V13=0,0,V33/TrRoad_act!V13*1000)</f>
        <v>67.248851339138227</v>
      </c>
      <c r="W97" s="116">
        <f>IF(TrRoad_act!W13=0,0,W33/TrRoad_act!W13*1000)</f>
        <v>63.842998892872302</v>
      </c>
      <c r="X97" s="116">
        <f>IF(TrRoad_act!X13=0,0,X33/TrRoad_act!X13*1000)</f>
        <v>51.147331989423918</v>
      </c>
      <c r="Y97" s="116">
        <f>IF(TrRoad_act!Y13=0,0,Y33/TrRoad_act!Y13*1000)</f>
        <v>47.443764484679868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0</v>
      </c>
      <c r="C98" s="101">
        <f>IF(TrRoad_act!C14=0,0,C34/TrRoad_act!C14*1000)</f>
        <v>0</v>
      </c>
      <c r="D98" s="101">
        <f>IF(TrRoad_act!D14=0,0,D34/TrRoad_act!D14*1000)</f>
        <v>0</v>
      </c>
      <c r="E98" s="101">
        <f>IF(TrRoad_act!E14=0,0,E34/TrRoad_act!E14*1000)</f>
        <v>0</v>
      </c>
      <c r="F98" s="101">
        <f>IF(TrRoad_act!F14=0,0,F34/TrRoad_act!F14*1000)</f>
        <v>0</v>
      </c>
      <c r="G98" s="101">
        <f>IF(TrRoad_act!G14=0,0,G34/TrRoad_act!G14*1000)</f>
        <v>0</v>
      </c>
      <c r="H98" s="101">
        <f>IF(TrRoad_act!H14=0,0,H34/TrRoad_act!H14*1000)</f>
        <v>0</v>
      </c>
      <c r="I98" s="101">
        <f>IF(TrRoad_act!I14=0,0,I34/TrRoad_act!I14*1000)</f>
        <v>0</v>
      </c>
      <c r="J98" s="101">
        <f>IF(TrRoad_act!J14=0,0,J34/TrRoad_act!J14*1000)</f>
        <v>0</v>
      </c>
      <c r="K98" s="101">
        <f>IF(TrRoad_act!K14=0,0,K34/TrRoad_act!K14*1000)</f>
        <v>0</v>
      </c>
      <c r="L98" s="101">
        <f>IF(TrRoad_act!L14=0,0,L34/TrRoad_act!L14*1000)</f>
        <v>0</v>
      </c>
      <c r="M98" s="101">
        <f>IF(TrRoad_act!M14=0,0,M34/TrRoad_act!M14*1000)</f>
        <v>0</v>
      </c>
      <c r="N98" s="101">
        <f>IF(TrRoad_act!N14=0,0,N34/TrRoad_act!N14*1000)</f>
        <v>0</v>
      </c>
      <c r="O98" s="101">
        <f>IF(TrRoad_act!O14=0,0,O34/TrRoad_act!O14*1000)</f>
        <v>0</v>
      </c>
      <c r="P98" s="101">
        <f>IF(TrRoad_act!P14=0,0,P34/TrRoad_act!P14*1000)</f>
        <v>0</v>
      </c>
      <c r="Q98" s="101">
        <f>IF(TrRoad_act!Q14=0,0,Q34/TrRoad_act!Q14*1000)</f>
        <v>0</v>
      </c>
      <c r="R98" s="101">
        <f>IF(TrRoad_act!R14=0,0,R34/TrRoad_act!R14*1000)</f>
        <v>0</v>
      </c>
      <c r="S98" s="101">
        <f>IF(TrRoad_act!S14=0,0,S34/TrRoad_act!S14*1000)</f>
        <v>0</v>
      </c>
      <c r="T98" s="101">
        <f>IF(TrRoad_act!T14=0,0,T34/TrRoad_act!T14*1000)</f>
        <v>0</v>
      </c>
      <c r="U98" s="101">
        <f>IF(TrRoad_act!U14=0,0,U34/TrRoad_act!U14*1000)</f>
        <v>0</v>
      </c>
      <c r="V98" s="101">
        <f>IF(TrRoad_act!V14=0,0,V34/TrRoad_act!V14*1000)</f>
        <v>0</v>
      </c>
      <c r="W98" s="101">
        <f>IF(TrRoad_act!W14=0,0,W34/TrRoad_act!W14*1000)</f>
        <v>0</v>
      </c>
      <c r="X98" s="101">
        <f>IF(TrRoad_act!X14=0,0,X34/TrRoad_act!X14*1000)</f>
        <v>0</v>
      </c>
      <c r="Y98" s="101">
        <f>IF(TrRoad_act!Y14=0,0,Y34/TrRoad_act!Y14*1000)</f>
        <v>0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31.931149537923481</v>
      </c>
      <c r="C99" s="101">
        <f>IF(TrRoad_act!C15=0,0,C36/TrRoad_act!C15*1000)</f>
        <v>31.280701813874774</v>
      </c>
      <c r="D99" s="101">
        <f>IF(TrRoad_act!D15=0,0,D36/TrRoad_act!D15*1000)</f>
        <v>30.95864002372404</v>
      </c>
      <c r="E99" s="101">
        <f>IF(TrRoad_act!E15=0,0,E36/TrRoad_act!E15*1000)</f>
        <v>30.645180257298922</v>
      </c>
      <c r="F99" s="101">
        <f>IF(TrRoad_act!F15=0,0,F36/TrRoad_act!F15*1000)</f>
        <v>30.344231981266113</v>
      </c>
      <c r="G99" s="101">
        <f>IF(TrRoad_act!G15=0,0,G36/TrRoad_act!G15*1000)</f>
        <v>30.011278377009795</v>
      </c>
      <c r="H99" s="101">
        <f>IF(TrRoad_act!H15=0,0,H36/TrRoad_act!H15*1000)</f>
        <v>30.805961854339415</v>
      </c>
      <c r="I99" s="101">
        <f>IF(TrRoad_act!I15=0,0,I36/TrRoad_act!I15*1000)</f>
        <v>28.990959233608422</v>
      </c>
      <c r="J99" s="101">
        <f>IF(TrRoad_act!J15=0,0,J36/TrRoad_act!J15*1000)</f>
        <v>28.494997164145285</v>
      </c>
      <c r="K99" s="101">
        <f>IF(TrRoad_act!K15=0,0,K36/TrRoad_act!K15*1000)</f>
        <v>29.479751701679223</v>
      </c>
      <c r="L99" s="101">
        <f>IF(TrRoad_act!L15=0,0,L36/TrRoad_act!L15*1000)</f>
        <v>31.169990998383778</v>
      </c>
      <c r="M99" s="101">
        <f>IF(TrRoad_act!M15=0,0,M36/TrRoad_act!M15*1000)</f>
        <v>32.648117203286404</v>
      </c>
      <c r="N99" s="101">
        <f>IF(TrRoad_act!N15=0,0,N36/TrRoad_act!N15*1000)</f>
        <v>35.551080188010872</v>
      </c>
      <c r="O99" s="101">
        <f>IF(TrRoad_act!O15=0,0,O36/TrRoad_act!O15*1000)</f>
        <v>37.061748617597537</v>
      </c>
      <c r="P99" s="101">
        <f>IF(TrRoad_act!P15=0,0,P36/TrRoad_act!P15*1000)</f>
        <v>37.093286189181093</v>
      </c>
      <c r="Q99" s="101">
        <f>IF(TrRoad_act!Q15=0,0,Q36/TrRoad_act!Q15*1000)</f>
        <v>36.706845119002168</v>
      </c>
      <c r="R99" s="101">
        <f>IF(TrRoad_act!R15=0,0,R36/TrRoad_act!R15*1000)</f>
        <v>38.320593114121692</v>
      </c>
      <c r="S99" s="101">
        <f>IF(TrRoad_act!S15=0,0,S36/TrRoad_act!S15*1000)</f>
        <v>39.179391877749438</v>
      </c>
      <c r="T99" s="101">
        <f>IF(TrRoad_act!T15=0,0,T36/TrRoad_act!T15*1000)</f>
        <v>39.278794367136769</v>
      </c>
      <c r="U99" s="101">
        <f>IF(TrRoad_act!U15=0,0,U36/TrRoad_act!U15*1000)</f>
        <v>39.410920429131906</v>
      </c>
      <c r="V99" s="101">
        <f>IF(TrRoad_act!V15=0,0,V36/TrRoad_act!V15*1000)</f>
        <v>65.144862933465717</v>
      </c>
      <c r="W99" s="101">
        <f>IF(TrRoad_act!W15=0,0,W36/TrRoad_act!W15*1000)</f>
        <v>62.674554193062768</v>
      </c>
      <c r="X99" s="101">
        <f>IF(TrRoad_act!X15=0,0,X36/TrRoad_act!X15*1000)</f>
        <v>48.223170860169617</v>
      </c>
      <c r="Y99" s="101">
        <f>IF(TrRoad_act!Y15=0,0,Y36/TrRoad_act!Y15*1000)</f>
        <v>44.642558211289902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0</v>
      </c>
      <c r="C100" s="101">
        <f>IF(TrRoad_act!C16=0,0,C38/TrRoad_act!C16*1000)</f>
        <v>0</v>
      </c>
      <c r="D100" s="101">
        <f>IF(TrRoad_act!D16=0,0,D38/TrRoad_act!D16*1000)</f>
        <v>0</v>
      </c>
      <c r="E100" s="101">
        <f>IF(TrRoad_act!E16=0,0,E38/TrRoad_act!E16*1000)</f>
        <v>0</v>
      </c>
      <c r="F100" s="101">
        <f>IF(TrRoad_act!F16=0,0,F38/TrRoad_act!F16*1000)</f>
        <v>23.551464613587058</v>
      </c>
      <c r="G100" s="101">
        <f>IF(TrRoad_act!G16=0,0,G38/TrRoad_act!G16*1000)</f>
        <v>23.490254576766873</v>
      </c>
      <c r="H100" s="101">
        <f>IF(TrRoad_act!H16=0,0,H38/TrRoad_act!H16*1000)</f>
        <v>24.287302452937556</v>
      </c>
      <c r="I100" s="101">
        <f>IF(TrRoad_act!I16=0,0,I38/TrRoad_act!I16*1000)</f>
        <v>23.187783656401734</v>
      </c>
      <c r="J100" s="101">
        <f>IF(TrRoad_act!J16=0,0,J38/TrRoad_act!J16*1000)</f>
        <v>23.036447703533771</v>
      </c>
      <c r="K100" s="101">
        <f>IF(TrRoad_act!K16=0,0,K38/TrRoad_act!K16*1000)</f>
        <v>24.009838027844303</v>
      </c>
      <c r="L100" s="101">
        <f>IF(TrRoad_act!L16=0,0,L38/TrRoad_act!L16*1000)</f>
        <v>25.456176580960015</v>
      </c>
      <c r="M100" s="101">
        <f>IF(TrRoad_act!M16=0,0,M38/TrRoad_act!M16*1000)</f>
        <v>26.790196906826701</v>
      </c>
      <c r="N100" s="101">
        <f>IF(TrRoad_act!N16=0,0,N38/TrRoad_act!N16*1000)</f>
        <v>29.163807005485324</v>
      </c>
      <c r="O100" s="101">
        <f>IF(TrRoad_act!O16=0,0,O38/TrRoad_act!O16*1000)</f>
        <v>30.473697665260161</v>
      </c>
      <c r="P100" s="101">
        <f>IF(TrRoad_act!P16=0,0,P38/TrRoad_act!P16*1000)</f>
        <v>30.443299806051517</v>
      </c>
      <c r="Q100" s="101">
        <f>IF(TrRoad_act!Q16=0,0,Q38/TrRoad_act!Q16*1000)</f>
        <v>30.047766962498898</v>
      </c>
      <c r="R100" s="101">
        <f>IF(TrRoad_act!R16=0,0,R38/TrRoad_act!R16*1000)</f>
        <v>31.437523819389504</v>
      </c>
      <c r="S100" s="101">
        <f>IF(TrRoad_act!S16=0,0,S38/TrRoad_act!S16*1000)</f>
        <v>32.141214418160949</v>
      </c>
      <c r="T100" s="101">
        <f>IF(TrRoad_act!T16=0,0,T38/TrRoad_act!T16*1000)</f>
        <v>32.315655893018722</v>
      </c>
      <c r="U100" s="101">
        <f>IF(TrRoad_act!U16=0,0,U38/TrRoad_act!U16*1000)</f>
        <v>32.668922026127944</v>
      </c>
      <c r="V100" s="101">
        <f>IF(TrRoad_act!V16=0,0,V38/TrRoad_act!V16*1000)</f>
        <v>54.425281293891025</v>
      </c>
      <c r="W100" s="101">
        <f>IF(TrRoad_act!W16=0,0,W38/TrRoad_act!W16*1000)</f>
        <v>53.024221084687866</v>
      </c>
      <c r="X100" s="101">
        <f>IF(TrRoad_act!X16=0,0,X38/TrRoad_act!X16*1000)</f>
        <v>41.431177258905898</v>
      </c>
      <c r="Y100" s="101">
        <f>IF(TrRoad_act!Y16=0,0,Y38/TrRoad_act!Y16*1000)</f>
        <v>39.333466750875019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26.001897748204435</v>
      </c>
      <c r="C101" s="101">
        <f>IF(TrRoad_act!C17=0,0,C39/TrRoad_act!C17*1000)</f>
        <v>25.363560657959141</v>
      </c>
      <c r="D101" s="101">
        <f>IF(TrRoad_act!D17=0,0,D39/TrRoad_act!D17*1000)</f>
        <v>24.993259487085876</v>
      </c>
      <c r="E101" s="101">
        <f>IF(TrRoad_act!E17=0,0,E39/TrRoad_act!E17*1000)</f>
        <v>25.51399124382381</v>
      </c>
      <c r="F101" s="101">
        <f>IF(TrRoad_act!F17=0,0,F39/TrRoad_act!F17*1000)</f>
        <v>33.600478537826191</v>
      </c>
      <c r="G101" s="101">
        <f>IF(TrRoad_act!G17=0,0,G39/TrRoad_act!G17*1000)</f>
        <v>23.695477650116775</v>
      </c>
      <c r="H101" s="101">
        <f>IF(TrRoad_act!H17=0,0,H39/TrRoad_act!H17*1000)</f>
        <v>24.733470614347226</v>
      </c>
      <c r="I101" s="101">
        <f>IF(TrRoad_act!I17=0,0,I39/TrRoad_act!I17*1000)</f>
        <v>24.459969845009923</v>
      </c>
      <c r="J101" s="101">
        <f>IF(TrRoad_act!J17=0,0,J39/TrRoad_act!J17*1000)</f>
        <v>26.576379262395243</v>
      </c>
      <c r="K101" s="101">
        <f>IF(TrRoad_act!K17=0,0,K39/TrRoad_act!K17*1000)</f>
        <v>26.879838966415299</v>
      </c>
      <c r="L101" s="101">
        <f>IF(TrRoad_act!L17=0,0,L39/TrRoad_act!L17*1000)</f>
        <v>22.783886316053298</v>
      </c>
      <c r="M101" s="101">
        <f>IF(TrRoad_act!M17=0,0,M39/TrRoad_act!M17*1000)</f>
        <v>47.480287751949895</v>
      </c>
      <c r="N101" s="101">
        <f>IF(TrRoad_act!N17=0,0,N39/TrRoad_act!N17*1000)</f>
        <v>71.882647003231583</v>
      </c>
      <c r="O101" s="101">
        <f>IF(TrRoad_act!O17=0,0,O39/TrRoad_act!O17*1000)</f>
        <v>79.578643702055203</v>
      </c>
      <c r="P101" s="101">
        <f>IF(TrRoad_act!P17=0,0,P39/TrRoad_act!P17*1000)</f>
        <v>88.247305623793125</v>
      </c>
      <c r="Q101" s="101">
        <f>IF(TrRoad_act!Q17=0,0,Q39/TrRoad_act!Q17*1000)</f>
        <v>123.76833975953699</v>
      </c>
      <c r="R101" s="101">
        <f>IF(TrRoad_act!R17=0,0,R39/TrRoad_act!R17*1000)</f>
        <v>96.626381070090773</v>
      </c>
      <c r="S101" s="101">
        <f>IF(TrRoad_act!S17=0,0,S39/TrRoad_act!S17*1000)</f>
        <v>71.175090678586017</v>
      </c>
      <c r="T101" s="101">
        <f>IF(TrRoad_act!T17=0,0,T39/TrRoad_act!T17*1000)</f>
        <v>50.886318289463752</v>
      </c>
      <c r="U101" s="101">
        <f>IF(TrRoad_act!U17=0,0,U39/TrRoad_act!U17*1000)</f>
        <v>89.329185171758141</v>
      </c>
      <c r="V101" s="101">
        <f>IF(TrRoad_act!V17=0,0,V39/TrRoad_act!V17*1000)</f>
        <v>204.69989725659212</v>
      </c>
      <c r="W101" s="101">
        <f>IF(TrRoad_act!W17=0,0,W39/TrRoad_act!W17*1000)</f>
        <v>164.4720721397814</v>
      </c>
      <c r="X101" s="101">
        <f>IF(TrRoad_act!X17=0,0,X39/TrRoad_act!X17*1000)</f>
        <v>281.00063779611264</v>
      </c>
      <c r="Y101" s="101">
        <f>IF(TrRoad_act!Y17=0,0,Y39/TrRoad_act!Y17*1000)</f>
        <v>281.19277987370924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19.637010294578442</v>
      </c>
      <c r="C102" s="101">
        <f>IF(TrRoad_act!C18=0,0,C41/TrRoad_act!C18*1000)</f>
        <v>19.2817380969922</v>
      </c>
      <c r="D102" s="101">
        <f>IF(TrRoad_act!D18=0,0,D41/TrRoad_act!D18*1000)</f>
        <v>18.98274516661591</v>
      </c>
      <c r="E102" s="101">
        <f>IF(TrRoad_act!E18=0,0,E41/TrRoad_act!E18*1000)</f>
        <v>18.746622480639687</v>
      </c>
      <c r="F102" s="101">
        <f>IF(TrRoad_act!F18=0,0,F41/TrRoad_act!F18*1000)</f>
        <v>18.605534917738161</v>
      </c>
      <c r="G102" s="101">
        <f>IF(TrRoad_act!G18=0,0,G41/TrRoad_act!G18*1000)</f>
        <v>18.509195091156904</v>
      </c>
      <c r="H102" s="101">
        <f>IF(TrRoad_act!H18=0,0,H41/TrRoad_act!H18*1000)</f>
        <v>19.081740599650853</v>
      </c>
      <c r="I102" s="101">
        <f>IF(TrRoad_act!I18=0,0,I41/TrRoad_act!I18*1000)</f>
        <v>18.116853351893891</v>
      </c>
      <c r="J102" s="101">
        <f>IF(TrRoad_act!J18=0,0,J41/TrRoad_act!J18*1000)</f>
        <v>17.856008531821661</v>
      </c>
      <c r="K102" s="101">
        <f>IF(TrRoad_act!K18=0,0,K41/TrRoad_act!K18*1000)</f>
        <v>18.333049221502481</v>
      </c>
      <c r="L102" s="101">
        <f>IF(TrRoad_act!L18=0,0,L41/TrRoad_act!L18*1000)</f>
        <v>19.32984690408097</v>
      </c>
      <c r="M102" s="101">
        <f>IF(TrRoad_act!M18=0,0,M41/TrRoad_act!M18*1000)</f>
        <v>20.19435196443775</v>
      </c>
      <c r="N102" s="101">
        <f>IF(TrRoad_act!N18=0,0,N41/TrRoad_act!N18*1000)</f>
        <v>21.912224210896206</v>
      </c>
      <c r="O102" s="101">
        <f>IF(TrRoad_act!O18=0,0,O41/TrRoad_act!O18*1000)</f>
        <v>22.855867470135124</v>
      </c>
      <c r="P102" s="101">
        <f>IF(TrRoad_act!P18=0,0,P41/TrRoad_act!P18*1000)</f>
        <v>22.847851636755998</v>
      </c>
      <c r="Q102" s="101">
        <f>IF(TrRoad_act!Q18=0,0,Q41/TrRoad_act!Q18*1000)</f>
        <v>22.586836464924282</v>
      </c>
      <c r="R102" s="101">
        <f>IF(TrRoad_act!R18=0,0,R41/TrRoad_act!R18*1000)</f>
        <v>23.575832210661666</v>
      </c>
      <c r="S102" s="101">
        <f>IF(TrRoad_act!S18=0,0,S41/TrRoad_act!S18*1000)</f>
        <v>24.117905022561793</v>
      </c>
      <c r="T102" s="101">
        <f>IF(TrRoad_act!T18=0,0,T41/TrRoad_act!T18*1000)</f>
        <v>24.102861608376681</v>
      </c>
      <c r="U102" s="101">
        <f>IF(TrRoad_act!U18=0,0,U41/TrRoad_act!U18*1000)</f>
        <v>23.897668699014655</v>
      </c>
      <c r="V102" s="101">
        <f>IF(TrRoad_act!V18=0,0,V41/TrRoad_act!V18*1000)</f>
        <v>38.650610146769388</v>
      </c>
      <c r="W102" s="101">
        <f>IF(TrRoad_act!W18=0,0,W41/TrRoad_act!W18*1000)</f>
        <v>36.921725719790118</v>
      </c>
      <c r="X102" s="101">
        <f>IF(TrRoad_act!X18=0,0,X41/TrRoad_act!X18*1000)</f>
        <v>28.280821541478534</v>
      </c>
      <c r="Y102" s="101">
        <f>IF(TrRoad_act!Y18=0,0,Y41/TrRoad_act!Y18*1000)</f>
        <v>26.104941468382489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48.546378473649135</v>
      </c>
      <c r="C103" s="29">
        <f>IF(TrRoad_act!C19=0,0,C42/TrRoad_act!C19*1000)</f>
        <v>44.412593322817045</v>
      </c>
      <c r="D103" s="29">
        <f>IF(TrRoad_act!D19=0,0,D42/TrRoad_act!D19*1000)</f>
        <v>42.824315133155494</v>
      </c>
      <c r="E103" s="29">
        <f>IF(TrRoad_act!E19=0,0,E42/TrRoad_act!E19*1000)</f>
        <v>39.456699450125058</v>
      </c>
      <c r="F103" s="29">
        <f>IF(TrRoad_act!F19=0,0,F42/TrRoad_act!F19*1000)</f>
        <v>36.62057230743217</v>
      </c>
      <c r="G103" s="29">
        <f>IF(TrRoad_act!G19=0,0,G42/TrRoad_act!G19*1000)</f>
        <v>34.73515481271712</v>
      </c>
      <c r="H103" s="29">
        <f>IF(TrRoad_act!H19=0,0,H42/TrRoad_act!H19*1000)</f>
        <v>37.354366945233629</v>
      </c>
      <c r="I103" s="29">
        <f>IF(TrRoad_act!I19=0,0,I42/TrRoad_act!I19*1000)</f>
        <v>35.363776101275128</v>
      </c>
      <c r="J103" s="29">
        <f>IF(TrRoad_act!J19=0,0,J42/TrRoad_act!J19*1000)</f>
        <v>34.170370973306362</v>
      </c>
      <c r="K103" s="29">
        <f>IF(TrRoad_act!K19=0,0,K42/TrRoad_act!K19*1000)</f>
        <v>35.312199439797425</v>
      </c>
      <c r="L103" s="29">
        <f>IF(TrRoad_act!L19=0,0,L42/TrRoad_act!L19*1000)</f>
        <v>36.560707833430875</v>
      </c>
      <c r="M103" s="29">
        <f>IF(TrRoad_act!M19=0,0,M42/TrRoad_act!M19*1000)</f>
        <v>35.110262136224016</v>
      </c>
      <c r="N103" s="29">
        <f>IF(TrRoad_act!N19=0,0,N42/TrRoad_act!N19*1000)</f>
        <v>37.512180821653239</v>
      </c>
      <c r="O103" s="29">
        <f>IF(TrRoad_act!O19=0,0,O42/TrRoad_act!O19*1000)</f>
        <v>36.629586129278387</v>
      </c>
      <c r="P103" s="29">
        <f>IF(TrRoad_act!P19=0,0,P42/TrRoad_act!P19*1000)</f>
        <v>37.02262648084988</v>
      </c>
      <c r="Q103" s="29">
        <f>IF(TrRoad_act!Q19=0,0,Q42/TrRoad_act!Q19*1000)</f>
        <v>33.960577147329502</v>
      </c>
      <c r="R103" s="29">
        <f>IF(TrRoad_act!R19=0,0,R42/TrRoad_act!R19*1000)</f>
        <v>33.903116852146454</v>
      </c>
      <c r="S103" s="29">
        <f>IF(TrRoad_act!S19=0,0,S42/TrRoad_act!S19*1000)</f>
        <v>34.369430387233038</v>
      </c>
      <c r="T103" s="29">
        <f>IF(TrRoad_act!T19=0,0,T42/TrRoad_act!T19*1000)</f>
        <v>35.406284726866204</v>
      </c>
      <c r="U103" s="29">
        <f>IF(TrRoad_act!U19=0,0,U42/TrRoad_act!U19*1000)</f>
        <v>34.401931219566208</v>
      </c>
      <c r="V103" s="29">
        <f>IF(TrRoad_act!V19=0,0,V42/TrRoad_act!V19*1000)</f>
        <v>35.497946759961842</v>
      </c>
      <c r="W103" s="29">
        <f>IF(TrRoad_act!W19=0,0,W42/TrRoad_act!W19*1000)</f>
        <v>32.246266786862265</v>
      </c>
      <c r="X103" s="29">
        <f>IF(TrRoad_act!X19=0,0,X42/TrRoad_act!X19*1000)</f>
        <v>31.403978774165356</v>
      </c>
      <c r="Y103" s="29">
        <f>IF(TrRoad_act!Y19=0,0,Y42/TrRoad_act!Y19*1000)</f>
        <v>29.619962120034828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250.27766139233421</v>
      </c>
      <c r="C104" s="152">
        <f>IF(TrRoad_act!C20=0,0,C43/TrRoad_act!C20*1000)</f>
        <v>240.48193093492597</v>
      </c>
      <c r="D104" s="152">
        <f>IF(TrRoad_act!D20=0,0,D43/TrRoad_act!D20*1000)</f>
        <v>236.70826309245916</v>
      </c>
      <c r="E104" s="152">
        <f>IF(TrRoad_act!E20=0,0,E43/TrRoad_act!E20*1000)</f>
        <v>235.36021041890814</v>
      </c>
      <c r="F104" s="152">
        <f>IF(TrRoad_act!F20=0,0,F43/TrRoad_act!F20*1000)</f>
        <v>231.26850155019659</v>
      </c>
      <c r="G104" s="152">
        <f>IF(TrRoad_act!G20=0,0,G43/TrRoad_act!G20*1000)</f>
        <v>230.76438570161386</v>
      </c>
      <c r="H104" s="152">
        <f>IF(TrRoad_act!H20=0,0,H43/TrRoad_act!H20*1000)</f>
        <v>228.55393179605815</v>
      </c>
      <c r="I104" s="152">
        <f>IF(TrRoad_act!I20=0,0,I43/TrRoad_act!I20*1000)</f>
        <v>226.4261678072464</v>
      </c>
      <c r="J104" s="152">
        <f>IF(TrRoad_act!J20=0,0,J43/TrRoad_act!J20*1000)</f>
        <v>223.74740792267653</v>
      </c>
      <c r="K104" s="152">
        <f>IF(TrRoad_act!K20=0,0,K43/TrRoad_act!K20*1000)</f>
        <v>222.55307906701771</v>
      </c>
      <c r="L104" s="152">
        <f>IF(TrRoad_act!L20=0,0,L43/TrRoad_act!L20*1000)</f>
        <v>219.69511084949465</v>
      </c>
      <c r="M104" s="152">
        <f>IF(TrRoad_act!M20=0,0,M43/TrRoad_act!M20*1000)</f>
        <v>219.87428974319997</v>
      </c>
      <c r="N104" s="152">
        <f>IF(TrRoad_act!N20=0,0,N43/TrRoad_act!N20*1000)</f>
        <v>216.75289046822527</v>
      </c>
      <c r="O104" s="152">
        <f>IF(TrRoad_act!O20=0,0,O43/TrRoad_act!O20*1000)</f>
        <v>217.3336462370676</v>
      </c>
      <c r="P104" s="152">
        <f>IF(TrRoad_act!P20=0,0,P43/TrRoad_act!P20*1000)</f>
        <v>217.19765491584536</v>
      </c>
      <c r="Q104" s="152">
        <f>IF(TrRoad_act!Q20=0,0,Q43/TrRoad_act!Q20*1000)</f>
        <v>219.62123179285138</v>
      </c>
      <c r="R104" s="152">
        <f>IF(TrRoad_act!R20=0,0,R43/TrRoad_act!R20*1000)</f>
        <v>218.39314561947998</v>
      </c>
      <c r="S104" s="152">
        <f>IF(TrRoad_act!S20=0,0,S43/TrRoad_act!S20*1000)</f>
        <v>214.90565416711064</v>
      </c>
      <c r="T104" s="152">
        <f>IF(TrRoad_act!T20=0,0,T43/TrRoad_act!T20*1000)</f>
        <v>209.25499116180023</v>
      </c>
      <c r="U104" s="152">
        <f>IF(TrRoad_act!U20=0,0,U43/TrRoad_act!U20*1000)</f>
        <v>208.15036050150454</v>
      </c>
      <c r="V104" s="152">
        <f>IF(TrRoad_act!V20=0,0,V43/TrRoad_act!V20*1000)</f>
        <v>204.16478559286304</v>
      </c>
      <c r="W104" s="152">
        <f>IF(TrRoad_act!W20=0,0,W43/TrRoad_act!W20*1000)</f>
        <v>204.23415473732484</v>
      </c>
      <c r="X104" s="152">
        <f>IF(TrRoad_act!X20=0,0,X43/TrRoad_act!X20*1000)</f>
        <v>204.28910653324857</v>
      </c>
      <c r="Y104" s="152">
        <f>IF(TrRoad_act!Y20=0,0,Y43/TrRoad_act!Y20*1000)</f>
        <v>203.89722191967815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303.61017896298813</v>
      </c>
      <c r="C105" s="87">
        <f>IF(TrRoad_act!C21=0,0,C44/TrRoad_act!C21*1000)</f>
        <v>298.1362169213233</v>
      </c>
      <c r="D105" s="87">
        <f>IF(TrRoad_act!D21=0,0,D44/TrRoad_act!D21*1000)</f>
        <v>298.78675030824058</v>
      </c>
      <c r="E105" s="87">
        <f>IF(TrRoad_act!E21=0,0,E44/TrRoad_act!E21*1000)</f>
        <v>296.97442236504105</v>
      </c>
      <c r="F105" s="87">
        <f>IF(TrRoad_act!F21=0,0,F44/TrRoad_act!F21*1000)</f>
        <v>295.97645283408576</v>
      </c>
      <c r="G105" s="87">
        <f>IF(TrRoad_act!G21=0,0,G44/TrRoad_act!G21*1000)</f>
        <v>293.41990831611679</v>
      </c>
      <c r="H105" s="87">
        <f>IF(TrRoad_act!H21=0,0,H44/TrRoad_act!H21*1000)</f>
        <v>288.77869966265814</v>
      </c>
      <c r="I105" s="87">
        <f>IF(TrRoad_act!I21=0,0,I44/TrRoad_act!I21*1000)</f>
        <v>285.97438705132214</v>
      </c>
      <c r="J105" s="87">
        <f>IF(TrRoad_act!J21=0,0,J44/TrRoad_act!J21*1000)</f>
        <v>277.69314846897061</v>
      </c>
      <c r="K105" s="87">
        <f>IF(TrRoad_act!K21=0,0,K44/TrRoad_act!K21*1000)</f>
        <v>272.71124761635258</v>
      </c>
      <c r="L105" s="87">
        <f>IF(TrRoad_act!L21=0,0,L44/TrRoad_act!L21*1000)</f>
        <v>267.8721907255769</v>
      </c>
      <c r="M105" s="87">
        <f>IF(TrRoad_act!M21=0,0,M44/TrRoad_act!M21*1000)</f>
        <v>264.23838645128876</v>
      </c>
      <c r="N105" s="87">
        <f>IF(TrRoad_act!N21=0,0,N44/TrRoad_act!N21*1000)</f>
        <v>257.43511625912828</v>
      </c>
      <c r="O105" s="87">
        <f>IF(TrRoad_act!O21=0,0,O44/TrRoad_act!O21*1000)</f>
        <v>253.67994094787821</v>
      </c>
      <c r="P105" s="87">
        <f>IF(TrRoad_act!P21=0,0,P44/TrRoad_act!P21*1000)</f>
        <v>252.80171433879605</v>
      </c>
      <c r="Q105" s="87">
        <f>IF(TrRoad_act!Q21=0,0,Q44/TrRoad_act!Q21*1000)</f>
        <v>251.28237500862295</v>
      </c>
      <c r="R105" s="87">
        <f>IF(TrRoad_act!R21=0,0,R44/TrRoad_act!R21*1000)</f>
        <v>251.36564202853756</v>
      </c>
      <c r="S105" s="87">
        <f>IF(TrRoad_act!S21=0,0,S44/TrRoad_act!S21*1000)</f>
        <v>249.31947000635989</v>
      </c>
      <c r="T105" s="87">
        <f>IF(TrRoad_act!T21=0,0,T44/TrRoad_act!T21*1000)</f>
        <v>250.60751595255792</v>
      </c>
      <c r="U105" s="87">
        <f>IF(TrRoad_act!U21=0,0,U44/TrRoad_act!U21*1000)</f>
        <v>248.24496303190861</v>
      </c>
      <c r="V105" s="87">
        <f>IF(TrRoad_act!V21=0,0,V44/TrRoad_act!V21*1000)</f>
        <v>247.84216543736409</v>
      </c>
      <c r="W105" s="87">
        <f>IF(TrRoad_act!W21=0,0,W44/TrRoad_act!W21*1000)</f>
        <v>254.91795878185124</v>
      </c>
      <c r="X105" s="87">
        <f>IF(TrRoad_act!X21=0,0,X44/TrRoad_act!X21*1000)</f>
        <v>255.92364246699157</v>
      </c>
      <c r="Y105" s="87">
        <f>IF(TrRoad_act!Y21=0,0,Y44/TrRoad_act!Y21*1000)</f>
        <v>255.70431092328045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245.44150827527372</v>
      </c>
      <c r="C106" s="87">
        <f>IF(TrRoad_act!C22=0,0,C46/TrRoad_act!C22*1000)</f>
        <v>235.85839189779753</v>
      </c>
      <c r="D106" s="87">
        <f>IF(TrRoad_act!D22=0,0,D46/TrRoad_act!D22*1000)</f>
        <v>232.05875640485337</v>
      </c>
      <c r="E106" s="87">
        <f>IF(TrRoad_act!E22=0,0,E46/TrRoad_act!E22*1000)</f>
        <v>231.33521117610877</v>
      </c>
      <c r="F106" s="87">
        <f>IF(TrRoad_act!F22=0,0,F46/TrRoad_act!F22*1000)</f>
        <v>227.33835854129788</v>
      </c>
      <c r="G106" s="87">
        <f>IF(TrRoad_act!G22=0,0,G46/TrRoad_act!G22*1000)</f>
        <v>227.32001332546602</v>
      </c>
      <c r="H106" s="87">
        <f>IF(TrRoad_act!H22=0,0,H46/TrRoad_act!H22*1000)</f>
        <v>225.16173934635901</v>
      </c>
      <c r="I106" s="87">
        <f>IF(TrRoad_act!I22=0,0,I46/TrRoad_act!I22*1000)</f>
        <v>222.99649899549206</v>
      </c>
      <c r="J106" s="87">
        <f>IF(TrRoad_act!J22=0,0,J46/TrRoad_act!J22*1000)</f>
        <v>220.62525692070136</v>
      </c>
      <c r="K106" s="87">
        <f>IF(TrRoad_act!K22=0,0,K46/TrRoad_act!K22*1000)</f>
        <v>219.67638948199644</v>
      </c>
      <c r="L106" s="87">
        <f>IF(TrRoad_act!L22=0,0,L46/TrRoad_act!L22*1000)</f>
        <v>216.92686582182799</v>
      </c>
      <c r="M106" s="87">
        <f>IF(TrRoad_act!M22=0,0,M46/TrRoad_act!M22*1000)</f>
        <v>217.38103155661443</v>
      </c>
      <c r="N106" s="87">
        <f>IF(TrRoad_act!N22=0,0,N46/TrRoad_act!N22*1000)</f>
        <v>214.5095773638775</v>
      </c>
      <c r="O106" s="87">
        <f>IF(TrRoad_act!O22=0,0,O46/TrRoad_act!O22*1000)</f>
        <v>215.38705318458699</v>
      </c>
      <c r="P106" s="87">
        <f>IF(TrRoad_act!P22=0,0,P46/TrRoad_act!P22*1000)</f>
        <v>215.3526716462041</v>
      </c>
      <c r="Q106" s="87">
        <f>IF(TrRoad_act!Q22=0,0,Q46/TrRoad_act!Q22*1000)</f>
        <v>218.10599996139251</v>
      </c>
      <c r="R106" s="87">
        <f>IF(TrRoad_act!R22=0,0,R46/TrRoad_act!R22*1000)</f>
        <v>216.97672362116191</v>
      </c>
      <c r="S106" s="87">
        <f>IF(TrRoad_act!S22=0,0,S46/TrRoad_act!S22*1000)</f>
        <v>213.58112816001776</v>
      </c>
      <c r="T106" s="87">
        <f>IF(TrRoad_act!T22=0,0,T46/TrRoad_act!T22*1000)</f>
        <v>207.81962833027598</v>
      </c>
      <c r="U106" s="87">
        <f>IF(TrRoad_act!U22=0,0,U46/TrRoad_act!U22*1000)</f>
        <v>206.91657447461242</v>
      </c>
      <c r="V106" s="87">
        <f>IF(TrRoad_act!V22=0,0,V46/TrRoad_act!V22*1000)</f>
        <v>202.80460128125429</v>
      </c>
      <c r="W106" s="87">
        <f>IF(TrRoad_act!W22=0,0,W46/TrRoad_act!W22*1000)</f>
        <v>202.85847145203581</v>
      </c>
      <c r="X106" s="87">
        <f>IF(TrRoad_act!X22=0,0,X46/TrRoad_act!X22*1000)</f>
        <v>203.29598784727733</v>
      </c>
      <c r="Y106" s="87">
        <f>IF(TrRoad_act!Y22=0,0,Y46/TrRoad_act!Y22*1000)</f>
        <v>203.30944101765382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0</v>
      </c>
      <c r="C107" s="87">
        <f>IF(TrRoad_act!C23=0,0,C48/TrRoad_act!C23*1000)</f>
        <v>0</v>
      </c>
      <c r="D107" s="87">
        <f>IF(TrRoad_act!D23=0,0,D48/TrRoad_act!D23*1000)</f>
        <v>0</v>
      </c>
      <c r="E107" s="87">
        <f>IF(TrRoad_act!E23=0,0,E48/TrRoad_act!E23*1000)</f>
        <v>0</v>
      </c>
      <c r="F107" s="87">
        <f>IF(TrRoad_act!F23=0,0,F48/TrRoad_act!F23*1000)</f>
        <v>0</v>
      </c>
      <c r="G107" s="87">
        <f>IF(TrRoad_act!G23=0,0,G48/TrRoad_act!G23*1000)</f>
        <v>0</v>
      </c>
      <c r="H107" s="87">
        <f>IF(TrRoad_act!H23=0,0,H48/TrRoad_act!H23*1000)</f>
        <v>424.99670008903144</v>
      </c>
      <c r="I107" s="87">
        <f>IF(TrRoad_act!I23=0,0,I48/TrRoad_act!I23*1000)</f>
        <v>421.15682606108169</v>
      </c>
      <c r="J107" s="87">
        <f>IF(TrRoad_act!J23=0,0,J48/TrRoad_act!J23*1000)</f>
        <v>403.53158237848527</v>
      </c>
      <c r="K107" s="87">
        <f>IF(TrRoad_act!K23=0,0,K48/TrRoad_act!K23*1000)</f>
        <v>396.68569875165497</v>
      </c>
      <c r="L107" s="87">
        <f>IF(TrRoad_act!L23=0,0,L48/TrRoad_act!L23*1000)</f>
        <v>383.63256785981702</v>
      </c>
      <c r="M107" s="87">
        <f>IF(TrRoad_act!M23=0,0,M48/TrRoad_act!M23*1000)</f>
        <v>376.70700476517055</v>
      </c>
      <c r="N107" s="87">
        <f>IF(TrRoad_act!N23=0,0,N48/TrRoad_act!N23*1000)</f>
        <v>372.18726043853661</v>
      </c>
      <c r="O107" s="87">
        <f>IF(TrRoad_act!O23=0,0,O48/TrRoad_act!O23*1000)</f>
        <v>371.50349765055569</v>
      </c>
      <c r="P107" s="87">
        <f>IF(TrRoad_act!P23=0,0,P48/TrRoad_act!P23*1000)</f>
        <v>364.74403321752231</v>
      </c>
      <c r="Q107" s="87">
        <f>IF(TrRoad_act!Q23=0,0,Q48/TrRoad_act!Q23*1000)</f>
        <v>360.70281709508907</v>
      </c>
      <c r="R107" s="87">
        <f>IF(TrRoad_act!R23=0,0,R48/TrRoad_act!R23*1000)</f>
        <v>363.38880321677118</v>
      </c>
      <c r="S107" s="87">
        <f>IF(TrRoad_act!S23=0,0,S48/TrRoad_act!S23*1000)</f>
        <v>362.31405536994868</v>
      </c>
      <c r="T107" s="87">
        <f>IF(TrRoad_act!T23=0,0,T48/TrRoad_act!T23*1000)</f>
        <v>360.27540966281737</v>
      </c>
      <c r="U107" s="87">
        <f>IF(TrRoad_act!U23=0,0,U48/TrRoad_act!U23*1000)</f>
        <v>355.38894233886839</v>
      </c>
      <c r="V107" s="87">
        <f>IF(TrRoad_act!V23=0,0,V48/TrRoad_act!V23*1000)</f>
        <v>356.75039425964832</v>
      </c>
      <c r="W107" s="87">
        <f>IF(TrRoad_act!W23=0,0,W48/TrRoad_act!W23*1000)</f>
        <v>366.51963193166893</v>
      </c>
      <c r="X107" s="87">
        <f>IF(TrRoad_act!X23=0,0,X48/TrRoad_act!X23*1000)</f>
        <v>366.17580328717378</v>
      </c>
      <c r="Y107" s="87">
        <f>IF(TrRoad_act!Y23=0,0,Y48/TrRoad_act!Y23*1000)</f>
        <v>355.63575122411402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0</v>
      </c>
      <c r="F108" s="87">
        <f>IF(TrRoad_act!F24=0,0,F49/TrRoad_act!F24*1000)</f>
        <v>0</v>
      </c>
      <c r="G108" s="87">
        <f>IF(TrRoad_act!G24=0,0,G49/TrRoad_act!G24*1000)</f>
        <v>0</v>
      </c>
      <c r="H108" s="87">
        <f>IF(TrRoad_act!H24=0,0,H49/TrRoad_act!H24*1000)</f>
        <v>294.56108923724707</v>
      </c>
      <c r="I108" s="87">
        <f>IF(TrRoad_act!I24=0,0,I49/TrRoad_act!I24*1000)</f>
        <v>296.56268101241284</v>
      </c>
      <c r="J108" s="87">
        <f>IF(TrRoad_act!J24=0,0,J49/TrRoad_act!J24*1000)</f>
        <v>293.63777709937369</v>
      </c>
      <c r="K108" s="87">
        <f>IF(TrRoad_act!K24=0,0,K49/TrRoad_act!K24*1000)</f>
        <v>289.82768559360227</v>
      </c>
      <c r="L108" s="87">
        <f>IF(TrRoad_act!L24=0,0,L49/TrRoad_act!L24*1000)</f>
        <v>286.23328453013852</v>
      </c>
      <c r="M108" s="87">
        <f>IF(TrRoad_act!M24=0,0,M49/TrRoad_act!M24*1000)</f>
        <v>281.76793693679821</v>
      </c>
      <c r="N108" s="87">
        <f>IF(TrRoad_act!N24=0,0,N49/TrRoad_act!N24*1000)</f>
        <v>277.23721185953991</v>
      </c>
      <c r="O108" s="87">
        <f>IF(TrRoad_act!O24=0,0,O49/TrRoad_act!O24*1000)</f>
        <v>273.5371118066434</v>
      </c>
      <c r="P108" s="87">
        <f>IF(TrRoad_act!P24=0,0,P49/TrRoad_act!P24*1000)</f>
        <v>272.64402137028736</v>
      </c>
      <c r="Q108" s="87">
        <f>IF(TrRoad_act!Q24=0,0,Q49/TrRoad_act!Q24*1000)</f>
        <v>268.77645846107947</v>
      </c>
      <c r="R108" s="87">
        <f>IF(TrRoad_act!R24=0,0,R49/TrRoad_act!R24*1000)</f>
        <v>255.09889847343283</v>
      </c>
      <c r="S108" s="87">
        <f>IF(TrRoad_act!S24=0,0,S49/TrRoad_act!S24*1000)</f>
        <v>255.11296413330442</v>
      </c>
      <c r="T108" s="87">
        <f>IF(TrRoad_act!T24=0,0,T49/TrRoad_act!T24*1000)</f>
        <v>251.01502394656654</v>
      </c>
      <c r="U108" s="87">
        <f>IF(TrRoad_act!U24=0,0,U49/TrRoad_act!U24*1000)</f>
        <v>250.64692054011252</v>
      </c>
      <c r="V108" s="87">
        <f>IF(TrRoad_act!V24=0,0,V49/TrRoad_act!V24*1000)</f>
        <v>246.33532523725935</v>
      </c>
      <c r="W108" s="87">
        <f>IF(TrRoad_act!W24=0,0,W49/TrRoad_act!W24*1000)</f>
        <v>247.95502921040577</v>
      </c>
      <c r="X108" s="87">
        <f>IF(TrRoad_act!X24=0,0,X49/TrRoad_act!X24*1000)</f>
        <v>247.35328753059289</v>
      </c>
      <c r="Y108" s="87">
        <f>IF(TrRoad_act!Y24=0,0,Y49/TrRoad_act!Y24*1000)</f>
        <v>244.23477564291679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54.87007665319652</v>
      </c>
      <c r="C109" s="87">
        <f>IF(TrRoad_act!C25=0,0,C51/TrRoad_act!C25*1000)</f>
        <v>54.558507471934476</v>
      </c>
      <c r="D109" s="87">
        <f>IF(TrRoad_act!D25=0,0,D51/TrRoad_act!D25*1000)</f>
        <v>54.575173488989506</v>
      </c>
      <c r="E109" s="87">
        <f>IF(TrRoad_act!E25=0,0,E51/TrRoad_act!E25*1000)</f>
        <v>54.578000666971469</v>
      </c>
      <c r="F109" s="87">
        <f>IF(TrRoad_act!F25=0,0,F51/TrRoad_act!F25*1000)</f>
        <v>54.544970149054343</v>
      </c>
      <c r="G109" s="87">
        <f>IF(TrRoad_act!G25=0,0,G51/TrRoad_act!G25*1000)</f>
        <v>54.548717042163325</v>
      </c>
      <c r="H109" s="87">
        <f>IF(TrRoad_act!H25=0,0,H51/TrRoad_act!H25*1000)</f>
        <v>54.121971570274582</v>
      </c>
      <c r="I109" s="87">
        <f>IF(TrRoad_act!I25=0,0,I51/TrRoad_act!I25*1000)</f>
        <v>53.696329891691548</v>
      </c>
      <c r="J109" s="87">
        <f>IF(TrRoad_act!J25=0,0,J51/TrRoad_act!J25*1000)</f>
        <v>53.020445001735958</v>
      </c>
      <c r="K109" s="87">
        <f>IF(TrRoad_act!K25=0,0,K51/TrRoad_act!K25*1000)</f>
        <v>51.971951241542591</v>
      </c>
      <c r="L109" s="87">
        <f>IF(TrRoad_act!L25=0,0,L51/TrRoad_act!L25*1000)</f>
        <v>50.138658018696901</v>
      </c>
      <c r="M109" s="87">
        <f>IF(TrRoad_act!M25=0,0,M51/TrRoad_act!M25*1000)</f>
        <v>49.030853722901561</v>
      </c>
      <c r="N109" s="87">
        <f>IF(TrRoad_act!N25=0,0,N51/TrRoad_act!N25*1000)</f>
        <v>48.200354790338942</v>
      </c>
      <c r="O109" s="87">
        <f>IF(TrRoad_act!O25=0,0,O51/TrRoad_act!O25*1000)</f>
        <v>47.945574177280164</v>
      </c>
      <c r="P109" s="87">
        <f>IF(TrRoad_act!P25=0,0,P51/TrRoad_act!P25*1000)</f>
        <v>48.452495880133768</v>
      </c>
      <c r="Q109" s="87">
        <f>IF(TrRoad_act!Q25=0,0,Q51/TrRoad_act!Q25*1000)</f>
        <v>51.81147190633893</v>
      </c>
      <c r="R109" s="87">
        <f>IF(TrRoad_act!R25=0,0,R51/TrRoad_act!R25*1000)</f>
        <v>57.298088122536164</v>
      </c>
      <c r="S109" s="87">
        <f>IF(TrRoad_act!S25=0,0,S51/TrRoad_act!S25*1000)</f>
        <v>56.004572514919488</v>
      </c>
      <c r="T109" s="87">
        <f>IF(TrRoad_act!T25=0,0,T51/TrRoad_act!T25*1000)</f>
        <v>57.393979281910561</v>
      </c>
      <c r="U109" s="87">
        <f>IF(TrRoad_act!U25=0,0,U51/TrRoad_act!U25*1000)</f>
        <v>64.014334089533946</v>
      </c>
      <c r="V109" s="87">
        <f>IF(TrRoad_act!V25=0,0,V51/TrRoad_act!V25*1000)</f>
        <v>73.528097226406473</v>
      </c>
      <c r="W109" s="87">
        <f>IF(TrRoad_act!W25=0,0,W51/TrRoad_act!W25*1000)</f>
        <v>81.084598456865905</v>
      </c>
      <c r="X109" s="87">
        <f>IF(TrRoad_act!X25=0,0,X51/TrRoad_act!X25*1000)</f>
        <v>82.262776398790805</v>
      </c>
      <c r="Y109" s="87">
        <f>IF(TrRoad_act!Y25=0,0,Y51/TrRoad_act!Y25*1000)</f>
        <v>83.250671457485836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40.112211316500947</v>
      </c>
      <c r="C110" s="116">
        <f>IF(TrRoad_act!C26=0,0,C52/TrRoad_act!C26*1000)</f>
        <v>35.972740610559178</v>
      </c>
      <c r="D110" s="116">
        <f>IF(TrRoad_act!D26=0,0,D52/TrRoad_act!D26*1000)</f>
        <v>34.436529707963977</v>
      </c>
      <c r="E110" s="116">
        <f>IF(TrRoad_act!E26=0,0,E52/TrRoad_act!E26*1000)</f>
        <v>30.790451891234866</v>
      </c>
      <c r="F110" s="116">
        <f>IF(TrRoad_act!F26=0,0,F52/TrRoad_act!F26*1000)</f>
        <v>28.690227264121617</v>
      </c>
      <c r="G110" s="116">
        <f>IF(TrRoad_act!G26=0,0,G52/TrRoad_act!G26*1000)</f>
        <v>26.898055813098424</v>
      </c>
      <c r="H110" s="116">
        <f>IF(TrRoad_act!H26=0,0,H52/TrRoad_act!H26*1000)</f>
        <v>30.224547852575977</v>
      </c>
      <c r="I110" s="116">
        <f>IF(TrRoad_act!I26=0,0,I52/TrRoad_act!I26*1000)</f>
        <v>28.641385443851792</v>
      </c>
      <c r="J110" s="116">
        <f>IF(TrRoad_act!J26=0,0,J52/TrRoad_act!J26*1000)</f>
        <v>27.706089821393746</v>
      </c>
      <c r="K110" s="116">
        <f>IF(TrRoad_act!K26=0,0,K52/TrRoad_act!K26*1000)</f>
        <v>28.253168946183084</v>
      </c>
      <c r="L110" s="116">
        <f>IF(TrRoad_act!L26=0,0,L52/TrRoad_act!L26*1000)</f>
        <v>30.106417677968526</v>
      </c>
      <c r="M110" s="116">
        <f>IF(TrRoad_act!M26=0,0,M52/TrRoad_act!M26*1000)</f>
        <v>28.684978467254442</v>
      </c>
      <c r="N110" s="116">
        <f>IF(TrRoad_act!N26=0,0,N52/TrRoad_act!N26*1000)</f>
        <v>31.206413124703584</v>
      </c>
      <c r="O110" s="116">
        <f>IF(TrRoad_act!O26=0,0,O52/TrRoad_act!O26*1000)</f>
        <v>30.124414647698206</v>
      </c>
      <c r="P110" s="116">
        <f>IF(TrRoad_act!P26=0,0,P52/TrRoad_act!P26*1000)</f>
        <v>30.432197770158396</v>
      </c>
      <c r="Q110" s="116">
        <f>IF(TrRoad_act!Q26=0,0,Q52/TrRoad_act!Q26*1000)</f>
        <v>26.517722825289212</v>
      </c>
      <c r="R110" s="116">
        <f>IF(TrRoad_act!R26=0,0,R52/TrRoad_act!R26*1000)</f>
        <v>26.263588493324423</v>
      </c>
      <c r="S110" s="116">
        <f>IF(TrRoad_act!S26=0,0,S52/TrRoad_act!S26*1000)</f>
        <v>26.918138220419483</v>
      </c>
      <c r="T110" s="116">
        <f>IF(TrRoad_act!T26=0,0,T52/TrRoad_act!T26*1000)</f>
        <v>28.32850570441018</v>
      </c>
      <c r="U110" s="116">
        <f>IF(TrRoad_act!U26=0,0,U52/TrRoad_act!U26*1000)</f>
        <v>27.043525899734046</v>
      </c>
      <c r="V110" s="116">
        <f>IF(TrRoad_act!V26=0,0,V52/TrRoad_act!V26*1000)</f>
        <v>28.593723853295614</v>
      </c>
      <c r="W110" s="116">
        <f>IF(TrRoad_act!W26=0,0,W52/TrRoad_act!W26*1000)</f>
        <v>25.073433494483471</v>
      </c>
      <c r="X110" s="116">
        <f>IF(TrRoad_act!X26=0,0,X52/TrRoad_act!X26*1000)</f>
        <v>23.876962278313751</v>
      </c>
      <c r="Y110" s="116">
        <f>IF(TrRoad_act!Y26=0,0,Y52/TrRoad_act!Y26*1000)</f>
        <v>21.502230275940928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39.815718272895325</v>
      </c>
      <c r="C111" s="101">
        <f>IF(TrRoad_act!C27=0,0,C53/TrRoad_act!C27*1000)</f>
        <v>38.40491079673378</v>
      </c>
      <c r="D111" s="101">
        <f>IF(TrRoad_act!D27=0,0,D53/TrRoad_act!D27*1000)</f>
        <v>37.350675591271134</v>
      </c>
      <c r="E111" s="101">
        <f>IF(TrRoad_act!E27=0,0,E53/TrRoad_act!E27*1000)</f>
        <v>35.771351053462588</v>
      </c>
      <c r="F111" s="101">
        <f>IF(TrRoad_act!F27=0,0,F53/TrRoad_act!F27*1000)</f>
        <v>35.124509191270249</v>
      </c>
      <c r="G111" s="101">
        <f>IF(TrRoad_act!G27=0,0,G53/TrRoad_act!G27*1000)</f>
        <v>33.933521175881644</v>
      </c>
      <c r="H111" s="101">
        <f>IF(TrRoad_act!H27=0,0,H53/TrRoad_act!H27*1000)</f>
        <v>34.222192271971181</v>
      </c>
      <c r="I111" s="101">
        <f>IF(TrRoad_act!I27=0,0,I53/TrRoad_act!I27*1000)</f>
        <v>33.734054491865372</v>
      </c>
      <c r="J111" s="101">
        <f>IF(TrRoad_act!J27=0,0,J53/TrRoad_act!J27*1000)</f>
        <v>33.747433846007297</v>
      </c>
      <c r="K111" s="101">
        <f>IF(TrRoad_act!K27=0,0,K53/TrRoad_act!K27*1000)</f>
        <v>34.055223893431062</v>
      </c>
      <c r="L111" s="101">
        <f>IF(TrRoad_act!L27=0,0,L53/TrRoad_act!L27*1000)</f>
        <v>33.953541871766916</v>
      </c>
      <c r="M111" s="101">
        <f>IF(TrRoad_act!M27=0,0,M53/TrRoad_act!M27*1000)</f>
        <v>33.37822714696545</v>
      </c>
      <c r="N111" s="101">
        <f>IF(TrRoad_act!N27=0,0,N53/TrRoad_act!N27*1000)</f>
        <v>34.054243905179099</v>
      </c>
      <c r="O111" s="101">
        <f>IF(TrRoad_act!O27=0,0,O53/TrRoad_act!O27*1000)</f>
        <v>33.588926494596734</v>
      </c>
      <c r="P111" s="101">
        <f>IF(TrRoad_act!P27=0,0,P53/TrRoad_act!P27*1000)</f>
        <v>33.586057056069428</v>
      </c>
      <c r="Q111" s="101">
        <f>IF(TrRoad_act!Q27=0,0,Q53/TrRoad_act!Q27*1000)</f>
        <v>32.485573731395093</v>
      </c>
      <c r="R111" s="101">
        <f>IF(TrRoad_act!R27=0,0,R53/TrRoad_act!R27*1000)</f>
        <v>32.223390941102494</v>
      </c>
      <c r="S111" s="101">
        <f>IF(TrRoad_act!S27=0,0,S53/TrRoad_act!S27*1000)</f>
        <v>32.157665086577104</v>
      </c>
      <c r="T111" s="101">
        <f>IF(TrRoad_act!T27=0,0,T53/TrRoad_act!T27*1000)</f>
        <v>31.980237076741844</v>
      </c>
      <c r="U111" s="101">
        <f>IF(TrRoad_act!U27=0,0,U53/TrRoad_act!U27*1000)</f>
        <v>31.440123477591829</v>
      </c>
      <c r="V111" s="101">
        <f>IF(TrRoad_act!V27=0,0,V53/TrRoad_act!V27*1000)</f>
        <v>31.469934661868198</v>
      </c>
      <c r="W111" s="101">
        <f>IF(TrRoad_act!W27=0,0,W53/TrRoad_act!W27*1000)</f>
        <v>30.426651316415661</v>
      </c>
      <c r="X111" s="101">
        <f>IF(TrRoad_act!X27=0,0,X53/TrRoad_act!X27*1000)</f>
        <v>29.798980534947326</v>
      </c>
      <c r="Y111" s="101">
        <f>IF(TrRoad_act!Y27=0,0,Y53/TrRoad_act!Y27*1000)</f>
        <v>29.345824621571161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40.810885537799088</v>
      </c>
      <c r="C112" s="88">
        <f>IF(TrRoad_act!C28=0,0,C55/TrRoad_act!C28*1000)</f>
        <v>30.539928235927952</v>
      </c>
      <c r="D112" s="88">
        <f>IF(TrRoad_act!D28=0,0,D55/TrRoad_act!D28*1000)</f>
        <v>28.410762421416827</v>
      </c>
      <c r="E112" s="88">
        <f>IF(TrRoad_act!E28=0,0,E55/TrRoad_act!E28*1000)</f>
        <v>20.576461084990409</v>
      </c>
      <c r="F112" s="88">
        <f>IF(TrRoad_act!F28=0,0,F55/TrRoad_act!F28*1000)</f>
        <v>17.067364664982634</v>
      </c>
      <c r="G112" s="88">
        <f>IF(TrRoad_act!G28=0,0,G55/TrRoad_act!G28*1000)</f>
        <v>14.345440720214283</v>
      </c>
      <c r="H112" s="88">
        <f>IF(TrRoad_act!H28=0,0,H55/TrRoad_act!H28*1000)</f>
        <v>23.201272070854166</v>
      </c>
      <c r="I112" s="88">
        <f>IF(TrRoad_act!I28=0,0,I55/TrRoad_act!I28*1000)</f>
        <v>19.865791454767667</v>
      </c>
      <c r="J112" s="88">
        <f>IF(TrRoad_act!J28=0,0,J55/TrRoad_act!J28*1000)</f>
        <v>17.423945913270167</v>
      </c>
      <c r="K112" s="88">
        <f>IF(TrRoad_act!K28=0,0,K55/TrRoad_act!K28*1000)</f>
        <v>18.056103716969758</v>
      </c>
      <c r="L112" s="88">
        <f>IF(TrRoad_act!L28=0,0,L55/TrRoad_act!L28*1000)</f>
        <v>23.735728275764959</v>
      </c>
      <c r="M112" s="88">
        <f>IF(TrRoad_act!M28=0,0,M55/TrRoad_act!M28*1000)</f>
        <v>20.530962851392527</v>
      </c>
      <c r="N112" s="88">
        <f>IF(TrRoad_act!N28=0,0,N55/TrRoad_act!N28*1000)</f>
        <v>26.492471882979057</v>
      </c>
      <c r="O112" s="88">
        <f>IF(TrRoad_act!O28=0,0,O55/TrRoad_act!O28*1000)</f>
        <v>24.560684718089814</v>
      </c>
      <c r="P112" s="88">
        <f>IF(TrRoad_act!P28=0,0,P55/TrRoad_act!P28*1000)</f>
        <v>25.370062416556681</v>
      </c>
      <c r="Q112" s="88">
        <f>IF(TrRoad_act!Q28=0,0,Q55/TrRoad_act!Q28*1000)</f>
        <v>16.67215853918108</v>
      </c>
      <c r="R112" s="88">
        <f>IF(TrRoad_act!R28=0,0,R55/TrRoad_act!R28*1000)</f>
        <v>17.038398495893329</v>
      </c>
      <c r="S112" s="88">
        <f>IF(TrRoad_act!S28=0,0,S55/TrRoad_act!S28*1000)</f>
        <v>19.47956863441075</v>
      </c>
      <c r="T112" s="88">
        <f>IF(TrRoad_act!T28=0,0,T55/TrRoad_act!T28*1000)</f>
        <v>22.800442607157894</v>
      </c>
      <c r="U112" s="88">
        <f>IF(TrRoad_act!U28=0,0,U55/TrRoad_act!U28*1000)</f>
        <v>20.873009191190327</v>
      </c>
      <c r="V112" s="88">
        <f>IF(TrRoad_act!V28=0,0,V55/TrRoad_act!V28*1000)</f>
        <v>24.64245083060505</v>
      </c>
      <c r="W112" s="88">
        <f>IF(TrRoad_act!W28=0,0,W55/TrRoad_act!W28*1000)</f>
        <v>18.076267548326395</v>
      </c>
      <c r="X112" s="88">
        <f>IF(TrRoad_act!X28=0,0,X55/TrRoad_act!X28*1000)</f>
        <v>16.226544463827103</v>
      </c>
      <c r="Y112" s="88">
        <f>IF(TrRoad_act!Y28=0,0,Y55/TrRoad_act!Y28*1000)</f>
        <v>11.736736397222879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139.60891944908676</v>
      </c>
      <c r="C116" s="152">
        <f>IF(C19=0,0,1000000*C19/TrRoad_act!C59)</f>
        <v>133.65313646571846</v>
      </c>
      <c r="D116" s="152">
        <f>IF(D19=0,0,1000000*D19/TrRoad_act!D59)</f>
        <v>133.31901506252876</v>
      </c>
      <c r="E116" s="152">
        <f>IF(E19=0,0,1000000*E19/TrRoad_act!E59)</f>
        <v>126.83739879343038</v>
      </c>
      <c r="F116" s="152">
        <f>IF(F19=0,0,1000000*F19/TrRoad_act!F59)</f>
        <v>127.45349678636983</v>
      </c>
      <c r="G116" s="152">
        <f>IF(G19=0,0,1000000*G19/TrRoad_act!G59)</f>
        <v>125.08152489346145</v>
      </c>
      <c r="H116" s="152">
        <f>IF(H19=0,0,1000000*H19/TrRoad_act!H59)</f>
        <v>124.44925092853396</v>
      </c>
      <c r="I116" s="152">
        <f>IF(I19=0,0,1000000*I19/TrRoad_act!I59)</f>
        <v>109.89685437723861</v>
      </c>
      <c r="J116" s="152">
        <f>IF(J19=0,0,1000000*J19/TrRoad_act!J59)</f>
        <v>114.95975456519078</v>
      </c>
      <c r="K116" s="152">
        <f>IF(K19=0,0,1000000*K19/TrRoad_act!K59)</f>
        <v>112.94909198301325</v>
      </c>
      <c r="L116" s="152">
        <f>IF(L19=0,0,1000000*L19/TrRoad_act!L59)</f>
        <v>109.93663650574402</v>
      </c>
      <c r="M116" s="152">
        <f>IF(M19=0,0,1000000*M19/TrRoad_act!M59)</f>
        <v>111.45318885686709</v>
      </c>
      <c r="N116" s="152">
        <f>IF(N19=0,0,1000000*N19/TrRoad_act!N59)</f>
        <v>108.07760859473218</v>
      </c>
      <c r="O116" s="152">
        <f>IF(O19=0,0,1000000*O19/TrRoad_act!O59)</f>
        <v>108.24386261541709</v>
      </c>
      <c r="P116" s="152">
        <f>IF(P19=0,0,1000000*P19/TrRoad_act!P59)</f>
        <v>106.52822011128698</v>
      </c>
      <c r="Q116" s="152">
        <f>IF(Q19=0,0,1000000*Q19/TrRoad_act!Q59)</f>
        <v>107.22168016985162</v>
      </c>
      <c r="R116" s="152">
        <f>IF(R19=0,0,1000000*R19/TrRoad_act!R59)</f>
        <v>106.72739033098445</v>
      </c>
      <c r="S116" s="152">
        <f>IF(S19=0,0,1000000*S19/TrRoad_act!S59)</f>
        <v>98.457270145689904</v>
      </c>
      <c r="T116" s="152">
        <f>IF(T19=0,0,1000000*T19/TrRoad_act!T59)</f>
        <v>91.236254997678714</v>
      </c>
      <c r="U116" s="152">
        <f>IF(U19=0,0,1000000*U19/TrRoad_act!U59)</f>
        <v>96.241229782798413</v>
      </c>
      <c r="V116" s="152">
        <f>IF(V19=0,0,1000000*V19/TrRoad_act!V59)</f>
        <v>81.351881820547533</v>
      </c>
      <c r="W116" s="152">
        <f>IF(W19=0,0,1000000*W19/TrRoad_act!W59)</f>
        <v>84.364891866457555</v>
      </c>
      <c r="X116" s="152">
        <f>IF(X19=0,0,1000000*X19/TrRoad_act!X59)</f>
        <v>82.321468146683046</v>
      </c>
      <c r="Y116" s="152">
        <f>IF(Y19=0,0,1000000*Y19/TrRoad_act!Y59)</f>
        <v>86.295114330178038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968.60003616053939</v>
      </c>
      <c r="C117" s="116">
        <f>IF(C21=0,0,1000000*C21/TrRoad_act!C60)</f>
        <v>954.83178794403602</v>
      </c>
      <c r="D117" s="116">
        <f>IF(D21=0,0,1000000*D21/TrRoad_act!D60)</f>
        <v>946.09104582586235</v>
      </c>
      <c r="E117" s="116">
        <f>IF(E21=0,0,1000000*E21/TrRoad_act!E60)</f>
        <v>912.50137851668467</v>
      </c>
      <c r="F117" s="116">
        <f>IF(F21=0,0,1000000*F21/TrRoad_act!F60)</f>
        <v>916.53670556000395</v>
      </c>
      <c r="G117" s="116">
        <f>IF(G21=0,0,1000000*G21/TrRoad_act!G60)</f>
        <v>871.91949566793153</v>
      </c>
      <c r="H117" s="116">
        <f>IF(H21=0,0,1000000*H21/TrRoad_act!H60)</f>
        <v>840.24211532007678</v>
      </c>
      <c r="I117" s="116">
        <f>IF(I21=0,0,1000000*I21/TrRoad_act!I60)</f>
        <v>816.10350916573532</v>
      </c>
      <c r="J117" s="116">
        <f>IF(J21=0,0,1000000*J21/TrRoad_act!J60)</f>
        <v>806.37175418781044</v>
      </c>
      <c r="K117" s="116">
        <f>IF(K21=0,0,1000000*K21/TrRoad_act!K60)</f>
        <v>799.07243069901108</v>
      </c>
      <c r="L117" s="116">
        <f>IF(L21=0,0,1000000*L21/TrRoad_act!L60)</f>
        <v>771.81582243027685</v>
      </c>
      <c r="M117" s="116">
        <f>IF(M21=0,0,1000000*M21/TrRoad_act!M60)</f>
        <v>774.73248498217811</v>
      </c>
      <c r="N117" s="116">
        <f>IF(N21=0,0,1000000*N21/TrRoad_act!N60)</f>
        <v>739.40287268614941</v>
      </c>
      <c r="O117" s="116">
        <f>IF(O21=0,0,1000000*O21/TrRoad_act!O60)</f>
        <v>754.43480603061346</v>
      </c>
      <c r="P117" s="116">
        <f>IF(P21=0,0,1000000*P21/TrRoad_act!P60)</f>
        <v>757.17075370660143</v>
      </c>
      <c r="Q117" s="116">
        <f>IF(Q21=0,0,1000000*Q21/TrRoad_act!Q60)</f>
        <v>762.18199118353209</v>
      </c>
      <c r="R117" s="116">
        <f>IF(R21=0,0,1000000*R21/TrRoad_act!R60)</f>
        <v>766.60803991800333</v>
      </c>
      <c r="S117" s="116">
        <f>IF(S21=0,0,1000000*S21/TrRoad_act!S60)</f>
        <v>758.2797792419625</v>
      </c>
      <c r="T117" s="116">
        <f>IF(T21=0,0,1000000*T21/TrRoad_act!T60)</f>
        <v>701.86223205581791</v>
      </c>
      <c r="U117" s="116">
        <f>IF(U21=0,0,1000000*U21/TrRoad_act!U60)</f>
        <v>705.00566220667417</v>
      </c>
      <c r="V117" s="116">
        <f>IF(V21=0,0,1000000*V21/TrRoad_act!V60)</f>
        <v>602.6237015498549</v>
      </c>
      <c r="W117" s="116">
        <f>IF(W21=0,0,1000000*W21/TrRoad_act!W60)</f>
        <v>596.20602863543343</v>
      </c>
      <c r="X117" s="116">
        <f>IF(X21=0,0,1000000*X21/TrRoad_act!X60)</f>
        <v>615.91081770611481</v>
      </c>
      <c r="Y117" s="116">
        <f>IF(Y21=0,0,1000000*Y21/TrRoad_act!Y60)</f>
        <v>611.44770668354056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882.92145005946998</v>
      </c>
      <c r="C118" s="87">
        <f>IF(C22=0,0,1000000*C22/TrRoad_act!C61)</f>
        <v>861.34789996421364</v>
      </c>
      <c r="D118" s="87">
        <f>IF(D22=0,0,1000000*D22/TrRoad_act!D61)</f>
        <v>843.90915219779743</v>
      </c>
      <c r="E118" s="87">
        <f>IF(E22=0,0,1000000*E22/TrRoad_act!E61)</f>
        <v>790.35039491959594</v>
      </c>
      <c r="F118" s="87">
        <f>IF(F22=0,0,1000000*F22/TrRoad_act!F61)</f>
        <v>777.33277316288195</v>
      </c>
      <c r="G118" s="87">
        <f>IF(G22=0,0,1000000*G22/TrRoad_act!G61)</f>
        <v>732.03730863585383</v>
      </c>
      <c r="H118" s="87">
        <f>IF(H22=0,0,1000000*H22/TrRoad_act!H61)</f>
        <v>709.89016011033561</v>
      </c>
      <c r="I118" s="87">
        <f>IF(I22=0,0,1000000*I22/TrRoad_act!I61)</f>
        <v>678.06098660649889</v>
      </c>
      <c r="J118" s="87">
        <f>IF(J22=0,0,1000000*J22/TrRoad_act!J61)</f>
        <v>669.90124310314707</v>
      </c>
      <c r="K118" s="87">
        <f>IF(K22=0,0,1000000*K22/TrRoad_act!K61)</f>
        <v>646.81426514785585</v>
      </c>
      <c r="L118" s="87">
        <f>IF(L22=0,0,1000000*L22/TrRoad_act!L61)</f>
        <v>623.6775006189547</v>
      </c>
      <c r="M118" s="87">
        <f>IF(M22=0,0,1000000*M22/TrRoad_act!M61)</f>
        <v>622.61939014364498</v>
      </c>
      <c r="N118" s="87">
        <f>IF(N22=0,0,1000000*N22/TrRoad_act!N61)</f>
        <v>589.92410358783604</v>
      </c>
      <c r="O118" s="87">
        <f>IF(O22=0,0,1000000*O22/TrRoad_act!O61)</f>
        <v>592.66462871463045</v>
      </c>
      <c r="P118" s="87">
        <f>IF(P22=0,0,1000000*P22/TrRoad_act!P61)</f>
        <v>598.22607276669089</v>
      </c>
      <c r="Q118" s="87">
        <f>IF(Q22=0,0,1000000*Q22/TrRoad_act!Q61)</f>
        <v>571.55089563855734</v>
      </c>
      <c r="R118" s="87">
        <f>IF(R22=0,0,1000000*R22/TrRoad_act!R61)</f>
        <v>568.16262508308932</v>
      </c>
      <c r="S118" s="87">
        <f>IF(S22=0,0,1000000*S22/TrRoad_act!S61)</f>
        <v>566.1084524582235</v>
      </c>
      <c r="T118" s="87">
        <f>IF(T22=0,0,1000000*T22/TrRoad_act!T61)</f>
        <v>530.74936172991306</v>
      </c>
      <c r="U118" s="87">
        <f>IF(U22=0,0,1000000*U22/TrRoad_act!U61)</f>
        <v>525.26868124229782</v>
      </c>
      <c r="V118" s="87">
        <f>IF(V22=0,0,1000000*V22/TrRoad_act!V61)</f>
        <v>470.9409474844262</v>
      </c>
      <c r="W118" s="87">
        <f>IF(W22=0,0,1000000*W22/TrRoad_act!W61)</f>
        <v>469.75954688938612</v>
      </c>
      <c r="X118" s="87">
        <f>IF(X22=0,0,1000000*X22/TrRoad_act!X61)</f>
        <v>488.88363626074835</v>
      </c>
      <c r="Y118" s="87">
        <f>IF(Y22=0,0,1000000*Y22/TrRoad_act!Y61)</f>
        <v>486.3668690071874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1470.4468464758161</v>
      </c>
      <c r="C119" s="87">
        <f>IF(C24=0,0,1000000*C24/TrRoad_act!C62)</f>
        <v>1453.8120148850344</v>
      </c>
      <c r="D119" s="87">
        <f>IF(D24=0,0,1000000*D24/TrRoad_act!D62)</f>
        <v>1441.2338838557823</v>
      </c>
      <c r="E119" s="87">
        <f>IF(E24=0,0,1000000*E24/TrRoad_act!E62)</f>
        <v>1451.3620149469523</v>
      </c>
      <c r="F119" s="87">
        <f>IF(F24=0,0,1000000*F24/TrRoad_act!F62)</f>
        <v>1470.5951016838485</v>
      </c>
      <c r="G119" s="87">
        <f>IF(G24=0,0,1000000*G24/TrRoad_act!G62)</f>
        <v>1364.8783390961385</v>
      </c>
      <c r="H119" s="87">
        <f>IF(H24=0,0,1000000*H24/TrRoad_act!H62)</f>
        <v>1263.3530222406721</v>
      </c>
      <c r="I119" s="87">
        <f>IF(I24=0,0,1000000*I24/TrRoad_act!I62)</f>
        <v>1240.8751459599421</v>
      </c>
      <c r="J119" s="87">
        <f>IF(J24=0,0,1000000*J24/TrRoad_act!J62)</f>
        <v>1193.4029043128517</v>
      </c>
      <c r="K119" s="87">
        <f>IF(K24=0,0,1000000*K24/TrRoad_act!K62)</f>
        <v>1194.3620936969423</v>
      </c>
      <c r="L119" s="87">
        <f>IF(L24=0,0,1000000*L24/TrRoad_act!L62)</f>
        <v>1144.6958919814783</v>
      </c>
      <c r="M119" s="87">
        <f>IF(M24=0,0,1000000*M24/TrRoad_act!M62)</f>
        <v>1139.3457750891903</v>
      </c>
      <c r="N119" s="87">
        <f>IF(N24=0,0,1000000*N24/TrRoad_act!N62)</f>
        <v>1076.1815253562447</v>
      </c>
      <c r="O119" s="87">
        <f>IF(O24=0,0,1000000*O24/TrRoad_act!O62)</f>
        <v>1102.4963269305747</v>
      </c>
      <c r="P119" s="87">
        <f>IF(P24=0,0,1000000*P24/TrRoad_act!P62)</f>
        <v>1079.4336665056169</v>
      </c>
      <c r="Q119" s="87">
        <f>IF(Q24=0,0,1000000*Q24/TrRoad_act!Q62)</f>
        <v>1138.557619055216</v>
      </c>
      <c r="R119" s="87">
        <f>IF(R24=0,0,1000000*R24/TrRoad_act!R62)</f>
        <v>1149.9038340575989</v>
      </c>
      <c r="S119" s="87">
        <f>IF(S24=0,0,1000000*S24/TrRoad_act!S62)</f>
        <v>1135.6928146551222</v>
      </c>
      <c r="T119" s="87">
        <f>IF(T24=0,0,1000000*T24/TrRoad_act!T62)</f>
        <v>1040.1844154144389</v>
      </c>
      <c r="U119" s="87">
        <f>IF(U24=0,0,1000000*U24/TrRoad_act!U62)</f>
        <v>1073.2213793911469</v>
      </c>
      <c r="V119" s="87">
        <f>IF(V24=0,0,1000000*V24/TrRoad_act!V62)</f>
        <v>882.55324026085225</v>
      </c>
      <c r="W119" s="87">
        <f>IF(W24=0,0,1000000*W24/TrRoad_act!W62)</f>
        <v>880.95283124721004</v>
      </c>
      <c r="X119" s="87">
        <f>IF(X24=0,0,1000000*X24/TrRoad_act!X62)</f>
        <v>929.0981686457535</v>
      </c>
      <c r="Y119" s="87">
        <f>IF(Y24=0,0,1000000*Y24/TrRoad_act!Y62)</f>
        <v>930.03167227568099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1186.2281456004584</v>
      </c>
      <c r="C120" s="87">
        <f>IF(C26=0,0,1000000*C26/TrRoad_act!C63)</f>
        <v>1188.4947499981945</v>
      </c>
      <c r="D120" s="87">
        <f>IF(D26=0,0,1000000*D26/TrRoad_act!D63)</f>
        <v>1152.7810514298644</v>
      </c>
      <c r="E120" s="87">
        <f>IF(E26=0,0,1000000*E26/TrRoad_act!E63)</f>
        <v>1071.8862322672569</v>
      </c>
      <c r="F120" s="87">
        <f>IF(F26=0,0,1000000*F26/TrRoad_act!F63)</f>
        <v>1115.3941102358567</v>
      </c>
      <c r="G120" s="87">
        <f>IF(G26=0,0,1000000*G26/TrRoad_act!G63)</f>
        <v>1105.0349465202519</v>
      </c>
      <c r="H120" s="87">
        <f>IF(H26=0,0,1000000*H26/TrRoad_act!H63)</f>
        <v>1042.0428558364915</v>
      </c>
      <c r="I120" s="87">
        <f>IF(I26=0,0,1000000*I26/TrRoad_act!I63)</f>
        <v>996.97447039995495</v>
      </c>
      <c r="J120" s="87">
        <f>IF(J26=0,0,1000000*J26/TrRoad_act!J63)</f>
        <v>1400.4522316097439</v>
      </c>
      <c r="K120" s="87">
        <f>IF(K26=0,0,1000000*K26/TrRoad_act!K63)</f>
        <v>1683.519150092885</v>
      </c>
      <c r="L120" s="87">
        <f>IF(L26=0,0,1000000*L26/TrRoad_act!L63)</f>
        <v>1442.3837716768808</v>
      </c>
      <c r="M120" s="87">
        <f>IF(M26=0,0,1000000*M26/TrRoad_act!M63)</f>
        <v>1346.4378646567977</v>
      </c>
      <c r="N120" s="87">
        <f>IF(N26=0,0,1000000*N26/TrRoad_act!N63)</f>
        <v>1233.5662646275371</v>
      </c>
      <c r="O120" s="87">
        <f>IF(O26=0,0,1000000*O26/TrRoad_act!O63)</f>
        <v>1183.7589101427832</v>
      </c>
      <c r="P120" s="87">
        <f>IF(P26=0,0,1000000*P26/TrRoad_act!P63)</f>
        <v>1263.7464664846646</v>
      </c>
      <c r="Q120" s="87">
        <f>IF(Q26=0,0,1000000*Q26/TrRoad_act!Q63)</f>
        <v>1200.8702467669036</v>
      </c>
      <c r="R120" s="87">
        <f>IF(R26=0,0,1000000*R26/TrRoad_act!R63)</f>
        <v>1143.9689190971899</v>
      </c>
      <c r="S120" s="87">
        <f>IF(S26=0,0,1000000*S26/TrRoad_act!S63)</f>
        <v>1121.3783698147633</v>
      </c>
      <c r="T120" s="87">
        <f>IF(T26=0,0,1000000*T26/TrRoad_act!T63)</f>
        <v>1332.1860282570406</v>
      </c>
      <c r="U120" s="87">
        <f>IF(U26=0,0,1000000*U26/TrRoad_act!U63)</f>
        <v>1218.9539010597832</v>
      </c>
      <c r="V120" s="87">
        <f>IF(V26=0,0,1000000*V26/TrRoad_act!V63)</f>
        <v>922.86490043032086</v>
      </c>
      <c r="W120" s="87">
        <f>IF(W26=0,0,1000000*W26/TrRoad_act!W63)</f>
        <v>893.71014720776384</v>
      </c>
      <c r="X120" s="87">
        <f>IF(X26=0,0,1000000*X26/TrRoad_act!X63)</f>
        <v>593.96917918428096</v>
      </c>
      <c r="Y120" s="87">
        <f>IF(Y26=0,0,1000000*Y26/TrRoad_act!Y63)</f>
        <v>784.33940334595218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1529.3432314246381</v>
      </c>
      <c r="H121" s="87">
        <f>IF(H27=0,0,1000000*H27/TrRoad_act!H64)</f>
        <v>1489.0545827961944</v>
      </c>
      <c r="I121" s="87">
        <f>IF(I27=0,0,1000000*I27/TrRoad_act!I64)</f>
        <v>1421.5257636864642</v>
      </c>
      <c r="J121" s="87">
        <f>IF(J27=0,0,1000000*J27/TrRoad_act!J64)</f>
        <v>1346.7294884166267</v>
      </c>
      <c r="K121" s="87">
        <f>IF(K27=0,0,1000000*K27/TrRoad_act!K64)</f>
        <v>1301.4425313050035</v>
      </c>
      <c r="L121" s="87">
        <f>IF(L27=0,0,1000000*L27/TrRoad_act!L64)</f>
        <v>1279.1202675781819</v>
      </c>
      <c r="M121" s="87">
        <f>IF(M27=0,0,1000000*M27/TrRoad_act!M64)</f>
        <v>1297.5772423189726</v>
      </c>
      <c r="N121" s="87">
        <f>IF(N27=0,0,1000000*N27/TrRoad_act!N64)</f>
        <v>1262.8624156285166</v>
      </c>
      <c r="O121" s="87">
        <f>IF(O27=0,0,1000000*O27/TrRoad_act!O64)</f>
        <v>1267.1581620860334</v>
      </c>
      <c r="P121" s="87">
        <f>IF(P27=0,0,1000000*P27/TrRoad_act!P64)</f>
        <v>1252.6519849287315</v>
      </c>
      <c r="Q121" s="87">
        <f>IF(Q27=0,0,1000000*Q27/TrRoad_act!Q64)</f>
        <v>1149.2082631998906</v>
      </c>
      <c r="R121" s="87">
        <f>IF(R27=0,0,1000000*R27/TrRoad_act!R64)</f>
        <v>1179.0645928540571</v>
      </c>
      <c r="S121" s="87">
        <f>IF(S27=0,0,1000000*S27/TrRoad_act!S64)</f>
        <v>1205.0180615730051</v>
      </c>
      <c r="T121" s="87">
        <f>IF(T27=0,0,1000000*T27/TrRoad_act!T64)</f>
        <v>1139.454607452348</v>
      </c>
      <c r="U121" s="87">
        <f>IF(U27=0,0,1000000*U27/TrRoad_act!U64)</f>
        <v>1132.9874820093651</v>
      </c>
      <c r="V121" s="87">
        <f>IF(V27=0,0,1000000*V27/TrRoad_act!V64)</f>
        <v>983.40628221179657</v>
      </c>
      <c r="W121" s="87">
        <f>IF(W27=0,0,1000000*W27/TrRoad_act!W64)</f>
        <v>947.27049082969722</v>
      </c>
      <c r="X121" s="87">
        <f>IF(X27=0,0,1000000*X27/TrRoad_act!X64)</f>
        <v>979.12012859882293</v>
      </c>
      <c r="Y121" s="87">
        <f>IF(Y27=0,0,1000000*Y27/TrRoad_act!Y64)</f>
        <v>962.6010761978489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291.97825595816306</v>
      </c>
      <c r="N122" s="87">
        <f>IF(N29=0,0,1000000*N29/TrRoad_act!N65)</f>
        <v>236.20613805741328</v>
      </c>
      <c r="O122" s="87">
        <f>IF(O29=0,0,1000000*O29/TrRoad_act!O65)</f>
        <v>267.09831343023637</v>
      </c>
      <c r="P122" s="87">
        <f>IF(P29=0,0,1000000*P29/TrRoad_act!P65)</f>
        <v>263.23784300257159</v>
      </c>
      <c r="Q122" s="87">
        <f>IF(Q29=0,0,1000000*Q29/TrRoad_act!Q65)</f>
        <v>264.39701810981484</v>
      </c>
      <c r="R122" s="87">
        <f>IF(R29=0,0,1000000*R29/TrRoad_act!R65)</f>
        <v>261.24707603798873</v>
      </c>
      <c r="S122" s="87">
        <f>IF(S29=0,0,1000000*S29/TrRoad_act!S65)</f>
        <v>277.37703228895577</v>
      </c>
      <c r="T122" s="87">
        <f>IF(T29=0,0,1000000*T29/TrRoad_act!T65)</f>
        <v>279.21953089954911</v>
      </c>
      <c r="U122" s="87">
        <f>IF(U29=0,0,1000000*U29/TrRoad_act!U65)</f>
        <v>282.30035629582352</v>
      </c>
      <c r="V122" s="87">
        <f>IF(V29=0,0,1000000*V29/TrRoad_act!V65)</f>
        <v>256.15566733819509</v>
      </c>
      <c r="W122" s="87">
        <f>IF(W29=0,0,1000000*W29/TrRoad_act!W65)</f>
        <v>250.74988526842063</v>
      </c>
      <c r="X122" s="87">
        <f>IF(X29=0,0,1000000*X29/TrRoad_act!X65)</f>
        <v>253.32177589694345</v>
      </c>
      <c r="Y122" s="87">
        <f>IF(Y29=0,0,1000000*Y29/TrRoad_act!Y65)</f>
        <v>252.57919415583018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246.88095929585498</v>
      </c>
      <c r="I123" s="87">
        <f>IF(I32=0,0,1000000*I32/TrRoad_act!I66)</f>
        <v>246.89724876165434</v>
      </c>
      <c r="J123" s="87">
        <f>IF(J32=0,0,1000000*J32/TrRoad_act!J66)</f>
        <v>244.28134549622473</v>
      </c>
      <c r="K123" s="87">
        <f>IF(K32=0,0,1000000*K32/TrRoad_act!K66)</f>
        <v>244.27403461583989</v>
      </c>
      <c r="L123" s="87">
        <f>IF(L32=0,0,1000000*L32/TrRoad_act!L66)</f>
        <v>243.77928033217029</v>
      </c>
      <c r="M123" s="87">
        <f>IF(M32=0,0,1000000*M32/TrRoad_act!M66)</f>
        <v>243.47839271051697</v>
      </c>
      <c r="N123" s="87">
        <f>IF(N32=0,0,1000000*N32/TrRoad_act!N66)</f>
        <v>238.92242865006511</v>
      </c>
      <c r="O123" s="87">
        <f>IF(O32=0,0,1000000*O32/TrRoad_act!O66)</f>
        <v>231.38287402478122</v>
      </c>
      <c r="P123" s="87">
        <f>IF(P32=0,0,1000000*P32/TrRoad_act!P66)</f>
        <v>225.65762894190249</v>
      </c>
      <c r="Q123" s="87">
        <f>IF(Q32=0,0,1000000*Q32/TrRoad_act!Q66)</f>
        <v>229.53589345148728</v>
      </c>
      <c r="R123" s="87">
        <f>IF(R32=0,0,1000000*R32/TrRoad_act!R66)</f>
        <v>230.36199807041393</v>
      </c>
      <c r="S123" s="87">
        <f>IF(S32=0,0,1000000*S32/TrRoad_act!S66)</f>
        <v>226.94086399939849</v>
      </c>
      <c r="T123" s="87">
        <f>IF(T32=0,0,1000000*T32/TrRoad_act!T66)</f>
        <v>230.45526146970289</v>
      </c>
      <c r="U123" s="87">
        <f>IF(U32=0,0,1000000*U32/TrRoad_act!U66)</f>
        <v>256.83606835062255</v>
      </c>
      <c r="V123" s="87">
        <f>IF(V32=0,0,1000000*V32/TrRoad_act!V66)</f>
        <v>243.38652350701756</v>
      </c>
      <c r="W123" s="87">
        <f>IF(W32=0,0,1000000*W32/TrRoad_act!W66)</f>
        <v>257.9691210486663</v>
      </c>
      <c r="X123" s="87">
        <f>IF(X32=0,0,1000000*X32/TrRoad_act!X66)</f>
        <v>258.97001538972802</v>
      </c>
      <c r="Y123" s="87">
        <f>IF(Y32=0,0,1000000*Y32/TrRoad_act!Y66)</f>
        <v>260.94834389997288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25365.7362832012</v>
      </c>
      <c r="C124" s="116">
        <f>IF(C33=0,0,1000000*C33/TrRoad_act!C67)</f>
        <v>24754.675557431019</v>
      </c>
      <c r="D124" s="116">
        <f>IF(D33=0,0,1000000*D33/TrRoad_act!D67)</f>
        <v>24218.5875886166</v>
      </c>
      <c r="E124" s="116">
        <f>IF(E33=0,0,1000000*E33/TrRoad_act!E67)</f>
        <v>23811.827162395544</v>
      </c>
      <c r="F124" s="116">
        <f>IF(F33=0,0,1000000*F33/TrRoad_act!F67)</f>
        <v>24110.534547766794</v>
      </c>
      <c r="G124" s="116">
        <f>IF(G33=0,0,1000000*G33/TrRoad_act!G67)</f>
        <v>23874.630675473371</v>
      </c>
      <c r="H124" s="116">
        <f>IF(H33=0,0,1000000*H33/TrRoad_act!H67)</f>
        <v>24267.075804935786</v>
      </c>
      <c r="I124" s="116">
        <f>IF(I33=0,0,1000000*I33/TrRoad_act!I67)</f>
        <v>25138.012163135943</v>
      </c>
      <c r="J124" s="116">
        <f>IF(J33=0,0,1000000*J33/TrRoad_act!J67)</f>
        <v>24033.131584446011</v>
      </c>
      <c r="K124" s="116">
        <f>IF(K33=0,0,1000000*K33/TrRoad_act!K67)</f>
        <v>23893.982517329849</v>
      </c>
      <c r="L124" s="116">
        <f>IF(L33=0,0,1000000*L33/TrRoad_act!L67)</f>
        <v>25020.552662589082</v>
      </c>
      <c r="M124" s="116">
        <f>IF(M33=0,0,1000000*M33/TrRoad_act!M67)</f>
        <v>26601.937708426474</v>
      </c>
      <c r="N124" s="116">
        <f>IF(N33=0,0,1000000*N33/TrRoad_act!N67)</f>
        <v>28323.725135654575</v>
      </c>
      <c r="O124" s="116">
        <f>IF(O33=0,0,1000000*O33/TrRoad_act!O67)</f>
        <v>29884.259831995827</v>
      </c>
      <c r="P124" s="116">
        <f>IF(P33=0,0,1000000*P33/TrRoad_act!P67)</f>
        <v>30489.52612899612</v>
      </c>
      <c r="Q124" s="116">
        <f>IF(Q33=0,0,1000000*Q33/TrRoad_act!Q67)</f>
        <v>31365.214313901866</v>
      </c>
      <c r="R124" s="116">
        <f>IF(R33=0,0,1000000*R33/TrRoad_act!R67)</f>
        <v>31914.108646372493</v>
      </c>
      <c r="S124" s="116">
        <f>IF(S33=0,0,1000000*S33/TrRoad_act!S67)</f>
        <v>31222.374946091193</v>
      </c>
      <c r="T124" s="116">
        <f>IF(T33=0,0,1000000*T33/TrRoad_act!T67)</f>
        <v>30609.919305412746</v>
      </c>
      <c r="U124" s="116">
        <f>IF(U33=0,0,1000000*U33/TrRoad_act!U67)</f>
        <v>30264.093625163299</v>
      </c>
      <c r="V124" s="116">
        <f>IF(V33=0,0,1000000*V33/TrRoad_act!V67)</f>
        <v>30265.009603572566</v>
      </c>
      <c r="W124" s="116">
        <f>IF(W33=0,0,1000000*W33/TrRoad_act!W67)</f>
        <v>27295.916011536563</v>
      </c>
      <c r="X124" s="116">
        <f>IF(X33=0,0,1000000*X33/TrRoad_act!X67)</f>
        <v>28369.956970934021</v>
      </c>
      <c r="Y124" s="116">
        <f>IF(Y33=0,0,1000000*Y33/TrRoad_act!Y67)</f>
        <v>28142.895698006912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0</v>
      </c>
      <c r="C125" s="101">
        <f>IF(C34=0,0,1000000*C34/TrRoad_act!C68)</f>
        <v>0</v>
      </c>
      <c r="D125" s="101">
        <f>IF(D34=0,0,1000000*D34/TrRoad_act!D68)</f>
        <v>0</v>
      </c>
      <c r="E125" s="101">
        <f>IF(E34=0,0,1000000*E34/TrRoad_act!E68)</f>
        <v>0</v>
      </c>
      <c r="F125" s="101">
        <f>IF(F34=0,0,1000000*F34/TrRoad_act!F68)</f>
        <v>0</v>
      </c>
      <c r="G125" s="101">
        <f>IF(G34=0,0,1000000*G34/TrRoad_act!G68)</f>
        <v>0</v>
      </c>
      <c r="H125" s="101">
        <f>IF(H34=0,0,1000000*H34/TrRoad_act!H68)</f>
        <v>0</v>
      </c>
      <c r="I125" s="101">
        <f>IF(I34=0,0,1000000*I34/TrRoad_act!I68)</f>
        <v>0</v>
      </c>
      <c r="J125" s="101">
        <f>IF(J34=0,0,1000000*J34/TrRoad_act!J68)</f>
        <v>0</v>
      </c>
      <c r="K125" s="101">
        <f>IF(K34=0,0,1000000*K34/TrRoad_act!K68)</f>
        <v>0</v>
      </c>
      <c r="L125" s="101">
        <f>IF(L34=0,0,1000000*L34/TrRoad_act!L68)</f>
        <v>0</v>
      </c>
      <c r="M125" s="101">
        <f>IF(M34=0,0,1000000*M34/TrRoad_act!M68)</f>
        <v>0</v>
      </c>
      <c r="N125" s="101">
        <f>IF(N34=0,0,1000000*N34/TrRoad_act!N68)</f>
        <v>0</v>
      </c>
      <c r="O125" s="101">
        <f>IF(O34=0,0,1000000*O34/TrRoad_act!O68)</f>
        <v>0</v>
      </c>
      <c r="P125" s="101">
        <f>IF(P34=0,0,1000000*P34/TrRoad_act!P68)</f>
        <v>0</v>
      </c>
      <c r="Q125" s="101">
        <f>IF(Q34=0,0,1000000*Q34/TrRoad_act!Q68)</f>
        <v>0</v>
      </c>
      <c r="R125" s="101">
        <f>IF(R34=0,0,1000000*R34/TrRoad_act!R68)</f>
        <v>0</v>
      </c>
      <c r="S125" s="101">
        <f>IF(S34=0,0,1000000*S34/TrRoad_act!S68)</f>
        <v>0</v>
      </c>
      <c r="T125" s="101">
        <f>IF(T34=0,0,1000000*T34/TrRoad_act!T68)</f>
        <v>0</v>
      </c>
      <c r="U125" s="101">
        <f>IF(U34=0,0,1000000*U34/TrRoad_act!U68)</f>
        <v>0</v>
      </c>
      <c r="V125" s="101">
        <f>IF(V34=0,0,1000000*V34/TrRoad_act!V68)</f>
        <v>0</v>
      </c>
      <c r="W125" s="101">
        <f>IF(W34=0,0,1000000*W34/TrRoad_act!W68)</f>
        <v>0</v>
      </c>
      <c r="X125" s="101">
        <f>IF(X34=0,0,1000000*X34/TrRoad_act!X68)</f>
        <v>0</v>
      </c>
      <c r="Y125" s="101">
        <f>IF(Y34=0,0,1000000*Y34/TrRoad_act!Y68)</f>
        <v>0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25459.673707538586</v>
      </c>
      <c r="C126" s="101">
        <f>IF(C36=0,0,1000000*C36/TrRoad_act!C69)</f>
        <v>24823.432895386792</v>
      </c>
      <c r="D126" s="101">
        <f>IF(D36=0,0,1000000*D36/TrRoad_act!D69)</f>
        <v>24225.234823081606</v>
      </c>
      <c r="E126" s="101">
        <f>IF(E36=0,0,1000000*E36/TrRoad_act!E69)</f>
        <v>23721.62434897085</v>
      </c>
      <c r="F126" s="101">
        <f>IF(F36=0,0,1000000*F36/TrRoad_act!F69)</f>
        <v>23868.068978795527</v>
      </c>
      <c r="G126" s="101">
        <f>IF(G36=0,0,1000000*G36/TrRoad_act!G69)</f>
        <v>23872.798437959253</v>
      </c>
      <c r="H126" s="101">
        <f>IF(H36=0,0,1000000*H36/TrRoad_act!H69)</f>
        <v>24180.359918234943</v>
      </c>
      <c r="I126" s="101">
        <f>IF(I36=0,0,1000000*I36/TrRoad_act!I69)</f>
        <v>25086.664815189408</v>
      </c>
      <c r="J126" s="101">
        <f>IF(J36=0,0,1000000*J36/TrRoad_act!J69)</f>
        <v>24067.258956773268</v>
      </c>
      <c r="K126" s="101">
        <f>IF(K36=0,0,1000000*K36/TrRoad_act!K69)</f>
        <v>23915.600543738714</v>
      </c>
      <c r="L126" s="101">
        <f>IF(L36=0,0,1000000*L36/TrRoad_act!L69)</f>
        <v>25140.267081039852</v>
      </c>
      <c r="M126" s="101">
        <f>IF(M36=0,0,1000000*M36/TrRoad_act!M69)</f>
        <v>26401.833814080128</v>
      </c>
      <c r="N126" s="101">
        <f>IF(N36=0,0,1000000*N36/TrRoad_act!N69)</f>
        <v>27843.367300405422</v>
      </c>
      <c r="O126" s="101">
        <f>IF(O36=0,0,1000000*O36/TrRoad_act!O69)</f>
        <v>29266.029817721843</v>
      </c>
      <c r="P126" s="101">
        <f>IF(P36=0,0,1000000*P36/TrRoad_act!P69)</f>
        <v>29878.828474671009</v>
      </c>
      <c r="Q126" s="101">
        <f>IF(Q36=0,0,1000000*Q36/TrRoad_act!Q69)</f>
        <v>30709.317233095284</v>
      </c>
      <c r="R126" s="101">
        <f>IF(R36=0,0,1000000*R36/TrRoad_act!R69)</f>
        <v>31352.069979590688</v>
      </c>
      <c r="S126" s="101">
        <f>IF(S36=0,0,1000000*S36/TrRoad_act!S69)</f>
        <v>30792.346412010655</v>
      </c>
      <c r="T126" s="101">
        <f>IF(T36=0,0,1000000*T36/TrRoad_act!T69)</f>
        <v>30447.411363168841</v>
      </c>
      <c r="U126" s="101">
        <f>IF(U36=0,0,1000000*U36/TrRoad_act!U69)</f>
        <v>29656.065162703755</v>
      </c>
      <c r="V126" s="101">
        <f>IF(V36=0,0,1000000*V36/TrRoad_act!V69)</f>
        <v>29326.420253610293</v>
      </c>
      <c r="W126" s="101">
        <f>IF(W36=0,0,1000000*W36/TrRoad_act!W69)</f>
        <v>26842.302061611448</v>
      </c>
      <c r="X126" s="101">
        <f>IF(X36=0,0,1000000*X36/TrRoad_act!X69)</f>
        <v>26844.509192254092</v>
      </c>
      <c r="Y126" s="101">
        <f>IF(Y36=0,0,1000000*Y36/TrRoad_act!Y69)</f>
        <v>26638.403213522175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0</v>
      </c>
      <c r="C127" s="101">
        <f>IF(C38=0,0,1000000*C38/TrRoad_act!C70)</f>
        <v>0</v>
      </c>
      <c r="D127" s="101">
        <f>IF(D38=0,0,1000000*D38/TrRoad_act!D70)</f>
        <v>0</v>
      </c>
      <c r="E127" s="101">
        <f>IF(E38=0,0,1000000*E38/TrRoad_act!E70)</f>
        <v>0</v>
      </c>
      <c r="F127" s="101">
        <f>IF(F38=0,0,1000000*F38/TrRoad_act!F70)</f>
        <v>9852.7660434318223</v>
      </c>
      <c r="G127" s="101">
        <f>IF(G38=0,0,1000000*G38/TrRoad_act!G70)</f>
        <v>10007.8399490761</v>
      </c>
      <c r="H127" s="101">
        <f>IF(H38=0,0,1000000*H38/TrRoad_act!H70)</f>
        <v>10371.584445062934</v>
      </c>
      <c r="I127" s="101">
        <f>IF(I38=0,0,1000000*I38/TrRoad_act!I70)</f>
        <v>11023.316753697924</v>
      </c>
      <c r="J127" s="101">
        <f>IF(J38=0,0,1000000*J38/TrRoad_act!J70)</f>
        <v>10707.426298232416</v>
      </c>
      <c r="K127" s="101">
        <f>IF(K38=0,0,1000000*K38/TrRoad_act!K70)</f>
        <v>10341.929336684583</v>
      </c>
      <c r="L127" s="101">
        <f>IF(L38=0,0,1000000*L38/TrRoad_act!L70)</f>
        <v>10370.205831362369</v>
      </c>
      <c r="M127" s="101">
        <f>IF(M38=0,0,1000000*M38/TrRoad_act!M70)</f>
        <v>10467.277728944115</v>
      </c>
      <c r="N127" s="101">
        <f>IF(N38=0,0,1000000*N38/TrRoad_act!N70)</f>
        <v>10199.675650118375</v>
      </c>
      <c r="O127" s="101">
        <f>IF(O38=0,0,1000000*O38/TrRoad_act!O70)</f>
        <v>10392.944944072786</v>
      </c>
      <c r="P127" s="101">
        <f>IF(P38=0,0,1000000*P38/TrRoad_act!P70)</f>
        <v>10707.094978579258</v>
      </c>
      <c r="Q127" s="101">
        <f>IF(Q38=0,0,1000000*Q38/TrRoad_act!Q70)</f>
        <v>11221.242568638992</v>
      </c>
      <c r="R127" s="101">
        <f>IF(R38=0,0,1000000*R38/TrRoad_act!R70)</f>
        <v>11423.104161604573</v>
      </c>
      <c r="S127" s="101">
        <f>IF(S38=0,0,1000000*S38/TrRoad_act!S70)</f>
        <v>11140.722412626257</v>
      </c>
      <c r="T127" s="101">
        <f>IF(T38=0,0,1000000*T38/TrRoad_act!T70)</f>
        <v>10930.623836955483</v>
      </c>
      <c r="U127" s="101">
        <f>IF(U38=0,0,1000000*U38/TrRoad_act!U70)</f>
        <v>10891.050566929425</v>
      </c>
      <c r="V127" s="101">
        <f>IF(V38=0,0,1000000*V38/TrRoad_act!V70)</f>
        <v>10680.900472414949</v>
      </c>
      <c r="W127" s="101">
        <f>IF(W38=0,0,1000000*W38/TrRoad_act!W70)</f>
        <v>9602.9118466836662</v>
      </c>
      <c r="X127" s="101">
        <f>IF(X38=0,0,1000000*X38/TrRoad_act!X70)</f>
        <v>9642.1327820063507</v>
      </c>
      <c r="Y127" s="101">
        <f>IF(Y38=0,0,1000000*Y38/TrRoad_act!Y70)</f>
        <v>9695.1060871155405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18535.585750253573</v>
      </c>
      <c r="C128" s="101">
        <f>IF(C39=0,0,1000000*C39/TrRoad_act!C71)</f>
        <v>20959.621610872102</v>
      </c>
      <c r="D128" s="101">
        <f>IF(D39=0,0,1000000*D39/TrRoad_act!D71)</f>
        <v>24899.684723416456</v>
      </c>
      <c r="E128" s="101">
        <f>IF(E39=0,0,1000000*E39/TrRoad_act!E71)</f>
        <v>30561.92656857345</v>
      </c>
      <c r="F128" s="101">
        <f>IF(F39=0,0,1000000*F39/TrRoad_act!F71)</f>
        <v>40920.080800259348</v>
      </c>
      <c r="G128" s="101">
        <f>IF(G39=0,0,1000000*G39/TrRoad_act!G71)</f>
        <v>25004.34303318361</v>
      </c>
      <c r="H128" s="101">
        <f>IF(H39=0,0,1000000*H39/TrRoad_act!H71)</f>
        <v>30135.059021187808</v>
      </c>
      <c r="I128" s="101">
        <f>IF(I39=0,0,1000000*I39/TrRoad_act!I71)</f>
        <v>28549.142612246393</v>
      </c>
      <c r="J128" s="101">
        <f>IF(J39=0,0,1000000*J39/TrRoad_act!J71)</f>
        <v>23096.243205366231</v>
      </c>
      <c r="K128" s="101">
        <f>IF(K39=0,0,1000000*K39/TrRoad_act!K71)</f>
        <v>23704.530881758521</v>
      </c>
      <c r="L128" s="101">
        <f>IF(L39=0,0,1000000*L39/TrRoad_act!L71)</f>
        <v>20119.769795524677</v>
      </c>
      <c r="M128" s="101">
        <f>IF(M39=0,0,1000000*M39/TrRoad_act!M71)</f>
        <v>37637.543884469829</v>
      </c>
      <c r="N128" s="101">
        <f>IF(N39=0,0,1000000*N39/TrRoad_act!N71)</f>
        <v>51370.228354211366</v>
      </c>
      <c r="O128" s="101">
        <f>IF(O39=0,0,1000000*O39/TrRoad_act!O71)</f>
        <v>57861.791727674143</v>
      </c>
      <c r="P128" s="101">
        <f>IF(P39=0,0,1000000*P39/TrRoad_act!P71)</f>
        <v>60700.099648100302</v>
      </c>
      <c r="Q128" s="101">
        <f>IF(Q39=0,0,1000000*Q39/TrRoad_act!Q71)</f>
        <v>68839.574133819711</v>
      </c>
      <c r="R128" s="101">
        <f>IF(R39=0,0,1000000*R39/TrRoad_act!R71)</f>
        <v>68665.650543271258</v>
      </c>
      <c r="S128" s="101">
        <f>IF(S39=0,0,1000000*S39/TrRoad_act!S71)</f>
        <v>63357.098084282079</v>
      </c>
      <c r="T128" s="101">
        <f>IF(T39=0,0,1000000*T39/TrRoad_act!T71)</f>
        <v>46234.411107340282</v>
      </c>
      <c r="U128" s="101">
        <f>IF(U39=0,0,1000000*U39/TrRoad_act!U71)</f>
        <v>80802.625873698387</v>
      </c>
      <c r="V128" s="101">
        <f>IF(V39=0,0,1000000*V39/TrRoad_act!V71)</f>
        <v>110099.8551784805</v>
      </c>
      <c r="W128" s="101">
        <f>IF(W39=0,0,1000000*W39/TrRoad_act!W71)</f>
        <v>82460.801395496819</v>
      </c>
      <c r="X128" s="101">
        <f>IF(X39=0,0,1000000*X39/TrRoad_act!X71)</f>
        <v>181626.26281831326</v>
      </c>
      <c r="Y128" s="101">
        <f>IF(Y39=0,0,1000000*Y39/TrRoad_act!Y71)</f>
        <v>194439.64424785282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14009.146943911463</v>
      </c>
      <c r="C129" s="101">
        <f>IF(C41=0,0,1000000*C41/TrRoad_act!C72)</f>
        <v>13760.063731487086</v>
      </c>
      <c r="D129" s="101">
        <f>IF(D41=0,0,1000000*D41/TrRoad_act!D72)</f>
        <v>13558.390129402105</v>
      </c>
      <c r="E129" s="101">
        <f>IF(E41=0,0,1000000*E41/TrRoad_act!E72)</f>
        <v>13403.297541202022</v>
      </c>
      <c r="F129" s="101">
        <f>IF(F41=0,0,1000000*F41/TrRoad_act!F72)</f>
        <v>13329.421254308576</v>
      </c>
      <c r="G129" s="101">
        <f>IF(G41=0,0,1000000*G41/TrRoad_act!G72)</f>
        <v>13298.479109260543</v>
      </c>
      <c r="H129" s="101">
        <f>IF(H41=0,0,1000000*H41/TrRoad_act!H72)</f>
        <v>13276.125410219827</v>
      </c>
      <c r="I129" s="101">
        <f>IF(I41=0,0,1000000*I41/TrRoad_act!I72)</f>
        <v>13268.030727499183</v>
      </c>
      <c r="J129" s="101">
        <f>IF(J41=0,0,1000000*J41/TrRoad_act!J72)</f>
        <v>13243.103213002136</v>
      </c>
      <c r="K129" s="101">
        <f>IF(K41=0,0,1000000*K41/TrRoad_act!K72)</f>
        <v>13098.819133176552</v>
      </c>
      <c r="L129" s="101">
        <f>IF(L41=0,0,1000000*L41/TrRoad_act!L72)</f>
        <v>13050.825880324217</v>
      </c>
      <c r="M129" s="101">
        <f>IF(M41=0,0,1000000*M41/TrRoad_act!M72)</f>
        <v>12961.025961220499</v>
      </c>
      <c r="N129" s="101">
        <f>IF(N41=0,0,1000000*N41/TrRoad_act!N72)</f>
        <v>12941.095737859405</v>
      </c>
      <c r="O129" s="101">
        <f>IF(O41=0,0,1000000*O41/TrRoad_act!O72)</f>
        <v>12928.424163309635</v>
      </c>
      <c r="P129" s="101">
        <f>IF(P41=0,0,1000000*P41/TrRoad_act!P72)</f>
        <v>12954.230561076754</v>
      </c>
      <c r="Q129" s="101">
        <f>IF(Q41=0,0,1000000*Q41/TrRoad_act!Q72)</f>
        <v>13003.339502549776</v>
      </c>
      <c r="R129" s="101">
        <f>IF(R41=0,0,1000000*R41/TrRoad_act!R72)</f>
        <v>13004.302852995626</v>
      </c>
      <c r="S129" s="101">
        <f>IF(S41=0,0,1000000*S41/TrRoad_act!S72)</f>
        <v>13010.720612943305</v>
      </c>
      <c r="T129" s="101">
        <f>IF(T41=0,0,1000000*T41/TrRoad_act!T72)</f>
        <v>12968.863271097756</v>
      </c>
      <c r="U129" s="101">
        <f>IF(U41=0,0,1000000*U41/TrRoad_act!U72)</f>
        <v>12778.618987519772</v>
      </c>
      <c r="V129" s="101">
        <f>IF(V41=0,0,1000000*V41/TrRoad_act!V72)</f>
        <v>12335.831435093547</v>
      </c>
      <c r="W129" s="101">
        <f>IF(W41=0,0,1000000*W41/TrRoad_act!W72)</f>
        <v>12170.559717520853</v>
      </c>
      <c r="X129" s="101">
        <f>IF(X41=0,0,1000000*X41/TrRoad_act!X72)</f>
        <v>11983.532322821486</v>
      </c>
      <c r="Y129" s="101">
        <f>IF(Y41=0,0,1000000*Y41/TrRoad_act!Y72)</f>
        <v>11749.451164891232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1949.3196408878944</v>
      </c>
      <c r="C131" s="152">
        <f>IF(C43=0,0,1000000*C43/TrRoad_act!C74)</f>
        <v>1981.1492666961744</v>
      </c>
      <c r="D131" s="152">
        <f>IF(D43=0,0,1000000*D43/TrRoad_act!D74)</f>
        <v>1967.3975311987369</v>
      </c>
      <c r="E131" s="152">
        <f>IF(E43=0,0,1000000*E43/TrRoad_act!E74)</f>
        <v>2033.0712844871466</v>
      </c>
      <c r="F131" s="152">
        <f>IF(F43=0,0,1000000*F43/TrRoad_act!F74)</f>
        <v>1965.8717622099607</v>
      </c>
      <c r="G131" s="152">
        <f>IF(G43=0,0,1000000*G43/TrRoad_act!G74)</f>
        <v>1969.6821441931236</v>
      </c>
      <c r="H131" s="152">
        <f>IF(H43=0,0,1000000*H43/TrRoad_act!H74)</f>
        <v>1885.5637039344147</v>
      </c>
      <c r="I131" s="152">
        <f>IF(I43=0,0,1000000*I43/TrRoad_act!I74)</f>
        <v>1815.6947756351788</v>
      </c>
      <c r="J131" s="152">
        <f>IF(J43=0,0,1000000*J43/TrRoad_act!J74)</f>
        <v>1733.6262592994497</v>
      </c>
      <c r="K131" s="152">
        <f>IF(K43=0,0,1000000*K43/TrRoad_act!K74)</f>
        <v>1713.8345091285755</v>
      </c>
      <c r="L131" s="152">
        <f>IF(L43=0,0,1000000*L43/TrRoad_act!L74)</f>
        <v>1603.8154647101039</v>
      </c>
      <c r="M131" s="152">
        <f>IF(M43=0,0,1000000*M43/TrRoad_act!M74)</f>
        <v>1568.4492883832131</v>
      </c>
      <c r="N131" s="152">
        <f>IF(N43=0,0,1000000*N43/TrRoad_act!N74)</f>
        <v>1488.4635268725601</v>
      </c>
      <c r="O131" s="152">
        <f>IF(O43=0,0,1000000*O43/TrRoad_act!O74)</f>
        <v>1530.6518749021632</v>
      </c>
      <c r="P131" s="152">
        <f>IF(P43=0,0,1000000*P43/TrRoad_act!P74)</f>
        <v>1550.598069353128</v>
      </c>
      <c r="Q131" s="152">
        <f>IF(Q43=0,0,1000000*Q43/TrRoad_act!Q74)</f>
        <v>1681.268848502918</v>
      </c>
      <c r="R131" s="152">
        <f>IF(R43=0,0,1000000*R43/TrRoad_act!R74)</f>
        <v>1696.8058060051796</v>
      </c>
      <c r="S131" s="152">
        <f>IF(S43=0,0,1000000*S43/TrRoad_act!S74)</f>
        <v>1642.4216355449062</v>
      </c>
      <c r="T131" s="152">
        <f>IF(T43=0,0,1000000*T43/TrRoad_act!T74)</f>
        <v>1493.3122195653698</v>
      </c>
      <c r="U131" s="152">
        <f>IF(U43=0,0,1000000*U43/TrRoad_act!U74)</f>
        <v>1507.9090257083344</v>
      </c>
      <c r="V131" s="152">
        <f>IF(V43=0,0,1000000*V43/TrRoad_act!V74)</f>
        <v>1353.0500219838348</v>
      </c>
      <c r="W131" s="152">
        <f>IF(W43=0,0,1000000*W43/TrRoad_act!W74)</f>
        <v>1354.7000577144913</v>
      </c>
      <c r="X131" s="152">
        <f>IF(X43=0,0,1000000*X43/TrRoad_act!X74)</f>
        <v>1362.2855230985858</v>
      </c>
      <c r="Y131" s="152">
        <f>IF(Y43=0,0,1000000*Y43/TrRoad_act!Y74)</f>
        <v>1353.448090366416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1411.2543591831734</v>
      </c>
      <c r="C132" s="87">
        <f>IF(C44=0,0,1000000*C44/TrRoad_act!C75)</f>
        <v>1391.2481069545559</v>
      </c>
      <c r="D132" s="87">
        <f>IF(D44=0,0,1000000*D44/TrRoad_act!D75)</f>
        <v>1447.2323297217827</v>
      </c>
      <c r="E132" s="87">
        <f>IF(E44=0,0,1000000*E44/TrRoad_act!E75)</f>
        <v>1447.2447392846827</v>
      </c>
      <c r="F132" s="87">
        <f>IF(F44=0,0,1000000*F44/TrRoad_act!F75)</f>
        <v>1465.1377755267724</v>
      </c>
      <c r="G132" s="87">
        <f>IF(G44=0,0,1000000*G44/TrRoad_act!G75)</f>
        <v>1451.7780382894625</v>
      </c>
      <c r="H132" s="87">
        <f>IF(H44=0,0,1000000*H44/TrRoad_act!H75)</f>
        <v>1388.4693119603292</v>
      </c>
      <c r="I132" s="87">
        <f>IF(I44=0,0,1000000*I44/TrRoad_act!I75)</f>
        <v>1344.5457406693536</v>
      </c>
      <c r="J132" s="87">
        <f>IF(J44=0,0,1000000*J44/TrRoad_act!J75)</f>
        <v>1215.2238829592472</v>
      </c>
      <c r="K132" s="87">
        <f>IF(K44=0,0,1000000*K44/TrRoad_act!K75)</f>
        <v>1161.7863459916928</v>
      </c>
      <c r="L132" s="87">
        <f>IF(L44=0,0,1000000*L44/TrRoad_act!L75)</f>
        <v>1117.494055252241</v>
      </c>
      <c r="M132" s="87">
        <f>IF(M44=0,0,1000000*M44/TrRoad_act!M75)</f>
        <v>1105.3547127426511</v>
      </c>
      <c r="N132" s="87">
        <f>IF(N44=0,0,1000000*N44/TrRoad_act!N75)</f>
        <v>1049.6346319082877</v>
      </c>
      <c r="O132" s="87">
        <f>IF(O44=0,0,1000000*O44/TrRoad_act!O75)</f>
        <v>1038.0176968656954</v>
      </c>
      <c r="P132" s="87">
        <f>IF(P44=0,0,1000000*P44/TrRoad_act!P75)</f>
        <v>1054.1973103313451</v>
      </c>
      <c r="Q132" s="87">
        <f>IF(Q44=0,0,1000000*Q44/TrRoad_act!Q75)</f>
        <v>1045.0118600096498</v>
      </c>
      <c r="R132" s="87">
        <f>IF(R44=0,0,1000000*R44/TrRoad_act!R75)</f>
        <v>1095.7509679087198</v>
      </c>
      <c r="S132" s="87">
        <f>IF(S44=0,0,1000000*S44/TrRoad_act!S75)</f>
        <v>1139.3379032290475</v>
      </c>
      <c r="T132" s="87">
        <f>IF(T44=0,0,1000000*T44/TrRoad_act!T75)</f>
        <v>1141.1637389133521</v>
      </c>
      <c r="U132" s="87">
        <f>IF(U44=0,0,1000000*U44/TrRoad_act!U75)</f>
        <v>1153.1286993389012</v>
      </c>
      <c r="V132" s="87">
        <f>IF(V44=0,0,1000000*V44/TrRoad_act!V75)</f>
        <v>1117.9498775972347</v>
      </c>
      <c r="W132" s="87">
        <f>IF(W44=0,0,1000000*W44/TrRoad_act!W75)</f>
        <v>1244.9660832206894</v>
      </c>
      <c r="X132" s="87">
        <f>IF(X44=0,0,1000000*X44/TrRoad_act!X75)</f>
        <v>1288.2753545601288</v>
      </c>
      <c r="Y132" s="87">
        <f>IF(Y44=0,0,1000000*Y44/TrRoad_act!Y75)</f>
        <v>1242.6126016297528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2038.6593425333638</v>
      </c>
      <c r="C133" s="87">
        <f>IF(C46=0,0,1000000*C46/TrRoad_act!C76)</f>
        <v>2072.2970232315947</v>
      </c>
      <c r="D133" s="87">
        <f>IF(D46=0,0,1000000*D46/TrRoad_act!D76)</f>
        <v>2039.8396698471377</v>
      </c>
      <c r="E133" s="87">
        <f>IF(E46=0,0,1000000*E46/TrRoad_act!E76)</f>
        <v>2106.3051127039089</v>
      </c>
      <c r="F133" s="87">
        <f>IF(F46=0,0,1000000*F46/TrRoad_act!F76)</f>
        <v>2021.9565161793521</v>
      </c>
      <c r="G133" s="87">
        <f>IF(G46=0,0,1000000*G46/TrRoad_act!G76)</f>
        <v>2022.2190067390907</v>
      </c>
      <c r="H133" s="87">
        <f>IF(H46=0,0,1000000*H46/TrRoad_act!H76)</f>
        <v>1932.978881620181</v>
      </c>
      <c r="I133" s="87">
        <f>IF(I46=0,0,1000000*I46/TrRoad_act!I76)</f>
        <v>1858.493650560195</v>
      </c>
      <c r="J133" s="87">
        <f>IF(J46=0,0,1000000*J46/TrRoad_act!J76)</f>
        <v>1777.497293189529</v>
      </c>
      <c r="K133" s="87">
        <f>IF(K46=0,0,1000000*K46/TrRoad_act!K76)</f>
        <v>1758.5832806522931</v>
      </c>
      <c r="L133" s="87">
        <f>IF(L46=0,0,1000000*L46/TrRoad_act!L76)</f>
        <v>1640.1816751189845</v>
      </c>
      <c r="M133" s="87">
        <f>IF(M46=0,0,1000000*M46/TrRoad_act!M76)</f>
        <v>1601.2304765373142</v>
      </c>
      <c r="N133" s="87">
        <f>IF(N46=0,0,1000000*N46/TrRoad_act!N76)</f>
        <v>1517.6540755636765</v>
      </c>
      <c r="O133" s="87">
        <f>IF(O46=0,0,1000000*O46/TrRoad_act!O76)</f>
        <v>1562.687474062096</v>
      </c>
      <c r="P133" s="87">
        <f>IF(P46=0,0,1000000*P46/TrRoad_act!P76)</f>
        <v>1581.9810617463004</v>
      </c>
      <c r="Q133" s="87">
        <f>IF(Q46=0,0,1000000*Q46/TrRoad_act!Q76)</f>
        <v>1720.6874246137677</v>
      </c>
      <c r="R133" s="87">
        <f>IF(R46=0,0,1000000*R46/TrRoad_act!R76)</f>
        <v>1734.7519572383924</v>
      </c>
      <c r="S133" s="87">
        <f>IF(S46=0,0,1000000*S46/TrRoad_act!S76)</f>
        <v>1676.4997423022719</v>
      </c>
      <c r="T133" s="87">
        <f>IF(T46=0,0,1000000*T46/TrRoad_act!T76)</f>
        <v>1519.5906375479019</v>
      </c>
      <c r="U133" s="87">
        <f>IF(U46=0,0,1000000*U46/TrRoad_act!U76)</f>
        <v>1536.1504587777481</v>
      </c>
      <c r="V133" s="87">
        <f>IF(V46=0,0,1000000*V46/TrRoad_act!V76)</f>
        <v>1374.4763116620843</v>
      </c>
      <c r="W133" s="87">
        <f>IF(W46=0,0,1000000*W46/TrRoad_act!W76)</f>
        <v>1374.0182594937744</v>
      </c>
      <c r="X133" s="87">
        <f>IF(X46=0,0,1000000*X46/TrRoad_act!X76)</f>
        <v>1386.2893168267276</v>
      </c>
      <c r="Y133" s="87">
        <f>IF(Y46=0,0,1000000*Y46/TrRoad_act!Y76)</f>
        <v>1383.2359038156003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0</v>
      </c>
      <c r="C134" s="87">
        <f>IF(C48=0,0,1000000*C48/TrRoad_act!C77)</f>
        <v>0</v>
      </c>
      <c r="D134" s="87">
        <f>IF(D48=0,0,1000000*D48/TrRoad_act!D77)</f>
        <v>0</v>
      </c>
      <c r="E134" s="87">
        <f>IF(E48=0,0,1000000*E48/TrRoad_act!E77)</f>
        <v>0</v>
      </c>
      <c r="F134" s="87">
        <f>IF(F48=0,0,1000000*F48/TrRoad_act!F77)</f>
        <v>0</v>
      </c>
      <c r="G134" s="87">
        <f>IF(G48=0,0,1000000*G48/TrRoad_act!G77)</f>
        <v>0</v>
      </c>
      <c r="H134" s="87">
        <f>IF(H48=0,0,1000000*H48/TrRoad_act!H77)</f>
        <v>2570.7240719444089</v>
      </c>
      <c r="I134" s="87">
        <f>IF(I48=0,0,1000000*I48/TrRoad_act!I77)</f>
        <v>2549.5431507904132</v>
      </c>
      <c r="J134" s="87">
        <f>IF(J48=0,0,1000000*J48/TrRoad_act!J77)</f>
        <v>2327.0731923899179</v>
      </c>
      <c r="K134" s="87">
        <f>IF(K48=0,0,1000000*K48/TrRoad_act!K77)</f>
        <v>2210.0138277941751</v>
      </c>
      <c r="L134" s="87">
        <f>IF(L48=0,0,1000000*L48/TrRoad_act!L77)</f>
        <v>2030.0345761836338</v>
      </c>
      <c r="M134" s="87">
        <f>IF(M48=0,0,1000000*M48/TrRoad_act!M77)</f>
        <v>1924.8490491067655</v>
      </c>
      <c r="N134" s="87">
        <f>IF(N48=0,0,1000000*N48/TrRoad_act!N77)</f>
        <v>1876.0691974153158</v>
      </c>
      <c r="O134" s="87">
        <f>IF(O48=0,0,1000000*O48/TrRoad_act!O77)</f>
        <v>1893.5538604705221</v>
      </c>
      <c r="P134" s="87">
        <f>IF(P48=0,0,1000000*P48/TrRoad_act!P77)</f>
        <v>1845.3371324960453</v>
      </c>
      <c r="Q134" s="87">
        <f>IF(Q48=0,0,1000000*Q48/TrRoad_act!Q77)</f>
        <v>1786.1074735251757</v>
      </c>
      <c r="R134" s="87">
        <f>IF(R48=0,0,1000000*R48/TrRoad_act!R77)</f>
        <v>1784.8666399296878</v>
      </c>
      <c r="S134" s="87">
        <f>IF(S48=0,0,1000000*S48/TrRoad_act!S77)</f>
        <v>1765.3842090658848</v>
      </c>
      <c r="T134" s="87">
        <f>IF(T48=0,0,1000000*T48/TrRoad_act!T77)</f>
        <v>1655.2958201378999</v>
      </c>
      <c r="U134" s="87">
        <f>IF(U48=0,0,1000000*U48/TrRoad_act!U77)</f>
        <v>1576.2234858644974</v>
      </c>
      <c r="V134" s="87">
        <f>IF(V48=0,0,1000000*V48/TrRoad_act!V77)</f>
        <v>1453.9771062410407</v>
      </c>
      <c r="W134" s="87">
        <f>IF(W48=0,0,1000000*W48/TrRoad_act!W77)</f>
        <v>1530.4872628891071</v>
      </c>
      <c r="X134" s="87">
        <f>IF(X48=0,0,1000000*X48/TrRoad_act!X77)</f>
        <v>1519.1024040862696</v>
      </c>
      <c r="Y134" s="87">
        <f>IF(Y48=0,0,1000000*Y48/TrRoad_act!Y77)</f>
        <v>1401.4677072351433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0</v>
      </c>
      <c r="F135" s="87">
        <f>IF(F49=0,0,1000000*F49/TrRoad_act!F78)</f>
        <v>0</v>
      </c>
      <c r="G135" s="87">
        <f>IF(G49=0,0,1000000*G49/TrRoad_act!G78)</f>
        <v>0</v>
      </c>
      <c r="H135" s="87">
        <f>IF(H49=0,0,1000000*H49/TrRoad_act!H78)</f>
        <v>1506.7714080975729</v>
      </c>
      <c r="I135" s="87">
        <f>IF(I49=0,0,1000000*I49/TrRoad_act!I78)</f>
        <v>1562.0243497768038</v>
      </c>
      <c r="J135" s="87">
        <f>IF(J49=0,0,1000000*J49/TrRoad_act!J78)</f>
        <v>1521.2356520229764</v>
      </c>
      <c r="K135" s="87">
        <f>IF(K49=0,0,1000000*K49/TrRoad_act!K78)</f>
        <v>1469.3678583608134</v>
      </c>
      <c r="L135" s="87">
        <f>IF(L49=0,0,1000000*L49/TrRoad_act!L78)</f>
        <v>1423.14645946676</v>
      </c>
      <c r="M135" s="87">
        <f>IF(M49=0,0,1000000*M49/TrRoad_act!M78)</f>
        <v>1352.7764976042122</v>
      </c>
      <c r="N135" s="87">
        <f>IF(N49=0,0,1000000*N49/TrRoad_act!N78)</f>
        <v>1276.5225326493635</v>
      </c>
      <c r="O135" s="87">
        <f>IF(O49=0,0,1000000*O49/TrRoad_act!O78)</f>
        <v>1233.4494319291418</v>
      </c>
      <c r="P135" s="87">
        <f>IF(P49=0,0,1000000*P49/TrRoad_act!P78)</f>
        <v>1226.5888174321883</v>
      </c>
      <c r="Q135" s="87">
        <f>IF(Q49=0,0,1000000*Q49/TrRoad_act!Q78)</f>
        <v>1189.8740321526352</v>
      </c>
      <c r="R135" s="87">
        <f>IF(R49=0,0,1000000*R49/TrRoad_act!R78)</f>
        <v>1156.6282537106845</v>
      </c>
      <c r="S135" s="87">
        <f>IF(S49=0,0,1000000*S49/TrRoad_act!S78)</f>
        <v>1184.777625553696</v>
      </c>
      <c r="T135" s="87">
        <f>IF(T49=0,0,1000000*T49/TrRoad_act!T78)</f>
        <v>1134.9853352650382</v>
      </c>
      <c r="U135" s="87">
        <f>IF(U49=0,0,1000000*U49/TrRoad_act!U78)</f>
        <v>1129.6010044360571</v>
      </c>
      <c r="V135" s="87">
        <f>IF(V49=0,0,1000000*V49/TrRoad_act!V78)</f>
        <v>1053.3383402381023</v>
      </c>
      <c r="W135" s="87">
        <f>IF(W49=0,0,1000000*W49/TrRoad_act!W78)</f>
        <v>1121.6381342827979</v>
      </c>
      <c r="X135" s="87">
        <f>IF(X49=0,0,1000000*X49/TrRoad_act!X78)</f>
        <v>1147.7881557786343</v>
      </c>
      <c r="Y135" s="87">
        <f>IF(Y49=0,0,1000000*Y49/TrRoad_act!Y78)</f>
        <v>1111.5553782663094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228.02653958676248</v>
      </c>
      <c r="C136" s="87">
        <f>IF(C51=0,0,1000000*C51/TrRoad_act!C79)</f>
        <v>227.19591400787857</v>
      </c>
      <c r="D136" s="87">
        <f>IF(D51=0,0,1000000*D51/TrRoad_act!D79)</f>
        <v>227.74735194361449</v>
      </c>
      <c r="E136" s="87">
        <f>IF(E51=0,0,1000000*E51/TrRoad_act!E79)</f>
        <v>228.10234083882631</v>
      </c>
      <c r="F136" s="87">
        <f>IF(F51=0,0,1000000*F51/TrRoad_act!F79)</f>
        <v>228.10115957978414</v>
      </c>
      <c r="G136" s="87">
        <f>IF(G51=0,0,1000000*G51/TrRoad_act!G79)</f>
        <v>228.53593870823653</v>
      </c>
      <c r="H136" s="87">
        <f>IF(H51=0,0,1000000*H51/TrRoad_act!H79)</f>
        <v>226.86026075480461</v>
      </c>
      <c r="I136" s="87">
        <f>IF(I51=0,0,1000000*I51/TrRoad_act!I79)</f>
        <v>225.25458902778328</v>
      </c>
      <c r="J136" s="87">
        <f>IF(J51=0,0,1000000*J51/TrRoad_act!J79)</f>
        <v>222.76598787285971</v>
      </c>
      <c r="K136" s="87">
        <f>IF(K51=0,0,1000000*K51/TrRoad_act!K79)</f>
        <v>218.55484487353652</v>
      </c>
      <c r="L136" s="87">
        <f>IF(L51=0,0,1000000*L51/TrRoad_act!L79)</f>
        <v>211.20358265229427</v>
      </c>
      <c r="M136" s="87">
        <f>IF(M51=0,0,1000000*M51/TrRoad_act!M79)</f>
        <v>206.72546406545285</v>
      </c>
      <c r="N136" s="87">
        <f>IF(N51=0,0,1000000*N51/TrRoad_act!N79)</f>
        <v>203.47533550090446</v>
      </c>
      <c r="O136" s="87">
        <f>IF(O51=0,0,1000000*O51/TrRoad_act!O79)</f>
        <v>202.44843806228548</v>
      </c>
      <c r="P136" s="87">
        <f>IF(P51=0,0,1000000*P51/TrRoad_act!P79)</f>
        <v>204.7415900273792</v>
      </c>
      <c r="Q136" s="87">
        <f>IF(Q51=0,0,1000000*Q51/TrRoad_act!Q79)</f>
        <v>218.99413485759865</v>
      </c>
      <c r="R136" s="87">
        <f>IF(R51=0,0,1000000*R51/TrRoad_act!R79)</f>
        <v>242.09188986096061</v>
      </c>
      <c r="S136" s="87">
        <f>IF(S51=0,0,1000000*S51/TrRoad_act!S79)</f>
        <v>236.53481588935742</v>
      </c>
      <c r="T136" s="87">
        <f>IF(T51=0,0,1000000*T51/TrRoad_act!T79)</f>
        <v>241.91191613484048</v>
      </c>
      <c r="U136" s="87">
        <f>IF(U51=0,0,1000000*U51/TrRoad_act!U79)</f>
        <v>269.57060855298101</v>
      </c>
      <c r="V136" s="87">
        <f>IF(V51=0,0,1000000*V51/TrRoad_act!V79)</f>
        <v>294.87175807840578</v>
      </c>
      <c r="W136" s="87">
        <f>IF(W51=0,0,1000000*W51/TrRoad_act!W79)</f>
        <v>341.00082774429643</v>
      </c>
      <c r="X136" s="87">
        <f>IF(X51=0,0,1000000*X51/TrRoad_act!X79)</f>
        <v>345.37486940559558</v>
      </c>
      <c r="Y136" s="87">
        <f>IF(Y51=0,0,1000000*Y51/TrRoad_act!Y79)</f>
        <v>348.9365929967272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13780.459236790597</v>
      </c>
      <c r="C137" s="116">
        <f>IF(C52=0,0,1000000*C52/TrRoad_act!C80)</f>
        <v>12879.590906907037</v>
      </c>
      <c r="D137" s="116">
        <f>IF(D52=0,0,1000000*D52/TrRoad_act!D80)</f>
        <v>12899.927836801276</v>
      </c>
      <c r="E137" s="116">
        <f>IF(E52=0,0,1000000*E52/TrRoad_act!E80)</f>
        <v>12098.768025621797</v>
      </c>
      <c r="F137" s="116">
        <f>IF(F52=0,0,1000000*F52/TrRoad_act!F80)</f>
        <v>12119.959079510794</v>
      </c>
      <c r="G137" s="116">
        <f>IF(G52=0,0,1000000*G52/TrRoad_act!G80)</f>
        <v>11764.401164139319</v>
      </c>
      <c r="H137" s="116">
        <f>IF(H52=0,0,1000000*H52/TrRoad_act!H80)</f>
        <v>13917.817198893454</v>
      </c>
      <c r="I137" s="116">
        <f>IF(I52=0,0,1000000*I52/TrRoad_act!I80)</f>
        <v>15844.424709932891</v>
      </c>
      <c r="J137" s="116">
        <f>IF(J52=0,0,1000000*J52/TrRoad_act!J80)</f>
        <v>15778.239506783466</v>
      </c>
      <c r="K137" s="116">
        <f>IF(K52=0,0,1000000*K52/TrRoad_act!K80)</f>
        <v>14838.009904745639</v>
      </c>
      <c r="L137" s="116">
        <f>IF(L52=0,0,1000000*L52/TrRoad_act!L80)</f>
        <v>16556.109040171581</v>
      </c>
      <c r="M137" s="116">
        <f>IF(M52=0,0,1000000*M52/TrRoad_act!M80)</f>
        <v>15938.797446013281</v>
      </c>
      <c r="N137" s="116">
        <f>IF(N52=0,0,1000000*N52/TrRoad_act!N80)</f>
        <v>16983.515955614068</v>
      </c>
      <c r="O137" s="116">
        <f>IF(O52=0,0,1000000*O52/TrRoad_act!O80)</f>
        <v>16417.638116866321</v>
      </c>
      <c r="P137" s="116">
        <f>IF(P52=0,0,1000000*P52/TrRoad_act!P80)</f>
        <v>16696.378395493004</v>
      </c>
      <c r="Q137" s="116">
        <f>IF(Q52=0,0,1000000*Q52/TrRoad_act!Q80)</f>
        <v>14464.134752726144</v>
      </c>
      <c r="R137" s="116">
        <f>IF(R52=0,0,1000000*R52/TrRoad_act!R80)</f>
        <v>14273.095336566035</v>
      </c>
      <c r="S137" s="116">
        <f>IF(S52=0,0,1000000*S52/TrRoad_act!S80)</f>
        <v>14512.923816889845</v>
      </c>
      <c r="T137" s="116">
        <f>IF(T52=0,0,1000000*T52/TrRoad_act!T80)</f>
        <v>14912.510850221013</v>
      </c>
      <c r="U137" s="116">
        <f>IF(U52=0,0,1000000*U52/TrRoad_act!U80)</f>
        <v>13974.735152240171</v>
      </c>
      <c r="V137" s="116">
        <f>IF(V52=0,0,1000000*V52/TrRoad_act!V80)</f>
        <v>14225.538122261771</v>
      </c>
      <c r="W137" s="116">
        <f>IF(W52=0,0,1000000*W52/TrRoad_act!W80)</f>
        <v>12444.15573302035</v>
      </c>
      <c r="X137" s="116">
        <f>IF(X52=0,0,1000000*X52/TrRoad_act!X80)</f>
        <v>11543.143126746756</v>
      </c>
      <c r="Y137" s="116">
        <f>IF(Y52=0,0,1000000*Y52/TrRoad_act!Y80)</f>
        <v>9799.9997680448105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10489.204076681641</v>
      </c>
      <c r="C138" s="101">
        <f>IF(C53=0,0,1000000*C53/TrRoad_act!C81)</f>
        <v>10454.159609634009</v>
      </c>
      <c r="D138" s="101">
        <f>IF(D53=0,0,1000000*D53/TrRoad_act!D81)</f>
        <v>10480.787512403136</v>
      </c>
      <c r="E138" s="101">
        <f>IF(E53=0,0,1000000*E53/TrRoad_act!E81)</f>
        <v>10572.348943343906</v>
      </c>
      <c r="F138" s="101">
        <f>IF(F53=0,0,1000000*F53/TrRoad_act!F81)</f>
        <v>10934.686746903204</v>
      </c>
      <c r="G138" s="101">
        <f>IF(G53=0,0,1000000*G53/TrRoad_act!G81)</f>
        <v>10957.404610689267</v>
      </c>
      <c r="H138" s="101">
        <f>IF(H53=0,0,1000000*H53/TrRoad_act!H81)</f>
        <v>11670.207949947833</v>
      </c>
      <c r="I138" s="101">
        <f>IF(I53=0,0,1000000*I53/TrRoad_act!I81)</f>
        <v>14215.74052561865</v>
      </c>
      <c r="J138" s="101">
        <f>IF(J53=0,0,1000000*J53/TrRoad_act!J81)</f>
        <v>14730.719988238807</v>
      </c>
      <c r="K138" s="101">
        <f>IF(K53=0,0,1000000*K53/TrRoad_act!K81)</f>
        <v>13621.823298121093</v>
      </c>
      <c r="L138" s="101">
        <f>IF(L53=0,0,1000000*L53/TrRoad_act!L81)</f>
        <v>14056.503424813463</v>
      </c>
      <c r="M138" s="101">
        <f>IF(M53=0,0,1000000*M53/TrRoad_act!M81)</f>
        <v>14164.695242907728</v>
      </c>
      <c r="N138" s="101">
        <f>IF(N53=0,0,1000000*N53/TrRoad_act!N81)</f>
        <v>13939.766489672649</v>
      </c>
      <c r="O138" s="101">
        <f>IF(O53=0,0,1000000*O53/TrRoad_act!O81)</f>
        <v>13664.695001781769</v>
      </c>
      <c r="P138" s="101">
        <f>IF(P53=0,0,1000000*P53/TrRoad_act!P81)</f>
        <v>13765.722939899173</v>
      </c>
      <c r="Q138" s="101">
        <f>IF(Q53=0,0,1000000*Q53/TrRoad_act!Q81)</f>
        <v>13338.614564305468</v>
      </c>
      <c r="R138" s="101">
        <f>IF(R53=0,0,1000000*R53/TrRoad_act!R81)</f>
        <v>12975.795129622476</v>
      </c>
      <c r="S138" s="101">
        <f>IF(S53=0,0,1000000*S53/TrRoad_act!S81)</f>
        <v>12513.599496098239</v>
      </c>
      <c r="T138" s="101">
        <f>IF(T53=0,0,1000000*T53/TrRoad_act!T81)</f>
        <v>12275.75484695828</v>
      </c>
      <c r="U138" s="101">
        <f>IF(U53=0,0,1000000*U53/TrRoad_act!U81)</f>
        <v>11567.786937039755</v>
      </c>
      <c r="V138" s="101">
        <f>IF(V53=0,0,1000000*V53/TrRoad_act!V81)</f>
        <v>11021.291739962009</v>
      </c>
      <c r="W138" s="101">
        <f>IF(W53=0,0,1000000*W53/TrRoad_act!W81)</f>
        <v>10435.866531236245</v>
      </c>
      <c r="X138" s="101">
        <f>IF(X53=0,0,1000000*X53/TrRoad_act!X81)</f>
        <v>9870.8528048023218</v>
      </c>
      <c r="Y138" s="101">
        <f>IF(Y53=0,0,1000000*Y53/TrRoad_act!Y81)</f>
        <v>8964.6361565597981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49457.824498928763</v>
      </c>
      <c r="C139" s="88">
        <f>IF(C55=0,0,1000000*C55/TrRoad_act!C82)</f>
        <v>36978.699548705583</v>
      </c>
      <c r="D139" s="88">
        <f>IF(D55=0,0,1000000*D55/TrRoad_act!D82)</f>
        <v>34626.656796686249</v>
      </c>
      <c r="E139" s="88">
        <f>IF(E55=0,0,1000000*E55/TrRoad_act!E82)</f>
        <v>24930.523151395573</v>
      </c>
      <c r="F139" s="88">
        <f>IF(F55=0,0,1000000*F55/TrRoad_act!F82)</f>
        <v>20300.289510751816</v>
      </c>
      <c r="G139" s="88">
        <f>IF(G55=0,0,1000000*G55/TrRoad_act!G82)</f>
        <v>17070.345819259728</v>
      </c>
      <c r="H139" s="88">
        <f>IF(H55=0,0,1000000*H55/TrRoad_act!H82)</f>
        <v>27784.74288831067</v>
      </c>
      <c r="I139" s="88">
        <f>IF(I55=0,0,1000000*I55/TrRoad_act!I82)</f>
        <v>23834.951219686405</v>
      </c>
      <c r="J139" s="88">
        <f>IF(J55=0,0,1000000*J55/TrRoad_act!J82)</f>
        <v>20609.34745763</v>
      </c>
      <c r="K139" s="88">
        <f>IF(K55=0,0,1000000*K55/TrRoad_act!K82)</f>
        <v>21075.215449630945</v>
      </c>
      <c r="L139" s="88">
        <f>IF(L55=0,0,1000000*L55/TrRoad_act!L82)</f>
        <v>28606.045760918874</v>
      </c>
      <c r="M139" s="88">
        <f>IF(M55=0,0,1000000*M55/TrRoad_act!M82)</f>
        <v>24664.351773317747</v>
      </c>
      <c r="N139" s="88">
        <f>IF(N55=0,0,1000000*N55/TrRoad_act!N82)</f>
        <v>31720.725617396027</v>
      </c>
      <c r="O139" s="88">
        <f>IF(O55=0,0,1000000*O55/TrRoad_act!O82)</f>
        <v>29446.722793588477</v>
      </c>
      <c r="P139" s="88">
        <f>IF(P55=0,0,1000000*P55/TrRoad_act!P82)</f>
        <v>30488.479456976249</v>
      </c>
      <c r="Q139" s="88">
        <f>IF(Q55=0,0,1000000*Q55/TrRoad_act!Q82)</f>
        <v>19847.770242031194</v>
      </c>
      <c r="R139" s="88">
        <f>IF(R55=0,0,1000000*R55/TrRoad_act!R82)</f>
        <v>20179.108430753044</v>
      </c>
      <c r="S139" s="88">
        <f>IF(S55=0,0,1000000*S55/TrRoad_act!S82)</f>
        <v>23200.571869489591</v>
      </c>
      <c r="T139" s="88">
        <f>IF(T55=0,0,1000000*T55/TrRoad_act!T82)</f>
        <v>27416.379866438219</v>
      </c>
      <c r="U139" s="88">
        <f>IF(U55=0,0,1000000*U55/TrRoad_act!U82)</f>
        <v>24948.917295463674</v>
      </c>
      <c r="V139" s="88">
        <f>IF(V55=0,0,1000000*V55/TrRoad_act!V82)</f>
        <v>29035.294010531747</v>
      </c>
      <c r="W139" s="88">
        <f>IF(W55=0,0,1000000*W55/TrRoad_act!W82)</f>
        <v>21581.93900769957</v>
      </c>
      <c r="X139" s="88">
        <f>IF(X55=0,0,1000000*X55/TrRoad_act!X82)</f>
        <v>19300.576569273653</v>
      </c>
      <c r="Y139" s="88">
        <f>IF(Y55=0,0,1000000*Y55/TrRoad_act!Y82)</f>
        <v>13804.412953961455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0.71282496598233436</v>
      </c>
      <c r="C142" s="46">
        <f t="shared" si="42"/>
        <v>0.72282275096596804</v>
      </c>
      <c r="D142" s="46">
        <f t="shared" si="42"/>
        <v>0.72872840760665025</v>
      </c>
      <c r="E142" s="46">
        <f t="shared" si="42"/>
        <v>0.73712148880424355</v>
      </c>
      <c r="F142" s="46">
        <f t="shared" si="42"/>
        <v>0.74110986755109587</v>
      </c>
      <c r="G142" s="46">
        <f t="shared" si="42"/>
        <v>0.73908913520343522</v>
      </c>
      <c r="H142" s="46">
        <f t="shared" si="42"/>
        <v>0.70760030707916921</v>
      </c>
      <c r="I142" s="46">
        <f t="shared" si="42"/>
        <v>0.70367183033442438</v>
      </c>
      <c r="J142" s="46">
        <f t="shared" si="42"/>
        <v>0.70549277434642421</v>
      </c>
      <c r="K142" s="46">
        <f t="shared" si="42"/>
        <v>0.71604603067414729</v>
      </c>
      <c r="L142" s="46">
        <f t="shared" ref="L142" si="43">IF(L18=0,0,L18/L$17)</f>
        <v>0.69536461877008893</v>
      </c>
      <c r="M142" s="46">
        <f t="shared" ref="M142:V142" si="44">IF(M18=0,0,M18/M$17)</f>
        <v>0.70186514359184515</v>
      </c>
      <c r="N142" s="46">
        <f t="shared" si="44"/>
        <v>0.68638685378523712</v>
      </c>
      <c r="O142" s="46">
        <f t="shared" si="44"/>
        <v>0.69378290494085737</v>
      </c>
      <c r="P142" s="46">
        <f t="shared" si="44"/>
        <v>0.68975893700394109</v>
      </c>
      <c r="Q142" s="46">
        <f t="shared" si="44"/>
        <v>0.70894935332457976</v>
      </c>
      <c r="R142" s="46">
        <f t="shared" si="44"/>
        <v>0.70697240419836538</v>
      </c>
      <c r="S142" s="46">
        <f t="shared" si="44"/>
        <v>0.69718719550288333</v>
      </c>
      <c r="T142" s="46">
        <f t="shared" si="44"/>
        <v>0.68010665348070298</v>
      </c>
      <c r="U142" s="46">
        <f t="shared" si="44"/>
        <v>0.68465302366396141</v>
      </c>
      <c r="V142" s="46">
        <f t="shared" si="44"/>
        <v>0.6481029748022491</v>
      </c>
      <c r="W142" s="46">
        <f t="shared" ref="W142:Y142" si="45">IF(W18=0,0,W18/W$17)</f>
        <v>0.66162870308432276</v>
      </c>
      <c r="X142" s="46">
        <f t="shared" si="45"/>
        <v>0.67743559054243363</v>
      </c>
      <c r="Y142" s="46">
        <f t="shared" si="45"/>
        <v>0.69845159682509006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8.3776873100098667E-3</v>
      </c>
      <c r="C143" s="154">
        <f t="shared" si="46"/>
        <v>8.542406134601277E-3</v>
      </c>
      <c r="D143" s="154">
        <f t="shared" si="46"/>
        <v>8.8495296931607459E-3</v>
      </c>
      <c r="E143" s="154">
        <f t="shared" si="46"/>
        <v>8.9663210892767815E-3</v>
      </c>
      <c r="F143" s="154">
        <f t="shared" si="46"/>
        <v>9.1829070162045053E-3</v>
      </c>
      <c r="G143" s="154">
        <f t="shared" si="46"/>
        <v>9.5094368715557178E-3</v>
      </c>
      <c r="H143" s="154">
        <f t="shared" si="46"/>
        <v>9.4493432252709727E-3</v>
      </c>
      <c r="I143" s="154">
        <f t="shared" si="46"/>
        <v>8.2114842826395609E-3</v>
      </c>
      <c r="J143" s="154">
        <f t="shared" si="46"/>
        <v>8.3467058127586029E-3</v>
      </c>
      <c r="K143" s="154">
        <f t="shared" si="46"/>
        <v>8.5472196630712489E-3</v>
      </c>
      <c r="L143" s="154">
        <f t="shared" ref="L143" si="47">IF(L19=0,0,L19/L$17)</f>
        <v>8.3648476898710317E-3</v>
      </c>
      <c r="M143" s="154">
        <f t="shared" ref="M143:V143" si="48">IF(M19=0,0,M19/M$17)</f>
        <v>8.5597599752247292E-3</v>
      </c>
      <c r="N143" s="154">
        <f t="shared" si="48"/>
        <v>8.5157720232539851E-3</v>
      </c>
      <c r="O143" s="154">
        <f t="shared" si="48"/>
        <v>8.5021329271244266E-3</v>
      </c>
      <c r="P143" s="154">
        <f t="shared" si="48"/>
        <v>8.362293243721914E-3</v>
      </c>
      <c r="Q143" s="154">
        <f t="shared" si="48"/>
        <v>8.6254103435675425E-3</v>
      </c>
      <c r="R143" s="154">
        <f t="shared" si="48"/>
        <v>8.5459026350066473E-3</v>
      </c>
      <c r="S143" s="154">
        <f t="shared" si="48"/>
        <v>7.8679649938743022E-3</v>
      </c>
      <c r="T143" s="154">
        <f t="shared" si="48"/>
        <v>7.6665688279442734E-3</v>
      </c>
      <c r="U143" s="154">
        <f t="shared" si="48"/>
        <v>8.1271763702480057E-3</v>
      </c>
      <c r="V143" s="154">
        <f t="shared" si="48"/>
        <v>7.7431296122641539E-3</v>
      </c>
      <c r="W143" s="154">
        <f t="shared" ref="W143:Y143" si="49">IF(W19=0,0,W19/W$17)</f>
        <v>8.4627047009931001E-3</v>
      </c>
      <c r="X143" s="154">
        <f t="shared" si="49"/>
        <v>8.3557056801901782E-3</v>
      </c>
      <c r="Y143" s="154">
        <f t="shared" si="49"/>
        <v>9.1648728890260968E-3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0.665765831549743</v>
      </c>
      <c r="C144" s="156">
        <f t="shared" si="50"/>
        <v>0.67578961069576549</v>
      </c>
      <c r="D144" s="156">
        <f t="shared" si="50"/>
        <v>0.68211202210201238</v>
      </c>
      <c r="E144" s="156">
        <f t="shared" si="50"/>
        <v>0.68928436217936417</v>
      </c>
      <c r="F144" s="156">
        <f t="shared" si="50"/>
        <v>0.69312353288055328</v>
      </c>
      <c r="G144" s="156">
        <f t="shared" si="50"/>
        <v>0.69056013463153654</v>
      </c>
      <c r="H144" s="156">
        <f t="shared" si="50"/>
        <v>0.6593638967828751</v>
      </c>
      <c r="I144" s="156">
        <f t="shared" si="50"/>
        <v>0.65848903626406319</v>
      </c>
      <c r="J144" s="156">
        <f t="shared" si="50"/>
        <v>0.66124661679142649</v>
      </c>
      <c r="K144" s="156">
        <f t="shared" si="50"/>
        <v>0.67076821127547959</v>
      </c>
      <c r="L144" s="156">
        <f t="shared" ref="L144" si="51">IF(L21=0,0,L21/L$17)</f>
        <v>0.64897173295654242</v>
      </c>
      <c r="M144" s="156">
        <f t="shared" ref="M144:V144" si="52">IF(M21=0,0,M21/M$17)</f>
        <v>0.65358030020056301</v>
      </c>
      <c r="N144" s="156">
        <f t="shared" si="52"/>
        <v>0.63527440022968307</v>
      </c>
      <c r="O144" s="156">
        <f t="shared" si="52"/>
        <v>0.64082692736446401</v>
      </c>
      <c r="P144" s="156">
        <f t="shared" si="52"/>
        <v>0.63665075917334757</v>
      </c>
      <c r="Q144" s="156">
        <f t="shared" si="52"/>
        <v>0.65357225711267308</v>
      </c>
      <c r="R144" s="156">
        <f t="shared" si="52"/>
        <v>0.65166573370242065</v>
      </c>
      <c r="S144" s="156">
        <f t="shared" si="52"/>
        <v>0.64399488176084951</v>
      </c>
      <c r="T144" s="156">
        <f t="shared" si="52"/>
        <v>0.62577971907908581</v>
      </c>
      <c r="U144" s="156">
        <f t="shared" si="52"/>
        <v>0.6303826395894937</v>
      </c>
      <c r="V144" s="156">
        <f t="shared" si="52"/>
        <v>0.59367441751963923</v>
      </c>
      <c r="W144" s="156">
        <f t="shared" ref="W144:Y144" si="53">IF(W21=0,0,W21/W$17)</f>
        <v>0.60721982465824931</v>
      </c>
      <c r="X144" s="156">
        <f t="shared" si="53"/>
        <v>0.62047327544455078</v>
      </c>
      <c r="Y144" s="156">
        <f t="shared" si="53"/>
        <v>0.63862287847045329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0.51792350227782702</v>
      </c>
      <c r="C145" s="103">
        <f t="shared" si="54"/>
        <v>0.51302540257550433</v>
      </c>
      <c r="D145" s="103">
        <f t="shared" si="54"/>
        <v>0.50382829068954671</v>
      </c>
      <c r="E145" s="103">
        <f t="shared" si="54"/>
        <v>0.48602762165754954</v>
      </c>
      <c r="F145" s="103">
        <f t="shared" si="54"/>
        <v>0.46906833402863107</v>
      </c>
      <c r="G145" s="103">
        <f t="shared" si="54"/>
        <v>0.45107880924380911</v>
      </c>
      <c r="H145" s="103">
        <f t="shared" si="54"/>
        <v>0.42515469122025523</v>
      </c>
      <c r="I145" s="103">
        <f t="shared" si="54"/>
        <v>0.41148280005650756</v>
      </c>
      <c r="J145" s="103">
        <f t="shared" si="54"/>
        <v>0.40783906105982615</v>
      </c>
      <c r="K145" s="103">
        <f t="shared" si="54"/>
        <v>0.39640766435677854</v>
      </c>
      <c r="L145" s="103">
        <f t="shared" ref="L145" si="55">IF(L22=0,0,L22/L$17)</f>
        <v>0.37845311533659859</v>
      </c>
      <c r="M145" s="103">
        <f t="shared" ref="M145:V145" si="56">IF(M22=0,0,M22/M$17)</f>
        <v>0.37304710905799832</v>
      </c>
      <c r="N145" s="103">
        <f t="shared" si="56"/>
        <v>0.35307929868564886</v>
      </c>
      <c r="O145" s="103">
        <f t="shared" si="56"/>
        <v>0.34459840829718436</v>
      </c>
      <c r="P145" s="103">
        <f t="shared" si="56"/>
        <v>0.33882252851449024</v>
      </c>
      <c r="Q145" s="103">
        <f t="shared" si="56"/>
        <v>0.3251772063960307</v>
      </c>
      <c r="R145" s="103">
        <f t="shared" si="56"/>
        <v>0.317129996425289</v>
      </c>
      <c r="S145" s="103">
        <f t="shared" si="56"/>
        <v>0.31697883001923421</v>
      </c>
      <c r="T145" s="103">
        <f t="shared" si="56"/>
        <v>0.31437099367631899</v>
      </c>
      <c r="U145" s="103">
        <f t="shared" si="56"/>
        <v>0.31312581953723628</v>
      </c>
      <c r="V145" s="103">
        <f t="shared" si="56"/>
        <v>0.30725444506315047</v>
      </c>
      <c r="W145" s="103">
        <f t="shared" ref="W145:Y145" si="57">IF(W22=0,0,W22/W$17)</f>
        <v>0.31249757577118142</v>
      </c>
      <c r="X145" s="103">
        <f t="shared" si="57"/>
        <v>0.31845171902902542</v>
      </c>
      <c r="Y145" s="103">
        <f t="shared" si="57"/>
        <v>0.32602490550073782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0.14658983405330703</v>
      </c>
      <c r="C146" s="103">
        <f t="shared" si="58"/>
        <v>0.16150560805241235</v>
      </c>
      <c r="D146" s="103">
        <f t="shared" si="58"/>
        <v>0.17678678942631434</v>
      </c>
      <c r="E146" s="103">
        <f t="shared" si="58"/>
        <v>0.20169322266838846</v>
      </c>
      <c r="F146" s="103">
        <f t="shared" si="58"/>
        <v>0.22196768918613358</v>
      </c>
      <c r="G146" s="103">
        <f t="shared" si="58"/>
        <v>0.23627789901037641</v>
      </c>
      <c r="H146" s="103">
        <f t="shared" si="58"/>
        <v>0.23000167011522832</v>
      </c>
      <c r="I146" s="103">
        <f t="shared" si="58"/>
        <v>0.24076018514369002</v>
      </c>
      <c r="J146" s="103">
        <f t="shared" si="58"/>
        <v>0.24400903336275218</v>
      </c>
      <c r="K146" s="103">
        <f t="shared" si="58"/>
        <v>0.26005077551034406</v>
      </c>
      <c r="L146" s="103">
        <f t="shared" ref="L146" si="59">IF(L24=0,0,L24/L$17)</f>
        <v>0.25668584515359383</v>
      </c>
      <c r="M146" s="103">
        <f t="shared" ref="M146:V146" si="60">IF(M24=0,0,M24/M$17)</f>
        <v>0.26652867575575773</v>
      </c>
      <c r="N146" s="103">
        <f t="shared" si="60"/>
        <v>0.26817545237024154</v>
      </c>
      <c r="O146" s="103">
        <f t="shared" si="60"/>
        <v>0.28273333624567915</v>
      </c>
      <c r="P146" s="103">
        <f t="shared" si="60"/>
        <v>0.28395588923925202</v>
      </c>
      <c r="Q146" s="103">
        <f t="shared" si="60"/>
        <v>0.31557156656437169</v>
      </c>
      <c r="R146" s="103">
        <f t="shared" si="60"/>
        <v>0.32303394644735617</v>
      </c>
      <c r="S146" s="103">
        <f t="shared" si="60"/>
        <v>0.31627283651274185</v>
      </c>
      <c r="T146" s="103">
        <f t="shared" si="60"/>
        <v>0.29897221467782031</v>
      </c>
      <c r="U146" s="103">
        <f t="shared" si="60"/>
        <v>0.3057599901363468</v>
      </c>
      <c r="V146" s="103">
        <f t="shared" si="60"/>
        <v>0.27494552577576648</v>
      </c>
      <c r="W146" s="103">
        <f t="shared" ref="W146:Y146" si="61">IF(W24=0,0,W24/W$17)</f>
        <v>0.27982202739117551</v>
      </c>
      <c r="X146" s="103">
        <f t="shared" si="61"/>
        <v>0.28607149562393491</v>
      </c>
      <c r="Y146" s="103">
        <f t="shared" si="61"/>
        <v>0.29191079425824684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1.2524952186091002E-3</v>
      </c>
      <c r="C147" s="103">
        <f t="shared" si="62"/>
        <v>1.2586000678487953E-3</v>
      </c>
      <c r="D147" s="103">
        <f t="shared" si="62"/>
        <v>1.4969419861513111E-3</v>
      </c>
      <c r="E147" s="103">
        <f t="shared" si="62"/>
        <v>1.5635178534262131E-3</v>
      </c>
      <c r="F147" s="103">
        <f t="shared" si="62"/>
        <v>2.0875096657885233E-3</v>
      </c>
      <c r="G147" s="103">
        <f t="shared" si="62"/>
        <v>2.3736902008552612E-3</v>
      </c>
      <c r="H147" s="103">
        <f t="shared" si="62"/>
        <v>3.2847115065471758E-3</v>
      </c>
      <c r="I147" s="103">
        <f t="shared" si="62"/>
        <v>5.3359920881910095E-3</v>
      </c>
      <c r="J147" s="103">
        <f t="shared" si="62"/>
        <v>8.5156034936458309E-3</v>
      </c>
      <c r="K147" s="103">
        <f t="shared" si="62"/>
        <v>1.2508602530935579E-2</v>
      </c>
      <c r="L147" s="103">
        <f t="shared" ref="L147" si="63">IF(L26=0,0,L26/L$17)</f>
        <v>1.2003197392854966E-2</v>
      </c>
      <c r="M147" s="103">
        <f t="shared" ref="M147:V147" si="64">IF(M26=0,0,M26/M$17)</f>
        <v>1.2072511540472081E-2</v>
      </c>
      <c r="N147" s="103">
        <f t="shared" si="64"/>
        <v>1.2074033570629437E-2</v>
      </c>
      <c r="O147" s="103">
        <f t="shared" si="64"/>
        <v>1.1484847001630886E-2</v>
      </c>
      <c r="P147" s="103">
        <f t="shared" si="64"/>
        <v>1.1825298535309507E-2</v>
      </c>
      <c r="Q147" s="103">
        <f t="shared" si="64"/>
        <v>1.0868685210751383E-2</v>
      </c>
      <c r="R147" s="103">
        <f t="shared" si="64"/>
        <v>9.5119323993102245E-3</v>
      </c>
      <c r="S147" s="103">
        <f t="shared" si="64"/>
        <v>8.6330338841927087E-3</v>
      </c>
      <c r="T147" s="103">
        <f t="shared" si="64"/>
        <v>9.9769995972512262E-3</v>
      </c>
      <c r="U147" s="103">
        <f t="shared" si="64"/>
        <v>8.4851824383056964E-3</v>
      </c>
      <c r="V147" s="103">
        <f t="shared" si="64"/>
        <v>6.773034634094708E-3</v>
      </c>
      <c r="W147" s="103">
        <f t="shared" ref="W147:Y147" si="65">IF(W26=0,0,W26/W$17)</f>
        <v>6.4711442768894305E-3</v>
      </c>
      <c r="X147" s="103">
        <f t="shared" si="65"/>
        <v>4.1575105506089288E-3</v>
      </c>
      <c r="Y147" s="103">
        <f t="shared" si="65"/>
        <v>5.7391318811687228E-3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8.297361764956128E-4</v>
      </c>
      <c r="H148" s="103">
        <f t="shared" si="66"/>
        <v>9.2273420428063909E-4</v>
      </c>
      <c r="I148" s="103">
        <f t="shared" si="66"/>
        <v>9.0993320810795321E-4</v>
      </c>
      <c r="J148" s="103">
        <f t="shared" si="66"/>
        <v>8.7661671858957899E-4</v>
      </c>
      <c r="K148" s="103">
        <f t="shared" si="66"/>
        <v>1.7933672289899294E-3</v>
      </c>
      <c r="L148" s="103">
        <f t="shared" ref="L148" si="67">IF(L27=0,0,L27/L$17)</f>
        <v>1.8183961476820301E-3</v>
      </c>
      <c r="M148" s="103">
        <f t="shared" ref="M148:V148" si="68">IF(M27=0,0,M27/M$17)</f>
        <v>1.9087496153297799E-3</v>
      </c>
      <c r="N148" s="103">
        <f t="shared" si="68"/>
        <v>1.905767375027801E-3</v>
      </c>
      <c r="O148" s="103">
        <f t="shared" si="68"/>
        <v>1.9406831487706663E-3</v>
      </c>
      <c r="P148" s="103">
        <f t="shared" si="68"/>
        <v>1.9314018717556357E-3</v>
      </c>
      <c r="Q148" s="103">
        <f t="shared" si="68"/>
        <v>1.7557069053710892E-3</v>
      </c>
      <c r="R148" s="103">
        <f t="shared" si="68"/>
        <v>1.6890170784347733E-3</v>
      </c>
      <c r="S148" s="103">
        <f t="shared" si="68"/>
        <v>1.6616591305259366E-3</v>
      </c>
      <c r="T148" s="103">
        <f t="shared" si="68"/>
        <v>1.7424765891644058E-3</v>
      </c>
      <c r="U148" s="103">
        <f t="shared" si="68"/>
        <v>1.7773845456049505E-3</v>
      </c>
      <c r="V148" s="103">
        <f t="shared" si="68"/>
        <v>1.6688383276066881E-3</v>
      </c>
      <c r="W148" s="103">
        <f t="shared" ref="W148:Y148" si="69">IF(W27=0,0,W27/W$17)</f>
        <v>1.6537727204264403E-3</v>
      </c>
      <c r="X148" s="103">
        <f t="shared" si="69"/>
        <v>1.7026418208105315E-3</v>
      </c>
      <c r="Y148" s="103">
        <f t="shared" si="69"/>
        <v>1.8112324979548487E-3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1.5262956917482645E-6</v>
      </c>
      <c r="N149" s="103">
        <f t="shared" si="72"/>
        <v>6.2240890272916059E-6</v>
      </c>
      <c r="O149" s="103">
        <f t="shared" si="72"/>
        <v>1.5169618047526502E-5</v>
      </c>
      <c r="P149" s="103">
        <f t="shared" si="72"/>
        <v>3.4673925689202048E-5</v>
      </c>
      <c r="Q149" s="103">
        <f t="shared" si="72"/>
        <v>8.7723482137197706E-5</v>
      </c>
      <c r="R149" s="103">
        <f t="shared" si="72"/>
        <v>1.5538825978658876E-4</v>
      </c>
      <c r="S149" s="103">
        <f t="shared" si="72"/>
        <v>2.2515241554303014E-4</v>
      </c>
      <c r="T149" s="103">
        <f t="shared" si="72"/>
        <v>3.5415120936623418E-4</v>
      </c>
      <c r="U149" s="103">
        <f t="shared" si="72"/>
        <v>5.898874631425988E-4</v>
      </c>
      <c r="V149" s="103">
        <f t="shared" si="72"/>
        <v>1.5012720704877373E-3</v>
      </c>
      <c r="W149" s="103">
        <f t="shared" ref="W149:Y149" si="73">IF(W29=0,0,W29/W$17)</f>
        <v>3.2085219180528011E-3</v>
      </c>
      <c r="X149" s="103">
        <f t="shared" si="73"/>
        <v>4.8739316715942799E-3</v>
      </c>
      <c r="Y149" s="103">
        <f t="shared" si="73"/>
        <v>5.541349841694237E-3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8.9736563784857997E-8</v>
      </c>
      <c r="I150" s="103">
        <f t="shared" si="74"/>
        <v>1.2576756650635604E-7</v>
      </c>
      <c r="J150" s="103">
        <f t="shared" si="74"/>
        <v>6.3021566127245386E-6</v>
      </c>
      <c r="K150" s="103">
        <f t="shared" si="74"/>
        <v>7.8016484313827378E-6</v>
      </c>
      <c r="L150" s="103">
        <f t="shared" ref="L150" si="75">IF(L32=0,0,L32/L$17)</f>
        <v>1.1178925812949057E-5</v>
      </c>
      <c r="M150" s="103">
        <f t="shared" ref="M150:V150" si="76">IF(M32=0,0,M32/M$17)</f>
        <v>2.1727935313292539E-5</v>
      </c>
      <c r="N150" s="103">
        <f t="shared" si="76"/>
        <v>3.3624139108145571E-5</v>
      </c>
      <c r="O150" s="103">
        <f t="shared" si="76"/>
        <v>5.4483053151413473E-5</v>
      </c>
      <c r="P150" s="103">
        <f t="shared" si="76"/>
        <v>8.0967086851002788E-5</v>
      </c>
      <c r="Q150" s="103">
        <f t="shared" si="76"/>
        <v>1.1136855401106789E-4</v>
      </c>
      <c r="R150" s="103">
        <f t="shared" si="76"/>
        <v>1.4545309224388845E-4</v>
      </c>
      <c r="S150" s="103">
        <f t="shared" si="76"/>
        <v>2.233697986118935E-4</v>
      </c>
      <c r="T150" s="103">
        <f t="shared" si="76"/>
        <v>3.6288332916447621E-4</v>
      </c>
      <c r="U150" s="103">
        <f t="shared" si="76"/>
        <v>6.4437546885733911E-4</v>
      </c>
      <c r="V150" s="103">
        <f t="shared" si="76"/>
        <v>1.5313016485330761E-3</v>
      </c>
      <c r="W150" s="103">
        <f t="shared" ref="W150:Y150" si="77">IF(W32=0,0,W32/W$17)</f>
        <v>3.5667825805237416E-3</v>
      </c>
      <c r="X150" s="103">
        <f t="shared" si="77"/>
        <v>5.215976748576657E-3</v>
      </c>
      <c r="Y150" s="103">
        <f t="shared" si="77"/>
        <v>7.5954644906508573E-3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3.8681447122581411E-2</v>
      </c>
      <c r="C151" s="156">
        <f t="shared" si="78"/>
        <v>3.84907341356013E-2</v>
      </c>
      <c r="D151" s="156">
        <f t="shared" si="78"/>
        <v>3.7766855811477144E-2</v>
      </c>
      <c r="E151" s="156">
        <f t="shared" si="78"/>
        <v>3.8870805535602633E-2</v>
      </c>
      <c r="F151" s="156">
        <f t="shared" si="78"/>
        <v>3.8803427654338168E-2</v>
      </c>
      <c r="G151" s="156">
        <f t="shared" si="78"/>
        <v>3.9019563700343068E-2</v>
      </c>
      <c r="H151" s="156">
        <f t="shared" si="78"/>
        <v>3.8787067071023112E-2</v>
      </c>
      <c r="I151" s="156">
        <f t="shared" si="78"/>
        <v>3.6971309787721597E-2</v>
      </c>
      <c r="J151" s="156">
        <f t="shared" si="78"/>
        <v>3.5899451742239255E-2</v>
      </c>
      <c r="K151" s="156">
        <f t="shared" si="78"/>
        <v>3.6730599735596482E-2</v>
      </c>
      <c r="L151" s="156">
        <f t="shared" ref="L151" si="79">IF(L33=0,0,L33/L$17)</f>
        <v>3.8028038123675487E-2</v>
      </c>
      <c r="M151" s="156">
        <f t="shared" ref="M151:V151" si="80">IF(M33=0,0,M33/M$17)</f>
        <v>3.9725083416057419E-2</v>
      </c>
      <c r="N151" s="156">
        <f t="shared" si="80"/>
        <v>4.2596681532299979E-2</v>
      </c>
      <c r="O151" s="156">
        <f t="shared" si="80"/>
        <v>4.4453844649268957E-2</v>
      </c>
      <c r="P151" s="156">
        <f t="shared" si="80"/>
        <v>4.4745884586871572E-2</v>
      </c>
      <c r="Q151" s="156">
        <f t="shared" si="80"/>
        <v>4.6751685868339027E-2</v>
      </c>
      <c r="R151" s="156">
        <f t="shared" si="80"/>
        <v>4.6760767860938093E-2</v>
      </c>
      <c r="S151" s="156">
        <f t="shared" si="80"/>
        <v>4.5324348748159389E-2</v>
      </c>
      <c r="T151" s="156">
        <f t="shared" si="80"/>
        <v>4.6660365573672861E-2</v>
      </c>
      <c r="U151" s="156">
        <f t="shared" si="80"/>
        <v>4.6143207704219598E-2</v>
      </c>
      <c r="V151" s="156">
        <f t="shared" si="80"/>
        <v>4.6685427670345697E-2</v>
      </c>
      <c r="W151" s="156">
        <f t="shared" ref="W151:Y151" si="81">IF(W33=0,0,W33/W$17)</f>
        <v>4.5946173725080322E-2</v>
      </c>
      <c r="X151" s="156">
        <f t="shared" si="81"/>
        <v>4.8606609417692744E-2</v>
      </c>
      <c r="Y151" s="156">
        <f t="shared" si="81"/>
        <v>5.0663845465610674E-2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0</v>
      </c>
      <c r="C152" s="103">
        <f t="shared" si="82"/>
        <v>0</v>
      </c>
      <c r="D152" s="103">
        <f t="shared" si="82"/>
        <v>0</v>
      </c>
      <c r="E152" s="103">
        <f t="shared" si="82"/>
        <v>0</v>
      </c>
      <c r="F152" s="103">
        <f t="shared" si="82"/>
        <v>0</v>
      </c>
      <c r="G152" s="103">
        <f t="shared" si="82"/>
        <v>0</v>
      </c>
      <c r="H152" s="103">
        <f t="shared" si="82"/>
        <v>0</v>
      </c>
      <c r="I152" s="103">
        <f t="shared" si="82"/>
        <v>0</v>
      </c>
      <c r="J152" s="103">
        <f t="shared" si="82"/>
        <v>0</v>
      </c>
      <c r="K152" s="103">
        <f t="shared" si="82"/>
        <v>0</v>
      </c>
      <c r="L152" s="103">
        <f t="shared" ref="L152" si="83">IF(L34=0,0,L34/L$17)</f>
        <v>0</v>
      </c>
      <c r="M152" s="103">
        <f t="shared" ref="M152:V152" si="84">IF(M34=0,0,M34/M$17)</f>
        <v>0</v>
      </c>
      <c r="N152" s="103">
        <f t="shared" si="84"/>
        <v>0</v>
      </c>
      <c r="O152" s="103">
        <f t="shared" si="84"/>
        <v>0</v>
      </c>
      <c r="P152" s="103">
        <f t="shared" si="84"/>
        <v>0</v>
      </c>
      <c r="Q152" s="103">
        <f t="shared" si="84"/>
        <v>0</v>
      </c>
      <c r="R152" s="103">
        <f t="shared" si="84"/>
        <v>0</v>
      </c>
      <c r="S152" s="103">
        <f t="shared" si="84"/>
        <v>0</v>
      </c>
      <c r="T152" s="103">
        <f t="shared" si="84"/>
        <v>0</v>
      </c>
      <c r="U152" s="103">
        <f t="shared" si="84"/>
        <v>0</v>
      </c>
      <c r="V152" s="103">
        <f t="shared" si="84"/>
        <v>0</v>
      </c>
      <c r="W152" s="103">
        <f t="shared" ref="W152:Y152" si="85">IF(W34=0,0,W34/W$17)</f>
        <v>0</v>
      </c>
      <c r="X152" s="103">
        <f t="shared" si="85"/>
        <v>0</v>
      </c>
      <c r="Y152" s="103">
        <f t="shared" si="85"/>
        <v>0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3.8328724995325962E-2</v>
      </c>
      <c r="C153" s="103">
        <f t="shared" si="86"/>
        <v>3.8008864167646157E-2</v>
      </c>
      <c r="D153" s="103">
        <f t="shared" si="86"/>
        <v>3.713655708453624E-2</v>
      </c>
      <c r="E153" s="103">
        <f t="shared" si="86"/>
        <v>3.8068014850479323E-2</v>
      </c>
      <c r="F153" s="103">
        <f t="shared" si="86"/>
        <v>3.7773044065260927E-2</v>
      </c>
      <c r="G153" s="103">
        <f t="shared" si="86"/>
        <v>3.8367409059892395E-2</v>
      </c>
      <c r="H153" s="103">
        <f t="shared" si="86"/>
        <v>3.793932358457746E-2</v>
      </c>
      <c r="I153" s="103">
        <f t="shared" si="86"/>
        <v>3.6119224282832318E-2</v>
      </c>
      <c r="J153" s="103">
        <f t="shared" si="86"/>
        <v>3.5236388105034752E-2</v>
      </c>
      <c r="K153" s="103">
        <f t="shared" si="86"/>
        <v>3.5970672183895019E-2</v>
      </c>
      <c r="L153" s="103">
        <f t="shared" ref="L153" si="87">IF(L36=0,0,L36/L$17)</f>
        <v>3.7386452350304085E-2</v>
      </c>
      <c r="M153" s="103">
        <f t="shared" ref="M153:V153" si="88">IF(M36=0,0,M36/M$17)</f>
        <v>3.8585730503300518E-2</v>
      </c>
      <c r="N153" s="103">
        <f t="shared" si="88"/>
        <v>4.090979162915772E-2</v>
      </c>
      <c r="O153" s="103">
        <f t="shared" si="88"/>
        <v>4.2483181578300423E-2</v>
      </c>
      <c r="P153" s="103">
        <f t="shared" si="88"/>
        <v>4.2858929524280283E-2</v>
      </c>
      <c r="Q153" s="103">
        <f t="shared" si="88"/>
        <v>4.4850898423884365E-2</v>
      </c>
      <c r="R153" s="103">
        <f t="shared" si="88"/>
        <v>4.5080767087171181E-2</v>
      </c>
      <c r="S153" s="103">
        <f t="shared" si="88"/>
        <v>4.3932564016277036E-2</v>
      </c>
      <c r="T153" s="103">
        <f t="shared" si="88"/>
        <v>4.5632175147186385E-2</v>
      </c>
      <c r="U153" s="103">
        <f t="shared" si="88"/>
        <v>4.4378119841935314E-2</v>
      </c>
      <c r="V153" s="103">
        <f t="shared" si="88"/>
        <v>4.4168158382101794E-2</v>
      </c>
      <c r="W153" s="103">
        <f t="shared" ref="W153:Y153" si="89">IF(W36=0,0,W36/W$17)</f>
        <v>4.3883323073244856E-2</v>
      </c>
      <c r="X153" s="103">
        <f t="shared" si="89"/>
        <v>4.4384736875911088E-2</v>
      </c>
      <c r="Y153" s="103">
        <f t="shared" si="89"/>
        <v>4.5883691025941357E-2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0</v>
      </c>
      <c r="C154" s="103">
        <f t="shared" si="90"/>
        <v>0</v>
      </c>
      <c r="D154" s="103">
        <f t="shared" si="90"/>
        <v>0</v>
      </c>
      <c r="E154" s="103">
        <f t="shared" si="90"/>
        <v>0</v>
      </c>
      <c r="F154" s="103">
        <f t="shared" si="90"/>
        <v>1.8544480557467984E-6</v>
      </c>
      <c r="G154" s="103">
        <f t="shared" si="90"/>
        <v>1.9494110905752325E-6</v>
      </c>
      <c r="H154" s="103">
        <f t="shared" si="90"/>
        <v>1.9841447212346892E-6</v>
      </c>
      <c r="I154" s="103">
        <f t="shared" si="90"/>
        <v>2.5916275758030745E-6</v>
      </c>
      <c r="J154" s="103">
        <f t="shared" si="90"/>
        <v>3.6123477413718178E-6</v>
      </c>
      <c r="K154" s="103">
        <f t="shared" si="90"/>
        <v>4.7839647836285468E-6</v>
      </c>
      <c r="L154" s="103">
        <f t="shared" ref="L154" si="91">IF(L38=0,0,L38/L$17)</f>
        <v>5.1532720958075565E-6</v>
      </c>
      <c r="M154" s="103">
        <f t="shared" ref="M154:V154" si="92">IF(M38=0,0,M38/M$17)</f>
        <v>4.9368680615195711E-6</v>
      </c>
      <c r="N154" s="103">
        <f t="shared" si="92"/>
        <v>4.8425932830948977E-6</v>
      </c>
      <c r="O154" s="103">
        <f t="shared" si="92"/>
        <v>4.6302665946088288E-6</v>
      </c>
      <c r="P154" s="103">
        <f t="shared" si="92"/>
        <v>4.4605606955258147E-6</v>
      </c>
      <c r="Q154" s="103">
        <f t="shared" si="92"/>
        <v>4.4833018229283879E-6</v>
      </c>
      <c r="R154" s="103">
        <f t="shared" si="92"/>
        <v>4.4520057149812496E-6</v>
      </c>
      <c r="S154" s="103">
        <f t="shared" si="92"/>
        <v>4.0717460641362365E-6</v>
      </c>
      <c r="T154" s="103">
        <f t="shared" si="92"/>
        <v>4.1386864422833855E-6</v>
      </c>
      <c r="U154" s="103">
        <f t="shared" si="92"/>
        <v>4.2858492191095235E-6</v>
      </c>
      <c r="V154" s="103">
        <f t="shared" si="92"/>
        <v>3.9255266239329234E-6</v>
      </c>
      <c r="W154" s="103">
        <f t="shared" ref="W154:Y154" si="93">IF(W38=0,0,W38/W$17)</f>
        <v>4.0297201706471711E-6</v>
      </c>
      <c r="X154" s="103">
        <f t="shared" si="93"/>
        <v>3.1871874164240004E-6</v>
      </c>
      <c r="Y154" s="103">
        <f t="shared" si="93"/>
        <v>2.0623760538762626E-6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3.2683656565335624E-4</v>
      </c>
      <c r="C155" s="103">
        <f t="shared" si="94"/>
        <v>4.5269437790515597E-4</v>
      </c>
      <c r="D155" s="103">
        <f t="shared" si="94"/>
        <v>5.9658305439184392E-4</v>
      </c>
      <c r="E155" s="103">
        <f t="shared" si="94"/>
        <v>7.7015321350159128E-4</v>
      </c>
      <c r="F155" s="103">
        <f t="shared" si="94"/>
        <v>9.989251814024728E-4</v>
      </c>
      <c r="G155" s="103">
        <f t="shared" si="94"/>
        <v>6.2196998474500721E-4</v>
      </c>
      <c r="H155" s="103">
        <f t="shared" si="94"/>
        <v>8.2036133788935487E-4</v>
      </c>
      <c r="I155" s="103">
        <f t="shared" si="94"/>
        <v>8.2557871376210388E-4</v>
      </c>
      <c r="J155" s="103">
        <f t="shared" si="94"/>
        <v>6.3527257943077483E-4</v>
      </c>
      <c r="K155" s="103">
        <f t="shared" si="94"/>
        <v>7.3037971374965191E-4</v>
      </c>
      <c r="L155" s="103">
        <f t="shared" ref="L155" si="95">IF(L39=0,0,L39/L$17)</f>
        <v>6.1308522653987418E-4</v>
      </c>
      <c r="M155" s="103">
        <f t="shared" ref="M155:V155" si="96">IF(M39=0,0,M39/M$17)</f>
        <v>1.1102185993602661E-3</v>
      </c>
      <c r="N155" s="103">
        <f t="shared" si="96"/>
        <v>1.6574706603868529E-3</v>
      </c>
      <c r="O155" s="103">
        <f t="shared" si="96"/>
        <v>1.9412403044207331E-3</v>
      </c>
      <c r="P155" s="103">
        <f t="shared" si="96"/>
        <v>1.8540390996666515E-3</v>
      </c>
      <c r="Q155" s="103">
        <f t="shared" si="96"/>
        <v>1.8624108937484024E-3</v>
      </c>
      <c r="R155" s="103">
        <f t="shared" si="96"/>
        <v>1.6350027099564647E-3</v>
      </c>
      <c r="S155" s="103">
        <f t="shared" si="96"/>
        <v>1.3442029163057095E-3</v>
      </c>
      <c r="T155" s="103">
        <f t="shared" si="96"/>
        <v>9.6807284285817979E-4</v>
      </c>
      <c r="U155" s="103">
        <f t="shared" si="96"/>
        <v>1.6686101758932482E-3</v>
      </c>
      <c r="V155" s="103">
        <f t="shared" si="96"/>
        <v>2.3289708724636535E-3</v>
      </c>
      <c r="W155" s="103">
        <f t="shared" ref="W155:Y155" si="97">IF(W39=0,0,W39/W$17)</f>
        <v>1.7301728891009269E-3</v>
      </c>
      <c r="X155" s="103">
        <f t="shared" si="97"/>
        <v>3.752262028239466E-3</v>
      </c>
      <c r="Y155" s="103">
        <f t="shared" si="97"/>
        <v>4.115505537584027E-3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2.5885561602088974E-5</v>
      </c>
      <c r="C156" s="103">
        <f t="shared" si="98"/>
        <v>2.9175590049993079E-5</v>
      </c>
      <c r="D156" s="103">
        <f t="shared" si="98"/>
        <v>3.3715672549065848E-5</v>
      </c>
      <c r="E156" s="103">
        <f t="shared" si="98"/>
        <v>3.2637471621715544E-5</v>
      </c>
      <c r="F156" s="103">
        <f t="shared" si="98"/>
        <v>2.9603959619032936E-5</v>
      </c>
      <c r="G156" s="103">
        <f t="shared" si="98"/>
        <v>2.8235244615085986E-5</v>
      </c>
      <c r="H156" s="103">
        <f t="shared" si="98"/>
        <v>2.5398003835061632E-5</v>
      </c>
      <c r="I156" s="103">
        <f t="shared" si="98"/>
        <v>2.3915163551370842E-5</v>
      </c>
      <c r="J156" s="103">
        <f t="shared" si="98"/>
        <v>2.4178710032355652E-5</v>
      </c>
      <c r="K156" s="103">
        <f t="shared" si="98"/>
        <v>2.476387316817863E-5</v>
      </c>
      <c r="L156" s="103">
        <f t="shared" ref="L156" si="99">IF(L41=0,0,L41/L$17)</f>
        <v>2.3347274735716285E-5</v>
      </c>
      <c r="M156" s="103">
        <f t="shared" ref="M156:V156" si="100">IF(M41=0,0,M41/M$17)</f>
        <v>2.4197445335110882E-5</v>
      </c>
      <c r="N156" s="103">
        <f t="shared" si="100"/>
        <v>2.4576649472306949E-5</v>
      </c>
      <c r="O156" s="103">
        <f t="shared" si="100"/>
        <v>2.4792499953187515E-5</v>
      </c>
      <c r="P156" s="103">
        <f t="shared" si="100"/>
        <v>2.8455402229107766E-5</v>
      </c>
      <c r="Q156" s="103">
        <f t="shared" si="100"/>
        <v>3.3893248883340412E-5</v>
      </c>
      <c r="R156" s="103">
        <f t="shared" si="100"/>
        <v>4.054605809547384E-5</v>
      </c>
      <c r="S156" s="103">
        <f t="shared" si="100"/>
        <v>4.3510069512519488E-5</v>
      </c>
      <c r="T156" s="103">
        <f t="shared" si="100"/>
        <v>5.5978897186009843E-5</v>
      </c>
      <c r="U156" s="103">
        <f t="shared" si="100"/>
        <v>9.2191837171928337E-5</v>
      </c>
      <c r="V156" s="103">
        <f t="shared" si="100"/>
        <v>1.8437288915631631E-4</v>
      </c>
      <c r="W156" s="103">
        <f t="shared" ref="W156:Y156" si="101">IF(W41=0,0,W41/W$17)</f>
        <v>3.2864804256389632E-4</v>
      </c>
      <c r="X156" s="103">
        <f t="shared" si="101"/>
        <v>4.6642332612576869E-4</v>
      </c>
      <c r="Y156" s="103">
        <f t="shared" si="101"/>
        <v>6.6258652603140642E-4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0.2871750340176657</v>
      </c>
      <c r="C157" s="46">
        <f t="shared" si="102"/>
        <v>0.27717724903403196</v>
      </c>
      <c r="D157" s="46">
        <f t="shared" si="102"/>
        <v>0.27127159239334975</v>
      </c>
      <c r="E157" s="46">
        <f t="shared" si="102"/>
        <v>0.26287851119575645</v>
      </c>
      <c r="F157" s="46">
        <f t="shared" si="102"/>
        <v>0.25889013244890413</v>
      </c>
      <c r="G157" s="46">
        <f t="shared" si="102"/>
        <v>0.26091086479656478</v>
      </c>
      <c r="H157" s="46">
        <f t="shared" si="102"/>
        <v>0.29239969292083079</v>
      </c>
      <c r="I157" s="46">
        <f t="shared" si="102"/>
        <v>0.29632816966557562</v>
      </c>
      <c r="J157" s="46">
        <f t="shared" si="102"/>
        <v>0.29450722565357568</v>
      </c>
      <c r="K157" s="46">
        <f t="shared" si="102"/>
        <v>0.28395396932585276</v>
      </c>
      <c r="L157" s="46">
        <f t="shared" ref="L157" si="103">IF(L42=0,0,L42/L$17)</f>
        <v>0.30463538122991107</v>
      </c>
      <c r="M157" s="46">
        <f t="shared" ref="M157:V157" si="104">IF(M42=0,0,M42/M$17)</f>
        <v>0.29813485640815496</v>
      </c>
      <c r="N157" s="46">
        <f t="shared" si="104"/>
        <v>0.31361314621476288</v>
      </c>
      <c r="O157" s="46">
        <f t="shared" si="104"/>
        <v>0.30621709505914257</v>
      </c>
      <c r="P157" s="46">
        <f t="shared" si="104"/>
        <v>0.3102410629960588</v>
      </c>
      <c r="Q157" s="46">
        <f t="shared" si="104"/>
        <v>0.29105064667542035</v>
      </c>
      <c r="R157" s="46">
        <f t="shared" si="104"/>
        <v>0.29302759580163468</v>
      </c>
      <c r="S157" s="46">
        <f t="shared" si="104"/>
        <v>0.30281280449711667</v>
      </c>
      <c r="T157" s="46">
        <f t="shared" si="104"/>
        <v>0.31989334651929702</v>
      </c>
      <c r="U157" s="46">
        <f t="shared" si="104"/>
        <v>0.31534697633603864</v>
      </c>
      <c r="V157" s="46">
        <f t="shared" si="104"/>
        <v>0.35189702519775085</v>
      </c>
      <c r="W157" s="46">
        <f t="shared" ref="W157:Y157" si="105">IF(W42=0,0,W42/W$17)</f>
        <v>0.33837129691567724</v>
      </c>
      <c r="X157" s="46">
        <f t="shared" si="105"/>
        <v>0.32256440945756626</v>
      </c>
      <c r="Y157" s="46">
        <f t="shared" si="105"/>
        <v>0.30154840317490994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5.9414550242013559E-2</v>
      </c>
      <c r="C158" s="154">
        <f t="shared" si="106"/>
        <v>6.1937822874170344E-2</v>
      </c>
      <c r="D158" s="154">
        <f t="shared" si="106"/>
        <v>6.2178383174332851E-2</v>
      </c>
      <c r="E158" s="154">
        <f t="shared" si="106"/>
        <v>6.6428895986165984E-2</v>
      </c>
      <c r="F158" s="154">
        <f t="shared" si="106"/>
        <v>6.4003846265471925E-2</v>
      </c>
      <c r="G158" s="154">
        <f t="shared" si="106"/>
        <v>6.6634867412563276E-2</v>
      </c>
      <c r="H158" s="154">
        <f t="shared" si="106"/>
        <v>6.431550380151671E-2</v>
      </c>
      <c r="I158" s="154">
        <f t="shared" si="106"/>
        <v>6.4486943900493254E-2</v>
      </c>
      <c r="J158" s="154">
        <f t="shared" si="106"/>
        <v>6.358825346827586E-2</v>
      </c>
      <c r="K158" s="154">
        <f t="shared" si="106"/>
        <v>6.5017346461858846E-2</v>
      </c>
      <c r="L158" s="154">
        <f t="shared" ref="L158" si="107">IF(L43=0,0,L43/L$17)</f>
        <v>6.2319246172380473E-2</v>
      </c>
      <c r="M158" s="154">
        <f t="shared" ref="M158:V158" si="108">IF(M43=0,0,M43/M$17)</f>
        <v>6.2745390919955554E-2</v>
      </c>
      <c r="N158" s="154">
        <f t="shared" si="108"/>
        <v>6.1584596133049972E-2</v>
      </c>
      <c r="O158" s="154">
        <f t="shared" si="108"/>
        <v>6.3132919842824764E-2</v>
      </c>
      <c r="P158" s="154">
        <f t="shared" si="108"/>
        <v>6.422502730088149E-2</v>
      </c>
      <c r="Q158" s="154">
        <f t="shared" si="108"/>
        <v>7.2546619873827017E-2</v>
      </c>
      <c r="R158" s="154">
        <f t="shared" si="108"/>
        <v>7.505510982141779E-2</v>
      </c>
      <c r="S158" s="154">
        <f t="shared" si="108"/>
        <v>7.5050281608735905E-2</v>
      </c>
      <c r="T158" s="154">
        <f t="shared" si="108"/>
        <v>7.3959765864884994E-2</v>
      </c>
      <c r="U158" s="154">
        <f t="shared" si="108"/>
        <v>7.7523233974827341E-2</v>
      </c>
      <c r="V158" s="154">
        <f t="shared" si="108"/>
        <v>7.9589370116274413E-2</v>
      </c>
      <c r="W158" s="154">
        <f t="shared" ref="W158:Y158" si="109">IF(W43=0,0,W43/W$17)</f>
        <v>8.5800611023840762E-2</v>
      </c>
      <c r="X158" s="154">
        <f t="shared" si="109"/>
        <v>8.754555104946217E-2</v>
      </c>
      <c r="Y158" s="154">
        <f t="shared" si="109"/>
        <v>9.238588744697325E-2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6.0592116852276326E-3</v>
      </c>
      <c r="C159" s="103">
        <f t="shared" si="110"/>
        <v>5.7596832662464969E-3</v>
      </c>
      <c r="D159" s="103">
        <f t="shared" si="110"/>
        <v>5.52121734441007E-3</v>
      </c>
      <c r="E159" s="103">
        <f t="shared" si="110"/>
        <v>5.1911465332749891E-3</v>
      </c>
      <c r="F159" s="103">
        <f t="shared" si="110"/>
        <v>4.7356943798251309E-3</v>
      </c>
      <c r="G159" s="103">
        <f t="shared" si="110"/>
        <v>4.4597603307715136E-3</v>
      </c>
      <c r="H159" s="103">
        <f t="shared" si="110"/>
        <v>3.912403897343643E-3</v>
      </c>
      <c r="I159" s="103">
        <f t="shared" si="110"/>
        <v>3.8323125216938262E-3</v>
      </c>
      <c r="J159" s="103">
        <f t="shared" si="110"/>
        <v>3.3947399915879644E-3</v>
      </c>
      <c r="K159" s="103">
        <f t="shared" si="110"/>
        <v>3.202664238782852E-3</v>
      </c>
      <c r="L159" s="103">
        <f t="shared" ref="L159" si="111">IF(L44=0,0,L44/L$17)</f>
        <v>2.9437795052382181E-3</v>
      </c>
      <c r="M159" s="103">
        <f t="shared" ref="M159:V159" si="112">IF(M44=0,0,M44/M$17)</f>
        <v>2.8051029349090988E-3</v>
      </c>
      <c r="N159" s="103">
        <f t="shared" si="112"/>
        <v>2.5858272429975155E-3</v>
      </c>
      <c r="O159" s="103">
        <f t="shared" si="112"/>
        <v>2.4499004638804554E-3</v>
      </c>
      <c r="P159" s="103">
        <f t="shared" si="112"/>
        <v>2.3827354774052113E-3</v>
      </c>
      <c r="Q159" s="103">
        <f t="shared" si="112"/>
        <v>2.3371628464848391E-3</v>
      </c>
      <c r="R159" s="103">
        <f t="shared" si="112"/>
        <v>2.4125333093404674E-3</v>
      </c>
      <c r="S159" s="103">
        <f t="shared" si="112"/>
        <v>2.4953920727956297E-3</v>
      </c>
      <c r="T159" s="103">
        <f t="shared" si="112"/>
        <v>2.6148484155279982E-3</v>
      </c>
      <c r="U159" s="103">
        <f t="shared" si="112"/>
        <v>2.6457939240110162E-3</v>
      </c>
      <c r="V159" s="103">
        <f t="shared" si="112"/>
        <v>2.8467877960203268E-3</v>
      </c>
      <c r="W159" s="103">
        <f t="shared" ref="W159:Y159" si="113">IF(W44=0,0,W44/W$17)</f>
        <v>3.3211501471909549E-3</v>
      </c>
      <c r="X159" s="103">
        <f t="shared" si="113"/>
        <v>3.4440616042618888E-3</v>
      </c>
      <c r="Y159" s="103">
        <f t="shared" si="113"/>
        <v>3.4769278306278884E-3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5.3351650840425917E-2</v>
      </c>
      <c r="C160" s="103">
        <f t="shared" si="114"/>
        <v>5.6174432770316973E-2</v>
      </c>
      <c r="D160" s="103">
        <f t="shared" si="114"/>
        <v>5.6653561098146385E-2</v>
      </c>
      <c r="E160" s="103">
        <f t="shared" si="114"/>
        <v>6.1234244604105967E-2</v>
      </c>
      <c r="F160" s="103">
        <f t="shared" si="114"/>
        <v>5.9264820340393161E-2</v>
      </c>
      <c r="G160" s="103">
        <f t="shared" si="114"/>
        <v>6.2171924177144185E-2</v>
      </c>
      <c r="H160" s="103">
        <f t="shared" si="114"/>
        <v>6.0042827853869406E-2</v>
      </c>
      <c r="I160" s="103">
        <f t="shared" si="114"/>
        <v>6.018525935402496E-2</v>
      </c>
      <c r="J160" s="103">
        <f t="shared" si="114"/>
        <v>5.9567415503777019E-2</v>
      </c>
      <c r="K160" s="103">
        <f t="shared" si="114"/>
        <v>6.110107758801242E-2</v>
      </c>
      <c r="L160" s="103">
        <f t="shared" ref="L160" si="115">IF(L46=0,0,L46/L$17)</f>
        <v>5.8626484010929666E-2</v>
      </c>
      <c r="M160" s="103">
        <f t="shared" ref="M160:V160" si="116">IF(M46=0,0,M46/M$17)</f>
        <v>5.9202354566766618E-2</v>
      </c>
      <c r="N160" s="103">
        <f t="shared" si="116"/>
        <v>5.8264374274375599E-2</v>
      </c>
      <c r="O160" s="103">
        <f t="shared" si="116"/>
        <v>5.9971122346087882E-2</v>
      </c>
      <c r="P160" s="103">
        <f t="shared" si="116"/>
        <v>6.1117162127571241E-2</v>
      </c>
      <c r="Q160" s="103">
        <f t="shared" si="116"/>
        <v>6.9472172955755432E-2</v>
      </c>
      <c r="R160" s="103">
        <f t="shared" si="116"/>
        <v>7.1893088750844131E-2</v>
      </c>
      <c r="S160" s="103">
        <f t="shared" si="116"/>
        <v>7.1758588833125414E-2</v>
      </c>
      <c r="T160" s="103">
        <f t="shared" si="116"/>
        <v>7.0519099260034246E-2</v>
      </c>
      <c r="U160" s="103">
        <f t="shared" si="116"/>
        <v>7.401431839897929E-2</v>
      </c>
      <c r="V160" s="103">
        <f t="shared" si="116"/>
        <v>7.578485607144754E-2</v>
      </c>
      <c r="W160" s="103">
        <f t="shared" ref="W160:Y160" si="117">IF(W46=0,0,W46/W$17)</f>
        <v>8.1269921364271677E-2</v>
      </c>
      <c r="X160" s="103">
        <f t="shared" si="117"/>
        <v>8.2748584726324556E-2</v>
      </c>
      <c r="Y160" s="103">
        <f t="shared" si="117"/>
        <v>8.7469881353408857E-2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0</v>
      </c>
      <c r="C161" s="103">
        <f t="shared" si="118"/>
        <v>0</v>
      </c>
      <c r="D161" s="103">
        <f t="shared" si="118"/>
        <v>0</v>
      </c>
      <c r="E161" s="103">
        <f t="shared" si="118"/>
        <v>0</v>
      </c>
      <c r="F161" s="103">
        <f t="shared" si="118"/>
        <v>0</v>
      </c>
      <c r="G161" s="103">
        <f t="shared" si="118"/>
        <v>0</v>
      </c>
      <c r="H161" s="103">
        <f t="shared" si="118"/>
        <v>7.401507821004955E-5</v>
      </c>
      <c r="I161" s="103">
        <f t="shared" si="118"/>
        <v>1.1178962730231595E-4</v>
      </c>
      <c r="J161" s="103">
        <f t="shared" si="118"/>
        <v>2.0910864945384753E-4</v>
      </c>
      <c r="K161" s="103">
        <f t="shared" si="118"/>
        <v>2.6731109610686937E-4</v>
      </c>
      <c r="L161" s="103">
        <f t="shared" ref="L161" si="119">IF(L48=0,0,L48/L$17)</f>
        <v>2.9525154504799812E-4</v>
      </c>
      <c r="M161" s="103">
        <f t="shared" ref="M161:V161" si="120">IF(M48=0,0,M48/M$17)</f>
        <v>3.2440532978837152E-4</v>
      </c>
      <c r="N161" s="103">
        <f t="shared" si="120"/>
        <v>3.6181728924070534E-4</v>
      </c>
      <c r="O161" s="103">
        <f t="shared" si="120"/>
        <v>3.726583913677449E-4</v>
      </c>
      <c r="P161" s="103">
        <f t="shared" si="120"/>
        <v>3.9808041774628975E-4</v>
      </c>
      <c r="Q161" s="103">
        <f t="shared" si="120"/>
        <v>4.2392192039708397E-4</v>
      </c>
      <c r="R161" s="103">
        <f t="shared" si="120"/>
        <v>4.3132277715465138E-4</v>
      </c>
      <c r="S161" s="103">
        <f t="shared" si="120"/>
        <v>4.4355521106010168E-4</v>
      </c>
      <c r="T161" s="103">
        <f t="shared" si="120"/>
        <v>4.584977497196403E-4</v>
      </c>
      <c r="U161" s="103">
        <f t="shared" si="120"/>
        <v>4.7519041355457314E-4</v>
      </c>
      <c r="V161" s="103">
        <f t="shared" si="120"/>
        <v>5.3324871095995644E-4</v>
      </c>
      <c r="W161" s="103">
        <f t="shared" ref="W161:Y161" si="121">IF(W48=0,0,W48/W$17)</f>
        <v>6.4825138609058894E-4</v>
      </c>
      <c r="X161" s="103">
        <f t="shared" si="121"/>
        <v>6.8529040039492194E-4</v>
      </c>
      <c r="Y161" s="103">
        <f t="shared" si="121"/>
        <v>6.930213600050692E-4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0</v>
      </c>
      <c r="F162" s="103">
        <f t="shared" si="122"/>
        <v>0</v>
      </c>
      <c r="G162" s="103">
        <f t="shared" si="122"/>
        <v>0</v>
      </c>
      <c r="H162" s="103">
        <f t="shared" si="122"/>
        <v>2.8344033196788345E-4</v>
      </c>
      <c r="I162" s="103">
        <f t="shared" si="122"/>
        <v>3.5508894465517059E-4</v>
      </c>
      <c r="J162" s="103">
        <f t="shared" si="122"/>
        <v>4.1440755514591258E-4</v>
      </c>
      <c r="K162" s="103">
        <f t="shared" si="122"/>
        <v>4.4348914069697787E-4</v>
      </c>
      <c r="L162" s="103">
        <f t="shared" ref="L162" si="123">IF(L49=0,0,L49/L$17)</f>
        <v>4.501500973126051E-4</v>
      </c>
      <c r="M162" s="103">
        <f t="shared" ref="M162:V162" si="124">IF(M49=0,0,M49/M$17)</f>
        <v>4.0871394692150036E-4</v>
      </c>
      <c r="N162" s="103">
        <f t="shared" si="124"/>
        <v>3.6404381005795814E-4</v>
      </c>
      <c r="O162" s="103">
        <f t="shared" si="124"/>
        <v>3.3031327161990039E-4</v>
      </c>
      <c r="P162" s="103">
        <f t="shared" si="124"/>
        <v>3.1632924016383973E-4</v>
      </c>
      <c r="Q162" s="103">
        <f t="shared" si="124"/>
        <v>3.0314592072648491E-4</v>
      </c>
      <c r="R162" s="103">
        <f t="shared" si="124"/>
        <v>2.9616296047613676E-4</v>
      </c>
      <c r="S162" s="103">
        <f t="shared" si="124"/>
        <v>3.0750647669913295E-4</v>
      </c>
      <c r="T162" s="103">
        <f t="shared" si="124"/>
        <v>2.9701620039192613E-4</v>
      </c>
      <c r="U162" s="103">
        <f t="shared" si="124"/>
        <v>2.8523424315392271E-4</v>
      </c>
      <c r="V162" s="103">
        <f t="shared" si="124"/>
        <v>2.7346503812347971E-4</v>
      </c>
      <c r="W162" s="103">
        <f t="shared" ref="W162:Y162" si="125">IF(W49=0,0,W49/W$17)</f>
        <v>2.6915771878751379E-4</v>
      </c>
      <c r="X162" s="103">
        <f t="shared" si="125"/>
        <v>2.3935337235484413E-4</v>
      </c>
      <c r="Y162" s="103">
        <f t="shared" si="125"/>
        <v>2.0684983106923307E-4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3.687716360008178E-6</v>
      </c>
      <c r="C163" s="103">
        <f t="shared" si="126"/>
        <v>3.7068376068630563E-6</v>
      </c>
      <c r="D163" s="103">
        <f t="shared" si="126"/>
        <v>3.6047317763971776E-6</v>
      </c>
      <c r="E163" s="103">
        <f t="shared" si="126"/>
        <v>3.5048487850285562E-6</v>
      </c>
      <c r="F163" s="103">
        <f t="shared" si="126"/>
        <v>3.3315452536332867E-6</v>
      </c>
      <c r="G163" s="103">
        <f t="shared" si="126"/>
        <v>3.1829046475818215E-6</v>
      </c>
      <c r="H163" s="103">
        <f t="shared" si="126"/>
        <v>2.8166401257302191E-6</v>
      </c>
      <c r="I163" s="103">
        <f t="shared" si="126"/>
        <v>2.4934528169738264E-6</v>
      </c>
      <c r="J163" s="103">
        <f t="shared" si="126"/>
        <v>2.5817683111229701E-6</v>
      </c>
      <c r="K163" s="103">
        <f t="shared" si="126"/>
        <v>2.8043982597343644E-6</v>
      </c>
      <c r="L163" s="103">
        <f t="shared" ref="L163" si="127">IF(L51=0,0,L51/L$17)</f>
        <v>3.5810138519853793E-6</v>
      </c>
      <c r="M163" s="103">
        <f t="shared" ref="M163:V163" si="128">IF(M51=0,0,M51/M$17)</f>
        <v>4.8141415699596389E-6</v>
      </c>
      <c r="N163" s="103">
        <f t="shared" si="128"/>
        <v>8.5335163781929376E-6</v>
      </c>
      <c r="O163" s="103">
        <f t="shared" si="128"/>
        <v>8.9253698687857472E-6</v>
      </c>
      <c r="P163" s="103">
        <f t="shared" si="128"/>
        <v>1.072003799491232E-5</v>
      </c>
      <c r="Q163" s="103">
        <f t="shared" si="128"/>
        <v>1.0216230463170217E-5</v>
      </c>
      <c r="R163" s="103">
        <f t="shared" si="128"/>
        <v>2.2002023602412495E-5</v>
      </c>
      <c r="S163" s="103">
        <f t="shared" si="128"/>
        <v>4.523901505563849E-5</v>
      </c>
      <c r="T163" s="103">
        <f t="shared" si="128"/>
        <v>7.0304239211182109E-5</v>
      </c>
      <c r="U163" s="103">
        <f t="shared" si="128"/>
        <v>1.0269699512852903E-4</v>
      </c>
      <c r="V163" s="103">
        <f t="shared" si="128"/>
        <v>1.5101249972312831E-4</v>
      </c>
      <c r="W163" s="103">
        <f t="shared" ref="W163:Y163" si="129">IF(W51=0,0,W51/W$17)</f>
        <v>2.9213040750002757E-4</v>
      </c>
      <c r="X163" s="103">
        <f t="shared" si="129"/>
        <v>4.2826094612596704E-4</v>
      </c>
      <c r="Y163" s="103">
        <f t="shared" si="129"/>
        <v>5.3920707186219273E-4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0.22776048377565214</v>
      </c>
      <c r="C164" s="156">
        <f t="shared" si="130"/>
        <v>0.21523942615986164</v>
      </c>
      <c r="D164" s="156">
        <f t="shared" si="130"/>
        <v>0.20909320921901689</v>
      </c>
      <c r="E164" s="156">
        <f t="shared" si="130"/>
        <v>0.19644961520959051</v>
      </c>
      <c r="F164" s="156">
        <f t="shared" si="130"/>
        <v>0.19488628618343223</v>
      </c>
      <c r="G164" s="156">
        <f t="shared" si="130"/>
        <v>0.19427599738400153</v>
      </c>
      <c r="H164" s="156">
        <f t="shared" si="130"/>
        <v>0.22808418911931405</v>
      </c>
      <c r="I164" s="156">
        <f t="shared" si="130"/>
        <v>0.2318412257650824</v>
      </c>
      <c r="J164" s="156">
        <f t="shared" si="130"/>
        <v>0.23091897218529983</v>
      </c>
      <c r="K164" s="156">
        <f t="shared" si="130"/>
        <v>0.2189366228639939</v>
      </c>
      <c r="L164" s="156">
        <f t="shared" ref="L164" si="131">IF(L52=0,0,L52/L$17)</f>
        <v>0.24231613505753058</v>
      </c>
      <c r="M164" s="156">
        <f t="shared" ref="M164:V164" si="132">IF(M52=0,0,M52/M$17)</f>
        <v>0.23538946548819942</v>
      </c>
      <c r="N164" s="156">
        <f t="shared" si="132"/>
        <v>0.25202855008171293</v>
      </c>
      <c r="O164" s="156">
        <f t="shared" si="132"/>
        <v>0.24308417521631781</v>
      </c>
      <c r="P164" s="156">
        <f t="shared" si="132"/>
        <v>0.2460160356951773</v>
      </c>
      <c r="Q164" s="156">
        <f t="shared" si="132"/>
        <v>0.21850402680159334</v>
      </c>
      <c r="R164" s="156">
        <f t="shared" si="132"/>
        <v>0.21797248598021685</v>
      </c>
      <c r="S164" s="156">
        <f t="shared" si="132"/>
        <v>0.22776252288838073</v>
      </c>
      <c r="T164" s="156">
        <f t="shared" si="132"/>
        <v>0.24593358065441207</v>
      </c>
      <c r="U164" s="156">
        <f t="shared" si="132"/>
        <v>0.23782374236121134</v>
      </c>
      <c r="V164" s="156">
        <f t="shared" si="132"/>
        <v>0.27230765508147642</v>
      </c>
      <c r="W164" s="156">
        <f t="shared" ref="W164:Y164" si="133">IF(W52=0,0,W52/W$17)</f>
        <v>0.25257068589183646</v>
      </c>
      <c r="X164" s="156">
        <f t="shared" si="133"/>
        <v>0.23501885840810408</v>
      </c>
      <c r="Y164" s="156">
        <f t="shared" si="133"/>
        <v>0.2091625157279367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0.15872120959561972</v>
      </c>
      <c r="C165" s="104">
        <f t="shared" si="134"/>
        <v>0.15873109155056539</v>
      </c>
      <c r="D165" s="104">
        <f t="shared" si="134"/>
        <v>0.15286148174993364</v>
      </c>
      <c r="E165" s="104">
        <f t="shared" si="134"/>
        <v>0.15341519136557707</v>
      </c>
      <c r="F165" s="104">
        <f t="shared" si="134"/>
        <v>0.15357537529106752</v>
      </c>
      <c r="G165" s="104">
        <f t="shared" si="134"/>
        <v>0.15706141908582238</v>
      </c>
      <c r="H165" s="104">
        <f t="shared" si="134"/>
        <v>0.1645754530985033</v>
      </c>
      <c r="I165" s="104">
        <f t="shared" si="134"/>
        <v>0.17279041045439553</v>
      </c>
      <c r="J165" s="104">
        <f t="shared" si="134"/>
        <v>0.17717231018074683</v>
      </c>
      <c r="K165" s="104">
        <f t="shared" si="134"/>
        <v>0.16819538874878615</v>
      </c>
      <c r="L165" s="104">
        <f t="shared" ref="L165" si="135">IF(L53=0,0,L53/L$17)</f>
        <v>0.17038713159037755</v>
      </c>
      <c r="M165" s="104">
        <f t="shared" ref="M165:V165" si="136">IF(M53=0,0,M53/M$17)</f>
        <v>0.17384277288459951</v>
      </c>
      <c r="N165" s="104">
        <f t="shared" si="136"/>
        <v>0.17145008889435637</v>
      </c>
      <c r="O165" s="104">
        <f t="shared" si="136"/>
        <v>0.16703098953472809</v>
      </c>
      <c r="P165" s="104">
        <f t="shared" si="136"/>
        <v>0.1672872052991346</v>
      </c>
      <c r="Q165" s="104">
        <f t="shared" si="136"/>
        <v>0.16665897169241556</v>
      </c>
      <c r="R165" s="104">
        <f t="shared" si="136"/>
        <v>0.16247239850182657</v>
      </c>
      <c r="S165" s="104">
        <f t="shared" si="136"/>
        <v>0.15964566578966546</v>
      </c>
      <c r="T165" s="104">
        <f t="shared" si="136"/>
        <v>0.16719214860887149</v>
      </c>
      <c r="U165" s="104">
        <f t="shared" si="136"/>
        <v>0.16145119591035789</v>
      </c>
      <c r="V165" s="104">
        <f t="shared" si="136"/>
        <v>0.17344481919365382</v>
      </c>
      <c r="W165" s="104">
        <f t="shared" ref="W165:Y165" si="137">IF(W53=0,0,W53/W$17)</f>
        <v>0.17364609171664777</v>
      </c>
      <c r="X165" s="104">
        <f t="shared" si="137"/>
        <v>0.1653302775809363</v>
      </c>
      <c r="Y165" s="104">
        <f t="shared" si="137"/>
        <v>0.15830841789982339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6.9039274180032403E-2</v>
      </c>
      <c r="C166" s="105">
        <f t="shared" si="138"/>
        <v>5.6508334609296232E-2</v>
      </c>
      <c r="D166" s="105">
        <f t="shared" si="138"/>
        <v>5.623172746908324E-2</v>
      </c>
      <c r="E166" s="105">
        <f t="shared" si="138"/>
        <v>4.3034423844013403E-2</v>
      </c>
      <c r="F166" s="105">
        <f t="shared" si="138"/>
        <v>4.1310910892364702E-2</v>
      </c>
      <c r="G166" s="105">
        <f t="shared" si="138"/>
        <v>3.721457829817916E-2</v>
      </c>
      <c r="H166" s="105">
        <f t="shared" si="138"/>
        <v>6.3508736020810752E-2</v>
      </c>
      <c r="I166" s="105">
        <f t="shared" si="138"/>
        <v>5.9050815310686851E-2</v>
      </c>
      <c r="J166" s="105">
        <f t="shared" si="138"/>
        <v>5.3746662004552997E-2</v>
      </c>
      <c r="K166" s="105">
        <f t="shared" si="138"/>
        <v>5.0741234115207777E-2</v>
      </c>
      <c r="L166" s="105">
        <f t="shared" ref="L166" si="139">IF(L55=0,0,L55/L$17)</f>
        <v>7.1929003467153044E-2</v>
      </c>
      <c r="M166" s="105">
        <f t="shared" ref="M166:V166" si="140">IF(M55=0,0,M55/M$17)</f>
        <v>6.1546692603599906E-2</v>
      </c>
      <c r="N166" s="105">
        <f t="shared" si="140"/>
        <v>8.0578461187356551E-2</v>
      </c>
      <c r="O166" s="105">
        <f t="shared" si="140"/>
        <v>7.6053185681589738E-2</v>
      </c>
      <c r="P166" s="105">
        <f t="shared" si="140"/>
        <v>7.8728830396042726E-2</v>
      </c>
      <c r="Q166" s="105">
        <f t="shared" si="140"/>
        <v>5.1845055109177807E-2</v>
      </c>
      <c r="R166" s="105">
        <f t="shared" si="140"/>
        <v>5.5500087478390255E-2</v>
      </c>
      <c r="S166" s="105">
        <f t="shared" si="140"/>
        <v>6.8116857098715275E-2</v>
      </c>
      <c r="T166" s="105">
        <f t="shared" si="140"/>
        <v>7.8741432045540585E-2</v>
      </c>
      <c r="U166" s="105">
        <f t="shared" si="140"/>
        <v>7.6372546450853451E-2</v>
      </c>
      <c r="V166" s="105">
        <f t="shared" si="140"/>
        <v>9.8862835887822617E-2</v>
      </c>
      <c r="W166" s="105">
        <f t="shared" ref="W166:Y166" si="141">IF(W55=0,0,W55/W$17)</f>
        <v>7.8924594175188684E-2</v>
      </c>
      <c r="X166" s="105">
        <f t="shared" si="141"/>
        <v>6.9688580827167765E-2</v>
      </c>
      <c r="Y166" s="105">
        <f t="shared" si="141"/>
        <v>5.0854097828113329E-2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169432.42800239995</v>
      </c>
      <c r="C4" s="146">
        <f t="shared" si="0"/>
        <v>165682.80202968002</v>
      </c>
      <c r="D4" s="146">
        <f t="shared" si="0"/>
        <v>163533.59225243999</v>
      </c>
      <c r="E4" s="146">
        <f t="shared" si="0"/>
        <v>156824.20764107999</v>
      </c>
      <c r="F4" s="146">
        <f t="shared" si="0"/>
        <v>156779.07738047998</v>
      </c>
      <c r="G4" s="146">
        <f t="shared" si="0"/>
        <v>148760.08844616002</v>
      </c>
      <c r="H4" s="146">
        <f t="shared" si="0"/>
        <v>147139.00883820001</v>
      </c>
      <c r="I4" s="146">
        <f t="shared" si="0"/>
        <v>142161.91993259999</v>
      </c>
      <c r="J4" s="146">
        <f t="shared" si="0"/>
        <v>142894.73908044002</v>
      </c>
      <c r="K4" s="146">
        <f t="shared" si="0"/>
        <v>141798.06740628</v>
      </c>
      <c r="L4" s="146">
        <f t="shared" ref="L4" si="1">L5+L9+L10+L15</f>
        <v>142999.56781055997</v>
      </c>
      <c r="M4" s="146">
        <f t="shared" ref="M4:V4" si="2">M5+M9+M10+M15</f>
        <v>145064.00129471999</v>
      </c>
      <c r="N4" s="146">
        <f t="shared" si="2"/>
        <v>143781.01089876</v>
      </c>
      <c r="O4" s="146">
        <f t="shared" si="2"/>
        <v>147891.52201680001</v>
      </c>
      <c r="P4" s="146">
        <f t="shared" si="2"/>
        <v>151280.32128156</v>
      </c>
      <c r="Q4" s="146">
        <f t="shared" si="2"/>
        <v>151320.25227131997</v>
      </c>
      <c r="R4" s="146">
        <f t="shared" si="2"/>
        <v>155421.06382404</v>
      </c>
      <c r="S4" s="146">
        <f t="shared" si="2"/>
        <v>157877.60511599999</v>
      </c>
      <c r="T4" s="146">
        <f t="shared" si="2"/>
        <v>151801.03648368001</v>
      </c>
      <c r="U4" s="146">
        <f t="shared" si="2"/>
        <v>153453.93148043999</v>
      </c>
      <c r="V4" s="146">
        <f t="shared" si="2"/>
        <v>137960.10778103999</v>
      </c>
      <c r="W4" s="146">
        <f t="shared" ref="W4:Y4" si="3">W5+W9+W10+W15</f>
        <v>134854.39848814774</v>
      </c>
      <c r="X4" s="146">
        <f t="shared" si="3"/>
        <v>136352.11733178241</v>
      </c>
      <c r="Y4" s="146">
        <f t="shared" si="3"/>
        <v>131545.30012858534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169388.80464239995</v>
      </c>
      <c r="C5" s="101">
        <f t="shared" si="4"/>
        <v>165623.62774968002</v>
      </c>
      <c r="D5" s="101">
        <f t="shared" si="4"/>
        <v>163456.39304244</v>
      </c>
      <c r="E5" s="101">
        <f t="shared" si="4"/>
        <v>156728.37640931999</v>
      </c>
      <c r="F5" s="101">
        <f t="shared" si="4"/>
        <v>156654.41898419999</v>
      </c>
      <c r="G5" s="101">
        <f t="shared" si="4"/>
        <v>148585.03901028002</v>
      </c>
      <c r="H5" s="101">
        <f t="shared" si="4"/>
        <v>146890.19694564</v>
      </c>
      <c r="I5" s="101">
        <f t="shared" si="4"/>
        <v>141911.28757260001</v>
      </c>
      <c r="J5" s="101">
        <f t="shared" si="4"/>
        <v>142667.53610004002</v>
      </c>
      <c r="K5" s="101">
        <f t="shared" si="4"/>
        <v>141454.17597707998</v>
      </c>
      <c r="L5" s="101">
        <f t="shared" ref="L5" si="5">SUM(L6:L8)</f>
        <v>142674.20641331997</v>
      </c>
      <c r="M5" s="101">
        <f t="shared" ref="M5:V5" si="6">SUM(M6:M8)</f>
        <v>144673.00794647998</v>
      </c>
      <c r="N5" s="101">
        <f t="shared" si="6"/>
        <v>143382.04013052001</v>
      </c>
      <c r="O5" s="101">
        <f t="shared" si="6"/>
        <v>147478.20602976001</v>
      </c>
      <c r="P5" s="101">
        <f t="shared" si="6"/>
        <v>150862.26529332</v>
      </c>
      <c r="Q5" s="101">
        <f t="shared" si="6"/>
        <v>150905.83035131998</v>
      </c>
      <c r="R5" s="101">
        <f t="shared" si="6"/>
        <v>155039.3616456</v>
      </c>
      <c r="S5" s="101">
        <f t="shared" si="6"/>
        <v>157541.66303435998</v>
      </c>
      <c r="T5" s="101">
        <f t="shared" si="6"/>
        <v>151506.37967112003</v>
      </c>
      <c r="U5" s="101">
        <f t="shared" si="6"/>
        <v>153119.65698251998</v>
      </c>
      <c r="V5" s="101">
        <f t="shared" si="6"/>
        <v>137647.21862556</v>
      </c>
      <c r="W5" s="101">
        <f t="shared" ref="W5:Y5" si="7">SUM(W6:W8)</f>
        <v>134449.63925867999</v>
      </c>
      <c r="X5" s="101">
        <f t="shared" si="7"/>
        <v>135712.22584176002</v>
      </c>
      <c r="Y5" s="101">
        <f t="shared" si="7"/>
        <v>130877.60821451999</v>
      </c>
      <c r="DA5" s="175"/>
    </row>
    <row r="6" spans="1:105" ht="11.45" customHeight="1" x14ac:dyDescent="0.25">
      <c r="A6" s="128" t="s">
        <v>52</v>
      </c>
      <c r="B6" s="101">
        <v>188.03169000000003</v>
      </c>
      <c r="C6" s="101">
        <v>185.04703476</v>
      </c>
      <c r="D6" s="101">
        <v>217.87801524000002</v>
      </c>
      <c r="E6" s="101">
        <v>218.82618108000003</v>
      </c>
      <c r="F6" s="101">
        <v>293.27105628000004</v>
      </c>
      <c r="G6" s="101">
        <v>322.2026082000001</v>
      </c>
      <c r="H6" s="101">
        <v>464.10309972000005</v>
      </c>
      <c r="I6" s="101">
        <v>734.95164671999999</v>
      </c>
      <c r="J6" s="101">
        <v>1161.9486147600001</v>
      </c>
      <c r="K6" s="101">
        <v>1678.8332491200003</v>
      </c>
      <c r="L6" s="101">
        <v>1635.2650969200004</v>
      </c>
      <c r="M6" s="101">
        <v>1667.2151509200003</v>
      </c>
      <c r="N6" s="101">
        <v>1661.4059882400002</v>
      </c>
      <c r="O6" s="101">
        <v>1617.8376088800003</v>
      </c>
      <c r="P6" s="101">
        <v>1705.9495654799998</v>
      </c>
      <c r="Q6" s="101">
        <v>1568.7019922400002</v>
      </c>
      <c r="R6" s="101">
        <v>1416.0620574</v>
      </c>
      <c r="S6" s="101">
        <v>1312.7792202000001</v>
      </c>
      <c r="T6" s="101">
        <v>1456.8315983999998</v>
      </c>
      <c r="U6" s="101">
        <v>1263.8557710000002</v>
      </c>
      <c r="V6" s="101">
        <v>945.85335120000002</v>
      </c>
      <c r="W6" s="101">
        <v>896.92990199999997</v>
      </c>
      <c r="X6" s="101">
        <v>619.69702320000022</v>
      </c>
      <c r="Y6" s="101">
        <v>799.08300360000032</v>
      </c>
      <c r="DA6" s="175" t="s">
        <v>741</v>
      </c>
    </row>
    <row r="7" spans="1:105" ht="11.45" customHeight="1" x14ac:dyDescent="0.25">
      <c r="A7" s="128" t="s">
        <v>53</v>
      </c>
      <c r="B7" s="101">
        <v>87774.876393119979</v>
      </c>
      <c r="C7" s="101">
        <v>85150.193344560015</v>
      </c>
      <c r="D7" s="101">
        <v>82835.420856840021</v>
      </c>
      <c r="E7" s="101">
        <v>76884.242321159982</v>
      </c>
      <c r="F7" s="101">
        <v>74333.831612039998</v>
      </c>
      <c r="G7" s="101">
        <v>68826.839530680008</v>
      </c>
      <c r="H7" s="101">
        <v>65552.819436720005</v>
      </c>
      <c r="I7" s="101">
        <v>61865.398009800017</v>
      </c>
      <c r="J7" s="101">
        <v>60178.598865000007</v>
      </c>
      <c r="K7" s="101">
        <v>57218.40190836</v>
      </c>
      <c r="L7" s="101">
        <v>54719.887151159994</v>
      </c>
      <c r="M7" s="101">
        <v>54487.537445879985</v>
      </c>
      <c r="N7" s="101">
        <v>51116.956616880001</v>
      </c>
      <c r="O7" s="101">
        <v>51038.500645440006</v>
      </c>
      <c r="P7" s="101">
        <v>51304.043415240012</v>
      </c>
      <c r="Q7" s="101">
        <v>49110.958539719999</v>
      </c>
      <c r="R7" s="101">
        <v>49146.119502479989</v>
      </c>
      <c r="S7" s="101">
        <v>49866.917617440005</v>
      </c>
      <c r="T7" s="101">
        <v>47622.481275600003</v>
      </c>
      <c r="U7" s="101">
        <v>48120.593792039988</v>
      </c>
      <c r="V7" s="101">
        <v>43274.252692440001</v>
      </c>
      <c r="W7" s="101">
        <v>42928.503848999986</v>
      </c>
      <c r="X7" s="101">
        <v>44528.324037120001</v>
      </c>
      <c r="Y7" s="101">
        <v>44247.036833999984</v>
      </c>
      <c r="DA7" s="175" t="s">
        <v>742</v>
      </c>
    </row>
    <row r="8" spans="1:105" ht="11.45" customHeight="1" x14ac:dyDescent="0.25">
      <c r="A8" s="128" t="s">
        <v>54</v>
      </c>
      <c r="B8" s="101">
        <v>81425.89655927998</v>
      </c>
      <c r="C8" s="101">
        <v>80288.387370359982</v>
      </c>
      <c r="D8" s="101">
        <v>80403.094170359996</v>
      </c>
      <c r="E8" s="101">
        <v>79625.307907080001</v>
      </c>
      <c r="F8" s="101">
        <v>82027.316315880002</v>
      </c>
      <c r="G8" s="101">
        <v>79435.996871400013</v>
      </c>
      <c r="H8" s="101">
        <v>80873.274409199992</v>
      </c>
      <c r="I8" s="101">
        <v>79310.937916080002</v>
      </c>
      <c r="J8" s="101">
        <v>81326.988620279997</v>
      </c>
      <c r="K8" s="101">
        <v>82556.940819599986</v>
      </c>
      <c r="L8" s="101">
        <v>86319.054165239999</v>
      </c>
      <c r="M8" s="101">
        <v>88518.255349679996</v>
      </c>
      <c r="N8" s="101">
        <v>90603.677525399995</v>
      </c>
      <c r="O8" s="101">
        <v>94821.867775439998</v>
      </c>
      <c r="P8" s="101">
        <v>97852.272312599991</v>
      </c>
      <c r="Q8" s="101">
        <v>100226.16981935999</v>
      </c>
      <c r="R8" s="101">
        <v>104477.18008572</v>
      </c>
      <c r="S8" s="101">
        <v>106361.96619671999</v>
      </c>
      <c r="T8" s="101">
        <v>102427.06679712003</v>
      </c>
      <c r="U8" s="101">
        <v>103735.20741947999</v>
      </c>
      <c r="V8" s="101">
        <v>93427.112581919981</v>
      </c>
      <c r="W8" s="101">
        <v>90624.205507680002</v>
      </c>
      <c r="X8" s="101">
        <v>90564.204781440014</v>
      </c>
      <c r="Y8" s="101">
        <v>85831.48837692001</v>
      </c>
      <c r="DA8" s="175" t="s">
        <v>743</v>
      </c>
    </row>
    <row r="9" spans="1:105" ht="11.45" customHeight="1" x14ac:dyDescent="0.25">
      <c r="A9" s="92" t="s">
        <v>55</v>
      </c>
      <c r="B9" s="101">
        <v>43.623359999999998</v>
      </c>
      <c r="C9" s="101">
        <v>59.174280000000003</v>
      </c>
      <c r="D9" s="101">
        <v>77.199210000000022</v>
      </c>
      <c r="E9" s="101">
        <v>95.83123175999998</v>
      </c>
      <c r="F9" s="101">
        <v>124.65839628000002</v>
      </c>
      <c r="G9" s="101">
        <v>175.04943588000003</v>
      </c>
      <c r="H9" s="101">
        <v>248.81189256000005</v>
      </c>
      <c r="I9" s="101">
        <v>250.63236000000006</v>
      </c>
      <c r="J9" s="101">
        <v>227.2029804</v>
      </c>
      <c r="K9" s="101">
        <v>343.89142919999995</v>
      </c>
      <c r="L9" s="101">
        <v>325.36139724000009</v>
      </c>
      <c r="M9" s="101">
        <v>390.99334823999993</v>
      </c>
      <c r="N9" s="101">
        <v>398.97076823999993</v>
      </c>
      <c r="O9" s="101">
        <v>413.31598703999998</v>
      </c>
      <c r="P9" s="101">
        <v>418.05598823999992</v>
      </c>
      <c r="Q9" s="101">
        <v>414.42192000000006</v>
      </c>
      <c r="R9" s="101">
        <v>381.70217844000007</v>
      </c>
      <c r="S9" s="101">
        <v>335.94208164000003</v>
      </c>
      <c r="T9" s="101">
        <v>294.65681256000011</v>
      </c>
      <c r="U9" s="101">
        <v>334.27449791999993</v>
      </c>
      <c r="V9" s="101">
        <v>312.88915548</v>
      </c>
      <c r="W9" s="101">
        <v>404.75922946775779</v>
      </c>
      <c r="X9" s="101">
        <v>639.8914900223981</v>
      </c>
      <c r="Y9" s="101">
        <v>667.69191406536197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169432.42800239997</v>
      </c>
      <c r="C17" s="79">
        <f t="shared" si="12"/>
        <v>165682.80202968</v>
      </c>
      <c r="D17" s="79">
        <f t="shared" si="12"/>
        <v>163533.59225244002</v>
      </c>
      <c r="E17" s="79">
        <f t="shared" si="12"/>
        <v>156824.20764107996</v>
      </c>
      <c r="F17" s="79">
        <f t="shared" si="12"/>
        <v>156779.07738047998</v>
      </c>
      <c r="G17" s="79">
        <f t="shared" si="12"/>
        <v>148760.08844616002</v>
      </c>
      <c r="H17" s="79">
        <f t="shared" si="12"/>
        <v>147139.00883819998</v>
      </c>
      <c r="I17" s="79">
        <f t="shared" si="12"/>
        <v>142161.91993259999</v>
      </c>
      <c r="J17" s="79">
        <f t="shared" si="12"/>
        <v>142894.73908044002</v>
      </c>
      <c r="K17" s="79">
        <f t="shared" si="12"/>
        <v>141798.06740628</v>
      </c>
      <c r="L17" s="79">
        <f t="shared" ref="L17" si="13">SUM(L18,L33)</f>
        <v>142999.56781055999</v>
      </c>
      <c r="M17" s="79">
        <f t="shared" ref="M17:V17" si="14">SUM(M18,M33)</f>
        <v>145064.00129471999</v>
      </c>
      <c r="N17" s="79">
        <f t="shared" si="14"/>
        <v>143781.01089876</v>
      </c>
      <c r="O17" s="79">
        <f t="shared" si="14"/>
        <v>147891.52201680001</v>
      </c>
      <c r="P17" s="79">
        <f t="shared" si="14"/>
        <v>151280.32128156</v>
      </c>
      <c r="Q17" s="79">
        <f t="shared" si="14"/>
        <v>151320.25227131997</v>
      </c>
      <c r="R17" s="79">
        <f t="shared" si="14"/>
        <v>155421.06382404</v>
      </c>
      <c r="S17" s="79">
        <f t="shared" si="14"/>
        <v>157877.60511599999</v>
      </c>
      <c r="T17" s="79">
        <f t="shared" si="14"/>
        <v>151801.03648368001</v>
      </c>
      <c r="U17" s="79">
        <f t="shared" si="14"/>
        <v>153453.93148043996</v>
      </c>
      <c r="V17" s="79">
        <f t="shared" si="14"/>
        <v>137960.10778104002</v>
      </c>
      <c r="W17" s="79">
        <f t="shared" ref="W17:Y17" si="15">SUM(W18,W33)</f>
        <v>134854.3984881478</v>
      </c>
      <c r="X17" s="79">
        <f t="shared" si="15"/>
        <v>136352.11733178241</v>
      </c>
      <c r="Y17" s="79">
        <f t="shared" si="15"/>
        <v>131545.30012858537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119316.86955501986</v>
      </c>
      <c r="C18" s="32">
        <f t="shared" si="16"/>
        <v>118479.51444706222</v>
      </c>
      <c r="D18" s="32">
        <f t="shared" si="16"/>
        <v>118106.10089290625</v>
      </c>
      <c r="E18" s="32">
        <f t="shared" si="16"/>
        <v>114779.19038574491</v>
      </c>
      <c r="F18" s="32">
        <f t="shared" si="16"/>
        <v>115482.68242259146</v>
      </c>
      <c r="G18" s="32">
        <f t="shared" si="16"/>
        <v>109742.94613022919</v>
      </c>
      <c r="H18" s="32">
        <f t="shared" si="16"/>
        <v>104604.58934895185</v>
      </c>
      <c r="I18" s="32">
        <f t="shared" si="16"/>
        <v>100833.18927470747</v>
      </c>
      <c r="J18" s="32">
        <f t="shared" si="16"/>
        <v>100865.33412527844</v>
      </c>
      <c r="K18" s="32">
        <f t="shared" si="16"/>
        <v>101129.45489948073</v>
      </c>
      <c r="L18" s="32">
        <f t="shared" ref="L18" si="17">SUM(L19,L20,L27)</f>
        <v>98838.346419639565</v>
      </c>
      <c r="M18" s="32">
        <f t="shared" ref="M18:V18" si="18">SUM(M19,M20,M27)</f>
        <v>101093.62090857814</v>
      </c>
      <c r="N18" s="32">
        <f t="shared" si="18"/>
        <v>97942.592589398409</v>
      </c>
      <c r="O18" s="32">
        <f t="shared" si="18"/>
        <v>101718.02312749581</v>
      </c>
      <c r="P18" s="32">
        <f t="shared" si="18"/>
        <v>103435.69352680159</v>
      </c>
      <c r="Q18" s="32">
        <f t="shared" si="18"/>
        <v>106374.03905851497</v>
      </c>
      <c r="R18" s="32">
        <f t="shared" si="18"/>
        <v>108940.94749781849</v>
      </c>
      <c r="S18" s="32">
        <f t="shared" si="18"/>
        <v>109113.13336912417</v>
      </c>
      <c r="T18" s="32">
        <f t="shared" si="18"/>
        <v>102292.08450079979</v>
      </c>
      <c r="U18" s="32">
        <f t="shared" si="18"/>
        <v>104102.05081906375</v>
      </c>
      <c r="V18" s="32">
        <f t="shared" si="18"/>
        <v>88741.972614202299</v>
      </c>
      <c r="W18" s="32">
        <f t="shared" ref="W18:Y18" si="19">SUM(W19,W20,W27)</f>
        <v>88294.883893204518</v>
      </c>
      <c r="X18" s="32">
        <f t="shared" si="19"/>
        <v>91380.652661082364</v>
      </c>
      <c r="Y18" s="32">
        <f t="shared" si="19"/>
        <v>90854.402603315641</v>
      </c>
      <c r="DA18" s="173" t="s">
        <v>403</v>
      </c>
    </row>
    <row r="19" spans="1:105" ht="11.45" customHeight="1" x14ac:dyDescent="0.25">
      <c r="A19" s="136" t="s">
        <v>173</v>
      </c>
      <c r="B19" s="141">
        <v>1381.3019644921737</v>
      </c>
      <c r="C19" s="141">
        <v>1379.3848131507502</v>
      </c>
      <c r="D19" s="141">
        <v>1414.6196020226839</v>
      </c>
      <c r="E19" s="141">
        <v>1378.227416473904</v>
      </c>
      <c r="F19" s="141">
        <v>1413.2901198484744</v>
      </c>
      <c r="G19" s="141">
        <v>1407.3912295364378</v>
      </c>
      <c r="H19" s="141">
        <v>1412.5607071483532</v>
      </c>
      <c r="I19" s="141">
        <v>1199.4683383807192</v>
      </c>
      <c r="J19" s="141">
        <v>1197.1315462297368</v>
      </c>
      <c r="K19" s="141">
        <v>1198.2094952480259</v>
      </c>
      <c r="L19" s="141">
        <v>1174.3674960329067</v>
      </c>
      <c r="M19" s="141">
        <v>1213.2788341480416</v>
      </c>
      <c r="N19" s="141">
        <v>1195.2729423310971</v>
      </c>
      <c r="O19" s="141">
        <v>1220.4291627357863</v>
      </c>
      <c r="P19" s="141">
        <v>1227.2131523787411</v>
      </c>
      <c r="Q19" s="141">
        <v>1259.9988526258137</v>
      </c>
      <c r="R19" s="141">
        <v>1279.7681319071389</v>
      </c>
      <c r="S19" s="141">
        <v>1198.0961159340068</v>
      </c>
      <c r="T19" s="141">
        <v>1123.8441095631044</v>
      </c>
      <c r="U19" s="141">
        <v>1206.0897961571077</v>
      </c>
      <c r="V19" s="141">
        <v>1051.6326146516597</v>
      </c>
      <c r="W19" s="141">
        <v>1114.897425650599</v>
      </c>
      <c r="X19" s="141">
        <v>1118.9630481477336</v>
      </c>
      <c r="Y19" s="141">
        <v>1188.7252855044844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111195.06602240715</v>
      </c>
      <c r="C20" s="130">
        <f t="shared" si="20"/>
        <v>110560.83893716139</v>
      </c>
      <c r="D20" s="130">
        <f t="shared" si="20"/>
        <v>110389.39128264876</v>
      </c>
      <c r="E20" s="130">
        <f t="shared" si="20"/>
        <v>107211.64037507783</v>
      </c>
      <c r="F20" s="130">
        <f t="shared" si="20"/>
        <v>107915.14760325612</v>
      </c>
      <c r="G20" s="130">
        <f t="shared" si="20"/>
        <v>102521.65119906848</v>
      </c>
      <c r="H20" s="130">
        <f t="shared" si="20"/>
        <v>97573.223720004404</v>
      </c>
      <c r="I20" s="130">
        <f t="shared" si="20"/>
        <v>94499.030425132165</v>
      </c>
      <c r="J20" s="130">
        <f t="shared" si="20"/>
        <v>94562.935860187034</v>
      </c>
      <c r="K20" s="130">
        <f t="shared" si="20"/>
        <v>94690.892813237413</v>
      </c>
      <c r="L20" s="130">
        <f t="shared" ref="L20" si="21">SUM(L21:L26)</f>
        <v>92170.403584565924</v>
      </c>
      <c r="M20" s="130">
        <f t="shared" ref="M20:V20" si="22">SUM(M21:M26)</f>
        <v>94057.678705519313</v>
      </c>
      <c r="N20" s="130">
        <f t="shared" si="22"/>
        <v>90593.938301509537</v>
      </c>
      <c r="O20" s="130">
        <f t="shared" si="22"/>
        <v>93894.71234693857</v>
      </c>
      <c r="P20" s="130">
        <f t="shared" si="22"/>
        <v>95403.455033991253</v>
      </c>
      <c r="Q20" s="130">
        <f t="shared" si="22"/>
        <v>97983.763357854099</v>
      </c>
      <c r="R20" s="130">
        <f t="shared" si="22"/>
        <v>100330.02087163621</v>
      </c>
      <c r="S20" s="130">
        <f t="shared" si="22"/>
        <v>100695.29491621361</v>
      </c>
      <c r="T20" s="130">
        <f t="shared" si="22"/>
        <v>94002.370618298053</v>
      </c>
      <c r="U20" s="130">
        <f t="shared" si="22"/>
        <v>95791.580034195693</v>
      </c>
      <c r="V20" s="130">
        <f t="shared" si="22"/>
        <v>81334.474995302095</v>
      </c>
      <c r="W20" s="130">
        <f t="shared" ref="W20:Y20" si="23">SUM(W21:W26)</f>
        <v>80939.696992067169</v>
      </c>
      <c r="X20" s="130">
        <f t="shared" si="23"/>
        <v>83638.570528207812</v>
      </c>
      <c r="Y20" s="130">
        <f t="shared" si="23"/>
        <v>83009.818720073628</v>
      </c>
      <c r="DA20" s="176" t="s">
        <v>405</v>
      </c>
    </row>
    <row r="21" spans="1:105" ht="11.45" customHeight="1" x14ac:dyDescent="0.25">
      <c r="A21" s="111" t="s">
        <v>110</v>
      </c>
      <c r="B21" s="96">
        <v>85394.539647981524</v>
      </c>
      <c r="C21" s="96">
        <v>82840.763822596113</v>
      </c>
      <c r="D21" s="96">
        <v>80538.220761475837</v>
      </c>
      <c r="E21" s="96">
        <v>74708.075548750043</v>
      </c>
      <c r="F21" s="96">
        <v>72191.697122340192</v>
      </c>
      <c r="G21" s="96">
        <v>66759.406317570727</v>
      </c>
      <c r="H21" s="96">
        <v>63555.402419018574</v>
      </c>
      <c r="I21" s="96">
        <v>60106.135927154333</v>
      </c>
      <c r="J21" s="96">
        <v>58494.574594102109</v>
      </c>
      <c r="K21" s="96">
        <v>55571.220366964524</v>
      </c>
      <c r="L21" s="96">
        <v>53132.23311428239</v>
      </c>
      <c r="M21" s="96">
        <v>52876.501545629224</v>
      </c>
      <c r="N21" s="96">
        <v>49558.176412399327</v>
      </c>
      <c r="O21" s="96">
        <v>49464.993140310449</v>
      </c>
      <c r="P21" s="96">
        <v>49724.094957728921</v>
      </c>
      <c r="Q21" s="96">
        <v>47501.845203761201</v>
      </c>
      <c r="R21" s="96">
        <v>47490.929914695211</v>
      </c>
      <c r="S21" s="96">
        <v>48268.021702565486</v>
      </c>
      <c r="T21" s="96">
        <v>46083.717160779284</v>
      </c>
      <c r="U21" s="96">
        <v>46468.519772712658</v>
      </c>
      <c r="V21" s="96">
        <v>41729.741281009388</v>
      </c>
      <c r="W21" s="96">
        <v>41169.195317480255</v>
      </c>
      <c r="X21" s="96">
        <v>42645.794365089896</v>
      </c>
      <c r="Y21" s="96">
        <v>42286.898418088211</v>
      </c>
      <c r="DA21" s="171" t="s">
        <v>751</v>
      </c>
    </row>
    <row r="22" spans="1:105" ht="11.45" customHeight="1" x14ac:dyDescent="0.25">
      <c r="A22" s="111" t="s">
        <v>111</v>
      </c>
      <c r="B22" s="96">
        <v>25612.494684425619</v>
      </c>
      <c r="C22" s="96">
        <v>27535.02807980527</v>
      </c>
      <c r="D22" s="96">
        <v>29633.292505932928</v>
      </c>
      <c r="E22" s="96">
        <v>32284.73864524778</v>
      </c>
      <c r="F22" s="96">
        <v>35430.439721985022</v>
      </c>
      <c r="G22" s="96">
        <v>35340.255532150419</v>
      </c>
      <c r="H22" s="96">
        <v>33450.922953275163</v>
      </c>
      <c r="I22" s="96">
        <v>33564.278872247822</v>
      </c>
      <c r="J22" s="96">
        <v>34831.33565757129</v>
      </c>
      <c r="K22" s="96">
        <v>37268.736297280666</v>
      </c>
      <c r="L22" s="96">
        <v>37237.519185065736</v>
      </c>
      <c r="M22" s="96">
        <v>39340.350897418226</v>
      </c>
      <c r="N22" s="96">
        <v>39229.155059330646</v>
      </c>
      <c r="O22" s="96">
        <v>42671.503589110012</v>
      </c>
      <c r="P22" s="96">
        <v>43829.664691164959</v>
      </c>
      <c r="Q22" s="96">
        <v>48779.448725501978</v>
      </c>
      <c r="R22" s="96">
        <v>51292.837184749347</v>
      </c>
      <c r="S22" s="96">
        <v>50989.917975791075</v>
      </c>
      <c r="T22" s="96">
        <v>46324.059457313728</v>
      </c>
      <c r="U22" s="96">
        <v>47914.226220543162</v>
      </c>
      <c r="V22" s="96">
        <v>38499.892193870066</v>
      </c>
      <c r="W22" s="96">
        <v>38565.591679375117</v>
      </c>
      <c r="X22" s="96">
        <v>39967.434830991842</v>
      </c>
      <c r="Y22" s="96">
        <v>39492.554052963889</v>
      </c>
      <c r="DA22" s="171" t="s">
        <v>752</v>
      </c>
    </row>
    <row r="23" spans="1:105" ht="11.45" customHeight="1" x14ac:dyDescent="0.25">
      <c r="A23" s="111" t="s">
        <v>112</v>
      </c>
      <c r="B23" s="96">
        <v>188.03169000000003</v>
      </c>
      <c r="C23" s="96">
        <v>185.04703476</v>
      </c>
      <c r="D23" s="96">
        <v>217.87801524000002</v>
      </c>
      <c r="E23" s="96">
        <v>218.82618108000003</v>
      </c>
      <c r="F23" s="96">
        <v>293.01075893090626</v>
      </c>
      <c r="G23" s="96">
        <v>321.93821399867471</v>
      </c>
      <c r="H23" s="96">
        <v>453.60785696395544</v>
      </c>
      <c r="I23" s="96">
        <v>719.52798923175237</v>
      </c>
      <c r="J23" s="96">
        <v>1133.6303655610025</v>
      </c>
      <c r="K23" s="96">
        <v>1643.0916761845413</v>
      </c>
      <c r="L23" s="96">
        <v>1595.3384555968044</v>
      </c>
      <c r="M23" s="96">
        <v>1622.9407776143428</v>
      </c>
      <c r="N23" s="96">
        <v>1612.4399939595112</v>
      </c>
      <c r="O23" s="96">
        <v>1566.3804516048081</v>
      </c>
      <c r="P23" s="96">
        <v>1649.7896357975378</v>
      </c>
      <c r="Q23" s="96">
        <v>1509.2140975851821</v>
      </c>
      <c r="R23" s="96">
        <v>1354.0292568468387</v>
      </c>
      <c r="S23" s="96">
        <v>1248.0663784825429</v>
      </c>
      <c r="T23" s="96">
        <v>1392.2715527609855</v>
      </c>
      <c r="U23" s="96">
        <v>1196.2582347222312</v>
      </c>
      <c r="V23" s="96">
        <v>876.34944758850747</v>
      </c>
      <c r="W23" s="96">
        <v>814.79941038297727</v>
      </c>
      <c r="X23" s="96">
        <v>531.65563731132374</v>
      </c>
      <c r="Y23" s="96">
        <v>712.75863516007348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100.0511353486712</v>
      </c>
      <c r="H24" s="96">
        <v>113.29049074671912</v>
      </c>
      <c r="I24" s="96">
        <v>109.0876364982677</v>
      </c>
      <c r="J24" s="96">
        <v>103.39524295263399</v>
      </c>
      <c r="K24" s="96">
        <v>207.84447280767782</v>
      </c>
      <c r="L24" s="96">
        <v>205.31282962099397</v>
      </c>
      <c r="M24" s="96">
        <v>217.72975668745229</v>
      </c>
      <c r="N24" s="96">
        <v>193.60603685169667</v>
      </c>
      <c r="O24" s="96">
        <v>190.42504578181709</v>
      </c>
      <c r="P24" s="96">
        <v>196.85015896420938</v>
      </c>
      <c r="Q24" s="96">
        <v>185.55330083989475</v>
      </c>
      <c r="R24" s="96">
        <v>178.08534623359037</v>
      </c>
      <c r="S24" s="96">
        <v>168.47544223367771</v>
      </c>
      <c r="T24" s="96">
        <v>170.71368025688417</v>
      </c>
      <c r="U24" s="96">
        <v>159.23287801992495</v>
      </c>
      <c r="V24" s="96">
        <v>122.24956437784634</v>
      </c>
      <c r="W24" s="96">
        <v>183.23592624558418</v>
      </c>
      <c r="X24" s="96">
        <v>191.33417570204278</v>
      </c>
      <c r="Y24" s="96">
        <v>197.16768059371282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0.15572817006364759</v>
      </c>
      <c r="N25" s="96">
        <v>0.5607989683658422</v>
      </c>
      <c r="O25" s="96">
        <v>1.4101201314763985</v>
      </c>
      <c r="P25" s="96">
        <v>3.0555903356325413</v>
      </c>
      <c r="Q25" s="96">
        <v>7.7020301658453256</v>
      </c>
      <c r="R25" s="96">
        <v>14.139169111214981</v>
      </c>
      <c r="S25" s="96">
        <v>20.813417140816913</v>
      </c>
      <c r="T25" s="96">
        <v>31.608767187170901</v>
      </c>
      <c r="U25" s="96">
        <v>53.342928197718159</v>
      </c>
      <c r="V25" s="96">
        <v>106.24250845626933</v>
      </c>
      <c r="W25" s="96">
        <v>206.87465858322193</v>
      </c>
      <c r="X25" s="96">
        <v>302.3515191127052</v>
      </c>
      <c r="Y25" s="96">
        <v>320.43993326774779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6740.5015681205359</v>
      </c>
      <c r="C27" s="130">
        <f t="shared" si="24"/>
        <v>6539.2906967500821</v>
      </c>
      <c r="D27" s="130">
        <f t="shared" si="24"/>
        <v>6302.0900082348044</v>
      </c>
      <c r="E27" s="130">
        <f t="shared" si="24"/>
        <v>6189.3225941931751</v>
      </c>
      <c r="F27" s="130">
        <f t="shared" si="24"/>
        <v>6154.2446994868715</v>
      </c>
      <c r="G27" s="130">
        <f t="shared" si="24"/>
        <v>5813.9037016242628</v>
      </c>
      <c r="H27" s="130">
        <f t="shared" si="24"/>
        <v>5618.8049217990983</v>
      </c>
      <c r="I27" s="130">
        <f t="shared" si="24"/>
        <v>5134.6905111945898</v>
      </c>
      <c r="J27" s="130">
        <f t="shared" si="24"/>
        <v>5105.2667188616779</v>
      </c>
      <c r="K27" s="130">
        <f t="shared" si="24"/>
        <v>5240.3525909952868</v>
      </c>
      <c r="L27" s="130">
        <f t="shared" ref="L27" si="25">SUM(L28:L32)</f>
        <v>5493.5753390407363</v>
      </c>
      <c r="M27" s="130">
        <f t="shared" ref="M27:V27" si="26">SUM(M28:M32)</f>
        <v>5822.6633689107784</v>
      </c>
      <c r="N27" s="130">
        <f t="shared" si="26"/>
        <v>6153.3813455577765</v>
      </c>
      <c r="O27" s="130">
        <f t="shared" si="26"/>
        <v>6602.8816178214465</v>
      </c>
      <c r="P27" s="130">
        <f t="shared" si="26"/>
        <v>6805.0253404315981</v>
      </c>
      <c r="Q27" s="130">
        <f t="shared" si="26"/>
        <v>7130.2768480350705</v>
      </c>
      <c r="R27" s="130">
        <f t="shared" si="26"/>
        <v>7331.158494275136</v>
      </c>
      <c r="S27" s="130">
        <f t="shared" si="26"/>
        <v>7219.7423369765647</v>
      </c>
      <c r="T27" s="130">
        <f t="shared" si="26"/>
        <v>7165.869772938634</v>
      </c>
      <c r="U27" s="130">
        <f t="shared" si="26"/>
        <v>7104.3809887109592</v>
      </c>
      <c r="V27" s="130">
        <f t="shared" si="26"/>
        <v>6355.865004248546</v>
      </c>
      <c r="W27" s="130">
        <f t="shared" ref="W27:Y27" si="27">SUM(W28:W32)</f>
        <v>6240.2894754867384</v>
      </c>
      <c r="X27" s="130">
        <f t="shared" si="27"/>
        <v>6623.1190847268226</v>
      </c>
      <c r="Y27" s="130">
        <f t="shared" si="27"/>
        <v>6655.858597737536</v>
      </c>
      <c r="DA27" s="176" t="s">
        <v>406</v>
      </c>
    </row>
    <row r="28" spans="1:105" ht="11.45" customHeight="1" x14ac:dyDescent="0.25">
      <c r="A28" s="111" t="s">
        <v>110</v>
      </c>
      <c r="B28" s="97">
        <v>0</v>
      </c>
      <c r="C28" s="97">
        <v>0</v>
      </c>
      <c r="D28" s="97">
        <v>0</v>
      </c>
      <c r="E28" s="97">
        <v>0</v>
      </c>
      <c r="F28" s="97">
        <v>0</v>
      </c>
      <c r="G28" s="97">
        <v>0</v>
      </c>
      <c r="H28" s="97">
        <v>0</v>
      </c>
      <c r="I28" s="97">
        <v>0</v>
      </c>
      <c r="J28" s="97">
        <v>0</v>
      </c>
      <c r="K28" s="97">
        <v>0</v>
      </c>
      <c r="L28" s="97">
        <v>0</v>
      </c>
      <c r="M28" s="97">
        <v>0</v>
      </c>
      <c r="N28" s="97">
        <v>0</v>
      </c>
      <c r="O28" s="97">
        <v>0</v>
      </c>
      <c r="P28" s="97">
        <v>0</v>
      </c>
      <c r="Q28" s="97">
        <v>0</v>
      </c>
      <c r="R28" s="97">
        <v>0</v>
      </c>
      <c r="S28" s="97">
        <v>0</v>
      </c>
      <c r="T28" s="97">
        <v>0</v>
      </c>
      <c r="U28" s="97">
        <v>0</v>
      </c>
      <c r="V28" s="97">
        <v>0</v>
      </c>
      <c r="W28" s="97">
        <v>0</v>
      </c>
      <c r="X28" s="97">
        <v>0</v>
      </c>
      <c r="Y28" s="97">
        <v>0</v>
      </c>
      <c r="DA28" s="175" t="s">
        <v>757</v>
      </c>
    </row>
    <row r="29" spans="1:105" ht="11.45" customHeight="1" x14ac:dyDescent="0.25">
      <c r="A29" s="111" t="s">
        <v>111</v>
      </c>
      <c r="B29" s="97">
        <v>6696.8782081205363</v>
      </c>
      <c r="C29" s="97">
        <v>6480.116416750082</v>
      </c>
      <c r="D29" s="97">
        <v>6224.8907982348046</v>
      </c>
      <c r="E29" s="97">
        <v>6093.4913624331748</v>
      </c>
      <c r="F29" s="97">
        <v>6029.326005857778</v>
      </c>
      <c r="G29" s="97">
        <v>5738.6410068916084</v>
      </c>
      <c r="H29" s="97">
        <v>5517.8094554325107</v>
      </c>
      <c r="I29" s="97">
        <v>5035.3662743477171</v>
      </c>
      <c r="J29" s="97">
        <v>5029.8566595373804</v>
      </c>
      <c r="K29" s="97">
        <v>5155.0759401761052</v>
      </c>
      <c r="L29" s="97">
        <v>5423.6677360333315</v>
      </c>
      <c r="M29" s="97">
        <v>5695.3578196745466</v>
      </c>
      <c r="N29" s="97">
        <v>5984.3529490890132</v>
      </c>
      <c r="O29" s="97">
        <v>6411.7703956211972</v>
      </c>
      <c r="P29" s="97">
        <v>6615.4377537446253</v>
      </c>
      <c r="Q29" s="97">
        <v>6932.8239035575061</v>
      </c>
      <c r="R29" s="97">
        <v>7158.1345298108172</v>
      </c>
      <c r="S29" s="97">
        <v>7082.8650995005937</v>
      </c>
      <c r="T29" s="97">
        <v>7070.4483256504982</v>
      </c>
      <c r="U29" s="97">
        <v>6954.2887949488395</v>
      </c>
      <c r="V29" s="97">
        <v>6184.7499838914482</v>
      </c>
      <c r="W29" s="97">
        <v>6048.0811141111508</v>
      </c>
      <c r="X29" s="97">
        <v>6201.0515053575828</v>
      </c>
      <c r="Y29" s="97">
        <v>6207.5955519082008</v>
      </c>
      <c r="DA29" s="175" t="s">
        <v>758</v>
      </c>
    </row>
    <row r="30" spans="1:105" ht="11.45" customHeight="1" x14ac:dyDescent="0.25">
      <c r="A30" s="111" t="s">
        <v>112</v>
      </c>
      <c r="B30" s="97">
        <v>0</v>
      </c>
      <c r="C30" s="97">
        <v>0</v>
      </c>
      <c r="D30" s="97">
        <v>0</v>
      </c>
      <c r="E30" s="97">
        <v>0</v>
      </c>
      <c r="F30" s="97">
        <v>0.26029734909374064</v>
      </c>
      <c r="G30" s="97">
        <v>0.26439420132537639</v>
      </c>
      <c r="H30" s="97">
        <v>0.27400386095145968</v>
      </c>
      <c r="I30" s="97">
        <v>0.34946614380894409</v>
      </c>
      <c r="J30" s="97">
        <v>0.48088982696768945</v>
      </c>
      <c r="K30" s="97">
        <v>0.62840694599575864</v>
      </c>
      <c r="L30" s="97">
        <v>0.68491859939664923</v>
      </c>
      <c r="M30" s="97">
        <v>0.66367668930210666</v>
      </c>
      <c r="N30" s="97">
        <v>0.64670940646845021</v>
      </c>
      <c r="O30" s="97">
        <v>0.63150680879633114</v>
      </c>
      <c r="P30" s="97">
        <v>0.62230875468817382</v>
      </c>
      <c r="Q30" s="97">
        <v>0.62254653471789145</v>
      </c>
      <c r="R30" s="97">
        <v>0.63374567192793374</v>
      </c>
      <c r="S30" s="97">
        <v>0.58864698465645726</v>
      </c>
      <c r="T30" s="97">
        <v>0.57754591881273309</v>
      </c>
      <c r="U30" s="97">
        <v>0.60422771795598029</v>
      </c>
      <c r="V30" s="97">
        <v>0.50791606336402684</v>
      </c>
      <c r="W30" s="97">
        <v>0.50739304805455321</v>
      </c>
      <c r="X30" s="97">
        <v>0.40757230474408557</v>
      </c>
      <c r="Y30" s="97">
        <v>0.25613217674452804</v>
      </c>
      <c r="DA30" s="175" t="s">
        <v>759</v>
      </c>
    </row>
    <row r="31" spans="1:105" ht="11.45" customHeight="1" x14ac:dyDescent="0.25">
      <c r="A31" s="111" t="s">
        <v>113</v>
      </c>
      <c r="B31" s="97">
        <v>43.623359999999998</v>
      </c>
      <c r="C31" s="97">
        <v>59.174280000000003</v>
      </c>
      <c r="D31" s="97">
        <v>77.199210000000022</v>
      </c>
      <c r="E31" s="97">
        <v>95.83123175999998</v>
      </c>
      <c r="F31" s="97">
        <v>124.65839628000002</v>
      </c>
      <c r="G31" s="97">
        <v>74.998300531328837</v>
      </c>
      <c r="H31" s="97">
        <v>100.72146250563578</v>
      </c>
      <c r="I31" s="97">
        <v>98.974770703063669</v>
      </c>
      <c r="J31" s="97">
        <v>74.929169497329582</v>
      </c>
      <c r="K31" s="97">
        <v>84.64824387318582</v>
      </c>
      <c r="L31" s="97">
        <v>69.222684408007453</v>
      </c>
      <c r="M31" s="97">
        <v>126.64187254692958</v>
      </c>
      <c r="N31" s="97">
        <v>168.38168706229524</v>
      </c>
      <c r="O31" s="97">
        <v>190.47971539145368</v>
      </c>
      <c r="P31" s="97">
        <v>188.96527793228543</v>
      </c>
      <c r="Q31" s="97">
        <v>196.83039794284619</v>
      </c>
      <c r="R31" s="97">
        <v>172.39021879239098</v>
      </c>
      <c r="S31" s="97">
        <v>136.28859049131486</v>
      </c>
      <c r="T31" s="97">
        <v>94.843901369323547</v>
      </c>
      <c r="U31" s="97">
        <v>149.48796604416421</v>
      </c>
      <c r="V31" s="97">
        <v>170.60710429373376</v>
      </c>
      <c r="W31" s="97">
        <v>191.70096832753276</v>
      </c>
      <c r="X31" s="97">
        <v>421.66000706449506</v>
      </c>
      <c r="Y31" s="97">
        <v>448.00691365259047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50115.558447380099</v>
      </c>
      <c r="C33" s="32">
        <f t="shared" si="28"/>
        <v>47203.287582617784</v>
      </c>
      <c r="D33" s="32">
        <f t="shared" si="28"/>
        <v>45427.491359533771</v>
      </c>
      <c r="E33" s="32">
        <f t="shared" si="28"/>
        <v>42045.017255335064</v>
      </c>
      <c r="F33" s="32">
        <f t="shared" si="28"/>
        <v>41296.394957888515</v>
      </c>
      <c r="G33" s="32">
        <f t="shared" si="28"/>
        <v>39017.142315930825</v>
      </c>
      <c r="H33" s="32">
        <f t="shared" si="28"/>
        <v>42534.419489248139</v>
      </c>
      <c r="I33" s="32">
        <f t="shared" si="28"/>
        <v>41328.73065789252</v>
      </c>
      <c r="J33" s="32">
        <f t="shared" si="28"/>
        <v>42029.404955161561</v>
      </c>
      <c r="K33" s="32">
        <f t="shared" si="28"/>
        <v>40668.612506799276</v>
      </c>
      <c r="L33" s="32">
        <f t="shared" ref="L33" si="29">L34+L40</f>
        <v>44161.221390920444</v>
      </c>
      <c r="M33" s="32">
        <f t="shared" ref="M33:V33" si="30">M34+M40</f>
        <v>43970.380386141849</v>
      </c>
      <c r="N33" s="32">
        <f t="shared" si="30"/>
        <v>45838.418309361579</v>
      </c>
      <c r="O33" s="32">
        <f t="shared" si="30"/>
        <v>46173.49888930421</v>
      </c>
      <c r="P33" s="32">
        <f t="shared" si="30"/>
        <v>47844.627754758396</v>
      </c>
      <c r="Q33" s="32">
        <f t="shared" si="30"/>
        <v>44946.213212804985</v>
      </c>
      <c r="R33" s="32">
        <f t="shared" si="30"/>
        <v>46480.116326221512</v>
      </c>
      <c r="S33" s="32">
        <f t="shared" si="30"/>
        <v>48764.471746875824</v>
      </c>
      <c r="T33" s="32">
        <f t="shared" si="30"/>
        <v>49508.951982880229</v>
      </c>
      <c r="U33" s="32">
        <f t="shared" si="30"/>
        <v>49351.880661376221</v>
      </c>
      <c r="V33" s="32">
        <f t="shared" si="30"/>
        <v>49218.135166837703</v>
      </c>
      <c r="W33" s="32">
        <f t="shared" ref="W33:Y33" si="31">W34+W40</f>
        <v>46559.51459494327</v>
      </c>
      <c r="X33" s="32">
        <f t="shared" si="31"/>
        <v>44971.464670700057</v>
      </c>
      <c r="Y33" s="32">
        <f t="shared" si="31"/>
        <v>40690.897525269713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10320.751271974239</v>
      </c>
      <c r="C34" s="141">
        <f t="shared" si="32"/>
        <v>10507.201826452374</v>
      </c>
      <c r="D34" s="141">
        <f t="shared" si="32"/>
        <v>10378.943615111191</v>
      </c>
      <c r="E34" s="141">
        <f t="shared" si="32"/>
        <v>10599.615173437749</v>
      </c>
      <c r="F34" s="141">
        <f t="shared" si="32"/>
        <v>10188.683558174705</v>
      </c>
      <c r="G34" s="141">
        <f t="shared" si="32"/>
        <v>9959.1414615534904</v>
      </c>
      <c r="H34" s="141">
        <f t="shared" si="32"/>
        <v>9362.3706373069508</v>
      </c>
      <c r="I34" s="141">
        <f t="shared" si="32"/>
        <v>9007.8402622533904</v>
      </c>
      <c r="J34" s="141">
        <f t="shared" si="32"/>
        <v>9066.6243603537187</v>
      </c>
      <c r="K34" s="141">
        <f t="shared" si="32"/>
        <v>9292.0813377514187</v>
      </c>
      <c r="L34" s="141">
        <f t="shared" ref="L34" si="33">SUM(L35:L39)</f>
        <v>9008.3218507977417</v>
      </c>
      <c r="M34" s="141">
        <f t="shared" ref="M34:V34" si="34">SUM(M35:M39)</f>
        <v>9226.2608515238662</v>
      </c>
      <c r="N34" s="141">
        <f t="shared" si="34"/>
        <v>8971.259204567601</v>
      </c>
      <c r="O34" s="141">
        <f t="shared" si="34"/>
        <v>9486.0413969000965</v>
      </c>
      <c r="P34" s="141">
        <f t="shared" si="34"/>
        <v>9871.1228485648408</v>
      </c>
      <c r="Q34" s="141">
        <f t="shared" si="34"/>
        <v>11170.971394528362</v>
      </c>
      <c r="R34" s="141">
        <f t="shared" si="34"/>
        <v>11869.428015913047</v>
      </c>
      <c r="S34" s="141">
        <f t="shared" si="34"/>
        <v>12044.301630180116</v>
      </c>
      <c r="T34" s="141">
        <f t="shared" si="34"/>
        <v>11402.929906340334</v>
      </c>
      <c r="U34" s="141">
        <f t="shared" si="34"/>
        <v>12083.627915064157</v>
      </c>
      <c r="V34" s="141">
        <f t="shared" si="34"/>
        <v>11087.617004659871</v>
      </c>
      <c r="W34" s="141">
        <f t="shared" ref="W34:Y34" si="35">SUM(W35:W39)</f>
        <v>11749.753429616749</v>
      </c>
      <c r="X34" s="141">
        <f t="shared" si="35"/>
        <v>12136.662702775158</v>
      </c>
      <c r="Y34" s="141">
        <f t="shared" si="35"/>
        <v>12393.341831143185</v>
      </c>
      <c r="DA34" s="174" t="s">
        <v>412</v>
      </c>
    </row>
    <row r="35" spans="1:105" ht="11.45" customHeight="1" x14ac:dyDescent="0.25">
      <c r="A35" s="111" t="s">
        <v>110</v>
      </c>
      <c r="B35" s="96">
        <v>999.03478064628393</v>
      </c>
      <c r="C35" s="96">
        <v>930.04470881315206</v>
      </c>
      <c r="D35" s="96">
        <v>882.58049334150564</v>
      </c>
      <c r="E35" s="96">
        <v>797.93935593601816</v>
      </c>
      <c r="F35" s="96">
        <v>728.84436985131663</v>
      </c>
      <c r="G35" s="96">
        <v>660.04198357284133</v>
      </c>
      <c r="H35" s="96">
        <v>584.85631055307863</v>
      </c>
      <c r="I35" s="96">
        <v>559.79374426496588</v>
      </c>
      <c r="J35" s="96">
        <v>486.8927246681622</v>
      </c>
      <c r="K35" s="96">
        <v>448.97204614746033</v>
      </c>
      <c r="L35" s="96">
        <v>413.28654084470202</v>
      </c>
      <c r="M35" s="96">
        <v>397.60133793265726</v>
      </c>
      <c r="N35" s="96">
        <v>362.94646318121221</v>
      </c>
      <c r="O35" s="96">
        <v>351.66822226230317</v>
      </c>
      <c r="P35" s="96">
        <v>349.67971479670769</v>
      </c>
      <c r="Q35" s="96">
        <v>341.41245316713531</v>
      </c>
      <c r="R35" s="96">
        <v>361.2822867664226</v>
      </c>
      <c r="S35" s="96">
        <v>379.98638179969487</v>
      </c>
      <c r="T35" s="96">
        <v>383.31123807043946</v>
      </c>
      <c r="U35" s="96">
        <v>392.64129497250991</v>
      </c>
      <c r="V35" s="96">
        <v>386.63628832268608</v>
      </c>
      <c r="W35" s="96">
        <v>437.53644728591161</v>
      </c>
      <c r="X35" s="96">
        <v>461.21510476967205</v>
      </c>
      <c r="Y35" s="96">
        <v>450.97319713954357</v>
      </c>
      <c r="DA35" s="171" t="s">
        <v>762</v>
      </c>
    </row>
    <row r="36" spans="1:105" ht="11.45" customHeight="1" x14ac:dyDescent="0.25">
      <c r="A36" s="111" t="s">
        <v>111</v>
      </c>
      <c r="B36" s="96">
        <v>9321.7164913279557</v>
      </c>
      <c r="C36" s="96">
        <v>9577.1571176392226</v>
      </c>
      <c r="D36" s="96">
        <v>9496.3631217696857</v>
      </c>
      <c r="E36" s="96">
        <v>9801.6758175017312</v>
      </c>
      <c r="F36" s="96">
        <v>9459.839188323389</v>
      </c>
      <c r="G36" s="96">
        <v>9299.0994779806497</v>
      </c>
      <c r="H36" s="96">
        <v>8732.4931485511333</v>
      </c>
      <c r="I36" s="96">
        <v>8390.4023738453179</v>
      </c>
      <c r="J36" s="96">
        <v>8503.0157083634913</v>
      </c>
      <c r="K36" s="96">
        <v>8756.5974130953582</v>
      </c>
      <c r="L36" s="96">
        <v>8504.9677040182432</v>
      </c>
      <c r="M36" s="96">
        <v>8738.4270979692355</v>
      </c>
      <c r="N36" s="96">
        <v>8523.0104121863606</v>
      </c>
      <c r="O36" s="96">
        <v>9051.1362983046656</v>
      </c>
      <c r="P36" s="96">
        <v>9433.6649614968537</v>
      </c>
      <c r="Q36" s="96">
        <v>10738.655372023868</v>
      </c>
      <c r="R36" s="96">
        <v>11415.520060851373</v>
      </c>
      <c r="S36" s="96">
        <v>11569.013004732611</v>
      </c>
      <c r="T36" s="96">
        <v>10926.536937615901</v>
      </c>
      <c r="U36" s="96">
        <v>11598.439657675925</v>
      </c>
      <c r="V36" s="96">
        <v>10611.952241980634</v>
      </c>
      <c r="W36" s="96">
        <v>11200.771548867229</v>
      </c>
      <c r="X36" s="96">
        <v>11560.916477165694</v>
      </c>
      <c r="Y36" s="96">
        <v>11833.783077921402</v>
      </c>
      <c r="DA36" s="171" t="s">
        <v>763</v>
      </c>
    </row>
    <row r="37" spans="1:105" ht="11.45" customHeight="1" x14ac:dyDescent="0.25">
      <c r="A37" s="111" t="s">
        <v>112</v>
      </c>
      <c r="B37" s="96">
        <v>0</v>
      </c>
      <c r="C37" s="96">
        <v>0</v>
      </c>
      <c r="D37" s="96">
        <v>0</v>
      </c>
      <c r="E37" s="96">
        <v>0</v>
      </c>
      <c r="F37" s="96">
        <v>0</v>
      </c>
      <c r="G37" s="96">
        <v>0</v>
      </c>
      <c r="H37" s="96">
        <v>10.221238895093187</v>
      </c>
      <c r="I37" s="96">
        <v>15.07419134443872</v>
      </c>
      <c r="J37" s="96">
        <v>27.83735937202994</v>
      </c>
      <c r="K37" s="96">
        <v>35.113165989463404</v>
      </c>
      <c r="L37" s="96">
        <v>39.241722723799171</v>
      </c>
      <c r="M37" s="96">
        <v>43.610696616355376</v>
      </c>
      <c r="N37" s="96">
        <v>48.319284874020418</v>
      </c>
      <c r="O37" s="96">
        <v>50.825650466396169</v>
      </c>
      <c r="P37" s="96">
        <v>55.537620927774213</v>
      </c>
      <c r="Q37" s="96">
        <v>58.865348120099988</v>
      </c>
      <c r="R37" s="96">
        <v>61.399054881233056</v>
      </c>
      <c r="S37" s="96">
        <v>64.124194732800817</v>
      </c>
      <c r="T37" s="96">
        <v>63.982499720201929</v>
      </c>
      <c r="U37" s="96">
        <v>66.993308559813073</v>
      </c>
      <c r="V37" s="96">
        <v>68.995987548128497</v>
      </c>
      <c r="W37" s="96">
        <v>81.623098568968075</v>
      </c>
      <c r="X37" s="96">
        <v>87.633813583932266</v>
      </c>
      <c r="Y37" s="96">
        <v>86.068236263182229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</v>
      </c>
      <c r="F38" s="96">
        <v>0</v>
      </c>
      <c r="G38" s="96">
        <v>0</v>
      </c>
      <c r="H38" s="96">
        <v>34.799939307645161</v>
      </c>
      <c r="I38" s="96">
        <v>42.569952798668687</v>
      </c>
      <c r="J38" s="96">
        <v>48.878567950036427</v>
      </c>
      <c r="K38" s="96">
        <v>51.398712519136275</v>
      </c>
      <c r="L38" s="96">
        <v>50.825883210998668</v>
      </c>
      <c r="M38" s="96">
        <v>46.621719005618068</v>
      </c>
      <c r="N38" s="96">
        <v>36.98304432600802</v>
      </c>
      <c r="O38" s="96">
        <v>32.411225866729218</v>
      </c>
      <c r="P38" s="96">
        <v>32.240551343505096</v>
      </c>
      <c r="Q38" s="96">
        <v>32.038221217259085</v>
      </c>
      <c r="R38" s="96">
        <v>31.226613414018701</v>
      </c>
      <c r="S38" s="96">
        <v>31.17804891500753</v>
      </c>
      <c r="T38" s="96">
        <v>29.099230933792388</v>
      </c>
      <c r="U38" s="96">
        <v>25.553653855910788</v>
      </c>
      <c r="V38" s="96">
        <v>20.032486808419918</v>
      </c>
      <c r="W38" s="96">
        <v>29.822334894640857</v>
      </c>
      <c r="X38" s="96">
        <v>26.897307255860252</v>
      </c>
      <c r="Y38" s="96">
        <v>22.517319819058745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39794.807175405862</v>
      </c>
      <c r="C40" s="130">
        <f t="shared" si="36"/>
        <v>36696.085756165412</v>
      </c>
      <c r="D40" s="130">
        <f t="shared" si="36"/>
        <v>35048.547744422576</v>
      </c>
      <c r="E40" s="130">
        <f t="shared" si="36"/>
        <v>31445.402081897315</v>
      </c>
      <c r="F40" s="130">
        <f t="shared" si="36"/>
        <v>31107.711399713808</v>
      </c>
      <c r="G40" s="130">
        <f t="shared" si="36"/>
        <v>29058.000854377337</v>
      </c>
      <c r="H40" s="130">
        <f t="shared" si="36"/>
        <v>33172.048851941188</v>
      </c>
      <c r="I40" s="130">
        <f t="shared" si="36"/>
        <v>32320.890395639133</v>
      </c>
      <c r="J40" s="130">
        <f t="shared" si="36"/>
        <v>32962.780594807846</v>
      </c>
      <c r="K40" s="130">
        <f t="shared" si="36"/>
        <v>31376.531169047856</v>
      </c>
      <c r="L40" s="130">
        <f t="shared" ref="L40" si="37">SUM(L41:L42)</f>
        <v>35152.8995401227</v>
      </c>
      <c r="M40" s="130">
        <f t="shared" ref="M40:V40" si="38">SUM(M41:M42)</f>
        <v>34744.119534617981</v>
      </c>
      <c r="N40" s="130">
        <f t="shared" si="38"/>
        <v>36867.15910479398</v>
      </c>
      <c r="O40" s="130">
        <f t="shared" si="38"/>
        <v>36687.457492404115</v>
      </c>
      <c r="P40" s="130">
        <f t="shared" si="38"/>
        <v>37973.504906193557</v>
      </c>
      <c r="Q40" s="130">
        <f t="shared" si="38"/>
        <v>33775.241818276627</v>
      </c>
      <c r="R40" s="130">
        <f t="shared" si="38"/>
        <v>34610.688310308469</v>
      </c>
      <c r="S40" s="130">
        <f t="shared" si="38"/>
        <v>36720.170116695706</v>
      </c>
      <c r="T40" s="130">
        <f t="shared" si="38"/>
        <v>38106.022076539899</v>
      </c>
      <c r="U40" s="130">
        <f t="shared" si="38"/>
        <v>37268.252746312064</v>
      </c>
      <c r="V40" s="130">
        <f t="shared" si="38"/>
        <v>38130.518162177832</v>
      </c>
      <c r="W40" s="130">
        <f t="shared" ref="W40:Y40" si="39">SUM(W41:W42)</f>
        <v>34809.761165326519</v>
      </c>
      <c r="X40" s="130">
        <f t="shared" si="39"/>
        <v>32834.801967924897</v>
      </c>
      <c r="Y40" s="130">
        <f t="shared" si="39"/>
        <v>28297.555694126528</v>
      </c>
      <c r="DA40" s="176" t="s">
        <v>413</v>
      </c>
    </row>
    <row r="41" spans="1:105" ht="11.45" customHeight="1" x14ac:dyDescent="0.25">
      <c r="A41" s="128" t="s">
        <v>27</v>
      </c>
      <c r="B41" s="97">
        <v>27732.115008705841</v>
      </c>
      <c r="C41" s="97">
        <v>27062.001844323426</v>
      </c>
      <c r="D41" s="97">
        <v>25622.893069587368</v>
      </c>
      <c r="E41" s="97">
        <v>24556.944908316011</v>
      </c>
      <c r="F41" s="97">
        <v>24513.671773501137</v>
      </c>
      <c r="G41" s="97">
        <v>23491.789574831833</v>
      </c>
      <c r="H41" s="97">
        <v>23935.481854720176</v>
      </c>
      <c r="I41" s="97">
        <v>24088.640401568882</v>
      </c>
      <c r="J41" s="97">
        <v>25290.654694568984</v>
      </c>
      <c r="K41" s="97">
        <v>24104.637170935017</v>
      </c>
      <c r="L41" s="97">
        <v>24718.129968126803</v>
      </c>
      <c r="M41" s="97">
        <v>25659.661823883831</v>
      </c>
      <c r="N41" s="97">
        <v>25080.006625241258</v>
      </c>
      <c r="O41" s="97">
        <v>25209.137217658645</v>
      </c>
      <c r="P41" s="97">
        <v>25821.412385658667</v>
      </c>
      <c r="Q41" s="97">
        <v>25761.29672524464</v>
      </c>
      <c r="R41" s="97">
        <v>25798.12547573237</v>
      </c>
      <c r="S41" s="97">
        <v>25738.281837800645</v>
      </c>
      <c r="T41" s="97">
        <v>25905.481020367111</v>
      </c>
      <c r="U41" s="97">
        <v>25300.266136771235</v>
      </c>
      <c r="V41" s="97">
        <v>24287.017661771009</v>
      </c>
      <c r="W41" s="97">
        <v>23932.226966899423</v>
      </c>
      <c r="X41" s="97">
        <v>23098.516265641538</v>
      </c>
      <c r="Y41" s="97">
        <v>21417.514781645812</v>
      </c>
      <c r="DA41" s="175" t="s">
        <v>767</v>
      </c>
    </row>
    <row r="42" spans="1:105" ht="11.45" customHeight="1" x14ac:dyDescent="0.25">
      <c r="A42" s="138" t="s">
        <v>116</v>
      </c>
      <c r="B42" s="98">
        <v>12062.692166700022</v>
      </c>
      <c r="C42" s="98">
        <v>9634.0839118419899</v>
      </c>
      <c r="D42" s="98">
        <v>9425.6546748352066</v>
      </c>
      <c r="E42" s="98">
        <v>6888.4571735813061</v>
      </c>
      <c r="F42" s="98">
        <v>6594.0396262126687</v>
      </c>
      <c r="G42" s="98">
        <v>5566.211279545505</v>
      </c>
      <c r="H42" s="98">
        <v>9236.5669972210089</v>
      </c>
      <c r="I42" s="98">
        <v>8232.249994070251</v>
      </c>
      <c r="J42" s="98">
        <v>7672.1259002388588</v>
      </c>
      <c r="K42" s="98">
        <v>7271.8939981128387</v>
      </c>
      <c r="L42" s="98">
        <v>10434.769571995897</v>
      </c>
      <c r="M42" s="98">
        <v>9084.4577107341502</v>
      </c>
      <c r="N42" s="98">
        <v>11787.152479552724</v>
      </c>
      <c r="O42" s="98">
        <v>11478.320274745471</v>
      </c>
      <c r="P42" s="98">
        <v>12152.09252053489</v>
      </c>
      <c r="Q42" s="98">
        <v>8013.9450930319863</v>
      </c>
      <c r="R42" s="98">
        <v>8812.5628345761015</v>
      </c>
      <c r="S42" s="98">
        <v>10981.888278895061</v>
      </c>
      <c r="T42" s="98">
        <v>12200.541056172784</v>
      </c>
      <c r="U42" s="98">
        <v>11967.986609540825</v>
      </c>
      <c r="V42" s="98">
        <v>13843.500500406819</v>
      </c>
      <c r="W42" s="98">
        <v>10877.534198427093</v>
      </c>
      <c r="X42" s="98">
        <v>9736.2857022833632</v>
      </c>
      <c r="Y42" s="98">
        <v>6880.0409124807156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2.9816257906401864</v>
      </c>
      <c r="C47" s="145">
        <f>IF(C4=0,0,C4/TrRoad_ene!C4)</f>
        <v>2.9771082488907097</v>
      </c>
      <c r="D47" s="145">
        <f>IF(D4=0,0,D4/TrRoad_ene!D4)</f>
        <v>2.9683158473610698</v>
      </c>
      <c r="E47" s="145">
        <f>IF(E4=0,0,E4/TrRoad_ene!E4)</f>
        <v>2.9602489803535983</v>
      </c>
      <c r="F47" s="145">
        <f>IF(F4=0,0,F4/TrRoad_ene!F4)</f>
        <v>2.9508328315968071</v>
      </c>
      <c r="G47" s="145">
        <f>IF(G4=0,0,G4/TrRoad_ene!G4)</f>
        <v>2.8976739009367192</v>
      </c>
      <c r="H47" s="145">
        <f>IF(H4=0,0,H4/TrRoad_ene!H4)</f>
        <v>2.8148552347080402</v>
      </c>
      <c r="I47" s="145">
        <f>IF(I4=0,0,I4/TrRoad_ene!I4)</f>
        <v>2.7852381770882753</v>
      </c>
      <c r="J47" s="145">
        <f>IF(J4=0,0,J4/TrRoad_ene!J4)</f>
        <v>2.8357750394797581</v>
      </c>
      <c r="K47" s="145">
        <f>IF(K4=0,0,K4/TrRoad_ene!K4)</f>
        <v>2.8518644777681965</v>
      </c>
      <c r="L47" s="145">
        <f>IF(L4=0,0,L4/TrRoad_ene!L4)</f>
        <v>2.8424341599163343</v>
      </c>
      <c r="M47" s="145">
        <f>IF(M4=0,0,M4/TrRoad_ene!M4)</f>
        <v>2.8507962839588421</v>
      </c>
      <c r="N47" s="145">
        <f>IF(N4=0,0,N4/TrRoad_ene!N4)</f>
        <v>2.8443427251158417</v>
      </c>
      <c r="O47" s="145">
        <f>IF(O4=0,0,O4/TrRoad_ene!O4)</f>
        <v>2.8647241729646336</v>
      </c>
      <c r="P47" s="145">
        <f>IF(P4=0,0,P4/TrRoad_ene!P4)</f>
        <v>2.8646894948249781</v>
      </c>
      <c r="Q47" s="145">
        <f>IF(Q4=0,0,Q4/TrRoad_ene!Q4)</f>
        <v>2.8789544163742633</v>
      </c>
      <c r="R47" s="145">
        <f>IF(R4=0,0,R4/TrRoad_ene!R4)</f>
        <v>2.8844443122596708</v>
      </c>
      <c r="S47" s="145">
        <f>IF(S4=0,0,S4/TrRoad_ene!S4)</f>
        <v>2.885080039862463</v>
      </c>
      <c r="T47" s="145">
        <f>IF(T4=0,0,T4/TrRoad_ene!T4)</f>
        <v>2.8738382227347841</v>
      </c>
      <c r="U47" s="145">
        <f>IF(U4=0,0,U4/TrRoad_ene!U4)</f>
        <v>2.8755825421941283</v>
      </c>
      <c r="V47" s="145">
        <f>IF(V4=0,0,V4/TrRoad_ene!V4)</f>
        <v>2.8168977238795176</v>
      </c>
      <c r="W47" s="145">
        <f>IF(W4=0,0,W4/TrRoad_ene!W4)</f>
        <v>2.8294828608462677</v>
      </c>
      <c r="X47" s="145">
        <f>IF(X4=0,0,X4/TrRoad_ene!X4)</f>
        <v>2.8169322233200318</v>
      </c>
      <c r="Y47" s="145">
        <f>IF(Y4=0,0,Y4/TrRoad_ene!Y4)</f>
        <v>2.7982765175277788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2.9014900443243321</v>
      </c>
      <c r="C48" s="97">
        <f>IF(C7=0,0,(C7+C12)/(TrRoad_ene!C7+TrRoad_ene!C12))</f>
        <v>2.901498965630338</v>
      </c>
      <c r="D48" s="97">
        <f>IF(D7=0,0,(D7+D12)/(TrRoad_ene!D7+TrRoad_ene!D12))</f>
        <v>2.9015002668927345</v>
      </c>
      <c r="E48" s="97">
        <f>IF(E7=0,0,(E7+E12)/(TrRoad_ene!E7+TrRoad_ene!E12))</f>
        <v>2.9014943954191295</v>
      </c>
      <c r="F48" s="97">
        <f>IF(F7=0,0,(F7+F12)/(TrRoad_ene!F7+TrRoad_ene!F12))</f>
        <v>2.8967274750904357</v>
      </c>
      <c r="G48" s="97">
        <f>IF(G7=0,0,(G7+G12)/(TrRoad_ene!G7+TrRoad_ene!G12))</f>
        <v>2.8828571425858245</v>
      </c>
      <c r="H48" s="97">
        <f>IF(H7=0,0,(H7+H12)/(TrRoad_ene!H7+TrRoad_ene!H12))</f>
        <v>2.8597873161050487</v>
      </c>
      <c r="I48" s="97">
        <f>IF(I7=0,0,(I7+I12)/(TrRoad_ene!I7+TrRoad_ene!I12))</f>
        <v>2.8618454857017528</v>
      </c>
      <c r="J48" s="97">
        <f>IF(J7=0,0,(J7+J12)/(TrRoad_ene!J7+TrRoad_ene!J12))</f>
        <v>2.8463106930234385</v>
      </c>
      <c r="K48" s="97">
        <f>IF(K7=0,0,(K7+K12)/(TrRoad_ene!K7+TrRoad_ene!K12))</f>
        <v>2.8194634132852845</v>
      </c>
      <c r="L48" s="97">
        <f>IF(L7=0,0,(L7+L12)/(TrRoad_ene!L7+TrRoad_ene!L12))</f>
        <v>2.7906262411228901</v>
      </c>
      <c r="M48" s="97">
        <f>IF(M7=0,0,(M7+M12)/(TrRoad_ene!M7+TrRoad_ene!M12))</f>
        <v>2.7855154148347832</v>
      </c>
      <c r="N48" s="97">
        <f>IF(N7=0,0,(N7+N12)/(TrRoad_ene!N7+TrRoad_ene!N12))</f>
        <v>2.7766647966769678</v>
      </c>
      <c r="O48" s="97">
        <f>IF(O7=0,0,(O7+O12)/(TrRoad_ene!O7+TrRoad_ene!O12))</f>
        <v>2.7805084568776035</v>
      </c>
      <c r="P48" s="97">
        <f>IF(P7=0,0,(P7+P12)/(TrRoad_ene!P7+TrRoad_ene!P12))</f>
        <v>2.7790075413119539</v>
      </c>
      <c r="Q48" s="97">
        <f>IF(Q7=0,0,(Q7+Q12)/(TrRoad_ene!Q7+TrRoad_ene!Q12))</f>
        <v>2.7792532122739915</v>
      </c>
      <c r="R48" s="97">
        <f>IF(R7=0,0,(R7+R12)/(TrRoad_ene!R7+TrRoad_ene!R12))</f>
        <v>2.7792373166400934</v>
      </c>
      <c r="S48" s="97">
        <f>IF(S7=0,0,(S7+S12)/(TrRoad_ene!S7+TrRoad_ene!S12))</f>
        <v>2.7827012144186209</v>
      </c>
      <c r="T48" s="97">
        <f>IF(T7=0,0,(T7+T12)/(TrRoad_ene!T7+TrRoad_ene!T12))</f>
        <v>2.7751893133947831</v>
      </c>
      <c r="U48" s="97">
        <f>IF(U7=0,0,(U7+U12)/(TrRoad_ene!U7+TrRoad_ene!U12))</f>
        <v>2.780915402061229</v>
      </c>
      <c r="V48" s="97">
        <f>IF(V7=0,0,(V7+V12)/(TrRoad_ene!V7+TrRoad_ene!V12))</f>
        <v>2.7730970668856814</v>
      </c>
      <c r="W48" s="97">
        <f>IF(W7=0,0,(W7+W12)/(TrRoad_ene!W7+TrRoad_ene!W12))</f>
        <v>2.7641886363815522</v>
      </c>
      <c r="X48" s="97">
        <f>IF(X7=0,0,(X7+X12)/(TrRoad_ene!X7+TrRoad_ene!X12))</f>
        <v>2.7666047765346216</v>
      </c>
      <c r="Y48" s="97">
        <f>IF(Y7=0,0,(Y7+Y12)/(TrRoad_ene!Y7+TrRoad_ene!Y12))</f>
        <v>2.7591184583024564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3.0747133252423957</v>
      </c>
      <c r="C49" s="97">
        <f>IF(C8=0,0,(C8+C13+C14)/(TrRoad_ene!C8+TrRoad_ene!C13+TrRoad_ene!C14))</f>
        <v>3.0634804406016811</v>
      </c>
      <c r="D49" s="97">
        <f>IF(D8=0,0,(D8+D13+D14)/(TrRoad_ene!D8+TrRoad_ene!D13+TrRoad_ene!D14))</f>
        <v>3.0425185380416777</v>
      </c>
      <c r="E49" s="97">
        <f>IF(E8=0,0,(E8+E13+E14)/(TrRoad_ene!E8+TrRoad_ene!E13+TrRoad_ene!E14))</f>
        <v>3.0214896300505827</v>
      </c>
      <c r="F49" s="97">
        <f>IF(F8=0,0,(F8+F13+F14)/(TrRoad_ene!F8+TrRoad_ene!F13+TrRoad_ene!F14))</f>
        <v>3.0042999048266061</v>
      </c>
      <c r="G49" s="97">
        <f>IF(G8=0,0,(G8+G13+G14)/(TrRoad_ene!G8+TrRoad_ene!G13+TrRoad_ene!G14))</f>
        <v>2.913464067650164</v>
      </c>
      <c r="H49" s="97">
        <f>IF(H8=0,0,(H8+H13+H14)/(TrRoad_ene!H8+TrRoad_ene!H13+TrRoad_ene!H14))</f>
        <v>2.7823089555042575</v>
      </c>
      <c r="I49" s="97">
        <f>IF(I8=0,0,(I8+I13+I14)/(TrRoad_ene!I8+TrRoad_ene!I13+TrRoad_ene!I14))</f>
        <v>2.7313145074725527</v>
      </c>
      <c r="J49" s="97">
        <f>IF(J8=0,0,(J8+J13+J14)/(TrRoad_ene!J8+TrRoad_ene!J13+TrRoad_ene!J14))</f>
        <v>2.8328250862922308</v>
      </c>
      <c r="K49" s="97">
        <f>IF(K8=0,0,(K8+K13+K14)/(TrRoad_ene!K8+TrRoad_ene!K13+TrRoad_ene!K14))</f>
        <v>2.8823391834073204</v>
      </c>
      <c r="L49" s="97">
        <f>IF(L8=0,0,(L8+L13+L14)/(TrRoad_ene!L8+TrRoad_ene!L13+TrRoad_ene!L14))</f>
        <v>2.8835966250364975</v>
      </c>
      <c r="M49" s="97">
        <f>IF(M8=0,0,(M8+M13+M14)/(TrRoad_ene!M8+TrRoad_ene!M13+TrRoad_ene!M14))</f>
        <v>2.9006866714424233</v>
      </c>
      <c r="N49" s="97">
        <f>IF(N8=0,0,(N8+N13+N14)/(TrRoad_ene!N8+TrRoad_ene!N13+TrRoad_ene!N14))</f>
        <v>2.8938120746991678</v>
      </c>
      <c r="O49" s="97">
        <f>IF(O8=0,0,(O8+O13+O14)/(TrRoad_ene!O8+TrRoad_ene!O13+TrRoad_ene!O14))</f>
        <v>2.9234822574034243</v>
      </c>
      <c r="P49" s="97">
        <f>IF(P8=0,0,(P8+P13+P14)/(TrRoad_ene!P8+TrRoad_ene!P13+TrRoad_ene!P14))</f>
        <v>2.9228894189952244</v>
      </c>
      <c r="Q49" s="97">
        <f>IF(Q8=0,0,(Q8+Q13+Q14)/(TrRoad_ene!Q8+TrRoad_ene!Q13+TrRoad_ene!Q14))</f>
        <v>2.9408762768132588</v>
      </c>
      <c r="R49" s="97">
        <f>IF(R8=0,0,(R8+R13+R14)/(TrRoad_ene!R8+TrRoad_ene!R13+TrRoad_ene!R14))</f>
        <v>2.9468690696066857</v>
      </c>
      <c r="S49" s="97">
        <f>IF(S8=0,0,(S8+S13+S14)/(TrRoad_ene!S8+TrRoad_ene!S13+TrRoad_ene!S14))</f>
        <v>2.9461832498033478</v>
      </c>
      <c r="T49" s="97">
        <f>IF(T8=0,0,(T8+T13+T14)/(TrRoad_ene!T8+TrRoad_ene!T13+TrRoad_ene!T14))</f>
        <v>2.9333464649277863</v>
      </c>
      <c r="U49" s="97">
        <f>IF(U8=0,0,(U8+U13+U14)/(TrRoad_ene!U8+TrRoad_ene!U13+TrRoad_ene!U14))</f>
        <v>2.9365110682601858</v>
      </c>
      <c r="V49" s="97">
        <f>IF(V8=0,0,(V8+V13+V14)/(TrRoad_ene!V8+TrRoad_ene!V13+TrRoad_ene!V14))</f>
        <v>2.8591070114634212</v>
      </c>
      <c r="W49" s="97">
        <f>IF(W8=0,0,(W8+W13+W14)/(TrRoad_ene!W8+TrRoad_ene!W13+TrRoad_ene!W14))</f>
        <v>2.8917453859704687</v>
      </c>
      <c r="X49" s="97">
        <f>IF(X8=0,0,(X8+X13+X14)/(TrRoad_ene!X8+TrRoad_ene!X13+TrRoad_ene!X14))</f>
        <v>2.8863314431147957</v>
      </c>
      <c r="Y49" s="97">
        <f>IF(Y8=0,0,(Y8+Y13+Y14)/(TrRoad_ene!Y8+TrRoad_ene!Y13+TrRoad_ene!Y14))</f>
        <v>2.8779308753957693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2.6418708000000004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2.3487948000000003</v>
      </c>
      <c r="C51" s="97">
        <f>IF(C9=0,0,(C9+C11)/(TrRoad_ene!C9+TrRoad_ene!C11))</f>
        <v>2.3487948000000003</v>
      </c>
      <c r="D51" s="97">
        <f>IF(D9=0,0,(D9+D11)/(TrRoad_ene!D9+TrRoad_ene!D11))</f>
        <v>2.3487948000000003</v>
      </c>
      <c r="E51" s="97">
        <f>IF(E9=0,0,(E9+E11)/(TrRoad_ene!E9+TrRoad_ene!E11))</f>
        <v>2.3487948000000003</v>
      </c>
      <c r="F51" s="97">
        <f>IF(F9=0,0,(F9+F11)/(TrRoad_ene!F9+TrRoad_ene!F11))</f>
        <v>2.3487948000000003</v>
      </c>
      <c r="G51" s="97">
        <f>IF(G9=0,0,(G9+G11)/(TrRoad_ene!G9+TrRoad_ene!G11))</f>
        <v>2.3487948000000003</v>
      </c>
      <c r="H51" s="97">
        <f>IF(H9=0,0,(H9+H11)/(TrRoad_ene!H9+TrRoad_ene!H11))</f>
        <v>2.3487948000000003</v>
      </c>
      <c r="I51" s="97">
        <f>IF(I9=0,0,(I9+I11)/(TrRoad_ene!I9+TrRoad_ene!I11))</f>
        <v>2.3487948000000003</v>
      </c>
      <c r="J51" s="97">
        <f>IF(J9=0,0,(J9+J11)/(TrRoad_ene!J9+TrRoad_ene!J11))</f>
        <v>2.3407031772687774</v>
      </c>
      <c r="K51" s="97">
        <f>IF(K9=0,0,(K9+K11)/(TrRoad_ene!K9+TrRoad_ene!K11))</f>
        <v>2.3309224371212469</v>
      </c>
      <c r="L51" s="97">
        <f>IF(L9=0,0,(L9+L11)/(TrRoad_ene!L9+TrRoad_ene!L11))</f>
        <v>2.2443122229946404</v>
      </c>
      <c r="M51" s="97">
        <f>IF(M9=0,0,(M9+M11)/(TrRoad_ene!M9+TrRoad_ene!M11))</f>
        <v>2.2416889771580295</v>
      </c>
      <c r="N51" s="97">
        <f>IF(N9=0,0,(N9+N11)/(TrRoad_ene!N9+TrRoad_ene!N11))</f>
        <v>2.0096915163549283</v>
      </c>
      <c r="O51" s="97">
        <f>IF(O9=0,0,(O9+O11)/(TrRoad_ene!O9+TrRoad_ene!O11))</f>
        <v>1.9006798390506379</v>
      </c>
      <c r="P51" s="97">
        <f>IF(P9=0,0,(P9+P11)/(TrRoad_ene!P9+TrRoad_ene!P11))</f>
        <v>1.9300041336108336</v>
      </c>
      <c r="Q51" s="97">
        <f>IF(Q9=0,0,(Q9+Q11)/(TrRoad_ene!Q9+TrRoad_ene!Q11))</f>
        <v>2.0107329702127661</v>
      </c>
      <c r="R51" s="97">
        <f>IF(R9=0,0,(R9+R11)/(TrRoad_ene!R9+TrRoad_ene!R11))</f>
        <v>1.9567999361973025</v>
      </c>
      <c r="S51" s="97">
        <f>IF(S9=0,0,(S9+S11)/(TrRoad_ene!S9+TrRoad_ene!S11))</f>
        <v>1.8528147655262257</v>
      </c>
      <c r="T51" s="97">
        <f>IF(T9=0,0,(T9+T11)/(TrRoad_ene!T9+TrRoad_ene!T11))</f>
        <v>1.8547652599959843</v>
      </c>
      <c r="U51" s="97">
        <f>IF(U9=0,0,(U9+U11)/(TrRoad_ene!U9+TrRoad_ene!U11))</f>
        <v>1.6788007861136205</v>
      </c>
      <c r="V51" s="97">
        <f>IF(V9=0,0,(V9+V11)/(TrRoad_ene!V9+TrRoad_ene!V11))</f>
        <v>1.4957210600435535</v>
      </c>
      <c r="W51" s="97">
        <f>IF(W9=0,0,(W9+W11)/(TrRoad_ene!W9+TrRoad_ene!W11))</f>
        <v>2.3247526713704914</v>
      </c>
      <c r="X51" s="97">
        <f>IF(X9=0,0,(X9+X11)/(TrRoad_ene!X9+TrRoad_ene!X11))</f>
        <v>2.3215805936958325</v>
      </c>
      <c r="Y51" s="97">
        <f>IF(Y9=0,0,(Y9+Y11)/(TrRoad_ene!Y9+TrRoad_ene!Y11))</f>
        <v>2.3156707903765996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298.64808466445811</v>
      </c>
      <c r="C54" s="62">
        <f>IF(TrRoad_act!C30=0,0,C17/TrRoad_act!C30*1000
)</f>
        <v>286.97614564107715</v>
      </c>
      <c r="D54" s="62">
        <f>IF(TrRoad_act!D30=0,0,D17/TrRoad_act!D30*1000
)</f>
        <v>281.8940254388379</v>
      </c>
      <c r="E54" s="62">
        <f>IF(TrRoad_act!E30=0,0,E17/TrRoad_act!E30*1000
)</f>
        <v>277.88430153910986</v>
      </c>
      <c r="F54" s="62">
        <f>IF(TrRoad_act!F30=0,0,F17/TrRoad_act!F30*1000
)</f>
        <v>272.8452097055673</v>
      </c>
      <c r="G54" s="62">
        <f>IF(TrRoad_act!G30=0,0,G17/TrRoad_act!G30*1000
)</f>
        <v>265.93508339473664</v>
      </c>
      <c r="H54" s="62">
        <f>IF(TrRoad_act!H30=0,0,H17/TrRoad_act!H30*1000
)</f>
        <v>265.82370748520822</v>
      </c>
      <c r="I54" s="62">
        <f>IF(TrRoad_act!I30=0,0,I17/TrRoad_act!I30*1000
)</f>
        <v>261.27821192789173</v>
      </c>
      <c r="J54" s="62">
        <f>IF(TrRoad_act!J30=0,0,J17/TrRoad_act!J30*1000
)</f>
        <v>263.27288027383162</v>
      </c>
      <c r="K54" s="62">
        <f>IF(TrRoad_act!K30=0,0,K17/TrRoad_act!K30*1000
)</f>
        <v>261.13997298582296</v>
      </c>
      <c r="L54" s="62">
        <f>IF(TrRoad_act!L30=0,0,L17/TrRoad_act!L30*1000
)</f>
        <v>265.12816924783215</v>
      </c>
      <c r="M54" s="62">
        <f>IF(TrRoad_act!M30=0,0,M17/TrRoad_act!M30*1000
)</f>
        <v>261.4973876920057</v>
      </c>
      <c r="N54" s="62">
        <f>IF(TrRoad_act!N30=0,0,N17/TrRoad_act!N30*1000
)</f>
        <v>263.86719149228514</v>
      </c>
      <c r="O54" s="62">
        <f>IF(TrRoad_act!O30=0,0,O17/TrRoad_act!O30*1000
)</f>
        <v>261.49945131475675</v>
      </c>
      <c r="P54" s="62">
        <f>IF(TrRoad_act!P30=0,0,P17/TrRoad_act!P30*1000
)</f>
        <v>253.62461989768588</v>
      </c>
      <c r="Q54" s="62">
        <f>IF(TrRoad_act!Q30=0,0,Q17/TrRoad_act!Q30*1000
)</f>
        <v>251.51448849649299</v>
      </c>
      <c r="R54" s="62">
        <f>IF(TrRoad_act!R30=0,0,R17/TrRoad_act!R30*1000
)</f>
        <v>247.65850814274387</v>
      </c>
      <c r="S54" s="62">
        <f>IF(TrRoad_act!S30=0,0,S17/TrRoad_act!S30*1000
)</f>
        <v>243.44925656593463</v>
      </c>
      <c r="T54" s="62">
        <f>IF(TrRoad_act!T30=0,0,T17/TrRoad_act!T30*1000
)</f>
        <v>241.09806650285213</v>
      </c>
      <c r="U54" s="62">
        <f>IF(TrRoad_act!U30=0,0,U17/TrRoad_act!U30*1000
)</f>
        <v>239.76933433013613</v>
      </c>
      <c r="V54" s="62">
        <f>IF(TrRoad_act!V30=0,0,V17/TrRoad_act!V30*1000
)</f>
        <v>238.62727783089102</v>
      </c>
      <c r="W54" s="62">
        <f>IF(TrRoad_act!W30=0,0,W17/TrRoad_act!W30*1000
)</f>
        <v>230.61552188126473</v>
      </c>
      <c r="X54" s="62">
        <f>IF(TrRoad_act!X30=0,0,X17/TrRoad_act!X30*1000
)</f>
        <v>221.05793141416149</v>
      </c>
      <c r="Y54" s="62">
        <f>IF(TrRoad_act!Y30=0,0,Y17/TrRoad_act!Y30*1000
)</f>
        <v>209.91523988395787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236.40898631311492</v>
      </c>
      <c r="C55" s="29">
        <f>IF(TrRoad_act!C31=0,0,C18/TrRoad_act!C31*1000
)</f>
        <v>231.43523062276014</v>
      </c>
      <c r="D55" s="29">
        <f>IF(TrRoad_act!D31=0,0,D18/TrRoad_act!D31*1000
)</f>
        <v>229.29564579229941</v>
      </c>
      <c r="E55" s="29">
        <f>IF(TrRoad_act!E31=0,0,E18/TrRoad_act!E31*1000
)</f>
        <v>230.39283693443113</v>
      </c>
      <c r="F55" s="29">
        <f>IF(TrRoad_act!F31=0,0,F18/TrRoad_act!F31*1000
)</f>
        <v>227.58322157397237</v>
      </c>
      <c r="G55" s="29">
        <f>IF(TrRoad_act!G31=0,0,G18/TrRoad_act!G31*1000
)</f>
        <v>223.19998081764774</v>
      </c>
      <c r="H55" s="29">
        <f>IF(TrRoad_act!H31=0,0,H18/TrRoad_act!H31*1000
)</f>
        <v>215.82867695661594</v>
      </c>
      <c r="I55" s="29">
        <f>IF(TrRoad_act!I31=0,0,I18/TrRoad_act!I31*1000
)</f>
        <v>212.55591162781101</v>
      </c>
      <c r="J55" s="29">
        <f>IF(TrRoad_act!J31=0,0,J18/TrRoad_act!J31*1000
)</f>
        <v>213.28679384708852</v>
      </c>
      <c r="K55" s="29">
        <f>IF(TrRoad_act!K31=0,0,K18/TrRoad_act!K31*1000
)</f>
        <v>212.75922108633526</v>
      </c>
      <c r="L55" s="29">
        <f>IF(TrRoad_act!L31=0,0,L18/TrRoad_act!L31*1000
)</f>
        <v>209.47875157927092</v>
      </c>
      <c r="M55" s="29">
        <f>IF(TrRoad_act!M31=0,0,M18/TrRoad_act!M31*1000
)</f>
        <v>208.15699208492512</v>
      </c>
      <c r="N55" s="29">
        <f>IF(TrRoad_act!N31=0,0,N18/TrRoad_act!N31*1000
)</f>
        <v>205.24649008535869</v>
      </c>
      <c r="O55" s="29">
        <f>IF(TrRoad_act!O31=0,0,O18/TrRoad_act!O31*1000
)</f>
        <v>205.19258764962959</v>
      </c>
      <c r="P55" s="29">
        <f>IF(TrRoad_act!P31=0,0,P18/TrRoad_act!P31*1000
)</f>
        <v>197.31164349000778</v>
      </c>
      <c r="Q55" s="29">
        <f>IF(TrRoad_act!Q31=0,0,Q18/TrRoad_act!Q31*1000
)</f>
        <v>202.9171034323403</v>
      </c>
      <c r="R55" s="29">
        <f>IF(TrRoad_act!R31=0,0,R18/TrRoad_act!R31*1000
)</f>
        <v>199.4438970688588</v>
      </c>
      <c r="S55" s="29">
        <f>IF(TrRoad_act!S31=0,0,S18/TrRoad_act!S31*1000
)</f>
        <v>193.1705918487811</v>
      </c>
      <c r="T55" s="29">
        <f>IF(TrRoad_act!T31=0,0,T18/TrRoad_act!T31*1000
)</f>
        <v>186.62982265028072</v>
      </c>
      <c r="U55" s="29">
        <f>IF(TrRoad_act!U31=0,0,U18/TrRoad_act!U31*1000
)</f>
        <v>187.67019940628339</v>
      </c>
      <c r="V55" s="29">
        <f>IF(TrRoad_act!V31=0,0,V18/TrRoad_act!V31*1000
)</f>
        <v>179.06306672900106</v>
      </c>
      <c r="W55" s="29">
        <f>IF(TrRoad_act!W31=0,0,W18/TrRoad_act!W31*1000
)</f>
        <v>176.85209701556337</v>
      </c>
      <c r="X55" s="29">
        <f>IF(TrRoad_act!X31=0,0,X18/TrRoad_act!X31*1000
)</f>
        <v>172.43035141436476</v>
      </c>
      <c r="Y55" s="29">
        <f>IF(TrRoad_act!Y31=0,0,Y18/TrRoad_act!Y31*1000
)</f>
        <v>168.28537677533006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142.03444103937443</v>
      </c>
      <c r="C56" s="152">
        <f>IF(TrRoad_act!C32=0,0,C19/TrRoad_act!C32*1000
)</f>
        <v>139.62709186193413</v>
      </c>
      <c r="D56" s="152">
        <f>IF(TrRoad_act!D32=0,0,D19/TrRoad_act!D32*1000
)</f>
        <v>137.59523662998626</v>
      </c>
      <c r="E56" s="152">
        <f>IF(TrRoad_act!E32=0,0,E19/TrRoad_act!E32*1000
)</f>
        <v>135.49145474188379</v>
      </c>
      <c r="F56" s="152">
        <f>IF(TrRoad_act!F32=0,0,F19/TrRoad_act!F32*1000
)</f>
        <v>133.43471674850741</v>
      </c>
      <c r="G56" s="152">
        <f>IF(TrRoad_act!G32=0,0,G19/TrRoad_act!G32*1000
)</f>
        <v>130.9034702436665</v>
      </c>
      <c r="H56" s="152">
        <f>IF(TrRoad_act!H32=0,0,H19/TrRoad_act!H32*1000
)</f>
        <v>128.06766279972015</v>
      </c>
      <c r="I56" s="152">
        <f>IF(TrRoad_act!I32=0,0,I19/TrRoad_act!I32*1000
)</f>
        <v>125.62508780694587</v>
      </c>
      <c r="J56" s="152">
        <f>IF(TrRoad_act!J32=0,0,J19/TrRoad_act!J32*1000
)</f>
        <v>122.05166451508268</v>
      </c>
      <c r="K56" s="152">
        <f>IF(TrRoad_act!K32=0,0,K19/TrRoad_act!K32*1000
)</f>
        <v>119.04131950828234</v>
      </c>
      <c r="L56" s="152">
        <f>IF(TrRoad_act!L32=0,0,L19/TrRoad_act!L32*1000
)</f>
        <v>117.06116458977269</v>
      </c>
      <c r="M56" s="152">
        <f>IF(TrRoad_act!M32=0,0,M19/TrRoad_act!M32*1000
)</f>
        <v>115.77610630131481</v>
      </c>
      <c r="N56" s="152">
        <f>IF(TrRoad_act!N32=0,0,N19/TrRoad_act!N32*1000
)</f>
        <v>114.4748790634054</v>
      </c>
      <c r="O56" s="152">
        <f>IF(TrRoad_act!O32=0,0,O19/TrRoad_act!O32*1000
)</f>
        <v>111.20108998141943</v>
      </c>
      <c r="P56" s="152">
        <f>IF(TrRoad_act!P32=0,0,P19/TrRoad_act!P32*1000
)</f>
        <v>106.82569048981371</v>
      </c>
      <c r="Q56" s="152">
        <f>IF(TrRoad_act!Q32=0,0,Q19/TrRoad_act!Q32*1000
)</f>
        <v>111.09456687506611</v>
      </c>
      <c r="R56" s="152">
        <f>IF(TrRoad_act!R32=0,0,R19/TrRoad_act!R32*1000
)</f>
        <v>109.63912143504284</v>
      </c>
      <c r="S56" s="152">
        <f>IF(TrRoad_act!S32=0,0,S19/TrRoad_act!S32*1000
)</f>
        <v>108.8809391022502</v>
      </c>
      <c r="T56" s="152">
        <f>IF(TrRoad_act!T32=0,0,T19/TrRoad_act!T32*1000
)</f>
        <v>107.33503070764921</v>
      </c>
      <c r="U56" s="152">
        <f>IF(TrRoad_act!U32=0,0,U19/TrRoad_act!U32*1000
)</f>
        <v>106.37513177418759</v>
      </c>
      <c r="V56" s="152">
        <f>IF(TrRoad_act!V32=0,0,V19/TrRoad_act!V32*1000
)</f>
        <v>105.49940416357049</v>
      </c>
      <c r="W56" s="152">
        <f>IF(TrRoad_act!W32=0,0,W19/TrRoad_act!W32*1000
)</f>
        <v>104.51550172585378</v>
      </c>
      <c r="X56" s="152">
        <f>IF(TrRoad_act!X32=0,0,X19/TrRoad_act!X32*1000
)</f>
        <v>103.50479380962759</v>
      </c>
      <c r="Y56" s="152">
        <f>IF(TrRoad_act!Y32=0,0,Y19/TrRoad_act!Y32*1000
)</f>
        <v>102.0015110741498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226.33212318120695</v>
      </c>
      <c r="C57" s="116">
        <f>IF(TrRoad_act!C33=0,0,C20/TrRoad_act!C33*1000
)</f>
        <v>221.83921517612177</v>
      </c>
      <c r="D57" s="116">
        <f>IF(TrRoad_act!D33=0,0,D20/TrRoad_act!D33*1000
)</f>
        <v>220.2525999827707</v>
      </c>
      <c r="E57" s="116">
        <f>IF(TrRoad_act!E33=0,0,E20/TrRoad_act!E33*1000
)</f>
        <v>221.32294265615988</v>
      </c>
      <c r="F57" s="116">
        <f>IF(TrRoad_act!F33=0,0,F20/TrRoad_act!F33*1000
)</f>
        <v>218.79585589443701</v>
      </c>
      <c r="G57" s="116">
        <f>IF(TrRoad_act!G33=0,0,G20/TrRoad_act!G33*1000
)</f>
        <v>214.76729234886182</v>
      </c>
      <c r="H57" s="116">
        <f>IF(TrRoad_act!H33=0,0,H20/TrRoad_act!H33*1000
)</f>
        <v>207.60463413207535</v>
      </c>
      <c r="I57" s="116">
        <f>IF(TrRoad_act!I33=0,0,I20/TrRoad_act!I33*1000
)</f>
        <v>204.80387837319992</v>
      </c>
      <c r="J57" s="116">
        <f>IF(TrRoad_act!J33=0,0,J20/TrRoad_act!J33*1000
)</f>
        <v>205.65832459583947</v>
      </c>
      <c r="K57" s="116">
        <f>IF(TrRoad_act!K33=0,0,K20/TrRoad_act!K33*1000
)</f>
        <v>204.99827275574489</v>
      </c>
      <c r="L57" s="116">
        <f>IF(TrRoad_act!L33=0,0,L20/TrRoad_act!L33*1000
)</f>
        <v>201.12557347216617</v>
      </c>
      <c r="M57" s="116">
        <f>IF(TrRoad_act!M33=0,0,M20/TrRoad_act!M33*1000
)</f>
        <v>199.48831572758556</v>
      </c>
      <c r="N57" s="116">
        <f>IF(TrRoad_act!N33=0,0,N20/TrRoad_act!N33*1000
)</f>
        <v>195.72158859910553</v>
      </c>
      <c r="O57" s="116">
        <f>IF(TrRoad_act!O33=0,0,O20/TrRoad_act!O33*1000
)</f>
        <v>195.36375607632075</v>
      </c>
      <c r="P57" s="116">
        <f>IF(TrRoad_act!P33=0,0,P20/TrRoad_act!P33*1000
)</f>
        <v>187.61852481281662</v>
      </c>
      <c r="Q57" s="116">
        <f>IF(TrRoad_act!Q33=0,0,Q20/TrRoad_act!Q33*1000
)</f>
        <v>192.69008532122223</v>
      </c>
      <c r="R57" s="116">
        <f>IF(TrRoad_act!R33=0,0,R20/TrRoad_act!R33*1000
)</f>
        <v>189.28907953518075</v>
      </c>
      <c r="S57" s="116">
        <f>IF(TrRoad_act!S33=0,0,S20/TrRoad_act!S33*1000
)</f>
        <v>183.29129846776104</v>
      </c>
      <c r="T57" s="116">
        <f>IF(TrRoad_act!T33=0,0,T20/TrRoad_act!T33*1000
)</f>
        <v>176.31668635826674</v>
      </c>
      <c r="U57" s="116">
        <f>IF(TrRoad_act!U33=0,0,U20/TrRoad_act!U33*1000
)</f>
        <v>177.73994401698172</v>
      </c>
      <c r="V57" s="116">
        <f>IF(TrRoad_act!V33=0,0,V20/TrRoad_act!V33*1000
)</f>
        <v>168.90230240189078</v>
      </c>
      <c r="W57" s="116">
        <f>IF(TrRoad_act!W33=0,0,W20/TrRoad_act!W33*1000
)</f>
        <v>167.0257772821177</v>
      </c>
      <c r="X57" s="116">
        <f>IF(TrRoad_act!X33=0,0,X20/TrRoad_act!X33*1000
)</f>
        <v>162.41440414067134</v>
      </c>
      <c r="Y57" s="116">
        <f>IF(TrRoad_act!Y33=0,0,Y20/TrRoad_act!Y33*1000
)</f>
        <v>158.43475267266157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229.81623326849001</v>
      </c>
      <c r="C58" s="87">
        <f>IF(TrRoad_act!C34=0,0,C21/TrRoad_act!C34*1000
)</f>
        <v>227.9659159871469</v>
      </c>
      <c r="D58" s="87">
        <f>IF(TrRoad_act!D34=0,0,D21/TrRoad_act!D34*1000
)</f>
        <v>227.54796327670809</v>
      </c>
      <c r="E58" s="87">
        <f>IF(TrRoad_act!E34=0,0,E21/TrRoad_act!E34*1000
)</f>
        <v>226.91160247861282</v>
      </c>
      <c r="F58" s="87">
        <f>IF(TrRoad_act!F34=0,0,F21/TrRoad_act!F34*1000
)</f>
        <v>226.00773489425995</v>
      </c>
      <c r="G58" s="87">
        <f>IF(TrRoad_act!G34=0,0,G21/TrRoad_act!G34*1000
)</f>
        <v>223.95709393149843</v>
      </c>
      <c r="H58" s="87">
        <f>IF(TrRoad_act!H34=0,0,H21/TrRoad_act!H34*1000
)</f>
        <v>221.13379821048702</v>
      </c>
      <c r="I58" s="87">
        <f>IF(TrRoad_act!I34=0,0,I21/TrRoad_act!I34*1000
)</f>
        <v>220.10467577297931</v>
      </c>
      <c r="J58" s="87">
        <f>IF(TrRoad_act!J34=0,0,J21/TrRoad_act!J34*1000
)</f>
        <v>216.17641296049146</v>
      </c>
      <c r="K58" s="87">
        <f>IF(TrRoad_act!K34=0,0,K21/TrRoad_act!K34*1000
)</f>
        <v>209.88446630606177</v>
      </c>
      <c r="L58" s="87">
        <f>IF(TrRoad_act!L34=0,0,L21/TrRoad_act!L34*1000
)</f>
        <v>205.64214185696534</v>
      </c>
      <c r="M58" s="87">
        <f>IF(TrRoad_act!M34=0,0,M21/TrRoad_act!M34*1000
)</f>
        <v>202.75051554665214</v>
      </c>
      <c r="N58" s="87">
        <f>IF(TrRoad_act!N34=0,0,N21/TrRoad_act!N34*1000
)</f>
        <v>199.27689054904448</v>
      </c>
      <c r="O58" s="87">
        <f>IF(TrRoad_act!O34=0,0,O21/TrRoad_act!O34*1000
)</f>
        <v>196.83214730755077</v>
      </c>
      <c r="P58" s="87">
        <f>IF(TrRoad_act!P34=0,0,P21/TrRoad_act!P34*1000
)</f>
        <v>193.44428227207399</v>
      </c>
      <c r="Q58" s="87">
        <f>IF(TrRoad_act!Q34=0,0,Q21/TrRoad_act!Q34*1000
)</f>
        <v>190.08195315703989</v>
      </c>
      <c r="R58" s="87">
        <f>IF(TrRoad_act!R34=0,0,R21/TrRoad_act!R34*1000
)</f>
        <v>187.00189383859674</v>
      </c>
      <c r="S58" s="87">
        <f>IF(TrRoad_act!S34=0,0,S21/TrRoad_act!S34*1000
)</f>
        <v>183.81332356498626</v>
      </c>
      <c r="T58" s="87">
        <f>IF(TrRoad_act!T34=0,0,T21/TrRoad_act!T34*1000
)</f>
        <v>179.74917441122702</v>
      </c>
      <c r="U58" s="87">
        <f>IF(TrRoad_act!U34=0,0,U21/TrRoad_act!U34*1000
)</f>
        <v>178.03535383390917</v>
      </c>
      <c r="V58" s="87">
        <f>IF(TrRoad_act!V34=0,0,V21/TrRoad_act!V34*1000
)</f>
        <v>175.41796523851036</v>
      </c>
      <c r="W58" s="87">
        <f>IF(TrRoad_act!W34=0,0,W21/TrRoad_act!W34*1000
)</f>
        <v>172.46106614747492</v>
      </c>
      <c r="X58" s="87">
        <f>IF(TrRoad_act!X34=0,0,X21/TrRoad_act!X34*1000
)</f>
        <v>170.08901580609975</v>
      </c>
      <c r="Y58" s="87">
        <f>IF(TrRoad_act!Y34=0,0,Y21/TrRoad_act!Y34*1000
)</f>
        <v>167.04669649457759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215.6600824099626</v>
      </c>
      <c r="C59" s="87">
        <f>IF(TrRoad_act!C35=0,0,C22/TrRoad_act!C35*1000
)</f>
        <v>205.40250298477105</v>
      </c>
      <c r="D59" s="87">
        <f>IF(TrRoad_act!D35=0,0,D22/TrRoad_act!D35*1000
)</f>
        <v>202.79417457719666</v>
      </c>
      <c r="E59" s="87">
        <f>IF(TrRoad_act!E35=0,0,E22/TrRoad_act!E35*1000
)</f>
        <v>209.62032841279222</v>
      </c>
      <c r="F59" s="87">
        <f>IF(TrRoad_act!F35=0,0,F22/TrRoad_act!F35*1000
)</f>
        <v>205.66266334439862</v>
      </c>
      <c r="G59" s="87">
        <f>IF(TrRoad_act!G35=0,0,G22/TrRoad_act!G35*1000
)</f>
        <v>199.50420868798597</v>
      </c>
      <c r="H59" s="87">
        <f>IF(TrRoad_act!H35=0,0,H22/TrRoad_act!H35*1000
)</f>
        <v>186.24933354219928</v>
      </c>
      <c r="I59" s="87">
        <f>IF(TrRoad_act!I35=0,0,I22/TrRoad_act!I35*1000
)</f>
        <v>182.51995448597634</v>
      </c>
      <c r="J59" s="87">
        <f>IF(TrRoad_act!J35=0,0,J22/TrRoad_act!J35*1000
)</f>
        <v>188.93833493116836</v>
      </c>
      <c r="K59" s="87">
        <f>IF(TrRoad_act!K35=0,0,K22/TrRoad_act!K35*1000
)</f>
        <v>195.32092993046584</v>
      </c>
      <c r="L59" s="87">
        <f>IF(TrRoad_act!L35=0,0,L22/TrRoad_act!L35*1000
)</f>
        <v>192.96885873346005</v>
      </c>
      <c r="M59" s="87">
        <f>IF(TrRoad_act!M35=0,0,M22/TrRoad_act!M35*1000
)</f>
        <v>193.72116816729167</v>
      </c>
      <c r="N59" s="87">
        <f>IF(TrRoad_act!N35=0,0,N22/TrRoad_act!N35*1000
)</f>
        <v>190.23090982364866</v>
      </c>
      <c r="O59" s="87">
        <f>IF(TrRoad_act!O35=0,0,O22/TrRoad_act!O35*1000
)</f>
        <v>193.15851136969411</v>
      </c>
      <c r="P59" s="87">
        <f>IF(TrRoad_act!P35=0,0,P22/TrRoad_act!P35*1000
)</f>
        <v>180.68962542644769</v>
      </c>
      <c r="Q59" s="87">
        <f>IF(TrRoad_act!Q35=0,0,Q22/TrRoad_act!Q35*1000
)</f>
        <v>195.02344147639866</v>
      </c>
      <c r="R59" s="87">
        <f>IF(TrRoad_act!R35=0,0,R22/TrRoad_act!R35*1000
)</f>
        <v>191.72658500037542</v>
      </c>
      <c r="S59" s="87">
        <f>IF(TrRoad_act!S35=0,0,S22/TrRoad_act!S35*1000
)</f>
        <v>183.41377352513535</v>
      </c>
      <c r="T59" s="87">
        <f>IF(TrRoad_act!T35=0,0,T22/TrRoad_act!T35*1000
)</f>
        <v>172.91972667125577</v>
      </c>
      <c r="U59" s="87">
        <f>IF(TrRoad_act!U35=0,0,U22/TrRoad_act!U35*1000
)</f>
        <v>178.71855560236801</v>
      </c>
      <c r="V59" s="87">
        <f>IF(TrRoad_act!V35=0,0,V22/TrRoad_act!V35*1000
)</f>
        <v>166.71178984517474</v>
      </c>
      <c r="W59" s="87">
        <f>IF(TrRoad_act!W35=0,0,W22/TrRoad_act!W35*1000
)</f>
        <v>171.68018052996172</v>
      </c>
      <c r="X59" s="87">
        <f>IF(TrRoad_act!X35=0,0,X22/TrRoad_act!X35*1000
)</f>
        <v>170.36470434111448</v>
      </c>
      <c r="Y59" s="87">
        <f>IF(TrRoad_act!Y35=0,0,Y22/TrRoad_act!Y35*1000
)</f>
        <v>169.11743291094251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197.75638365908748</v>
      </c>
      <c r="C60" s="87">
        <f>IF(TrRoad_act!C36=0,0,C23/TrRoad_act!C36*1000
)</f>
        <v>197.33259180563513</v>
      </c>
      <c r="D60" s="87">
        <f>IF(TrRoad_act!D36=0,0,D23/TrRoad_act!D36*1000
)</f>
        <v>192.81378990768823</v>
      </c>
      <c r="E60" s="87">
        <f>IF(TrRoad_act!E36=0,0,E23/TrRoad_act!E36*1000
)</f>
        <v>188.85449861062526</v>
      </c>
      <c r="F60" s="87">
        <f>IF(TrRoad_act!F36=0,0,F23/TrRoad_act!F36*1000
)</f>
        <v>191.87333106630697</v>
      </c>
      <c r="G60" s="87">
        <f>IF(TrRoad_act!G36=0,0,G23/TrRoad_act!G36*1000
)</f>
        <v>199.42183924226262</v>
      </c>
      <c r="H60" s="87">
        <f>IF(TrRoad_act!H36=0,0,H23/TrRoad_act!H36*1000
)</f>
        <v>189.06198947488187</v>
      </c>
      <c r="I60" s="87">
        <f>IF(TrRoad_act!I36=0,0,I23/TrRoad_act!I36*1000
)</f>
        <v>185.72925213272396</v>
      </c>
      <c r="J60" s="87">
        <f>IF(TrRoad_act!J36=0,0,J23/TrRoad_act!J36*1000
)</f>
        <v>263.91718989640719</v>
      </c>
      <c r="K60" s="87">
        <f>IF(TrRoad_act!K36=0,0,K23/TrRoad_act!K36*1000
)</f>
        <v>319.42422973597468</v>
      </c>
      <c r="L60" s="87">
        <f>IF(TrRoad_act!L36=0,0,L23/TrRoad_act!L36*1000
)</f>
        <v>280.38835779688623</v>
      </c>
      <c r="M60" s="87">
        <f>IF(TrRoad_act!M36=0,0,M23/TrRoad_act!M36*1000
)</f>
        <v>259.2541919115568</v>
      </c>
      <c r="N60" s="87">
        <f>IF(TrRoad_act!N36=0,0,N23/TrRoad_act!N36*1000
)</f>
        <v>246.09295508827572</v>
      </c>
      <c r="O60" s="87">
        <f>IF(TrRoad_act!O36=0,0,O23/TrRoad_act!O36*1000
)</f>
        <v>230.99580270036134</v>
      </c>
      <c r="P60" s="87">
        <f>IF(TrRoad_act!P36=0,0,P23/TrRoad_act!P36*1000
)</f>
        <v>234.60917270322312</v>
      </c>
      <c r="Q60" s="87">
        <f>IF(TrRoad_act!Q36=0,0,Q23/TrRoad_act!Q36*1000
)</f>
        <v>231.16228906326583</v>
      </c>
      <c r="R60" s="87">
        <f>IF(TrRoad_act!R36=0,0,R23/TrRoad_act!R36*1000
)</f>
        <v>214.42535591026896</v>
      </c>
      <c r="S60" s="87">
        <f>IF(TrRoad_act!S36=0,0,S23/TrRoad_act!S36*1000
)</f>
        <v>205.54465682665216</v>
      </c>
      <c r="T60" s="87">
        <f>IF(TrRoad_act!T36=0,0,T23/TrRoad_act!T36*1000
)</f>
        <v>255.53281294384848</v>
      </c>
      <c r="U60" s="87">
        <f>IF(TrRoad_act!U36=0,0,U23/TrRoad_act!U36*1000
)</f>
        <v>234.37064198899716</v>
      </c>
      <c r="V60" s="87">
        <f>IF(TrRoad_act!V36=0,0,V23/TrRoad_act!V36*1000
)</f>
        <v>202.05192359675442</v>
      </c>
      <c r="W60" s="87">
        <f>IF(TrRoad_act!W36=0,0,W23/TrRoad_act!W36*1000
)</f>
        <v>195.61450300982665</v>
      </c>
      <c r="X60" s="87">
        <f>IF(TrRoad_act!X36=0,0,X23/TrRoad_act!X36*1000
)</f>
        <v>122.80685676240401</v>
      </c>
      <c r="Y60" s="87">
        <f>IF(TrRoad_act!Y36=0,0,Y23/TrRoad_act!Y36*1000
)</f>
        <v>159.96777624389762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193.65493364249312</v>
      </c>
      <c r="H61" s="87">
        <f>IF(TrRoad_act!H37=0,0,H24/TrRoad_act!H37*1000
)</f>
        <v>193.35541012317637</v>
      </c>
      <c r="I61" s="87">
        <f>IF(TrRoad_act!I37=0,0,I24/TrRoad_act!I37*1000
)</f>
        <v>193.32065016514821</v>
      </c>
      <c r="J61" s="87">
        <f>IF(TrRoad_act!J37=0,0,J24/TrRoad_act!J37*1000
)</f>
        <v>188.32519552681509</v>
      </c>
      <c r="K61" s="87">
        <f>IF(TrRoad_act!K37=0,0,K24/TrRoad_act!K37*1000
)</f>
        <v>178.81791349962825</v>
      </c>
      <c r="L61" s="87">
        <f>IF(TrRoad_act!L37=0,0,L24/TrRoad_act!L37*1000
)</f>
        <v>170.94245451476709</v>
      </c>
      <c r="M61" s="87">
        <f>IF(TrRoad_act!M37=0,0,M24/TrRoad_act!M37*1000
)</f>
        <v>169.56508796023488</v>
      </c>
      <c r="N61" s="87">
        <f>IF(TrRoad_act!N37=0,0,N24/TrRoad_act!N37*1000
)</f>
        <v>151.1083343383408</v>
      </c>
      <c r="O61" s="87">
        <f>IF(TrRoad_act!O37=0,0,O24/TrRoad_act!O37*1000
)</f>
        <v>137.45893672296154</v>
      </c>
      <c r="P61" s="87">
        <f>IF(TrRoad_act!P37=0,0,P24/TrRoad_act!P37*1000
)</f>
        <v>133.89557812434424</v>
      </c>
      <c r="Q61" s="87">
        <f>IF(TrRoad_act!Q37=0,0,Q24/TrRoad_act!Q37*1000
)</f>
        <v>135.35264392858667</v>
      </c>
      <c r="R61" s="87">
        <f>IF(TrRoad_act!R37=0,0,R24/TrRoad_act!R37*1000
)</f>
        <v>129.0144836829426</v>
      </c>
      <c r="S61" s="87">
        <f>IF(TrRoad_act!S37=0,0,S24/TrRoad_act!S37*1000
)</f>
        <v>119.69387731110687</v>
      </c>
      <c r="T61" s="87">
        <f>IF(TrRoad_act!T37=0,0,T24/TrRoad_act!T37*1000
)</f>
        <v>116.24116939185981</v>
      </c>
      <c r="U61" s="87">
        <f>IF(TrRoad_act!U37=0,0,U24/TrRoad_act!U37*1000
)</f>
        <v>102.80925665927846</v>
      </c>
      <c r="V61" s="87">
        <f>IF(TrRoad_act!V37=0,0,V24/TrRoad_act!V37*1000
)</f>
        <v>88.756525246079107</v>
      </c>
      <c r="W61" s="87">
        <f>IF(TrRoad_act!W37=0,0,W24/TrRoad_act!W37*1000
)</f>
        <v>135.55667061696352</v>
      </c>
      <c r="X61" s="87">
        <f>IF(TrRoad_act!X37=0,0,X24/TrRoad_act!X37*1000
)</f>
        <v>134.87086461126583</v>
      </c>
      <c r="Y61" s="87">
        <f>IF(TrRoad_act!Y37=0,0,Y24/TrRoad_act!Y37*1000
)</f>
        <v>133.12672594717225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65.4840909253235</v>
      </c>
      <c r="N62" s="87">
        <f>IF(TrRoad_act!N38=0,0,N25/TrRoad_act!N38*1000
)</f>
        <v>49.02252858658543</v>
      </c>
      <c r="O62" s="87">
        <f>IF(TrRoad_act!O38=0,0,O25/TrRoad_act!O38*1000
)</f>
        <v>52.479544764436156</v>
      </c>
      <c r="P62" s="87">
        <f>IF(TrRoad_act!P38=0,0,P25/TrRoad_act!P38*1000
)</f>
        <v>46.898279028910423</v>
      </c>
      <c r="Q62" s="87">
        <f>IF(TrRoad_act!Q38=0,0,Q25/TrRoad_act!Q38*1000
)</f>
        <v>48.874963110308464</v>
      </c>
      <c r="R62" s="87">
        <f>IF(TrRoad_act!R38=0,0,R25/TrRoad_act!R38*1000
)</f>
        <v>49.683835536933984</v>
      </c>
      <c r="S62" s="87">
        <f>IF(TrRoad_act!S38=0,0,S25/TrRoad_act!S38*1000
)</f>
        <v>51.856333953956472</v>
      </c>
      <c r="T62" s="87">
        <f>IF(TrRoad_act!T38=0,0,T25/TrRoad_act!T38*1000
)</f>
        <v>54.659701600692316</v>
      </c>
      <c r="U62" s="87">
        <f>IF(TrRoad_act!U38=0,0,U25/TrRoad_act!U38*1000
)</f>
        <v>55.277978591830468</v>
      </c>
      <c r="V62" s="87">
        <f>IF(TrRoad_act!V38=0,0,V25/TrRoad_act!V38*1000
)</f>
        <v>47.231076176656146</v>
      </c>
      <c r="W62" s="87">
        <f>IF(TrRoad_act!W38=0,0,W25/TrRoad_act!W38*1000
)</f>
        <v>42.672070435015243</v>
      </c>
      <c r="X62" s="87">
        <f>IF(TrRoad_act!X38=0,0,X25/TrRoad_act!X38*1000
)</f>
        <v>38.920517689371593</v>
      </c>
      <c r="Y62" s="87">
        <f>IF(TrRoad_act!Y38=0,0,Y25/TrRoad_act!Y38*1000
)</f>
        <v>36.887269899072891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1827.3841078332118</v>
      </c>
      <c r="C64" s="116">
        <f>IF(TrRoad_act!C40=0,0,C27/TrRoad_act!C40*1000
)</f>
        <v>1780.8660898951814</v>
      </c>
      <c r="D64" s="116">
        <f>IF(TrRoad_act!D40=0,0,D27/TrRoad_act!D40*1000
)</f>
        <v>1747.3482162530504</v>
      </c>
      <c r="E64" s="116">
        <f>IF(TrRoad_act!E40=0,0,E27/TrRoad_act!E40*1000
)</f>
        <v>1717.198607846716</v>
      </c>
      <c r="F64" s="116">
        <f>IF(TrRoad_act!F40=0,0,F27/TrRoad_act!F40*1000
)</f>
        <v>1701.9739737547413</v>
      </c>
      <c r="G64" s="116">
        <f>IF(TrRoad_act!G40=0,0,G27/TrRoad_act!G40*1000
)</f>
        <v>1629.9257055829416</v>
      </c>
      <c r="H64" s="116">
        <f>IF(TrRoad_act!H40=0,0,H27/TrRoad_act!H40*1000
)</f>
        <v>1543.7460574949403</v>
      </c>
      <c r="I64" s="116">
        <f>IF(TrRoad_act!I40=0,0,I27/TrRoad_act!I40*1000
)</f>
        <v>1499.6175558395412</v>
      </c>
      <c r="J64" s="116">
        <f>IF(TrRoad_act!J40=0,0,J27/TrRoad_act!J40*1000
)</f>
        <v>1549.3980937364729</v>
      </c>
      <c r="K64" s="116">
        <f>IF(TrRoad_act!K40=0,0,K27/TrRoad_act!K40*1000
)</f>
        <v>1565.542055898891</v>
      </c>
      <c r="L64" s="116">
        <f>IF(TrRoad_act!L40=0,0,L27/TrRoad_act!L40*1000
)</f>
        <v>1558.4898246889836</v>
      </c>
      <c r="M64" s="116">
        <f>IF(TrRoad_act!M40=0,0,M27/TrRoad_act!M40*1000
)</f>
        <v>1579.5588439499284</v>
      </c>
      <c r="N64" s="116">
        <f>IF(TrRoad_act!N40=0,0,N27/TrRoad_act!N40*1000
)</f>
        <v>1585.0449170311058</v>
      </c>
      <c r="O64" s="116">
        <f>IF(TrRoad_act!O40=0,0,O27/TrRoad_act!O40*1000
)</f>
        <v>1598.7606822812224</v>
      </c>
      <c r="P64" s="116">
        <f>IF(TrRoad_act!P40=0,0,P27/TrRoad_act!P40*1000
)</f>
        <v>1604.9588067055654</v>
      </c>
      <c r="Q64" s="116">
        <f>IF(TrRoad_act!Q40=0,0,Q27/TrRoad_act!Q40*1000
)</f>
        <v>1628.6607693090614</v>
      </c>
      <c r="R64" s="116">
        <f>IF(TrRoad_act!R40=0,0,R27/TrRoad_act!R40*1000
)</f>
        <v>1623.7338857752238</v>
      </c>
      <c r="S64" s="116">
        <f>IF(TrRoad_act!S40=0,0,S27/TrRoad_act!S40*1000
)</f>
        <v>1612.6295146250986</v>
      </c>
      <c r="T64" s="116">
        <f>IF(TrRoad_act!T40=0,0,T27/TrRoad_act!T40*1000
)</f>
        <v>1597.3851477794547</v>
      </c>
      <c r="U64" s="116">
        <f>IF(TrRoad_act!U40=0,0,U27/TrRoad_act!U40*1000
)</f>
        <v>1604.7845016288591</v>
      </c>
      <c r="V64" s="116">
        <f>IF(TrRoad_act!V40=0,0,V27/TrRoad_act!V40*1000
)</f>
        <v>1559.721473435226</v>
      </c>
      <c r="W64" s="116">
        <f>IF(TrRoad_act!W40=0,0,W27/TrRoad_act!W40*1000
)</f>
        <v>1561.2433013476953</v>
      </c>
      <c r="X64" s="116">
        <f>IF(TrRoad_act!X40=0,0,X27/TrRoad_act!X40*1000
)</f>
        <v>1585.9959494077639</v>
      </c>
      <c r="Y64" s="116">
        <f>IF(TrRoad_act!Y40=0,0,Y27/TrRoad_act!Y40*1000
)</f>
        <v>1550.759225940712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0</v>
      </c>
      <c r="C65" s="101">
        <f>IF(TrRoad_act!C41=0,0,C28/TrRoad_act!C41*1000
)</f>
        <v>0</v>
      </c>
      <c r="D65" s="101">
        <f>IF(TrRoad_act!D41=0,0,D28/TrRoad_act!D41*1000
)</f>
        <v>0</v>
      </c>
      <c r="E65" s="101">
        <f>IF(TrRoad_act!E41=0,0,E28/TrRoad_act!E41*1000
)</f>
        <v>0</v>
      </c>
      <c r="F65" s="101">
        <f>IF(TrRoad_act!F41=0,0,F28/TrRoad_act!F41*1000
)</f>
        <v>0</v>
      </c>
      <c r="G65" s="101">
        <f>IF(TrRoad_act!G41=0,0,G28/TrRoad_act!G41*1000
)</f>
        <v>0</v>
      </c>
      <c r="H65" s="101">
        <f>IF(TrRoad_act!H41=0,0,H28/TrRoad_act!H41*1000
)</f>
        <v>0</v>
      </c>
      <c r="I65" s="101">
        <f>IF(TrRoad_act!I41=0,0,I28/TrRoad_act!I41*1000
)</f>
        <v>0</v>
      </c>
      <c r="J65" s="101">
        <f>IF(TrRoad_act!J41=0,0,J28/TrRoad_act!J41*1000
)</f>
        <v>0</v>
      </c>
      <c r="K65" s="101">
        <f>IF(TrRoad_act!K41=0,0,K28/TrRoad_act!K41*1000
)</f>
        <v>0</v>
      </c>
      <c r="L65" s="101">
        <f>IF(TrRoad_act!L41=0,0,L28/TrRoad_act!L41*1000
)</f>
        <v>0</v>
      </c>
      <c r="M65" s="101">
        <f>IF(TrRoad_act!M41=0,0,M28/TrRoad_act!M41*1000
)</f>
        <v>0</v>
      </c>
      <c r="N65" s="101">
        <f>IF(TrRoad_act!N41=0,0,N28/TrRoad_act!N41*1000
)</f>
        <v>0</v>
      </c>
      <c r="O65" s="101">
        <f>IF(TrRoad_act!O41=0,0,O28/TrRoad_act!O41*1000
)</f>
        <v>0</v>
      </c>
      <c r="P65" s="101">
        <f>IF(TrRoad_act!P41=0,0,P28/TrRoad_act!P41*1000
)</f>
        <v>0</v>
      </c>
      <c r="Q65" s="101">
        <f>IF(TrRoad_act!Q41=0,0,Q28/TrRoad_act!Q41*1000
)</f>
        <v>0</v>
      </c>
      <c r="R65" s="101">
        <f>IF(TrRoad_act!R41=0,0,R28/TrRoad_act!R41*1000
)</f>
        <v>0</v>
      </c>
      <c r="S65" s="101">
        <f>IF(TrRoad_act!S41=0,0,S28/TrRoad_act!S41*1000
)</f>
        <v>0</v>
      </c>
      <c r="T65" s="101">
        <f>IF(TrRoad_act!T41=0,0,T28/TrRoad_act!T41*1000
)</f>
        <v>0</v>
      </c>
      <c r="U65" s="101">
        <f>IF(TrRoad_act!U41=0,0,U28/TrRoad_act!U41*1000
)</f>
        <v>0</v>
      </c>
      <c r="V65" s="101">
        <f>IF(TrRoad_act!V41=0,0,V28/TrRoad_act!V41*1000
)</f>
        <v>0</v>
      </c>
      <c r="W65" s="101">
        <f>IF(TrRoad_act!W41=0,0,W28/TrRoad_act!W41*1000
)</f>
        <v>0</v>
      </c>
      <c r="X65" s="101">
        <f>IF(TrRoad_act!X41=0,0,X28/TrRoad_act!X41*1000
)</f>
        <v>0</v>
      </c>
      <c r="Y65" s="101">
        <f>IF(TrRoad_act!Y41=0,0,Y28/TrRoad_act!Y41*1000
)</f>
        <v>0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1836.5633102661122</v>
      </c>
      <c r="C66" s="101">
        <f>IF(TrRoad_act!C42=0,0,C29/TrRoad_act!C42*1000
)</f>
        <v>1792.8706503872415</v>
      </c>
      <c r="D66" s="101">
        <f>IF(TrRoad_act!D42=0,0,D29/TrRoad_act!D42*1000
)</f>
        <v>1762.8434229815721</v>
      </c>
      <c r="E66" s="101">
        <f>IF(TrRoad_act!E42=0,0,E29/TrRoad_act!E42*1000
)</f>
        <v>1734.0613947241413</v>
      </c>
      <c r="F66" s="101">
        <f>IF(TrRoad_act!F42=0,0,F29/TrRoad_act!F42*1000
)</f>
        <v>1709.4866500484191</v>
      </c>
      <c r="G66" s="101">
        <f>IF(TrRoad_act!G42=0,0,G29/TrRoad_act!G42*1000
)</f>
        <v>1643.8819912926638</v>
      </c>
      <c r="H66" s="101">
        <f>IF(TrRoad_act!H42=0,0,H29/TrRoad_act!H42*1000
)</f>
        <v>1558.5654533181655</v>
      </c>
      <c r="I66" s="101">
        <f>IF(TrRoad_act!I42=0,0,I29/TrRoad_act!I42*1000
)</f>
        <v>1512.1398296079435</v>
      </c>
      <c r="J66" s="101">
        <f>IF(TrRoad_act!J42=0,0,J29/TrRoad_act!J42*1000
)</f>
        <v>1557.8851688510172</v>
      </c>
      <c r="K66" s="101">
        <f>IF(TrRoad_act!K42=0,0,K29/TrRoad_act!K42*1000
)</f>
        <v>1576.317714206396</v>
      </c>
      <c r="L66" s="101">
        <f>IF(TrRoad_act!L42=0,0,L29/TrRoad_act!L42*1000
)</f>
        <v>1574.9855733030088</v>
      </c>
      <c r="M66" s="101">
        <f>IF(TrRoad_act!M42=0,0,M29/TrRoad_act!M42*1000
)</f>
        <v>1577.3986263771221</v>
      </c>
      <c r="N66" s="101">
        <f>IF(TrRoad_act!N42=0,0,N29/TrRoad_act!N42*1000
)</f>
        <v>1574.1181030237233</v>
      </c>
      <c r="O66" s="101">
        <f>IF(TrRoad_act!O42=0,0,O29/TrRoad_act!O42*1000
)</f>
        <v>1587.2001338909156</v>
      </c>
      <c r="P66" s="101">
        <f>IF(TrRoad_act!P42=0,0,P29/TrRoad_act!P42*1000
)</f>
        <v>1590.494689921464</v>
      </c>
      <c r="Q66" s="101">
        <f>IF(TrRoad_act!Q42=0,0,Q29/TrRoad_act!Q42*1000
)</f>
        <v>1605.1996070041782</v>
      </c>
      <c r="R66" s="101">
        <f>IF(TrRoad_act!R42=0,0,R29/TrRoad_act!R42*1000
)</f>
        <v>1610.7241694702191</v>
      </c>
      <c r="S66" s="101">
        <f>IF(TrRoad_act!S42=0,0,S29/TrRoad_act!S42*1000
)</f>
        <v>1611.4260119458722</v>
      </c>
      <c r="T66" s="101">
        <f>IF(TrRoad_act!T42=0,0,T29/TrRoad_act!T42*1000
)</f>
        <v>1605.2484479974651</v>
      </c>
      <c r="U66" s="101">
        <f>IF(TrRoad_act!U42=0,0,U29/TrRoad_act!U42*1000
)</f>
        <v>1602.5041852933468</v>
      </c>
      <c r="V66" s="101">
        <f>IF(TrRoad_act!V42=0,0,V29/TrRoad_act!V42*1000
)</f>
        <v>1554.0389125674708</v>
      </c>
      <c r="W66" s="101">
        <f>IF(TrRoad_act!W42=0,0,W29/TrRoad_act!W42*1000
)</f>
        <v>1555.2896308882177</v>
      </c>
      <c r="X66" s="101">
        <f>IF(TrRoad_act!X42=0,0,X29/TrRoad_act!X42*1000
)</f>
        <v>1533.2017480025424</v>
      </c>
      <c r="Y66" s="101">
        <f>IF(TrRoad_act!Y42=0,0,Y29/TrRoad_act!Y42*1000
)</f>
        <v>1502.7039773934746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0</v>
      </c>
      <c r="C67" s="101">
        <f>IF(TrRoad_act!C43=0,0,C30/TrRoad_act!C43*1000
)</f>
        <v>0</v>
      </c>
      <c r="D67" s="101">
        <f>IF(TrRoad_act!D43=0,0,D30/TrRoad_act!D43*1000
)</f>
        <v>0</v>
      </c>
      <c r="E67" s="101">
        <f>IF(TrRoad_act!E43=0,0,E30/TrRoad_act!E43*1000
)</f>
        <v>0</v>
      </c>
      <c r="F67" s="101">
        <f>IF(TrRoad_act!F43=0,0,F30/TrRoad_act!F43*1000
)</f>
        <v>1166.7445328656781</v>
      </c>
      <c r="G67" s="101">
        <f>IF(TrRoad_act!G43=0,0,G30/TrRoad_act!G43*1000
)</f>
        <v>1166.7445328656781</v>
      </c>
      <c r="H67" s="101">
        <f>IF(TrRoad_act!H43=0,0,H30/TrRoad_act!H43*1000
)</f>
        <v>1166.7445328656781</v>
      </c>
      <c r="I67" s="101">
        <f>IF(TrRoad_act!I43=0,0,I30/TrRoad_act!I43*1000
)</f>
        <v>1169.8453969214045</v>
      </c>
      <c r="J67" s="101">
        <f>IF(TrRoad_act!J43=0,0,J30/TrRoad_act!J43*1000
)</f>
        <v>1174.5571422029382</v>
      </c>
      <c r="K67" s="101">
        <f>IF(TrRoad_act!K43=0,0,K30/TrRoad_act!K43*1000
)</f>
        <v>1176.726825600897</v>
      </c>
      <c r="L67" s="101">
        <f>IF(TrRoad_act!L43=0,0,L30/TrRoad_act!L43*1000
)</f>
        <v>1178.4472417857553</v>
      </c>
      <c r="M67" s="101">
        <f>IF(TrRoad_act!M43=0,0,M30/TrRoad_act!M43*1000
)</f>
        <v>1178.881027792411</v>
      </c>
      <c r="N67" s="101">
        <f>IF(TrRoad_act!N43=0,0,N30/TrRoad_act!N43*1000
)</f>
        <v>1178.8810277924115</v>
      </c>
      <c r="O67" s="101">
        <f>IF(TrRoad_act!O43=0,0,O30/TrRoad_act!O43*1000
)</f>
        <v>1179.3482101229249</v>
      </c>
      <c r="P67" s="101">
        <f>IF(TrRoad_act!P43=0,0,P30/TrRoad_act!P43*1000
)</f>
        <v>1179.8527998547991</v>
      </c>
      <c r="Q67" s="101">
        <f>IF(TrRoad_act!Q43=0,0,Q30/TrRoad_act!Q43*1000
)</f>
        <v>1180.3994771898876</v>
      </c>
      <c r="R67" s="101">
        <f>IF(TrRoad_act!R43=0,0,R30/TrRoad_act!R43*1000
)</f>
        <v>1184.6444357601497</v>
      </c>
      <c r="S67" s="101">
        <f>IF(TrRoad_act!S43=0,0,S30/TrRoad_act!S43*1000
)</f>
        <v>1185.4050682359621</v>
      </c>
      <c r="T67" s="101">
        <f>IF(TrRoad_act!T43=0,0,T30/TrRoad_act!T43*1000
)</f>
        <v>1189.4475547065049</v>
      </c>
      <c r="U67" s="101">
        <f>IF(TrRoad_act!U43=0,0,U30/TrRoad_act!U43*1000
)</f>
        <v>1195.0809719035583</v>
      </c>
      <c r="V67" s="101">
        <f>IF(TrRoad_act!V43=0,0,V30/TrRoad_act!V43*1000
)</f>
        <v>1199.674868390669</v>
      </c>
      <c r="W67" s="101">
        <f>IF(TrRoad_act!W43=0,0,W30/TrRoad_act!W43*1000
)</f>
        <v>1202.1145231948651</v>
      </c>
      <c r="X67" s="101">
        <f>IF(TrRoad_act!X43=0,0,X30/TrRoad_act!X43*1000
)</f>
        <v>1205.6914753009257</v>
      </c>
      <c r="Y67" s="101">
        <f>IF(TrRoad_act!Y43=0,0,Y30/TrRoad_act!Y43*1000
)</f>
        <v>1215.3960044384346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1142.4490561416706</v>
      </c>
      <c r="C68" s="101">
        <f>IF(TrRoad_act!C44=0,0,C31/TrRoad_act!C44*1000
)</f>
        <v>1114.5836196593232</v>
      </c>
      <c r="D68" s="101">
        <f>IF(TrRoad_act!D44=0,0,D31/TrRoad_act!D44*1000
)</f>
        <v>1098.668333383659</v>
      </c>
      <c r="E68" s="101">
        <f>IF(TrRoad_act!E44=0,0,E31/TrRoad_act!E44*1000
)</f>
        <v>1122.288881181111</v>
      </c>
      <c r="F68" s="101">
        <f>IF(TrRoad_act!F44=0,0,F31/TrRoad_act!F44*1000
)</f>
        <v>1479.9151601566568</v>
      </c>
      <c r="G68" s="101">
        <f>IF(TrRoad_act!G44=0,0,G31/TrRoad_act!G44*1000
)</f>
        <v>1046.3741945474403</v>
      </c>
      <c r="H68" s="101">
        <f>IF(TrRoad_act!H44=0,0,H31/TrRoad_act!H44*1000
)</f>
        <v>1056.3675611525348</v>
      </c>
      <c r="I68" s="101">
        <f>IF(TrRoad_act!I44=0,0,I31/TrRoad_act!I44*1000
)</f>
        <v>1097.1314135075504</v>
      </c>
      <c r="J68" s="101">
        <f>IF(TrRoad_act!J44=0,0,J31/TrRoad_act!J44*1000
)</f>
        <v>1200.5747978244356</v>
      </c>
      <c r="K68" s="101">
        <f>IF(TrRoad_act!K44=0,0,K31/TrRoad_act!K44*1000
)</f>
        <v>1162.3296970659721</v>
      </c>
      <c r="L68" s="101">
        <f>IF(TrRoad_act!L44=0,0,L31/TrRoad_act!L44*1000
)</f>
        <v>896.01746380611053</v>
      </c>
      <c r="M68" s="101">
        <f>IF(TrRoad_act!M44=0,0,M31/TrRoad_act!M44*1000
)</f>
        <v>1772.846754650782</v>
      </c>
      <c r="N68" s="101">
        <f>IF(TrRoad_act!N44=0,0,N31/TrRoad_act!N44*1000
)</f>
        <v>2210.3835942157666</v>
      </c>
      <c r="O68" s="101">
        <f>IF(TrRoad_act!O44=0,0,O31/TrRoad_act!O44*1000
)</f>
        <v>2215.6993181746161</v>
      </c>
      <c r="P68" s="101">
        <f>IF(TrRoad_act!P44=0,0,P31/TrRoad_act!P44*1000
)</f>
        <v>2498.5280047714677</v>
      </c>
      <c r="Q68" s="101">
        <f>IF(TrRoad_act!Q44=0,0,Q31/TrRoad_act!Q44*1000
)</f>
        <v>3700.5748745173769</v>
      </c>
      <c r="R68" s="101">
        <f>IF(TrRoad_act!R44=0,0,R31/TrRoad_act!R44*1000
)</f>
        <v>2696.9335908200851</v>
      </c>
      <c r="S68" s="101">
        <f>IF(TrRoad_act!S44=0,0,S31/TrRoad_act!S44*1000
)</f>
        <v>1840.9964673184083</v>
      </c>
      <c r="T68" s="101">
        <f>IF(TrRoad_act!T44=0,0,T31/TrRoad_act!T44*1000
)</f>
        <v>1314.9545164455478</v>
      </c>
      <c r="U68" s="101">
        <f>IF(TrRoad_act!U44=0,0,U31/TrRoad_act!U44*1000
)</f>
        <v>2076.5552418184352</v>
      </c>
      <c r="V68" s="101">
        <f>IF(TrRoad_act!V44=0,0,V31/TrRoad_act!V44*1000
)</f>
        <v>2554.5801739202061</v>
      </c>
      <c r="W68" s="101">
        <f>IF(TrRoad_act!W44=0,0,W31/TrRoad_act!W44*1000
)</f>
        <v>3281.1712022008846</v>
      </c>
      <c r="X68" s="101">
        <f>IF(TrRoad_act!X44=0,0,X31/TrRoad_act!X44*1000
)</f>
        <v>7186.0198434113772</v>
      </c>
      <c r="Y68" s="101">
        <f>IF(TrRoad_act!Y44=0,0,Y31/TrRoad_act!Y44*1000
)</f>
        <v>7615.9658253217476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800.2347881976832</v>
      </c>
      <c r="C70" s="29">
        <f>IF(TrRoad_act!C46=0,0,C33/TrRoad_act!C46*1000
)</f>
        <v>721.69449132155216</v>
      </c>
      <c r="D70" s="29">
        <f>IF(TrRoad_act!D46=0,0,D33/TrRoad_act!D46*1000
)</f>
        <v>698.43120056469274</v>
      </c>
      <c r="E70" s="29">
        <f>IF(TrRoad_act!E46=0,0,E33/TrRoad_act!E46*1000
)</f>
        <v>635.48906399815439</v>
      </c>
      <c r="F70" s="29">
        <f>IF(TrRoad_act!F46=0,0,F33/TrRoad_act!F46*1000
)</f>
        <v>614.73485180972739</v>
      </c>
      <c r="G70" s="29">
        <f>IF(TrRoad_act!G46=0,0,G33/TrRoad_act!G46*1000
)</f>
        <v>576.28103196955965</v>
      </c>
      <c r="H70" s="29">
        <f>IF(TrRoad_act!H46=0,0,H33/TrRoad_act!H46*1000
)</f>
        <v>617.72920742668089</v>
      </c>
      <c r="I70" s="29">
        <f>IF(TrRoad_act!I46=0,0,I33/TrRoad_act!I46*1000
)</f>
        <v>592.80372699144152</v>
      </c>
      <c r="J70" s="29">
        <f>IF(TrRoad_act!J46=0,0,J33/TrRoad_act!J46*1000
)</f>
        <v>601.67990039152221</v>
      </c>
      <c r="K70" s="29">
        <f>IF(TrRoad_act!K46=0,0,K33/TrRoad_act!K46*1000
)</f>
        <v>600.9584308758466</v>
      </c>
      <c r="L70" s="29">
        <f>IF(TrRoad_act!L46=0,0,L33/TrRoad_act!L46*1000
)</f>
        <v>653.94767029785078</v>
      </c>
      <c r="M70" s="29">
        <f>IF(TrRoad_act!M46=0,0,M33/TrRoad_act!M46*1000
)</f>
        <v>636.48502148749571</v>
      </c>
      <c r="N70" s="29">
        <f>IF(TrRoad_act!N46=0,0,N33/TrRoad_act!N46*1000
)</f>
        <v>677.03960807906901</v>
      </c>
      <c r="O70" s="29">
        <f>IF(TrRoad_act!O46=0,0,O33/TrRoad_act!O46*1000
)</f>
        <v>661.20673802435272</v>
      </c>
      <c r="P70" s="29">
        <f>IF(TrRoad_act!P46=0,0,P33/TrRoad_act!P46*1000
)</f>
        <v>662.22456977132788</v>
      </c>
      <c r="Q70" s="29">
        <f>IF(TrRoad_act!Q46=0,0,Q33/TrRoad_act!Q46*1000
)</f>
        <v>580.60884849659897</v>
      </c>
      <c r="R70" s="29">
        <f>IF(TrRoad_act!R46=0,0,R33/TrRoad_act!R46*1000
)</f>
        <v>571.44081795399836</v>
      </c>
      <c r="S70" s="29">
        <f>IF(TrRoad_act!S46=0,0,S33/TrRoad_act!S46*1000
)</f>
        <v>582.9627392785867</v>
      </c>
      <c r="T70" s="29">
        <f>IF(TrRoad_act!T46=0,0,T33/TrRoad_act!T46*1000
)</f>
        <v>607.30695272787614</v>
      </c>
      <c r="U70" s="29">
        <f>IF(TrRoad_act!U46=0,0,U33/TrRoad_act!U46*1000
)</f>
        <v>578.57457586099713</v>
      </c>
      <c r="V70" s="29">
        <f>IF(TrRoad_act!V46=0,0,V33/TrRoad_act!V46*1000
)</f>
        <v>596.2224038908123</v>
      </c>
      <c r="W70" s="29">
        <f>IF(TrRoad_act!W46=0,0,W33/TrRoad_act!W46*1000
)</f>
        <v>544.55436273566863</v>
      </c>
      <c r="X70" s="29">
        <f>IF(TrRoad_act!X46=0,0,X33/TrRoad_act!X46*1000
)</f>
        <v>517.75054080296582</v>
      </c>
      <c r="Y70" s="29">
        <f>IF(TrRoad_act!Y46=0,0,Y33/TrRoad_act!Y46*1000
)</f>
        <v>468.91776414485474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330.00486489039793</v>
      </c>
      <c r="C71" s="152">
        <f>IF(TrRoad_act!C47=0,0,C34/TrRoad_act!C47*1000
)</f>
        <v>312.94305785265828</v>
      </c>
      <c r="D71" s="152">
        <f>IF(TrRoad_act!D47=0,0,D34/TrRoad_act!D47*1000
)</f>
        <v>306.25954435000602</v>
      </c>
      <c r="E71" s="152">
        <f>IF(TrRoad_act!E47=0,0,E34/TrRoad_act!E47*1000
)</f>
        <v>300.92309967876275</v>
      </c>
      <c r="F71" s="152">
        <f>IF(TrRoad_act!F47=0,0,F34/TrRoad_act!F47*1000
)</f>
        <v>295.98187720082325</v>
      </c>
      <c r="G71" s="152">
        <f>IF(TrRoad_act!G47=0,0,G34/TrRoad_act!G47*1000
)</f>
        <v>287.3642037756415</v>
      </c>
      <c r="H71" s="152">
        <f>IF(TrRoad_act!H47=0,0,H34/TrRoad_act!H47*1000
)</f>
        <v>274.68356244743006</v>
      </c>
      <c r="I71" s="152">
        <f>IF(TrRoad_act!I47=0,0,I34/TrRoad_act!I47*1000
)</f>
        <v>269.3587913780695</v>
      </c>
      <c r="J71" s="152">
        <f>IF(TrRoad_act!J47=0,0,J34/TrRoad_act!J47*1000
)</f>
        <v>277.85774571208611</v>
      </c>
      <c r="K71" s="152">
        <f>IF(TrRoad_act!K47=0,0,K34/TrRoad_act!K47*1000
)</f>
        <v>281.42868041047871</v>
      </c>
      <c r="L71" s="152">
        <f>IF(TrRoad_act!L47=0,0,L34/TrRoad_act!L47*1000
)</f>
        <v>281.60062160413884</v>
      </c>
      <c r="M71" s="152">
        <f>IF(TrRoad_act!M47=0,0,M34/TrRoad_act!M47*1000
)</f>
        <v>285.33371099054722</v>
      </c>
      <c r="N71" s="152">
        <f>IF(TrRoad_act!N47=0,0,N34/TrRoad_act!N47*1000
)</f>
        <v>283.43058917392324</v>
      </c>
      <c r="O71" s="152">
        <f>IF(TrRoad_act!O47=0,0,O34/TrRoad_act!O47*1000
)</f>
        <v>285.51951947260761</v>
      </c>
      <c r="P71" s="152">
        <f>IF(TrRoad_act!P47=0,0,P34/TrRoad_act!P47*1000
)</f>
        <v>284.54177437861779</v>
      </c>
      <c r="Q71" s="152">
        <f>IF(TrRoad_act!Q47=0,0,Q34/TrRoad_act!Q47*1000
)</f>
        <v>285.10444068367332</v>
      </c>
      <c r="R71" s="152">
        <f>IF(TrRoad_act!R47=0,0,R34/TrRoad_act!R47*1000
)</f>
        <v>282.99157498499045</v>
      </c>
      <c r="S71" s="152">
        <f>IF(TrRoad_act!S47=0,0,S34/TrRoad_act!S47*1000
)</f>
        <v>279.20419642771725</v>
      </c>
      <c r="T71" s="152">
        <f>IF(TrRoad_act!T47=0,0,T34/TrRoad_act!T47*1000
)</f>
        <v>275.05426726865511</v>
      </c>
      <c r="U71" s="152">
        <f>IF(TrRoad_act!U47=0,0,U34/TrRoad_act!U47*1000
)</f>
        <v>272.80658107139436</v>
      </c>
      <c r="V71" s="152">
        <f>IF(TrRoad_act!V47=0,0,V34/TrRoad_act!V47*1000
)</f>
        <v>266.25765574224511</v>
      </c>
      <c r="W71" s="152">
        <f>IF(TrRoad_act!W47=0,0,W34/TrRoad_act!W47*1000
)</f>
        <v>268.41067331507026</v>
      </c>
      <c r="X71" s="152">
        <f>IF(TrRoad_act!X47=0,0,X34/TrRoad_act!X47*1000
)</f>
        <v>266.80138580670217</v>
      </c>
      <c r="Y71" s="152">
        <f>IF(TrRoad_act!Y47=0,0,Y34/TrRoad_act!Y47*1000
)</f>
        <v>265.58078495261543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303.84407614808214</v>
      </c>
      <c r="C72" s="87">
        <f>IF(TrRoad_act!C48=0,0,C35/TrRoad_act!C48*1000
)</f>
        <v>298.07482464647239</v>
      </c>
      <c r="D72" s="87">
        <f>IF(TrRoad_act!D48=0,0,D35/TrRoad_act!D48*1000
)</f>
        <v>295.95475541843126</v>
      </c>
      <c r="E72" s="87">
        <f>IF(TrRoad_act!E48=0,0,E35/TrRoad_act!E48*1000
)</f>
        <v>293.71129772999791</v>
      </c>
      <c r="F72" s="87">
        <f>IF(TrRoad_act!F48=0,0,F35/TrRoad_act!F48*1000
)</f>
        <v>291.10192449686082</v>
      </c>
      <c r="G72" s="87">
        <f>IF(TrRoad_act!G48=0,0,G35/TrRoad_act!G48*1000
)</f>
        <v>287.24047801292693</v>
      </c>
      <c r="H72" s="87">
        <f>IF(TrRoad_act!H48=0,0,H35/TrRoad_act!H48*1000
)</f>
        <v>282.45008716253682</v>
      </c>
      <c r="I72" s="87">
        <f>IF(TrRoad_act!I48=0,0,I35/TrRoad_act!I48*1000
)</f>
        <v>281.47952674149718</v>
      </c>
      <c r="J72" s="87">
        <f>IF(TrRoad_act!J48=0,0,J35/TrRoad_act!J48*1000
)</f>
        <v>276.76444000501857</v>
      </c>
      <c r="K72" s="87">
        <f>IF(TrRoad_act!K48=0,0,K35/TrRoad_act!K48*1000
)</f>
        <v>271.04993801899082</v>
      </c>
      <c r="L72" s="87">
        <f>IF(TrRoad_act!L48=0,0,L35/TrRoad_act!L48*1000
)</f>
        <v>264.90216540705819</v>
      </c>
      <c r="M72" s="87">
        <f>IF(TrRoad_act!M48=0,0,M35/TrRoad_act!M48*1000
)</f>
        <v>260.65174600840538</v>
      </c>
      <c r="N72" s="87">
        <f>IF(TrRoad_act!N48=0,0,N35/TrRoad_act!N48*1000
)</f>
        <v>254.76176818424423</v>
      </c>
      <c r="O72" s="87">
        <f>IF(TrRoad_act!O48=0,0,O35/TrRoad_act!O48*1000
)</f>
        <v>251.1691489203547</v>
      </c>
      <c r="P72" s="87">
        <f>IF(TrRoad_act!P48=0,0,P35/TrRoad_act!P48*1000
)</f>
        <v>248.98310062529848</v>
      </c>
      <c r="Q72" s="87">
        <f>IF(TrRoad_act!Q48=0,0,Q35/TrRoad_act!Q48*1000
)</f>
        <v>247.67715469519777</v>
      </c>
      <c r="R72" s="87">
        <f>IF(TrRoad_act!R48=0,0,R35/TrRoad_act!R48*1000
)</f>
        <v>244.8587705611335</v>
      </c>
      <c r="S72" s="87">
        <f>IF(TrRoad_act!S48=0,0,S35/TrRoad_act!S48*1000
)</f>
        <v>240.31688616953346</v>
      </c>
      <c r="T72" s="87">
        <f>IF(TrRoad_act!T48=0,0,T35/TrRoad_act!T48*1000
)</f>
        <v>241.12033677380589</v>
      </c>
      <c r="U72" s="87">
        <f>IF(TrRoad_act!U48=0,0,U35/TrRoad_act!U48*1000
)</f>
        <v>238.15214198001826</v>
      </c>
      <c r="V72" s="87">
        <f>IF(TrRoad_act!V48=0,0,V35/TrRoad_act!V48*1000
)</f>
        <v>238.84386214150445</v>
      </c>
      <c r="W72" s="87">
        <f>IF(TrRoad_act!W48=0,0,W35/TrRoad_act!W48*1000
)</f>
        <v>240.05703669395359</v>
      </c>
      <c r="X72" s="87">
        <f>IF(TrRoad_act!X48=0,0,X35/TrRoad_act!X48*1000
)</f>
        <v>239.39692148950127</v>
      </c>
      <c r="Y72" s="87">
        <f>IF(TrRoad_act!Y48=0,0,Y35/TrRoad_act!Y48*1000
)</f>
        <v>240.65482516022033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333.20602192089962</v>
      </c>
      <c r="C73" s="87">
        <f>IF(TrRoad_act!C49=0,0,C36/TrRoad_act!C49*1000
)</f>
        <v>314.57603976169111</v>
      </c>
      <c r="D73" s="87">
        <f>IF(TrRoad_act!D49=0,0,D36/TrRoad_act!D49*1000
)</f>
        <v>307.35553508170551</v>
      </c>
      <c r="E73" s="87">
        <f>IF(TrRoad_act!E49=0,0,E36/TrRoad_act!E49*1000
)</f>
        <v>301.61457705678225</v>
      </c>
      <c r="F73" s="87">
        <f>IF(TrRoad_act!F49=0,0,F36/TrRoad_act!F49*1000
)</f>
        <v>296.44941270166271</v>
      </c>
      <c r="G73" s="87">
        <f>IF(TrRoad_act!G49=0,0,G36/TrRoad_act!G49*1000
)</f>
        <v>287.4478558687228</v>
      </c>
      <c r="H73" s="87">
        <f>IF(TrRoad_act!H49=0,0,H36/TrRoad_act!H49*1000
)</f>
        <v>274.3318189943119</v>
      </c>
      <c r="I73" s="87">
        <f>IF(TrRoad_act!I49=0,0,I36/TrRoad_act!I49*1000
)</f>
        <v>268.69733576305242</v>
      </c>
      <c r="J73" s="87">
        <f>IF(TrRoad_act!J49=0,0,J36/TrRoad_act!J49*1000
)</f>
        <v>278.06473992059585</v>
      </c>
      <c r="K73" s="87">
        <f>IF(TrRoad_act!K49=0,0,K36/TrRoad_act!K49*1000
)</f>
        <v>282.15837244313423</v>
      </c>
      <c r="L73" s="87">
        <f>IF(TrRoad_act!L49=0,0,L36/TrRoad_act!L49*1000
)</f>
        <v>282.75647567711479</v>
      </c>
      <c r="M73" s="87">
        <f>IF(TrRoad_act!M49=0,0,M36/TrRoad_act!M49*1000
)</f>
        <v>286.89552713428168</v>
      </c>
      <c r="N73" s="87">
        <f>IF(TrRoad_act!N49=0,0,N36/TrRoad_act!N49*1000
)</f>
        <v>285.29545207419733</v>
      </c>
      <c r="O73" s="87">
        <f>IF(TrRoad_act!O49=0,0,O36/TrRoad_act!O49*1000
)</f>
        <v>287.58503702943773</v>
      </c>
      <c r="P73" s="87">
        <f>IF(TrRoad_act!P49=0,0,P36/TrRoad_act!P49*1000
)</f>
        <v>286.58882920157197</v>
      </c>
      <c r="Q73" s="87">
        <f>IF(TrRoad_act!Q49=0,0,Q36/TrRoad_act!Q49*1000
)</f>
        <v>286.87660803728659</v>
      </c>
      <c r="R73" s="87">
        <f>IF(TrRoad_act!R49=0,0,R36/TrRoad_act!R49*1000
)</f>
        <v>285.02128313078191</v>
      </c>
      <c r="S73" s="87">
        <f>IF(TrRoad_act!S49=0,0,S36/TrRoad_act!S49*1000
)</f>
        <v>281.78757638250261</v>
      </c>
      <c r="T73" s="87">
        <f>IF(TrRoad_act!T49=0,0,T36/TrRoad_act!T49*1000
)</f>
        <v>277.8748730636608</v>
      </c>
      <c r="U73" s="87">
        <f>IF(TrRoad_act!U49=0,0,U36/TrRoad_act!U49*1000
)</f>
        <v>275.91586104412966</v>
      </c>
      <c r="V73" s="87">
        <f>IF(TrRoad_act!V49=0,0,V36/TrRoad_act!V49*1000
)</f>
        <v>269.3721633462535</v>
      </c>
      <c r="W73" s="87">
        <f>IF(TrRoad_act!W49=0,0,W36/TrRoad_act!W49*1000
)</f>
        <v>272.56037898051659</v>
      </c>
      <c r="X73" s="87">
        <f>IF(TrRoad_act!X49=0,0,X36/TrRoad_act!X49*1000
)</f>
        <v>272.17805374898961</v>
      </c>
      <c r="Y73" s="87">
        <f>IF(TrRoad_act!Y49=0,0,Y36/TrRoad_act!Y49*1000
)</f>
        <v>271.55799364642786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0</v>
      </c>
      <c r="C74" s="87">
        <f>IF(TrRoad_act!C50=0,0,C37/TrRoad_act!C50*1000
)</f>
        <v>0</v>
      </c>
      <c r="D74" s="87">
        <f>IF(TrRoad_act!D50=0,0,D37/TrRoad_act!D50*1000
)</f>
        <v>0</v>
      </c>
      <c r="E74" s="87">
        <f>IF(TrRoad_act!E50=0,0,E37/TrRoad_act!E50*1000
)</f>
        <v>0</v>
      </c>
      <c r="F74" s="87">
        <f>IF(TrRoad_act!F50=0,0,F37/TrRoad_act!F50*1000
)</f>
        <v>0</v>
      </c>
      <c r="G74" s="87">
        <f>IF(TrRoad_act!G50=0,0,G37/TrRoad_act!G50*1000
)</f>
        <v>0</v>
      </c>
      <c r="H74" s="87">
        <f>IF(TrRoad_act!H50=0,0,H37/TrRoad_act!H50*1000
)</f>
        <v>378.76075616547553</v>
      </c>
      <c r="I74" s="87">
        <f>IF(TrRoad_act!I50=0,0,I37/TrRoad_act!I50*1000
)</f>
        <v>375.26331173306806</v>
      </c>
      <c r="J74" s="87">
        <f>IF(TrRoad_act!J50=0,0,J37/TrRoad_act!J50*1000
)</f>
        <v>363.94964136602658</v>
      </c>
      <c r="K74" s="87">
        <f>IF(TrRoad_act!K50=0,0,K37/TrRoad_act!K50*1000
)</f>
        <v>360.87460815684858</v>
      </c>
      <c r="L74" s="87">
        <f>IF(TrRoad_act!L50=0,0,L37/TrRoad_act!L50*1000
)</f>
        <v>353.52112512621301</v>
      </c>
      <c r="M74" s="87">
        <f>IF(TrRoad_act!M50=0,0,M37/TrRoad_act!M50*1000
)</f>
        <v>350.18887427226383</v>
      </c>
      <c r="N74" s="87">
        <f>IF(TrRoad_act!N50=0,0,N37/TrRoad_act!N50*1000
)</f>
        <v>347.16549977609054</v>
      </c>
      <c r="O74" s="87">
        <f>IF(TrRoad_act!O50=0,0,O37/TrRoad_act!O50*1000
)</f>
        <v>345.56608397148045</v>
      </c>
      <c r="P74" s="87">
        <f>IF(TrRoad_act!P50=0,0,P37/TrRoad_act!P50*1000
)</f>
        <v>339.90942621792141</v>
      </c>
      <c r="Q74" s="87">
        <f>IF(TrRoad_act!Q50=0,0,Q37/TrRoad_act!Q50*1000
)</f>
        <v>337.95347337079721</v>
      </c>
      <c r="R74" s="87">
        <f>IF(TrRoad_act!R50=0,0,R37/TrRoad_act!R50*1000
)</f>
        <v>341.16139178656016</v>
      </c>
      <c r="S74" s="87">
        <f>IF(TrRoad_act!S50=0,0,S37/TrRoad_act!S50*1000
)</f>
        <v>340.83451036017027</v>
      </c>
      <c r="T74" s="87">
        <f>IF(TrRoad_act!T50=0,0,T37/TrRoad_act!T50*1000
)</f>
        <v>343.93095433461093</v>
      </c>
      <c r="U74" s="87">
        <f>IF(TrRoad_act!U50=0,0,U37/TrRoad_act!U50*1000
)</f>
        <v>342.27275742074494</v>
      </c>
      <c r="V74" s="87">
        <f>IF(TrRoad_act!V50=0,0,V37/TrRoad_act!V50*1000
)</f>
        <v>350.92400614943102</v>
      </c>
      <c r="W74" s="87">
        <f>IF(TrRoad_act!W50=0,0,W37/TrRoad_act!W50*1000
)</f>
        <v>358.35297627596998</v>
      </c>
      <c r="X74" s="87">
        <f>IF(TrRoad_act!X50=0,0,X37/TrRoad_act!X50*1000
)</f>
        <v>358.60156821391644</v>
      </c>
      <c r="Y74" s="87">
        <f>IF(TrRoad_act!Y50=0,0,Y37/TrRoad_act!Y50*1000
)</f>
        <v>352.7831925506386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0</v>
      </c>
      <c r="F75" s="87">
        <f>IF(TrRoad_act!F51=0,0,F38/TrRoad_act!F51*1000
)</f>
        <v>0</v>
      </c>
      <c r="G75" s="87">
        <f>IF(TrRoad_act!G51=0,0,G38/TrRoad_act!G51*1000
)</f>
        <v>0</v>
      </c>
      <c r="H75" s="87">
        <f>IF(TrRoad_act!H51=0,0,H38/TrRoad_act!H51*1000
)</f>
        <v>236.66045805691442</v>
      </c>
      <c r="I75" s="87">
        <f>IF(TrRoad_act!I51=0,0,I38/TrRoad_act!I51*1000
)</f>
        <v>236.53313943811082</v>
      </c>
      <c r="J75" s="87">
        <f>IF(TrRoad_act!J51=0,0,J38/TrRoad_act!J51*1000
)</f>
        <v>234.36101799325803</v>
      </c>
      <c r="K75" s="87">
        <f>IF(TrRoad_act!K51=0,0,K38/TrRoad_act!K51*1000
)</f>
        <v>231.60251423661268</v>
      </c>
      <c r="L75" s="87">
        <f>IF(TrRoad_act!L51=0,0,L38/TrRoad_act!L51*1000
)</f>
        <v>221.30656048668382</v>
      </c>
      <c r="M75" s="87">
        <f>IF(TrRoad_act!M51=0,0,M38/TrRoad_act!M51*1000
)</f>
        <v>219.51113454031028</v>
      </c>
      <c r="N75" s="87">
        <f>IF(TrRoad_act!N51=0,0,N38/TrRoad_act!N51*1000
)</f>
        <v>195.66354888428424</v>
      </c>
      <c r="O75" s="87">
        <f>IF(TrRoad_act!O51=0,0,O38/TrRoad_act!O51*1000
)</f>
        <v>183.53639509272648</v>
      </c>
      <c r="P75" s="87">
        <f>IF(TrRoad_act!P51=0,0,P38/TrRoad_act!P51*1000
)</f>
        <v>185.86675109791329</v>
      </c>
      <c r="Q75" s="87">
        <f>IF(TrRoad_act!Q51=0,0,Q38/TrRoad_act!Q51*1000
)</f>
        <v>191.66439019658503</v>
      </c>
      <c r="R75" s="87">
        <f>IF(TrRoad_act!R51=0,0,R38/TrRoad_act!R51*1000
)</f>
        <v>175.9774218194535</v>
      </c>
      <c r="S75" s="87">
        <f>IF(TrRoad_act!S51=0,0,S38/TrRoad_act!S51*1000
)</f>
        <v>165.63865614977507</v>
      </c>
      <c r="T75" s="87">
        <f>IF(TrRoad_act!T51=0,0,T38/TrRoad_act!T51*1000
)</f>
        <v>164.24391199977751</v>
      </c>
      <c r="U75" s="87">
        <f>IF(TrRoad_act!U51=0,0,U38/TrRoad_act!U51*1000
)</f>
        <v>148.56588974023239</v>
      </c>
      <c r="V75" s="87">
        <f>IF(TrRoad_act!V51=0,0,V38/TrRoad_act!V51*1000
)</f>
        <v>131.80753865195942</v>
      </c>
      <c r="W75" s="87">
        <f>IF(TrRoad_act!W51=0,0,W38/TrRoad_act!W51*1000
)</f>
        <v>203.3307023814655</v>
      </c>
      <c r="X75" s="87">
        <f>IF(TrRoad_act!X51=0,0,X38/TrRoad_act!X51*1000
)</f>
        <v>201.27446639495284</v>
      </c>
      <c r="Y75" s="87">
        <f>IF(TrRoad_act!Y51=0,0,Y38/TrRoad_act!Y51*1000
)</f>
        <v>199.19418845957597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1269.3100775738264</v>
      </c>
      <c r="C77" s="116">
        <f>IF(TrRoad_act!C53=0,0,C40/TrRoad_act!C53*1000
)</f>
        <v>1152.8502599283361</v>
      </c>
      <c r="D77" s="116">
        <f>IF(TrRoad_act!D53=0,0,D40/TrRoad_act!D53*1000
)</f>
        <v>1125.0524213144167</v>
      </c>
      <c r="E77" s="116">
        <f>IF(TrRoad_act!E53=0,0,E40/TrRoad_act!E53*1000
)</f>
        <v>1016.4005497101505</v>
      </c>
      <c r="F77" s="116">
        <f>IF(TrRoad_act!F53=0,0,F40/TrRoad_act!F53*1000
)</f>
        <v>949.73092776372528</v>
      </c>
      <c r="G77" s="116">
        <f>IF(TrRoad_act!G53=0,0,G40/TrRoad_act!G53*1000
)</f>
        <v>879.26124913350998</v>
      </c>
      <c r="H77" s="116">
        <f>IF(TrRoad_act!H53=0,0,H40/TrRoad_act!H53*1000
)</f>
        <v>953.99043374550172</v>
      </c>
      <c r="I77" s="116">
        <f>IF(TrRoad_act!I53=0,0,I40/TrRoad_act!I53*1000
)</f>
        <v>890.98147963865495</v>
      </c>
      <c r="J77" s="116">
        <f>IF(TrRoad_act!J53=0,0,J40/TrRoad_act!J53*1000
)</f>
        <v>885.54929832682478</v>
      </c>
      <c r="K77" s="116">
        <f>IF(TrRoad_act!K53=0,0,K40/TrRoad_act!K53*1000
)</f>
        <v>905.3868607197594</v>
      </c>
      <c r="L77" s="116">
        <f>IF(TrRoad_act!L53=0,0,L40/TrRoad_act!L53*1000
)</f>
        <v>989.09417246283965</v>
      </c>
      <c r="M77" s="116">
        <f>IF(TrRoad_act!M53=0,0,M40/TrRoad_act!M53*1000
)</f>
        <v>945.46578750342542</v>
      </c>
      <c r="N77" s="116">
        <f>IF(TrRoad_act!N53=0,0,N40/TrRoad_act!N53*1000
)</f>
        <v>1022.6166857983357</v>
      </c>
      <c r="O77" s="116">
        <f>IF(TrRoad_act!O53=0,0,O40/TrRoad_act!O53*1000
)</f>
        <v>1002.1602745338141</v>
      </c>
      <c r="P77" s="116">
        <f>IF(TrRoad_act!P53=0,0,P40/TrRoad_act!P53*1000
)</f>
        <v>1011.0886730578939</v>
      </c>
      <c r="Q77" s="116">
        <f>IF(TrRoad_act!Q53=0,0,Q40/TrRoad_act!Q53*1000
)</f>
        <v>883.47073394301117</v>
      </c>
      <c r="R77" s="116">
        <f>IF(TrRoad_act!R53=0,0,R40/TrRoad_act!R53*1000
)</f>
        <v>878.53818661986247</v>
      </c>
      <c r="S77" s="116">
        <f>IF(TrRoad_act!S53=0,0,S40/TrRoad_act!S53*1000
)</f>
        <v>906.41545281902415</v>
      </c>
      <c r="T77" s="116">
        <f>IF(TrRoad_act!T53=0,0,T40/TrRoad_act!T53*1000
)</f>
        <v>951.10253524530253</v>
      </c>
      <c r="U77" s="116">
        <f>IF(TrRoad_act!U53=0,0,U40/TrRoad_act!U53*1000
)</f>
        <v>908.86367456450023</v>
      </c>
      <c r="V77" s="116">
        <f>IF(TrRoad_act!V53=0,0,V40/TrRoad_act!V53*1000
)</f>
        <v>932.11501831964347</v>
      </c>
      <c r="W77" s="116">
        <f>IF(TrRoad_act!W53=0,0,W40/TrRoad_act!W53*1000
)</f>
        <v>834.26769131910305</v>
      </c>
      <c r="X77" s="116">
        <f>IF(TrRoad_act!X53=0,0,X40/TrRoad_act!X53*1000
)</f>
        <v>793.6896467773704</v>
      </c>
      <c r="Y77" s="116">
        <f>IF(TrRoad_act!Y53=0,0,Y40/TrRoad_act!Y53*1000
)</f>
        <v>705.47878081768545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1126.9094643709961</v>
      </c>
      <c r="C78" s="101">
        <f>IF(TrRoad_act!C54=0,0,C41/TrRoad_act!C54*1000
)</f>
        <v>1099.9919455460299</v>
      </c>
      <c r="D78" s="101">
        <f>IF(TrRoad_act!D54=0,0,D41/TrRoad_act!D54*1000
)</f>
        <v>1088.1133459141909</v>
      </c>
      <c r="E78" s="101">
        <f>IF(TrRoad_act!E54=0,0,E41/TrRoad_act!E54*1000
)</f>
        <v>1060.0882757744878</v>
      </c>
      <c r="F78" s="101">
        <f>IF(TrRoad_act!F54=0,0,F41/TrRoad_act!F54*1000
)</f>
        <v>1040.301806717923</v>
      </c>
      <c r="G78" s="101">
        <f>IF(TrRoad_act!G54=0,0,G41/TrRoad_act!G54*1000
)</f>
        <v>998.16399298201964</v>
      </c>
      <c r="H78" s="101">
        <f>IF(TrRoad_act!H54=0,0,H41/TrRoad_act!H54*1000
)</f>
        <v>972.35464148197002</v>
      </c>
      <c r="I78" s="101">
        <f>IF(TrRoad_act!I54=0,0,I41/TrRoad_act!I54*1000
)</f>
        <v>943.65340234139865</v>
      </c>
      <c r="J78" s="101">
        <f>IF(TrRoad_act!J54=0,0,J41/TrRoad_act!J54*1000
)</f>
        <v>970.738674800176</v>
      </c>
      <c r="K78" s="101">
        <f>IF(TrRoad_act!K54=0,0,K41/TrRoad_act!K54*1000
)</f>
        <v>984.66655110028671</v>
      </c>
      <c r="L78" s="101">
        <f>IF(TrRoad_act!L54=0,0,L41/TrRoad_act!L54*1000
)</f>
        <v>997.18129611613688</v>
      </c>
      <c r="M78" s="101">
        <f>IF(TrRoad_act!M54=0,0,M41/TrRoad_act!M54*1000
)</f>
        <v>988.62114520839259</v>
      </c>
      <c r="N78" s="101">
        <f>IF(TrRoad_act!N54=0,0,N41/TrRoad_act!N54*1000
)</f>
        <v>997.7326898691673</v>
      </c>
      <c r="O78" s="101">
        <f>IF(TrRoad_act!O54=0,0,O41/TrRoad_act!O54*1000
)</f>
        <v>997.3941530230918</v>
      </c>
      <c r="P78" s="101">
        <f>IF(TrRoad_act!P54=0,0,P41/TrRoad_act!P54*1000
)</f>
        <v>994.43165622963363</v>
      </c>
      <c r="Q78" s="101">
        <f>IF(TrRoad_act!Q54=0,0,Q41/TrRoad_act!Q54*1000
)</f>
        <v>969.92834055890967</v>
      </c>
      <c r="R78" s="101">
        <f>IF(TrRoad_act!R54=0,0,R41/TrRoad_act!R54*1000
)</f>
        <v>962.65254209979366</v>
      </c>
      <c r="S78" s="101">
        <f>IF(TrRoad_act!S54=0,0,S41/TrRoad_act!S54*1000
)</f>
        <v>958.41675061629655</v>
      </c>
      <c r="T78" s="101">
        <f>IF(TrRoad_act!T54=0,0,T41/TrRoad_act!T54*1000
)</f>
        <v>953.45899964545868</v>
      </c>
      <c r="U78" s="101">
        <f>IF(TrRoad_act!U54=0,0,U41/TrRoad_act!U54*1000
)</f>
        <v>932.90066876000128</v>
      </c>
      <c r="V78" s="101">
        <f>IF(TrRoad_act!V54=0,0,V41/TrRoad_act!V54*1000
)</f>
        <v>908.50326045602844</v>
      </c>
      <c r="W78" s="101">
        <f>IF(TrRoad_act!W54=0,0,W41/TrRoad_act!W54*1000
)</f>
        <v>889.34325406538176</v>
      </c>
      <c r="X78" s="101">
        <f>IF(TrRoad_act!X54=0,0,X41/TrRoad_act!X54*1000
)</f>
        <v>871.18187620281878</v>
      </c>
      <c r="Y78" s="101">
        <f>IF(TrRoad_act!Y54=0,0,Y41/TrRoad_act!Y54*1000
)</f>
        <v>843.50812420329305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1789.0465957040199</v>
      </c>
      <c r="C79" s="88">
        <f>IF(TrRoad_act!C55=0,0,C42/TrRoad_act!C55*1000
)</f>
        <v>1332.7459078257648</v>
      </c>
      <c r="D79" s="88">
        <f>IF(TrRoad_act!D55=0,0,D42/TrRoad_act!D55*1000
)</f>
        <v>1239.432793671074</v>
      </c>
      <c r="E79" s="88">
        <f>IF(TrRoad_act!E55=0,0,E42/TrRoad_act!E55*1000
)</f>
        <v>886.20295108625908</v>
      </c>
      <c r="F79" s="88">
        <f>IF(TrRoad_act!F55=0,0,F42/TrRoad_act!F55*1000
)</f>
        <v>717.50489130916276</v>
      </c>
      <c r="G79" s="88">
        <f>IF(TrRoad_act!G55=0,0,G42/TrRoad_act!G55*1000
)</f>
        <v>585.10404330606752</v>
      </c>
      <c r="H79" s="88">
        <f>IF(TrRoad_act!H55=0,0,H42/TrRoad_act!H55*1000
)</f>
        <v>909.47898167627443</v>
      </c>
      <c r="I79" s="88">
        <f>IF(TrRoad_act!I55=0,0,I42/TrRoad_act!I55*1000
)</f>
        <v>765.89023043531188</v>
      </c>
      <c r="J79" s="88">
        <f>IF(TrRoad_act!J55=0,0,J42/TrRoad_act!J55*1000
)</f>
        <v>686.85247442373566</v>
      </c>
      <c r="K79" s="88">
        <f>IF(TrRoad_act!K55=0,0,K42/TrRoad_act!K55*1000
)</f>
        <v>714.65534312579234</v>
      </c>
      <c r="L79" s="88">
        <f>IF(TrRoad_act!L55=0,0,L42/TrRoad_act!L55*1000
)</f>
        <v>970.45072611443925</v>
      </c>
      <c r="M79" s="88">
        <f>IF(TrRoad_act!M55=0,0,M42/TrRoad_act!M55*1000
)</f>
        <v>841.68726090605833</v>
      </c>
      <c r="N79" s="88">
        <f>IF(TrRoad_act!N55=0,0,N42/TrRoad_act!N55*1000
)</f>
        <v>1079.9250873624637</v>
      </c>
      <c r="O79" s="88">
        <f>IF(TrRoad_act!O55=0,0,O42/TrRoad_act!O55*1000
)</f>
        <v>1012.7893888674306</v>
      </c>
      <c r="P79" s="88">
        <f>IF(TrRoad_act!P55=0,0,P42/TrRoad_act!P55*1000
)</f>
        <v>1048.4033432170747</v>
      </c>
      <c r="Q79" s="88">
        <f>IF(TrRoad_act!Q55=0,0,Q42/TrRoad_act!Q55*1000
)</f>
        <v>686.70300789277837</v>
      </c>
      <c r="R79" s="88">
        <f>IF(TrRoad_act!R55=0,0,R42/TrRoad_act!R55*1000
)</f>
        <v>699.58908952596551</v>
      </c>
      <c r="S79" s="88">
        <f>IF(TrRoad_act!S55=0,0,S42/TrRoad_act!S55*1000
)</f>
        <v>804.15617545397401</v>
      </c>
      <c r="T79" s="88">
        <f>IF(TrRoad_act!T55=0,0,T42/TrRoad_act!T55*1000
)</f>
        <v>946.13746188903883</v>
      </c>
      <c r="U79" s="88">
        <f>IF(TrRoad_act!U55=0,0,U42/TrRoad_act!U55*1000
)</f>
        <v>861.916040344875</v>
      </c>
      <c r="V79" s="88">
        <f>IF(TrRoad_act!V55=0,0,V42/TrRoad_act!V55*1000
)</f>
        <v>976.64653772056238</v>
      </c>
      <c r="W79" s="88">
        <f>IF(TrRoad_act!W55=0,0,W42/TrRoad_act!W55*1000
)</f>
        <v>734.22784123126735</v>
      </c>
      <c r="X79" s="88">
        <f>IF(TrRoad_act!X55=0,0,X42/TrRoad_act!X55*1000
)</f>
        <v>655.38504637706205</v>
      </c>
      <c r="Y79" s="88">
        <f>IF(TrRoad_act!Y55=0,0,Y42/TrRoad_act!Y55*1000
)</f>
        <v>467.38974872703551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130.82410311503199</v>
      </c>
      <c r="C82" s="29">
        <f>IF(TrRoad_act!C4=0,0,C18/TrRoad_act!C4*1000)</f>
        <v>126.94848035511002</v>
      </c>
      <c r="D82" s="29">
        <f>IF(TrRoad_act!D4=0,0,D18/TrRoad_act!D4*1000)</f>
        <v>125.25427802599484</v>
      </c>
      <c r="E82" s="29">
        <f>IF(TrRoad_act!E4=0,0,E18/TrRoad_act!E4*1000)</f>
        <v>122.40648258144685</v>
      </c>
      <c r="F82" s="29">
        <f>IF(TrRoad_act!F4=0,0,F18/TrRoad_act!F4*1000)</f>
        <v>121.64807147114402</v>
      </c>
      <c r="G82" s="29">
        <f>IF(TrRoad_act!G4=0,0,G18/TrRoad_act!G4*1000)</f>
        <v>117.09649163436039</v>
      </c>
      <c r="H82" s="29">
        <f>IF(TrRoad_act!H4=0,0,H18/TrRoad_act!H4*1000)</f>
        <v>110.92786798488565</v>
      </c>
      <c r="I82" s="29">
        <f>IF(TrRoad_act!I4=0,0,I18/TrRoad_act!I4*1000)</f>
        <v>106.8567654536252</v>
      </c>
      <c r="J82" s="29">
        <f>IF(TrRoad_act!J4=0,0,J18/TrRoad_act!J4*1000)</f>
        <v>106.51630652645338</v>
      </c>
      <c r="K82" s="29">
        <f>IF(TrRoad_act!K4=0,0,K18/TrRoad_act!K4*1000)</f>
        <v>105.84704266689747</v>
      </c>
      <c r="L82" s="29">
        <f>IF(TrRoad_act!L4=0,0,L18/TrRoad_act!L4*1000)</f>
        <v>102.86328236027096</v>
      </c>
      <c r="M82" s="29">
        <f>IF(TrRoad_act!M4=0,0,M18/TrRoad_act!M4*1000)</f>
        <v>104.34911123467933</v>
      </c>
      <c r="N82" s="29">
        <f>IF(TrRoad_act!N4=0,0,N18/TrRoad_act!N4*1000)</f>
        <v>101.15967414197161</v>
      </c>
      <c r="O82" s="29">
        <f>IF(TrRoad_act!O4=0,0,O18/TrRoad_act!O4*1000)</f>
        <v>104.1580276508582</v>
      </c>
      <c r="P82" s="29">
        <f>IF(TrRoad_act!P4=0,0,P18/TrRoad_act!P4*1000)</f>
        <v>104.2522414780026</v>
      </c>
      <c r="Q82" s="29">
        <f>IF(TrRoad_act!Q4=0,0,Q18/TrRoad_act!Q4*1000)</f>
        <v>105.80026202917972</v>
      </c>
      <c r="R82" s="29">
        <f>IF(TrRoad_act!R4=0,0,R18/TrRoad_act!R4*1000)</f>
        <v>106.34445487456337</v>
      </c>
      <c r="S82" s="29">
        <f>IF(TrRoad_act!S4=0,0,S18/TrRoad_act!S4*1000)</f>
        <v>112.12684911360365</v>
      </c>
      <c r="T82" s="29">
        <f>IF(TrRoad_act!T4=0,0,T18/TrRoad_act!T4*1000)</f>
        <v>105.08850871193039</v>
      </c>
      <c r="U82" s="29">
        <f>IF(TrRoad_act!U4=0,0,U18/TrRoad_act!U4*1000)</f>
        <v>106.52889183515705</v>
      </c>
      <c r="V82" s="29">
        <f>IF(TrRoad_act!V4=0,0,V18/TrRoad_act!V4*1000)</f>
        <v>106.77724306784842</v>
      </c>
      <c r="W82" s="29">
        <f>IF(TrRoad_act!W4=0,0,W18/TrRoad_act!W4*1000)</f>
        <v>101.52066712986283</v>
      </c>
      <c r="X82" s="29">
        <f>IF(TrRoad_act!X4=0,0,X18/TrRoad_act!X4*1000)</f>
        <v>100.39716082688059</v>
      </c>
      <c r="Y82" s="29">
        <f>IF(TrRoad_act!Y4=0,0,Y18/TrRoad_act!Y4*1000)</f>
        <v>97.956508421542395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117.31925990167368</v>
      </c>
      <c r="C83" s="152">
        <f>IF(TrRoad_act!C5=0,0,C19/TrRoad_act!C5*1000)</f>
        <v>115.3454502567685</v>
      </c>
      <c r="D83" s="152">
        <f>IF(TrRoad_act!D5=0,0,D19/TrRoad_act!D5*1000)</f>
        <v>113.68182082677144</v>
      </c>
      <c r="E83" s="152">
        <f>IF(TrRoad_act!E5=0,0,E19/TrRoad_act!E5*1000)</f>
        <v>110.67591593813943</v>
      </c>
      <c r="F83" s="152">
        <f>IF(TrRoad_act!F5=0,0,F19/TrRoad_act!F5*1000)</f>
        <v>109.88256349052843</v>
      </c>
      <c r="G83" s="152">
        <f>IF(TrRoad_act!G5=0,0,G19/TrRoad_act!G5*1000)</f>
        <v>106.10629379526891</v>
      </c>
      <c r="H83" s="152">
        <f>IF(TrRoad_act!H5=0,0,H19/TrRoad_act!H5*1000)</f>
        <v>104.75453401531611</v>
      </c>
      <c r="I83" s="152">
        <f>IF(TrRoad_act!I5=0,0,I19/TrRoad_act!I5*1000)</f>
        <v>102.41855735475586</v>
      </c>
      <c r="J83" s="152">
        <f>IF(TrRoad_act!J5=0,0,J19/TrRoad_act!J5*1000)</f>
        <v>99.534112939408928</v>
      </c>
      <c r="K83" s="152">
        <f>IF(TrRoad_act!K5=0,0,K19/TrRoad_act!K5*1000)</f>
        <v>97.947820222154348</v>
      </c>
      <c r="L83" s="152">
        <f>IF(TrRoad_act!L5=0,0,L19/TrRoad_act!L5*1000)</f>
        <v>97.0229793998556</v>
      </c>
      <c r="M83" s="152">
        <f>IF(TrRoad_act!M5=0,0,M19/TrRoad_act!M5*1000)</f>
        <v>93.315249484969385</v>
      </c>
      <c r="N83" s="152">
        <f>IF(TrRoad_act!N5=0,0,N19/TrRoad_act!N5*1000)</f>
        <v>95.637258020538297</v>
      </c>
      <c r="O83" s="152">
        <f>IF(TrRoad_act!O5=0,0,O19/TrRoad_act!O5*1000)</f>
        <v>94.067201257804001</v>
      </c>
      <c r="P83" s="152">
        <f>IF(TrRoad_act!P5=0,0,P19/TrRoad_act!P5*1000)</f>
        <v>90.451921538975128</v>
      </c>
      <c r="Q83" s="152">
        <f>IF(TrRoad_act!Q5=0,0,Q19/TrRoad_act!Q5*1000)</f>
        <v>94.571718174519958</v>
      </c>
      <c r="R83" s="152">
        <f>IF(TrRoad_act!R5=0,0,R19/TrRoad_act!R5*1000)</f>
        <v>93.30563232582368</v>
      </c>
      <c r="S83" s="152">
        <f>IF(TrRoad_act!S5=0,0,S19/TrRoad_act!S5*1000)</f>
        <v>92.715644063488156</v>
      </c>
      <c r="T83" s="152">
        <f>IF(TrRoad_act!T5=0,0,T19/TrRoad_act!T5*1000)</f>
        <v>91.445129201444388</v>
      </c>
      <c r="U83" s="152">
        <f>IF(TrRoad_act!U5=0,0,U19/TrRoad_act!U5*1000)</f>
        <v>90.554484418274299</v>
      </c>
      <c r="V83" s="152">
        <f>IF(TrRoad_act!V5=0,0,V19/TrRoad_act!V5*1000)</f>
        <v>89.925893561084834</v>
      </c>
      <c r="W83" s="152">
        <f>IF(TrRoad_act!W5=0,0,W19/TrRoad_act!W5*1000)</f>
        <v>89.026251886454475</v>
      </c>
      <c r="X83" s="152">
        <f>IF(TrRoad_act!X5=0,0,X19/TrRoad_act!X5*1000)</f>
        <v>88.16562619711479</v>
      </c>
      <c r="Y83" s="152">
        <f>IF(TrRoad_act!Y5=0,0,Y19/TrRoad_act!Y5*1000)</f>
        <v>86.785015345156054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133.76583806048754</v>
      </c>
      <c r="C84" s="116">
        <f>IF(TrRoad_act!C6=0,0,C20/TrRoad_act!C6*1000)</f>
        <v>129.6704452249063</v>
      </c>
      <c r="D84" s="116">
        <f>IF(TrRoad_act!D6=0,0,D20/TrRoad_act!D6*1000)</f>
        <v>127.91547414115017</v>
      </c>
      <c r="E84" s="116">
        <f>IF(TrRoad_act!E6=0,0,E20/TrRoad_act!E6*1000)</f>
        <v>124.99375142826911</v>
      </c>
      <c r="F84" s="116">
        <f>IF(TrRoad_act!F6=0,0,F20/TrRoad_act!F6*1000)</f>
        <v>124.23317516060108</v>
      </c>
      <c r="G84" s="116">
        <f>IF(TrRoad_act!G6=0,0,G20/TrRoad_act!G6*1000)</f>
        <v>119.64598243509086</v>
      </c>
      <c r="H84" s="116">
        <f>IF(TrRoad_act!H6=0,0,H20/TrRoad_act!H6*1000)</f>
        <v>113.01987624634485</v>
      </c>
      <c r="I84" s="116">
        <f>IF(TrRoad_act!I6=0,0,I20/TrRoad_act!I6*1000)</f>
        <v>109.05441400842227</v>
      </c>
      <c r="J84" s="116">
        <f>IF(TrRoad_act!J6=0,0,J20/TrRoad_act!J6*1000)</f>
        <v>108.52736955565187</v>
      </c>
      <c r="K84" s="116">
        <f>IF(TrRoad_act!K6=0,0,K20/TrRoad_act!K6*1000)</f>
        <v>107.46895109889616</v>
      </c>
      <c r="L84" s="116">
        <f>IF(TrRoad_act!L6=0,0,L20/TrRoad_act!L6*1000)</f>
        <v>103.91251813367072</v>
      </c>
      <c r="M84" s="116">
        <f>IF(TrRoad_act!M6=0,0,M20/TrRoad_act!M6*1000)</f>
        <v>105.1628786957953</v>
      </c>
      <c r="N84" s="116">
        <f>IF(TrRoad_act!N6=0,0,N20/TrRoad_act!N6*1000)</f>
        <v>101.07546390885811</v>
      </c>
      <c r="O84" s="116">
        <f>IF(TrRoad_act!O6=0,0,O20/TrRoad_act!O6*1000)</f>
        <v>103.96934154239682</v>
      </c>
      <c r="P84" s="116">
        <f>IF(TrRoad_act!P6=0,0,P20/TrRoad_act!P6*1000)</f>
        <v>104.10678201002972</v>
      </c>
      <c r="Q84" s="116">
        <f>IF(TrRoad_act!Q6=0,0,Q20/TrRoad_act!Q6*1000)</f>
        <v>105.69985259746936</v>
      </c>
      <c r="R84" s="116">
        <f>IF(TrRoad_act!R6=0,0,R20/TrRoad_act!R6*1000)</f>
        <v>106.02348184680991</v>
      </c>
      <c r="S84" s="116">
        <f>IF(TrRoad_act!S6=0,0,S20/TrRoad_act!S6*1000)</f>
        <v>112.17031849862269</v>
      </c>
      <c r="T84" s="116">
        <f>IF(TrRoad_act!T6=0,0,T20/TrRoad_act!T6*1000)</f>
        <v>104.60980482784115</v>
      </c>
      <c r="U84" s="116">
        <f>IF(TrRoad_act!U6=0,0,U20/TrRoad_act!U6*1000)</f>
        <v>106.1284954954528</v>
      </c>
      <c r="V84" s="116">
        <f>IF(TrRoad_act!V6=0,0,V20/TrRoad_act!V6*1000)</f>
        <v>103.55802775057565</v>
      </c>
      <c r="W84" s="116">
        <f>IF(TrRoad_act!W6=0,0,W20/TrRoad_act!W6*1000)</f>
        <v>98.359092225139349</v>
      </c>
      <c r="X84" s="116">
        <f>IF(TrRoad_act!X6=0,0,X20/TrRoad_act!X6*1000)</f>
        <v>98.224980068359159</v>
      </c>
      <c r="Y84" s="116">
        <f>IF(TrRoad_act!Y6=0,0,Y20/TrRoad_act!Y6*1000)</f>
        <v>96.120679388691116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136.6744411794665</v>
      </c>
      <c r="C85" s="87">
        <f>IF(TrRoad_act!C7=0,0,C21/TrRoad_act!C7*1000)</f>
        <v>134.17994717869968</v>
      </c>
      <c r="D85" s="87">
        <f>IF(TrRoad_act!D7=0,0,D21/TrRoad_act!D7*1000)</f>
        <v>133.14979551377411</v>
      </c>
      <c r="E85" s="87">
        <f>IF(TrRoad_act!E7=0,0,E21/TrRoad_act!E7*1000)</f>
        <v>129.20513523287005</v>
      </c>
      <c r="F85" s="87">
        <f>IF(TrRoad_act!F7=0,0,F21/TrRoad_act!F7*1000)</f>
        <v>129.48786459805129</v>
      </c>
      <c r="G85" s="87">
        <f>IF(TrRoad_act!G7=0,0,G21/TrRoad_act!G7*1000)</f>
        <v>125.96069469769679</v>
      </c>
      <c r="H85" s="87">
        <f>IF(TrRoad_act!H7=0,0,H21/TrRoad_act!H7*1000)</f>
        <v>121.56846431166002</v>
      </c>
      <c r="I85" s="87">
        <f>IF(TrRoad_act!I7=0,0,I21/TrRoad_act!I7*1000)</f>
        <v>118.39652084174931</v>
      </c>
      <c r="J85" s="87">
        <f>IF(TrRoad_act!J7=0,0,J21/TrRoad_act!J7*1000)</f>
        <v>115.24562262364232</v>
      </c>
      <c r="K85" s="87">
        <f>IF(TrRoad_act!K7=0,0,K21/TrRoad_act!K7*1000)</f>
        <v>111.18515505056025</v>
      </c>
      <c r="L85" s="87">
        <f>IF(TrRoad_act!L7=0,0,L21/TrRoad_act!L7*1000)</f>
        <v>107.38041622728727</v>
      </c>
      <c r="M85" s="87">
        <f>IF(TrRoad_act!M7=0,0,M21/TrRoad_act!M7*1000)</f>
        <v>108.04874105110636</v>
      </c>
      <c r="N85" s="87">
        <f>IF(TrRoad_act!N7=0,0,N21/TrRoad_act!N7*1000)</f>
        <v>104.07256717074009</v>
      </c>
      <c r="O85" s="87">
        <f>IF(TrRoad_act!O7=0,0,O21/TrRoad_act!O7*1000)</f>
        <v>105.97120918264397</v>
      </c>
      <c r="P85" s="87">
        <f>IF(TrRoad_act!P7=0,0,P21/TrRoad_act!P7*1000)</f>
        <v>108.63932437798388</v>
      </c>
      <c r="Q85" s="87">
        <f>IF(TrRoad_act!Q7=0,0,Q21/TrRoad_act!Q7*1000)</f>
        <v>105.57430027370275</v>
      </c>
      <c r="R85" s="87">
        <f>IF(TrRoad_act!R7=0,0,R21/TrRoad_act!R7*1000)</f>
        <v>106.09005682075181</v>
      </c>
      <c r="S85" s="87">
        <f>IF(TrRoad_act!S7=0,0,S21/TrRoad_act!S7*1000)</f>
        <v>113.94093607086195</v>
      </c>
      <c r="T85" s="87">
        <f>IF(TrRoad_act!T7=0,0,T21/TrRoad_act!T7*1000)</f>
        <v>108.01017901247597</v>
      </c>
      <c r="U85" s="87">
        <f>IF(TrRoad_act!U7=0,0,U21/TrRoad_act!U7*1000)</f>
        <v>107.64622779619133</v>
      </c>
      <c r="V85" s="87">
        <f>IF(TrRoad_act!V7=0,0,V21/TrRoad_act!V7*1000)</f>
        <v>108.83904619727409</v>
      </c>
      <c r="W85" s="87">
        <f>IF(TrRoad_act!W7=0,0,W21/TrRoad_act!W7*1000)</f>
        <v>102.68867228312141</v>
      </c>
      <c r="X85" s="87">
        <f>IF(TrRoad_act!X7=0,0,X21/TrRoad_act!X7*1000)</f>
        <v>103.95297532637733</v>
      </c>
      <c r="Y85" s="87">
        <f>IF(TrRoad_act!Y7=0,0,Y21/TrRoad_act!Y7*1000)</f>
        <v>102.35164413682961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124.99786408360582</v>
      </c>
      <c r="C86" s="87">
        <f>IF(TrRoad_act!C8=0,0,C22/TrRoad_act!C8*1000)</f>
        <v>117.82831027155019</v>
      </c>
      <c r="D86" s="87">
        <f>IF(TrRoad_act!D8=0,0,D22/TrRoad_act!D8*1000)</f>
        <v>115.6509613248042</v>
      </c>
      <c r="E86" s="87">
        <f>IF(TrRoad_act!E8=0,0,E22/TrRoad_act!E8*1000)</f>
        <v>116.32757899326121</v>
      </c>
      <c r="F86" s="87">
        <f>IF(TrRoad_act!F8=0,0,F22/TrRoad_act!F8*1000)</f>
        <v>114.83848180445219</v>
      </c>
      <c r="G86" s="87">
        <f>IF(TrRoad_act!G8=0,0,G22/TrRoad_act!G8*1000)</f>
        <v>109.3574830736483</v>
      </c>
      <c r="H86" s="87">
        <f>IF(TrRoad_act!H8=0,0,H22/TrRoad_act!H8*1000)</f>
        <v>99.789938055421132</v>
      </c>
      <c r="I86" s="87">
        <f>IF(TrRoad_act!I8=0,0,I22/TrRoad_act!I8*1000)</f>
        <v>95.68552505659855</v>
      </c>
      <c r="J86" s="87">
        <f>IF(TrRoad_act!J8=0,0,J22/TrRoad_act!J8*1000)</f>
        <v>98.166303223622421</v>
      </c>
      <c r="K86" s="87">
        <f>IF(TrRoad_act!K8=0,0,K22/TrRoad_act!K8*1000)</f>
        <v>100.84201441316915</v>
      </c>
      <c r="L86" s="87">
        <f>IF(TrRoad_act!L8=0,0,L22/TrRoad_act!L8*1000)</f>
        <v>98.203374920493502</v>
      </c>
      <c r="M86" s="87">
        <f>IF(TrRoad_act!M8=0,0,M22/TrRoad_act!M8*1000)</f>
        <v>100.61460893953587</v>
      </c>
      <c r="N86" s="87">
        <f>IF(TrRoad_act!N8=0,0,N22/TrRoad_act!N8*1000)</f>
        <v>96.824805897106515</v>
      </c>
      <c r="O86" s="87">
        <f>IF(TrRoad_act!O8=0,0,O22/TrRoad_act!O8*1000)</f>
        <v>101.35190819506516</v>
      </c>
      <c r="P86" s="87">
        <f>IF(TrRoad_act!P8=0,0,P22/TrRoad_act!P8*1000)</f>
        <v>98.898703112488064</v>
      </c>
      <c r="Q86" s="87">
        <f>IF(TrRoad_act!Q8=0,0,Q22/TrRoad_act!Q8*1000)</f>
        <v>105.56753047489221</v>
      </c>
      <c r="R86" s="87">
        <f>IF(TrRoad_act!R8=0,0,R22/TrRoad_act!R8*1000)</f>
        <v>106.00765668409612</v>
      </c>
      <c r="S86" s="87">
        <f>IF(TrRoad_act!S8=0,0,S22/TrRoad_act!S8*1000)</f>
        <v>110.80540920501319</v>
      </c>
      <c r="T86" s="87">
        <f>IF(TrRoad_act!T8=0,0,T22/TrRoad_act!T8*1000)</f>
        <v>101.26713945709923</v>
      </c>
      <c r="U86" s="87">
        <f>IF(TrRoad_act!U8=0,0,U22/TrRoad_act!U8*1000)</f>
        <v>105.31456298394852</v>
      </c>
      <c r="V86" s="87">
        <f>IF(TrRoad_act!V8=0,0,V22/TrRoad_act!V8*1000)</f>
        <v>100.80990206163071</v>
      </c>
      <c r="W86" s="87">
        <f>IF(TrRoad_act!W8=0,0,W22/TrRoad_act!W8*1000)</f>
        <v>99.627183754171199</v>
      </c>
      <c r="X86" s="87">
        <f>IF(TrRoad_act!X8=0,0,X22/TrRoad_act!X8*1000)</f>
        <v>101.47673850066111</v>
      </c>
      <c r="Y86" s="87">
        <f>IF(TrRoad_act!Y8=0,0,Y22/TrRoad_act!Y8*1000)</f>
        <v>100.98840897397461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120.49188390024764</v>
      </c>
      <c r="C87" s="87">
        <f>IF(TrRoad_act!C9=0,0,C23/TrRoad_act!C9*1000)</f>
        <v>118.91311822628917</v>
      </c>
      <c r="D87" s="87">
        <f>IF(TrRoad_act!D9=0,0,D23/TrRoad_act!D9*1000)</f>
        <v>115.44321102376725</v>
      </c>
      <c r="E87" s="87">
        <f>IF(TrRoad_act!E9=0,0,E23/TrRoad_act!E9*1000)</f>
        <v>109.95562892880007</v>
      </c>
      <c r="F87" s="87">
        <f>IF(TrRoad_act!F9=0,0,F23/TrRoad_act!F9*1000)</f>
        <v>112.31593430249356</v>
      </c>
      <c r="G87" s="87">
        <f>IF(TrRoad_act!G9=0,0,G23/TrRoad_act!G9*1000)</f>
        <v>114.53308568084041</v>
      </c>
      <c r="H87" s="87">
        <f>IF(TrRoad_act!H9=0,0,H23/TrRoad_act!H9*1000)</f>
        <v>106.10852394599071</v>
      </c>
      <c r="I87" s="87">
        <f>IF(TrRoad_act!I9=0,0,I23/TrRoad_act!I9*1000)</f>
        <v>101.95620164547105</v>
      </c>
      <c r="J87" s="87">
        <f>IF(TrRoad_act!J9=0,0,J23/TrRoad_act!J9*1000)</f>
        <v>143.5783398641741</v>
      </c>
      <c r="K87" s="87">
        <f>IF(TrRoad_act!K9=0,0,K23/TrRoad_act!K9*1000)</f>
        <v>172.63503224882922</v>
      </c>
      <c r="L87" s="87">
        <f>IF(TrRoad_act!L9=0,0,L23/TrRoad_act!L9*1000)</f>
        <v>149.34435674871258</v>
      </c>
      <c r="M87" s="87">
        <f>IF(TrRoad_act!M9=0,0,M23/TrRoad_act!M9*1000)</f>
        <v>140.89612699811158</v>
      </c>
      <c r="N87" s="87">
        <f>IF(TrRoad_act!N9=0,0,N23/TrRoad_act!N9*1000)</f>
        <v>131.01905366387257</v>
      </c>
      <c r="O87" s="87">
        <f>IF(TrRoad_act!O9=0,0,O23/TrRoad_act!O9*1000)</f>
        <v>126.73414855246671</v>
      </c>
      <c r="P87" s="87">
        <f>IF(TrRoad_act!P9=0,0,P23/TrRoad_act!P9*1000)</f>
        <v>134.20742981160555</v>
      </c>
      <c r="Q87" s="87">
        <f>IF(TrRoad_act!Q9=0,0,Q23/TrRoad_act!Q9*1000)</f>
        <v>130.72548589627337</v>
      </c>
      <c r="R87" s="87">
        <f>IF(TrRoad_act!R9=0,0,R23/TrRoad_act!R9*1000)</f>
        <v>123.8171799890617</v>
      </c>
      <c r="S87" s="87">
        <f>IF(TrRoad_act!S9=0,0,S23/TrRoad_act!S9*1000)</f>
        <v>129.67927164665974</v>
      </c>
      <c r="T87" s="87">
        <f>IF(TrRoad_act!T9=0,0,T23/TrRoad_act!T9*1000)</f>
        <v>156.29817896613019</v>
      </c>
      <c r="U87" s="87">
        <f>IF(TrRoad_act!U9=0,0,U23/TrRoad_act!U9*1000)</f>
        <v>144.27080130370621</v>
      </c>
      <c r="V87" s="87">
        <f>IF(TrRoad_act!V9=0,0,V23/TrRoad_act!V9*1000)</f>
        <v>127.71427906941946</v>
      </c>
      <c r="W87" s="87">
        <f>IF(TrRoad_act!W9=0,0,W23/TrRoad_act!W9*1000)</f>
        <v>118.75730315961769</v>
      </c>
      <c r="X87" s="87">
        <f>IF(TrRoad_act!X9=0,0,X23/TrRoad_act!X9*1000)</f>
        <v>76.568173568916166</v>
      </c>
      <c r="Y87" s="87">
        <f>IF(TrRoad_act!Y9=0,0,Y23/TrRoad_act!Y9*1000)</f>
        <v>100.05231802540816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111.22100363565718</v>
      </c>
      <c r="H88" s="87">
        <f>IF(TrRoad_act!H10=0,0,H24/TrRoad_act!H10*1000)</f>
        <v>108.51814911144628</v>
      </c>
      <c r="I88" s="87">
        <f>IF(TrRoad_act!I10=0,0,I24/TrRoad_act!I10*1000)</f>
        <v>106.12350485526257</v>
      </c>
      <c r="J88" s="87">
        <f>IF(TrRoad_act!J10=0,0,J24/TrRoad_act!J10*1000)</f>
        <v>102.45417867229345</v>
      </c>
      <c r="K88" s="87">
        <f>IF(TrRoad_act!K10=0,0,K24/TrRoad_act!K10*1000)</f>
        <v>96.643377019936707</v>
      </c>
      <c r="L88" s="87">
        <f>IF(TrRoad_act!L10=0,0,L24/TrRoad_act!L10*1000)</f>
        <v>91.049753674321295</v>
      </c>
      <c r="M88" s="87">
        <f>IF(TrRoad_act!M10=0,0,M24/TrRoad_act!M10*1000)</f>
        <v>92.15304867988992</v>
      </c>
      <c r="N88" s="87">
        <f>IF(TrRoad_act!N10=0,0,N24/TrRoad_act!N10*1000)</f>
        <v>80.449564103254104</v>
      </c>
      <c r="O88" s="87">
        <f>IF(TrRoad_act!O10=0,0,O24/TrRoad_act!O10*1000)</f>
        <v>75.415834845750126</v>
      </c>
      <c r="P88" s="87">
        <f>IF(TrRoad_act!P10=0,0,P24/TrRoad_act!P10*1000)</f>
        <v>76.594538892725936</v>
      </c>
      <c r="Q88" s="87">
        <f>IF(TrRoad_act!Q10=0,0,Q24/TrRoad_act!Q10*1000)</f>
        <v>76.543800533430257</v>
      </c>
      <c r="R88" s="87">
        <f>IF(TrRoad_act!R10=0,0,R24/TrRoad_act!R10*1000)</f>
        <v>74.497763940060935</v>
      </c>
      <c r="S88" s="87">
        <f>IF(TrRoad_act!S10=0,0,S24/TrRoad_act!S10*1000)</f>
        <v>75.515535504089755</v>
      </c>
      <c r="T88" s="87">
        <f>IF(TrRoad_act!T10=0,0,T24/TrRoad_act!T10*1000)</f>
        <v>71.099609038599311</v>
      </c>
      <c r="U88" s="87">
        <f>IF(TrRoad_act!U10=0,0,U24/TrRoad_act!U10*1000)</f>
        <v>63.285971800038105</v>
      </c>
      <c r="V88" s="87">
        <f>IF(TrRoad_act!V10=0,0,V24/TrRoad_act!V10*1000)</f>
        <v>56.101795185739086</v>
      </c>
      <c r="W88" s="87">
        <f>IF(TrRoad_act!W10=0,0,W24/TrRoad_act!W10*1000)</f>
        <v>82.296273436118796</v>
      </c>
      <c r="X88" s="87">
        <f>IF(TrRoad_act!X10=0,0,X24/TrRoad_act!X10*1000)</f>
        <v>84.089895655619756</v>
      </c>
      <c r="Y88" s="87">
        <f>IF(TrRoad_act!Y10=0,0,Y24/TrRoad_act!Y10*1000)</f>
        <v>83.264503857575775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35.588449788761082</v>
      </c>
      <c r="N89" s="87">
        <f>IF(TrRoad_act!N11=0,0,N25/TrRoad_act!N11*1000)</f>
        <v>26.099427760216123</v>
      </c>
      <c r="O89" s="87">
        <f>IF(TrRoad_act!O11=0,0,O25/TrRoad_act!O11*1000)</f>
        <v>28.792516333161384</v>
      </c>
      <c r="P89" s="87">
        <f>IF(TrRoad_act!P11=0,0,P25/TrRoad_act!P11*1000)</f>
        <v>26.828011106878254</v>
      </c>
      <c r="Q89" s="87">
        <f>IF(TrRoad_act!Q11=0,0,Q25/TrRoad_act!Q11*1000)</f>
        <v>27.63947063618528</v>
      </c>
      <c r="R89" s="87">
        <f>IF(TrRoad_act!R11=0,0,R25/TrRoad_act!R11*1000)</f>
        <v>28.689295541138414</v>
      </c>
      <c r="S89" s="87">
        <f>IF(TrRoad_act!S11=0,0,S25/TrRoad_act!S11*1000)</f>
        <v>32.716450630416311</v>
      </c>
      <c r="T89" s="87">
        <f>IF(TrRoad_act!T11=0,0,T25/TrRoad_act!T11*1000)</f>
        <v>33.432934598882952</v>
      </c>
      <c r="U89" s="87">
        <f>IF(TrRoad_act!U11=0,0,U25/TrRoad_act!U11*1000)</f>
        <v>34.027291977409426</v>
      </c>
      <c r="V89" s="87">
        <f>IF(TrRoad_act!V11=0,0,V25/TrRoad_act!V11*1000)</f>
        <v>29.854122327550886</v>
      </c>
      <c r="W89" s="87">
        <f>IF(TrRoad_act!W11=0,0,W25/TrRoad_act!W11*1000)</f>
        <v>25.906156890857392</v>
      </c>
      <c r="X89" s="87">
        <f>IF(TrRoad_act!X11=0,0,X25/TrRoad_act!X11*1000)</f>
        <v>24.266340108333381</v>
      </c>
      <c r="Y89" s="87">
        <f>IF(TrRoad_act!Y11=0,0,Y25/TrRoad_act!Y11*1000)</f>
        <v>23.071251883904935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97.688428523486024</v>
      </c>
      <c r="C91" s="116">
        <f>IF(TrRoad_act!C13=0,0,C27/TrRoad_act!C13*1000)</f>
        <v>95.186181903203519</v>
      </c>
      <c r="D91" s="116">
        <f>IF(TrRoad_act!D13=0,0,D27/TrRoad_act!D13*1000)</f>
        <v>93.364296418293392</v>
      </c>
      <c r="E91" s="116">
        <f>IF(TrRoad_act!E13=0,0,E27/TrRoad_act!E13*1000)</f>
        <v>91.693668062121105</v>
      </c>
      <c r="F91" s="116">
        <f>IF(TrRoad_act!F13=0,0,F27/TrRoad_act!F13*1000)</f>
        <v>90.762538705820603</v>
      </c>
      <c r="G91" s="116">
        <f>IF(TrRoad_act!G13=0,0,G27/TrRoad_act!G13*1000)</f>
        <v>86.694457392029207</v>
      </c>
      <c r="H91" s="116">
        <f>IF(TrRoad_act!H13=0,0,H27/TrRoad_act!H13*1000)</f>
        <v>84.896726124125124</v>
      </c>
      <c r="I91" s="116">
        <f>IF(TrRoad_act!I13=0,0,I27/TrRoad_act!I13*1000)</f>
        <v>78.527696808151305</v>
      </c>
      <c r="J91" s="116">
        <f>IF(TrRoad_act!J13=0,0,J27/TrRoad_act!J13*1000)</f>
        <v>80.281587603184022</v>
      </c>
      <c r="K91" s="116">
        <f>IF(TrRoad_act!K13=0,0,K27/TrRoad_act!K13*1000)</f>
        <v>84.389786801218847</v>
      </c>
      <c r="L91" s="116">
        <f>IF(TrRoad_act!L13=0,0,L27/TrRoad_act!L13*1000)</f>
        <v>88.940297230571957</v>
      </c>
      <c r="M91" s="116">
        <f>IF(TrRoad_act!M13=0,0,M27/TrRoad_act!M13*1000)</f>
        <v>94.831650959458898</v>
      </c>
      <c r="N91" s="116">
        <f>IF(TrRoad_act!N13=0,0,N27/TrRoad_act!N13*1000)</f>
        <v>103.59227854474371</v>
      </c>
      <c r="O91" s="116">
        <f>IF(TrRoad_act!O13=0,0,O27/TrRoad_act!O13*1000)</f>
        <v>109.13853913754457</v>
      </c>
      <c r="P91" s="116">
        <f>IF(TrRoad_act!P13=0,0,P27/TrRoad_act!P13*1000)</f>
        <v>109.40555209697104</v>
      </c>
      <c r="Q91" s="116">
        <f>IF(TrRoad_act!Q13=0,0,Q27/TrRoad_act!Q13*1000)</f>
        <v>109.52806218179835</v>
      </c>
      <c r="R91" s="116">
        <f>IF(TrRoad_act!R13=0,0,R27/TrRoad_act!R13*1000)</f>
        <v>113.83786481793689</v>
      </c>
      <c r="S91" s="116">
        <f>IF(TrRoad_act!S13=0,0,S27/TrRoad_act!S13*1000)</f>
        <v>115.51587739162501</v>
      </c>
      <c r="T91" s="116">
        <f>IF(TrRoad_act!T13=0,0,T27/TrRoad_act!T13*1000)</f>
        <v>114.65391636701816</v>
      </c>
      <c r="U91" s="116">
        <f>IF(TrRoad_act!U13=0,0,U27/TrRoad_act!U13*1000)</f>
        <v>115.89528529707925</v>
      </c>
      <c r="V91" s="116">
        <f>IF(TrRoad_act!V13=0,0,V27/TrRoad_act!V13*1000)</f>
        <v>186.93720600731018</v>
      </c>
      <c r="W91" s="116">
        <f>IF(TrRoad_act!W13=0,0,W27/TrRoad_act!W13*1000)</f>
        <v>181.93263776929263</v>
      </c>
      <c r="X91" s="116">
        <f>IF(TrRoad_act!X13=0,0,X27/TrRoad_act!X13*1000)</f>
        <v>143.98084966797438</v>
      </c>
      <c r="Y91" s="116">
        <f>IF(TrRoad_act!Y13=0,0,Y27/TrRoad_act!Y13*1000)</f>
        <v>132.58682465612623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0</v>
      </c>
      <c r="C92" s="101">
        <f>IF(TrRoad_act!C14=0,0,C28/TrRoad_act!C14*1000)</f>
        <v>0</v>
      </c>
      <c r="D92" s="101">
        <f>IF(TrRoad_act!D14=0,0,D28/TrRoad_act!D14*1000)</f>
        <v>0</v>
      </c>
      <c r="E92" s="101">
        <f>IF(TrRoad_act!E14=0,0,E28/TrRoad_act!E14*1000)</f>
        <v>0</v>
      </c>
      <c r="F92" s="101">
        <f>IF(TrRoad_act!F14=0,0,F28/TrRoad_act!F14*1000)</f>
        <v>0</v>
      </c>
      <c r="G92" s="101">
        <f>IF(TrRoad_act!G14=0,0,G28/TrRoad_act!G14*1000)</f>
        <v>0</v>
      </c>
      <c r="H92" s="101">
        <f>IF(TrRoad_act!H14=0,0,H28/TrRoad_act!H14*1000)</f>
        <v>0</v>
      </c>
      <c r="I92" s="101">
        <f>IF(TrRoad_act!I14=0,0,I28/TrRoad_act!I14*1000)</f>
        <v>0</v>
      </c>
      <c r="J92" s="101">
        <f>IF(TrRoad_act!J14=0,0,J28/TrRoad_act!J14*1000)</f>
        <v>0</v>
      </c>
      <c r="K92" s="101">
        <f>IF(TrRoad_act!K14=0,0,K28/TrRoad_act!K14*1000)</f>
        <v>0</v>
      </c>
      <c r="L92" s="101">
        <f>IF(TrRoad_act!L14=0,0,L28/TrRoad_act!L14*1000)</f>
        <v>0</v>
      </c>
      <c r="M92" s="101">
        <f>IF(TrRoad_act!M14=0,0,M28/TrRoad_act!M14*1000)</f>
        <v>0</v>
      </c>
      <c r="N92" s="101">
        <f>IF(TrRoad_act!N14=0,0,N28/TrRoad_act!N14*1000)</f>
        <v>0</v>
      </c>
      <c r="O92" s="101">
        <f>IF(TrRoad_act!O14=0,0,O28/TrRoad_act!O14*1000)</f>
        <v>0</v>
      </c>
      <c r="P92" s="101">
        <f>IF(TrRoad_act!P14=0,0,P28/TrRoad_act!P14*1000)</f>
        <v>0</v>
      </c>
      <c r="Q92" s="101">
        <f>IF(TrRoad_act!Q14=0,0,Q28/TrRoad_act!Q14*1000)</f>
        <v>0</v>
      </c>
      <c r="R92" s="101">
        <f>IF(TrRoad_act!R14=0,0,R28/TrRoad_act!R14*1000)</f>
        <v>0</v>
      </c>
      <c r="S92" s="101">
        <f>IF(TrRoad_act!S14=0,0,S28/TrRoad_act!S14*1000)</f>
        <v>0</v>
      </c>
      <c r="T92" s="101">
        <f>IF(TrRoad_act!T14=0,0,T28/TrRoad_act!T14*1000)</f>
        <v>0</v>
      </c>
      <c r="U92" s="101">
        <f>IF(TrRoad_act!U14=0,0,U28/TrRoad_act!U14*1000)</f>
        <v>0</v>
      </c>
      <c r="V92" s="101">
        <f>IF(TrRoad_act!V14=0,0,V28/TrRoad_act!V14*1000)</f>
        <v>0</v>
      </c>
      <c r="W92" s="101">
        <f>IF(TrRoad_act!W14=0,0,W28/TrRoad_act!W14*1000)</f>
        <v>0</v>
      </c>
      <c r="X92" s="101">
        <f>IF(TrRoad_act!X14=0,0,X28/TrRoad_act!X14*1000)</f>
        <v>0</v>
      </c>
      <c r="Y92" s="101">
        <f>IF(TrRoad_act!Y14=0,0,Y28/TrRoad_act!Y14*1000)</f>
        <v>0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98.179130974560891</v>
      </c>
      <c r="C93" s="101">
        <f>IF(TrRoad_act!C15=0,0,C29/TrRoad_act!C15*1000)</f>
        <v>95.827818175098898</v>
      </c>
      <c r="D93" s="101">
        <f>IF(TrRoad_act!D15=0,0,D29/TrRoad_act!D15*1000)</f>
        <v>94.192236184739428</v>
      </c>
      <c r="E93" s="101">
        <f>IF(TrRoad_act!E15=0,0,E29/TrRoad_act!E15*1000)</f>
        <v>92.594094358459543</v>
      </c>
      <c r="F93" s="101">
        <f>IF(TrRoad_act!F15=0,0,F29/TrRoad_act!F15*1000)</f>
        <v>91.163173253354245</v>
      </c>
      <c r="G93" s="101">
        <f>IF(TrRoad_act!G15=0,0,G29/TrRoad_act!G15*1000)</f>
        <v>87.436781175664365</v>
      </c>
      <c r="H93" s="101">
        <f>IF(TrRoad_act!H15=0,0,H29/TrRoad_act!H15*1000)</f>
        <v>85.711703550251116</v>
      </c>
      <c r="I93" s="101">
        <f>IF(TrRoad_act!I15=0,0,I29/TrRoad_act!I15*1000)</f>
        <v>79.183427540300045</v>
      </c>
      <c r="J93" s="101">
        <f>IF(TrRoad_act!J15=0,0,J29/TrRoad_act!J15*1000)</f>
        <v>80.72134280041675</v>
      </c>
      <c r="K93" s="101">
        <f>IF(TrRoad_act!K15=0,0,K29/TrRoad_act!K15*1000)</f>
        <v>84.970643446868664</v>
      </c>
      <c r="L93" s="101">
        <f>IF(TrRoad_act!L15=0,0,L29/TrRoad_act!L15*1000)</f>
        <v>89.881680845357465</v>
      </c>
      <c r="M93" s="101">
        <f>IF(TrRoad_act!M15=0,0,M29/TrRoad_act!M15*1000)</f>
        <v>94.701958419262951</v>
      </c>
      <c r="N93" s="101">
        <f>IF(TrRoad_act!N15=0,0,N29/TrRoad_act!N15*1000)</f>
        <v>102.87814511666423</v>
      </c>
      <c r="O93" s="101">
        <f>IF(TrRoad_act!O15=0,0,O29/TrRoad_act!O15*1000)</f>
        <v>108.34936451189225</v>
      </c>
      <c r="P93" s="101">
        <f>IF(TrRoad_act!P15=0,0,P29/TrRoad_act!P15*1000)</f>
        <v>108.4195737181191</v>
      </c>
      <c r="Q93" s="101">
        <f>IF(TrRoad_act!Q15=0,0,Q29/TrRoad_act!Q15*1000)</f>
        <v>107.95029000713201</v>
      </c>
      <c r="R93" s="101">
        <f>IF(TrRoad_act!R15=0,0,R29/TrRoad_act!R15*1000)</f>
        <v>112.92577057698816</v>
      </c>
      <c r="S93" s="101">
        <f>IF(TrRoad_act!S15=0,0,S29/TrRoad_act!S15*1000)</f>
        <v>115.42966808770672</v>
      </c>
      <c r="T93" s="101">
        <f>IF(TrRoad_act!T15=0,0,T29/TrRoad_act!T15*1000)</f>
        <v>115.21831260346607</v>
      </c>
      <c r="U93" s="101">
        <f>IF(TrRoad_act!U15=0,0,U29/TrRoad_act!U15*1000)</f>
        <v>115.73060405046731</v>
      </c>
      <c r="V93" s="101">
        <f>IF(TrRoad_act!V15=0,0,V29/TrRoad_act!V15*1000)</f>
        <v>186.25613437389538</v>
      </c>
      <c r="W93" s="101">
        <f>IF(TrRoad_act!W15=0,0,W29/TrRoad_act!W15*1000)</f>
        <v>181.2388529055454</v>
      </c>
      <c r="X93" s="101">
        <f>IF(TrRoad_act!X15=0,0,X29/TrRoad_act!X15*1000)</f>
        <v>139.18805434040473</v>
      </c>
      <c r="Y93" s="101">
        <f>IF(TrRoad_act!Y15=0,0,Y29/TrRoad_act!Y15*1000)</f>
        <v>128.47819663292415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0</v>
      </c>
      <c r="C94" s="101">
        <f>IF(TrRoad_act!C16=0,0,C30/TrRoad_act!C16*1000)</f>
        <v>0</v>
      </c>
      <c r="D94" s="101">
        <f>IF(TrRoad_act!D16=0,0,D30/TrRoad_act!D16*1000)</f>
        <v>0</v>
      </c>
      <c r="E94" s="101">
        <f>IF(TrRoad_act!E16=0,0,E30/TrRoad_act!E16*1000)</f>
        <v>0</v>
      </c>
      <c r="F94" s="101">
        <f>IF(TrRoad_act!F16=0,0,F30/TrRoad_act!F16*1000)</f>
        <v>62.219926659868932</v>
      </c>
      <c r="G94" s="101">
        <f>IF(TrRoad_act!G16=0,0,G30/TrRoad_act!G16*1000)</f>
        <v>62.058217650926771</v>
      </c>
      <c r="H94" s="101">
        <f>IF(TrRoad_act!H16=0,0,H30/TrRoad_act!H16*1000)</f>
        <v>64.163915161184107</v>
      </c>
      <c r="I94" s="101">
        <f>IF(TrRoad_act!I16=0,0,I30/TrRoad_act!I16*1000)</f>
        <v>61.259128558564989</v>
      </c>
      <c r="J94" s="101">
        <f>IF(TrRoad_act!J16=0,0,J30/TrRoad_act!J16*1000)</f>
        <v>60.859318523692934</v>
      </c>
      <c r="K94" s="101">
        <f>IF(TrRoad_act!K16=0,0,K30/TrRoad_act!K16*1000)</f>
        <v>63.430889998491459</v>
      </c>
      <c r="L94" s="101">
        <f>IF(TrRoad_act!L16=0,0,L30/TrRoad_act!L16*1000)</f>
        <v>67.251929588882106</v>
      </c>
      <c r="M94" s="101">
        <f>IF(TrRoad_act!M16=0,0,M30/TrRoad_act!M16*1000)</f>
        <v>70.776238934395792</v>
      </c>
      <c r="N94" s="101">
        <f>IF(TrRoad_act!N16=0,0,N30/TrRoad_act!N16*1000)</f>
        <v>77.047010144627123</v>
      </c>
      <c r="O94" s="101">
        <f>IF(TrRoad_act!O16=0,0,O30/TrRoad_act!O16*1000)</f>
        <v>80.507572029879</v>
      </c>
      <c r="P94" s="101">
        <f>IF(TrRoad_act!P16=0,0,P30/TrRoad_act!P16*1000)</f>
        <v>80.427264813253188</v>
      </c>
      <c r="Q94" s="101">
        <f>IF(TrRoad_act!Q16=0,0,Q30/TrRoad_act!Q16*1000)</f>
        <v>79.382318143430552</v>
      </c>
      <c r="R94" s="101">
        <f>IF(TrRoad_act!R16=0,0,R30/TrRoad_act!R16*1000)</f>
        <v>83.05387620274962</v>
      </c>
      <c r="S94" s="101">
        <f>IF(TrRoad_act!S16=0,0,S30/TrRoad_act!S16*1000)</f>
        <v>84.91293584787843</v>
      </c>
      <c r="T94" s="101">
        <f>IF(TrRoad_act!T16=0,0,T30/TrRoad_act!T16*1000)</f>
        <v>85.373787686614094</v>
      </c>
      <c r="U94" s="101">
        <f>IF(TrRoad_act!U16=0,0,U30/TrRoad_act!U16*1000)</f>
        <v>86.307071168304276</v>
      </c>
      <c r="V94" s="101">
        <f>IF(TrRoad_act!V16=0,0,V30/TrRoad_act!V16*1000)</f>
        <v>143.78456143211696</v>
      </c>
      <c r="W94" s="101">
        <f>IF(TrRoad_act!W16=0,0,W30/TrRoad_act!W16*1000)</f>
        <v>140.08314137638123</v>
      </c>
      <c r="X94" s="101">
        <f>IF(TrRoad_act!X16=0,0,X30/TrRoad_act!X16*1000)</f>
        <v>109.45581740992753</v>
      </c>
      <c r="Y94" s="101">
        <f>IF(TrRoad_act!Y16=0,0,Y30/TrRoad_act!Y16*1000)</f>
        <v>103.91393727190759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61.073122221114296</v>
      </c>
      <c r="C95" s="101">
        <f>IF(TrRoad_act!C17=0,0,C31/TrRoad_act!C17*1000)</f>
        <v>59.573799382899011</v>
      </c>
      <c r="D95" s="101">
        <f>IF(TrRoad_act!D17=0,0,D31/TrRoad_act!D17*1000)</f>
        <v>58.704037918317979</v>
      </c>
      <c r="E95" s="101">
        <f>IF(TrRoad_act!E17=0,0,E31/TrRoad_act!E17*1000)</f>
        <v>59.92712996073891</v>
      </c>
      <c r="F95" s="101">
        <f>IF(TrRoad_act!F17=0,0,F31/TrRoad_act!F17*1000)</f>
        <v>78.920629267157778</v>
      </c>
      <c r="G95" s="101">
        <f>IF(TrRoad_act!G17=0,0,G31/TrRoad_act!G17*1000)</f>
        <v>55.655814688110503</v>
      </c>
      <c r="H95" s="101">
        <f>IF(TrRoad_act!H17=0,0,H31/TrRoad_act!H17*1000)</f>
        <v>58.093847164931582</v>
      </c>
      <c r="I95" s="101">
        <f>IF(TrRoad_act!I17=0,0,I31/TrRoad_act!I17*1000)</f>
        <v>57.451449980116124</v>
      </c>
      <c r="J95" s="101">
        <f>IF(TrRoad_act!J17=0,0,J31/TrRoad_act!J17*1000)</f>
        <v>62.207415379788586</v>
      </c>
      <c r="K95" s="101">
        <f>IF(TrRoad_act!K17=0,0,K31/TrRoad_act!K17*1000)</f>
        <v>62.654819753023411</v>
      </c>
      <c r="L95" s="101">
        <f>IF(TrRoad_act!L17=0,0,L31/TrRoad_act!L17*1000)</f>
        <v>51.134154546438744</v>
      </c>
      <c r="M95" s="101">
        <f>IF(TrRoad_act!M17=0,0,M31/TrRoad_act!M17*1000)</f>
        <v>106.43603768583748</v>
      </c>
      <c r="N95" s="101">
        <f>IF(TrRoad_act!N17=0,0,N31/TrRoad_act!N17*1000)</f>
        <v>144.46194585553053</v>
      </c>
      <c r="O95" s="101">
        <f>IF(TrRoad_act!O17=0,0,O31/TrRoad_act!O17*1000)</f>
        <v>151.25352370349034</v>
      </c>
      <c r="P95" s="101">
        <f>IF(TrRoad_act!P17=0,0,P31/TrRoad_act!P17*1000)</f>
        <v>170.31766463393927</v>
      </c>
      <c r="Q95" s="101">
        <f>IF(TrRoad_act!Q17=0,0,Q31/TrRoad_act!Q17*1000)</f>
        <v>248.86508142299661</v>
      </c>
      <c r="R95" s="101">
        <f>IF(TrRoad_act!R17=0,0,R31/TrRoad_act!R17*1000)</f>
        <v>189.07849631292987</v>
      </c>
      <c r="S95" s="101">
        <f>IF(TrRoad_act!S17=0,0,S31/TrRoad_act!S17*1000)</f>
        <v>131.87425894695224</v>
      </c>
      <c r="T95" s="101">
        <f>IF(TrRoad_act!T17=0,0,T31/TrRoad_act!T17*1000)</f>
        <v>94.382175372395636</v>
      </c>
      <c r="U95" s="101">
        <f>IF(TrRoad_act!U17=0,0,U31/TrRoad_act!U17*1000)</f>
        <v>149.96590628923673</v>
      </c>
      <c r="V95" s="101">
        <f>IF(TrRoad_act!V17=0,0,V31/TrRoad_act!V17*1000)</f>
        <v>306.17394731543652</v>
      </c>
      <c r="W95" s="101">
        <f>IF(TrRoad_act!W17=0,0,W31/TrRoad_act!W17*1000)</f>
        <v>382.35688907279695</v>
      </c>
      <c r="X95" s="101">
        <f>IF(TrRoad_act!X17=0,0,X31/TrRoad_act!X17*1000)</f>
        <v>652.3656275236068</v>
      </c>
      <c r="Y95" s="101">
        <f>IF(TrRoad_act!Y17=0,0,Y31/TrRoad_act!Y17*1000)</f>
        <v>651.14990681834547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149.08684776252909</v>
      </c>
      <c r="C97" s="29">
        <f>IF(TrRoad_act!C19=0,0,C33/TrRoad_act!C19*1000)</f>
        <v>135.90580127274538</v>
      </c>
      <c r="D97" s="29">
        <f>IF(TrRoad_act!D19=0,0,D33/TrRoad_act!D19*1000)</f>
        <v>130.16912871074342</v>
      </c>
      <c r="E97" s="29">
        <f>IF(TrRoad_act!E19=0,0,E33/TrRoad_act!E19*1000)</f>
        <v>119.12292275739003</v>
      </c>
      <c r="F97" s="29">
        <f>IF(TrRoad_act!F19=0,0,F33/TrRoad_act!F19*1000)</f>
        <v>109.94570610576693</v>
      </c>
      <c r="G97" s="29">
        <f>IF(TrRoad_act!G19=0,0,G33/TrRoad_act!G19*1000)</f>
        <v>101.18021864339343</v>
      </c>
      <c r="H97" s="29">
        <f>IF(TrRoad_act!H19=0,0,H33/TrRoad_act!H19*1000)</f>
        <v>103.95208789586711</v>
      </c>
      <c r="I97" s="29">
        <f>IF(TrRoad_act!I19=0,0,I33/TrRoad_act!I19*1000)</f>
        <v>96.631076981551146</v>
      </c>
      <c r="J97" s="29">
        <f>IF(TrRoad_act!J19=0,0,J33/TrRoad_act!J19*1000)</f>
        <v>96.774852122620544</v>
      </c>
      <c r="K97" s="29">
        <f>IF(TrRoad_act!K19=0,0,K33/TrRoad_act!K19*1000)</f>
        <v>101.71728332250102</v>
      </c>
      <c r="L97" s="29">
        <f>IF(TrRoad_act!L19=0,0,L33/TrRoad_act!L19*1000)</f>
        <v>105.34914577263253</v>
      </c>
      <c r="M97" s="29">
        <f>IF(TrRoad_act!M19=0,0,M33/TrRoad_act!M19*1000)</f>
        <v>101.76257123434752</v>
      </c>
      <c r="N97" s="29">
        <f>IF(TrRoad_act!N19=0,0,N33/TrRoad_act!N19*1000)</f>
        <v>108.46461262090794</v>
      </c>
      <c r="O97" s="29">
        <f>IF(TrRoad_act!O19=0,0,O33/TrRoad_act!O19*1000)</f>
        <v>106.98795811958908</v>
      </c>
      <c r="P97" s="29">
        <f>IF(TrRoad_act!P19=0,0,P33/TrRoad_act!P19*1000)</f>
        <v>108.11756174369276</v>
      </c>
      <c r="Q97" s="29">
        <f>IF(TrRoad_act!Q19=0,0,Q33/TrRoad_act!Q19*1000)</f>
        <v>99.778583290996664</v>
      </c>
      <c r="R97" s="29">
        <f>IF(TrRoad_act!R19=0,0,R33/TrRoad_act!R19*1000)</f>
        <v>99.804607822291374</v>
      </c>
      <c r="S97" s="29">
        <f>IF(TrRoad_act!S19=0,0,S33/TrRoad_act!S19*1000)</f>
        <v>101.14372854862665</v>
      </c>
      <c r="T97" s="29">
        <f>IF(TrRoad_act!T19=0,0,T33/TrRoad_act!T19*1000)</f>
        <v>103.74005245043145</v>
      </c>
      <c r="U97" s="29">
        <f>IF(TrRoad_act!U19=0,0,U33/TrRoad_act!U19*1000)</f>
        <v>100.88943221694871</v>
      </c>
      <c r="V97" s="29">
        <f>IF(TrRoad_act!V19=0,0,V33/TrRoad_act!V19*1000)</f>
        <v>101.37487850822974</v>
      </c>
      <c r="W97" s="29">
        <f>IF(TrRoad_act!W19=0,0,W33/TrRoad_act!W19*1000)</f>
        <v>93.097136300609293</v>
      </c>
      <c r="X97" s="29">
        <f>IF(TrRoad_act!X19=0,0,X33/TrRoad_act!X19*1000)</f>
        <v>90.452332748518117</v>
      </c>
      <c r="Y97" s="29">
        <f>IF(TrRoad_act!Y19=0,0,Y33/TrRoad_act!Y19*1000)</f>
        <v>85.023705183200491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765.06298045682581</v>
      </c>
      <c r="C98" s="152">
        <f>IF(TrRoad_act!C20=0,0,C34/TrRoad_act!C20*1000)</f>
        <v>733.04525076290076</v>
      </c>
      <c r="D98" s="152">
        <f>IF(TrRoad_act!D20=0,0,D34/TrRoad_act!D20*1000)</f>
        <v>717.18348517366655</v>
      </c>
      <c r="E98" s="152">
        <f>IF(TrRoad_act!E20=0,0,E34/TrRoad_act!E20*1000)</f>
        <v>708.89390990422703</v>
      </c>
      <c r="F98" s="152">
        <f>IF(TrRoad_act!F20=0,0,F34/TrRoad_act!F20*1000)</f>
        <v>692.92302022850447</v>
      </c>
      <c r="G98" s="152">
        <f>IF(TrRoad_act!G20=0,0,G34/TrRoad_act!G20*1000)</f>
        <v>671.81891737893477</v>
      </c>
      <c r="H98" s="152">
        <f>IF(TrRoad_act!H20=0,0,H34/TrRoad_act!H20*1000)</f>
        <v>636.48341124850253</v>
      </c>
      <c r="I98" s="152">
        <f>IF(TrRoad_act!I20=0,0,I34/TrRoad_act!I20*1000)</f>
        <v>619.66155994931944</v>
      </c>
      <c r="J98" s="152">
        <f>IF(TrRoad_act!J20=0,0,J34/TrRoad_act!J20*1000)</f>
        <v>633.11452119726584</v>
      </c>
      <c r="K98" s="152">
        <f>IF(TrRoad_act!K20=0,0,K34/TrRoad_act!K20*1000)</f>
        <v>639.69939667304266</v>
      </c>
      <c r="L98" s="152">
        <f>IF(TrRoad_act!L20=0,0,L34/TrRoad_act!L20*1000)</f>
        <v>631.24475701777396</v>
      </c>
      <c r="M98" s="152">
        <f>IF(TrRoad_act!M20=0,0,M34/TrRoad_act!M20*1000)</f>
        <v>635.36733124250998</v>
      </c>
      <c r="N98" s="152">
        <f>IF(TrRoad_act!N20=0,0,N34/TrRoad_act!N20*1000)</f>
        <v>624.6354051299071</v>
      </c>
      <c r="O98" s="152">
        <f>IF(TrRoad_act!O20=0,0,O34/TrRoad_act!O20*1000)</f>
        <v>632.55113677946406</v>
      </c>
      <c r="P98" s="152">
        <f>IF(TrRoad_act!P20=0,0,P34/TrRoad_act!P20*1000)</f>
        <v>632.13888844403709</v>
      </c>
      <c r="Q98" s="152">
        <f>IF(TrRoad_act!Q20=0,0,Q34/TrRoad_act!Q20*1000)</f>
        <v>643.40704558006257</v>
      </c>
      <c r="R98" s="152">
        <f>IF(TrRoad_act!R20=0,0,R34/TrRoad_act!R20*1000)</f>
        <v>640.97458726496313</v>
      </c>
      <c r="S98" s="152">
        <f>IF(TrRoad_act!S20=0,0,S34/TrRoad_act!S20*1000)</f>
        <v>630.25235224929474</v>
      </c>
      <c r="T98" s="152">
        <f>IF(TrRoad_act!T20=0,0,T34/TrRoad_act!T20*1000)</f>
        <v>610.7793317858368</v>
      </c>
      <c r="U98" s="152">
        <f>IF(TrRoad_act!U20=0,0,U34/TrRoad_act!U20*1000)</f>
        <v>607.9816175246275</v>
      </c>
      <c r="V98" s="152">
        <f>IF(TrRoad_act!V20=0,0,V34/TrRoad_act!V20*1000)</f>
        <v>580.739730994968</v>
      </c>
      <c r="W98" s="152">
        <f>IF(TrRoad_act!W20=0,0,W34/TrRoad_act!W20*1000)</f>
        <v>586.82511965072877</v>
      </c>
      <c r="X98" s="152">
        <f>IF(TrRoad_act!X20=0,0,X34/TrRoad_act!X20*1000)</f>
        <v>585.09302690353456</v>
      </c>
      <c r="Y98" s="152">
        <f>IF(TrRoad_act!Y20=0,0,Y34/TrRoad_act!Y20*1000)</f>
        <v>581.84779654834483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880.92191161663879</v>
      </c>
      <c r="C99" s="87">
        <f>IF(TrRoad_act!C21=0,0,C35/TrRoad_act!C21*1000)</f>
        <v>865.04192501416173</v>
      </c>
      <c r="D99" s="87">
        <f>IF(TrRoad_act!D21=0,0,D35/TrRoad_act!D21*1000)</f>
        <v>866.92983576337292</v>
      </c>
      <c r="E99" s="87">
        <f>IF(TrRoad_act!E21=0,0,E35/TrRoad_act!E21*1000)</f>
        <v>861.66962207500001</v>
      </c>
      <c r="F99" s="87">
        <f>IF(TrRoad_act!F21=0,0,F35/TrRoad_act!F21*1000)</f>
        <v>857.36312290430465</v>
      </c>
      <c r="G99" s="87">
        <f>IF(TrRoad_act!G21=0,0,G35/TrRoad_act!G21*1000)</f>
        <v>845.88767846599512</v>
      </c>
      <c r="H99" s="87">
        <f>IF(TrRoad_act!H21=0,0,H35/TrRoad_act!H21*1000)</f>
        <v>825.84566245657891</v>
      </c>
      <c r="I99" s="87">
        <f>IF(TrRoad_act!I21=0,0,I35/TrRoad_act!I21*1000)</f>
        <v>818.41450860915199</v>
      </c>
      <c r="J99" s="87">
        <f>IF(TrRoad_act!J21=0,0,J35/TrRoad_act!J21*1000)</f>
        <v>790.40097786657623</v>
      </c>
      <c r="K99" s="87">
        <f>IF(TrRoad_act!K21=0,0,K35/TrRoad_act!K21*1000)</f>
        <v>768.89938504568977</v>
      </c>
      <c r="L99" s="87">
        <f>IF(TrRoad_act!L21=0,0,L35/TrRoad_act!L21*1000)</f>
        <v>747.53116470587054</v>
      </c>
      <c r="M99" s="87">
        <f>IF(TrRoad_act!M21=0,0,M35/TrRoad_act!M21*1000)</f>
        <v>736.04009865113528</v>
      </c>
      <c r="N99" s="87">
        <f>IF(TrRoad_act!N21=0,0,N35/TrRoad_act!N21*1000)</f>
        <v>714.81102474516399</v>
      </c>
      <c r="O99" s="87">
        <f>IF(TrRoad_act!O21=0,0,O35/TrRoad_act!O21*1000)</f>
        <v>705.35922114578648</v>
      </c>
      <c r="P99" s="87">
        <f>IF(TrRoad_act!P21=0,0,P35/TrRoad_act!P21*1000)</f>
        <v>702.53787060410457</v>
      </c>
      <c r="Q99" s="87">
        <f>IF(TrRoad_act!Q21=0,0,Q35/TrRoad_act!Q21*1000)</f>
        <v>698.3773479305529</v>
      </c>
      <c r="R99" s="87">
        <f>IF(TrRoad_act!R21=0,0,R35/TrRoad_act!R21*1000)</f>
        <v>698.60477244690708</v>
      </c>
      <c r="S99" s="87">
        <f>IF(TrRoad_act!S21=0,0,S35/TrRoad_act!S21*1000)</f>
        <v>693.78159196490469</v>
      </c>
      <c r="T99" s="87">
        <f>IF(TrRoad_act!T21=0,0,T35/TrRoad_act!T21*1000)</f>
        <v>695.48330012795111</v>
      </c>
      <c r="U99" s="87">
        <f>IF(TrRoad_act!U21=0,0,U35/TrRoad_act!U21*1000)</f>
        <v>690.34824117955509</v>
      </c>
      <c r="V99" s="87">
        <f>IF(TrRoad_act!V21=0,0,V35/TrRoad_act!V21*1000)</f>
        <v>687.29038202495019</v>
      </c>
      <c r="W99" s="87">
        <f>IF(TrRoad_act!W21=0,0,W35/TrRoad_act!W21*1000)</f>
        <v>704.64132487437416</v>
      </c>
      <c r="X99" s="87">
        <f>IF(TrRoad_act!X21=0,0,X35/TrRoad_act!X21*1000)</f>
        <v>708.03957167731755</v>
      </c>
      <c r="Y99" s="87">
        <f>IF(TrRoad_act!Y21=0,0,Y35/TrRoad_act!Y21*1000)</f>
        <v>705.51848413593348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754.66227606157588</v>
      </c>
      <c r="C100" s="87">
        <f>IF(TrRoad_act!C22=0,0,C36/TrRoad_act!C22*1000)</f>
        <v>722.5475703306688</v>
      </c>
      <c r="D100" s="87">
        <f>IF(TrRoad_act!D22=0,0,D36/TrRoad_act!D22*1000)</f>
        <v>706.04306827666414</v>
      </c>
      <c r="E100" s="87">
        <f>IF(TrRoad_act!E22=0,0,E36/TrRoad_act!E22*1000)</f>
        <v>698.97694163417441</v>
      </c>
      <c r="F100" s="87">
        <f>IF(TrRoad_act!F22=0,0,F36/TrRoad_act!F22*1000)</f>
        <v>682.99260892905806</v>
      </c>
      <c r="G100" s="87">
        <f>IF(TrRoad_act!G22=0,0,G36/TrRoad_act!G22*1000)</f>
        <v>662.28869068150175</v>
      </c>
      <c r="H100" s="87">
        <f>IF(TrRoad_act!H22=0,0,H36/TrRoad_act!H22*1000)</f>
        <v>626.46952382029008</v>
      </c>
      <c r="I100" s="87">
        <f>IF(TrRoad_act!I22=0,0,I36/TrRoad_act!I22*1000)</f>
        <v>609.07357282197597</v>
      </c>
      <c r="J100" s="87">
        <f>IF(TrRoad_act!J22=0,0,J36/TrRoad_act!J22*1000)</f>
        <v>624.99276247463138</v>
      </c>
      <c r="K100" s="87">
        <f>IF(TrRoad_act!K22=0,0,K36/TrRoad_act!K22*1000)</f>
        <v>633.18186507340613</v>
      </c>
      <c r="L100" s="87">
        <f>IF(TrRoad_act!L22=0,0,L36/TrRoad_act!L22*1000)</f>
        <v>625.52957816356843</v>
      </c>
      <c r="M100" s="87">
        <f>IF(TrRoad_act!M22=0,0,M36/TrRoad_act!M22*1000)</f>
        <v>630.55426086067621</v>
      </c>
      <c r="N100" s="87">
        <f>IF(TrRoad_act!N22=0,0,N36/TrRoad_act!N22*1000)</f>
        <v>620.75040511420411</v>
      </c>
      <c r="O100" s="87">
        <f>IF(TrRoad_act!O22=0,0,O36/TrRoad_act!O22*1000)</f>
        <v>629.68022845954761</v>
      </c>
      <c r="P100" s="87">
        <f>IF(TrRoad_act!P22=0,0,P36/TrRoad_act!P22*1000)</f>
        <v>629.45204530704279</v>
      </c>
      <c r="Q100" s="87">
        <f>IF(TrRoad_act!Q22=0,0,Q36/TrRoad_act!Q22*1000)</f>
        <v>641.42276111709282</v>
      </c>
      <c r="R100" s="87">
        <f>IF(TrRoad_act!R22=0,0,R36/TrRoad_act!R22*1000)</f>
        <v>639.40199566380034</v>
      </c>
      <c r="S100" s="87">
        <f>IF(TrRoad_act!S22=0,0,S36/TrRoad_act!S22*1000)</f>
        <v>629.24914225914631</v>
      </c>
      <c r="T100" s="87">
        <f>IF(TrRoad_act!T22=0,0,T36/TrRoad_act!T22*1000)</f>
        <v>609.60697210522142</v>
      </c>
      <c r="U100" s="87">
        <f>IF(TrRoad_act!U22=0,0,U36/TrRoad_act!U22*1000)</f>
        <v>607.61281115118243</v>
      </c>
      <c r="V100" s="87">
        <f>IF(TrRoad_act!V22=0,0,V36/TrRoad_act!V22*1000)</f>
        <v>579.84005748027766</v>
      </c>
      <c r="W100" s="87">
        <f>IF(TrRoad_act!W22=0,0,W36/TrRoad_act!W22*1000)</f>
        <v>586.6150488264467</v>
      </c>
      <c r="X100" s="87">
        <f>IF(TrRoad_act!X22=0,0,X36/TrRoad_act!X22*1000)</f>
        <v>586.77960198267999</v>
      </c>
      <c r="Y100" s="87">
        <f>IF(TrRoad_act!Y22=0,0,Y36/TrRoad_act!Y22*1000)</f>
        <v>585.11051756416111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0</v>
      </c>
      <c r="C101" s="87">
        <f>IF(TrRoad_act!C23=0,0,C37/TrRoad_act!C23*1000)</f>
        <v>0</v>
      </c>
      <c r="D101" s="87">
        <f>IF(TrRoad_act!D23=0,0,D37/TrRoad_act!D23*1000)</f>
        <v>0</v>
      </c>
      <c r="E101" s="87">
        <f>IF(TrRoad_act!E23=0,0,E37/TrRoad_act!E23*1000)</f>
        <v>0</v>
      </c>
      <c r="F101" s="87">
        <f>IF(TrRoad_act!F23=0,0,F37/TrRoad_act!F23*1000)</f>
        <v>0</v>
      </c>
      <c r="G101" s="87">
        <f>IF(TrRoad_act!G23=0,0,G37/TrRoad_act!G23*1000)</f>
        <v>0</v>
      </c>
      <c r="H101" s="87">
        <f>IF(TrRoad_act!H23=0,0,H37/TrRoad_act!H23*1000)</f>
        <v>1122.7863720615699</v>
      </c>
      <c r="I101" s="87">
        <f>IF(TrRoad_act!I23=0,0,I37/TrRoad_act!I23*1000)</f>
        <v>1112.6419209914509</v>
      </c>
      <c r="J101" s="87">
        <f>IF(TrRoad_act!J23=0,0,J37/TrRoad_act!J23*1000)</f>
        <v>1066.0783043635149</v>
      </c>
      <c r="K101" s="87">
        <f>IF(TrRoad_act!K23=0,0,K37/TrRoad_act!K23*1000)</f>
        <v>1047.992364309594</v>
      </c>
      <c r="L101" s="87">
        <f>IF(TrRoad_act!L23=0,0,L37/TrRoad_act!L23*1000)</f>
        <v>1013.5076789578692</v>
      </c>
      <c r="M101" s="87">
        <f>IF(TrRoad_act!M23=0,0,M37/TrRoad_act!M23*1000)</f>
        <v>995.21123604456523</v>
      </c>
      <c r="N101" s="87">
        <f>IF(TrRoad_act!N23=0,0,N37/TrRoad_act!N23*1000)</f>
        <v>983.27065548456528</v>
      </c>
      <c r="O101" s="87">
        <f>IF(TrRoad_act!O23=0,0,O37/TrRoad_act!O23*1000)</f>
        <v>981.46424254087174</v>
      </c>
      <c r="P101" s="87">
        <f>IF(TrRoad_act!P23=0,0,P37/TrRoad_act!P23*1000)</f>
        <v>963.60661083160232</v>
      </c>
      <c r="Q101" s="87">
        <f>IF(TrRoad_act!Q23=0,0,Q37/TrRoad_act!Q23*1000)</f>
        <v>952.93023996125669</v>
      </c>
      <c r="R101" s="87">
        <f>IF(TrRoad_act!R23=0,0,R37/TrRoad_act!R23*1000)</f>
        <v>960.02626826533401</v>
      </c>
      <c r="S101" s="87">
        <f>IF(TrRoad_act!S23=0,0,S37/TrRoad_act!S23*1000)</f>
        <v>957.18692331145053</v>
      </c>
      <c r="T101" s="87">
        <f>IF(TrRoad_act!T23=0,0,T37/TrRoad_act!T23*1000)</f>
        <v>951.80108474623523</v>
      </c>
      <c r="U101" s="87">
        <f>IF(TrRoad_act!U23=0,0,U37/TrRoad_act!U23*1000)</f>
        <v>938.89166940794007</v>
      </c>
      <c r="V101" s="87">
        <f>IF(TrRoad_act!V23=0,0,V37/TrRoad_act!V23*1000)</f>
        <v>942.4884494830527</v>
      </c>
      <c r="W101" s="87">
        <f>IF(TrRoad_act!W23=0,0,W37/TrRoad_act!W23*1000)</f>
        <v>968.29751322702396</v>
      </c>
      <c r="X101" s="87">
        <f>IF(TrRoad_act!X23=0,0,X37/TrRoad_act!X23*1000)</f>
        <v>967.38916237092837</v>
      </c>
      <c r="Y101" s="87">
        <f>IF(TrRoad_act!Y23=0,0,Y37/TrRoad_act!Y23*1000)</f>
        <v>939.54370659505116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0</v>
      </c>
      <c r="F102" s="87">
        <f>IF(TrRoad_act!F24=0,0,F38/TrRoad_act!F24*1000)</f>
        <v>0</v>
      </c>
      <c r="G102" s="87">
        <f>IF(TrRoad_act!G24=0,0,G38/TrRoad_act!G24*1000)</f>
        <v>0</v>
      </c>
      <c r="H102" s="87">
        <f>IF(TrRoad_act!H24=0,0,H38/TrRoad_act!H24*1000)</f>
        <v>691.86355468278191</v>
      </c>
      <c r="I102" s="87">
        <f>IF(TrRoad_act!I24=0,0,I38/TrRoad_act!I24*1000)</f>
        <v>696.56488303601407</v>
      </c>
      <c r="J102" s="87">
        <f>IF(TrRoad_act!J24=0,0,J38/TrRoad_act!J24*1000)</f>
        <v>687.31887782264505</v>
      </c>
      <c r="K102" s="87">
        <f>IF(TrRoad_act!K24=0,0,K38/TrRoad_act!K24*1000)</f>
        <v>675.56585524904983</v>
      </c>
      <c r="L102" s="87">
        <f>IF(TrRoad_act!L24=0,0,L38/TrRoad_act!L24*1000)</f>
        <v>642.39685909889249</v>
      </c>
      <c r="M102" s="87">
        <f>IF(TrRoad_act!M24=0,0,M38/TrRoad_act!M24*1000)</f>
        <v>631.63607834777952</v>
      </c>
      <c r="N102" s="87">
        <f>IF(TrRoad_act!N24=0,0,N38/TrRoad_act!N24*1000)</f>
        <v>557.16127269201127</v>
      </c>
      <c r="O102" s="87">
        <f>IF(TrRoad_act!O24=0,0,O38/TrRoad_act!O24*1000)</f>
        <v>519.90647364302743</v>
      </c>
      <c r="P102" s="87">
        <f>IF(TrRoad_act!P24=0,0,P38/TrRoad_act!P24*1000)</f>
        <v>526.20408824893502</v>
      </c>
      <c r="Q102" s="87">
        <f>IF(TrRoad_act!Q24=0,0,Q38/TrRoad_act!Q24*1000)</f>
        <v>540.43768664471452</v>
      </c>
      <c r="R102" s="87">
        <f>IF(TrRoad_act!R24=0,0,R38/TrRoad_act!R24*1000)</f>
        <v>499.17750825681549</v>
      </c>
      <c r="S102" s="87">
        <f>IF(TrRoad_act!S24=0,0,S38/TrRoad_act!S24*1000)</f>
        <v>472.67706682334892</v>
      </c>
      <c r="T102" s="87">
        <f>IF(TrRoad_act!T24=0,0,T38/TrRoad_act!T24*1000)</f>
        <v>465.57394615315167</v>
      </c>
      <c r="U102" s="87">
        <f>IF(TrRoad_act!U24=0,0,U38/TrRoad_act!U24*1000)</f>
        <v>420.78624723969909</v>
      </c>
      <c r="V102" s="87">
        <f>IF(TrRoad_act!V24=0,0,V38/TrRoad_act!V24*1000)</f>
        <v>368.44893379004708</v>
      </c>
      <c r="W102" s="87">
        <f>IF(TrRoad_act!W24=0,0,W38/TrRoad_act!W24*1000)</f>
        <v>576.43411653663907</v>
      </c>
      <c r="X102" s="87">
        <f>IF(TrRoad_act!X24=0,0,X38/TrRoad_act!X24*1000)</f>
        <v>574.25059211788994</v>
      </c>
      <c r="Y102" s="87">
        <f>IF(TrRoad_act!Y24=0,0,Y38/TrRoad_act!Y24*1000)</f>
        <v>565.56733595048468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123.33355063978426</v>
      </c>
      <c r="C104" s="116">
        <f>IF(TrRoad_act!C26=0,0,C40/TrRoad_act!C26*1000)</f>
        <v>110.20178725528582</v>
      </c>
      <c r="D104" s="116">
        <f>IF(TrRoad_act!D26=0,0,D40/TrRoad_act!D26*1000)</f>
        <v>104.77378002230334</v>
      </c>
      <c r="E104" s="116">
        <f>IF(TrRoad_act!E26=0,0,E40/TrRoad_act!E26*1000)</f>
        <v>93.033031093937495</v>
      </c>
      <c r="F104" s="116">
        <f>IF(TrRoad_act!F26=0,0,F40/TrRoad_act!F26*1000)</f>
        <v>86.194047039054254</v>
      </c>
      <c r="G104" s="116">
        <f>IF(TrRoad_act!G26=0,0,G40/TrRoad_act!G26*1000)</f>
        <v>78.366519101110867</v>
      </c>
      <c r="H104" s="116">
        <f>IF(TrRoad_act!H26=0,0,H40/TrRoad_act!H26*1000)</f>
        <v>84.094030166289102</v>
      </c>
      <c r="I104" s="116">
        <f>IF(TrRoad_act!I26=0,0,I40/TrRoad_act!I26*1000)</f>
        <v>78.228631576905599</v>
      </c>
      <c r="J104" s="116">
        <f>IF(TrRoad_act!J26=0,0,J40/TrRoad_act!J26*1000)</f>
        <v>78.486506289110054</v>
      </c>
      <c r="K104" s="116">
        <f>IF(TrRoad_act!K26=0,0,K40/TrRoad_act!K26*1000)</f>
        <v>81.43521590901041</v>
      </c>
      <c r="L104" s="116">
        <f>IF(TrRoad_act!L26=0,0,L40/TrRoad_act!L26*1000)</f>
        <v>86.814764408129179</v>
      </c>
      <c r="M104" s="116">
        <f>IF(TrRoad_act!M26=0,0,M40/TrRoad_act!M26*1000)</f>
        <v>83.206134710577871</v>
      </c>
      <c r="N104" s="116">
        <f>IF(TrRoad_act!N26=0,0,N40/TrRoad_act!N26*1000)</f>
        <v>90.305495108317814</v>
      </c>
      <c r="O104" s="116">
        <f>IF(TrRoad_act!O26=0,0,O40/TrRoad_act!O26*1000)</f>
        <v>88.068191737209531</v>
      </c>
      <c r="P104" s="116">
        <f>IF(TrRoad_act!P26=0,0,P40/TrRoad_act!P26*1000)</f>
        <v>88.949948859166042</v>
      </c>
      <c r="Q104" s="116">
        <f>IF(TrRoad_act!Q26=0,0,Q40/TrRoad_act!Q26*1000)</f>
        <v>77.985341972002502</v>
      </c>
      <c r="R104" s="116">
        <f>IF(TrRoad_act!R26=0,0,R40/TrRoad_act!R26*1000)</f>
        <v>77.395356587855787</v>
      </c>
      <c r="S104" s="116">
        <f>IF(TrRoad_act!S26=0,0,S40/TrRoad_act!S26*1000)</f>
        <v>79.305767940891172</v>
      </c>
      <c r="T104" s="116">
        <f>IF(TrRoad_act!T26=0,0,T40/TrRoad_act!T26*1000)</f>
        <v>83.097322064718213</v>
      </c>
      <c r="U104" s="116">
        <f>IF(TrRoad_act!U26=0,0,U40/TrRoad_act!U26*1000)</f>
        <v>79.413613129350026</v>
      </c>
      <c r="V104" s="116">
        <f>IF(TrRoad_act!V26=0,0,V40/TrRoad_act!V26*1000)</f>
        <v>81.752516352806381</v>
      </c>
      <c r="W104" s="116">
        <f>IF(TrRoad_act!W26=0,0,W40/TrRoad_act!W26*1000)</f>
        <v>72.505985618110003</v>
      </c>
      <c r="X104" s="116">
        <f>IF(TrRoad_act!X26=0,0,X40/TrRoad_act!X26*1000)</f>
        <v>68.916826989962857</v>
      </c>
      <c r="Y104" s="116">
        <f>IF(TrRoad_act!Y26=0,0,Y40/TrRoad_act!Y26*1000)</f>
        <v>61.881932401000093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122.4219195277684</v>
      </c>
      <c r="C105" s="101">
        <f>IF(TrRoad_act!C27=0,0,C41/TrRoad_act!C27*1000)</f>
        <v>117.65269304884627</v>
      </c>
      <c r="D105" s="101">
        <f>IF(TrRoad_act!D27=0,0,D41/TrRoad_act!D27*1000)</f>
        <v>113.64012289482321</v>
      </c>
      <c r="E105" s="101">
        <f>IF(TrRoad_act!E27=0,0,E41/TrRoad_act!E27*1000)</f>
        <v>108.0827662609362</v>
      </c>
      <c r="F105" s="101">
        <f>IF(TrRoad_act!F27=0,0,F41/TrRoad_act!F27*1000)</f>
        <v>105.52455962041445</v>
      </c>
      <c r="G105" s="101">
        <f>IF(TrRoad_act!G27=0,0,G41/TrRoad_act!G27*1000)</f>
        <v>98.864094634777103</v>
      </c>
      <c r="H105" s="101">
        <f>IF(TrRoad_act!H27=0,0,H41/TrRoad_act!H27*1000)</f>
        <v>95.216712035294009</v>
      </c>
      <c r="I105" s="101">
        <f>IF(TrRoad_act!I27=0,0,I41/TrRoad_act!I27*1000)</f>
        <v>92.138312429501525</v>
      </c>
      <c r="J105" s="101">
        <f>IF(TrRoad_act!J27=0,0,J41/TrRoad_act!J27*1000)</f>
        <v>95.600577196956991</v>
      </c>
      <c r="K105" s="101">
        <f>IF(TrRoad_act!K27=0,0,K41/TrRoad_act!K27*1000)</f>
        <v>98.15870622774554</v>
      </c>
      <c r="L105" s="101">
        <f>IF(TrRoad_act!L27=0,0,L41/TrRoad_act!L27*1000)</f>
        <v>97.908318749462495</v>
      </c>
      <c r="M105" s="101">
        <f>IF(TrRoad_act!M27=0,0,M41/TrRoad_act!M27*1000)</f>
        <v>96.819778601580353</v>
      </c>
      <c r="N105" s="101">
        <f>IF(TrRoad_act!N27=0,0,N41/TrRoad_act!N27*1000)</f>
        <v>98.546582207557819</v>
      </c>
      <c r="O105" s="101">
        <f>IF(TrRoad_act!O27=0,0,O41/TrRoad_act!O27*1000)</f>
        <v>98.196630652181327</v>
      </c>
      <c r="P105" s="101">
        <f>IF(TrRoad_act!P27=0,0,P41/TrRoad_act!P27*1000)</f>
        <v>98.168330794955239</v>
      </c>
      <c r="Q105" s="101">
        <f>IF(TrRoad_act!Q27=0,0,Q41/TrRoad_act!Q27*1000)</f>
        <v>95.536053125327797</v>
      </c>
      <c r="R105" s="101">
        <f>IF(TrRoad_act!R27=0,0,R41/TrRoad_act!R27*1000)</f>
        <v>94.958114082179222</v>
      </c>
      <c r="S105" s="101">
        <f>IF(TrRoad_act!S27=0,0,S41/TrRoad_act!S27*1000)</f>
        <v>94.742374230859383</v>
      </c>
      <c r="T105" s="101">
        <f>IF(TrRoad_act!T27=0,0,T41/TrRoad_act!T27*1000)</f>
        <v>93.809115376613192</v>
      </c>
      <c r="U105" s="101">
        <f>IF(TrRoad_act!U27=0,0,U41/TrRoad_act!U27*1000)</f>
        <v>92.324270579415327</v>
      </c>
      <c r="V105" s="101">
        <f>IF(TrRoad_act!V27=0,0,V41/TrRoad_act!V27*1000)</f>
        <v>89.975910842043092</v>
      </c>
      <c r="W105" s="101">
        <f>IF(TrRoad_act!W27=0,0,W41/TrRoad_act!W27*1000)</f>
        <v>87.986128554777295</v>
      </c>
      <c r="X105" s="101">
        <f>IF(TrRoad_act!X27=0,0,X41/TrRoad_act!X27*1000)</f>
        <v>86.009734490784226</v>
      </c>
      <c r="Y105" s="101">
        <f>IF(TrRoad_act!Y27=0,0,Y41/TrRoad_act!Y27*1000)</f>
        <v>84.455254742369021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125.48177357801305</v>
      </c>
      <c r="C106" s="88">
        <f>IF(TrRoad_act!C28=0,0,C42/TrRoad_act!C28*1000)</f>
        <v>93.558472808144302</v>
      </c>
      <c r="D106" s="88">
        <f>IF(TrRoad_act!D28=0,0,D42/TrRoad_act!D28*1000)</f>
        <v>86.440271347058541</v>
      </c>
      <c r="E106" s="88">
        <f>IF(TrRoad_act!E28=0,0,E42/TrRoad_act!E28*1000)</f>
        <v>62.17156379143789</v>
      </c>
      <c r="F106" s="88">
        <f>IF(TrRoad_act!F28=0,0,F42/TrRoad_act!F28*1000)</f>
        <v>51.275482038648299</v>
      </c>
      <c r="G106" s="88">
        <f>IF(TrRoad_act!G28=0,0,G42/TrRoad_act!G28*1000)</f>
        <v>41.794926072949799</v>
      </c>
      <c r="H106" s="88">
        <f>IF(TrRoad_act!H28=0,0,H42/TrRoad_act!H28*1000)</f>
        <v>64.553107061828342</v>
      </c>
      <c r="I106" s="88">
        <f>IF(TrRoad_act!I28=0,0,I42/TrRoad_act!I28*1000)</f>
        <v>54.259724402831203</v>
      </c>
      <c r="J106" s="88">
        <f>IF(TrRoad_act!J28=0,0,J42/TrRoad_act!J28*1000)</f>
        <v>49.358991085310727</v>
      </c>
      <c r="K106" s="88">
        <f>IF(TrRoad_act!K28=0,0,K42/TrRoad_act!K28*1000)</f>
        <v>52.04381524308851</v>
      </c>
      <c r="L106" s="88">
        <f>IF(TrRoad_act!L28=0,0,L42/TrRoad_act!L28*1000)</f>
        <v>68.444265948779218</v>
      </c>
      <c r="M106" s="88">
        <f>IF(TrRoad_act!M28=0,0,M42/TrRoad_act!M28*1000)</f>
        <v>59.55389029491382</v>
      </c>
      <c r="N106" s="88">
        <f>IF(TrRoad_act!N28=0,0,N42/TrRoad_act!N28*1000)</f>
        <v>76.664235023592994</v>
      </c>
      <c r="O106" s="88">
        <f>IF(TrRoad_act!O28=0,0,O42/TrRoad_act!O28*1000)</f>
        <v>71.802726003014982</v>
      </c>
      <c r="P106" s="88">
        <f>IF(TrRoad_act!P28=0,0,P42/TrRoad_act!P28*1000)</f>
        <v>74.153886996601926</v>
      </c>
      <c r="Q106" s="88">
        <f>IF(TrRoad_act!Q28=0,0,Q42/TrRoad_act!Q28*1000)</f>
        <v>49.030755531147236</v>
      </c>
      <c r="R106" s="88">
        <f>IF(TrRoad_act!R28=0,0,R42/TrRoad_act!R28*1000)</f>
        <v>50.209929523181131</v>
      </c>
      <c r="S106" s="88">
        <f>IF(TrRoad_act!S28=0,0,S42/TrRoad_act!S28*1000)</f>
        <v>57.39037882409562</v>
      </c>
      <c r="T106" s="88">
        <f>IF(TrRoad_act!T28=0,0,T42/TrRoad_act!T28*1000)</f>
        <v>66.881597720495463</v>
      </c>
      <c r="U106" s="88">
        <f>IF(TrRoad_act!U28=0,0,U42/TrRoad_act!U28*1000)</f>
        <v>61.293822517826982</v>
      </c>
      <c r="V106" s="88">
        <f>IF(TrRoad_act!V28=0,0,V42/TrRoad_act!V28*1000)</f>
        <v>70.455403949425502</v>
      </c>
      <c r="W106" s="88">
        <f>IF(TrRoad_act!W28=0,0,W42/TrRoad_act!W28*1000)</f>
        <v>52.27196327844058</v>
      </c>
      <c r="X106" s="88">
        <f>IF(TrRoad_act!X28=0,0,X42/TrRoad_act!X28*1000)</f>
        <v>46.835185499044478</v>
      </c>
      <c r="Y106" s="88">
        <f>IF(TrRoad_act!Y28=0,0,Y42/TrRoad_act!Y28*1000)</f>
        <v>33.777516053949029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405.07388988040282</v>
      </c>
      <c r="C110" s="152">
        <f>IF(C19=0,0,1000000*C19/TrRoad_act!C59)</f>
        <v>387.79443720853254</v>
      </c>
      <c r="D110" s="152">
        <f>IF(D19=0,0,1000000*D19/TrRoad_act!D59)</f>
        <v>386.82515778580364</v>
      </c>
      <c r="E110" s="152">
        <f>IF(E19=0,0,1000000*E19/TrRoad_act!E59)</f>
        <v>368.01800172867928</v>
      </c>
      <c r="F110" s="152">
        <f>IF(F19=0,0,1000000*F19/TrRoad_act!F59)</f>
        <v>369.19804593742805</v>
      </c>
      <c r="G110" s="152">
        <f>IF(G19=0,0,1000000*G19/TrRoad_act!G59)</f>
        <v>360.59216744464203</v>
      </c>
      <c r="H110" s="152">
        <f>IF(H19=0,0,1000000*H19/TrRoad_act!H59)</f>
        <v>355.89838930419586</v>
      </c>
      <c r="I110" s="152">
        <f>IF(I19=0,0,1000000*I19/TrRoad_act!I59)</f>
        <v>314.50781659232319</v>
      </c>
      <c r="J110" s="152">
        <f>IF(J19=0,0,1000000*J19/TrRoad_act!J59)</f>
        <v>327.21117868625259</v>
      </c>
      <c r="K110" s="152">
        <f>IF(K19=0,0,1000000*K19/TrRoad_act!K59)</f>
        <v>318.45583240990004</v>
      </c>
      <c r="L110" s="152">
        <f>IF(L19=0,0,1000000*L19/TrRoad_act!L59)</f>
        <v>306.79206269371792</v>
      </c>
      <c r="M110" s="152">
        <f>IF(M19=0,0,1000000*M19/TrRoad_act!M59)</f>
        <v>310.45457559329549</v>
      </c>
      <c r="N110" s="152">
        <f>IF(N19=0,0,1000000*N19/TrRoad_act!N59)</f>
        <v>300.0952910940249</v>
      </c>
      <c r="O110" s="152">
        <f>IF(O19=0,0,1000000*O19/TrRoad_act!O59)</f>
        <v>300.9729754072647</v>
      </c>
      <c r="P110" s="152">
        <f>IF(P19=0,0,1000000*P19/TrRoad_act!P59)</f>
        <v>296.0427270518062</v>
      </c>
      <c r="Q110" s="152">
        <f>IF(Q19=0,0,1000000*Q19/TrRoad_act!Q59)</f>
        <v>297.99619903747464</v>
      </c>
      <c r="R110" s="152">
        <f>IF(R19=0,0,1000000*R19/TrRoad_act!R59)</f>
        <v>296.62074591548503</v>
      </c>
      <c r="S110" s="152">
        <f>IF(S19=0,0,1000000*S19/TrRoad_act!S59)</f>
        <v>273.9771652027535</v>
      </c>
      <c r="T110" s="152">
        <f>IF(T19=0,0,1000000*T19/TrRoad_act!T59)</f>
        <v>253.19787986371927</v>
      </c>
      <c r="U110" s="152">
        <f>IF(U19=0,0,1000000*U19/TrRoad_act!U59)</f>
        <v>267.638718216298</v>
      </c>
      <c r="V110" s="152">
        <f>IF(V19=0,0,1000000*V19/TrRoad_act!V59)</f>
        <v>225.59666486219092</v>
      </c>
      <c r="W110" s="152">
        <f>IF(W19=0,0,1000000*W19/TrRoad_act!W59)</f>
        <v>233.2004754068204</v>
      </c>
      <c r="X110" s="152">
        <f>IF(X19=0,0,1000000*X19/TrRoad_act!X59)</f>
        <v>227.75096698595604</v>
      </c>
      <c r="Y110" s="152">
        <f>IF(Y19=0,0,1000000*Y19/TrRoad_act!Y59)</f>
        <v>238.09844280971507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2846.8533596397451</v>
      </c>
      <c r="C111" s="116">
        <f>IF(C20=0,0,1000000*C20/TrRoad_act!C60)</f>
        <v>2806.9448441595437</v>
      </c>
      <c r="D111" s="116">
        <f>IF(D20=0,0,1000000*D20/TrRoad_act!D60)</f>
        <v>2779.1225663919467</v>
      </c>
      <c r="E111" s="116">
        <f>IF(E20=0,0,1000000*E20/TrRoad_act!E60)</f>
        <v>2679.1200999372677</v>
      </c>
      <c r="F111" s="116">
        <f>IF(F20=0,0,1000000*F20/TrRoad_act!F60)</f>
        <v>2685.8275831528649</v>
      </c>
      <c r="G111" s="116">
        <f>IF(G20=0,0,1000000*G20/TrRoad_act!G60)</f>
        <v>2521.4685669786513</v>
      </c>
      <c r="H111" s="116">
        <f>IF(H20=0,0,1000000*H20/TrRoad_act!H60)</f>
        <v>2378.691792480306</v>
      </c>
      <c r="I111" s="116">
        <f>IF(I20=0,0,1000000*I20/TrRoad_act!I60)</f>
        <v>2294.5794974846581</v>
      </c>
      <c r="J111" s="116">
        <f>IF(J20=0,0,1000000*J20/TrRoad_act!J60)</f>
        <v>2288.4863514682829</v>
      </c>
      <c r="K111" s="116">
        <f>IF(K20=0,0,1000000*K20/TrRoad_act!K60)</f>
        <v>2268.7176923891102</v>
      </c>
      <c r="L111" s="116">
        <f>IF(L20=0,0,1000000*L20/TrRoad_act!L60)</f>
        <v>2178.8888411656544</v>
      </c>
      <c r="M111" s="116">
        <f>IF(M20=0,0,1000000*M20/TrRoad_act!M60)</f>
        <v>2191.0566228456792</v>
      </c>
      <c r="N111" s="116">
        <f>IF(N20=0,0,1000000*N20/TrRoad_act!N60)</f>
        <v>2085.9279846540385</v>
      </c>
      <c r="O111" s="116">
        <f>IF(O20=0,0,1000000*O20/TrRoad_act!O60)</f>
        <v>2141.2216904275515</v>
      </c>
      <c r="P111" s="116">
        <f>IF(P20=0,0,1000000*P20/TrRoad_act!P60)</f>
        <v>2148.5812903180249</v>
      </c>
      <c r="Q111" s="116">
        <f>IF(Q20=0,0,1000000*Q20/TrRoad_act!Q60)</f>
        <v>2173.9868952952916</v>
      </c>
      <c r="R111" s="116">
        <f>IF(R20=0,0,1000000*R20/TrRoad_act!R60)</f>
        <v>2190.4415480289354</v>
      </c>
      <c r="S111" s="116">
        <f>IF(S20=0,0,1000000*S20/TrRoad_act!S60)</f>
        <v>2166.674009378406</v>
      </c>
      <c r="T111" s="116">
        <f>IF(T20=0,0,1000000*T20/TrRoad_act!T60)</f>
        <v>1995.9827108578986</v>
      </c>
      <c r="U111" s="116">
        <f>IF(U20=0,0,1000000*U20/TrRoad_act!U60)</f>
        <v>2007.5368054225462</v>
      </c>
      <c r="V111" s="116">
        <f>IF(V20=0,0,1000000*V20/TrRoad_act!V60)</f>
        <v>1685.7380725474159</v>
      </c>
      <c r="W111" s="116">
        <f>IF(W20=0,0,1000000*W20/TrRoad_act!W60)</f>
        <v>1667.454325652436</v>
      </c>
      <c r="X111" s="116">
        <f>IF(X20=0,0,1000000*X20/TrRoad_act!X60)</f>
        <v>1715.2043307600416</v>
      </c>
      <c r="Y111" s="116">
        <f>IF(Y20=0,0,1000000*Y20/TrRoad_act!Y60)</f>
        <v>1690.6729522404444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2561.7877972679553</v>
      </c>
      <c r="C112" s="87">
        <f>IF(C21=0,0,1000000*C21/TrRoad_act!C61)</f>
        <v>2499.20004079403</v>
      </c>
      <c r="D112" s="87">
        <f>IF(D21=0,0,1000000*D21/TrRoad_act!D61)</f>
        <v>2448.6026303351305</v>
      </c>
      <c r="E112" s="87">
        <f>IF(E21=0,0,1000000*E21/TrRoad_act!E61)</f>
        <v>2293.1972412765031</v>
      </c>
      <c r="F112" s="87">
        <f>IF(F21=0,0,1000000*F21/TrRoad_act!F61)</f>
        <v>2251.7212013091612</v>
      </c>
      <c r="G112" s="87">
        <f>IF(G21=0,0,1000000*G21/TrRoad_act!G61)</f>
        <v>2110.3589838401749</v>
      </c>
      <c r="H112" s="87">
        <f>IF(H21=0,0,1000000*H21/TrRoad_act!H61)</f>
        <v>2030.1348757113196</v>
      </c>
      <c r="I112" s="87">
        <f>IF(I21=0,0,1000000*I21/TrRoad_act!I61)</f>
        <v>1940.5057735502853</v>
      </c>
      <c r="J112" s="87">
        <f>IF(J21=0,0,1000000*J21/TrRoad_act!J61)</f>
        <v>1906.7470715141817</v>
      </c>
      <c r="K112" s="87">
        <f>IF(K21=0,0,1000000*K21/TrRoad_act!K61)</f>
        <v>1823.6691557753868</v>
      </c>
      <c r="L112" s="87">
        <f>IF(L21=0,0,1000000*L21/TrRoad_act!L61)</f>
        <v>1740.4507992251924</v>
      </c>
      <c r="M112" s="87">
        <f>IF(M21=0,0,1000000*M21/TrRoad_act!M61)</f>
        <v>1734.3159088201548</v>
      </c>
      <c r="N112" s="87">
        <f>IF(N21=0,0,1000000*N21/TrRoad_act!N61)</f>
        <v>1638.0214911435612</v>
      </c>
      <c r="O112" s="87">
        <f>IF(O21=0,0,1000000*O21/TrRoad_act!O61)</f>
        <v>1647.909012233255</v>
      </c>
      <c r="P112" s="87">
        <f>IF(P21=0,0,1000000*P21/TrRoad_act!P61)</f>
        <v>1662.4747676280672</v>
      </c>
      <c r="Q112" s="87">
        <f>IF(Q21=0,0,1000000*Q21/TrRoad_act!Q61)</f>
        <v>1588.4846626815374</v>
      </c>
      <c r="R112" s="87">
        <f>IF(R21=0,0,1000000*R21/TrRoad_act!R61)</f>
        <v>1579.0587695511167</v>
      </c>
      <c r="S112" s="87">
        <f>IF(S21=0,0,1000000*S21/TrRoad_act!S61)</f>
        <v>1575.3106781481447</v>
      </c>
      <c r="T112" s="87">
        <f>IF(T21=0,0,1000000*T21/TrRoad_act!T61)</f>
        <v>1472.9299567639566</v>
      </c>
      <c r="U112" s="87">
        <f>IF(U21=0,0,1000000*U21/TrRoad_act!U61)</f>
        <v>1460.7277658870962</v>
      </c>
      <c r="V112" s="87">
        <f>IF(V21=0,0,1000000*V21/TrRoad_act!V61)</f>
        <v>1305.9649601454262</v>
      </c>
      <c r="W112" s="87">
        <f>IF(W21=0,0,1000000*W21/TrRoad_act!W61)</f>
        <v>1298.5040013433882</v>
      </c>
      <c r="X112" s="87">
        <f>IF(X21=0,0,1000000*X21/TrRoad_act!X61)</f>
        <v>1352.547803248601</v>
      </c>
      <c r="Y112" s="87">
        <f>IF(Y21=0,0,1000000*Y21/TrRoad_act!Y61)</f>
        <v>1341.9438057845039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4521.202512919851</v>
      </c>
      <c r="C113" s="87">
        <f>IF(C22=0,0,1000000*C22/TrRoad_act!C62)</f>
        <v>4453.724671912023</v>
      </c>
      <c r="D113" s="87">
        <f>IF(D22=0,0,1000000*D22/TrRoad_act!D62)</f>
        <v>4384.9808092850244</v>
      </c>
      <c r="E113" s="87">
        <f>IF(E22=0,0,1000000*E22/TrRoad_act!E62)</f>
        <v>4385.2752776115358</v>
      </c>
      <c r="F113" s="87">
        <f>IF(F22=0,0,1000000*F22/TrRoad_act!F62)</f>
        <v>4418.1087240272582</v>
      </c>
      <c r="G113" s="87">
        <f>IF(G22=0,0,1000000*G22/TrRoad_act!G62)</f>
        <v>3976.5239976706357</v>
      </c>
      <c r="H113" s="87">
        <f>IF(H22=0,0,1000000*H22/TrRoad_act!H62)</f>
        <v>3515.0384277435915</v>
      </c>
      <c r="I113" s="87">
        <f>IF(I22=0,0,1000000*I22/TrRoad_act!I62)</f>
        <v>3389.2202881225116</v>
      </c>
      <c r="J113" s="87">
        <f>IF(J22=0,0,1000000*J22/TrRoad_act!J62)</f>
        <v>3380.7016853914533</v>
      </c>
      <c r="K113" s="87">
        <f>IF(K22=0,0,1000000*K22/TrRoad_act!K62)</f>
        <v>3442.5566618391026</v>
      </c>
      <c r="L113" s="87">
        <f>IF(L22=0,0,1000000*L22/TrRoad_act!L62)</f>
        <v>3300.8412108109337</v>
      </c>
      <c r="M113" s="87">
        <f>IF(M22=0,0,1000000*M22/TrRoad_act!M62)</f>
        <v>3304.885103965451</v>
      </c>
      <c r="N113" s="87">
        <f>IF(N22=0,0,1000000*N22/TrRoad_act!N62)</f>
        <v>3114.2670926440701</v>
      </c>
      <c r="O113" s="87">
        <f>IF(O22=0,0,1000000*O22/TrRoad_act!O62)</f>
        <v>3223.1284506339803</v>
      </c>
      <c r="P113" s="87">
        <f>IF(P22=0,0,1000000*P22/TrRoad_act!P62)</f>
        <v>3155.0652423364877</v>
      </c>
      <c r="Q113" s="87">
        <f>IF(Q22=0,0,1000000*Q22/TrRoad_act!Q62)</f>
        <v>3348.3570916644717</v>
      </c>
      <c r="R113" s="87">
        <f>IF(R22=0,0,1000000*R22/TrRoad_act!R62)</f>
        <v>3388.6160416064777</v>
      </c>
      <c r="S113" s="87">
        <f>IF(S22=0,0,1000000*S22/TrRoad_act!S62)</f>
        <v>3345.9591474589388</v>
      </c>
      <c r="T113" s="87">
        <f>IF(T22=0,0,1000000*T22/TrRoad_act!T62)</f>
        <v>3051.2212778289199</v>
      </c>
      <c r="U113" s="87">
        <f>IF(U22=0,0,1000000*U22/TrRoad_act!U62)</f>
        <v>3151.5264592755666</v>
      </c>
      <c r="V113" s="87">
        <f>IF(V22=0,0,1000000*V22/TrRoad_act!V62)</f>
        <v>2523.3141572195636</v>
      </c>
      <c r="W113" s="87">
        <f>IF(W22=0,0,1000000*W22/TrRoad_act!W62)</f>
        <v>2547.4912850167411</v>
      </c>
      <c r="X113" s="87">
        <f>IF(X22=0,0,1000000*X22/TrRoad_act!X62)</f>
        <v>2681.6852579026122</v>
      </c>
      <c r="Y113" s="87">
        <f>IF(Y22=0,0,1000000*Y22/TrRoad_act!Y62)</f>
        <v>2676.5668647381422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3133.8615000000004</v>
      </c>
      <c r="C114" s="87">
        <f>IF(C23=0,0,1000000*C23/TrRoad_act!C63)</f>
        <v>3139.8495759735301</v>
      </c>
      <c r="D114" s="87">
        <f>IF(D23=0,0,1000000*D23/TrRoad_act!D63)</f>
        <v>3045.4985985658577</v>
      </c>
      <c r="E114" s="87">
        <f>IF(E23=0,0,1000000*E23/TrRoad_act!E63)</f>
        <v>2831.7849379488839</v>
      </c>
      <c r="F114" s="87">
        <f>IF(F23=0,0,1000000*F23/TrRoad_act!F63)</f>
        <v>2946.72713032409</v>
      </c>
      <c r="G114" s="87">
        <f>IF(G23=0,0,1000000*G23/TrRoad_act!G63)</f>
        <v>2919.3595581914151</v>
      </c>
      <c r="H114" s="87">
        <f>IF(H23=0,0,1000000*H23/TrRoad_act!H63)</f>
        <v>2752.9425931830374</v>
      </c>
      <c r="I114" s="87">
        <f>IF(I23=0,0,1000000*I23/TrRoad_act!I63)</f>
        <v>2633.8777416951057</v>
      </c>
      <c r="J114" s="87">
        <f>IF(J23=0,0,1000000*J23/TrRoad_act!J63)</f>
        <v>3699.8138574846198</v>
      </c>
      <c r="K114" s="87">
        <f>IF(K23=0,0,1000000*K23/TrRoad_act!K63)</f>
        <v>4447.6400838712107</v>
      </c>
      <c r="L114" s="87">
        <f>IF(L23=0,0,1000000*L23/TrRoad_act!L63)</f>
        <v>3810.5915687870183</v>
      </c>
      <c r="M114" s="87">
        <f>IF(M23=0,0,1000000*M23/TrRoad_act!M63)</f>
        <v>3557.1148786511462</v>
      </c>
      <c r="N114" s="87">
        <f>IF(N23=0,0,1000000*N23/TrRoad_act!N63)</f>
        <v>3258.9226943845638</v>
      </c>
      <c r="O114" s="87">
        <f>IF(O23=0,0,1000000*O23/TrRoad_act!O63)</f>
        <v>3127.3380989460438</v>
      </c>
      <c r="P114" s="87">
        <f>IF(P23=0,0,1000000*P23/TrRoad_act!P63)</f>
        <v>3338.6548884090148</v>
      </c>
      <c r="Q114" s="87">
        <f>IF(Q23=0,0,1000000*Q23/TrRoad_act!Q63)</f>
        <v>3172.5440395222777</v>
      </c>
      <c r="R114" s="87">
        <f>IF(R23=0,0,1000000*R23/TrRoad_act!R63)</f>
        <v>3022.2180834704286</v>
      </c>
      <c r="S114" s="87">
        <f>IF(S23=0,0,1000000*S23/TrRoad_act!S63)</f>
        <v>2962.5367709652246</v>
      </c>
      <c r="T114" s="87">
        <f>IF(T23=0,0,1000000*T23/TrRoad_act!T63)</f>
        <v>3519.4633682202511</v>
      </c>
      <c r="U114" s="87">
        <f>IF(U23=0,0,1000000*U23/TrRoad_act!U63)</f>
        <v>3220.3187177559307</v>
      </c>
      <c r="V114" s="87">
        <f>IF(V23=0,0,1000000*V23/TrRoad_act!V63)</f>
        <v>2438.0898327917721</v>
      </c>
      <c r="W114" s="87">
        <f>IF(W23=0,0,1000000*W23/TrRoad_act!W63)</f>
        <v>2361.0667415718935</v>
      </c>
      <c r="X114" s="87">
        <f>IF(X23=0,0,1000000*X23/TrRoad_act!X63)</f>
        <v>1569.1898305869199</v>
      </c>
      <c r="Y114" s="87">
        <f>IF(Y23=0,0,1000000*Y23/TrRoad_act!Y63)</f>
        <v>2072.1233669890939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3592.1134293853875</v>
      </c>
      <c r="H115" s="87">
        <f>IF(H24=0,0,1000000*H24/TrRoad_act!H64)</f>
        <v>3497.4836609878712</v>
      </c>
      <c r="I115" s="87">
        <f>IF(I24=0,0,1000000*I24/TrRoad_act!I64)</f>
        <v>3338.8723218127966</v>
      </c>
      <c r="J115" s="87">
        <f>IF(J24=0,0,1000000*J24/TrRoad_act!J64)</f>
        <v>3152.2939924583534</v>
      </c>
      <c r="K115" s="87">
        <f>IF(K24=0,0,1000000*K24/TrRoad_act!K64)</f>
        <v>3033.5615968427032</v>
      </c>
      <c r="L115" s="87">
        <f>IF(L24=0,0,1000000*L24/TrRoad_act!L64)</f>
        <v>2870.745251205889</v>
      </c>
      <c r="M115" s="87">
        <f>IF(M24=0,0,1000000*M24/TrRoad_act!M64)</f>
        <v>2908.7646011175543</v>
      </c>
      <c r="N115" s="87">
        <f>IF(N24=0,0,1000000*N24/TrRoad_act!N64)</f>
        <v>2537.9638830121216</v>
      </c>
      <c r="O115" s="87">
        <f>IF(O24=0,0,1000000*O24/TrRoad_act!O64)</f>
        <v>2408.4619715653839</v>
      </c>
      <c r="P115" s="87">
        <f>IF(P24=0,0,1000000*P24/TrRoad_act!P64)</f>
        <v>2417.6235088882672</v>
      </c>
      <c r="Q115" s="87">
        <f>IF(Q24=0,0,1000000*Q24/TrRoad_act!Q64)</f>
        <v>2310.7509444569705</v>
      </c>
      <c r="R115" s="87">
        <f>IF(R24=0,0,1000000*R24/TrRoad_act!R64)</f>
        <v>2307.1935200693169</v>
      </c>
      <c r="S115" s="87">
        <f>IF(S24=0,0,1000000*S24/TrRoad_act!S64)</f>
        <v>2232.6752572082551</v>
      </c>
      <c r="T115" s="87">
        <f>IF(T24=0,0,1000000*T24/TrRoad_act!T64)</f>
        <v>2113.4208212449762</v>
      </c>
      <c r="U115" s="87">
        <f>IF(U24=0,0,1000000*U24/TrRoad_act!U64)</f>
        <v>1902.060275454214</v>
      </c>
      <c r="V115" s="87">
        <f>IF(V24=0,0,1000000*V24/TrRoad_act!V64)</f>
        <v>1470.9014868833183</v>
      </c>
      <c r="W115" s="87">
        <f>IF(W24=0,0,1000000*W24/TrRoad_act!W64)</f>
        <v>2202.1696040667757</v>
      </c>
      <c r="X115" s="87">
        <f>IF(X24=0,0,1000000*X24/TrRoad_act!X64)</f>
        <v>2273.1062894519951</v>
      </c>
      <c r="Y115" s="87">
        <f>IF(Y24=0,0,1000000*Y24/TrRoad_act!Y64)</f>
        <v>2229.0671949364387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585.44424835957739</v>
      </c>
      <c r="N116" s="87">
        <f>IF(N25=0,0,1000000*N25/TrRoad_act!N65)</f>
        <v>421.02024652090256</v>
      </c>
      <c r="O116" s="87">
        <f>IF(O25=0,0,1000000*O25/TrRoad_act!O65)</f>
        <v>480.94138181323279</v>
      </c>
      <c r="P116" s="87">
        <f>IF(P25=0,0,1000000*P25/TrRoad_act!P65)</f>
        <v>439.27405630140038</v>
      </c>
      <c r="Q116" s="87">
        <f>IF(Q25=0,0,1000000*Q25/TrRoad_act!Q65)</f>
        <v>441.6554943428709</v>
      </c>
      <c r="R116" s="87">
        <f>IF(R25=0,0,1000000*R25/TrRoad_act!R65)</f>
        <v>441.17348782224036</v>
      </c>
      <c r="S116" s="87">
        <f>IF(S25=0,0,1000000*S25/TrRoad_act!S65)</f>
        <v>468.57014207471832</v>
      </c>
      <c r="T116" s="87">
        <f>IF(T25=0,0,1000000*T25/TrRoad_act!T65)</f>
        <v>471.79376967880501</v>
      </c>
      <c r="U116" s="87">
        <f>IF(U25=0,0,1000000*U25/TrRoad_act!U65)</f>
        <v>478.37329899575963</v>
      </c>
      <c r="V116" s="87">
        <f>IF(V25=0,0,1000000*V25/TrRoad_act!V65)</f>
        <v>370.13523851025946</v>
      </c>
      <c r="W116" s="87">
        <f>IF(W25=0,0,1000000*W25/TrRoad_act!W65)</f>
        <v>339.22275609736499</v>
      </c>
      <c r="X116" s="87">
        <f>IF(X25=0,0,1000000*X25/TrRoad_act!X65)</f>
        <v>324.65324942897956</v>
      </c>
      <c r="Y116" s="87">
        <f>IF(Y25=0,0,1000000*Y25/TrRoad_act!Y65)</f>
        <v>310.70191388283212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77784.591581893183</v>
      </c>
      <c r="C118" s="116">
        <f>IF(C27=0,0,1000000*C27/TrRoad_act!C67)</f>
        <v>75569.906240972603</v>
      </c>
      <c r="D118" s="116">
        <f>IF(D27=0,0,1000000*D27/TrRoad_act!D67)</f>
        <v>73354.323655730841</v>
      </c>
      <c r="E118" s="116">
        <f>IF(E27=0,0,1000000*E27/TrRoad_act!E67)</f>
        <v>71569.410201123668</v>
      </c>
      <c r="F118" s="116">
        <f>IF(F27=0,0,1000000*F27/TrRoad_act!F67)</f>
        <v>71972.735878360763</v>
      </c>
      <c r="G118" s="116">
        <f>IF(G27=0,0,1000000*G27/TrRoad_act!G67)</f>
        <v>69292.330539953546</v>
      </c>
      <c r="H118" s="116">
        <f>IF(H27=0,0,1000000*H27/TrRoad_act!H67)</f>
        <v>67251.611890017812</v>
      </c>
      <c r="I118" s="116">
        <f>IF(I27=0,0,1000000*I27/TrRoad_act!I67)</f>
        <v>68400.523674463009</v>
      </c>
      <c r="J118" s="116">
        <f>IF(J27=0,0,1000000*J27/TrRoad_act!J67)</f>
        <v>67826.049141247218</v>
      </c>
      <c r="K118" s="116">
        <f>IF(K27=0,0,1000000*K27/TrRoad_act!K67)</f>
        <v>68561.38828771979</v>
      </c>
      <c r="L118" s="116">
        <f>IF(L27=0,0,1000000*L27/TrRoad_act!L67)</f>
        <v>71846.191478764056</v>
      </c>
      <c r="M118" s="116">
        <f>IF(M27=0,0,1000000*M27/TrRoad_act!M67)</f>
        <v>76626.090552597496</v>
      </c>
      <c r="N118" s="116">
        <f>IF(N27=0,0,1000000*N27/TrRoad_act!N67)</f>
        <v>80941.048703126376</v>
      </c>
      <c r="O118" s="116">
        <f>IF(O27=0,0,1000000*O27/TrRoad_act!O67)</f>
        <v>85981.738388695027</v>
      </c>
      <c r="P118" s="116">
        <f>IF(P27=0,0,1000000*P27/TrRoad_act!P67)</f>
        <v>87805.645610141772</v>
      </c>
      <c r="Q118" s="116">
        <f>IF(Q27=0,0,1000000*Q27/TrRoad_act!Q67)</f>
        <v>91011.255958070979</v>
      </c>
      <c r="R118" s="116">
        <f>IF(R27=0,0,1000000*R27/TrRoad_act!R67)</f>
        <v>92859.421832767184</v>
      </c>
      <c r="S118" s="116">
        <f>IF(S27=0,0,1000000*S27/TrRoad_act!S67)</f>
        <v>90885.248079968835</v>
      </c>
      <c r="T118" s="116">
        <f>IF(T27=0,0,1000000*T27/TrRoad_act!T67)</f>
        <v>88996.010543333046</v>
      </c>
      <c r="U118" s="116">
        <f>IF(U27=0,0,1000000*U27/TrRoad_act!U67)</f>
        <v>87316.02414717761</v>
      </c>
      <c r="V118" s="116">
        <f>IF(V27=0,0,1000000*V27/TrRoad_act!V67)</f>
        <v>84130.155718861468</v>
      </c>
      <c r="W118" s="116">
        <f>IF(W27=0,0,1000000*W27/TrRoad_act!W67)</f>
        <v>77784.848557017613</v>
      </c>
      <c r="X118" s="116">
        <f>IF(X27=0,0,1000000*X27/TrRoad_act!X67)</f>
        <v>79862.044623629277</v>
      </c>
      <c r="Y118" s="116">
        <f>IF(Y27=0,0,1000000*Y27/TrRoad_act!Y67)</f>
        <v>78648.421299540772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0</v>
      </c>
      <c r="C119" s="101">
        <f>IF(C28=0,0,1000000*C28/TrRoad_act!C68)</f>
        <v>0</v>
      </c>
      <c r="D119" s="101">
        <f>IF(D28=0,0,1000000*D28/TrRoad_act!D68)</f>
        <v>0</v>
      </c>
      <c r="E119" s="101">
        <f>IF(E28=0,0,1000000*E28/TrRoad_act!E68)</f>
        <v>0</v>
      </c>
      <c r="F119" s="101">
        <f>IF(F28=0,0,1000000*F28/TrRoad_act!F68)</f>
        <v>0</v>
      </c>
      <c r="G119" s="101">
        <f>IF(G28=0,0,1000000*G28/TrRoad_act!G68)</f>
        <v>0</v>
      </c>
      <c r="H119" s="101">
        <f>IF(H28=0,0,1000000*H28/TrRoad_act!H68)</f>
        <v>0</v>
      </c>
      <c r="I119" s="101">
        <f>IF(I28=0,0,1000000*I28/TrRoad_act!I68)</f>
        <v>0</v>
      </c>
      <c r="J119" s="101">
        <f>IF(J28=0,0,1000000*J28/TrRoad_act!J68)</f>
        <v>0</v>
      </c>
      <c r="K119" s="101">
        <f>IF(K28=0,0,1000000*K28/TrRoad_act!K68)</f>
        <v>0</v>
      </c>
      <c r="L119" s="101">
        <f>IF(L28=0,0,1000000*L28/TrRoad_act!L68)</f>
        <v>0</v>
      </c>
      <c r="M119" s="101">
        <f>IF(M28=0,0,1000000*M28/TrRoad_act!M68)</f>
        <v>0</v>
      </c>
      <c r="N119" s="101">
        <f>IF(N28=0,0,1000000*N28/TrRoad_act!N68)</f>
        <v>0</v>
      </c>
      <c r="O119" s="101">
        <f>IF(O28=0,0,1000000*O28/TrRoad_act!O68)</f>
        <v>0</v>
      </c>
      <c r="P119" s="101">
        <f>IF(P28=0,0,1000000*P28/TrRoad_act!P68)</f>
        <v>0</v>
      </c>
      <c r="Q119" s="101">
        <f>IF(Q28=0,0,1000000*Q28/TrRoad_act!Q68)</f>
        <v>0</v>
      </c>
      <c r="R119" s="101">
        <f>IF(R28=0,0,1000000*R28/TrRoad_act!R68)</f>
        <v>0</v>
      </c>
      <c r="S119" s="101">
        <f>IF(S28=0,0,1000000*S28/TrRoad_act!S68)</f>
        <v>0</v>
      </c>
      <c r="T119" s="101">
        <f>IF(T28=0,0,1000000*T28/TrRoad_act!T68)</f>
        <v>0</v>
      </c>
      <c r="U119" s="101">
        <f>IF(U28=0,0,1000000*U28/TrRoad_act!U68)</f>
        <v>0</v>
      </c>
      <c r="V119" s="101">
        <f>IF(V28=0,0,1000000*V28/TrRoad_act!V68)</f>
        <v>0</v>
      </c>
      <c r="W119" s="101">
        <f>IF(W28=0,0,1000000*W28/TrRoad_act!W68)</f>
        <v>0</v>
      </c>
      <c r="X119" s="101">
        <f>IF(X28=0,0,1000000*X28/TrRoad_act!X68)</f>
        <v>0</v>
      </c>
      <c r="Y119" s="101">
        <f>IF(Y28=0,0,1000000*Y28/TrRoad_act!Y68)</f>
        <v>0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78281.198004892358</v>
      </c>
      <c r="C120" s="101">
        <f>IF(C29=0,0,1000000*C29/TrRoad_act!C69)</f>
        <v>76046.101143605818</v>
      </c>
      <c r="D120" s="101">
        <f>IF(D29=0,0,1000000*D29/TrRoad_act!D69)</f>
        <v>73705.726037638582</v>
      </c>
      <c r="E120" s="101">
        <f>IF(E29=0,0,1000000*E29/TrRoad_act!E69)</f>
        <v>71674.641978370841</v>
      </c>
      <c r="F120" s="101">
        <f>IF(F29=0,0,1000000*F29/TrRoad_act!F69)</f>
        <v>71706.837361390266</v>
      </c>
      <c r="G120" s="101">
        <f>IF(G29=0,0,1000000*G29/TrRoad_act!G69)</f>
        <v>69552.540443249236</v>
      </c>
      <c r="H120" s="101">
        <f>IF(H29=0,0,1000000*H29/TrRoad_act!H69)</f>
        <v>67277.231947821288</v>
      </c>
      <c r="I120" s="101">
        <f>IF(I29=0,0,1000000*I29/TrRoad_act!I69)</f>
        <v>68519.571553828078</v>
      </c>
      <c r="J120" s="101">
        <f>IF(J29=0,0,1000000*J29/TrRoad_act!J69)</f>
        <v>68178.334931038698</v>
      </c>
      <c r="K120" s="101">
        <f>IF(K29=0,0,1000000*K29/TrRoad_act!K69)</f>
        <v>68932.872541935518</v>
      </c>
      <c r="L120" s="101">
        <f>IF(L29=0,0,1000000*L29/TrRoad_act!L69)</f>
        <v>72494.389307402686</v>
      </c>
      <c r="M120" s="101">
        <f>IF(M29=0,0,1000000*M29/TrRoad_act!M69)</f>
        <v>76583.447446140097</v>
      </c>
      <c r="N120" s="101">
        <f>IF(N29=0,0,1000000*N29/TrRoad_act!N69)</f>
        <v>80573.47249419718</v>
      </c>
      <c r="O120" s="101">
        <f>IF(O29=0,0,1000000*O29/TrRoad_act!O69)</f>
        <v>85558.718916749349</v>
      </c>
      <c r="P120" s="101">
        <f>IF(P29=0,0,1000000*P29/TrRoad_act!P69)</f>
        <v>87332.511600589103</v>
      </c>
      <c r="Q120" s="101">
        <f>IF(Q29=0,0,1000000*Q29/TrRoad_act!Q69)</f>
        <v>90312.302527942506</v>
      </c>
      <c r="R120" s="101">
        <f>IF(R29=0,0,1000000*R29/TrRoad_act!R69)</f>
        <v>92390.445291000127</v>
      </c>
      <c r="S120" s="101">
        <f>IF(S29=0,0,1000000*S29/TrRoad_act!S69)</f>
        <v>90719.895221208004</v>
      </c>
      <c r="T120" s="101">
        <f>IF(T29=0,0,1000000*T29/TrRoad_act!T69)</f>
        <v>89312.806488353424</v>
      </c>
      <c r="U120" s="101">
        <f>IF(U29=0,0,1000000*U29/TrRoad_act!U69)</f>
        <v>87085.363591324873</v>
      </c>
      <c r="V120" s="101">
        <f>IF(V29=0,0,1000000*V29/TrRoad_act!V69)</f>
        <v>83847.373768220059</v>
      </c>
      <c r="W120" s="101">
        <f>IF(W29=0,0,1000000*W29/TrRoad_act!W69)</f>
        <v>77621.103135490528</v>
      </c>
      <c r="X120" s="101">
        <f>IF(X29=0,0,1000000*X29/TrRoad_act!X69)</f>
        <v>77482.150956587153</v>
      </c>
      <c r="Y120" s="101">
        <f>IF(Y29=0,0,1000000*Y29/TrRoad_act!Y69)</f>
        <v>76663.483079437356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0</v>
      </c>
      <c r="C121" s="101">
        <f>IF(C30=0,0,1000000*C30/TrRoad_act!C70)</f>
        <v>0</v>
      </c>
      <c r="D121" s="101">
        <f>IF(D30=0,0,1000000*D30/TrRoad_act!D70)</f>
        <v>0</v>
      </c>
      <c r="E121" s="101">
        <f>IF(E30=0,0,1000000*E30/TrRoad_act!E70)</f>
        <v>0</v>
      </c>
      <c r="F121" s="101">
        <f>IF(F30=0,0,1000000*F30/TrRoad_act!F70)</f>
        <v>26029.734909374063</v>
      </c>
      <c r="G121" s="101">
        <f>IF(G30=0,0,1000000*G30/TrRoad_act!G70)</f>
        <v>26439.420132537642</v>
      </c>
      <c r="H121" s="101">
        <f>IF(H30=0,0,1000000*H30/TrRoad_act!H70)</f>
        <v>27400.386095145968</v>
      </c>
      <c r="I121" s="101">
        <f>IF(I30=0,0,1000000*I30/TrRoad_act!I70)</f>
        <v>29122.17865074534</v>
      </c>
      <c r="J121" s="101">
        <f>IF(J30=0,0,1000000*J30/TrRoad_act!J70)</f>
        <v>28287.636880452319</v>
      </c>
      <c r="K121" s="101">
        <f>IF(K30=0,0,1000000*K30/TrRoad_act!K70)</f>
        <v>27322.041130250374</v>
      </c>
      <c r="L121" s="101">
        <f>IF(L30=0,0,1000000*L30/TrRoad_act!L70)</f>
        <v>27396.743975865971</v>
      </c>
      <c r="M121" s="101">
        <f>IF(M30=0,0,1000000*M30/TrRoad_act!M70)</f>
        <v>27653.195387587777</v>
      </c>
      <c r="N121" s="101">
        <f>IF(N30=0,0,1000000*N30/TrRoad_act!N70)</f>
        <v>26946.22526951876</v>
      </c>
      <c r="O121" s="101">
        <f>IF(O30=0,0,1000000*O30/TrRoad_act!O70)</f>
        <v>27456.81777375353</v>
      </c>
      <c r="P121" s="101">
        <f>IF(P30=0,0,1000000*P30/TrRoad_act!P70)</f>
        <v>28286.761576735171</v>
      </c>
      <c r="Q121" s="101">
        <f>IF(Q30=0,0,1000000*Q30/TrRoad_act!Q70)</f>
        <v>29645.073081804356</v>
      </c>
      <c r="R121" s="101">
        <f>IF(R30=0,0,1000000*R30/TrRoad_act!R70)</f>
        <v>30178.365329901604</v>
      </c>
      <c r="S121" s="101">
        <f>IF(S30=0,0,1000000*S30/TrRoad_act!S70)</f>
        <v>29432.34923282286</v>
      </c>
      <c r="T121" s="101">
        <f>IF(T30=0,0,1000000*T30/TrRoad_act!T70)</f>
        <v>28877.295940636657</v>
      </c>
      <c r="U121" s="101">
        <f>IF(U30=0,0,1000000*U30/TrRoad_act!U70)</f>
        <v>28772.7484740943</v>
      </c>
      <c r="V121" s="101">
        <f>IF(V30=0,0,1000000*V30/TrRoad_act!V70)</f>
        <v>28217.559075779267</v>
      </c>
      <c r="W121" s="101">
        <f>IF(W30=0,0,1000000*W30/TrRoad_act!W70)</f>
        <v>25369.652402727661</v>
      </c>
      <c r="X121" s="101">
        <f>IF(X30=0,0,1000000*X30/TrRoad_act!X70)</f>
        <v>25473.269046505349</v>
      </c>
      <c r="Y121" s="101">
        <f>IF(Y30=0,0,1000000*Y30/TrRoad_act!Y70)</f>
        <v>25613.217674452804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43536.287425149698</v>
      </c>
      <c r="C122" s="101">
        <f>IF(C31=0,0,1000000*C31/TrRoad_act!C71)</f>
        <v>49229.850249584029</v>
      </c>
      <c r="D122" s="101">
        <f>IF(D31=0,0,1000000*D31/TrRoad_act!D71)</f>
        <v>58484.250000000015</v>
      </c>
      <c r="E122" s="101">
        <f>IF(E31=0,0,1000000*E31/TrRoad_act!E71)</f>
        <v>71783.694202247178</v>
      </c>
      <c r="F122" s="101">
        <f>IF(F31=0,0,1000000*F31/TrRoad_act!F71)</f>
        <v>96112.872999229003</v>
      </c>
      <c r="G122" s="101">
        <f>IF(G31=0,0,1000000*G31/TrRoad_act!G71)</f>
        <v>58730.070893757904</v>
      </c>
      <c r="H122" s="101">
        <f>IF(H31=0,0,1000000*H31/TrRoad_act!H71)</f>
        <v>70781.069926659024</v>
      </c>
      <c r="I122" s="101">
        <f>IF(I31=0,0,1000000*I31/TrRoad_act!I71)</f>
        <v>67056.07771210275</v>
      </c>
      <c r="J122" s="101">
        <f>IF(J31=0,0,1000000*J31/TrRoad_act!J71)</f>
        <v>54061.449853773142</v>
      </c>
      <c r="K122" s="101">
        <f>IF(K31=0,0,1000000*K31/TrRoad_act!K71)</f>
        <v>55253.422893724419</v>
      </c>
      <c r="L122" s="101">
        <f>IF(L31=0,0,1000000*L31/TrRoad_act!L71)</f>
        <v>45155.045275934412</v>
      </c>
      <c r="M122" s="101">
        <f>IF(M31=0,0,1000000*M31/TrRoad_act!M71)</f>
        <v>84371.667253117645</v>
      </c>
      <c r="N122" s="101">
        <f>IF(N31=0,0,1000000*N31/TrRoad_act!N71)</f>
        <v>103238.31211667396</v>
      </c>
      <c r="O122" s="101">
        <f>IF(O31=0,0,1000000*O31/TrRoad_act!O71)</f>
        <v>109976.74098813723</v>
      </c>
      <c r="P122" s="101">
        <f>IF(P31=0,0,1000000*P31/TrRoad_act!P71)</f>
        <v>117151.44323142308</v>
      </c>
      <c r="Q122" s="101">
        <f>IF(Q31=0,0,1000000*Q31/TrRoad_act!Q71)</f>
        <v>138418.0013662772</v>
      </c>
      <c r="R122" s="101">
        <f>IF(R31=0,0,1000000*R31/TrRoad_act!R71)</f>
        <v>134364.94060201946</v>
      </c>
      <c r="S122" s="101">
        <f>IF(S31=0,0,1000000*S31/TrRoad_act!S71)</f>
        <v>117388.96683145121</v>
      </c>
      <c r="T122" s="101">
        <f>IF(T31=0,0,1000000*T31/TrRoad_act!T71)</f>
        <v>85753.979538267231</v>
      </c>
      <c r="U122" s="101">
        <f>IF(U31=0,0,1000000*U31/TrRoad_act!U71)</f>
        <v>135651.51183680963</v>
      </c>
      <c r="V122" s="101">
        <f>IF(V31=0,0,1000000*V31/TrRoad_act!V71)</f>
        <v>164678.67209819859</v>
      </c>
      <c r="W122" s="101">
        <f>IF(W31=0,0,1000000*W31/TrRoad_act!W71)</f>
        <v>191700.96832753276</v>
      </c>
      <c r="X122" s="101">
        <f>IF(X31=0,0,1000000*X31/TrRoad_act!X71)</f>
        <v>421660.00706449506</v>
      </c>
      <c r="Y122" s="101">
        <f>IF(Y31=0,0,1000000*Y31/TrRoad_act!Y71)</f>
        <v>450258.20467597031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5958.7910723797459</v>
      </c>
      <c r="C125" s="152">
        <f>IF(C34=0,0,1000000*C34/TrRoad_act!C74)</f>
        <v>6039.0069863378485</v>
      </c>
      <c r="D125" s="152">
        <f>IF(D34=0,0,1000000*D34/TrRoad_act!D74)</f>
        <v>5960.8608491881896</v>
      </c>
      <c r="E125" s="152">
        <f>IF(E34=0,0,1000000*E34/TrRoad_act!E74)</f>
        <v>6123.5153104635319</v>
      </c>
      <c r="F125" s="152">
        <f>IF(F34=0,0,1000000*F34/TrRoad_act!F74)</f>
        <v>5890.1138275278472</v>
      </c>
      <c r="G125" s="152">
        <f>IF(G34=0,0,1000000*G34/TrRoad_act!G74)</f>
        <v>5734.2892044159498</v>
      </c>
      <c r="H125" s="152">
        <f>IF(H34=0,0,1000000*H34/TrRoad_act!H74)</f>
        <v>5250.9707838998393</v>
      </c>
      <c r="I125" s="152">
        <f>IF(I34=0,0,1000000*I34/TrRoad_act!I74)</f>
        <v>4969.0204447558426</v>
      </c>
      <c r="J125" s="152">
        <f>IF(J34=0,0,1000000*J34/TrRoad_act!J74)</f>
        <v>4905.4599974212224</v>
      </c>
      <c r="K125" s="152">
        <f>IF(K34=0,0,1000000*K34/TrRoad_act!K74)</f>
        <v>4926.1906691340273</v>
      </c>
      <c r="L125" s="152">
        <f>IF(L34=0,0,1000000*L34/TrRoad_act!L74)</f>
        <v>4608.2049773781137</v>
      </c>
      <c r="M125" s="152">
        <f>IF(M34=0,0,1000000*M34/TrRoad_act!M74)</f>
        <v>4532.3236278018539</v>
      </c>
      <c r="N125" s="152">
        <f>IF(N34=0,0,1000000*N34/TrRoad_act!N74)</f>
        <v>4289.4330780120672</v>
      </c>
      <c r="O125" s="152">
        <f>IF(O34=0,0,1000000*O34/TrRoad_act!O74)</f>
        <v>4454.9732645945278</v>
      </c>
      <c r="P125" s="152">
        <f>IF(P34=0,0,1000000*P34/TrRoad_act!P74)</f>
        <v>4512.9094067067099</v>
      </c>
      <c r="Q125" s="152">
        <f>IF(Q34=0,0,1000000*Q34/TrRoad_act!Q74)</f>
        <v>4925.4810830920169</v>
      </c>
      <c r="R125" s="152">
        <f>IF(R34=0,0,1000000*R34/TrRoad_act!R74)</f>
        <v>4980.0528221154564</v>
      </c>
      <c r="S125" s="152">
        <f>IF(S34=0,0,1000000*S34/TrRoad_act!S74)</f>
        <v>4816.7187745669371</v>
      </c>
      <c r="T125" s="152">
        <f>IF(T34=0,0,1000000*T34/TrRoad_act!T74)</f>
        <v>4358.7215509164089</v>
      </c>
      <c r="U125" s="152">
        <f>IF(U34=0,0,1000000*U34/TrRoad_act!U74)</f>
        <v>4404.4169143944955</v>
      </c>
      <c r="V125" s="152">
        <f>IF(V34=0,0,1000000*V34/TrRoad_act!V74)</f>
        <v>3848.7043860569447</v>
      </c>
      <c r="W125" s="152">
        <f>IF(W34=0,0,1000000*W34/TrRoad_act!W74)</f>
        <v>3892.4538575910901</v>
      </c>
      <c r="X125" s="152">
        <f>IF(X34=0,0,1000000*X34/TrRoad_act!X74)</f>
        <v>3901.6459259265125</v>
      </c>
      <c r="Y125" s="152">
        <f>IF(Y34=0,0,1000000*Y34/TrRoad_act!Y74)</f>
        <v>3862.2438388713649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4094.7404731792935</v>
      </c>
      <c r="C126" s="87">
        <f>IF(C35=0,0,1000000*C35/TrRoad_act!C75)</f>
        <v>4036.70494326381</v>
      </c>
      <c r="D126" s="87">
        <f>IF(D35=0,0,1000000*D35/TrRoad_act!D75)</f>
        <v>4199.1449909435469</v>
      </c>
      <c r="E126" s="87">
        <f>IF(E35=0,0,1000000*E35/TrRoad_act!E75)</f>
        <v>4199.1724998343261</v>
      </c>
      <c r="F126" s="87">
        <f>IF(F35=0,0,1000000*F35/TrRoad_act!F75)</f>
        <v>4244.1048491612846</v>
      </c>
      <c r="G126" s="87">
        <f>IF(G35=0,0,1000000*G35/TrRoad_act!G75)</f>
        <v>4185.2686871320129</v>
      </c>
      <c r="H126" s="87">
        <f>IF(H35=0,0,1000000*H35/TrRoad_act!H75)</f>
        <v>3970.7269271452533</v>
      </c>
      <c r="I126" s="87">
        <f>IF(I35=0,0,1000000*I35/TrRoad_act!I75)</f>
        <v>3847.8821582541082</v>
      </c>
      <c r="J126" s="87">
        <f>IF(J35=0,0,1000000*J35/TrRoad_act!J75)</f>
        <v>3458.9047324843691</v>
      </c>
      <c r="K126" s="87">
        <f>IF(K35=0,0,1000000*K35/TrRoad_act!K75)</f>
        <v>3275.6140965779764</v>
      </c>
      <c r="L126" s="87">
        <f>IF(L35=0,0,1000000*L35/TrRoad_act!L75)</f>
        <v>3118.5082348857363</v>
      </c>
      <c r="M126" s="87">
        <f>IF(M35=0,0,1000000*M35/TrRoad_act!M75)</f>
        <v>3078.9825912049287</v>
      </c>
      <c r="N126" s="87">
        <f>IF(N35=0,0,1000000*N35/TrRoad_act!N75)</f>
        <v>2914.4835317927295</v>
      </c>
      <c r="O126" s="87">
        <f>IF(O35=0,0,1000000*O35/TrRoad_act!O75)</f>
        <v>2886.2169845236795</v>
      </c>
      <c r="P126" s="87">
        <f>IF(P35=0,0,1000000*P35/TrRoad_act!P75)</f>
        <v>2929.6222754415858</v>
      </c>
      <c r="Q126" s="87">
        <f>IF(Q35=0,0,1000000*Q35/TrRoad_act!Q75)</f>
        <v>2904.3525687962374</v>
      </c>
      <c r="R126" s="87">
        <f>IF(R35=0,0,1000000*R35/TrRoad_act!R75)</f>
        <v>3045.3519797564159</v>
      </c>
      <c r="S126" s="87">
        <f>IF(S35=0,0,1000000*S35/TrRoad_act!S75)</f>
        <v>3170.4369669486364</v>
      </c>
      <c r="T126" s="87">
        <f>IF(T35=0,0,1000000*T35/TrRoad_act!T75)</f>
        <v>3166.9454130659683</v>
      </c>
      <c r="U126" s="87">
        <f>IF(U35=0,0,1000000*U35/TrRoad_act!U75)</f>
        <v>3206.7533605503822</v>
      </c>
      <c r="V126" s="87">
        <f>IF(V35=0,0,1000000*V35/TrRoad_act!V75)</f>
        <v>3100.1835264900978</v>
      </c>
      <c r="W126" s="87">
        <f>IF(W35=0,0,1000000*W35/TrRoad_act!W75)</f>
        <v>3441.3210999190796</v>
      </c>
      <c r="X126" s="87">
        <f>IF(X35=0,0,1000000*X35/TrRoad_act!X75)</f>
        <v>3564.1487494178855</v>
      </c>
      <c r="Y126" s="87">
        <f>IF(Y35=0,0,1000000*Y35/TrRoad_act!Y75)</f>
        <v>3428.515365675888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6268.2930461172355</v>
      </c>
      <c r="C127" s="87">
        <f>IF(C36=0,0,1000000*C36/TrRoad_act!C76)</f>
        <v>6348.441397787079</v>
      </c>
      <c r="D127" s="87">
        <f>IF(D36=0,0,1000000*D36/TrRoad_act!D76)</f>
        <v>6206.2500101427304</v>
      </c>
      <c r="E127" s="87">
        <f>IF(E36=0,0,1000000*E36/TrRoad_act!E76)</f>
        <v>6364.179055757384</v>
      </c>
      <c r="F127" s="87">
        <f>IF(F36=0,0,1000000*F36/TrRoad_act!F76)</f>
        <v>6074.5637691211632</v>
      </c>
      <c r="G127" s="87">
        <f>IF(G36=0,0,1000000*G36/TrRoad_act!G76)</f>
        <v>5891.6624130535456</v>
      </c>
      <c r="H127" s="87">
        <f>IF(H36=0,0,1000000*H36/TrRoad_act!H76)</f>
        <v>5378.144453132435</v>
      </c>
      <c r="I127" s="87">
        <f>IF(I36=0,0,1000000*I36/TrRoad_act!I76)</f>
        <v>5076.1306698206854</v>
      </c>
      <c r="J127" s="87">
        <f>IF(J36=0,0,1000000*J36/TrRoad_act!J76)</f>
        <v>5035.3389229638333</v>
      </c>
      <c r="K127" s="87">
        <f>IF(K36=0,0,1000000*K36/TrRoad_act!K76)</f>
        <v>5068.8334971090972</v>
      </c>
      <c r="L127" s="87">
        <f>IF(L36=0,0,1000000*L36/TrRoad_act!L76)</f>
        <v>4729.6223428198127</v>
      </c>
      <c r="M127" s="87">
        <f>IF(M36=0,0,1000000*M36/TrRoad_act!M76)</f>
        <v>4644.6679011991864</v>
      </c>
      <c r="N127" s="87">
        <f>IF(N36=0,0,1000000*N36/TrRoad_act!N76)</f>
        <v>4391.805689082571</v>
      </c>
      <c r="O127" s="87">
        <f>IF(O36=0,0,1000000*O36/TrRoad_act!O76)</f>
        <v>4568.4891042871104</v>
      </c>
      <c r="P127" s="87">
        <f>IF(P36=0,0,1000000*P36/TrRoad_act!P76)</f>
        <v>4623.9557064290921</v>
      </c>
      <c r="Q127" s="87">
        <f>IF(Q36=0,0,1000000*Q36/TrRoad_act!Q76)</f>
        <v>5060.3288268575325</v>
      </c>
      <c r="R127" s="87">
        <f>IF(R36=0,0,1000000*R36/TrRoad_act!R76)</f>
        <v>5112.0868862254783</v>
      </c>
      <c r="S127" s="87">
        <f>IF(S36=0,0,1000000*S36/TrRoad_act!S76)</f>
        <v>4939.2754590705817</v>
      </c>
      <c r="T127" s="87">
        <f>IF(T36=0,0,1000000*T36/TrRoad_act!T76)</f>
        <v>4457.4858247884986</v>
      </c>
      <c r="U127" s="87">
        <f>IF(U36=0,0,1000000*U36/TrRoad_act!U76)</f>
        <v>4510.922824713819</v>
      </c>
      <c r="V127" s="87">
        <f>IF(V36=0,0,1000000*V36/TrRoad_act!V76)</f>
        <v>3929.7748597634477</v>
      </c>
      <c r="W127" s="87">
        <f>IF(W36=0,0,1000000*W36/TrRoad_act!W76)</f>
        <v>3973.3109621302965</v>
      </c>
      <c r="X127" s="87">
        <f>IF(X36=0,0,1000000*X36/TrRoad_act!X76)</f>
        <v>4001.2904444111123</v>
      </c>
      <c r="Y127" s="87">
        <f>IF(Y36=0,0,1000000*Y36/TrRoad_act!Y76)</f>
        <v>3980.8573155468889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0</v>
      </c>
      <c r="C128" s="87">
        <f>IF(C37=0,0,1000000*C37/TrRoad_act!C77)</f>
        <v>0</v>
      </c>
      <c r="D128" s="87">
        <f>IF(D37=0,0,1000000*D37/TrRoad_act!D77)</f>
        <v>0</v>
      </c>
      <c r="E128" s="87">
        <f>IF(E37=0,0,1000000*E37/TrRoad_act!E77)</f>
        <v>0</v>
      </c>
      <c r="F128" s="87">
        <f>IF(F37=0,0,1000000*F37/TrRoad_act!F77)</f>
        <v>0</v>
      </c>
      <c r="G128" s="87">
        <f>IF(G37=0,0,1000000*G37/TrRoad_act!G77)</f>
        <v>0</v>
      </c>
      <c r="H128" s="87">
        <f>IF(H37=0,0,1000000*H37/TrRoad_act!H77)</f>
        <v>6791.5208605270336</v>
      </c>
      <c r="I128" s="87">
        <f>IF(I37=0,0,1000000*I37/TrRoad_act!I77)</f>
        <v>6735.5636034131903</v>
      </c>
      <c r="J128" s="87">
        <f>IF(J37=0,0,1000000*J37/TrRoad_act!J77)</f>
        <v>6147.8267164377075</v>
      </c>
      <c r="K128" s="87">
        <f>IF(K37=0,0,1000000*K37/TrRoad_act!K77)</f>
        <v>5838.5709992456605</v>
      </c>
      <c r="L128" s="87">
        <f>IF(L37=0,0,1000000*L37/TrRoad_act!L77)</f>
        <v>5363.0890698099174</v>
      </c>
      <c r="M128" s="87">
        <f>IF(M37=0,0,1000000*M37/TrRoad_act!M77)</f>
        <v>5085.2024972429308</v>
      </c>
      <c r="N128" s="87">
        <f>IF(N37=0,0,1000000*N37/TrRoad_act!N77)</f>
        <v>4956.3324314309593</v>
      </c>
      <c r="O128" s="87">
        <f>IF(O37=0,0,1000000*O37/TrRoad_act!O77)</f>
        <v>5002.5246522043471</v>
      </c>
      <c r="P128" s="87">
        <f>IF(P37=0,0,1000000*P37/TrRoad_act!P77)</f>
        <v>4875.1422864970345</v>
      </c>
      <c r="Q128" s="87">
        <f>IF(Q37=0,0,1000000*Q37/TrRoad_act!Q77)</f>
        <v>4718.6651799679348</v>
      </c>
      <c r="R128" s="87">
        <f>IF(R37=0,0,1000000*R37/TrRoad_act!R77)</f>
        <v>4715.3870579243576</v>
      </c>
      <c r="S128" s="87">
        <f>IF(S37=0,0,1000000*S37/TrRoad_act!S77)</f>
        <v>4663.9169927122566</v>
      </c>
      <c r="T128" s="87">
        <f>IF(T37=0,0,1000000*T37/TrRoad_act!T77)</f>
        <v>4373.0776925843711</v>
      </c>
      <c r="U128" s="87">
        <f>IF(U37=0,0,1000000*U37/TrRoad_act!U77)</f>
        <v>4164.1788015796292</v>
      </c>
      <c r="V128" s="87">
        <f>IF(V37=0,0,1000000*V37/TrRoad_act!V77)</f>
        <v>3841.2196608467043</v>
      </c>
      <c r="W128" s="87">
        <f>IF(W37=0,0,1000000*W37/TrRoad_act!W77)</f>
        <v>4043.3496095986561</v>
      </c>
      <c r="X128" s="87">
        <f>IF(X37=0,0,1000000*X37/TrRoad_act!X77)</f>
        <v>4013.2722835653171</v>
      </c>
      <c r="Y128" s="87">
        <f>IF(Y37=0,0,1000000*Y37/TrRoad_act!Y77)</f>
        <v>3702.4966128874739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0</v>
      </c>
      <c r="F129" s="87">
        <f>IF(F38=0,0,1000000*F38/TrRoad_act!F78)</f>
        <v>0</v>
      </c>
      <c r="G129" s="87">
        <f>IF(G38=0,0,1000000*G38/TrRoad_act!G78)</f>
        <v>0</v>
      </c>
      <c r="H129" s="87">
        <f>IF(H38=0,0,1000000*H38/TrRoad_act!H78)</f>
        <v>3539.0968481282584</v>
      </c>
      <c r="I129" s="87">
        <f>IF(I38=0,0,1000000*I38/TrRoad_act!I78)</f>
        <v>3668.8746702291382</v>
      </c>
      <c r="J129" s="87">
        <f>IF(J38=0,0,1000000*J38/TrRoad_act!J78)</f>
        <v>3560.7611240647211</v>
      </c>
      <c r="K129" s="87">
        <f>IF(K38=0,0,1000000*K38/TrRoad_act!K78)</f>
        <v>3424.9825094380139</v>
      </c>
      <c r="L129" s="87">
        <f>IF(L38=0,0,1000000*L38/TrRoad_act!L78)</f>
        <v>3193.9849940927966</v>
      </c>
      <c r="M129" s="87">
        <f>IF(M38=0,0,1000000*M38/TrRoad_act!M78)</f>
        <v>3032.5041632378084</v>
      </c>
      <c r="N129" s="87">
        <f>IF(N38=0,0,1000000*N38/TrRoad_act!N78)</f>
        <v>2565.4165043013336</v>
      </c>
      <c r="O129" s="87">
        <f>IF(O38=0,0,1000000*O38/TrRoad_act!O78)</f>
        <v>2344.3924677561822</v>
      </c>
      <c r="P129" s="87">
        <f>IF(P38=0,0,1000000*P38/TrRoad_act!P78)</f>
        <v>2367.3214878849471</v>
      </c>
      <c r="Q129" s="87">
        <f>IF(Q38=0,0,1000000*Q38/TrRoad_act!Q78)</f>
        <v>2392.5189468493081</v>
      </c>
      <c r="R129" s="87">
        <f>IF(R38=0,0,1000000*R38/TrRoad_act!R78)</f>
        <v>2263.2900930650649</v>
      </c>
      <c r="S129" s="87">
        <f>IF(S38=0,0,1000000*S38/TrRoad_act!S78)</f>
        <v>2195.17347849099</v>
      </c>
      <c r="T129" s="87">
        <f>IF(T38=0,0,1000000*T38/TrRoad_act!T78)</f>
        <v>2105.1313704544878</v>
      </c>
      <c r="U129" s="87">
        <f>IF(U38=0,0,1000000*U38/TrRoad_act!U78)</f>
        <v>1896.375054241988</v>
      </c>
      <c r="V129" s="87">
        <f>IF(V38=0,0,1000000*V38/TrRoad_act!V78)</f>
        <v>1575.5003388454516</v>
      </c>
      <c r="W129" s="87">
        <f>IF(W38=0,0,1000000*W38/TrRoad_act!W78)</f>
        <v>2607.5312489849484</v>
      </c>
      <c r="X129" s="87">
        <f>IF(X38=0,0,1000000*X38/TrRoad_act!X78)</f>
        <v>2664.6827081296069</v>
      </c>
      <c r="Y129" s="87">
        <f>IF(Y38=0,0,1000000*Y38/TrRoad_act!Y78)</f>
        <v>2573.9963213373053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42370.961643319701</v>
      </c>
      <c r="C131" s="116">
        <f>IF(C40=0,0,1000000*C40/TrRoad_act!C80)</f>
        <v>39456.374826260981</v>
      </c>
      <c r="D131" s="116">
        <f>IF(D40=0,0,1000000*D40/TrRoad_act!D80)</f>
        <v>39248.269582867761</v>
      </c>
      <c r="E131" s="116">
        <f>IF(E40=0,0,1000000*E40/TrRoad_act!E80)</f>
        <v>36556.302125803821</v>
      </c>
      <c r="F131" s="116">
        <f>IF(F40=0,0,1000000*F40/TrRoad_act!F80)</f>
        <v>36411.991909076634</v>
      </c>
      <c r="G131" s="116">
        <f>IF(G40=0,0,1000000*G40/TrRoad_act!G80)</f>
        <v>34275.160069141668</v>
      </c>
      <c r="H131" s="116">
        <f>IF(H40=0,0,1000000*H40/TrRoad_act!H80)</f>
        <v>38723.667433552437</v>
      </c>
      <c r="I131" s="116">
        <f>IF(I40=0,0,1000000*I40/TrRoad_act!I80)</f>
        <v>43276.107072796294</v>
      </c>
      <c r="J131" s="116">
        <f>IF(J40=0,0,1000000*J40/TrRoad_act!J80)</f>
        <v>44696.992692343367</v>
      </c>
      <c r="K131" s="116">
        <f>IF(K40=0,0,1000000*K40/TrRoad_act!K80)</f>
        <v>42768.17735223427</v>
      </c>
      <c r="L131" s="116">
        <f>IF(L40=0,0,1000000*L40/TrRoad_act!L80)</f>
        <v>47741.140151975022</v>
      </c>
      <c r="M131" s="116">
        <f>IF(M40=0,0,1000000*M40/TrRoad_act!M80)</f>
        <v>46233.457310471262</v>
      </c>
      <c r="N131" s="116">
        <f>IF(N40=0,0,1000000*N40/TrRoad_act!N80)</f>
        <v>49147.103543201971</v>
      </c>
      <c r="O131" s="116">
        <f>IF(O40=0,0,1000000*O40/TrRoad_act!O80)</f>
        <v>47996.673743128849</v>
      </c>
      <c r="P131" s="116">
        <f>IF(P40=0,0,1000000*P40/TrRoad_act!P80)</f>
        <v>48801.667747726962</v>
      </c>
      <c r="Q131" s="116">
        <f>IF(Q40=0,0,1000000*Q40/TrRoad_act!Q80)</f>
        <v>42537.230758922524</v>
      </c>
      <c r="R131" s="116">
        <f>IF(R40=0,0,1000000*R40/TrRoad_act!R80)</f>
        <v>42060.943174873879</v>
      </c>
      <c r="S131" s="116">
        <f>IF(S40=0,0,1000000*S40/TrRoad_act!S80)</f>
        <v>42757.733054992932</v>
      </c>
      <c r="T131" s="116">
        <f>IF(T40=0,0,1000000*T40/TrRoad_act!T80)</f>
        <v>43743.560985693068</v>
      </c>
      <c r="U131" s="116">
        <f>IF(U40=0,0,1000000*U40/TrRoad_act!U80)</f>
        <v>41036.964450557956</v>
      </c>
      <c r="V131" s="116">
        <f>IF(V40=0,0,1000000*V40/TrRoad_act!V80)</f>
        <v>40672.335787198826</v>
      </c>
      <c r="W131" s="116">
        <f>IF(W40=0,0,1000000*W40/TrRoad_act!W80)</f>
        <v>35985.329923259567</v>
      </c>
      <c r="X131" s="116">
        <f>IF(X40=0,0,1000000*X40/TrRoad_act!X80)</f>
        <v>33317.336959103595</v>
      </c>
      <c r="Y131" s="116">
        <f>IF(Y40=0,0,1000000*Y40/TrRoad_act!Y80)</f>
        <v>28203.721911327539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32251.295545759902</v>
      </c>
      <c r="C132" s="101">
        <f>IF(C41=0,0,1000000*C41/TrRoad_act!C81)</f>
        <v>32026.113487041894</v>
      </c>
      <c r="D132" s="101">
        <f>IF(D41=0,0,1000000*D41/TrRoad_act!D81)</f>
        <v>31887.990299762259</v>
      </c>
      <c r="E132" s="101">
        <f>IF(E41=0,0,1000000*E41/TrRoad_act!E81)</f>
        <v>31944.242697589849</v>
      </c>
      <c r="F132" s="101">
        <f>IF(F41=0,0,1000000*F41/TrRoad_act!F81)</f>
        <v>32851.078353030047</v>
      </c>
      <c r="G132" s="101">
        <f>IF(G41=0,0,1000000*G41/TrRoad_act!G81)</f>
        <v>31924.004607947416</v>
      </c>
      <c r="H132" s="101">
        <f>IF(H41=0,0,1000000*H41/TrRoad_act!H81)</f>
        <v>32470.124091736838</v>
      </c>
      <c r="I132" s="101">
        <f>IF(I41=0,0,1000000*I41/TrRoad_act!I81)</f>
        <v>38827.658332087711</v>
      </c>
      <c r="J132" s="101">
        <f>IF(J41=0,0,1000000*J41/TrRoad_act!J81)</f>
        <v>41729.553121829296</v>
      </c>
      <c r="K132" s="101">
        <f>IF(K41=0,0,1000000*K41/TrRoad_act!K81)</f>
        <v>39262.715041625161</v>
      </c>
      <c r="L132" s="101">
        <f>IF(L41=0,0,1000000*L41/TrRoad_act!L81)</f>
        <v>40533.285835606075</v>
      </c>
      <c r="M132" s="101">
        <f>IF(M41=0,0,1000000*M41/TrRoad_act!M81)</f>
        <v>41087.342696146341</v>
      </c>
      <c r="N132" s="101">
        <f>IF(N41=0,0,1000000*N41/TrRoad_act!N81)</f>
        <v>40339.064586301538</v>
      </c>
      <c r="O132" s="101">
        <f>IF(O41=0,0,1000000*O41/TrRoad_act!O81)</f>
        <v>39948.49339053825</v>
      </c>
      <c r="P132" s="101">
        <f>IF(P41=0,0,1000000*P41/TrRoad_act!P81)</f>
        <v>40235.685925851125</v>
      </c>
      <c r="Q132" s="101">
        <f>IF(Q41=0,0,1000000*Q41/TrRoad_act!Q81)</f>
        <v>39227.215137721767</v>
      </c>
      <c r="R132" s="101">
        <f>IF(R41=0,0,1000000*R41/TrRoad_act!R81)</f>
        <v>38237.969321037555</v>
      </c>
      <c r="S132" s="101">
        <f>IF(S41=0,0,1000000*S41/TrRoad_act!S81)</f>
        <v>36867.357230152244</v>
      </c>
      <c r="T132" s="101">
        <f>IF(T41=0,0,1000000*T41/TrRoad_act!T81)</f>
        <v>36009.042084645203</v>
      </c>
      <c r="U132" s="101">
        <f>IF(U41=0,0,1000000*U41/TrRoad_act!U81)</f>
        <v>33968.93437589283</v>
      </c>
      <c r="V132" s="101">
        <f>IF(V41=0,0,1000000*V41/TrRoad_act!V81)</f>
        <v>31511.052489109261</v>
      </c>
      <c r="W132" s="101">
        <f>IF(W41=0,0,1000000*W41/TrRoad_act!W81)</f>
        <v>30177.868890306054</v>
      </c>
      <c r="X132" s="101">
        <f>IF(X41=0,0,1000000*X41/TrRoad_act!X81)</f>
        <v>28490.552820858815</v>
      </c>
      <c r="Y132" s="101">
        <f>IF(Y41=0,0,1000000*Y41/TrRoad_act!Y81)</f>
        <v>25799.603181652707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152068.63202435608</v>
      </c>
      <c r="C133" s="88">
        <f>IF(C42=0,0,1000000*C42/TrRoad_act!C82)</f>
        <v>113283.52278634577</v>
      </c>
      <c r="D133" s="88">
        <f>IF(D42=0,0,1000000*D42/TrRoad_act!D82)</f>
        <v>105352.24521432475</v>
      </c>
      <c r="E133" s="88">
        <f>IF(E42=0,0,1000000*E42/TrRoad_act!E82)</f>
        <v>75327.317173677715</v>
      </c>
      <c r="F133" s="88">
        <f>IF(F42=0,0,1000000*F42/TrRoad_act!F82)</f>
        <v>60988.157845104222</v>
      </c>
      <c r="G133" s="88">
        <f>IF(G42=0,0,1000000*G42/TrRoad_act!G82)</f>
        <v>49733.839166775419</v>
      </c>
      <c r="H133" s="88">
        <f>IF(H42=0,0,1000000*H42/TrRoad_act!H82)</f>
        <v>77305.738964529999</v>
      </c>
      <c r="I133" s="88">
        <f>IF(I42=0,0,1000000*I42/TrRoad_act!I82)</f>
        <v>65100.748051230097</v>
      </c>
      <c r="J133" s="88">
        <f>IF(J42=0,0,1000000*J42/TrRoad_act!J82)</f>
        <v>58382.67649008728</v>
      </c>
      <c r="K133" s="88">
        <f>IF(K42=0,0,1000000*K42/TrRoad_act!K82)</f>
        <v>60745.919289222613</v>
      </c>
      <c r="L133" s="88">
        <f>IF(L42=0,0,1000000*L42/TrRoad_act!L82)</f>
        <v>82488.297011825271</v>
      </c>
      <c r="M133" s="88">
        <f>IF(M42=0,0,1000000*M42/TrRoad_act!M82)</f>
        <v>71543.556448630072</v>
      </c>
      <c r="N133" s="88">
        <f>IF(N42=0,0,1000000*N42/TrRoad_act!N82)</f>
        <v>91793.818809839853</v>
      </c>
      <c r="O133" s="88">
        <f>IF(O42=0,0,1000000*O42/TrRoad_act!O82)</f>
        <v>86086.971625732898</v>
      </c>
      <c r="P133" s="88">
        <f>IF(P42=0,0,1000000*P42/TrRoad_act!P82)</f>
        <v>89114.454006049142</v>
      </c>
      <c r="Q133" s="88">
        <f>IF(Q42=0,0,1000000*Q42/TrRoad_act!Q82)</f>
        <v>58369.836652429687</v>
      </c>
      <c r="R133" s="88">
        <f>IF(R42=0,0,1000000*R42/TrRoad_act!R82)</f>
        <v>59465.190486825653</v>
      </c>
      <c r="S133" s="88">
        <f>IF(S42=0,0,1000000*S42/TrRoad_act!S82)</f>
        <v>68353.136227748982</v>
      </c>
      <c r="T133" s="88">
        <f>IF(T42=0,0,1000000*T42/TrRoad_act!T82)</f>
        <v>80421.740962333875</v>
      </c>
      <c r="U133" s="88">
        <f>IF(U42=0,0,1000000*U42/TrRoad_act!U82)</f>
        <v>73262.771779237039</v>
      </c>
      <c r="V133" s="88">
        <f>IF(V42=0,0,1000000*V42/TrRoad_act!V82)</f>
        <v>83015.012685413196</v>
      </c>
      <c r="W133" s="88">
        <f>IF(W42=0,0,1000000*W42/TrRoad_act!W82)</f>
        <v>62409.472545811324</v>
      </c>
      <c r="X133" s="88">
        <f>IF(X42=0,0,1000000*X42/TrRoad_act!X82)</f>
        <v>55707.861022139237</v>
      </c>
      <c r="Y133" s="88">
        <f>IF(Y42=0,0,1000000*Y42/TrRoad_act!Y82)</f>
        <v>39728.146256918983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0.70421507241417658</v>
      </c>
      <c r="C136" s="46">
        <f t="shared" si="40"/>
        <v>0.71509844712692694</v>
      </c>
      <c r="D136" s="46">
        <f t="shared" si="40"/>
        <v>0.72221308947088225</v>
      </c>
      <c r="E136" s="46">
        <f t="shared" si="40"/>
        <v>0.73189714848384546</v>
      </c>
      <c r="F136" s="46">
        <f t="shared" si="40"/>
        <v>0.73659498672984158</v>
      </c>
      <c r="G136" s="46">
        <f t="shared" si="40"/>
        <v>0.73771767196782689</v>
      </c>
      <c r="H136" s="46">
        <f t="shared" si="40"/>
        <v>0.71092356931654543</v>
      </c>
      <c r="I136" s="46">
        <f t="shared" si="40"/>
        <v>0.70928409888184707</v>
      </c>
      <c r="J136" s="46">
        <f t="shared" si="40"/>
        <v>0.705871572140232</v>
      </c>
      <c r="K136" s="46">
        <f t="shared" si="40"/>
        <v>0.71319346412334728</v>
      </c>
      <c r="L136" s="46">
        <f t="shared" si="41"/>
        <v>0.69117933664370634</v>
      </c>
      <c r="M136" s="46">
        <f t="shared" si="40"/>
        <v>0.69688978662039525</v>
      </c>
      <c r="N136" s="46">
        <f t="shared" si="40"/>
        <v>0.68119282217567922</v>
      </c>
      <c r="O136" s="46">
        <f t="shared" si="40"/>
        <v>0.68778806073779508</v>
      </c>
      <c r="P136" s="46">
        <f t="shared" si="40"/>
        <v>0.68373528460644317</v>
      </c>
      <c r="Q136" s="46">
        <f t="shared" si="40"/>
        <v>0.70297291645922177</v>
      </c>
      <c r="R136" s="46">
        <f t="shared" si="40"/>
        <v>0.70094068858746206</v>
      </c>
      <c r="S136" s="46">
        <f t="shared" si="40"/>
        <v>0.69112483235955913</v>
      </c>
      <c r="T136" s="46">
        <f t="shared" si="40"/>
        <v>0.67385629815378179</v>
      </c>
      <c r="U136" s="46">
        <f t="shared" si="40"/>
        <v>0.67839285585415676</v>
      </c>
      <c r="V136" s="46">
        <f t="shared" si="40"/>
        <v>0.64324371763355626</v>
      </c>
      <c r="W136" s="46">
        <f t="shared" si="42"/>
        <v>0.65474233605338916</v>
      </c>
      <c r="X136" s="46">
        <f t="shared" si="42"/>
        <v>0.67018139834769097</v>
      </c>
      <c r="Y136" s="46">
        <f t="shared" si="42"/>
        <v>0.69067007726239993</v>
      </c>
      <c r="DA136" s="211"/>
    </row>
    <row r="137" spans="1:105" ht="11.45" customHeight="1" x14ac:dyDescent="0.25">
      <c r="A137" s="153" t="s">
        <v>173</v>
      </c>
      <c r="B137" s="154">
        <f t="shared" si="40"/>
        <v>8.1525241701228997E-3</v>
      </c>
      <c r="C137" s="154">
        <f t="shared" si="40"/>
        <v>8.3254556070560103E-3</v>
      </c>
      <c r="D137" s="154">
        <f t="shared" si="40"/>
        <v>8.6503303849584275E-3</v>
      </c>
      <c r="E137" s="154">
        <f t="shared" si="40"/>
        <v>8.7883588714072897E-3</v>
      </c>
      <c r="F137" s="154">
        <f t="shared" si="40"/>
        <v>9.0145327008056379E-3</v>
      </c>
      <c r="G137" s="154">
        <f t="shared" si="40"/>
        <v>9.4608119976065195E-3</v>
      </c>
      <c r="H137" s="154">
        <f t="shared" si="40"/>
        <v>9.6001782144778634E-3</v>
      </c>
      <c r="I137" s="154">
        <f t="shared" si="40"/>
        <v>8.4373391900545228E-3</v>
      </c>
      <c r="J137" s="154">
        <f t="shared" si="40"/>
        <v>8.3777160302300081E-3</v>
      </c>
      <c r="K137" s="154">
        <f t="shared" si="40"/>
        <v>8.4501116070567778E-3</v>
      </c>
      <c r="L137" s="154">
        <f t="shared" si="41"/>
        <v>8.2123849324402219E-3</v>
      </c>
      <c r="M137" s="154">
        <f t="shared" si="40"/>
        <v>8.3637485752449201E-3</v>
      </c>
      <c r="N137" s="154">
        <f t="shared" si="40"/>
        <v>8.313148828621884E-3</v>
      </c>
      <c r="O137" s="154">
        <f t="shared" si="40"/>
        <v>8.25219151235153E-3</v>
      </c>
      <c r="P137" s="154">
        <f t="shared" si="40"/>
        <v>8.1121797070663002E-3</v>
      </c>
      <c r="Q137" s="154">
        <f t="shared" si="40"/>
        <v>8.3267033573709136E-3</v>
      </c>
      <c r="R137" s="154">
        <f t="shared" si="40"/>
        <v>8.2342000525490473E-3</v>
      </c>
      <c r="S137" s="154">
        <f t="shared" si="40"/>
        <v>7.5887654557067171E-3</v>
      </c>
      <c r="T137" s="154">
        <f t="shared" si="40"/>
        <v>7.4034020820663363E-3</v>
      </c>
      <c r="U137" s="154">
        <f t="shared" si="40"/>
        <v>7.859621350338894E-3</v>
      </c>
      <c r="V137" s="154">
        <f t="shared" si="40"/>
        <v>7.6227297264853727E-3</v>
      </c>
      <c r="W137" s="154">
        <f t="shared" si="42"/>
        <v>8.2674161032173232E-3</v>
      </c>
      <c r="X137" s="154">
        <f t="shared" si="42"/>
        <v>8.2064222400374393E-3</v>
      </c>
      <c r="Y137" s="154">
        <f t="shared" si="42"/>
        <v>9.0366230062382084E-3</v>
      </c>
      <c r="DA137" s="212"/>
    </row>
    <row r="138" spans="1:105" ht="11.45" customHeight="1" x14ac:dyDescent="0.25">
      <c r="A138" s="155" t="s">
        <v>20</v>
      </c>
      <c r="B138" s="156">
        <f t="shared" si="40"/>
        <v>0.65627971772223015</v>
      </c>
      <c r="C138" s="156">
        <f t="shared" si="40"/>
        <v>0.66730425598038712</v>
      </c>
      <c r="D138" s="156">
        <f t="shared" si="40"/>
        <v>0.67502578376829903</v>
      </c>
      <c r="E138" s="156">
        <f t="shared" si="40"/>
        <v>0.68364216205989514</v>
      </c>
      <c r="F138" s="156">
        <f t="shared" si="40"/>
        <v>0.68832620657258858</v>
      </c>
      <c r="G138" s="156">
        <f t="shared" si="40"/>
        <v>0.68917444369612368</v>
      </c>
      <c r="H138" s="156">
        <f t="shared" si="40"/>
        <v>0.66313633950939466</v>
      </c>
      <c r="I138" s="156">
        <f t="shared" si="40"/>
        <v>0.66472815272848629</v>
      </c>
      <c r="J138" s="156">
        <f t="shared" si="40"/>
        <v>0.6617663916021046</v>
      </c>
      <c r="K138" s="156">
        <f t="shared" si="40"/>
        <v>0.66778690672792429</v>
      </c>
      <c r="L138" s="156">
        <f t="shared" si="41"/>
        <v>0.64455022484172486</v>
      </c>
      <c r="M138" s="156">
        <f t="shared" si="40"/>
        <v>0.64838745564743228</v>
      </c>
      <c r="N138" s="156">
        <f t="shared" si="40"/>
        <v>0.63008277473649921</v>
      </c>
      <c r="O138" s="156">
        <f t="shared" si="40"/>
        <v>0.63488907995870392</v>
      </c>
      <c r="P138" s="156">
        <f t="shared" si="40"/>
        <v>0.63064021959887429</v>
      </c>
      <c r="Q138" s="156">
        <f t="shared" si="40"/>
        <v>0.64752577323336358</v>
      </c>
      <c r="R138" s="156">
        <f t="shared" si="40"/>
        <v>0.64553683009932861</v>
      </c>
      <c r="S138" s="156">
        <f t="shared" si="40"/>
        <v>0.63780607035575509</v>
      </c>
      <c r="T138" s="156">
        <f t="shared" si="40"/>
        <v>0.61924722515583197</v>
      </c>
      <c r="U138" s="156">
        <f t="shared" si="40"/>
        <v>0.62423672766185068</v>
      </c>
      <c r="V138" s="156">
        <f t="shared" si="40"/>
        <v>0.58955067739139566</v>
      </c>
      <c r="W138" s="156">
        <f t="shared" si="42"/>
        <v>0.60020064528470585</v>
      </c>
      <c r="X138" s="156">
        <f t="shared" si="42"/>
        <v>0.61340133299648025</v>
      </c>
      <c r="Y138" s="156">
        <f t="shared" si="42"/>
        <v>0.63103599017928902</v>
      </c>
      <c r="DA138" s="213"/>
    </row>
    <row r="139" spans="1:105" ht="11.45" customHeight="1" x14ac:dyDescent="0.25">
      <c r="A139" s="157" t="s">
        <v>110</v>
      </c>
      <c r="B139" s="103">
        <f t="shared" si="40"/>
        <v>0.50400351724152792</v>
      </c>
      <c r="C139" s="103">
        <f t="shared" si="40"/>
        <v>0.49999615414372478</v>
      </c>
      <c r="D139" s="103">
        <f t="shared" si="40"/>
        <v>0.49248732111964083</v>
      </c>
      <c r="E139" s="103">
        <f t="shared" si="40"/>
        <v>0.47638101714330183</v>
      </c>
      <c r="F139" s="103">
        <f t="shared" si="40"/>
        <v>0.46046767418551304</v>
      </c>
      <c r="G139" s="103">
        <f t="shared" si="40"/>
        <v>0.44877229514240724</v>
      </c>
      <c r="H139" s="103">
        <f t="shared" si="40"/>
        <v>0.4319412161387241</v>
      </c>
      <c r="I139" s="103">
        <f t="shared" si="40"/>
        <v>0.42280053586537863</v>
      </c>
      <c r="J139" s="103">
        <f t="shared" si="40"/>
        <v>0.40935429093140818</v>
      </c>
      <c r="K139" s="103">
        <f t="shared" si="40"/>
        <v>0.39190393341357604</v>
      </c>
      <c r="L139" s="103">
        <f t="shared" si="41"/>
        <v>0.37155520067494058</v>
      </c>
      <c r="M139" s="103">
        <f t="shared" si="40"/>
        <v>0.36450463983964171</v>
      </c>
      <c r="N139" s="103">
        <f t="shared" si="40"/>
        <v>0.34467817483418967</v>
      </c>
      <c r="O139" s="103">
        <f t="shared" si="40"/>
        <v>0.33446807812750334</v>
      </c>
      <c r="P139" s="103">
        <f t="shared" si="40"/>
        <v>0.32868845423181908</v>
      </c>
      <c r="Q139" s="103">
        <f t="shared" si="40"/>
        <v>0.31391597945917726</v>
      </c>
      <c r="R139" s="103">
        <f t="shared" si="40"/>
        <v>0.30556302180804834</v>
      </c>
      <c r="S139" s="103">
        <f t="shared" si="40"/>
        <v>0.30573064284260415</v>
      </c>
      <c r="T139" s="103">
        <f t="shared" si="40"/>
        <v>0.30357972664918992</v>
      </c>
      <c r="U139" s="103">
        <f t="shared" si="40"/>
        <v>0.30281739493025489</v>
      </c>
      <c r="V139" s="103">
        <f t="shared" si="40"/>
        <v>0.30247686778586547</v>
      </c>
      <c r="W139" s="103">
        <f t="shared" si="42"/>
        <v>0.30528626265830378</v>
      </c>
      <c r="X139" s="103">
        <f t="shared" si="42"/>
        <v>0.31276224527794377</v>
      </c>
      <c r="Y139" s="103">
        <f t="shared" si="42"/>
        <v>0.3214626320875989</v>
      </c>
      <c r="DA139" s="191"/>
    </row>
    <row r="140" spans="1:105" ht="11.45" customHeight="1" x14ac:dyDescent="0.25">
      <c r="A140" s="157" t="s">
        <v>111</v>
      </c>
      <c r="B140" s="103">
        <f t="shared" si="40"/>
        <v>0.15116642655951801</v>
      </c>
      <c r="C140" s="103">
        <f t="shared" si="40"/>
        <v>0.16619122650323548</v>
      </c>
      <c r="D140" s="103">
        <f t="shared" si="40"/>
        <v>0.18120614913289035</v>
      </c>
      <c r="E140" s="103">
        <f t="shared" si="40"/>
        <v>0.20586578520541379</v>
      </c>
      <c r="F140" s="103">
        <f t="shared" si="40"/>
        <v>0.22598959194025939</v>
      </c>
      <c r="G140" s="103">
        <f t="shared" si="40"/>
        <v>0.23756543775477074</v>
      </c>
      <c r="H140" s="103">
        <f t="shared" si="40"/>
        <v>0.22734231538870261</v>
      </c>
      <c r="I140" s="103">
        <f t="shared" si="40"/>
        <v>0.23609894188373998</v>
      </c>
      <c r="J140" s="103">
        <f t="shared" si="40"/>
        <v>0.24375519967858031</v>
      </c>
      <c r="K140" s="103">
        <f t="shared" si="40"/>
        <v>0.26282964908469619</v>
      </c>
      <c r="L140" s="103">
        <f t="shared" si="41"/>
        <v>0.26040301908042468</v>
      </c>
      <c r="M140" s="103">
        <f t="shared" si="40"/>
        <v>0.27119306338098459</v>
      </c>
      <c r="N140" s="103">
        <f t="shared" si="40"/>
        <v>0.2728396108367393</v>
      </c>
      <c r="O140" s="103">
        <f t="shared" si="40"/>
        <v>0.28853245275454442</v>
      </c>
      <c r="P140" s="103">
        <f t="shared" si="40"/>
        <v>0.28972482554151929</v>
      </c>
      <c r="Q140" s="103">
        <f t="shared" si="40"/>
        <v>0.32235902328552518</v>
      </c>
      <c r="R140" s="103">
        <f t="shared" si="40"/>
        <v>0.33002500383616307</v>
      </c>
      <c r="S140" s="103">
        <f t="shared" si="40"/>
        <v>0.32297118985511858</v>
      </c>
      <c r="T140" s="103">
        <f t="shared" si="40"/>
        <v>0.30516299842454619</v>
      </c>
      <c r="U140" s="103">
        <f t="shared" si="40"/>
        <v>0.31223850544780962</v>
      </c>
      <c r="V140" s="103">
        <f t="shared" si="40"/>
        <v>0.27906539660707008</v>
      </c>
      <c r="W140" s="103">
        <f t="shared" si="42"/>
        <v>0.2859794868519962</v>
      </c>
      <c r="X140" s="103">
        <f t="shared" si="42"/>
        <v>0.2931192827298752</v>
      </c>
      <c r="Y140" s="103">
        <f t="shared" si="42"/>
        <v>0.30022018281428503</v>
      </c>
      <c r="DA140" s="191"/>
    </row>
    <row r="141" spans="1:105" ht="11.45" customHeight="1" x14ac:dyDescent="0.25">
      <c r="A141" s="157" t="s">
        <v>112</v>
      </c>
      <c r="B141" s="103">
        <f t="shared" si="40"/>
        <v>1.1097739211843002E-3</v>
      </c>
      <c r="C141" s="103">
        <f t="shared" si="40"/>
        <v>1.1168753334268886E-3</v>
      </c>
      <c r="D141" s="103">
        <f t="shared" si="40"/>
        <v>1.3323135157678845E-3</v>
      </c>
      <c r="E141" s="103">
        <f t="shared" si="40"/>
        <v>1.3953597111794284E-3</v>
      </c>
      <c r="F141" s="103">
        <f t="shared" si="40"/>
        <v>1.8689404468162027E-3</v>
      </c>
      <c r="G141" s="103">
        <f t="shared" si="40"/>
        <v>2.1641437388308098E-3</v>
      </c>
      <c r="H141" s="103">
        <f t="shared" si="40"/>
        <v>3.082852470909064E-3</v>
      </c>
      <c r="I141" s="103">
        <f t="shared" si="40"/>
        <v>5.061327179408423E-3</v>
      </c>
      <c r="J141" s="103">
        <f t="shared" si="40"/>
        <v>7.9333247175940157E-3</v>
      </c>
      <c r="K141" s="103">
        <f t="shared" si="40"/>
        <v>1.1587546334300544E-2</v>
      </c>
      <c r="L141" s="103">
        <f t="shared" si="41"/>
        <v>1.1156246693767941E-2</v>
      </c>
      <c r="M141" s="103">
        <f t="shared" si="40"/>
        <v>1.1187756873720084E-2</v>
      </c>
      <c r="N141" s="103">
        <f t="shared" si="40"/>
        <v>1.1214554577689488E-2</v>
      </c>
      <c r="O141" s="103">
        <f t="shared" si="40"/>
        <v>1.0591414776479697E-2</v>
      </c>
      <c r="P141" s="103">
        <f t="shared" si="40"/>
        <v>1.0905513829039147E-2</v>
      </c>
      <c r="Q141" s="103">
        <f t="shared" si="40"/>
        <v>9.9736424895666559E-3</v>
      </c>
      <c r="R141" s="103">
        <f t="shared" si="40"/>
        <v>8.7120061047825745E-3</v>
      </c>
      <c r="S141" s="103">
        <f t="shared" si="40"/>
        <v>7.9052781271006147E-3</v>
      </c>
      <c r="T141" s="103">
        <f t="shared" si="40"/>
        <v>9.1716867355557709E-3</v>
      </c>
      <c r="U141" s="103">
        <f t="shared" si="40"/>
        <v>7.7955528619005274E-3</v>
      </c>
      <c r="V141" s="103">
        <f t="shared" si="40"/>
        <v>6.3521945704723857E-3</v>
      </c>
      <c r="W141" s="103">
        <f t="shared" si="42"/>
        <v>6.0420677376317768E-3</v>
      </c>
      <c r="X141" s="103">
        <f t="shared" si="42"/>
        <v>3.8991373783925816E-3</v>
      </c>
      <c r="Y141" s="103">
        <f t="shared" si="42"/>
        <v>5.4183512026910333E-3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6.7256706011493256E-4</v>
      </c>
      <c r="H142" s="103">
        <f t="shared" si="40"/>
        <v>7.6995551105891937E-4</v>
      </c>
      <c r="I142" s="103">
        <f t="shared" si="40"/>
        <v>7.6734779995927844E-4</v>
      </c>
      <c r="J142" s="103">
        <f t="shared" si="40"/>
        <v>7.2357627452211172E-4</v>
      </c>
      <c r="K142" s="103">
        <f t="shared" si="40"/>
        <v>1.4657778953514338E-3</v>
      </c>
      <c r="L142" s="103">
        <f t="shared" si="41"/>
        <v>1.4357583925916758E-3</v>
      </c>
      <c r="M142" s="103">
        <f t="shared" si="40"/>
        <v>1.5009220395423987E-3</v>
      </c>
      <c r="N142" s="103">
        <f t="shared" si="40"/>
        <v>1.3465341190848894E-3</v>
      </c>
      <c r="O142" s="103">
        <f t="shared" si="40"/>
        <v>1.287599472809438E-3</v>
      </c>
      <c r="P142" s="103">
        <f t="shared" si="40"/>
        <v>1.3012277955031289E-3</v>
      </c>
      <c r="Q142" s="103">
        <f t="shared" si="40"/>
        <v>1.2262291269987727E-3</v>
      </c>
      <c r="R142" s="103">
        <f t="shared" si="40"/>
        <v>1.1458250371726303E-3</v>
      </c>
      <c r="S142" s="103">
        <f t="shared" si="40"/>
        <v>1.0671269184118356E-3</v>
      </c>
      <c r="T142" s="103">
        <f t="shared" si="40"/>
        <v>1.1245883704834746E-3</v>
      </c>
      <c r="U142" s="103">
        <f t="shared" si="40"/>
        <v>1.0376591624843552E-3</v>
      </c>
      <c r="V142" s="103">
        <f t="shared" si="40"/>
        <v>8.8612256357375227E-4</v>
      </c>
      <c r="W142" s="103">
        <f t="shared" si="42"/>
        <v>1.3587686297209548E-3</v>
      </c>
      <c r="X142" s="103">
        <f t="shared" si="42"/>
        <v>1.4032358238814423E-3</v>
      </c>
      <c r="Y142" s="103">
        <f t="shared" si="42"/>
        <v>1.4988576589280017E-3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1.0735135434963061E-6</v>
      </c>
      <c r="N143" s="103">
        <f t="shared" si="40"/>
        <v>3.9003687959929254E-6</v>
      </c>
      <c r="O143" s="103">
        <f t="shared" si="40"/>
        <v>9.5348273670225214E-6</v>
      </c>
      <c r="P143" s="103">
        <f t="shared" si="40"/>
        <v>2.0198200993674096E-5</v>
      </c>
      <c r="Q143" s="103">
        <f t="shared" si="40"/>
        <v>5.0898872095689114E-5</v>
      </c>
      <c r="R143" s="103">
        <f t="shared" si="40"/>
        <v>9.0973313161867462E-5</v>
      </c>
      <c r="S143" s="103">
        <f t="shared" si="40"/>
        <v>1.3183261251983351E-4</v>
      </c>
      <c r="T143" s="103">
        <f t="shared" si="40"/>
        <v>2.0822497605653127E-4</v>
      </c>
      <c r="U143" s="103">
        <f t="shared" si="40"/>
        <v>3.4761525940127201E-4</v>
      </c>
      <c r="V143" s="103">
        <f t="shared" si="40"/>
        <v>7.700958644138602E-4</v>
      </c>
      <c r="W143" s="103">
        <f t="shared" si="42"/>
        <v>1.5340594070530366E-3</v>
      </c>
      <c r="X143" s="103">
        <f t="shared" si="42"/>
        <v>2.2174317863873014E-3</v>
      </c>
      <c r="Y143" s="103">
        <f t="shared" si="42"/>
        <v>2.4359664157861827E-3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3.9782830521823472E-2</v>
      </c>
      <c r="C145" s="156">
        <f t="shared" si="40"/>
        <v>3.9468735539483754E-2</v>
      </c>
      <c r="D145" s="156">
        <f t="shared" si="40"/>
        <v>3.853697531762483E-2</v>
      </c>
      <c r="E145" s="156">
        <f t="shared" si="40"/>
        <v>3.9466627552543029E-2</v>
      </c>
      <c r="F145" s="156">
        <f t="shared" si="40"/>
        <v>3.9254247456447365E-2</v>
      </c>
      <c r="G145" s="156">
        <f t="shared" si="40"/>
        <v>3.9082416274096657E-2</v>
      </c>
      <c r="H145" s="156">
        <f t="shared" si="40"/>
        <v>3.818705159267291E-2</v>
      </c>
      <c r="I145" s="156">
        <f t="shared" si="40"/>
        <v>3.6118606963306238E-2</v>
      </c>
      <c r="J145" s="156">
        <f t="shared" si="40"/>
        <v>3.5727464507897384E-2</v>
      </c>
      <c r="K145" s="156">
        <f t="shared" si="40"/>
        <v>3.6956445788366231E-2</v>
      </c>
      <c r="L145" s="156">
        <f t="shared" si="41"/>
        <v>3.8416726869541319E-2</v>
      </c>
      <c r="M145" s="156">
        <f t="shared" si="40"/>
        <v>4.0138582397717927E-2</v>
      </c>
      <c r="N145" s="156">
        <f t="shared" si="40"/>
        <v>4.2796898610558069E-2</v>
      </c>
      <c r="O145" s="156">
        <f t="shared" si="40"/>
        <v>4.4646789266739574E-2</v>
      </c>
      <c r="P145" s="156">
        <f t="shared" si="40"/>
        <v>4.4982885300502616E-2</v>
      </c>
      <c r="Q145" s="156">
        <f t="shared" si="40"/>
        <v>4.7120439868487358E-2</v>
      </c>
      <c r="R145" s="156">
        <f t="shared" si="40"/>
        <v>4.716965843558444E-2</v>
      </c>
      <c r="S145" s="156">
        <f t="shared" si="40"/>
        <v>4.5729996548097403E-2</v>
      </c>
      <c r="T145" s="156">
        <f t="shared" si="40"/>
        <v>4.7205670915883569E-2</v>
      </c>
      <c r="U145" s="156">
        <f t="shared" si="40"/>
        <v>4.6296506841967233E-2</v>
      </c>
      <c r="V145" s="156">
        <f t="shared" si="40"/>
        <v>4.6070310515675304E-2</v>
      </c>
      <c r="W145" s="156">
        <f t="shared" si="42"/>
        <v>4.6274274665465888E-2</v>
      </c>
      <c r="X145" s="156">
        <f t="shared" si="42"/>
        <v>4.8573643111173272E-2</v>
      </c>
      <c r="Y145" s="156">
        <f t="shared" si="42"/>
        <v>5.0597464076872697E-2</v>
      </c>
      <c r="DA145" s="213"/>
    </row>
    <row r="146" spans="1:105" ht="11.45" customHeight="1" x14ac:dyDescent="0.25">
      <c r="A146" s="157" t="s">
        <v>110</v>
      </c>
      <c r="B146" s="103">
        <f t="shared" si="40"/>
        <v>0</v>
      </c>
      <c r="C146" s="103">
        <f t="shared" si="40"/>
        <v>0</v>
      </c>
      <c r="D146" s="103">
        <f t="shared" si="40"/>
        <v>0</v>
      </c>
      <c r="E146" s="103">
        <f t="shared" si="40"/>
        <v>0</v>
      </c>
      <c r="F146" s="103">
        <f t="shared" si="40"/>
        <v>0</v>
      </c>
      <c r="G146" s="103">
        <f t="shared" si="40"/>
        <v>0</v>
      </c>
      <c r="H146" s="103">
        <f t="shared" si="40"/>
        <v>0</v>
      </c>
      <c r="I146" s="103">
        <f t="shared" si="40"/>
        <v>0</v>
      </c>
      <c r="J146" s="103">
        <f t="shared" si="40"/>
        <v>0</v>
      </c>
      <c r="K146" s="103">
        <f t="shared" si="40"/>
        <v>0</v>
      </c>
      <c r="L146" s="103">
        <f t="shared" si="41"/>
        <v>0</v>
      </c>
      <c r="M146" s="103">
        <f t="shared" si="40"/>
        <v>0</v>
      </c>
      <c r="N146" s="103">
        <f t="shared" si="40"/>
        <v>0</v>
      </c>
      <c r="O146" s="103">
        <f t="shared" si="40"/>
        <v>0</v>
      </c>
      <c r="P146" s="103">
        <f t="shared" si="40"/>
        <v>0</v>
      </c>
      <c r="Q146" s="103">
        <f t="shared" si="40"/>
        <v>0</v>
      </c>
      <c r="R146" s="103">
        <f t="shared" si="40"/>
        <v>0</v>
      </c>
      <c r="S146" s="103">
        <f t="shared" si="40"/>
        <v>0</v>
      </c>
      <c r="T146" s="103">
        <f t="shared" si="40"/>
        <v>0</v>
      </c>
      <c r="U146" s="103">
        <f t="shared" si="40"/>
        <v>0</v>
      </c>
      <c r="V146" s="103">
        <f t="shared" si="40"/>
        <v>0</v>
      </c>
      <c r="W146" s="103">
        <f t="shared" si="42"/>
        <v>0</v>
      </c>
      <c r="X146" s="103">
        <f t="shared" si="42"/>
        <v>0</v>
      </c>
      <c r="Y146" s="103">
        <f t="shared" si="42"/>
        <v>0</v>
      </c>
      <c r="DA146" s="191"/>
    </row>
    <row r="147" spans="1:105" ht="11.45" customHeight="1" x14ac:dyDescent="0.25">
      <c r="A147" s="157" t="s">
        <v>111</v>
      </c>
      <c r="B147" s="103">
        <f t="shared" si="40"/>
        <v>3.9525362925364418E-2</v>
      </c>
      <c r="C147" s="103">
        <f t="shared" si="40"/>
        <v>3.9111581512179222E-2</v>
      </c>
      <c r="D147" s="103">
        <f t="shared" si="40"/>
        <v>3.8064905885670873E-2</v>
      </c>
      <c r="E147" s="103">
        <f t="shared" si="40"/>
        <v>3.8855553323624697E-2</v>
      </c>
      <c r="F147" s="103">
        <f t="shared" si="40"/>
        <v>3.8457465795805661E-2</v>
      </c>
      <c r="G147" s="103">
        <f t="shared" si="40"/>
        <v>3.8576482891569168E-2</v>
      </c>
      <c r="H147" s="103">
        <f t="shared" si="40"/>
        <v>3.7500656685135872E-2</v>
      </c>
      <c r="I147" s="103">
        <f t="shared" si="40"/>
        <v>3.5419937186660262E-2</v>
      </c>
      <c r="J147" s="103">
        <f t="shared" si="40"/>
        <v>3.5199732977614473E-2</v>
      </c>
      <c r="K147" s="103">
        <f t="shared" si="40"/>
        <v>3.6355050773758259E-2</v>
      </c>
      <c r="L147" s="103">
        <f t="shared" si="41"/>
        <v>3.7927861035345123E-2</v>
      </c>
      <c r="M147" s="103">
        <f t="shared" si="40"/>
        <v>3.9261000446992669E-2</v>
      </c>
      <c r="N147" s="103">
        <f t="shared" si="40"/>
        <v>4.1621302504979286E-2</v>
      </c>
      <c r="O147" s="103">
        <f t="shared" si="40"/>
        <v>4.3354550066046653E-2</v>
      </c>
      <c r="P147" s="103">
        <f t="shared" si="40"/>
        <v>4.3729664887689527E-2</v>
      </c>
      <c r="Q147" s="103">
        <f t="shared" si="40"/>
        <v>4.5815571937633477E-2</v>
      </c>
      <c r="R147" s="103">
        <f t="shared" ref="R147:V147" si="43">IF(R29=0,0,R29/R$17)</f>
        <v>4.6056399008534012E-2</v>
      </c>
      <c r="S147" s="103">
        <f t="shared" si="43"/>
        <v>4.4863013308926773E-2</v>
      </c>
      <c r="T147" s="103">
        <f t="shared" si="43"/>
        <v>4.6577075423398936E-2</v>
      </c>
      <c r="U147" s="103">
        <f t="shared" si="43"/>
        <v>4.5318413988209023E-2</v>
      </c>
      <c r="V147" s="103">
        <f t="shared" si="43"/>
        <v>4.4829988055006612E-2</v>
      </c>
      <c r="W147" s="103">
        <f t="shared" ref="W147:Y147" si="44">IF(W29=0,0,W29/W$17)</f>
        <v>4.4848971794143669E-2</v>
      </c>
      <c r="X147" s="103">
        <f t="shared" si="44"/>
        <v>4.5478219383045658E-2</v>
      </c>
      <c r="Y147" s="103">
        <f t="shared" si="44"/>
        <v>4.7189793522385705E-2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0</v>
      </c>
      <c r="C148" s="103">
        <f t="shared" si="45"/>
        <v>0</v>
      </c>
      <c r="D148" s="103">
        <f t="shared" si="45"/>
        <v>0</v>
      </c>
      <c r="E148" s="103">
        <f t="shared" si="45"/>
        <v>0</v>
      </c>
      <c r="F148" s="103">
        <f t="shared" si="45"/>
        <v>1.660281164061432E-6</v>
      </c>
      <c r="G148" s="103">
        <f t="shared" si="45"/>
        <v>1.7773194684612414E-6</v>
      </c>
      <c r="H148" s="103">
        <f t="shared" si="45"/>
        <v>1.8622108651877996E-6</v>
      </c>
      <c r="I148" s="103">
        <f t="shared" si="45"/>
        <v>2.4582261126933891E-6</v>
      </c>
      <c r="J148" s="103">
        <f t="shared" si="45"/>
        <v>3.3653431194340976E-6</v>
      </c>
      <c r="K148" s="103">
        <f t="shared" si="45"/>
        <v>4.4317031782615644E-6</v>
      </c>
      <c r="L148" s="103">
        <f t="shared" ref="L148:L150" si="46">IF(L30=0,0,L30/L$17)</f>
        <v>4.7896550310138101E-6</v>
      </c>
      <c r="M148" s="103">
        <f t="shared" ref="M148:V148" si="47">IF(M30=0,0,M30/M$17)</f>
        <v>4.5750612376515432E-6</v>
      </c>
      <c r="N148" s="103">
        <f t="shared" si="47"/>
        <v>4.4978777268704513E-6</v>
      </c>
      <c r="O148" s="103">
        <f t="shared" si="47"/>
        <v>4.2700676832887956E-6</v>
      </c>
      <c r="P148" s="103">
        <f t="shared" si="47"/>
        <v>4.1136133861716546E-6</v>
      </c>
      <c r="Q148" s="103">
        <f t="shared" si="47"/>
        <v>4.1140992390209222E-6</v>
      </c>
      <c r="R148" s="103">
        <f t="shared" si="47"/>
        <v>4.0776047746361398E-6</v>
      </c>
      <c r="S148" s="103">
        <f t="shared" si="47"/>
        <v>3.7285021154453861E-6</v>
      </c>
      <c r="T148" s="103">
        <f t="shared" si="47"/>
        <v>3.804624343752913E-6</v>
      </c>
      <c r="U148" s="103">
        <f t="shared" si="47"/>
        <v>3.9375186554474058E-6</v>
      </c>
      <c r="V148" s="103">
        <f t="shared" si="47"/>
        <v>3.6816154432856295E-6</v>
      </c>
      <c r="W148" s="103">
        <f t="shared" ref="W148:Y148" si="48">IF(W30=0,0,W30/W$17)</f>
        <v>3.7625250176704278E-6</v>
      </c>
      <c r="X148" s="103">
        <f t="shared" si="48"/>
        <v>2.9891160674267304E-6</v>
      </c>
      <c r="Y148" s="103">
        <f t="shared" si="48"/>
        <v>1.9471024543952474E-6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2.5746759645905613E-4</v>
      </c>
      <c r="C149" s="103">
        <f t="shared" si="49"/>
        <v>3.5715402730453384E-4</v>
      </c>
      <c r="D149" s="103">
        <f t="shared" si="49"/>
        <v>4.7206943195396092E-4</v>
      </c>
      <c r="E149" s="103">
        <f t="shared" si="49"/>
        <v>6.110742289183234E-4</v>
      </c>
      <c r="F149" s="103">
        <f t="shared" si="49"/>
        <v>7.9512137947764709E-4</v>
      </c>
      <c r="G149" s="103">
        <f t="shared" si="49"/>
        <v>5.0415606305902801E-4</v>
      </c>
      <c r="H149" s="103">
        <f t="shared" si="49"/>
        <v>6.8453269667184712E-4</v>
      </c>
      <c r="I149" s="103">
        <f t="shared" si="49"/>
        <v>6.9621155053328158E-4</v>
      </c>
      <c r="J149" s="103">
        <f t="shared" si="49"/>
        <v>5.2436618716347251E-4</v>
      </c>
      <c r="K149" s="103">
        <f t="shared" si="49"/>
        <v>5.9696331142970781E-4</v>
      </c>
      <c r="L149" s="103">
        <f t="shared" si="46"/>
        <v>4.8407617916517657E-4</v>
      </c>
      <c r="M149" s="103">
        <f t="shared" ref="M149:V149" si="50">IF(M31=0,0,M31/M$17)</f>
        <v>8.7300688948760625E-4</v>
      </c>
      <c r="N149" s="103">
        <f t="shared" si="50"/>
        <v>1.1710982278519187E-3</v>
      </c>
      <c r="O149" s="103">
        <f t="shared" si="50"/>
        <v>1.2879691330096379E-3</v>
      </c>
      <c r="P149" s="103">
        <f t="shared" si="50"/>
        <v>1.249106799426919E-3</v>
      </c>
      <c r="Q149" s="103">
        <f t="shared" si="50"/>
        <v>1.3007538316148568E-3</v>
      </c>
      <c r="R149" s="103">
        <f t="shared" si="50"/>
        <v>1.1091818222757927E-3</v>
      </c>
      <c r="S149" s="103">
        <f t="shared" si="50"/>
        <v>8.6325473705518472E-4</v>
      </c>
      <c r="T149" s="103">
        <f t="shared" si="50"/>
        <v>6.2479086814087815E-4</v>
      </c>
      <c r="U149" s="103">
        <f t="shared" si="50"/>
        <v>9.7415533510276161E-4</v>
      </c>
      <c r="V149" s="103">
        <f t="shared" si="50"/>
        <v>1.2366408452254083E-3</v>
      </c>
      <c r="W149" s="103">
        <f t="shared" ref="W149:Y149" si="51">IF(W31=0,0,W31/W$17)</f>
        <v>1.4215403463045454E-3</v>
      </c>
      <c r="X149" s="103">
        <f t="shared" si="51"/>
        <v>3.0924346120601827E-3</v>
      </c>
      <c r="Y149" s="103">
        <f t="shared" si="51"/>
        <v>3.4057234520326021E-3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0.29578492758582331</v>
      </c>
      <c r="C151" s="46">
        <f t="shared" si="55"/>
        <v>0.28490155287307312</v>
      </c>
      <c r="D151" s="46">
        <f t="shared" si="55"/>
        <v>0.27778691052911769</v>
      </c>
      <c r="E151" s="46">
        <f t="shared" si="55"/>
        <v>0.26810285151615465</v>
      </c>
      <c r="F151" s="46">
        <f t="shared" si="55"/>
        <v>0.26340501327015836</v>
      </c>
      <c r="G151" s="46">
        <f t="shared" si="55"/>
        <v>0.26228232803217311</v>
      </c>
      <c r="H151" s="46">
        <f t="shared" si="55"/>
        <v>0.28907643068345468</v>
      </c>
      <c r="I151" s="46">
        <f t="shared" si="55"/>
        <v>0.29071590111815299</v>
      </c>
      <c r="J151" s="46">
        <f t="shared" si="55"/>
        <v>0.29412842785976789</v>
      </c>
      <c r="K151" s="46">
        <f t="shared" si="55"/>
        <v>0.28680653587665278</v>
      </c>
      <c r="L151" s="46">
        <f t="shared" ref="L151" si="56">IF(L33=0,0,L33/L$17)</f>
        <v>0.30882066335629371</v>
      </c>
      <c r="M151" s="46">
        <f t="shared" ref="M151:V151" si="57">IF(M33=0,0,M33/M$17)</f>
        <v>0.30311021337960486</v>
      </c>
      <c r="N151" s="46">
        <f t="shared" si="57"/>
        <v>0.31880717782432078</v>
      </c>
      <c r="O151" s="46">
        <f t="shared" si="57"/>
        <v>0.31221193926220497</v>
      </c>
      <c r="P151" s="46">
        <f t="shared" si="57"/>
        <v>0.31626471539355672</v>
      </c>
      <c r="Q151" s="46">
        <f t="shared" si="57"/>
        <v>0.29702708354077817</v>
      </c>
      <c r="R151" s="46">
        <f t="shared" si="57"/>
        <v>0.29905931141253794</v>
      </c>
      <c r="S151" s="46">
        <f t="shared" si="57"/>
        <v>0.30887516764044087</v>
      </c>
      <c r="T151" s="46">
        <f t="shared" si="57"/>
        <v>0.32614370184621821</v>
      </c>
      <c r="U151" s="46">
        <f t="shared" si="57"/>
        <v>0.32160714414584335</v>
      </c>
      <c r="V151" s="46">
        <f t="shared" si="57"/>
        <v>0.35675628236644358</v>
      </c>
      <c r="W151" s="46">
        <f t="shared" ref="W151:Y151" si="58">IF(W33=0,0,W33/W$17)</f>
        <v>0.34525766394661078</v>
      </c>
      <c r="X151" s="46">
        <f t="shared" si="58"/>
        <v>0.32981860165230914</v>
      </c>
      <c r="Y151" s="46">
        <f t="shared" si="58"/>
        <v>0.30932992273759996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6.0913671566036033E-2</v>
      </c>
      <c r="C152" s="154">
        <f t="shared" si="59"/>
        <v>6.3417576825928745E-2</v>
      </c>
      <c r="D152" s="154">
        <f t="shared" si="59"/>
        <v>6.3466737764126452E-2</v>
      </c>
      <c r="E152" s="154">
        <f t="shared" si="59"/>
        <v>6.7589151782592449E-2</v>
      </c>
      <c r="F152" s="154">
        <f t="shared" si="59"/>
        <v>6.4987520837670537E-2</v>
      </c>
      <c r="G152" s="154">
        <f t="shared" si="59"/>
        <v>6.6947671015656532E-2</v>
      </c>
      <c r="H152" s="154">
        <f t="shared" si="59"/>
        <v>6.3629425746656976E-2</v>
      </c>
      <c r="I152" s="154">
        <f t="shared" si="59"/>
        <v>6.3363242888982318E-2</v>
      </c>
      <c r="J152" s="154">
        <f t="shared" si="59"/>
        <v>6.3449672246154748E-2</v>
      </c>
      <c r="K152" s="154">
        <f t="shared" si="59"/>
        <v>6.5530380686555728E-2</v>
      </c>
      <c r="L152" s="154">
        <f t="shared" ref="L152" si="60">IF(L34=0,0,L34/L$17)</f>
        <v>6.299544808926695E-2</v>
      </c>
      <c r="M152" s="154">
        <f t="shared" ref="M152:V152" si="61">IF(M34=0,0,M34/M$17)</f>
        <v>6.3601312311655375E-2</v>
      </c>
      <c r="N152" s="154">
        <f t="shared" si="61"/>
        <v>6.2395299271365542E-2</v>
      </c>
      <c r="O152" s="154">
        <f t="shared" si="61"/>
        <v>6.4141887699434949E-2</v>
      </c>
      <c r="P152" s="154">
        <f t="shared" si="61"/>
        <v>6.5250541279542218E-2</v>
      </c>
      <c r="Q152" s="154">
        <f t="shared" si="61"/>
        <v>7.3823372792814312E-2</v>
      </c>
      <c r="R152" s="154">
        <f t="shared" si="61"/>
        <v>7.6369494094770979E-2</v>
      </c>
      <c r="S152" s="154">
        <f t="shared" si="61"/>
        <v>7.6288854402944667E-2</v>
      </c>
      <c r="T152" s="154">
        <f t="shared" si="61"/>
        <v>7.5117602425371133E-2</v>
      </c>
      <c r="U152" s="154">
        <f t="shared" si="61"/>
        <v>7.8744335830877032E-2</v>
      </c>
      <c r="V152" s="154">
        <f t="shared" si="61"/>
        <v>8.0368283143539651E-2</v>
      </c>
      <c r="W152" s="154">
        <f t="shared" ref="W152:Y152" si="62">IF(W34=0,0,W34/W$17)</f>
        <v>8.7129182001797451E-2</v>
      </c>
      <c r="X152" s="154">
        <f t="shared" si="62"/>
        <v>8.9009712062213905E-2</v>
      </c>
      <c r="Y152" s="154">
        <f t="shared" si="62"/>
        <v>9.4213490098306124E-2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5.8963611182632214E-3</v>
      </c>
      <c r="C153" s="103">
        <f t="shared" si="63"/>
        <v>5.6134052383212726E-3</v>
      </c>
      <c r="D153" s="103">
        <f t="shared" si="63"/>
        <v>5.3969369912641721E-3</v>
      </c>
      <c r="E153" s="103">
        <f t="shared" si="63"/>
        <v>5.0881134229113657E-3</v>
      </c>
      <c r="F153" s="103">
        <f t="shared" si="63"/>
        <v>4.6488624759700396E-3</v>
      </c>
      <c r="G153" s="103">
        <f t="shared" si="63"/>
        <v>4.4369561114621613E-3</v>
      </c>
      <c r="H153" s="103">
        <f t="shared" si="63"/>
        <v>3.9748555816099748E-3</v>
      </c>
      <c r="I153" s="103">
        <f t="shared" si="63"/>
        <v>3.937719359237468E-3</v>
      </c>
      <c r="J153" s="103">
        <f t="shared" si="63"/>
        <v>3.4073523476191429E-3</v>
      </c>
      <c r="K153" s="103">
        <f t="shared" si="63"/>
        <v>3.1662776112530862E-3</v>
      </c>
      <c r="L153" s="103">
        <f t="shared" ref="L153" si="64">IF(L35=0,0,L35/L$17)</f>
        <v>2.8901244050765747E-3</v>
      </c>
      <c r="M153" s="103">
        <f t="shared" ref="M153:V153" si="65">IF(M35=0,0,M35/M$17)</f>
        <v>2.7408684055589268E-3</v>
      </c>
      <c r="N153" s="103">
        <f t="shared" si="65"/>
        <v>2.5243003990059049E-3</v>
      </c>
      <c r="O153" s="103">
        <f t="shared" si="65"/>
        <v>2.3778795259295172E-3</v>
      </c>
      <c r="P153" s="103">
        <f t="shared" si="65"/>
        <v>2.311468615576844E-3</v>
      </c>
      <c r="Q153" s="103">
        <f t="shared" si="65"/>
        <v>2.2562244514037458E-3</v>
      </c>
      <c r="R153" s="103">
        <f t="shared" si="65"/>
        <v>2.3245387586295794E-3</v>
      </c>
      <c r="S153" s="103">
        <f t="shared" si="65"/>
        <v>2.4068415626174546E-3</v>
      </c>
      <c r="T153" s="103">
        <f t="shared" si="65"/>
        <v>2.5250897289601109E-3</v>
      </c>
      <c r="U153" s="103">
        <f t="shared" si="65"/>
        <v>2.5586916619504013E-3</v>
      </c>
      <c r="V153" s="103">
        <f t="shared" si="65"/>
        <v>2.8025223707154995E-3</v>
      </c>
      <c r="W153" s="103">
        <f t="shared" ref="W153:Y153" si="66">IF(W35=0,0,W35/W$17)</f>
        <v>3.2445100211126315E-3</v>
      </c>
      <c r="X153" s="103">
        <f t="shared" si="66"/>
        <v>3.3825298337495425E-3</v>
      </c>
      <c r="Y153" s="103">
        <f t="shared" si="66"/>
        <v>3.4282729728748792E-3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5.5017310447772819E-2</v>
      </c>
      <c r="C154" s="103">
        <f t="shared" si="67"/>
        <v>5.7804171587607478E-2</v>
      </c>
      <c r="D154" s="103">
        <f t="shared" si="67"/>
        <v>5.8069800772862272E-2</v>
      </c>
      <c r="E154" s="103">
        <f t="shared" si="67"/>
        <v>6.2501038359681085E-2</v>
      </c>
      <c r="F154" s="103">
        <f t="shared" si="67"/>
        <v>6.0338658361700506E-2</v>
      </c>
      <c r="G154" s="103">
        <f t="shared" si="67"/>
        <v>6.2510714904194381E-2</v>
      </c>
      <c r="H154" s="103">
        <f t="shared" si="67"/>
        <v>5.9348592990413146E-2</v>
      </c>
      <c r="I154" s="103">
        <f t="shared" si="67"/>
        <v>5.9020041216545673E-2</v>
      </c>
      <c r="J154" s="103">
        <f t="shared" si="67"/>
        <v>5.9505449697324908E-2</v>
      </c>
      <c r="K154" s="103">
        <f t="shared" si="67"/>
        <v>6.1753996886332339E-2</v>
      </c>
      <c r="L154" s="103">
        <f t="shared" ref="L154" si="68">IF(L36=0,0,L36/L$17)</f>
        <v>5.9475478382461117E-2</v>
      </c>
      <c r="M154" s="103">
        <f t="shared" ref="M154:V154" si="69">IF(M36=0,0,M36/M$17)</f>
        <v>6.0238425935982338E-2</v>
      </c>
      <c r="N154" s="103">
        <f t="shared" si="69"/>
        <v>5.9277719351880462E-2</v>
      </c>
      <c r="O154" s="103">
        <f t="shared" si="69"/>
        <v>6.1201184319926639E-2</v>
      </c>
      <c r="P154" s="103">
        <f t="shared" si="69"/>
        <v>6.2358837432259943E-2</v>
      </c>
      <c r="Q154" s="103">
        <f t="shared" si="69"/>
        <v>7.0966412035642551E-2</v>
      </c>
      <c r="R154" s="103">
        <f t="shared" si="69"/>
        <v>7.3448989345327467E-2</v>
      </c>
      <c r="S154" s="103">
        <f t="shared" si="69"/>
        <v>7.3278366467697059E-2</v>
      </c>
      <c r="T154" s="103">
        <f t="shared" si="69"/>
        <v>7.1979330251744383E-2</v>
      </c>
      <c r="U154" s="103">
        <f t="shared" si="69"/>
        <v>7.5582551361053407E-2</v>
      </c>
      <c r="V154" s="103">
        <f t="shared" si="69"/>
        <v>7.6920440355288305E-2</v>
      </c>
      <c r="W154" s="103">
        <f t="shared" ref="W154:Y154" si="70">IF(W36=0,0,W36/W$17)</f>
        <v>8.3058258940301846E-2</v>
      </c>
      <c r="X154" s="103">
        <f t="shared" si="70"/>
        <v>8.4787216387955222E-2</v>
      </c>
      <c r="Y154" s="103">
        <f t="shared" si="70"/>
        <v>8.9959755813046105E-2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0</v>
      </c>
      <c r="C155" s="103">
        <f t="shared" si="71"/>
        <v>0</v>
      </c>
      <c r="D155" s="103">
        <f t="shared" si="71"/>
        <v>0</v>
      </c>
      <c r="E155" s="103">
        <f t="shared" si="71"/>
        <v>0</v>
      </c>
      <c r="F155" s="103">
        <f t="shared" si="71"/>
        <v>0</v>
      </c>
      <c r="G155" s="103">
        <f t="shared" si="71"/>
        <v>0</v>
      </c>
      <c r="H155" s="103">
        <f t="shared" si="71"/>
        <v>6.9466547150204581E-5</v>
      </c>
      <c r="I155" s="103">
        <f t="shared" si="71"/>
        <v>1.0603536693641662E-4</v>
      </c>
      <c r="J155" s="103">
        <f t="shared" si="71"/>
        <v>1.9481024669746168E-4</v>
      </c>
      <c r="K155" s="103">
        <f t="shared" si="71"/>
        <v>2.4762795877081398E-4</v>
      </c>
      <c r="L155" s="103">
        <f t="shared" ref="L155" si="72">IF(L37=0,0,L37/L$17)</f>
        <v>2.744184708011496E-4</v>
      </c>
      <c r="M155" s="103">
        <f t="shared" ref="M155:V155" si="73">IF(M37=0,0,M37/M$17)</f>
        <v>3.0063073007171155E-4</v>
      </c>
      <c r="N155" s="103">
        <f t="shared" si="73"/>
        <v>3.3606165773895761E-4</v>
      </c>
      <c r="O155" s="103">
        <f t="shared" si="73"/>
        <v>3.4366845220933312E-4</v>
      </c>
      <c r="P155" s="103">
        <f t="shared" si="73"/>
        <v>3.6711728569381255E-4</v>
      </c>
      <c r="Q155" s="103">
        <f t="shared" si="73"/>
        <v>3.890116969574789E-4</v>
      </c>
      <c r="R155" s="103">
        <f t="shared" si="73"/>
        <v>3.9504976591040462E-4</v>
      </c>
      <c r="S155" s="103">
        <f t="shared" si="73"/>
        <v>4.0616396914360209E-4</v>
      </c>
      <c r="T155" s="103">
        <f t="shared" si="73"/>
        <v>4.2148921510875605E-4</v>
      </c>
      <c r="U155" s="103">
        <f t="shared" si="73"/>
        <v>4.3656951577257172E-4</v>
      </c>
      <c r="V155" s="103">
        <f t="shared" si="73"/>
        <v>5.0011549467353106E-4</v>
      </c>
      <c r="W155" s="103">
        <f t="shared" ref="W155:Y155" si="74">IF(W37=0,0,W37/W$17)</f>
        <v>6.0526834485225814E-4</v>
      </c>
      <c r="X155" s="103">
        <f t="shared" si="74"/>
        <v>6.4270225720584125E-4</v>
      </c>
      <c r="Y155" s="103">
        <f t="shared" si="74"/>
        <v>6.542859089534224E-4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0</v>
      </c>
      <c r="F156" s="103">
        <f t="shared" si="75"/>
        <v>0</v>
      </c>
      <c r="G156" s="103">
        <f t="shared" si="75"/>
        <v>0</v>
      </c>
      <c r="H156" s="103">
        <f t="shared" si="75"/>
        <v>2.3651062748365108E-4</v>
      </c>
      <c r="I156" s="103">
        <f t="shared" si="75"/>
        <v>2.9944694626276441E-4</v>
      </c>
      <c r="J156" s="103">
        <f t="shared" si="75"/>
        <v>3.4205995451323871E-4</v>
      </c>
      <c r="K156" s="103">
        <f t="shared" si="75"/>
        <v>3.6247823019948942E-4</v>
      </c>
      <c r="L156" s="103">
        <f t="shared" ref="L156" si="76">IF(L38=0,0,L38/L$17)</f>
        <v>3.5542683092812372E-4</v>
      </c>
      <c r="M156" s="103">
        <f t="shared" ref="M156:V156" si="77">IF(M38=0,0,M38/M$17)</f>
        <v>3.21387240042406E-4</v>
      </c>
      <c r="N156" s="103">
        <f t="shared" si="77"/>
        <v>2.5721786274022482E-4</v>
      </c>
      <c r="O156" s="103">
        <f t="shared" si="77"/>
        <v>2.1915540136944027E-4</v>
      </c>
      <c r="P156" s="103">
        <f t="shared" si="77"/>
        <v>2.1311794601162703E-4</v>
      </c>
      <c r="Q156" s="103">
        <f t="shared" si="77"/>
        <v>2.1172460881055082E-4</v>
      </c>
      <c r="R156" s="103">
        <f t="shared" si="77"/>
        <v>2.009162249035428E-4</v>
      </c>
      <c r="S156" s="103">
        <f t="shared" si="77"/>
        <v>1.9748240348654625E-4</v>
      </c>
      <c r="T156" s="103">
        <f t="shared" si="77"/>
        <v>1.9169322955789447E-4</v>
      </c>
      <c r="U156" s="103">
        <f t="shared" si="77"/>
        <v>1.6652329210065231E-4</v>
      </c>
      <c r="V156" s="103">
        <f t="shared" si="77"/>
        <v>1.4520492286229571E-4</v>
      </c>
      <c r="W156" s="103">
        <f t="shared" ref="W156:Y156" si="78">IF(W38=0,0,W38/W$17)</f>
        <v>2.211446955307276E-4</v>
      </c>
      <c r="X156" s="103">
        <f t="shared" si="78"/>
        <v>1.9726358330330628E-4</v>
      </c>
      <c r="Y156" s="103">
        <f t="shared" si="78"/>
        <v>1.7117540343173106E-4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0.23487125601978728</v>
      </c>
      <c r="C158" s="156">
        <f t="shared" si="83"/>
        <v>0.2214839760471444</v>
      </c>
      <c r="D158" s="156">
        <f t="shared" si="83"/>
        <v>0.21432017276499121</v>
      </c>
      <c r="E158" s="156">
        <f t="shared" si="83"/>
        <v>0.20051369973356217</v>
      </c>
      <c r="F158" s="156">
        <f t="shared" si="83"/>
        <v>0.1984174924324878</v>
      </c>
      <c r="G158" s="156">
        <f t="shared" si="83"/>
        <v>0.19533465701651656</v>
      </c>
      <c r="H158" s="156">
        <f t="shared" si="83"/>
        <v>0.22544700493679767</v>
      </c>
      <c r="I158" s="156">
        <f t="shared" si="83"/>
        <v>0.22735265822917067</v>
      </c>
      <c r="J158" s="156">
        <f t="shared" si="83"/>
        <v>0.2306787556136132</v>
      </c>
      <c r="K158" s="156">
        <f t="shared" si="83"/>
        <v>0.22127615519009705</v>
      </c>
      <c r="L158" s="156">
        <f t="shared" ref="L158" si="84">IF(L40=0,0,L40/L$17)</f>
        <v>0.24582521526702675</v>
      </c>
      <c r="M158" s="156">
        <f t="shared" ref="M158:V158" si="85">IF(M40=0,0,M40/M$17)</f>
        <v>0.23950890106794945</v>
      </c>
      <c r="N158" s="156">
        <f t="shared" si="85"/>
        <v>0.25641187855295522</v>
      </c>
      <c r="O158" s="156">
        <f t="shared" si="85"/>
        <v>0.24807005156277001</v>
      </c>
      <c r="P158" s="156">
        <f t="shared" si="85"/>
        <v>0.2510141741140145</v>
      </c>
      <c r="Q158" s="156">
        <f t="shared" si="85"/>
        <v>0.22320371074796388</v>
      </c>
      <c r="R158" s="156">
        <f t="shared" si="85"/>
        <v>0.22268981731776696</v>
      </c>
      <c r="S158" s="156">
        <f t="shared" si="85"/>
        <v>0.23258631323749621</v>
      </c>
      <c r="T158" s="156">
        <f t="shared" si="85"/>
        <v>0.25102609942084714</v>
      </c>
      <c r="U158" s="156">
        <f t="shared" si="85"/>
        <v>0.24286280831496632</v>
      </c>
      <c r="V158" s="156">
        <f t="shared" si="85"/>
        <v>0.27638799922290391</v>
      </c>
      <c r="W158" s="156">
        <f t="shared" ref="W158:Y158" si="86">IF(W40=0,0,W40/W$17)</f>
        <v>0.2581284819448133</v>
      </c>
      <c r="X158" s="156">
        <f t="shared" si="86"/>
        <v>0.24080888959009519</v>
      </c>
      <c r="Y158" s="156">
        <f t="shared" si="86"/>
        <v>0.21511643263929386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0.16367654843683774</v>
      </c>
      <c r="C159" s="103">
        <f t="shared" si="87"/>
        <v>0.1633362154237083</v>
      </c>
      <c r="D159" s="103">
        <f t="shared" si="87"/>
        <v>0.1566827507221536</v>
      </c>
      <c r="E159" s="103">
        <f t="shared" si="87"/>
        <v>0.15658899399331855</v>
      </c>
      <c r="F159" s="103">
        <f t="shared" si="87"/>
        <v>0.15635805608174377</v>
      </c>
      <c r="G159" s="103">
        <f t="shared" si="87"/>
        <v>0.15791728695653537</v>
      </c>
      <c r="H159" s="103">
        <f t="shared" si="87"/>
        <v>0.16267257774612714</v>
      </c>
      <c r="I159" s="103">
        <f t="shared" si="87"/>
        <v>0.16944509762522539</v>
      </c>
      <c r="J159" s="103">
        <f t="shared" si="87"/>
        <v>0.17698800429826927</v>
      </c>
      <c r="K159" s="103">
        <f t="shared" si="87"/>
        <v>0.16999270590811638</v>
      </c>
      <c r="L159" s="103">
        <f t="shared" ref="L159" si="88">IF(L41=0,0,L41/L$17)</f>
        <v>0.17285457814021071</v>
      </c>
      <c r="M159" s="103">
        <f t="shared" ref="M159:V159" si="89">IF(M41=0,0,M41/M$17)</f>
        <v>0.17688510998502138</v>
      </c>
      <c r="N159" s="103">
        <f t="shared" si="89"/>
        <v>0.17443198144503763</v>
      </c>
      <c r="O159" s="103">
        <f t="shared" si="89"/>
        <v>0.17045694623925073</v>
      </c>
      <c r="P159" s="103">
        <f t="shared" si="89"/>
        <v>0.17068586427444424</v>
      </c>
      <c r="Q159" s="103">
        <f t="shared" si="89"/>
        <v>0.17024354862331426</v>
      </c>
      <c r="R159" s="103">
        <f t="shared" si="89"/>
        <v>0.16598860438209151</v>
      </c>
      <c r="S159" s="103">
        <f t="shared" si="89"/>
        <v>0.16302680686655677</v>
      </c>
      <c r="T159" s="103">
        <f t="shared" si="89"/>
        <v>0.17065417747099629</v>
      </c>
      <c r="U159" s="103">
        <f t="shared" si="89"/>
        <v>0.16487206220582323</v>
      </c>
      <c r="V159" s="103">
        <f t="shared" si="89"/>
        <v>0.17604377129305779</v>
      </c>
      <c r="W159" s="103">
        <f t="shared" ref="W159:Y159" si="90">IF(W41=0,0,W41/W$17)</f>
        <v>0.17746715891512282</v>
      </c>
      <c r="X159" s="103">
        <f t="shared" si="90"/>
        <v>0.16940342928035695</v>
      </c>
      <c r="Y159" s="103">
        <f t="shared" si="90"/>
        <v>0.16281474716854361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7.1194707582949573E-2</v>
      </c>
      <c r="C160" s="105">
        <f t="shared" si="91"/>
        <v>5.8147760623436129E-2</v>
      </c>
      <c r="D160" s="105">
        <f t="shared" si="91"/>
        <v>5.7637422042837623E-2</v>
      </c>
      <c r="E160" s="105">
        <f t="shared" si="91"/>
        <v>4.3924705740243646E-2</v>
      </c>
      <c r="F160" s="105">
        <f t="shared" si="91"/>
        <v>4.2059436350744016E-2</v>
      </c>
      <c r="G160" s="105">
        <f t="shared" si="91"/>
        <v>3.7417370059981213E-2</v>
      </c>
      <c r="H160" s="105">
        <f t="shared" si="91"/>
        <v>6.2774427190670501E-2</v>
      </c>
      <c r="I160" s="105">
        <f t="shared" si="91"/>
        <v>5.7907560603945279E-2</v>
      </c>
      <c r="J160" s="105">
        <f t="shared" si="91"/>
        <v>5.3690751315343906E-2</v>
      </c>
      <c r="K160" s="105">
        <f t="shared" si="91"/>
        <v>5.1283449281980684E-2</v>
      </c>
      <c r="L160" s="105">
        <f t="shared" ref="L160" si="92">IF(L42=0,0,L42/L$17)</f>
        <v>7.2970637126816049E-2</v>
      </c>
      <c r="M160" s="105">
        <f t="shared" ref="M160:V160" si="93">IF(M42=0,0,M42/M$17)</f>
        <v>6.2623791082928065E-2</v>
      </c>
      <c r="N160" s="105">
        <f t="shared" si="93"/>
        <v>8.1979897107917601E-2</v>
      </c>
      <c r="O160" s="105">
        <f t="shared" si="93"/>
        <v>7.7613105323519282E-2</v>
      </c>
      <c r="P160" s="105">
        <f t="shared" si="93"/>
        <v>8.0328309839570289E-2</v>
      </c>
      <c r="Q160" s="105">
        <f t="shared" si="93"/>
        <v>5.2960162124649622E-2</v>
      </c>
      <c r="R160" s="105">
        <f t="shared" si="93"/>
        <v>5.6701212935675482E-2</v>
      </c>
      <c r="S160" s="105">
        <f t="shared" si="93"/>
        <v>6.9559506370939439E-2</v>
      </c>
      <c r="T160" s="105">
        <f t="shared" si="93"/>
        <v>8.0371921949850794E-2</v>
      </c>
      <c r="U160" s="105">
        <f t="shared" si="93"/>
        <v>7.7990746109143042E-2</v>
      </c>
      <c r="V160" s="105">
        <f t="shared" si="93"/>
        <v>0.10034422792984614</v>
      </c>
      <c r="W160" s="105">
        <f t="shared" ref="W160:Y160" si="94">IF(W42=0,0,W42/W$17)</f>
        <v>8.0661323029690479E-2</v>
      </c>
      <c r="X160" s="105">
        <f t="shared" si="94"/>
        <v>7.1405460309738253E-2</v>
      </c>
      <c r="Y160" s="105">
        <f t="shared" si="94"/>
        <v>5.2301685470750259E-2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45226814</v>
      </c>
      <c r="C3" s="54">
        <f>TrRoad_act!C57</f>
        <v>45701783</v>
      </c>
      <c r="D3" s="54">
        <f>TrRoad_act!D57</f>
        <v>46098042</v>
      </c>
      <c r="E3" s="54">
        <f>TrRoad_act!E57</f>
        <v>46440122</v>
      </c>
      <c r="F3" s="54">
        <f>TrRoad_act!F57</f>
        <v>46677105</v>
      </c>
      <c r="G3" s="54">
        <f>TrRoad_act!G57</f>
        <v>47230960</v>
      </c>
      <c r="H3" s="54">
        <f>TrRoad_act!H57</f>
        <v>47711863</v>
      </c>
      <c r="I3" s="54">
        <f>TrRoad_act!I57</f>
        <v>47632110</v>
      </c>
      <c r="J3" s="54">
        <f>TrRoad_act!J57</f>
        <v>47640775</v>
      </c>
      <c r="K3" s="54">
        <f>TrRoad_act!K57</f>
        <v>48196524</v>
      </c>
      <c r="L3" s="54">
        <f>TrRoad_act!L57</f>
        <v>48897087</v>
      </c>
      <c r="M3" s="54">
        <f>TrRoad_act!M57</f>
        <v>49699211</v>
      </c>
      <c r="N3" s="54">
        <f>TrRoad_act!N57</f>
        <v>50331619</v>
      </c>
      <c r="O3" s="54">
        <f>TrRoad_act!O57</f>
        <v>50876430</v>
      </c>
      <c r="P3" s="54">
        <f>TrRoad_act!P57</f>
        <v>51591320</v>
      </c>
      <c r="Q3" s="54">
        <f>TrRoad_act!Q57</f>
        <v>52439595</v>
      </c>
      <c r="R3" s="54">
        <f>TrRoad_act!R57</f>
        <v>53403266</v>
      </c>
      <c r="S3" s="54">
        <f>TrRoad_act!S57</f>
        <v>54286326</v>
      </c>
      <c r="T3" s="54">
        <f>TrRoad_act!T57</f>
        <v>55102144</v>
      </c>
      <c r="U3" s="54">
        <f>TrRoad_act!U57</f>
        <v>55955439</v>
      </c>
      <c r="V3" s="54">
        <f>TrRoad_act!V57</f>
        <v>56804068</v>
      </c>
      <c r="W3" s="54">
        <f>TrRoad_act!W57</f>
        <v>57387887</v>
      </c>
      <c r="X3" s="54">
        <f>TrRoad_act!X57</f>
        <v>57855236</v>
      </c>
      <c r="Y3" s="54">
        <f>TrRoad_act!Y57</f>
        <v>58388064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42555593</v>
      </c>
      <c r="C4" s="28">
        <f>TrRoad_act!C58</f>
        <v>43031852</v>
      </c>
      <c r="D4" s="28">
        <f>TrRoad_act!D58</f>
        <v>43463864</v>
      </c>
      <c r="E4" s="28">
        <f>TrRoad_act!E58</f>
        <v>43848962</v>
      </c>
      <c r="F4" s="28">
        <f>TrRoad_act!F58</f>
        <v>44092985</v>
      </c>
      <c r="G4" s="28">
        <f>TrRoad_act!G58</f>
        <v>44646404</v>
      </c>
      <c r="H4" s="28">
        <f>TrRoad_act!H58</f>
        <v>45072249</v>
      </c>
      <c r="I4" s="28">
        <f>TrRoad_act!I58</f>
        <v>45072457</v>
      </c>
      <c r="J4" s="28">
        <f>TrRoad_act!J58</f>
        <v>45055031</v>
      </c>
      <c r="K4" s="28">
        <f>TrRoad_act!K58</f>
        <v>45576621</v>
      </c>
      <c r="L4" s="28">
        <f>TrRoad_act!L58</f>
        <v>46205920</v>
      </c>
      <c r="M4" s="28">
        <f>TrRoad_act!M58</f>
        <v>46912060</v>
      </c>
      <c r="N4" s="28">
        <f>TrRoad_act!N58</f>
        <v>47490001</v>
      </c>
      <c r="O4" s="28">
        <f>TrRoad_act!O58</f>
        <v>47982740</v>
      </c>
      <c r="P4" s="28">
        <f>TrRoad_act!P58</f>
        <v>48625893</v>
      </c>
      <c r="Q4" s="28">
        <f>TrRoad_act!Q58</f>
        <v>49377583</v>
      </c>
      <c r="R4" s="28">
        <f>TrRoad_act!R58</f>
        <v>50197002</v>
      </c>
      <c r="S4" s="28">
        <f>TrRoad_act!S58</f>
        <v>50927010</v>
      </c>
      <c r="T4" s="28">
        <f>TrRoad_act!T58</f>
        <v>51614903</v>
      </c>
      <c r="U4" s="28">
        <f>TrRoad_act!U58</f>
        <v>52303751</v>
      </c>
      <c r="V4" s="28">
        <f>TrRoad_act!V58</f>
        <v>52985693</v>
      </c>
      <c r="W4" s="28">
        <f>TrRoad_act!W58</f>
        <v>53401957</v>
      </c>
      <c r="X4" s="28">
        <f>TrRoad_act!X58</f>
        <v>53759067</v>
      </c>
      <c r="Y4" s="28">
        <f>TrRoad_act!Y58</f>
        <v>54175892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3410000</v>
      </c>
      <c r="C5" s="137">
        <f>TrRoad_act!C59</f>
        <v>3557000</v>
      </c>
      <c r="D5" s="137">
        <f>TrRoad_act!D59</f>
        <v>3657000</v>
      </c>
      <c r="E5" s="137">
        <f>TrRoad_act!E59</f>
        <v>3745000</v>
      </c>
      <c r="F5" s="137">
        <f>TrRoad_act!F59</f>
        <v>3828000</v>
      </c>
      <c r="G5" s="137">
        <f>TrRoad_act!G59</f>
        <v>3903000</v>
      </c>
      <c r="H5" s="137">
        <f>TrRoad_act!H59</f>
        <v>3969000</v>
      </c>
      <c r="I5" s="137">
        <f>TrRoad_act!I59</f>
        <v>3813795</v>
      </c>
      <c r="J5" s="137">
        <f>TrRoad_act!J59</f>
        <v>3658590</v>
      </c>
      <c r="K5" s="137">
        <f>TrRoad_act!K59</f>
        <v>3762561</v>
      </c>
      <c r="L5" s="137">
        <f>TrRoad_act!L59</f>
        <v>3827894</v>
      </c>
      <c r="M5" s="137">
        <f>TrRoad_act!M59</f>
        <v>3908072</v>
      </c>
      <c r="N5" s="137">
        <f>TrRoad_act!N59</f>
        <v>3982978</v>
      </c>
      <c r="O5" s="137">
        <f>TrRoad_act!O59</f>
        <v>4054946</v>
      </c>
      <c r="P5" s="137">
        <f>TrRoad_act!P59</f>
        <v>4145392</v>
      </c>
      <c r="Q5" s="137">
        <f>TrRoad_act!Q59</f>
        <v>4228238</v>
      </c>
      <c r="R5" s="137">
        <f>TrRoad_act!R59</f>
        <v>4314493</v>
      </c>
      <c r="S5" s="137">
        <f>TrRoad_act!S59</f>
        <v>4372978</v>
      </c>
      <c r="T5" s="137">
        <f>TrRoad_act!T59</f>
        <v>4438600</v>
      </c>
      <c r="U5" s="137">
        <f>TrRoad_act!U59</f>
        <v>4506410</v>
      </c>
      <c r="V5" s="137">
        <f>TrRoad_act!V59</f>
        <v>4661561</v>
      </c>
      <c r="W5" s="137">
        <f>TrRoad_act!W59</f>
        <v>4780854</v>
      </c>
      <c r="X5" s="137">
        <f>TrRoad_act!X59</f>
        <v>4913099</v>
      </c>
      <c r="Y5" s="137">
        <f>TrRoad_act!Y59</f>
        <v>4992579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39058937</v>
      </c>
      <c r="C6" s="110">
        <f>TrRoad_act!C60</f>
        <v>39388319</v>
      </c>
      <c r="D6" s="110">
        <f>TrRoad_act!D60</f>
        <v>39720951</v>
      </c>
      <c r="E6" s="110">
        <f>TrRoad_act!E60</f>
        <v>40017482</v>
      </c>
      <c r="F6" s="110">
        <f>TrRoad_act!F60</f>
        <v>40179477</v>
      </c>
      <c r="G6" s="110">
        <f>TrRoad_act!G60</f>
        <v>40659500</v>
      </c>
      <c r="H6" s="110">
        <f>TrRoad_act!H60</f>
        <v>41019700</v>
      </c>
      <c r="I6" s="110">
        <f>TrRoad_act!I60</f>
        <v>41183594</v>
      </c>
      <c r="J6" s="110">
        <f>TrRoad_act!J60</f>
        <v>41321171</v>
      </c>
      <c r="K6" s="110">
        <f>TrRoad_act!K60</f>
        <v>41737627</v>
      </c>
      <c r="L6" s="110">
        <f>TrRoad_act!L60</f>
        <v>42301563</v>
      </c>
      <c r="M6" s="110">
        <f>TrRoad_act!M60</f>
        <v>42928000</v>
      </c>
      <c r="N6" s="110">
        <f>TrRoad_act!N60</f>
        <v>43431000</v>
      </c>
      <c r="O6" s="110">
        <f>TrRoad_act!O60</f>
        <v>43851000</v>
      </c>
      <c r="P6" s="110">
        <f>TrRoad_act!P60</f>
        <v>44403000</v>
      </c>
      <c r="Q6" s="110">
        <f>TrRoad_act!Q60</f>
        <v>45071000</v>
      </c>
      <c r="R6" s="110">
        <f>TrRoad_act!R60</f>
        <v>45803560</v>
      </c>
      <c r="S6" s="110">
        <f>TrRoad_act!S60</f>
        <v>46474594</v>
      </c>
      <c r="T6" s="110">
        <f>TrRoad_act!T60</f>
        <v>47095784</v>
      </c>
      <c r="U6" s="110">
        <f>TrRoad_act!U60</f>
        <v>47715977</v>
      </c>
      <c r="V6" s="110">
        <f>TrRoad_act!V60</f>
        <v>48248584</v>
      </c>
      <c r="W6" s="110">
        <f>TrRoad_act!W60</f>
        <v>48540878</v>
      </c>
      <c r="X6" s="110">
        <f>TrRoad_act!X60</f>
        <v>48763036</v>
      </c>
      <c r="Y6" s="110">
        <f>TrRoad_act!Y60</f>
        <v>49098685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33333963</v>
      </c>
      <c r="C7" s="84">
        <f>TrRoad_act!C61</f>
        <v>33146912</v>
      </c>
      <c r="D7" s="84">
        <f>TrRoad_act!D61</f>
        <v>32891503</v>
      </c>
      <c r="E7" s="84">
        <f>TrRoad_act!E61</f>
        <v>32578129</v>
      </c>
      <c r="F7" s="84">
        <f>TrRoad_act!F61</f>
        <v>32060673</v>
      </c>
      <c r="G7" s="84">
        <f>TrRoad_act!G61</f>
        <v>31634147</v>
      </c>
      <c r="H7" s="84">
        <f>TrRoad_act!H61</f>
        <v>31306000</v>
      </c>
      <c r="I7" s="84">
        <f>TrRoad_act!I61</f>
        <v>30974469</v>
      </c>
      <c r="J7" s="84">
        <f>TrRoad_act!J61</f>
        <v>30677679</v>
      </c>
      <c r="K7" s="84">
        <f>TrRoad_act!K61</f>
        <v>30472205</v>
      </c>
      <c r="L7" s="84">
        <f>TrRoad_act!L61</f>
        <v>30527857</v>
      </c>
      <c r="M7" s="84">
        <f>TrRoad_act!M61</f>
        <v>30488391</v>
      </c>
      <c r="N7" s="84">
        <f>TrRoad_act!N61</f>
        <v>30254900</v>
      </c>
      <c r="O7" s="84">
        <f>TrRoad_act!O61</f>
        <v>30016823</v>
      </c>
      <c r="P7" s="84">
        <f>TrRoad_act!P61</f>
        <v>29909684</v>
      </c>
      <c r="Q7" s="84">
        <f>TrRoad_act!Q61</f>
        <v>29903874</v>
      </c>
      <c r="R7" s="84">
        <f>TrRoad_act!R61</f>
        <v>30075467</v>
      </c>
      <c r="S7" s="84">
        <f>TrRoad_act!S61</f>
        <v>30640319</v>
      </c>
      <c r="T7" s="84">
        <f>TrRoad_act!T61</f>
        <v>31287107</v>
      </c>
      <c r="U7" s="84">
        <f>TrRoad_act!U61</f>
        <v>31811896</v>
      </c>
      <c r="V7" s="84">
        <f>TrRoad_act!V61</f>
        <v>31953186</v>
      </c>
      <c r="W7" s="84">
        <f>TrRoad_act!W61</f>
        <v>31705097</v>
      </c>
      <c r="X7" s="84">
        <f>TrRoad_act!X61</f>
        <v>31529972</v>
      </c>
      <c r="Y7" s="84">
        <f>TrRoad_act!Y61</f>
        <v>31511676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5664974</v>
      </c>
      <c r="C8" s="84">
        <f>TrRoad_act!C62</f>
        <v>6182472</v>
      </c>
      <c r="D8" s="84">
        <f>TrRoad_act!D62</f>
        <v>6757907</v>
      </c>
      <c r="E8" s="84">
        <f>TrRoad_act!E62</f>
        <v>7362078</v>
      </c>
      <c r="F8" s="84">
        <f>TrRoad_act!F62</f>
        <v>8019368</v>
      </c>
      <c r="G8" s="84">
        <f>TrRoad_act!G62</f>
        <v>8887223</v>
      </c>
      <c r="H8" s="84">
        <f>TrRoad_act!H62</f>
        <v>9516517</v>
      </c>
      <c r="I8" s="84">
        <f>TrRoad_act!I62</f>
        <v>9903245</v>
      </c>
      <c r="J8" s="84">
        <f>TrRoad_act!J62</f>
        <v>10302990</v>
      </c>
      <c r="K8" s="84">
        <f>TrRoad_act!K62</f>
        <v>10825889</v>
      </c>
      <c r="L8" s="84">
        <f>TrRoad_act!L62</f>
        <v>11281221</v>
      </c>
      <c r="M8" s="84">
        <f>TrRoad_act!M62</f>
        <v>11903697</v>
      </c>
      <c r="N8" s="84">
        <f>TrRoad_act!N62</f>
        <v>12596593</v>
      </c>
      <c r="O8" s="84">
        <f>TrRoad_act!O62</f>
        <v>13239157</v>
      </c>
      <c r="P8" s="84">
        <f>TrRoad_act!P62</f>
        <v>13891841</v>
      </c>
      <c r="Q8" s="84">
        <f>TrRoad_act!Q62</f>
        <v>14568174</v>
      </c>
      <c r="R8" s="84">
        <f>TrRoad_act!R62</f>
        <v>15136810</v>
      </c>
      <c r="S8" s="84">
        <f>TrRoad_act!S62</f>
        <v>15239253</v>
      </c>
      <c r="T8" s="84">
        <f>TrRoad_act!T62</f>
        <v>15182137</v>
      </c>
      <c r="U8" s="84">
        <f>TrRoad_act!U62</f>
        <v>15203498</v>
      </c>
      <c r="V8" s="84">
        <f>TrRoad_act!V62</f>
        <v>15257669</v>
      </c>
      <c r="W8" s="84">
        <f>TrRoad_act!W62</f>
        <v>15138655</v>
      </c>
      <c r="X8" s="84">
        <f>TrRoad_act!X62</f>
        <v>14903850</v>
      </c>
      <c r="Y8" s="84">
        <f>TrRoad_act!Y62</f>
        <v>14754929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60000</v>
      </c>
      <c r="C9" s="84">
        <f>TrRoad_act!C63</f>
        <v>58935</v>
      </c>
      <c r="D9" s="84">
        <f>TrRoad_act!D63</f>
        <v>71541</v>
      </c>
      <c r="E9" s="84">
        <f>TrRoad_act!E63</f>
        <v>77275</v>
      </c>
      <c r="F9" s="84">
        <f>TrRoad_act!F63</f>
        <v>99436</v>
      </c>
      <c r="G9" s="84">
        <f>TrRoad_act!G63</f>
        <v>110277</v>
      </c>
      <c r="H9" s="84">
        <f>TrRoad_act!H63</f>
        <v>164772</v>
      </c>
      <c r="I9" s="84">
        <f>TrRoad_act!I63</f>
        <v>273182</v>
      </c>
      <c r="J9" s="84">
        <f>TrRoad_act!J63</f>
        <v>306402</v>
      </c>
      <c r="K9" s="84">
        <f>TrRoad_act!K63</f>
        <v>369430</v>
      </c>
      <c r="L9" s="84">
        <f>TrRoad_act!L63</f>
        <v>418659</v>
      </c>
      <c r="M9" s="84">
        <f>TrRoad_act!M63</f>
        <v>456252</v>
      </c>
      <c r="N9" s="84">
        <f>TrRoad_act!N63</f>
        <v>494777</v>
      </c>
      <c r="O9" s="84">
        <f>TrRoad_act!O63</f>
        <v>500867</v>
      </c>
      <c r="P9" s="84">
        <f>TrRoad_act!P63</f>
        <v>494148</v>
      </c>
      <c r="Q9" s="84">
        <f>TrRoad_act!Q63</f>
        <v>475711</v>
      </c>
      <c r="R9" s="84">
        <f>TrRoad_act!R63</f>
        <v>448025</v>
      </c>
      <c r="S9" s="84">
        <f>TrRoad_act!S63</f>
        <v>421283</v>
      </c>
      <c r="T9" s="84">
        <f>TrRoad_act!T63</f>
        <v>395592</v>
      </c>
      <c r="U9" s="84">
        <f>TrRoad_act!U63</f>
        <v>371472</v>
      </c>
      <c r="V9" s="84">
        <f>TrRoad_act!V63</f>
        <v>359441</v>
      </c>
      <c r="W9" s="84">
        <f>TrRoad_act!W63</f>
        <v>345098</v>
      </c>
      <c r="X9" s="84">
        <f>TrRoad_act!X63</f>
        <v>338809</v>
      </c>
      <c r="Y9" s="84">
        <f>TrRoad_act!Y63</f>
        <v>343975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27853</v>
      </c>
      <c r="H10" s="84">
        <f>TrRoad_act!H64</f>
        <v>32392</v>
      </c>
      <c r="I10" s="84">
        <f>TrRoad_act!I64</f>
        <v>32672</v>
      </c>
      <c r="J10" s="84">
        <f>TrRoad_act!J64</f>
        <v>32800</v>
      </c>
      <c r="K10" s="84">
        <f>TrRoad_act!K64</f>
        <v>68515</v>
      </c>
      <c r="L10" s="84">
        <f>TrRoad_act!L64</f>
        <v>71519</v>
      </c>
      <c r="M10" s="84">
        <f>TrRoad_act!M64</f>
        <v>74853</v>
      </c>
      <c r="N10" s="84">
        <f>TrRoad_act!N64</f>
        <v>76284</v>
      </c>
      <c r="O10" s="84">
        <f>TrRoad_act!O64</f>
        <v>79065</v>
      </c>
      <c r="P10" s="84">
        <f>TrRoad_act!P64</f>
        <v>81423</v>
      </c>
      <c r="Q10" s="84">
        <f>TrRoad_act!Q64</f>
        <v>80300</v>
      </c>
      <c r="R10" s="84">
        <f>TrRoad_act!R64</f>
        <v>77187</v>
      </c>
      <c r="S10" s="84">
        <f>TrRoad_act!S64</f>
        <v>75459</v>
      </c>
      <c r="T10" s="84">
        <f>TrRoad_act!T64</f>
        <v>80776</v>
      </c>
      <c r="U10" s="84">
        <f>TrRoad_act!U64</f>
        <v>83716</v>
      </c>
      <c r="V10" s="84">
        <f>TrRoad_act!V64</f>
        <v>83112</v>
      </c>
      <c r="W10" s="84">
        <f>TrRoad_act!W64</f>
        <v>83207</v>
      </c>
      <c r="X10" s="84">
        <f>TrRoad_act!X64</f>
        <v>84173</v>
      </c>
      <c r="Y10" s="84">
        <f>TrRoad_act!Y64</f>
        <v>88453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266</v>
      </c>
      <c r="N11" s="84">
        <f>TrRoad_act!N65</f>
        <v>1332</v>
      </c>
      <c r="O11" s="84">
        <f>TrRoad_act!O65</f>
        <v>2932</v>
      </c>
      <c r="P11" s="84">
        <f>TrRoad_act!P65</f>
        <v>6956</v>
      </c>
      <c r="Q11" s="84">
        <f>TrRoad_act!Q65</f>
        <v>17439</v>
      </c>
      <c r="R11" s="84">
        <f>TrRoad_act!R65</f>
        <v>32049</v>
      </c>
      <c r="S11" s="84">
        <f>TrRoad_act!S65</f>
        <v>44419</v>
      </c>
      <c r="T11" s="84">
        <f>TrRoad_act!T65</f>
        <v>66997</v>
      </c>
      <c r="U11" s="84">
        <f>TrRoad_act!U65</f>
        <v>111509</v>
      </c>
      <c r="V11" s="84">
        <f>TrRoad_act!V65</f>
        <v>287037</v>
      </c>
      <c r="W11" s="84">
        <f>TrRoad_act!W65</f>
        <v>609849</v>
      </c>
      <c r="X11" s="84">
        <f>TrRoad_act!X65</f>
        <v>931306</v>
      </c>
      <c r="Y11" s="84">
        <f>TrRoad_act!Y65</f>
        <v>1031342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19</v>
      </c>
      <c r="I12" s="84">
        <f>TrRoad_act!I66</f>
        <v>26</v>
      </c>
      <c r="J12" s="84">
        <f>TrRoad_act!J66</f>
        <v>1300</v>
      </c>
      <c r="K12" s="84">
        <f>TrRoad_act!K66</f>
        <v>1588</v>
      </c>
      <c r="L12" s="84">
        <f>TrRoad_act!L66</f>
        <v>2307</v>
      </c>
      <c r="M12" s="84">
        <f>TrRoad_act!M66</f>
        <v>4541</v>
      </c>
      <c r="N12" s="84">
        <f>TrRoad_act!N66</f>
        <v>7114</v>
      </c>
      <c r="O12" s="84">
        <f>TrRoad_act!O66</f>
        <v>12156</v>
      </c>
      <c r="P12" s="84">
        <f>TrRoad_act!P66</f>
        <v>18948</v>
      </c>
      <c r="Q12" s="84">
        <f>TrRoad_act!Q66</f>
        <v>25502</v>
      </c>
      <c r="R12" s="84">
        <f>TrRoad_act!R66</f>
        <v>34022</v>
      </c>
      <c r="S12" s="84">
        <f>TrRoad_act!S66</f>
        <v>53861</v>
      </c>
      <c r="T12" s="84">
        <f>TrRoad_act!T66</f>
        <v>83175</v>
      </c>
      <c r="U12" s="84">
        <f>TrRoad_act!U66</f>
        <v>133886</v>
      </c>
      <c r="V12" s="84">
        <f>TrRoad_act!V66</f>
        <v>308139</v>
      </c>
      <c r="W12" s="84">
        <f>TrRoad_act!W66</f>
        <v>658972</v>
      </c>
      <c r="X12" s="84">
        <f>TrRoad_act!X66</f>
        <v>974926</v>
      </c>
      <c r="Y12" s="84">
        <f>TrRoad_act!Y66</f>
        <v>1368310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86656</v>
      </c>
      <c r="C13" s="110">
        <f>TrRoad_act!C67</f>
        <v>86533</v>
      </c>
      <c r="D13" s="110">
        <f>TrRoad_act!D67</f>
        <v>85913</v>
      </c>
      <c r="E13" s="110">
        <f>TrRoad_act!E67</f>
        <v>86480</v>
      </c>
      <c r="F13" s="110">
        <f>TrRoad_act!F67</f>
        <v>85508</v>
      </c>
      <c r="G13" s="110">
        <f>TrRoad_act!G67</f>
        <v>83904</v>
      </c>
      <c r="H13" s="110">
        <f>TrRoad_act!H67</f>
        <v>83549</v>
      </c>
      <c r="I13" s="110">
        <f>TrRoad_act!I67</f>
        <v>75068</v>
      </c>
      <c r="J13" s="110">
        <f>TrRoad_act!J67</f>
        <v>75270</v>
      </c>
      <c r="K13" s="110">
        <f>TrRoad_act!K67</f>
        <v>76433</v>
      </c>
      <c r="L13" s="110">
        <f>TrRoad_act!L67</f>
        <v>76463</v>
      </c>
      <c r="M13" s="110">
        <f>TrRoad_act!M67</f>
        <v>75988</v>
      </c>
      <c r="N13" s="110">
        <f>TrRoad_act!N67</f>
        <v>76023</v>
      </c>
      <c r="O13" s="110">
        <f>TrRoad_act!O67</f>
        <v>76794</v>
      </c>
      <c r="P13" s="110">
        <f>TrRoad_act!P67</f>
        <v>77501</v>
      </c>
      <c r="Q13" s="110">
        <f>TrRoad_act!Q67</f>
        <v>78345</v>
      </c>
      <c r="R13" s="110">
        <f>TrRoad_act!R67</f>
        <v>78949</v>
      </c>
      <c r="S13" s="110">
        <f>TrRoad_act!S67</f>
        <v>79438</v>
      </c>
      <c r="T13" s="110">
        <f>TrRoad_act!T67</f>
        <v>80519</v>
      </c>
      <c r="U13" s="110">
        <f>TrRoad_act!U67</f>
        <v>81364</v>
      </c>
      <c r="V13" s="110">
        <f>TrRoad_act!V67</f>
        <v>75548</v>
      </c>
      <c r="W13" s="110">
        <f>TrRoad_act!W67</f>
        <v>80225</v>
      </c>
      <c r="X13" s="110">
        <f>TrRoad_act!X67</f>
        <v>82932</v>
      </c>
      <c r="Y13" s="110">
        <f>TrRoad_act!Y67</f>
        <v>84628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0</v>
      </c>
      <c r="C14" s="102">
        <f>TrRoad_act!C68</f>
        <v>0</v>
      </c>
      <c r="D14" s="102">
        <f>TrRoad_act!D68</f>
        <v>0</v>
      </c>
      <c r="E14" s="102">
        <f>TrRoad_act!E68</f>
        <v>0</v>
      </c>
      <c r="F14" s="102">
        <f>TrRoad_act!F68</f>
        <v>0</v>
      </c>
      <c r="G14" s="102">
        <f>TrRoad_act!G68</f>
        <v>0</v>
      </c>
      <c r="H14" s="102">
        <f>TrRoad_act!H68</f>
        <v>0</v>
      </c>
      <c r="I14" s="102">
        <f>TrRoad_act!I68</f>
        <v>0</v>
      </c>
      <c r="J14" s="102">
        <f>TrRoad_act!J68</f>
        <v>0</v>
      </c>
      <c r="K14" s="102">
        <f>TrRoad_act!K68</f>
        <v>0</v>
      </c>
      <c r="L14" s="102">
        <f>TrRoad_act!L68</f>
        <v>0</v>
      </c>
      <c r="M14" s="102">
        <f>TrRoad_act!M68</f>
        <v>0</v>
      </c>
      <c r="N14" s="102">
        <f>TrRoad_act!N68</f>
        <v>0</v>
      </c>
      <c r="O14" s="102">
        <f>TrRoad_act!O68</f>
        <v>0</v>
      </c>
      <c r="P14" s="102">
        <f>TrRoad_act!P68</f>
        <v>0</v>
      </c>
      <c r="Q14" s="102">
        <f>TrRoad_act!Q68</f>
        <v>0</v>
      </c>
      <c r="R14" s="102">
        <f>TrRoad_act!R68</f>
        <v>0</v>
      </c>
      <c r="S14" s="102">
        <f>TrRoad_act!S68</f>
        <v>0</v>
      </c>
      <c r="T14" s="102">
        <f>TrRoad_act!T68</f>
        <v>0</v>
      </c>
      <c r="U14" s="102">
        <f>TrRoad_act!U68</f>
        <v>0</v>
      </c>
      <c r="V14" s="102">
        <f>TrRoad_act!V68</f>
        <v>0</v>
      </c>
      <c r="W14" s="102">
        <f>TrRoad_act!W68</f>
        <v>0</v>
      </c>
      <c r="X14" s="102">
        <f>TrRoad_act!X68</f>
        <v>0</v>
      </c>
      <c r="Y14" s="102">
        <f>TrRoad_act!Y68</f>
        <v>0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85549</v>
      </c>
      <c r="C15" s="102">
        <f>TrRoad_act!C69</f>
        <v>85213</v>
      </c>
      <c r="D15" s="102">
        <f>TrRoad_act!D69</f>
        <v>84456</v>
      </c>
      <c r="E15" s="102">
        <f>TrRoad_act!E69</f>
        <v>85016</v>
      </c>
      <c r="F15" s="102">
        <f>TrRoad_act!F69</f>
        <v>84083</v>
      </c>
      <c r="G15" s="102">
        <f>TrRoad_act!G69</f>
        <v>82508</v>
      </c>
      <c r="H15" s="102">
        <f>TrRoad_act!H69</f>
        <v>82016</v>
      </c>
      <c r="I15" s="102">
        <f>TrRoad_act!I69</f>
        <v>73488</v>
      </c>
      <c r="J15" s="102">
        <f>TrRoad_act!J69</f>
        <v>73775</v>
      </c>
      <c r="K15" s="102">
        <f>TrRoad_act!K69</f>
        <v>74784</v>
      </c>
      <c r="L15" s="102">
        <f>TrRoad_act!L69</f>
        <v>74815</v>
      </c>
      <c r="M15" s="102">
        <f>TrRoad_act!M69</f>
        <v>74368</v>
      </c>
      <c r="N15" s="102">
        <f>TrRoad_act!N69</f>
        <v>74272</v>
      </c>
      <c r="O15" s="102">
        <f>TrRoad_act!O69</f>
        <v>74940</v>
      </c>
      <c r="P15" s="102">
        <f>TrRoad_act!P69</f>
        <v>75750</v>
      </c>
      <c r="Q15" s="102">
        <f>TrRoad_act!Q69</f>
        <v>76765</v>
      </c>
      <c r="R15" s="102">
        <f>TrRoad_act!R69</f>
        <v>77477</v>
      </c>
      <c r="S15" s="102">
        <f>TrRoad_act!S69</f>
        <v>78074</v>
      </c>
      <c r="T15" s="102">
        <f>TrRoad_act!T69</f>
        <v>79165</v>
      </c>
      <c r="U15" s="102">
        <f>TrRoad_act!U69</f>
        <v>79856</v>
      </c>
      <c r="V15" s="102">
        <f>TrRoad_act!V69</f>
        <v>73762</v>
      </c>
      <c r="W15" s="102">
        <f>TrRoad_act!W69</f>
        <v>77918</v>
      </c>
      <c r="X15" s="102">
        <f>TrRoad_act!X69</f>
        <v>80032</v>
      </c>
      <c r="Y15" s="102">
        <f>TrRoad_act!Y69</f>
        <v>80972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0</v>
      </c>
      <c r="C16" s="102">
        <f>TrRoad_act!C70</f>
        <v>0</v>
      </c>
      <c r="D16" s="102">
        <f>TrRoad_act!D70</f>
        <v>0</v>
      </c>
      <c r="E16" s="102">
        <f>TrRoad_act!E70</f>
        <v>0</v>
      </c>
      <c r="F16" s="102">
        <f>TrRoad_act!F70</f>
        <v>10</v>
      </c>
      <c r="G16" s="102">
        <f>TrRoad_act!G70</f>
        <v>10</v>
      </c>
      <c r="H16" s="102">
        <f>TrRoad_act!H70</f>
        <v>10</v>
      </c>
      <c r="I16" s="102">
        <f>TrRoad_act!I70</f>
        <v>12</v>
      </c>
      <c r="J16" s="102">
        <f>TrRoad_act!J70</f>
        <v>17</v>
      </c>
      <c r="K16" s="102">
        <f>TrRoad_act!K70</f>
        <v>23</v>
      </c>
      <c r="L16" s="102">
        <f>TrRoad_act!L70</f>
        <v>25</v>
      </c>
      <c r="M16" s="102">
        <f>TrRoad_act!M70</f>
        <v>24</v>
      </c>
      <c r="N16" s="102">
        <f>TrRoad_act!N70</f>
        <v>24</v>
      </c>
      <c r="O16" s="102">
        <f>TrRoad_act!O70</f>
        <v>23</v>
      </c>
      <c r="P16" s="102">
        <f>TrRoad_act!P70</f>
        <v>22</v>
      </c>
      <c r="Q16" s="102">
        <f>TrRoad_act!Q70</f>
        <v>21</v>
      </c>
      <c r="R16" s="102">
        <f>TrRoad_act!R70</f>
        <v>21</v>
      </c>
      <c r="S16" s="102">
        <f>TrRoad_act!S70</f>
        <v>20</v>
      </c>
      <c r="T16" s="102">
        <f>TrRoad_act!T70</f>
        <v>20</v>
      </c>
      <c r="U16" s="102">
        <f>TrRoad_act!U70</f>
        <v>21</v>
      </c>
      <c r="V16" s="102">
        <f>TrRoad_act!V70</f>
        <v>18</v>
      </c>
      <c r="W16" s="102">
        <f>TrRoad_act!W70</f>
        <v>20</v>
      </c>
      <c r="X16" s="102">
        <f>TrRoad_act!X70</f>
        <v>16</v>
      </c>
      <c r="Y16" s="102">
        <f>TrRoad_act!Y70</f>
        <v>10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1002</v>
      </c>
      <c r="C17" s="102">
        <f>TrRoad_act!C71</f>
        <v>1202</v>
      </c>
      <c r="D17" s="102">
        <f>TrRoad_act!D71</f>
        <v>1320</v>
      </c>
      <c r="E17" s="102">
        <f>TrRoad_act!E71</f>
        <v>1335</v>
      </c>
      <c r="F17" s="102">
        <f>TrRoad_act!F71</f>
        <v>1297</v>
      </c>
      <c r="G17" s="102">
        <f>TrRoad_act!G71</f>
        <v>1277</v>
      </c>
      <c r="H17" s="102">
        <f>TrRoad_act!H71</f>
        <v>1423</v>
      </c>
      <c r="I17" s="102">
        <f>TrRoad_act!I71</f>
        <v>1476</v>
      </c>
      <c r="J17" s="102">
        <f>TrRoad_act!J71</f>
        <v>1386</v>
      </c>
      <c r="K17" s="102">
        <f>TrRoad_act!K71</f>
        <v>1532</v>
      </c>
      <c r="L17" s="102">
        <f>TrRoad_act!L71</f>
        <v>1533</v>
      </c>
      <c r="M17" s="102">
        <f>TrRoad_act!M71</f>
        <v>1501</v>
      </c>
      <c r="N17" s="102">
        <f>TrRoad_act!N71</f>
        <v>1631</v>
      </c>
      <c r="O17" s="102">
        <f>TrRoad_act!O71</f>
        <v>1732</v>
      </c>
      <c r="P17" s="102">
        <f>TrRoad_act!P71</f>
        <v>1613</v>
      </c>
      <c r="Q17" s="102">
        <f>TrRoad_act!Q71</f>
        <v>1422</v>
      </c>
      <c r="R17" s="102">
        <f>TrRoad_act!R71</f>
        <v>1283</v>
      </c>
      <c r="S17" s="102">
        <f>TrRoad_act!S71</f>
        <v>1161</v>
      </c>
      <c r="T17" s="102">
        <f>TrRoad_act!T71</f>
        <v>1106</v>
      </c>
      <c r="U17" s="102">
        <f>TrRoad_act!U71</f>
        <v>1102</v>
      </c>
      <c r="V17" s="102">
        <f>TrRoad_act!V71</f>
        <v>1036</v>
      </c>
      <c r="W17" s="102">
        <f>TrRoad_act!W71</f>
        <v>1000</v>
      </c>
      <c r="X17" s="102">
        <f>TrRoad_act!X71</f>
        <v>1000</v>
      </c>
      <c r="Y17" s="102">
        <f>TrRoad_act!Y71</f>
        <v>995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105</v>
      </c>
      <c r="C18" s="102">
        <f>TrRoad_act!C72</f>
        <v>118</v>
      </c>
      <c r="D18" s="102">
        <f>TrRoad_act!D72</f>
        <v>137</v>
      </c>
      <c r="E18" s="102">
        <f>TrRoad_act!E72</f>
        <v>129</v>
      </c>
      <c r="F18" s="102">
        <f>TrRoad_act!F72</f>
        <v>118</v>
      </c>
      <c r="G18" s="102">
        <f>TrRoad_act!G72</f>
        <v>109</v>
      </c>
      <c r="H18" s="102">
        <f>TrRoad_act!H72</f>
        <v>100</v>
      </c>
      <c r="I18" s="102">
        <f>TrRoad_act!I72</f>
        <v>92</v>
      </c>
      <c r="J18" s="102">
        <f>TrRoad_act!J72</f>
        <v>92</v>
      </c>
      <c r="K18" s="102">
        <f>TrRoad_act!K72</f>
        <v>94</v>
      </c>
      <c r="L18" s="102">
        <f>TrRoad_act!L72</f>
        <v>90</v>
      </c>
      <c r="M18" s="102">
        <f>TrRoad_act!M72</f>
        <v>95</v>
      </c>
      <c r="N18" s="102">
        <f>TrRoad_act!N72</f>
        <v>96</v>
      </c>
      <c r="O18" s="102">
        <f>TrRoad_act!O72</f>
        <v>99</v>
      </c>
      <c r="P18" s="102">
        <f>TrRoad_act!P72</f>
        <v>116</v>
      </c>
      <c r="Q18" s="102">
        <f>TrRoad_act!Q72</f>
        <v>137</v>
      </c>
      <c r="R18" s="102">
        <f>TrRoad_act!R72</f>
        <v>168</v>
      </c>
      <c r="S18" s="102">
        <f>TrRoad_act!S72</f>
        <v>183</v>
      </c>
      <c r="T18" s="102">
        <f>TrRoad_act!T72</f>
        <v>228</v>
      </c>
      <c r="U18" s="102">
        <f>TrRoad_act!U72</f>
        <v>385</v>
      </c>
      <c r="V18" s="102">
        <f>TrRoad_act!V72</f>
        <v>732</v>
      </c>
      <c r="W18" s="102">
        <f>TrRoad_act!W72</f>
        <v>1287</v>
      </c>
      <c r="X18" s="102">
        <f>TrRoad_act!X72</f>
        <v>1884</v>
      </c>
      <c r="Y18" s="102">
        <f>TrRoad_act!Y72</f>
        <v>2651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2671221</v>
      </c>
      <c r="C19" s="28">
        <f>TrRoad_act!C73</f>
        <v>2669931</v>
      </c>
      <c r="D19" s="28">
        <f>TrRoad_act!D73</f>
        <v>2634178</v>
      </c>
      <c r="E19" s="28">
        <f>TrRoad_act!E73</f>
        <v>2591160</v>
      </c>
      <c r="F19" s="28">
        <f>TrRoad_act!F73</f>
        <v>2584120</v>
      </c>
      <c r="G19" s="28">
        <f>TrRoad_act!G73</f>
        <v>2584556</v>
      </c>
      <c r="H19" s="28">
        <f>TrRoad_act!H73</f>
        <v>2639614</v>
      </c>
      <c r="I19" s="28">
        <f>TrRoad_act!I73</f>
        <v>2559653</v>
      </c>
      <c r="J19" s="28">
        <f>TrRoad_act!J73</f>
        <v>2585744</v>
      </c>
      <c r="K19" s="28">
        <f>TrRoad_act!K73</f>
        <v>2619903</v>
      </c>
      <c r="L19" s="28">
        <f>TrRoad_act!L73</f>
        <v>2691167</v>
      </c>
      <c r="M19" s="28">
        <f>TrRoad_act!M73</f>
        <v>2787151</v>
      </c>
      <c r="N19" s="28">
        <f>TrRoad_act!N73</f>
        <v>2841618</v>
      </c>
      <c r="O19" s="28">
        <f>TrRoad_act!O73</f>
        <v>2893690</v>
      </c>
      <c r="P19" s="28">
        <f>TrRoad_act!P73</f>
        <v>2965427</v>
      </c>
      <c r="Q19" s="28">
        <f>TrRoad_act!Q73</f>
        <v>3062012</v>
      </c>
      <c r="R19" s="28">
        <f>TrRoad_act!R73</f>
        <v>3206264</v>
      </c>
      <c r="S19" s="28">
        <f>TrRoad_act!S73</f>
        <v>3359316</v>
      </c>
      <c r="T19" s="28">
        <f>TrRoad_act!T73</f>
        <v>3487241</v>
      </c>
      <c r="U19" s="28">
        <f>TrRoad_act!U73</f>
        <v>3651688</v>
      </c>
      <c r="V19" s="28">
        <f>TrRoad_act!V73</f>
        <v>3818375</v>
      </c>
      <c r="W19" s="28">
        <f>TrRoad_act!W73</f>
        <v>3985930</v>
      </c>
      <c r="X19" s="28">
        <f>TrRoad_act!X73</f>
        <v>4096169</v>
      </c>
      <c r="Y19" s="28">
        <f>TrRoad_act!Y73</f>
        <v>4212172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1732021</v>
      </c>
      <c r="C20" s="137">
        <f>TrRoad_act!C74</f>
        <v>1739889</v>
      </c>
      <c r="D20" s="137">
        <f>TrRoad_act!D74</f>
        <v>1741182</v>
      </c>
      <c r="E20" s="137">
        <f>TrRoad_act!E74</f>
        <v>1730969</v>
      </c>
      <c r="F20" s="137">
        <f>TrRoad_act!F74</f>
        <v>1729794</v>
      </c>
      <c r="G20" s="137">
        <f>TrRoad_act!G74</f>
        <v>1736770</v>
      </c>
      <c r="H20" s="137">
        <f>TrRoad_act!H74</f>
        <v>1782979</v>
      </c>
      <c r="I20" s="137">
        <f>TrRoad_act!I74</f>
        <v>1812800</v>
      </c>
      <c r="J20" s="137">
        <f>TrRoad_act!J74</f>
        <v>1848272</v>
      </c>
      <c r="K20" s="137">
        <f>TrRoad_act!K74</f>
        <v>1886261</v>
      </c>
      <c r="L20" s="137">
        <f>TrRoad_act!L74</f>
        <v>1954844</v>
      </c>
      <c r="M20" s="137">
        <f>TrRoad_act!M74</f>
        <v>2035658</v>
      </c>
      <c r="N20" s="137">
        <f>TrRoad_act!N74</f>
        <v>2091479</v>
      </c>
      <c r="O20" s="137">
        <f>TrRoad_act!O74</f>
        <v>2129315</v>
      </c>
      <c r="P20" s="137">
        <f>TrRoad_act!P74</f>
        <v>2187308</v>
      </c>
      <c r="Q20" s="137">
        <f>TrRoad_act!Q74</f>
        <v>2267996</v>
      </c>
      <c r="R20" s="137">
        <f>TrRoad_act!R74</f>
        <v>2383394</v>
      </c>
      <c r="S20" s="137">
        <f>TrRoad_act!S74</f>
        <v>2500520</v>
      </c>
      <c r="T20" s="137">
        <f>TrRoad_act!T74</f>
        <v>2616118</v>
      </c>
      <c r="U20" s="137">
        <f>TrRoad_act!U74</f>
        <v>2743525</v>
      </c>
      <c r="V20" s="137">
        <f>TrRoad_act!V74</f>
        <v>2880870</v>
      </c>
      <c r="W20" s="137">
        <f>TrRoad_act!W74</f>
        <v>3018598</v>
      </c>
      <c r="X20" s="137">
        <f>TrRoad_act!X74</f>
        <v>3110652</v>
      </c>
      <c r="Y20" s="137">
        <f>TrRoad_act!Y74</f>
        <v>3208845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243980</v>
      </c>
      <c r="C21" s="84">
        <f>TrRoad_act!C75</f>
        <v>230397</v>
      </c>
      <c r="D21" s="84">
        <f>TrRoad_act!D75</f>
        <v>210181</v>
      </c>
      <c r="E21" s="84">
        <f>TrRoad_act!E75</f>
        <v>190023</v>
      </c>
      <c r="F21" s="84">
        <f>TrRoad_act!F75</f>
        <v>171731</v>
      </c>
      <c r="G21" s="84">
        <f>TrRoad_act!G75</f>
        <v>157706</v>
      </c>
      <c r="H21" s="84">
        <f>TrRoad_act!H75</f>
        <v>147292</v>
      </c>
      <c r="I21" s="84">
        <f>TrRoad_act!I75</f>
        <v>145481</v>
      </c>
      <c r="J21" s="84">
        <f>TrRoad_act!J75</f>
        <v>140765</v>
      </c>
      <c r="K21" s="84">
        <f>TrRoad_act!K75</f>
        <v>137065</v>
      </c>
      <c r="L21" s="84">
        <f>TrRoad_act!L75</f>
        <v>132527</v>
      </c>
      <c r="M21" s="84">
        <f>TrRoad_act!M75</f>
        <v>129134</v>
      </c>
      <c r="N21" s="84">
        <f>TrRoad_act!N75</f>
        <v>124532</v>
      </c>
      <c r="O21" s="84">
        <f>TrRoad_act!O75</f>
        <v>121844</v>
      </c>
      <c r="P21" s="84">
        <f>TrRoad_act!P75</f>
        <v>119360</v>
      </c>
      <c r="Q21" s="84">
        <f>TrRoad_act!Q75</f>
        <v>117552</v>
      </c>
      <c r="R21" s="84">
        <f>TrRoad_act!R75</f>
        <v>118634</v>
      </c>
      <c r="S21" s="84">
        <f>TrRoad_act!S75</f>
        <v>119853</v>
      </c>
      <c r="T21" s="84">
        <f>TrRoad_act!T75</f>
        <v>121035</v>
      </c>
      <c r="U21" s="84">
        <f>TrRoad_act!U75</f>
        <v>122442</v>
      </c>
      <c r="V21" s="84">
        <f>TrRoad_act!V75</f>
        <v>124714</v>
      </c>
      <c r="W21" s="84">
        <f>TrRoad_act!W75</f>
        <v>127142</v>
      </c>
      <c r="X21" s="84">
        <f>TrRoad_act!X75</f>
        <v>129404</v>
      </c>
      <c r="Y21" s="84">
        <f>TrRoad_act!Y75</f>
        <v>131536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1487122</v>
      </c>
      <c r="C22" s="84">
        <f>TrRoad_act!C76</f>
        <v>1508584</v>
      </c>
      <c r="D22" s="84">
        <f>TrRoad_act!D76</f>
        <v>1530129</v>
      </c>
      <c r="E22" s="84">
        <f>TrRoad_act!E76</f>
        <v>1540132</v>
      </c>
      <c r="F22" s="84">
        <f>TrRoad_act!F76</f>
        <v>1557287</v>
      </c>
      <c r="G22" s="84">
        <f>TrRoad_act!G76</f>
        <v>1578349</v>
      </c>
      <c r="H22" s="84">
        <f>TrRoad_act!H76</f>
        <v>1623700</v>
      </c>
      <c r="I22" s="84">
        <f>TrRoad_act!I76</f>
        <v>1652913</v>
      </c>
      <c r="J22" s="84">
        <f>TrRoad_act!J76</f>
        <v>1688668</v>
      </c>
      <c r="K22" s="84">
        <f>TrRoad_act!K76</f>
        <v>1727537</v>
      </c>
      <c r="L22" s="84">
        <f>TrRoad_act!L76</f>
        <v>1798234</v>
      </c>
      <c r="M22" s="84">
        <f>TrRoad_act!M76</f>
        <v>1881389</v>
      </c>
      <c r="N22" s="84">
        <f>TrRoad_act!N76</f>
        <v>1940662</v>
      </c>
      <c r="O22" s="84">
        <f>TrRoad_act!O76</f>
        <v>1981210</v>
      </c>
      <c r="P22" s="84">
        <f>TrRoad_act!P76</f>
        <v>2040172</v>
      </c>
      <c r="Q22" s="84">
        <f>TrRoad_act!Q76</f>
        <v>2122126</v>
      </c>
      <c r="R22" s="84">
        <f>TrRoad_act!R76</f>
        <v>2233045</v>
      </c>
      <c r="S22" s="84">
        <f>TrRoad_act!S76</f>
        <v>2342249</v>
      </c>
      <c r="T22" s="84">
        <f>TrRoad_act!T76</f>
        <v>2451278</v>
      </c>
      <c r="U22" s="84">
        <f>TrRoad_act!U76</f>
        <v>2571190</v>
      </c>
      <c r="V22" s="84">
        <f>TrRoad_act!V76</f>
        <v>2700397</v>
      </c>
      <c r="W22" s="84">
        <f>TrRoad_act!W76</f>
        <v>2819002</v>
      </c>
      <c r="X22" s="84">
        <f>TrRoad_act!X76</f>
        <v>2889297</v>
      </c>
      <c r="Y22" s="84">
        <f>TrRoad_act!Y76</f>
        <v>2972672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0</v>
      </c>
      <c r="C23" s="84">
        <f>TrRoad_act!C77</f>
        <v>0</v>
      </c>
      <c r="D23" s="84">
        <f>TrRoad_act!D77</f>
        <v>0</v>
      </c>
      <c r="E23" s="84">
        <f>TrRoad_act!E77</f>
        <v>0</v>
      </c>
      <c r="F23" s="84">
        <f>TrRoad_act!F77</f>
        <v>0</v>
      </c>
      <c r="G23" s="84">
        <f>TrRoad_act!G77</f>
        <v>0</v>
      </c>
      <c r="H23" s="84">
        <f>TrRoad_act!H77</f>
        <v>1505</v>
      </c>
      <c r="I23" s="84">
        <f>TrRoad_act!I77</f>
        <v>2238</v>
      </c>
      <c r="J23" s="84">
        <f>TrRoad_act!J77</f>
        <v>4528</v>
      </c>
      <c r="K23" s="84">
        <f>TrRoad_act!K77</f>
        <v>6014</v>
      </c>
      <c r="L23" s="84">
        <f>TrRoad_act!L77</f>
        <v>7317</v>
      </c>
      <c r="M23" s="84">
        <f>TrRoad_act!M77</f>
        <v>8576</v>
      </c>
      <c r="N23" s="84">
        <f>TrRoad_act!N77</f>
        <v>9749</v>
      </c>
      <c r="O23" s="84">
        <f>TrRoad_act!O77</f>
        <v>10160</v>
      </c>
      <c r="P23" s="84">
        <f>TrRoad_act!P77</f>
        <v>11392</v>
      </c>
      <c r="Q23" s="84">
        <f>TrRoad_act!Q77</f>
        <v>12475</v>
      </c>
      <c r="R23" s="84">
        <f>TrRoad_act!R77</f>
        <v>13021</v>
      </c>
      <c r="S23" s="84">
        <f>TrRoad_act!S77</f>
        <v>13749</v>
      </c>
      <c r="T23" s="84">
        <f>TrRoad_act!T77</f>
        <v>14631</v>
      </c>
      <c r="U23" s="84">
        <f>TrRoad_act!U77</f>
        <v>16088</v>
      </c>
      <c r="V23" s="84">
        <f>TrRoad_act!V77</f>
        <v>17962</v>
      </c>
      <c r="W23" s="84">
        <f>TrRoad_act!W77</f>
        <v>20187</v>
      </c>
      <c r="X23" s="84">
        <f>TrRoad_act!X77</f>
        <v>21836</v>
      </c>
      <c r="Y23" s="84">
        <f>TrRoad_act!Y77</f>
        <v>23246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0</v>
      </c>
      <c r="F24" s="84">
        <f>TrRoad_act!F78</f>
        <v>0</v>
      </c>
      <c r="G24" s="84">
        <f>TrRoad_act!G78</f>
        <v>0</v>
      </c>
      <c r="H24" s="84">
        <f>TrRoad_act!H78</f>
        <v>9833</v>
      </c>
      <c r="I24" s="84">
        <f>TrRoad_act!I78</f>
        <v>11603</v>
      </c>
      <c r="J24" s="84">
        <f>TrRoad_act!J78</f>
        <v>13727</v>
      </c>
      <c r="K24" s="84">
        <f>TrRoad_act!K78</f>
        <v>15007</v>
      </c>
      <c r="L24" s="84">
        <f>TrRoad_act!L78</f>
        <v>15913</v>
      </c>
      <c r="M24" s="84">
        <f>TrRoad_act!M78</f>
        <v>15374</v>
      </c>
      <c r="N24" s="84">
        <f>TrRoad_act!N78</f>
        <v>14416</v>
      </c>
      <c r="O24" s="84">
        <f>TrRoad_act!O78</f>
        <v>13825</v>
      </c>
      <c r="P24" s="84">
        <f>TrRoad_act!P78</f>
        <v>13619</v>
      </c>
      <c r="Q24" s="84">
        <f>TrRoad_act!Q78</f>
        <v>13391</v>
      </c>
      <c r="R24" s="84">
        <f>TrRoad_act!R78</f>
        <v>13797</v>
      </c>
      <c r="S24" s="84">
        <f>TrRoad_act!S78</f>
        <v>14203</v>
      </c>
      <c r="T24" s="84">
        <f>TrRoad_act!T78</f>
        <v>13823</v>
      </c>
      <c r="U24" s="84">
        <f>TrRoad_act!U78</f>
        <v>13475</v>
      </c>
      <c r="V24" s="84">
        <f>TrRoad_act!V78</f>
        <v>12715</v>
      </c>
      <c r="W24" s="84">
        <f>TrRoad_act!W78</f>
        <v>11437</v>
      </c>
      <c r="X24" s="84">
        <f>TrRoad_act!X78</f>
        <v>10094</v>
      </c>
      <c r="Y24" s="84">
        <f>TrRoad_act!Y78</f>
        <v>8748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919</v>
      </c>
      <c r="C25" s="84">
        <f>TrRoad_act!C79</f>
        <v>908</v>
      </c>
      <c r="D25" s="84">
        <f>TrRoad_act!D79</f>
        <v>872</v>
      </c>
      <c r="E25" s="84">
        <f>TrRoad_act!E79</f>
        <v>814</v>
      </c>
      <c r="F25" s="84">
        <f>TrRoad_act!F79</f>
        <v>776</v>
      </c>
      <c r="G25" s="84">
        <f>TrRoad_act!G79</f>
        <v>715</v>
      </c>
      <c r="H25" s="84">
        <f>TrRoad_act!H79</f>
        <v>649</v>
      </c>
      <c r="I25" s="84">
        <f>TrRoad_act!I79</f>
        <v>565</v>
      </c>
      <c r="J25" s="84">
        <f>TrRoad_act!J79</f>
        <v>584</v>
      </c>
      <c r="K25" s="84">
        <f>TrRoad_act!K79</f>
        <v>638</v>
      </c>
      <c r="L25" s="84">
        <f>TrRoad_act!L79</f>
        <v>853</v>
      </c>
      <c r="M25" s="84">
        <f>TrRoad_act!M79</f>
        <v>1185</v>
      </c>
      <c r="N25" s="84">
        <f>TrRoad_act!N79</f>
        <v>2120</v>
      </c>
      <c r="O25" s="84">
        <f>TrRoad_act!O79</f>
        <v>2276</v>
      </c>
      <c r="P25" s="84">
        <f>TrRoad_act!P79</f>
        <v>2765</v>
      </c>
      <c r="Q25" s="84">
        <f>TrRoad_act!Q79</f>
        <v>2452</v>
      </c>
      <c r="R25" s="84">
        <f>TrRoad_act!R79</f>
        <v>4897</v>
      </c>
      <c r="S25" s="84">
        <f>TrRoad_act!S79</f>
        <v>10466</v>
      </c>
      <c r="T25" s="84">
        <f>TrRoad_act!T79</f>
        <v>15351</v>
      </c>
      <c r="U25" s="84">
        <f>TrRoad_act!U79</f>
        <v>20330</v>
      </c>
      <c r="V25" s="84">
        <f>TrRoad_act!V79</f>
        <v>25082</v>
      </c>
      <c r="W25" s="84">
        <f>TrRoad_act!W79</f>
        <v>40830</v>
      </c>
      <c r="X25" s="84">
        <f>TrRoad_act!X79</f>
        <v>60021</v>
      </c>
      <c r="Y25" s="84">
        <f>TrRoad_act!Y79</f>
        <v>72643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939200</v>
      </c>
      <c r="C26" s="110">
        <f>TrRoad_act!C80</f>
        <v>930042</v>
      </c>
      <c r="D26" s="110">
        <f>TrRoad_act!D80</f>
        <v>892996</v>
      </c>
      <c r="E26" s="110">
        <f>TrRoad_act!E80</f>
        <v>860191</v>
      </c>
      <c r="F26" s="110">
        <f>TrRoad_act!F80</f>
        <v>854326</v>
      </c>
      <c r="G26" s="110">
        <f>TrRoad_act!G80</f>
        <v>847786</v>
      </c>
      <c r="H26" s="110">
        <f>TrRoad_act!H80</f>
        <v>856635</v>
      </c>
      <c r="I26" s="110">
        <f>TrRoad_act!I80</f>
        <v>746853</v>
      </c>
      <c r="J26" s="110">
        <f>TrRoad_act!J80</f>
        <v>737472</v>
      </c>
      <c r="K26" s="110">
        <f>TrRoad_act!K80</f>
        <v>733642</v>
      </c>
      <c r="L26" s="110">
        <f>TrRoad_act!L80</f>
        <v>736323</v>
      </c>
      <c r="M26" s="110">
        <f>TrRoad_act!M80</f>
        <v>751493</v>
      </c>
      <c r="N26" s="110">
        <f>TrRoad_act!N80</f>
        <v>750139</v>
      </c>
      <c r="O26" s="110">
        <f>TrRoad_act!O80</f>
        <v>764375</v>
      </c>
      <c r="P26" s="110">
        <f>TrRoad_act!P80</f>
        <v>778119</v>
      </c>
      <c r="Q26" s="110">
        <f>TrRoad_act!Q80</f>
        <v>794016</v>
      </c>
      <c r="R26" s="110">
        <f>TrRoad_act!R80</f>
        <v>822870</v>
      </c>
      <c r="S26" s="110">
        <f>TrRoad_act!S80</f>
        <v>858796</v>
      </c>
      <c r="T26" s="110">
        <f>TrRoad_act!T80</f>
        <v>871123</v>
      </c>
      <c r="U26" s="110">
        <f>TrRoad_act!U80</f>
        <v>908163</v>
      </c>
      <c r="V26" s="110">
        <f>TrRoad_act!V80</f>
        <v>937505</v>
      </c>
      <c r="W26" s="110">
        <f>TrRoad_act!W80</f>
        <v>967332</v>
      </c>
      <c r="X26" s="110">
        <f>TrRoad_act!X80</f>
        <v>985517</v>
      </c>
      <c r="Y26" s="110">
        <f>TrRoad_act!Y80</f>
        <v>1003327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859876</v>
      </c>
      <c r="C27" s="102">
        <f>TrRoad_act!C81</f>
        <v>844998</v>
      </c>
      <c r="D27" s="102">
        <f>TrRoad_act!D81</f>
        <v>803528</v>
      </c>
      <c r="E27" s="102">
        <f>TrRoad_act!E81</f>
        <v>768744</v>
      </c>
      <c r="F27" s="102">
        <f>TrRoad_act!F81</f>
        <v>746206</v>
      </c>
      <c r="G27" s="102">
        <f>TrRoad_act!G81</f>
        <v>735866</v>
      </c>
      <c r="H27" s="102">
        <f>TrRoad_act!H81</f>
        <v>737154</v>
      </c>
      <c r="I27" s="102">
        <f>TrRoad_act!I81</f>
        <v>620399</v>
      </c>
      <c r="J27" s="102">
        <f>TrRoad_act!J81</f>
        <v>606061</v>
      </c>
      <c r="K27" s="102">
        <f>TrRoad_act!K81</f>
        <v>613932</v>
      </c>
      <c r="L27" s="102">
        <f>TrRoad_act!L81</f>
        <v>609823</v>
      </c>
      <c r="M27" s="102">
        <f>TrRoad_act!M81</f>
        <v>624515</v>
      </c>
      <c r="N27" s="102">
        <f>TrRoad_act!N81</f>
        <v>621730</v>
      </c>
      <c r="O27" s="102">
        <f>TrRoad_act!O81</f>
        <v>631041</v>
      </c>
      <c r="P27" s="102">
        <f>TrRoad_act!P81</f>
        <v>641754</v>
      </c>
      <c r="Q27" s="102">
        <f>TrRoad_act!Q81</f>
        <v>656720</v>
      </c>
      <c r="R27" s="102">
        <f>TrRoad_act!R81</f>
        <v>674673</v>
      </c>
      <c r="S27" s="102">
        <f>TrRoad_act!S81</f>
        <v>698132</v>
      </c>
      <c r="T27" s="102">
        <f>TrRoad_act!T81</f>
        <v>719416</v>
      </c>
      <c r="U27" s="102">
        <f>TrRoad_act!U81</f>
        <v>744806</v>
      </c>
      <c r="V27" s="102">
        <f>TrRoad_act!V81</f>
        <v>770746</v>
      </c>
      <c r="W27" s="102">
        <f>TrRoad_act!W81</f>
        <v>793039</v>
      </c>
      <c r="X27" s="102">
        <f>TrRoad_act!X81</f>
        <v>810743</v>
      </c>
      <c r="Y27" s="102">
        <f>TrRoad_act!Y81</f>
        <v>830149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79324</v>
      </c>
      <c r="C28" s="86">
        <f>TrRoad_act!C82</f>
        <v>85044</v>
      </c>
      <c r="D28" s="86">
        <f>TrRoad_act!D82</f>
        <v>89468</v>
      </c>
      <c r="E28" s="86">
        <f>TrRoad_act!E82</f>
        <v>91447</v>
      </c>
      <c r="F28" s="86">
        <f>TrRoad_act!F82</f>
        <v>108120</v>
      </c>
      <c r="G28" s="86">
        <f>TrRoad_act!G82</f>
        <v>111920</v>
      </c>
      <c r="H28" s="86">
        <f>TrRoad_act!H82</f>
        <v>119481</v>
      </c>
      <c r="I28" s="86">
        <f>TrRoad_act!I82</f>
        <v>126454</v>
      </c>
      <c r="J28" s="86">
        <f>TrRoad_act!J82</f>
        <v>131411</v>
      </c>
      <c r="K28" s="86">
        <f>TrRoad_act!K82</f>
        <v>119710</v>
      </c>
      <c r="L28" s="86">
        <f>TrRoad_act!L82</f>
        <v>126500</v>
      </c>
      <c r="M28" s="86">
        <f>TrRoad_act!M82</f>
        <v>126978</v>
      </c>
      <c r="N28" s="86">
        <f>TrRoad_act!N82</f>
        <v>128409</v>
      </c>
      <c r="O28" s="86">
        <f>TrRoad_act!O82</f>
        <v>133334</v>
      </c>
      <c r="P28" s="86">
        <f>TrRoad_act!P82</f>
        <v>136365</v>
      </c>
      <c r="Q28" s="86">
        <f>TrRoad_act!Q82</f>
        <v>137296</v>
      </c>
      <c r="R28" s="86">
        <f>TrRoad_act!R82</f>
        <v>148197</v>
      </c>
      <c r="S28" s="86">
        <f>TrRoad_act!S82</f>
        <v>160664</v>
      </c>
      <c r="T28" s="86">
        <f>TrRoad_act!T82</f>
        <v>151707</v>
      </c>
      <c r="U28" s="86">
        <f>TrRoad_act!U82</f>
        <v>163357</v>
      </c>
      <c r="V28" s="86">
        <f>TrRoad_act!V82</f>
        <v>166759</v>
      </c>
      <c r="W28" s="86">
        <f>TrRoad_act!W82</f>
        <v>174293</v>
      </c>
      <c r="X28" s="86">
        <f>TrRoad_act!X82</f>
        <v>174774</v>
      </c>
      <c r="Y28" s="86">
        <f>TrRoad_act!Y82</f>
        <v>173178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4009329</v>
      </c>
      <c r="C30" s="54">
        <f>TrRoad_act!C111</f>
        <v>3975238</v>
      </c>
      <c r="D30" s="54">
        <f>TrRoad_act!D111</f>
        <v>3863426</v>
      </c>
      <c r="E30" s="54">
        <f>TrRoad_act!E111</f>
        <v>3835232</v>
      </c>
      <c r="F30" s="54">
        <f>TrRoad_act!F111</f>
        <v>3921214</v>
      </c>
      <c r="G30" s="54">
        <f>TrRoad_act!G111</f>
        <v>3842784</v>
      </c>
      <c r="H30" s="54">
        <f>TrRoad_act!H111</f>
        <v>4163891</v>
      </c>
      <c r="I30" s="54">
        <f>TrRoad_act!I111</f>
        <v>3734472</v>
      </c>
      <c r="J30" s="54">
        <f>TrRoad_act!J111</f>
        <v>3656063</v>
      </c>
      <c r="K30" s="54">
        <f>TrRoad_act!K111</f>
        <v>4413836</v>
      </c>
      <c r="L30" s="54">
        <f>TrRoad_act!L111</f>
        <v>3474336</v>
      </c>
      <c r="M30" s="54">
        <f>TrRoad_act!M111</f>
        <v>3788776</v>
      </c>
      <c r="N30" s="54">
        <f>TrRoad_act!N111</f>
        <v>3673490</v>
      </c>
      <c r="O30" s="54">
        <f>TrRoad_act!O111</f>
        <v>3518610</v>
      </c>
      <c r="P30" s="54">
        <f>TrRoad_act!P111</f>
        <v>3651579</v>
      </c>
      <c r="Q30" s="54">
        <f>TrRoad_act!Q111</f>
        <v>3830260</v>
      </c>
      <c r="R30" s="54">
        <f>TrRoad_act!R111</f>
        <v>4070827</v>
      </c>
      <c r="S30" s="54">
        <f>TrRoad_act!S111</f>
        <v>4270853</v>
      </c>
      <c r="T30" s="54">
        <f>TrRoad_act!T111</f>
        <v>4181937</v>
      </c>
      <c r="U30" s="54">
        <f>TrRoad_act!U111</f>
        <v>4449926</v>
      </c>
      <c r="V30" s="54">
        <f>TrRoad_act!V111</f>
        <v>3853370</v>
      </c>
      <c r="W30" s="54">
        <f>TrRoad_act!W111</f>
        <v>3665797</v>
      </c>
      <c r="X30" s="54">
        <f>TrRoad_act!X111</f>
        <v>3771395</v>
      </c>
      <c r="Y30" s="54">
        <f>TrRoad_act!Y111</f>
        <v>4187142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3815333</v>
      </c>
      <c r="C31" s="28">
        <f>TrRoad_act!C112</f>
        <v>3762783</v>
      </c>
      <c r="D31" s="28">
        <f>TrRoad_act!D112</f>
        <v>3679332</v>
      </c>
      <c r="E31" s="28">
        <f>TrRoad_act!E112</f>
        <v>3660008</v>
      </c>
      <c r="F31" s="28">
        <f>TrRoad_act!F112</f>
        <v>3694133</v>
      </c>
      <c r="G31" s="28">
        <f>TrRoad_act!G112</f>
        <v>3759129</v>
      </c>
      <c r="H31" s="28">
        <f>TrRoad_act!H112</f>
        <v>3881527</v>
      </c>
      <c r="I31" s="28">
        <f>TrRoad_act!I112</f>
        <v>3491368</v>
      </c>
      <c r="J31" s="28">
        <f>TrRoad_act!J112</f>
        <v>3411860</v>
      </c>
      <c r="K31" s="28">
        <f>TrRoad_act!K112</f>
        <v>4185413</v>
      </c>
      <c r="L31" s="28">
        <f>TrRoad_act!L112</f>
        <v>3200482</v>
      </c>
      <c r="M31" s="28">
        <f>TrRoad_act!M112</f>
        <v>3465059</v>
      </c>
      <c r="N31" s="28">
        <f>TrRoad_act!N112</f>
        <v>3385252</v>
      </c>
      <c r="O31" s="28">
        <f>TrRoad_act!O112</f>
        <v>3226119</v>
      </c>
      <c r="P31" s="28">
        <f>TrRoad_act!P112</f>
        <v>3345646</v>
      </c>
      <c r="Q31" s="28">
        <f>TrRoad_act!Q112</f>
        <v>3514995</v>
      </c>
      <c r="R31" s="28">
        <f>TrRoad_act!R112</f>
        <v>3719945</v>
      </c>
      <c r="S31" s="28">
        <f>TrRoad_act!S112</f>
        <v>3903101</v>
      </c>
      <c r="T31" s="28">
        <f>TrRoad_act!T112</f>
        <v>3821195</v>
      </c>
      <c r="U31" s="28">
        <f>TrRoad_act!U112</f>
        <v>4047530</v>
      </c>
      <c r="V31" s="28">
        <f>TrRoad_act!V112</f>
        <v>3499389</v>
      </c>
      <c r="W31" s="28">
        <f>TrRoad_act!W112</f>
        <v>3308908</v>
      </c>
      <c r="X31" s="28">
        <f>TrRoad_act!X112</f>
        <v>3447682</v>
      </c>
      <c r="Y31" s="28">
        <f>TrRoad_act!Y112</f>
        <v>3856651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429447</v>
      </c>
      <c r="C32" s="137">
        <f>TrRoad_act!C113</f>
        <v>413893</v>
      </c>
      <c r="D32" s="137">
        <f>TrRoad_act!D113</f>
        <v>408258</v>
      </c>
      <c r="E32" s="137">
        <f>TrRoad_act!E113</f>
        <v>409744</v>
      </c>
      <c r="F32" s="137">
        <f>TrRoad_act!F113</f>
        <v>401985</v>
      </c>
      <c r="G32" s="137">
        <f>TrRoad_act!G113</f>
        <v>382069</v>
      </c>
      <c r="H32" s="137">
        <f>TrRoad_act!H113</f>
        <v>365356</v>
      </c>
      <c r="I32" s="137">
        <f>TrRoad_act!I113</f>
        <v>337734</v>
      </c>
      <c r="J32" s="137">
        <f>TrRoad_act!J113</f>
        <v>315934</v>
      </c>
      <c r="K32" s="137">
        <f>TrRoad_act!K113</f>
        <v>301815</v>
      </c>
      <c r="L32" s="137">
        <f>TrRoad_act!L113</f>
        <v>244586</v>
      </c>
      <c r="M32" s="137">
        <f>TrRoad_act!M113</f>
        <v>261432</v>
      </c>
      <c r="N32" s="137">
        <f>TrRoad_act!N113</f>
        <v>253701</v>
      </c>
      <c r="O32" s="137">
        <f>TrRoad_act!O113</f>
        <v>250255</v>
      </c>
      <c r="P32" s="137">
        <f>TrRoad_act!P113</f>
        <v>287413</v>
      </c>
      <c r="Q32" s="137">
        <f>TrRoad_act!Q113</f>
        <v>288156</v>
      </c>
      <c r="R32" s="137">
        <f>TrRoad_act!R113</f>
        <v>331786</v>
      </c>
      <c r="S32" s="137">
        <f>TrRoad_act!S113</f>
        <v>267267</v>
      </c>
      <c r="T32" s="137">
        <f>TrRoad_act!T113</f>
        <v>296605</v>
      </c>
      <c r="U32" s="137">
        <f>TrRoad_act!U113</f>
        <v>301136</v>
      </c>
      <c r="V32" s="137">
        <f>TrRoad_act!V113</f>
        <v>311504</v>
      </c>
      <c r="W32" s="137">
        <f>TrRoad_act!W113</f>
        <v>319476</v>
      </c>
      <c r="X32" s="137">
        <f>TrRoad_act!X113</f>
        <v>387520</v>
      </c>
      <c r="Y32" s="137">
        <f>TrRoad_act!Y113</f>
        <v>406235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3379643</v>
      </c>
      <c r="C33" s="110">
        <f>TrRoad_act!C114</f>
        <v>3342665</v>
      </c>
      <c r="D33" s="110">
        <f>TrRoad_act!D114</f>
        <v>3265337</v>
      </c>
      <c r="E33" s="110">
        <f>TrRoad_act!E114</f>
        <v>3244595</v>
      </c>
      <c r="F33" s="110">
        <f>TrRoad_act!F114</f>
        <v>3286750</v>
      </c>
      <c r="G33" s="110">
        <f>TrRoad_act!G114</f>
        <v>3371634</v>
      </c>
      <c r="H33" s="110">
        <f>TrRoad_act!H114</f>
        <v>3510452</v>
      </c>
      <c r="I33" s="110">
        <f>TrRoad_act!I114</f>
        <v>3148163</v>
      </c>
      <c r="J33" s="110">
        <f>TrRoad_act!J114</f>
        <v>3090040</v>
      </c>
      <c r="K33" s="110">
        <f>TrRoad_act!K114</f>
        <v>3877911</v>
      </c>
      <c r="L33" s="110">
        <f>TrRoad_act!L114</f>
        <v>2950677</v>
      </c>
      <c r="M33" s="110">
        <f>TrRoad_act!M114</f>
        <v>3198585</v>
      </c>
      <c r="N33" s="110">
        <f>TrRoad_act!N114</f>
        <v>3126299</v>
      </c>
      <c r="O33" s="110">
        <f>TrRoad_act!O114</f>
        <v>2970037</v>
      </c>
      <c r="P33" s="110">
        <f>TrRoad_act!P114</f>
        <v>3052443</v>
      </c>
      <c r="Q33" s="110">
        <f>TrRoad_act!Q114</f>
        <v>3220702</v>
      </c>
      <c r="R33" s="110">
        <f>TrRoad_act!R114</f>
        <v>3381476</v>
      </c>
      <c r="S33" s="110">
        <f>TrRoad_act!S114</f>
        <v>3629137</v>
      </c>
      <c r="T33" s="110">
        <f>TrRoad_act!T114</f>
        <v>3517903</v>
      </c>
      <c r="U33" s="110">
        <f>TrRoad_act!U114</f>
        <v>3739957</v>
      </c>
      <c r="V33" s="110">
        <f>TrRoad_act!V114</f>
        <v>3180448</v>
      </c>
      <c r="W33" s="110">
        <f>TrRoad_act!W114</f>
        <v>2981657</v>
      </c>
      <c r="X33" s="110">
        <f>TrRoad_act!X114</f>
        <v>3052691</v>
      </c>
      <c r="Y33" s="110">
        <f>TrRoad_act!Y114</f>
        <v>3442407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2349941</v>
      </c>
      <c r="C34" s="84">
        <f>TrRoad_act!C115</f>
        <v>2183723</v>
      </c>
      <c r="D34" s="84">
        <f>TrRoad_act!D115</f>
        <v>2013610</v>
      </c>
      <c r="E34" s="84">
        <f>TrRoad_act!E115</f>
        <v>1942837</v>
      </c>
      <c r="F34" s="84">
        <f>TrRoad_act!F115</f>
        <v>1823530</v>
      </c>
      <c r="G34" s="84">
        <f>TrRoad_act!G115</f>
        <v>1903190</v>
      </c>
      <c r="H34" s="84">
        <f>TrRoad_act!H115</f>
        <v>1910823</v>
      </c>
      <c r="I34" s="84">
        <f>TrRoad_act!I115</f>
        <v>1888754</v>
      </c>
      <c r="J34" s="84">
        <f>TrRoad_act!J115</f>
        <v>1997632</v>
      </c>
      <c r="K34" s="84">
        <f>TrRoad_act!K115</f>
        <v>2608767</v>
      </c>
      <c r="L34" s="84">
        <f>TrRoad_act!L115</f>
        <v>1672128</v>
      </c>
      <c r="M34" s="84">
        <f>TrRoad_act!M115</f>
        <v>1654206</v>
      </c>
      <c r="N34" s="84">
        <f>TrRoad_act!N115</f>
        <v>1589557</v>
      </c>
      <c r="O34" s="84">
        <f>TrRoad_act!O115</f>
        <v>1542134</v>
      </c>
      <c r="P34" s="84">
        <f>TrRoad_act!P115</f>
        <v>1571683</v>
      </c>
      <c r="Q34" s="84">
        <f>TrRoad_act!Q115</f>
        <v>1647610</v>
      </c>
      <c r="R34" s="84">
        <f>TrRoad_act!R115</f>
        <v>1807549</v>
      </c>
      <c r="S34" s="84">
        <f>TrRoad_act!S115</f>
        <v>2218514</v>
      </c>
      <c r="T34" s="84">
        <f>TrRoad_act!T115</f>
        <v>2306038</v>
      </c>
      <c r="U34" s="84">
        <f>TrRoad_act!U115</f>
        <v>2379287</v>
      </c>
      <c r="V34" s="84">
        <f>TrRoad_act!V115</f>
        <v>1798477</v>
      </c>
      <c r="W34" s="84">
        <f>TrRoad_act!W115</f>
        <v>1541752</v>
      </c>
      <c r="X34" s="84">
        <f>TrRoad_act!X115</f>
        <v>1483443</v>
      </c>
      <c r="Y34" s="84">
        <f>TrRoad_act!Y115</f>
        <v>1888966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1026002</v>
      </c>
      <c r="C35" s="84">
        <f>TrRoad_act!C116</f>
        <v>1155324</v>
      </c>
      <c r="D35" s="84">
        <f>TrRoad_act!D116</f>
        <v>1236213</v>
      </c>
      <c r="E35" s="84">
        <f>TrRoad_act!E116</f>
        <v>1292727</v>
      </c>
      <c r="F35" s="84">
        <f>TrRoad_act!F116</f>
        <v>1437346</v>
      </c>
      <c r="G35" s="84">
        <f>TrRoad_act!G116</f>
        <v>1425576</v>
      </c>
      <c r="H35" s="84">
        <f>TrRoad_act!H116</f>
        <v>1535881</v>
      </c>
      <c r="I35" s="84">
        <f>TrRoad_act!I116</f>
        <v>1145349</v>
      </c>
      <c r="J35" s="84">
        <f>TrRoad_act!J116</f>
        <v>1044910</v>
      </c>
      <c r="K35" s="84">
        <f>TrRoad_act!K116</f>
        <v>1168633</v>
      </c>
      <c r="L35" s="84">
        <f>TrRoad_act!L116</f>
        <v>1221938</v>
      </c>
      <c r="M35" s="84">
        <f>TrRoad_act!M116</f>
        <v>1495966</v>
      </c>
      <c r="N35" s="84">
        <f>TrRoad_act!N116</f>
        <v>1486119</v>
      </c>
      <c r="O35" s="84">
        <f>TrRoad_act!O116</f>
        <v>1403484</v>
      </c>
      <c r="P35" s="84">
        <f>TrRoad_act!P116</f>
        <v>1453001</v>
      </c>
      <c r="Q35" s="84">
        <f>TrRoad_act!Q116</f>
        <v>1538867</v>
      </c>
      <c r="R35" s="84">
        <f>TrRoad_act!R116</f>
        <v>1540653</v>
      </c>
      <c r="S35" s="84">
        <f>TrRoad_act!S116</f>
        <v>1348492</v>
      </c>
      <c r="T35" s="84">
        <f>TrRoad_act!T116</f>
        <v>1129026</v>
      </c>
      <c r="U35" s="84">
        <f>TrRoad_act!U116</f>
        <v>1237838</v>
      </c>
      <c r="V35" s="84">
        <f>TrRoad_act!V116</f>
        <v>974500</v>
      </c>
      <c r="W35" s="84">
        <f>TrRoad_act!W116</f>
        <v>746623</v>
      </c>
      <c r="X35" s="84">
        <f>TrRoad_act!X116</f>
        <v>721805</v>
      </c>
      <c r="Y35" s="84">
        <f>TrRoad_act!Y116</f>
        <v>836529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3700</v>
      </c>
      <c r="C36" s="84">
        <f>TrRoad_act!C117</f>
        <v>3618</v>
      </c>
      <c r="D36" s="84">
        <f>TrRoad_act!D117</f>
        <v>15514</v>
      </c>
      <c r="E36" s="84">
        <f>TrRoad_act!E117</f>
        <v>9031</v>
      </c>
      <c r="F36" s="84">
        <f>TrRoad_act!F117</f>
        <v>25874</v>
      </c>
      <c r="G36" s="84">
        <f>TrRoad_act!G117</f>
        <v>15015</v>
      </c>
      <c r="H36" s="84">
        <f>TrRoad_act!H117</f>
        <v>59190</v>
      </c>
      <c r="I36" s="84">
        <f>TrRoad_act!I117</f>
        <v>113772</v>
      </c>
      <c r="J36" s="84">
        <f>TrRoad_act!J117</f>
        <v>34328</v>
      </c>
      <c r="K36" s="84">
        <f>TrRoad_act!K117</f>
        <v>64401</v>
      </c>
      <c r="L36" s="84">
        <f>TrRoad_act!L117</f>
        <v>50908</v>
      </c>
      <c r="M36" s="84">
        <f>TrRoad_act!M117</f>
        <v>39626</v>
      </c>
      <c r="N36" s="84">
        <f>TrRoad_act!N117</f>
        <v>40948</v>
      </c>
      <c r="O36" s="84">
        <f>TrRoad_act!O117</f>
        <v>8932</v>
      </c>
      <c r="P36" s="84">
        <f>TrRoad_act!P117</f>
        <v>6234</v>
      </c>
      <c r="Q36" s="84">
        <f>TrRoad_act!Q117</f>
        <v>4716</v>
      </c>
      <c r="R36" s="84">
        <f>TrRoad_act!R117</f>
        <v>2990</v>
      </c>
      <c r="S36" s="84">
        <f>TrRoad_act!S117</f>
        <v>4400</v>
      </c>
      <c r="T36" s="84">
        <f>TrRoad_act!T117</f>
        <v>4663</v>
      </c>
      <c r="U36" s="84">
        <f>TrRoad_act!U117</f>
        <v>7256</v>
      </c>
      <c r="V36" s="84">
        <f>TrRoad_act!V117</f>
        <v>6543</v>
      </c>
      <c r="W36" s="84">
        <f>TrRoad_act!W117</f>
        <v>10118</v>
      </c>
      <c r="X36" s="84">
        <f>TrRoad_act!X117</f>
        <v>15006</v>
      </c>
      <c r="Y36" s="84">
        <f>TrRoad_act!Y117</f>
        <v>13147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27853</v>
      </c>
      <c r="H37" s="84">
        <f>TrRoad_act!H118</f>
        <v>4539</v>
      </c>
      <c r="I37" s="84">
        <f>TrRoad_act!I118</f>
        <v>280</v>
      </c>
      <c r="J37" s="84">
        <f>TrRoad_act!J118</f>
        <v>11896</v>
      </c>
      <c r="K37" s="84">
        <f>TrRoad_act!K118</f>
        <v>35821</v>
      </c>
      <c r="L37" s="84">
        <f>TrRoad_act!L118</f>
        <v>4982</v>
      </c>
      <c r="M37" s="84">
        <f>TrRoad_act!M118</f>
        <v>6283</v>
      </c>
      <c r="N37" s="84">
        <f>TrRoad_act!N118</f>
        <v>5215</v>
      </c>
      <c r="O37" s="84">
        <f>TrRoad_act!O118</f>
        <v>7835</v>
      </c>
      <c r="P37" s="84">
        <f>TrRoad_act!P118</f>
        <v>8194</v>
      </c>
      <c r="Q37" s="84">
        <f>TrRoad_act!Q118</f>
        <v>5285</v>
      </c>
      <c r="R37" s="84">
        <f>TrRoad_act!R118</f>
        <v>3240</v>
      </c>
      <c r="S37" s="84">
        <f>TrRoad_act!S118</f>
        <v>3723</v>
      </c>
      <c r="T37" s="84">
        <f>TrRoad_act!T118</f>
        <v>10804</v>
      </c>
      <c r="U37" s="84">
        <f>TrRoad_act!U118</f>
        <v>7628</v>
      </c>
      <c r="V37" s="84">
        <f>TrRoad_act!V118</f>
        <v>7159</v>
      </c>
      <c r="W37" s="84">
        <f>TrRoad_act!W118</f>
        <v>3916</v>
      </c>
      <c r="X37" s="84">
        <f>TrRoad_act!X118</f>
        <v>2312</v>
      </c>
      <c r="Y37" s="84">
        <f>TrRoad_act!Y118</f>
        <v>5713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266</v>
      </c>
      <c r="N38" s="84">
        <f>TrRoad_act!N119</f>
        <v>1232</v>
      </c>
      <c r="O38" s="84">
        <f>TrRoad_act!O119</f>
        <v>1601</v>
      </c>
      <c r="P38" s="84">
        <f>TrRoad_act!P119</f>
        <v>4190</v>
      </c>
      <c r="Q38" s="84">
        <f>TrRoad_act!Q119</f>
        <v>10855</v>
      </c>
      <c r="R38" s="84">
        <f>TrRoad_act!R119</f>
        <v>14629</v>
      </c>
      <c r="S38" s="84">
        <f>TrRoad_act!S119</f>
        <v>28244</v>
      </c>
      <c r="T38" s="84">
        <f>TrRoad_act!T119</f>
        <v>30839</v>
      </c>
      <c r="U38" s="84">
        <f>TrRoad_act!U119</f>
        <v>44667</v>
      </c>
      <c r="V38" s="84">
        <f>TrRoad_act!V119</f>
        <v>199606</v>
      </c>
      <c r="W38" s="84">
        <f>TrRoad_act!W119</f>
        <v>323287</v>
      </c>
      <c r="X38" s="84">
        <f>TrRoad_act!X119</f>
        <v>359566</v>
      </c>
      <c r="Y38" s="84">
        <f>TrRoad_act!Y119</f>
        <v>173833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19</v>
      </c>
      <c r="I39" s="84">
        <f>TrRoad_act!I120</f>
        <v>8</v>
      </c>
      <c r="J39" s="84">
        <f>TrRoad_act!J120</f>
        <v>1274</v>
      </c>
      <c r="K39" s="84">
        <f>TrRoad_act!K120</f>
        <v>289</v>
      </c>
      <c r="L39" s="84">
        <f>TrRoad_act!L120</f>
        <v>721</v>
      </c>
      <c r="M39" s="84">
        <f>TrRoad_act!M120</f>
        <v>2238</v>
      </c>
      <c r="N39" s="84">
        <f>TrRoad_act!N120</f>
        <v>3228</v>
      </c>
      <c r="O39" s="84">
        <f>TrRoad_act!O120</f>
        <v>6051</v>
      </c>
      <c r="P39" s="84">
        <f>TrRoad_act!P120</f>
        <v>9141</v>
      </c>
      <c r="Q39" s="84">
        <f>TrRoad_act!Q120</f>
        <v>13369</v>
      </c>
      <c r="R39" s="84">
        <f>TrRoad_act!R120</f>
        <v>12415</v>
      </c>
      <c r="S39" s="84">
        <f>TrRoad_act!S120</f>
        <v>25764</v>
      </c>
      <c r="T39" s="84">
        <f>TrRoad_act!T120</f>
        <v>36533</v>
      </c>
      <c r="U39" s="84">
        <f>TrRoad_act!U120</f>
        <v>63281</v>
      </c>
      <c r="V39" s="84">
        <f>TrRoad_act!V120</f>
        <v>194163</v>
      </c>
      <c r="W39" s="84">
        <f>TrRoad_act!W120</f>
        <v>355961</v>
      </c>
      <c r="X39" s="84">
        <f>TrRoad_act!X120</f>
        <v>470559</v>
      </c>
      <c r="Y39" s="84">
        <f>TrRoad_act!Y120</f>
        <v>524219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6243</v>
      </c>
      <c r="C40" s="110">
        <f>TrRoad_act!C121</f>
        <v>6225</v>
      </c>
      <c r="D40" s="110">
        <f>TrRoad_act!D121</f>
        <v>5737</v>
      </c>
      <c r="E40" s="110">
        <f>TrRoad_act!E121</f>
        <v>5669</v>
      </c>
      <c r="F40" s="110">
        <f>TrRoad_act!F121</f>
        <v>5398</v>
      </c>
      <c r="G40" s="110">
        <f>TrRoad_act!G121</f>
        <v>5426</v>
      </c>
      <c r="H40" s="110">
        <f>TrRoad_act!H121</f>
        <v>5719</v>
      </c>
      <c r="I40" s="110">
        <f>TrRoad_act!I121</f>
        <v>5471</v>
      </c>
      <c r="J40" s="110">
        <f>TrRoad_act!J121</f>
        <v>5886</v>
      </c>
      <c r="K40" s="110">
        <f>TrRoad_act!K121</f>
        <v>5687</v>
      </c>
      <c r="L40" s="110">
        <f>TrRoad_act!L121</f>
        <v>5219</v>
      </c>
      <c r="M40" s="110">
        <f>TrRoad_act!M121</f>
        <v>5042</v>
      </c>
      <c r="N40" s="110">
        <f>TrRoad_act!N121</f>
        <v>5252</v>
      </c>
      <c r="O40" s="110">
        <f>TrRoad_act!O121</f>
        <v>5827</v>
      </c>
      <c r="P40" s="110">
        <f>TrRoad_act!P121</f>
        <v>5790</v>
      </c>
      <c r="Q40" s="110">
        <f>TrRoad_act!Q121</f>
        <v>6137</v>
      </c>
      <c r="R40" s="110">
        <f>TrRoad_act!R121</f>
        <v>6683</v>
      </c>
      <c r="S40" s="110">
        <f>TrRoad_act!S121</f>
        <v>6697</v>
      </c>
      <c r="T40" s="110">
        <f>TrRoad_act!T121</f>
        <v>6687</v>
      </c>
      <c r="U40" s="110">
        <f>TrRoad_act!U121</f>
        <v>6437</v>
      </c>
      <c r="V40" s="110">
        <f>TrRoad_act!V121</f>
        <v>7437</v>
      </c>
      <c r="W40" s="110">
        <f>TrRoad_act!W121</f>
        <v>7775</v>
      </c>
      <c r="X40" s="110">
        <f>TrRoad_act!X121</f>
        <v>7471</v>
      </c>
      <c r="Y40" s="110">
        <f>TrRoad_act!Y121</f>
        <v>8009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0</v>
      </c>
      <c r="D41" s="102">
        <f>TrRoad_act!D122</f>
        <v>0</v>
      </c>
      <c r="E41" s="102">
        <f>TrRoad_act!E122</f>
        <v>0</v>
      </c>
      <c r="F41" s="102">
        <f>TrRoad_act!F122</f>
        <v>0</v>
      </c>
      <c r="G41" s="102">
        <f>TrRoad_act!G122</f>
        <v>0</v>
      </c>
      <c r="H41" s="102">
        <f>TrRoad_act!H122</f>
        <v>0</v>
      </c>
      <c r="I41" s="102">
        <f>TrRoad_act!I122</f>
        <v>0</v>
      </c>
      <c r="J41" s="102">
        <f>TrRoad_act!J122</f>
        <v>0</v>
      </c>
      <c r="K41" s="102">
        <f>TrRoad_act!K122</f>
        <v>0</v>
      </c>
      <c r="L41" s="102">
        <f>TrRoad_act!L122</f>
        <v>0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0</v>
      </c>
      <c r="R41" s="102">
        <f>TrRoad_act!R122</f>
        <v>0</v>
      </c>
      <c r="S41" s="102">
        <f>TrRoad_act!S122</f>
        <v>0</v>
      </c>
      <c r="T41" s="102">
        <f>TrRoad_act!T122</f>
        <v>0</v>
      </c>
      <c r="U41" s="102">
        <f>TrRoad_act!U122</f>
        <v>0</v>
      </c>
      <c r="V41" s="102">
        <f>TrRoad_act!V122</f>
        <v>0</v>
      </c>
      <c r="W41" s="102">
        <f>TrRoad_act!W122</f>
        <v>0</v>
      </c>
      <c r="X41" s="102">
        <f>TrRoad_act!X122</f>
        <v>0</v>
      </c>
      <c r="Y41" s="102">
        <f>TrRoad_act!Y122</f>
        <v>0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6240</v>
      </c>
      <c r="C42" s="102">
        <f>TrRoad_act!C123</f>
        <v>5932</v>
      </c>
      <c r="D42" s="102">
        <f>TrRoad_act!D123</f>
        <v>5518</v>
      </c>
      <c r="E42" s="102">
        <f>TrRoad_act!E123</f>
        <v>5558</v>
      </c>
      <c r="F42" s="102">
        <f>TrRoad_act!F123</f>
        <v>5335</v>
      </c>
      <c r="G42" s="102">
        <f>TrRoad_act!G123</f>
        <v>5356</v>
      </c>
      <c r="H42" s="102">
        <f>TrRoad_act!H123</f>
        <v>5482</v>
      </c>
      <c r="I42" s="102">
        <f>TrRoad_act!I123</f>
        <v>5324</v>
      </c>
      <c r="J42" s="102">
        <f>TrRoad_act!J123</f>
        <v>5737</v>
      </c>
      <c r="K42" s="102">
        <f>TrRoad_act!K123</f>
        <v>5519</v>
      </c>
      <c r="L42" s="102">
        <f>TrRoad_act!L123</f>
        <v>5168</v>
      </c>
      <c r="M42" s="102">
        <f>TrRoad_act!M123</f>
        <v>4969</v>
      </c>
      <c r="N42" s="102">
        <f>TrRoad_act!N123</f>
        <v>5024</v>
      </c>
      <c r="O42" s="102">
        <f>TrRoad_act!O123</f>
        <v>5696</v>
      </c>
      <c r="P42" s="102">
        <f>TrRoad_act!P123</f>
        <v>5700</v>
      </c>
      <c r="Q42" s="102">
        <f>TrRoad_act!Q123</f>
        <v>6058</v>
      </c>
      <c r="R42" s="102">
        <f>TrRoad_act!R123</f>
        <v>6549</v>
      </c>
      <c r="S42" s="102">
        <f>TrRoad_act!S123</f>
        <v>6582</v>
      </c>
      <c r="T42" s="102">
        <f>TrRoad_act!T123</f>
        <v>6492</v>
      </c>
      <c r="U42" s="102">
        <f>TrRoad_act!U123</f>
        <v>6227</v>
      </c>
      <c r="V42" s="102">
        <f>TrRoad_act!V123</f>
        <v>6905</v>
      </c>
      <c r="W42" s="102">
        <f>TrRoad_act!W123</f>
        <v>7130</v>
      </c>
      <c r="X42" s="102">
        <f>TrRoad_act!X123</f>
        <v>6810</v>
      </c>
      <c r="Y42" s="102">
        <f>TrRoad_act!Y123</f>
        <v>7157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10</v>
      </c>
      <c r="G43" s="102">
        <f>TrRoad_act!G124</f>
        <v>0</v>
      </c>
      <c r="H43" s="102">
        <f>TrRoad_act!H124</f>
        <v>0</v>
      </c>
      <c r="I43" s="102">
        <f>TrRoad_act!I124</f>
        <v>2</v>
      </c>
      <c r="J43" s="102">
        <f>TrRoad_act!J124</f>
        <v>5</v>
      </c>
      <c r="K43" s="102">
        <f>TrRoad_act!K124</f>
        <v>6</v>
      </c>
      <c r="L43" s="102">
        <f>TrRoad_act!L124</f>
        <v>3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1</v>
      </c>
      <c r="S43" s="102">
        <f>TrRoad_act!S124</f>
        <v>0</v>
      </c>
      <c r="T43" s="102">
        <f>TrRoad_act!T124</f>
        <v>1</v>
      </c>
      <c r="U43" s="102">
        <f>TrRoad_act!U124</f>
        <v>2</v>
      </c>
      <c r="V43" s="102">
        <f>TrRoad_act!V124</f>
        <v>1</v>
      </c>
      <c r="W43" s="102">
        <f>TrRoad_act!W124</f>
        <v>3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279</v>
      </c>
      <c r="D44" s="102">
        <f>TrRoad_act!D125</f>
        <v>200</v>
      </c>
      <c r="E44" s="102">
        <f>TrRoad_act!E125</f>
        <v>100</v>
      </c>
      <c r="F44" s="102">
        <f>TrRoad_act!F125</f>
        <v>50</v>
      </c>
      <c r="G44" s="102">
        <f>TrRoad_act!G125</f>
        <v>70</v>
      </c>
      <c r="H44" s="102">
        <f>TrRoad_act!H125</f>
        <v>237</v>
      </c>
      <c r="I44" s="102">
        <f>TrRoad_act!I125</f>
        <v>145</v>
      </c>
      <c r="J44" s="102">
        <f>TrRoad_act!J125</f>
        <v>141</v>
      </c>
      <c r="K44" s="102">
        <f>TrRoad_act!K125</f>
        <v>146</v>
      </c>
      <c r="L44" s="102">
        <f>TrRoad_act!L125</f>
        <v>44</v>
      </c>
      <c r="M44" s="102">
        <f>TrRoad_act!M125</f>
        <v>60</v>
      </c>
      <c r="N44" s="102">
        <f>TrRoad_act!N125</f>
        <v>221</v>
      </c>
      <c r="O44" s="102">
        <f>TrRoad_act!O125</f>
        <v>126</v>
      </c>
      <c r="P44" s="102">
        <f>TrRoad_act!P125</f>
        <v>64</v>
      </c>
      <c r="Q44" s="102">
        <f>TrRoad_act!Q125</f>
        <v>56</v>
      </c>
      <c r="R44" s="102">
        <f>TrRoad_act!R125</f>
        <v>78</v>
      </c>
      <c r="S44" s="102">
        <f>TrRoad_act!S125</f>
        <v>86</v>
      </c>
      <c r="T44" s="102">
        <f>TrRoad_act!T125</f>
        <v>99</v>
      </c>
      <c r="U44" s="102">
        <f>TrRoad_act!U125</f>
        <v>21</v>
      </c>
      <c r="V44" s="102">
        <f>TrRoad_act!V125</f>
        <v>77</v>
      </c>
      <c r="W44" s="102">
        <f>TrRoad_act!W125</f>
        <v>52</v>
      </c>
      <c r="X44" s="102">
        <f>TrRoad_act!X125</f>
        <v>30</v>
      </c>
      <c r="Y44" s="102">
        <f>TrRoad_act!Y125</f>
        <v>43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3</v>
      </c>
      <c r="C45" s="102">
        <f>TrRoad_act!C126</f>
        <v>14</v>
      </c>
      <c r="D45" s="102">
        <f>TrRoad_act!D126</f>
        <v>19</v>
      </c>
      <c r="E45" s="102">
        <f>TrRoad_act!E126</f>
        <v>11</v>
      </c>
      <c r="F45" s="102">
        <f>TrRoad_act!F126</f>
        <v>3</v>
      </c>
      <c r="G45" s="102">
        <f>TrRoad_act!G126</f>
        <v>0</v>
      </c>
      <c r="H45" s="102">
        <f>TrRoad_act!H126</f>
        <v>0</v>
      </c>
      <c r="I45" s="102">
        <f>TrRoad_act!I126</f>
        <v>0</v>
      </c>
      <c r="J45" s="102">
        <f>TrRoad_act!J126</f>
        <v>3</v>
      </c>
      <c r="K45" s="102">
        <f>TrRoad_act!K126</f>
        <v>16</v>
      </c>
      <c r="L45" s="102">
        <f>TrRoad_act!L126</f>
        <v>4</v>
      </c>
      <c r="M45" s="102">
        <f>TrRoad_act!M126</f>
        <v>13</v>
      </c>
      <c r="N45" s="102">
        <f>TrRoad_act!N126</f>
        <v>7</v>
      </c>
      <c r="O45" s="102">
        <f>TrRoad_act!O126</f>
        <v>5</v>
      </c>
      <c r="P45" s="102">
        <f>TrRoad_act!P126</f>
        <v>26</v>
      </c>
      <c r="Q45" s="102">
        <f>TrRoad_act!Q126</f>
        <v>23</v>
      </c>
      <c r="R45" s="102">
        <f>TrRoad_act!R126</f>
        <v>55</v>
      </c>
      <c r="S45" s="102">
        <f>TrRoad_act!S126</f>
        <v>29</v>
      </c>
      <c r="T45" s="102">
        <f>TrRoad_act!T126</f>
        <v>95</v>
      </c>
      <c r="U45" s="102">
        <f>TrRoad_act!U126</f>
        <v>187</v>
      </c>
      <c r="V45" s="102">
        <f>TrRoad_act!V126</f>
        <v>454</v>
      </c>
      <c r="W45" s="102">
        <f>TrRoad_act!W126</f>
        <v>590</v>
      </c>
      <c r="X45" s="102">
        <f>TrRoad_act!X126</f>
        <v>631</v>
      </c>
      <c r="Y45" s="102">
        <f>TrRoad_act!Y126</f>
        <v>809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193996</v>
      </c>
      <c r="C46" s="28">
        <f>TrRoad_act!C127</f>
        <v>212455</v>
      </c>
      <c r="D46" s="28">
        <f>TrRoad_act!D127</f>
        <v>184094</v>
      </c>
      <c r="E46" s="28">
        <f>TrRoad_act!E127</f>
        <v>175224</v>
      </c>
      <c r="F46" s="28">
        <f>TrRoad_act!F127</f>
        <v>227081</v>
      </c>
      <c r="G46" s="28">
        <f>TrRoad_act!G127</f>
        <v>83655</v>
      </c>
      <c r="H46" s="28">
        <f>TrRoad_act!H127</f>
        <v>282364</v>
      </c>
      <c r="I46" s="28">
        <f>TrRoad_act!I127</f>
        <v>243104</v>
      </c>
      <c r="J46" s="28">
        <f>TrRoad_act!J127</f>
        <v>244203</v>
      </c>
      <c r="K46" s="28">
        <f>TrRoad_act!K127</f>
        <v>228423</v>
      </c>
      <c r="L46" s="28">
        <f>TrRoad_act!L127</f>
        <v>273854</v>
      </c>
      <c r="M46" s="28">
        <f>TrRoad_act!M127</f>
        <v>323717</v>
      </c>
      <c r="N46" s="28">
        <f>TrRoad_act!N127</f>
        <v>288238</v>
      </c>
      <c r="O46" s="28">
        <f>TrRoad_act!O127</f>
        <v>292491</v>
      </c>
      <c r="P46" s="28">
        <f>TrRoad_act!P127</f>
        <v>305933</v>
      </c>
      <c r="Q46" s="28">
        <f>TrRoad_act!Q127</f>
        <v>315265</v>
      </c>
      <c r="R46" s="28">
        <f>TrRoad_act!R127</f>
        <v>350882</v>
      </c>
      <c r="S46" s="28">
        <f>TrRoad_act!S127</f>
        <v>367752</v>
      </c>
      <c r="T46" s="28">
        <f>TrRoad_act!T127</f>
        <v>360742</v>
      </c>
      <c r="U46" s="28">
        <f>TrRoad_act!U127</f>
        <v>402396</v>
      </c>
      <c r="V46" s="28">
        <f>TrRoad_act!V127</f>
        <v>353981</v>
      </c>
      <c r="W46" s="28">
        <f>TrRoad_act!W127</f>
        <v>356889</v>
      </c>
      <c r="X46" s="28">
        <f>TrRoad_act!X127</f>
        <v>323713</v>
      </c>
      <c r="Y46" s="28">
        <f>TrRoad_act!Y127</f>
        <v>330491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186064</v>
      </c>
      <c r="C47" s="137">
        <f>TrRoad_act!C128</f>
        <v>178553</v>
      </c>
      <c r="D47" s="137">
        <f>TrRoad_act!D128</f>
        <v>167007</v>
      </c>
      <c r="E47" s="137">
        <f>TrRoad_act!E128</f>
        <v>150695</v>
      </c>
      <c r="F47" s="137">
        <f>TrRoad_act!F128</f>
        <v>168541</v>
      </c>
      <c r="G47" s="137">
        <f>TrRoad_act!G128</f>
        <v>25857</v>
      </c>
      <c r="H47" s="137">
        <f>TrRoad_act!H128</f>
        <v>203621</v>
      </c>
      <c r="I47" s="137">
        <f>TrRoad_act!I128</f>
        <v>220680</v>
      </c>
      <c r="J47" s="137">
        <f>TrRoad_act!J128</f>
        <v>223912</v>
      </c>
      <c r="K47" s="137">
        <f>TrRoad_act!K128</f>
        <v>168578</v>
      </c>
      <c r="L47" s="137">
        <f>TrRoad_act!L128</f>
        <v>199325</v>
      </c>
      <c r="M47" s="137">
        <f>TrRoad_act!M128</f>
        <v>238703</v>
      </c>
      <c r="N47" s="137">
        <f>TrRoad_act!N128</f>
        <v>223371</v>
      </c>
      <c r="O47" s="137">
        <f>TrRoad_act!O128</f>
        <v>213071</v>
      </c>
      <c r="P47" s="137">
        <f>TrRoad_act!P128</f>
        <v>228551</v>
      </c>
      <c r="Q47" s="137">
        <f>TrRoad_act!Q128</f>
        <v>238175</v>
      </c>
      <c r="R47" s="137">
        <f>TrRoad_act!R128</f>
        <v>262980</v>
      </c>
      <c r="S47" s="137">
        <f>TrRoad_act!S128</f>
        <v>275468</v>
      </c>
      <c r="T47" s="137">
        <f>TrRoad_act!T128</f>
        <v>290381</v>
      </c>
      <c r="U47" s="137">
        <f>TrRoad_act!U128</f>
        <v>309896</v>
      </c>
      <c r="V47" s="137">
        <f>TrRoad_act!V128</f>
        <v>276504</v>
      </c>
      <c r="W47" s="137">
        <f>TrRoad_act!W128</f>
        <v>271895</v>
      </c>
      <c r="X47" s="137">
        <f>TrRoad_act!X128</f>
        <v>239443</v>
      </c>
      <c r="Y47" s="137">
        <f>TrRoad_act!Y128</f>
        <v>246205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11583</v>
      </c>
      <c r="C48" s="84">
        <f>TrRoad_act!C129</f>
        <v>8772</v>
      </c>
      <c r="D48" s="84">
        <f>TrRoad_act!D129</f>
        <v>6234</v>
      </c>
      <c r="E48" s="84">
        <f>TrRoad_act!E129</f>
        <v>5625</v>
      </c>
      <c r="F48" s="84">
        <f>TrRoad_act!F129</f>
        <v>4344</v>
      </c>
      <c r="G48" s="84">
        <f>TrRoad_act!G129</f>
        <v>4795</v>
      </c>
      <c r="H48" s="84">
        <f>TrRoad_act!H129</f>
        <v>5246</v>
      </c>
      <c r="I48" s="84">
        <f>TrRoad_act!I129</f>
        <v>5340</v>
      </c>
      <c r="J48" s="84">
        <f>TrRoad_act!J129</f>
        <v>8313</v>
      </c>
      <c r="K48" s="84">
        <f>TrRoad_act!K129</f>
        <v>8084</v>
      </c>
      <c r="L48" s="84">
        <f>TrRoad_act!L129</f>
        <v>10318</v>
      </c>
      <c r="M48" s="84">
        <f>TrRoad_act!M129</f>
        <v>12782</v>
      </c>
      <c r="N48" s="84">
        <f>TrRoad_act!N129</f>
        <v>11176</v>
      </c>
      <c r="O48" s="84">
        <f>TrRoad_act!O129</f>
        <v>7861</v>
      </c>
      <c r="P48" s="84">
        <f>TrRoad_act!P129</f>
        <v>7728</v>
      </c>
      <c r="Q48" s="84">
        <f>TrRoad_act!Q129</f>
        <v>7819</v>
      </c>
      <c r="R48" s="84">
        <f>TrRoad_act!R129</f>
        <v>11333</v>
      </c>
      <c r="S48" s="84">
        <f>TrRoad_act!S129</f>
        <v>16932</v>
      </c>
      <c r="T48" s="84">
        <f>TrRoad_act!T129</f>
        <v>22443</v>
      </c>
      <c r="U48" s="84">
        <f>TrRoad_act!U129</f>
        <v>21614</v>
      </c>
      <c r="V48" s="84">
        <f>TrRoad_act!V129</f>
        <v>19820</v>
      </c>
      <c r="W48" s="84">
        <f>TrRoad_act!W129</f>
        <v>26266</v>
      </c>
      <c r="X48" s="84">
        <f>TrRoad_act!X129</f>
        <v>29405</v>
      </c>
      <c r="Y48" s="84">
        <f>TrRoad_act!Y129</f>
        <v>16601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174429</v>
      </c>
      <c r="C49" s="84">
        <f>TrRoad_act!C130</f>
        <v>169747</v>
      </c>
      <c r="D49" s="84">
        <f>TrRoad_act!D130</f>
        <v>160773</v>
      </c>
      <c r="E49" s="84">
        <f>TrRoad_act!E130</f>
        <v>145070</v>
      </c>
      <c r="F49" s="84">
        <f>TrRoad_act!F130</f>
        <v>164195</v>
      </c>
      <c r="G49" s="84">
        <f>TrRoad_act!G130</f>
        <v>21062</v>
      </c>
      <c r="H49" s="84">
        <f>TrRoad_act!H130</f>
        <v>187016</v>
      </c>
      <c r="I49" s="84">
        <f>TrRoad_act!I130</f>
        <v>212786</v>
      </c>
      <c r="J49" s="84">
        <f>TrRoad_act!J130</f>
        <v>211033</v>
      </c>
      <c r="K49" s="84">
        <f>TrRoad_act!K130</f>
        <v>157444</v>
      </c>
      <c r="L49" s="84">
        <f>TrRoad_act!L130</f>
        <v>186238</v>
      </c>
      <c r="M49" s="84">
        <f>TrRoad_act!M130</f>
        <v>222997</v>
      </c>
      <c r="N49" s="84">
        <f>TrRoad_act!N130</f>
        <v>208944</v>
      </c>
      <c r="O49" s="84">
        <f>TrRoad_act!O130</f>
        <v>203419</v>
      </c>
      <c r="P49" s="84">
        <f>TrRoad_act!P130</f>
        <v>218197</v>
      </c>
      <c r="Q49" s="84">
        <f>TrRoad_act!Q130</f>
        <v>227386</v>
      </c>
      <c r="R49" s="84">
        <f>TrRoad_act!R130</f>
        <v>244516</v>
      </c>
      <c r="S49" s="84">
        <f>TrRoad_act!S130</f>
        <v>251342</v>
      </c>
      <c r="T49" s="84">
        <f>TrRoad_act!T130</f>
        <v>260056</v>
      </c>
      <c r="U49" s="84">
        <f>TrRoad_act!U130</f>
        <v>280205</v>
      </c>
      <c r="V49" s="84">
        <f>TrRoad_act!V130</f>
        <v>245945</v>
      </c>
      <c r="W49" s="84">
        <f>TrRoad_act!W130</f>
        <v>227360</v>
      </c>
      <c r="X49" s="84">
        <f>TrRoad_act!X130</f>
        <v>188946</v>
      </c>
      <c r="Y49" s="84">
        <f>TrRoad_act!Y130</f>
        <v>208108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0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1505</v>
      </c>
      <c r="I50" s="84">
        <f>TrRoad_act!I131</f>
        <v>733</v>
      </c>
      <c r="J50" s="84">
        <f>TrRoad_act!J131</f>
        <v>2290</v>
      </c>
      <c r="K50" s="84">
        <f>TrRoad_act!K131</f>
        <v>1486</v>
      </c>
      <c r="L50" s="84">
        <f>TrRoad_act!L131</f>
        <v>1303</v>
      </c>
      <c r="M50" s="84">
        <f>TrRoad_act!M131</f>
        <v>1293</v>
      </c>
      <c r="N50" s="84">
        <f>TrRoad_act!N131</f>
        <v>1223</v>
      </c>
      <c r="O50" s="84">
        <f>TrRoad_act!O131</f>
        <v>479</v>
      </c>
      <c r="P50" s="84">
        <f>TrRoad_act!P131</f>
        <v>1319</v>
      </c>
      <c r="Q50" s="84">
        <f>TrRoad_act!Q131</f>
        <v>1190</v>
      </c>
      <c r="R50" s="84">
        <f>TrRoad_act!R131</f>
        <v>674</v>
      </c>
      <c r="S50" s="84">
        <f>TrRoad_act!S131</f>
        <v>877</v>
      </c>
      <c r="T50" s="84">
        <f>TrRoad_act!T131</f>
        <v>1203</v>
      </c>
      <c r="U50" s="84">
        <f>TrRoad_act!U131</f>
        <v>1457</v>
      </c>
      <c r="V50" s="84">
        <f>TrRoad_act!V131</f>
        <v>1874</v>
      </c>
      <c r="W50" s="84">
        <f>TrRoad_act!W131</f>
        <v>2225</v>
      </c>
      <c r="X50" s="84">
        <f>TrRoad_act!X131</f>
        <v>1654</v>
      </c>
      <c r="Y50" s="84">
        <f>TrRoad_act!Y131</f>
        <v>1841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0</v>
      </c>
      <c r="F51" s="84">
        <f>TrRoad_act!F132</f>
        <v>0</v>
      </c>
      <c r="G51" s="84">
        <f>TrRoad_act!G132</f>
        <v>0</v>
      </c>
      <c r="H51" s="84">
        <f>TrRoad_act!H132</f>
        <v>9833</v>
      </c>
      <c r="I51" s="84">
        <f>TrRoad_act!I132</f>
        <v>1805</v>
      </c>
      <c r="J51" s="84">
        <f>TrRoad_act!J132</f>
        <v>2239</v>
      </c>
      <c r="K51" s="84">
        <f>TrRoad_act!K132</f>
        <v>1493</v>
      </c>
      <c r="L51" s="84">
        <f>TrRoad_act!L132</f>
        <v>1235</v>
      </c>
      <c r="M51" s="84">
        <f>TrRoad_act!M132</f>
        <v>1284</v>
      </c>
      <c r="N51" s="84">
        <f>TrRoad_act!N132</f>
        <v>1079</v>
      </c>
      <c r="O51" s="84">
        <f>TrRoad_act!O132</f>
        <v>820</v>
      </c>
      <c r="P51" s="84">
        <f>TrRoad_act!P132</f>
        <v>751</v>
      </c>
      <c r="Q51" s="84">
        <f>TrRoad_act!Q132</f>
        <v>827</v>
      </c>
      <c r="R51" s="84">
        <f>TrRoad_act!R132</f>
        <v>3583</v>
      </c>
      <c r="S51" s="84">
        <f>TrRoad_act!S132</f>
        <v>715</v>
      </c>
      <c r="T51" s="84">
        <f>TrRoad_act!T132</f>
        <v>743</v>
      </c>
      <c r="U51" s="84">
        <f>TrRoad_act!U132</f>
        <v>0</v>
      </c>
      <c r="V51" s="84">
        <f>TrRoad_act!V132</f>
        <v>0</v>
      </c>
      <c r="W51" s="84">
        <f>TrRoad_act!W132</f>
        <v>0</v>
      </c>
      <c r="X51" s="84">
        <f>TrRoad_act!X132</f>
        <v>0</v>
      </c>
      <c r="Y51" s="84">
        <f>TrRoad_act!Y132</f>
        <v>0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52</v>
      </c>
      <c r="C52" s="84">
        <f>TrRoad_act!C133</f>
        <v>34</v>
      </c>
      <c r="D52" s="84">
        <f>TrRoad_act!D133</f>
        <v>0</v>
      </c>
      <c r="E52" s="84">
        <f>TrRoad_act!E133</f>
        <v>0</v>
      </c>
      <c r="F52" s="84">
        <f>TrRoad_act!F133</f>
        <v>2</v>
      </c>
      <c r="G52" s="84">
        <f>TrRoad_act!G133</f>
        <v>0</v>
      </c>
      <c r="H52" s="84">
        <f>TrRoad_act!H133</f>
        <v>21</v>
      </c>
      <c r="I52" s="84">
        <f>TrRoad_act!I133</f>
        <v>16</v>
      </c>
      <c r="J52" s="84">
        <f>TrRoad_act!J133</f>
        <v>37</v>
      </c>
      <c r="K52" s="84">
        <f>TrRoad_act!K133</f>
        <v>71</v>
      </c>
      <c r="L52" s="84">
        <f>TrRoad_act!L133</f>
        <v>231</v>
      </c>
      <c r="M52" s="84">
        <f>TrRoad_act!M133</f>
        <v>347</v>
      </c>
      <c r="N52" s="84">
        <f>TrRoad_act!N133</f>
        <v>949</v>
      </c>
      <c r="O52" s="84">
        <f>TrRoad_act!O133</f>
        <v>492</v>
      </c>
      <c r="P52" s="84">
        <f>TrRoad_act!P133</f>
        <v>556</v>
      </c>
      <c r="Q52" s="84">
        <f>TrRoad_act!Q133</f>
        <v>953</v>
      </c>
      <c r="R52" s="84">
        <f>TrRoad_act!R133</f>
        <v>2874</v>
      </c>
      <c r="S52" s="84">
        <f>TrRoad_act!S133</f>
        <v>5602</v>
      </c>
      <c r="T52" s="84">
        <f>TrRoad_act!T133</f>
        <v>5936</v>
      </c>
      <c r="U52" s="84">
        <f>TrRoad_act!U133</f>
        <v>6620</v>
      </c>
      <c r="V52" s="84">
        <f>TrRoad_act!V133</f>
        <v>8865</v>
      </c>
      <c r="W52" s="84">
        <f>TrRoad_act!W133</f>
        <v>16044</v>
      </c>
      <c r="X52" s="84">
        <f>TrRoad_act!X133</f>
        <v>19438</v>
      </c>
      <c r="Y52" s="84">
        <f>TrRoad_act!Y133</f>
        <v>19655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7932</v>
      </c>
      <c r="C53" s="110">
        <f>TrRoad_act!C134</f>
        <v>33902</v>
      </c>
      <c r="D53" s="110">
        <f>TrRoad_act!D134</f>
        <v>17087</v>
      </c>
      <c r="E53" s="110">
        <f>TrRoad_act!E134</f>
        <v>24529</v>
      </c>
      <c r="F53" s="110">
        <f>TrRoad_act!F134</f>
        <v>58540</v>
      </c>
      <c r="G53" s="110">
        <f>TrRoad_act!G134</f>
        <v>57798</v>
      </c>
      <c r="H53" s="110">
        <f>TrRoad_act!H134</f>
        <v>78743</v>
      </c>
      <c r="I53" s="110">
        <f>TrRoad_act!I134</f>
        <v>22424</v>
      </c>
      <c r="J53" s="110">
        <f>TrRoad_act!J134</f>
        <v>20291</v>
      </c>
      <c r="K53" s="110">
        <f>TrRoad_act!K134</f>
        <v>59845</v>
      </c>
      <c r="L53" s="110">
        <f>TrRoad_act!L134</f>
        <v>74529</v>
      </c>
      <c r="M53" s="110">
        <f>TrRoad_act!M134</f>
        <v>85014</v>
      </c>
      <c r="N53" s="110">
        <f>TrRoad_act!N134</f>
        <v>64867</v>
      </c>
      <c r="O53" s="110">
        <f>TrRoad_act!O134</f>
        <v>79420</v>
      </c>
      <c r="P53" s="110">
        <f>TrRoad_act!P134</f>
        <v>77382</v>
      </c>
      <c r="Q53" s="110">
        <f>TrRoad_act!Q134</f>
        <v>77090</v>
      </c>
      <c r="R53" s="110">
        <f>TrRoad_act!R134</f>
        <v>87902</v>
      </c>
      <c r="S53" s="110">
        <f>TrRoad_act!S134</f>
        <v>92284</v>
      </c>
      <c r="T53" s="110">
        <f>TrRoad_act!T134</f>
        <v>70361</v>
      </c>
      <c r="U53" s="110">
        <f>TrRoad_act!U134</f>
        <v>92500</v>
      </c>
      <c r="V53" s="110">
        <f>TrRoad_act!V134</f>
        <v>77477</v>
      </c>
      <c r="W53" s="110">
        <f>TrRoad_act!W134</f>
        <v>84994</v>
      </c>
      <c r="X53" s="110">
        <f>TrRoad_act!X134</f>
        <v>84270</v>
      </c>
      <c r="Y53" s="110">
        <f>TrRoad_act!Y134</f>
        <v>84286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0</v>
      </c>
      <c r="C54" s="102">
        <f>TrRoad_act!C135</f>
        <v>24715</v>
      </c>
      <c r="D54" s="102">
        <f>TrRoad_act!D135</f>
        <v>8450</v>
      </c>
      <c r="E54" s="102">
        <f>TrRoad_act!E135</f>
        <v>17582</v>
      </c>
      <c r="F54" s="102">
        <f>TrRoad_act!F135</f>
        <v>36173</v>
      </c>
      <c r="G54" s="102">
        <f>TrRoad_act!G135</f>
        <v>47461</v>
      </c>
      <c r="H54" s="102">
        <f>TrRoad_act!H135</f>
        <v>63862</v>
      </c>
      <c r="I54" s="102">
        <f>TrRoad_act!I135</f>
        <v>7372</v>
      </c>
      <c r="J54" s="102">
        <f>TrRoad_act!J135</f>
        <v>6541</v>
      </c>
      <c r="K54" s="102">
        <f>TrRoad_act!K135</f>
        <v>59845</v>
      </c>
      <c r="L54" s="102">
        <f>TrRoad_act!L135</f>
        <v>58189</v>
      </c>
      <c r="M54" s="102">
        <f>TrRoad_act!M135</f>
        <v>74678</v>
      </c>
      <c r="N54" s="102">
        <f>TrRoad_act!N135</f>
        <v>53389</v>
      </c>
      <c r="O54" s="102">
        <f>TrRoad_act!O135</f>
        <v>64391</v>
      </c>
      <c r="P54" s="102">
        <f>TrRoad_act!P135</f>
        <v>64290</v>
      </c>
      <c r="Q54" s="102">
        <f>TrRoad_act!Q135</f>
        <v>65886</v>
      </c>
      <c r="R54" s="102">
        <f>TrRoad_act!R135</f>
        <v>66392</v>
      </c>
      <c r="S54" s="102">
        <f>TrRoad_act!S135</f>
        <v>68828</v>
      </c>
      <c r="T54" s="102">
        <f>TrRoad_act!T135</f>
        <v>67832</v>
      </c>
      <c r="U54" s="102">
        <f>TrRoad_act!U135</f>
        <v>68943</v>
      </c>
      <c r="V54" s="102">
        <f>TrRoad_act!V135</f>
        <v>61872</v>
      </c>
      <c r="W54" s="102">
        <f>TrRoad_act!W135</f>
        <v>64932</v>
      </c>
      <c r="X54" s="102">
        <f>TrRoad_act!X135</f>
        <v>70910</v>
      </c>
      <c r="Y54" s="102">
        <f>TrRoad_act!Y135</f>
        <v>72694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7932</v>
      </c>
      <c r="C55" s="86">
        <f>TrRoad_act!C136</f>
        <v>9187</v>
      </c>
      <c r="D55" s="86">
        <f>TrRoad_act!D136</f>
        <v>8637</v>
      </c>
      <c r="E55" s="86">
        <f>TrRoad_act!E136</f>
        <v>6947</v>
      </c>
      <c r="F55" s="86">
        <f>TrRoad_act!F136</f>
        <v>22367</v>
      </c>
      <c r="G55" s="86">
        <f>TrRoad_act!G136</f>
        <v>10337</v>
      </c>
      <c r="H55" s="86">
        <f>TrRoad_act!H136</f>
        <v>14881</v>
      </c>
      <c r="I55" s="86">
        <f>TrRoad_act!I136</f>
        <v>15052</v>
      </c>
      <c r="J55" s="86">
        <f>TrRoad_act!J136</f>
        <v>13750</v>
      </c>
      <c r="K55" s="86">
        <f>TrRoad_act!K136</f>
        <v>0</v>
      </c>
      <c r="L55" s="86">
        <f>TrRoad_act!L136</f>
        <v>16340</v>
      </c>
      <c r="M55" s="86">
        <f>TrRoad_act!M136</f>
        <v>10336</v>
      </c>
      <c r="N55" s="86">
        <f>TrRoad_act!N136</f>
        <v>11478</v>
      </c>
      <c r="O55" s="86">
        <f>TrRoad_act!O136</f>
        <v>15029</v>
      </c>
      <c r="P55" s="86">
        <f>TrRoad_act!P136</f>
        <v>13092</v>
      </c>
      <c r="Q55" s="86">
        <f>TrRoad_act!Q136</f>
        <v>11204</v>
      </c>
      <c r="R55" s="86">
        <f>TrRoad_act!R136</f>
        <v>21510</v>
      </c>
      <c r="S55" s="86">
        <f>TrRoad_act!S136</f>
        <v>23456</v>
      </c>
      <c r="T55" s="86">
        <f>TrRoad_act!T136</f>
        <v>2529</v>
      </c>
      <c r="U55" s="86">
        <f>TrRoad_act!U136</f>
        <v>23557</v>
      </c>
      <c r="V55" s="86">
        <f>TrRoad_act!V136</f>
        <v>15605</v>
      </c>
      <c r="W55" s="86">
        <f>TrRoad_act!W136</f>
        <v>20062</v>
      </c>
      <c r="X55" s="86">
        <f>TrRoad_act!X136</f>
        <v>13360</v>
      </c>
      <c r="Y55" s="86">
        <f>TrRoad_act!Y136</f>
        <v>11592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345193</v>
      </c>
      <c r="C59" s="54">
        <f t="shared" si="0"/>
        <v>510463</v>
      </c>
      <c r="D59" s="54">
        <f t="shared" si="0"/>
        <v>570126</v>
      </c>
      <c r="E59" s="54">
        <f t="shared" si="0"/>
        <v>732246</v>
      </c>
      <c r="F59" s="54">
        <f t="shared" si="0"/>
        <v>843301</v>
      </c>
      <c r="G59" s="54">
        <f t="shared" si="0"/>
        <v>992238</v>
      </c>
      <c r="H59" s="54">
        <f t="shared" si="0"/>
        <v>1144660</v>
      </c>
      <c r="I59" s="54">
        <f t="shared" si="0"/>
        <v>1315171</v>
      </c>
      <c r="J59" s="54">
        <f t="shared" si="0"/>
        <v>1907057</v>
      </c>
      <c r="K59" s="54">
        <f t="shared" si="0"/>
        <v>2627846</v>
      </c>
      <c r="L59" s="54">
        <f t="shared" ref="L59" si="1">L60+L75</f>
        <v>2198011</v>
      </c>
      <c r="M59" s="54">
        <f t="shared" ref="M59:V59" si="2">M60+M75</f>
        <v>2569362</v>
      </c>
      <c r="N59" s="54">
        <f t="shared" si="2"/>
        <v>2678568</v>
      </c>
      <c r="O59" s="54">
        <f t="shared" si="2"/>
        <v>2737052</v>
      </c>
      <c r="P59" s="54">
        <f t="shared" si="2"/>
        <v>2998012</v>
      </c>
      <c r="Q59" s="54">
        <f t="shared" si="2"/>
        <v>3284979</v>
      </c>
      <c r="R59" s="54">
        <f t="shared" si="2"/>
        <v>3631269</v>
      </c>
      <c r="S59" s="54">
        <f t="shared" si="2"/>
        <v>3915883</v>
      </c>
      <c r="T59" s="54">
        <f t="shared" si="2"/>
        <v>3940010</v>
      </c>
      <c r="U59" s="54">
        <f t="shared" si="2"/>
        <v>4233637</v>
      </c>
      <c r="V59" s="54">
        <f t="shared" si="2"/>
        <v>3630644</v>
      </c>
      <c r="W59" s="54">
        <f t="shared" ref="W59:Y59" si="3">W60+W75</f>
        <v>3628423</v>
      </c>
      <c r="X59" s="54">
        <f t="shared" si="3"/>
        <v>3766771</v>
      </c>
      <c r="Y59" s="54">
        <f t="shared" si="3"/>
        <v>4187142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345193</v>
      </c>
      <c r="C60" s="28">
        <f t="shared" si="4"/>
        <v>510463</v>
      </c>
      <c r="D60" s="28">
        <f t="shared" si="4"/>
        <v>570126</v>
      </c>
      <c r="E60" s="28">
        <f t="shared" si="4"/>
        <v>732246</v>
      </c>
      <c r="F60" s="28">
        <f t="shared" si="4"/>
        <v>843301</v>
      </c>
      <c r="G60" s="28">
        <f t="shared" si="4"/>
        <v>992238</v>
      </c>
      <c r="H60" s="28">
        <f t="shared" si="4"/>
        <v>1139930</v>
      </c>
      <c r="I60" s="28">
        <f t="shared" si="4"/>
        <v>1275369</v>
      </c>
      <c r="J60" s="28">
        <f t="shared" si="4"/>
        <v>1795661</v>
      </c>
      <c r="K60" s="28">
        <f t="shared" si="4"/>
        <v>2517720</v>
      </c>
      <c r="L60" s="28">
        <f t="shared" ref="L60" si="5">L61+L62+L69</f>
        <v>2045934</v>
      </c>
      <c r="M60" s="28">
        <f t="shared" ref="M60:V60" si="6">M61+M62+M69</f>
        <v>2371280</v>
      </c>
      <c r="N60" s="28">
        <f t="shared" si="6"/>
        <v>2485421</v>
      </c>
      <c r="O60" s="28">
        <f t="shared" si="6"/>
        <v>2523208</v>
      </c>
      <c r="P60" s="28">
        <f t="shared" si="6"/>
        <v>2758850</v>
      </c>
      <c r="Q60" s="28">
        <f t="shared" si="6"/>
        <v>3024963</v>
      </c>
      <c r="R60" s="28">
        <f t="shared" si="6"/>
        <v>3333848</v>
      </c>
      <c r="S60" s="28">
        <f t="shared" si="6"/>
        <v>3600133</v>
      </c>
      <c r="T60" s="28">
        <f t="shared" si="6"/>
        <v>3603483</v>
      </c>
      <c r="U60" s="28">
        <f t="shared" si="6"/>
        <v>3846694</v>
      </c>
      <c r="V60" s="28">
        <f t="shared" si="6"/>
        <v>3284041</v>
      </c>
      <c r="W60" s="28">
        <f t="shared" ref="W60:Y60" si="7">W61+W62+W69</f>
        <v>3275140</v>
      </c>
      <c r="X60" s="28">
        <f t="shared" si="7"/>
        <v>3443999</v>
      </c>
      <c r="Y60" s="28">
        <f t="shared" si="7"/>
        <v>3856651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0</v>
      </c>
      <c r="E61" s="137">
        <v>86155</v>
      </c>
      <c r="F61" s="137">
        <v>134121</v>
      </c>
      <c r="G61" s="137">
        <v>151112</v>
      </c>
      <c r="H61" s="137">
        <v>167746</v>
      </c>
      <c r="I61" s="137">
        <v>176695</v>
      </c>
      <c r="J61" s="137">
        <v>185245</v>
      </c>
      <c r="K61" s="137">
        <v>195392</v>
      </c>
      <c r="L61" s="137">
        <v>172487</v>
      </c>
      <c r="M61" s="137">
        <v>198399</v>
      </c>
      <c r="N61" s="137">
        <v>204910</v>
      </c>
      <c r="O61" s="137">
        <v>212985</v>
      </c>
      <c r="P61" s="137">
        <v>255434</v>
      </c>
      <c r="Q61" s="137">
        <v>265260</v>
      </c>
      <c r="R61" s="137">
        <v>314051</v>
      </c>
      <c r="S61" s="137">
        <v>258426</v>
      </c>
      <c r="T61" s="137">
        <v>291272</v>
      </c>
      <c r="U61" s="137">
        <v>298800</v>
      </c>
      <c r="V61" s="137">
        <v>310886</v>
      </c>
      <c r="W61" s="137">
        <v>319450</v>
      </c>
      <c r="X61" s="137">
        <v>387518</v>
      </c>
      <c r="Y61" s="137">
        <v>406235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345193</v>
      </c>
      <c r="C62" s="110">
        <f t="shared" si="8"/>
        <v>510463</v>
      </c>
      <c r="D62" s="110">
        <f t="shared" si="8"/>
        <v>570126</v>
      </c>
      <c r="E62" s="110">
        <f t="shared" si="8"/>
        <v>646091</v>
      </c>
      <c r="F62" s="110">
        <f t="shared" si="8"/>
        <v>709180</v>
      </c>
      <c r="G62" s="110">
        <f t="shared" si="8"/>
        <v>841126</v>
      </c>
      <c r="H62" s="110">
        <f t="shared" si="8"/>
        <v>972184</v>
      </c>
      <c r="I62" s="110">
        <f t="shared" si="8"/>
        <v>1098222</v>
      </c>
      <c r="J62" s="110">
        <f t="shared" si="8"/>
        <v>1608440</v>
      </c>
      <c r="K62" s="110">
        <f t="shared" si="8"/>
        <v>2319858</v>
      </c>
      <c r="L62" s="110">
        <f t="shared" ref="L62" si="9">SUM(L63:L68)</f>
        <v>1870729</v>
      </c>
      <c r="M62" s="110">
        <f t="shared" ref="M62:V62" si="10">SUM(M63:M68)</f>
        <v>2169830</v>
      </c>
      <c r="N62" s="110">
        <f t="shared" si="10"/>
        <v>2276900</v>
      </c>
      <c r="O62" s="110">
        <f t="shared" si="10"/>
        <v>2305803</v>
      </c>
      <c r="P62" s="110">
        <f t="shared" si="10"/>
        <v>2498679</v>
      </c>
      <c r="Q62" s="110">
        <f t="shared" si="10"/>
        <v>2754354</v>
      </c>
      <c r="R62" s="110">
        <f t="shared" si="10"/>
        <v>3013715</v>
      </c>
      <c r="S62" s="110">
        <f t="shared" si="10"/>
        <v>3335372</v>
      </c>
      <c r="T62" s="110">
        <f t="shared" si="10"/>
        <v>3305795</v>
      </c>
      <c r="U62" s="110">
        <f t="shared" si="10"/>
        <v>3541542</v>
      </c>
      <c r="V62" s="110">
        <f t="shared" si="10"/>
        <v>2965748</v>
      </c>
      <c r="W62" s="110">
        <f t="shared" ref="W62:Y62" si="11">SUM(W63:W68)</f>
        <v>2947918</v>
      </c>
      <c r="X62" s="110">
        <f t="shared" si="11"/>
        <v>3049010</v>
      </c>
      <c r="Y62" s="110">
        <f t="shared" si="11"/>
        <v>3442407</v>
      </c>
      <c r="DA62" s="176" t="s">
        <v>841</v>
      </c>
    </row>
    <row r="63" spans="1:105" ht="11.45" customHeight="1" x14ac:dyDescent="0.25">
      <c r="A63" s="111" t="s">
        <v>110</v>
      </c>
      <c r="B63" s="84">
        <v>342022</v>
      </c>
      <c r="C63" s="84">
        <v>509708</v>
      </c>
      <c r="D63" s="84">
        <v>566232</v>
      </c>
      <c r="E63" s="84">
        <v>643405</v>
      </c>
      <c r="F63" s="84">
        <v>700201</v>
      </c>
      <c r="G63" s="84">
        <v>835129</v>
      </c>
      <c r="H63" s="84">
        <v>945335</v>
      </c>
      <c r="I63" s="84">
        <v>1040327</v>
      </c>
      <c r="J63" s="84">
        <v>1210742</v>
      </c>
      <c r="K63" s="84">
        <v>1721010</v>
      </c>
      <c r="L63" s="84">
        <v>1188603</v>
      </c>
      <c r="M63" s="84">
        <v>1255176</v>
      </c>
      <c r="N63" s="84">
        <v>1276353</v>
      </c>
      <c r="O63" s="84">
        <v>1299921</v>
      </c>
      <c r="P63" s="84">
        <v>1380554</v>
      </c>
      <c r="Q63" s="84">
        <v>1497912</v>
      </c>
      <c r="R63" s="84">
        <v>1690276</v>
      </c>
      <c r="S63" s="84">
        <v>2121737</v>
      </c>
      <c r="T63" s="84">
        <v>2243890</v>
      </c>
      <c r="U63" s="84">
        <v>2344362</v>
      </c>
      <c r="V63" s="84">
        <v>1787028</v>
      </c>
      <c r="W63" s="84">
        <v>1539349</v>
      </c>
      <c r="X63" s="84">
        <v>1483438</v>
      </c>
      <c r="Y63" s="84">
        <v>1888966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378326</v>
      </c>
      <c r="K64" s="84">
        <v>544658</v>
      </c>
      <c r="L64" s="84">
        <v>644807</v>
      </c>
      <c r="M64" s="84">
        <v>881327</v>
      </c>
      <c r="N64" s="84">
        <v>964806</v>
      </c>
      <c r="O64" s="84">
        <v>991984</v>
      </c>
      <c r="P64" s="84">
        <v>1105580</v>
      </c>
      <c r="Q64" s="84">
        <v>1247435</v>
      </c>
      <c r="R64" s="84">
        <v>1317661</v>
      </c>
      <c r="S64" s="84">
        <v>1205924</v>
      </c>
      <c r="T64" s="84">
        <v>1046932</v>
      </c>
      <c r="U64" s="84">
        <v>1181001</v>
      </c>
      <c r="V64" s="84">
        <v>949753</v>
      </c>
      <c r="W64" s="84">
        <v>738358</v>
      </c>
      <c r="X64" s="84">
        <v>719848</v>
      </c>
      <c r="Y64" s="84">
        <v>836529</v>
      </c>
      <c r="DA64" s="171" t="s">
        <v>843</v>
      </c>
    </row>
    <row r="65" spans="1:105" ht="11.45" customHeight="1" x14ac:dyDescent="0.25">
      <c r="A65" s="111" t="s">
        <v>112</v>
      </c>
      <c r="B65" s="84">
        <v>3171</v>
      </c>
      <c r="C65" s="84">
        <v>755</v>
      </c>
      <c r="D65" s="84">
        <v>3894</v>
      </c>
      <c r="E65" s="84">
        <v>2686</v>
      </c>
      <c r="F65" s="84">
        <v>8979</v>
      </c>
      <c r="G65" s="84">
        <v>5997</v>
      </c>
      <c r="H65" s="84">
        <v>26849</v>
      </c>
      <c r="I65" s="84">
        <v>57895</v>
      </c>
      <c r="J65" s="84">
        <v>19372</v>
      </c>
      <c r="K65" s="84">
        <v>39867</v>
      </c>
      <c r="L65" s="84">
        <v>34221</v>
      </c>
      <c r="M65" s="84">
        <v>28652</v>
      </c>
      <c r="N65" s="84">
        <v>31563</v>
      </c>
      <c r="O65" s="84">
        <v>7279</v>
      </c>
      <c r="P65" s="84">
        <v>5329</v>
      </c>
      <c r="Q65" s="84">
        <v>4198</v>
      </c>
      <c r="R65" s="84">
        <v>2753</v>
      </c>
      <c r="S65" s="84">
        <v>4162</v>
      </c>
      <c r="T65" s="84">
        <v>4505</v>
      </c>
      <c r="U65" s="84">
        <v>7121</v>
      </c>
      <c r="V65" s="84">
        <v>6488</v>
      </c>
      <c r="W65" s="84">
        <v>10092</v>
      </c>
      <c r="X65" s="84">
        <v>15000</v>
      </c>
      <c r="Y65" s="84">
        <v>13147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14323</v>
      </c>
      <c r="L66" s="84">
        <v>3098</v>
      </c>
      <c r="M66" s="84">
        <v>4675</v>
      </c>
      <c r="N66" s="84">
        <v>4178</v>
      </c>
      <c r="O66" s="84">
        <v>6619</v>
      </c>
      <c r="P66" s="84">
        <v>7216</v>
      </c>
      <c r="Q66" s="84">
        <v>4809</v>
      </c>
      <c r="R66" s="84">
        <v>3025</v>
      </c>
      <c r="S66" s="84">
        <v>3549</v>
      </c>
      <c r="T66" s="84">
        <v>10468</v>
      </c>
      <c r="U66" s="84">
        <v>7483</v>
      </c>
      <c r="V66" s="84">
        <v>7087</v>
      </c>
      <c r="W66" s="84">
        <v>3900</v>
      </c>
      <c r="X66" s="84">
        <v>2310</v>
      </c>
      <c r="Y66" s="84">
        <v>5713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0</v>
      </c>
      <c r="P67" s="84">
        <v>0</v>
      </c>
      <c r="Q67" s="84">
        <v>0</v>
      </c>
      <c r="R67" s="84">
        <v>0</v>
      </c>
      <c r="S67" s="84">
        <v>0</v>
      </c>
      <c r="T67" s="84">
        <v>0</v>
      </c>
      <c r="U67" s="84">
        <v>1575</v>
      </c>
      <c r="V67" s="84">
        <v>179707</v>
      </c>
      <c r="W67" s="84">
        <v>317079</v>
      </c>
      <c r="X67" s="84">
        <v>359148</v>
      </c>
      <c r="Y67" s="84">
        <v>173833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0</v>
      </c>
      <c r="R68" s="84">
        <v>0</v>
      </c>
      <c r="S68" s="84">
        <v>0</v>
      </c>
      <c r="T68" s="84">
        <v>0</v>
      </c>
      <c r="U68" s="84">
        <v>0</v>
      </c>
      <c r="V68" s="84">
        <v>35685</v>
      </c>
      <c r="W68" s="84">
        <v>339140</v>
      </c>
      <c r="X68" s="84">
        <v>469266</v>
      </c>
      <c r="Y68" s="84">
        <v>524219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0</v>
      </c>
      <c r="C69" s="110">
        <f t="shared" si="12"/>
        <v>0</v>
      </c>
      <c r="D69" s="110">
        <f t="shared" si="12"/>
        <v>0</v>
      </c>
      <c r="E69" s="110">
        <f t="shared" si="12"/>
        <v>0</v>
      </c>
      <c r="F69" s="110">
        <f t="shared" si="12"/>
        <v>0</v>
      </c>
      <c r="G69" s="110">
        <f t="shared" si="12"/>
        <v>0</v>
      </c>
      <c r="H69" s="110">
        <f t="shared" si="12"/>
        <v>0</v>
      </c>
      <c r="I69" s="110">
        <f t="shared" si="12"/>
        <v>452</v>
      </c>
      <c r="J69" s="110">
        <f t="shared" si="12"/>
        <v>1976</v>
      </c>
      <c r="K69" s="110">
        <f t="shared" si="12"/>
        <v>2470</v>
      </c>
      <c r="L69" s="110">
        <f t="shared" ref="L69" si="13">SUM(L70:L74)</f>
        <v>2718</v>
      </c>
      <c r="M69" s="110">
        <f t="shared" ref="M69:V69" si="14">SUM(M70:M74)</f>
        <v>3051</v>
      </c>
      <c r="N69" s="110">
        <f t="shared" si="14"/>
        <v>3611</v>
      </c>
      <c r="O69" s="110">
        <f t="shared" si="14"/>
        <v>4420</v>
      </c>
      <c r="P69" s="110">
        <f t="shared" si="14"/>
        <v>4737</v>
      </c>
      <c r="Q69" s="110">
        <f t="shared" si="14"/>
        <v>5349</v>
      </c>
      <c r="R69" s="110">
        <f t="shared" si="14"/>
        <v>6082</v>
      </c>
      <c r="S69" s="110">
        <f t="shared" si="14"/>
        <v>6335</v>
      </c>
      <c r="T69" s="110">
        <f t="shared" si="14"/>
        <v>6416</v>
      </c>
      <c r="U69" s="110">
        <f t="shared" si="14"/>
        <v>6352</v>
      </c>
      <c r="V69" s="110">
        <f t="shared" si="14"/>
        <v>7407</v>
      </c>
      <c r="W69" s="110">
        <f t="shared" ref="W69:Y69" si="15">SUM(W70:W74)</f>
        <v>7772</v>
      </c>
      <c r="X69" s="110">
        <f t="shared" si="15"/>
        <v>7471</v>
      </c>
      <c r="Y69" s="110">
        <f t="shared" si="15"/>
        <v>8009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0</v>
      </c>
      <c r="J70" s="102">
        <v>0</v>
      </c>
      <c r="K70" s="102">
        <v>0</v>
      </c>
      <c r="L70" s="102">
        <v>0</v>
      </c>
      <c r="M70" s="102">
        <v>0</v>
      </c>
      <c r="N70" s="102">
        <v>0</v>
      </c>
      <c r="O70" s="102">
        <v>0</v>
      </c>
      <c r="P70" s="102">
        <v>0</v>
      </c>
      <c r="Q70" s="102">
        <v>0</v>
      </c>
      <c r="R70" s="102">
        <v>0</v>
      </c>
      <c r="S70" s="102">
        <v>0</v>
      </c>
      <c r="T70" s="102">
        <v>0</v>
      </c>
      <c r="U70" s="102">
        <v>0</v>
      </c>
      <c r="V70" s="102">
        <v>0</v>
      </c>
      <c r="W70" s="102">
        <v>0</v>
      </c>
      <c r="X70" s="102">
        <v>0</v>
      </c>
      <c r="Y70" s="102">
        <v>0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452</v>
      </c>
      <c r="J71" s="102">
        <v>1976</v>
      </c>
      <c r="K71" s="102">
        <v>2384</v>
      </c>
      <c r="L71" s="102">
        <v>2687</v>
      </c>
      <c r="M71" s="102">
        <v>3008</v>
      </c>
      <c r="N71" s="102">
        <v>3444</v>
      </c>
      <c r="O71" s="102">
        <v>4319</v>
      </c>
      <c r="P71" s="102">
        <v>4683</v>
      </c>
      <c r="Q71" s="102">
        <v>5300</v>
      </c>
      <c r="R71" s="102">
        <v>6010</v>
      </c>
      <c r="S71" s="102">
        <v>6255</v>
      </c>
      <c r="T71" s="102">
        <v>6319</v>
      </c>
      <c r="U71" s="102">
        <v>6155</v>
      </c>
      <c r="V71" s="102">
        <v>6884</v>
      </c>
      <c r="W71" s="102">
        <v>7129</v>
      </c>
      <c r="X71" s="102">
        <v>6810</v>
      </c>
      <c r="Y71" s="102">
        <v>7157</v>
      </c>
      <c r="DA71" s="175" t="s">
        <v>850</v>
      </c>
    </row>
    <row r="72" spans="1:105" ht="11.45" customHeight="1" x14ac:dyDescent="0.25">
      <c r="A72" s="111" t="s">
        <v>112</v>
      </c>
      <c r="B72" s="102">
        <v>0</v>
      </c>
      <c r="C72" s="102">
        <v>0</v>
      </c>
      <c r="D72" s="102">
        <v>0</v>
      </c>
      <c r="E72" s="102">
        <v>0</v>
      </c>
      <c r="F72" s="102">
        <v>0</v>
      </c>
      <c r="G72" s="102">
        <v>0</v>
      </c>
      <c r="H72" s="102">
        <v>0</v>
      </c>
      <c r="I72" s="102">
        <v>0</v>
      </c>
      <c r="J72" s="102">
        <v>0</v>
      </c>
      <c r="K72" s="102">
        <v>0</v>
      </c>
      <c r="L72" s="102">
        <v>2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1</v>
      </c>
      <c r="S72" s="102">
        <v>0</v>
      </c>
      <c r="T72" s="102">
        <v>1</v>
      </c>
      <c r="U72" s="102">
        <v>2</v>
      </c>
      <c r="V72" s="102">
        <v>1</v>
      </c>
      <c r="W72" s="102">
        <v>3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86</v>
      </c>
      <c r="L73" s="102">
        <v>29</v>
      </c>
      <c r="M73" s="102">
        <v>43</v>
      </c>
      <c r="N73" s="102">
        <v>167</v>
      </c>
      <c r="O73" s="102">
        <v>101</v>
      </c>
      <c r="P73" s="102">
        <v>54</v>
      </c>
      <c r="Q73" s="102">
        <v>49</v>
      </c>
      <c r="R73" s="102">
        <v>71</v>
      </c>
      <c r="S73" s="102">
        <v>80</v>
      </c>
      <c r="T73" s="102">
        <v>94</v>
      </c>
      <c r="U73" s="102">
        <v>20</v>
      </c>
      <c r="V73" s="102">
        <v>76</v>
      </c>
      <c r="W73" s="102">
        <v>52</v>
      </c>
      <c r="X73" s="102">
        <v>30</v>
      </c>
      <c r="Y73" s="102">
        <v>43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0</v>
      </c>
      <c r="S74" s="102">
        <v>0</v>
      </c>
      <c r="T74" s="102">
        <v>2</v>
      </c>
      <c r="U74" s="102">
        <v>175</v>
      </c>
      <c r="V74" s="102">
        <v>446</v>
      </c>
      <c r="W74" s="102">
        <v>588</v>
      </c>
      <c r="X74" s="102">
        <v>631</v>
      </c>
      <c r="Y74" s="102">
        <v>809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0</v>
      </c>
      <c r="C75" s="28">
        <f t="shared" si="16"/>
        <v>0</v>
      </c>
      <c r="D75" s="28">
        <f t="shared" si="16"/>
        <v>0</v>
      </c>
      <c r="E75" s="28">
        <f t="shared" si="16"/>
        <v>0</v>
      </c>
      <c r="F75" s="28">
        <f t="shared" si="16"/>
        <v>0</v>
      </c>
      <c r="G75" s="28">
        <f t="shared" si="16"/>
        <v>0</v>
      </c>
      <c r="H75" s="28">
        <f t="shared" si="16"/>
        <v>4730</v>
      </c>
      <c r="I75" s="28">
        <f t="shared" si="16"/>
        <v>39802</v>
      </c>
      <c r="J75" s="28">
        <f t="shared" si="16"/>
        <v>111396</v>
      </c>
      <c r="K75" s="28">
        <f t="shared" si="16"/>
        <v>110126</v>
      </c>
      <c r="L75" s="28">
        <f t="shared" ref="L75" si="17">L76+L82</f>
        <v>152077</v>
      </c>
      <c r="M75" s="28">
        <f t="shared" ref="M75:V75" si="18">M76+M82</f>
        <v>198082</v>
      </c>
      <c r="N75" s="28">
        <f t="shared" si="18"/>
        <v>193147</v>
      </c>
      <c r="O75" s="28">
        <f t="shared" si="18"/>
        <v>213844</v>
      </c>
      <c r="P75" s="28">
        <f t="shared" si="18"/>
        <v>239162</v>
      </c>
      <c r="Q75" s="28">
        <f t="shared" si="18"/>
        <v>260016</v>
      </c>
      <c r="R75" s="28">
        <f t="shared" si="18"/>
        <v>297421</v>
      </c>
      <c r="S75" s="28">
        <f t="shared" si="18"/>
        <v>315750</v>
      </c>
      <c r="T75" s="28">
        <f t="shared" si="18"/>
        <v>336527</v>
      </c>
      <c r="U75" s="28">
        <f t="shared" si="18"/>
        <v>386943</v>
      </c>
      <c r="V75" s="28">
        <f t="shared" si="18"/>
        <v>346603</v>
      </c>
      <c r="W75" s="28">
        <f t="shared" ref="W75:Y75" si="19">W76+W82</f>
        <v>353283</v>
      </c>
      <c r="X75" s="28">
        <f t="shared" si="19"/>
        <v>322772</v>
      </c>
      <c r="Y75" s="28">
        <f t="shared" si="19"/>
        <v>330491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0</v>
      </c>
      <c r="C76" s="137">
        <f t="shared" si="20"/>
        <v>0</v>
      </c>
      <c r="D76" s="137">
        <f t="shared" si="20"/>
        <v>0</v>
      </c>
      <c r="E76" s="137">
        <f t="shared" si="20"/>
        <v>0</v>
      </c>
      <c r="F76" s="137">
        <f t="shared" si="20"/>
        <v>0</v>
      </c>
      <c r="G76" s="137">
        <f t="shared" si="20"/>
        <v>0</v>
      </c>
      <c r="H76" s="137">
        <f t="shared" si="20"/>
        <v>1178</v>
      </c>
      <c r="I76" s="137">
        <f t="shared" si="20"/>
        <v>38381</v>
      </c>
      <c r="J76" s="137">
        <f t="shared" si="20"/>
        <v>104936</v>
      </c>
      <c r="K76" s="137">
        <f t="shared" si="20"/>
        <v>86952</v>
      </c>
      <c r="L76" s="137">
        <f t="shared" ref="L76" si="21">SUM(L77:L81)</f>
        <v>113353</v>
      </c>
      <c r="M76" s="137">
        <f t="shared" ref="M76:V76" si="22">SUM(M77:M81)</f>
        <v>147720</v>
      </c>
      <c r="N76" s="137">
        <f t="shared" si="22"/>
        <v>149400</v>
      </c>
      <c r="O76" s="137">
        <f t="shared" si="22"/>
        <v>154741</v>
      </c>
      <c r="P76" s="137">
        <f t="shared" si="22"/>
        <v>176723</v>
      </c>
      <c r="Q76" s="137">
        <f t="shared" si="22"/>
        <v>193574</v>
      </c>
      <c r="R76" s="137">
        <f t="shared" si="22"/>
        <v>219233</v>
      </c>
      <c r="S76" s="137">
        <f t="shared" si="22"/>
        <v>230909</v>
      </c>
      <c r="T76" s="137">
        <f t="shared" si="22"/>
        <v>267872</v>
      </c>
      <c r="U76" s="137">
        <f t="shared" si="22"/>
        <v>298075</v>
      </c>
      <c r="V76" s="137">
        <f t="shared" si="22"/>
        <v>270831</v>
      </c>
      <c r="W76" s="137">
        <f t="shared" ref="W76:Y76" si="23">SUM(W77:W81)</f>
        <v>269756</v>
      </c>
      <c r="X76" s="137">
        <f t="shared" si="23"/>
        <v>239006</v>
      </c>
      <c r="Y76" s="137">
        <f t="shared" si="23"/>
        <v>246205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0</v>
      </c>
      <c r="M77" s="84">
        <v>0</v>
      </c>
      <c r="N77" s="84">
        <v>0</v>
      </c>
      <c r="O77" s="84">
        <v>0</v>
      </c>
      <c r="P77" s="84">
        <v>0</v>
      </c>
      <c r="Q77" s="84">
        <v>0</v>
      </c>
      <c r="R77" s="84">
        <v>0</v>
      </c>
      <c r="S77" s="84">
        <v>0</v>
      </c>
      <c r="T77" s="84">
        <v>18343</v>
      </c>
      <c r="U77" s="84">
        <v>21215</v>
      </c>
      <c r="V77" s="84">
        <v>19712</v>
      </c>
      <c r="W77" s="84">
        <v>26262</v>
      </c>
      <c r="X77" s="84">
        <v>29403</v>
      </c>
      <c r="Y77" s="84">
        <v>16601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0</v>
      </c>
      <c r="G78" s="84">
        <v>0</v>
      </c>
      <c r="H78" s="84">
        <v>0</v>
      </c>
      <c r="I78" s="84">
        <v>37780</v>
      </c>
      <c r="J78" s="84">
        <v>102987</v>
      </c>
      <c r="K78" s="84">
        <v>85646</v>
      </c>
      <c r="L78" s="84">
        <v>111658</v>
      </c>
      <c r="M78" s="84">
        <v>145804</v>
      </c>
      <c r="N78" s="84">
        <v>147520</v>
      </c>
      <c r="O78" s="84">
        <v>153654</v>
      </c>
      <c r="P78" s="84">
        <v>174812</v>
      </c>
      <c r="Q78" s="84">
        <v>191664</v>
      </c>
      <c r="R78" s="84">
        <v>215203</v>
      </c>
      <c r="S78" s="84">
        <v>229347</v>
      </c>
      <c r="T78" s="84">
        <v>244401</v>
      </c>
      <c r="U78" s="84">
        <v>269542</v>
      </c>
      <c r="V78" s="84">
        <v>240759</v>
      </c>
      <c r="W78" s="84">
        <v>225267</v>
      </c>
      <c r="X78" s="84">
        <v>188520</v>
      </c>
      <c r="Y78" s="84">
        <v>208108</v>
      </c>
      <c r="DA78" s="171" t="s">
        <v>857</v>
      </c>
    </row>
    <row r="79" spans="1:105" ht="11.45" customHeight="1" x14ac:dyDescent="0.25">
      <c r="A79" s="111" t="s">
        <v>112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1178</v>
      </c>
      <c r="I79" s="84">
        <v>601</v>
      </c>
      <c r="J79" s="84">
        <v>1949</v>
      </c>
      <c r="K79" s="84">
        <v>1306</v>
      </c>
      <c r="L79" s="84">
        <v>1179</v>
      </c>
      <c r="M79" s="84">
        <v>1198</v>
      </c>
      <c r="N79" s="84">
        <v>1156</v>
      </c>
      <c r="O79" s="84">
        <v>460</v>
      </c>
      <c r="P79" s="84">
        <v>1281</v>
      </c>
      <c r="Q79" s="84">
        <v>1167</v>
      </c>
      <c r="R79" s="84">
        <v>665</v>
      </c>
      <c r="S79" s="84">
        <v>870</v>
      </c>
      <c r="T79" s="84">
        <v>1196</v>
      </c>
      <c r="U79" s="84">
        <v>1452</v>
      </c>
      <c r="V79" s="84">
        <v>1870</v>
      </c>
      <c r="W79" s="84">
        <v>2223</v>
      </c>
      <c r="X79" s="84">
        <v>1654</v>
      </c>
      <c r="Y79" s="84">
        <v>1841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516</v>
      </c>
      <c r="M80" s="84">
        <v>718</v>
      </c>
      <c r="N80" s="84">
        <v>724</v>
      </c>
      <c r="O80" s="84">
        <v>627</v>
      </c>
      <c r="P80" s="84">
        <v>630</v>
      </c>
      <c r="Q80" s="84">
        <v>743</v>
      </c>
      <c r="R80" s="84">
        <v>3365</v>
      </c>
      <c r="S80" s="84">
        <v>692</v>
      </c>
      <c r="T80" s="84">
        <v>733</v>
      </c>
      <c r="U80" s="84">
        <v>0</v>
      </c>
      <c r="V80" s="84">
        <v>0</v>
      </c>
      <c r="W80" s="84">
        <v>0</v>
      </c>
      <c r="X80" s="84">
        <v>0</v>
      </c>
      <c r="Y80" s="84">
        <v>0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0</v>
      </c>
      <c r="O81" s="84">
        <v>0</v>
      </c>
      <c r="P81" s="84">
        <v>0</v>
      </c>
      <c r="Q81" s="84">
        <v>0</v>
      </c>
      <c r="R81" s="84">
        <v>0</v>
      </c>
      <c r="S81" s="84">
        <v>0</v>
      </c>
      <c r="T81" s="84">
        <v>3199</v>
      </c>
      <c r="U81" s="84">
        <v>5866</v>
      </c>
      <c r="V81" s="84">
        <v>8490</v>
      </c>
      <c r="W81" s="84">
        <v>16004</v>
      </c>
      <c r="X81" s="84">
        <v>19429</v>
      </c>
      <c r="Y81" s="84">
        <v>19655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3552</v>
      </c>
      <c r="I82" s="110">
        <f t="shared" si="24"/>
        <v>1421</v>
      </c>
      <c r="J82" s="110">
        <f t="shared" si="24"/>
        <v>6460</v>
      </c>
      <c r="K82" s="110">
        <f t="shared" si="24"/>
        <v>23174</v>
      </c>
      <c r="L82" s="110">
        <f t="shared" ref="L82" si="25">SUM(L83:L84)</f>
        <v>38724</v>
      </c>
      <c r="M82" s="110">
        <f t="shared" ref="M82:V82" si="26">SUM(M83:M84)</f>
        <v>50362</v>
      </c>
      <c r="N82" s="110">
        <f t="shared" si="26"/>
        <v>43747</v>
      </c>
      <c r="O82" s="110">
        <f t="shared" si="26"/>
        <v>59103</v>
      </c>
      <c r="P82" s="110">
        <f t="shared" si="26"/>
        <v>62439</v>
      </c>
      <c r="Q82" s="110">
        <f t="shared" si="26"/>
        <v>66442</v>
      </c>
      <c r="R82" s="110">
        <f t="shared" si="26"/>
        <v>78188</v>
      </c>
      <c r="S82" s="110">
        <f t="shared" si="26"/>
        <v>84841</v>
      </c>
      <c r="T82" s="110">
        <f t="shared" si="26"/>
        <v>68655</v>
      </c>
      <c r="U82" s="110">
        <f t="shared" si="26"/>
        <v>88868</v>
      </c>
      <c r="V82" s="110">
        <f t="shared" si="26"/>
        <v>75772</v>
      </c>
      <c r="W82" s="110">
        <f t="shared" ref="W82:Y82" si="27">SUM(W83:W84)</f>
        <v>83527</v>
      </c>
      <c r="X82" s="110">
        <f t="shared" si="27"/>
        <v>83766</v>
      </c>
      <c r="Y82" s="110">
        <f t="shared" si="27"/>
        <v>84286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3552</v>
      </c>
      <c r="I83" s="102">
        <v>1421</v>
      </c>
      <c r="J83" s="102">
        <v>1883</v>
      </c>
      <c r="K83" s="102">
        <v>23174</v>
      </c>
      <c r="L83" s="102">
        <v>28340</v>
      </c>
      <c r="M83" s="102">
        <v>43570</v>
      </c>
      <c r="N83" s="102">
        <v>35941</v>
      </c>
      <c r="O83" s="102">
        <v>48529</v>
      </c>
      <c r="P83" s="102">
        <v>52915</v>
      </c>
      <c r="Q83" s="102">
        <v>58005</v>
      </c>
      <c r="R83" s="102">
        <v>61443</v>
      </c>
      <c r="S83" s="102">
        <v>65984</v>
      </c>
      <c r="T83" s="102">
        <v>66546</v>
      </c>
      <c r="U83" s="102">
        <v>68522</v>
      </c>
      <c r="V83" s="102">
        <v>61803</v>
      </c>
      <c r="W83" s="102">
        <v>64918</v>
      </c>
      <c r="X83" s="102">
        <v>70909</v>
      </c>
      <c r="Y83" s="102">
        <v>72694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4577</v>
      </c>
      <c r="K84" s="86">
        <v>0</v>
      </c>
      <c r="L84" s="86">
        <v>10384</v>
      </c>
      <c r="M84" s="86">
        <v>6792</v>
      </c>
      <c r="N84" s="86">
        <v>7806</v>
      </c>
      <c r="O84" s="86">
        <v>10574</v>
      </c>
      <c r="P84" s="86">
        <v>9524</v>
      </c>
      <c r="Q84" s="86">
        <v>8437</v>
      </c>
      <c r="R84" s="86">
        <v>16745</v>
      </c>
      <c r="S84" s="86">
        <v>18857</v>
      </c>
      <c r="T84" s="86">
        <v>2109</v>
      </c>
      <c r="U84" s="86">
        <v>20346</v>
      </c>
      <c r="V84" s="86">
        <v>13969</v>
      </c>
      <c r="W84" s="86">
        <v>18609</v>
      </c>
      <c r="X84" s="86">
        <v>12857</v>
      </c>
      <c r="Y84" s="86">
        <v>11592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4.3416622074794686</v>
      </c>
      <c r="C90" s="141">
        <v>4.266473541155742</v>
      </c>
      <c r="D90" s="141">
        <v>4.2008034012884421</v>
      </c>
      <c r="E90" s="141">
        <v>4.130671658905765</v>
      </c>
      <c r="F90" s="141">
        <v>4.0661522606067448</v>
      </c>
      <c r="G90" s="141">
        <v>3.9974670879879199</v>
      </c>
      <c r="H90" s="141">
        <v>3.9292353663587263</v>
      </c>
      <c r="I90" s="141">
        <v>3.8329519598545749</v>
      </c>
      <c r="J90" s="141">
        <v>3.7218158802083892</v>
      </c>
      <c r="K90" s="141">
        <v>3.6459067988677707</v>
      </c>
      <c r="L90" s="141">
        <v>3.6073733006788156</v>
      </c>
      <c r="M90" s="141">
        <v>3.5547307177917014</v>
      </c>
      <c r="N90" s="141">
        <v>3.5060546111477713</v>
      </c>
      <c r="O90" s="141">
        <v>3.4524184712922068</v>
      </c>
      <c r="P90" s="141">
        <v>3.389187978231273</v>
      </c>
      <c r="Q90" s="141">
        <v>3.3236864995917492</v>
      </c>
      <c r="R90" s="141">
        <v>3.2464577623282693</v>
      </c>
      <c r="S90" s="141">
        <v>3.1992180016357583</v>
      </c>
      <c r="T90" s="141">
        <v>3.1283061786099484</v>
      </c>
      <c r="U90" s="141">
        <v>3.0572987030745744</v>
      </c>
      <c r="V90" s="141">
        <v>3.0138157781342363</v>
      </c>
      <c r="W90" s="141">
        <v>2.9652887204312757</v>
      </c>
      <c r="X90" s="141">
        <v>2.8898304106874195</v>
      </c>
      <c r="Y90" s="141">
        <v>2.8073381412857388</v>
      </c>
      <c r="DA90" s="174" t="s">
        <v>864</v>
      </c>
    </row>
    <row r="91" spans="1:105" ht="11.45" customHeight="1" x14ac:dyDescent="0.25">
      <c r="A91" s="109" t="s">
        <v>20</v>
      </c>
      <c r="B91" s="130">
        <v>7.5777704893906233</v>
      </c>
      <c r="C91" s="130">
        <v>7.4873153778286623</v>
      </c>
      <c r="D91" s="130">
        <v>7.4526314537504526</v>
      </c>
      <c r="E91" s="130">
        <v>7.4139448085622339</v>
      </c>
      <c r="F91" s="130">
        <v>7.3722893031238943</v>
      </c>
      <c r="G91" s="130">
        <v>7.3253075445697755</v>
      </c>
      <c r="H91" s="130">
        <v>7.2840483849888775</v>
      </c>
      <c r="I91" s="130">
        <v>7.2418538792364684</v>
      </c>
      <c r="J91" s="130">
        <v>7.1870094677669139</v>
      </c>
      <c r="K91" s="130">
        <v>7.0877676474082083</v>
      </c>
      <c r="L91" s="130">
        <v>7.0151768944574489</v>
      </c>
      <c r="M91" s="130">
        <v>6.9278674163935685</v>
      </c>
      <c r="N91" s="130">
        <v>6.823895906624859</v>
      </c>
      <c r="O91" s="130">
        <v>6.7257477933663896</v>
      </c>
      <c r="P91" s="130">
        <v>6.6049699103669051</v>
      </c>
      <c r="Q91" s="130">
        <v>6.4880765618091809</v>
      </c>
      <c r="R91" s="130">
        <v>6.3662499917888136</v>
      </c>
      <c r="S91" s="130">
        <v>6.2332831832184832</v>
      </c>
      <c r="T91" s="130">
        <v>6.1158246550708659</v>
      </c>
      <c r="U91" s="130">
        <v>6.0232784096705663</v>
      </c>
      <c r="V91" s="130">
        <v>5.9083842991696409</v>
      </c>
      <c r="W91" s="130">
        <v>5.7658545590400454</v>
      </c>
      <c r="X91" s="130">
        <v>5.6624159507043474</v>
      </c>
      <c r="Y91" s="130">
        <v>5.5347168959187076</v>
      </c>
      <c r="DA91" s="176" t="s">
        <v>865</v>
      </c>
    </row>
    <row r="92" spans="1:105" ht="11.45" customHeight="1" x14ac:dyDescent="0.25">
      <c r="A92" s="111" t="s">
        <v>110</v>
      </c>
      <c r="B92" s="96">
        <v>7.7054251362975261</v>
      </c>
      <c r="C92" s="96">
        <v>7.6431645773961634</v>
      </c>
      <c r="D92" s="96">
        <v>7.6279337906236391</v>
      </c>
      <c r="E92" s="96">
        <v>7.604161425203058</v>
      </c>
      <c r="F92" s="96">
        <v>7.5837839378208463</v>
      </c>
      <c r="G92" s="96">
        <v>7.5483971925597446</v>
      </c>
      <c r="H92" s="96">
        <v>7.5071406475288489</v>
      </c>
      <c r="I92" s="96">
        <v>7.4580013107105163</v>
      </c>
      <c r="J92" s="96">
        <v>7.3823157241500734</v>
      </c>
      <c r="K92" s="96">
        <v>7.2486833715622456</v>
      </c>
      <c r="L92" s="96">
        <v>7.1514095379574716</v>
      </c>
      <c r="M92" s="96">
        <v>7.0481529235271596</v>
      </c>
      <c r="N92" s="96">
        <v>6.9330293473667899</v>
      </c>
      <c r="O92" s="96">
        <v>6.8189780659881842</v>
      </c>
      <c r="P92" s="96">
        <v>6.6877314577406404</v>
      </c>
      <c r="Q92" s="96">
        <v>6.5597712969516726</v>
      </c>
      <c r="R92" s="96">
        <v>6.4257969717310202</v>
      </c>
      <c r="S92" s="96">
        <v>6.2761322899077694</v>
      </c>
      <c r="T92" s="96">
        <v>6.1428720794561729</v>
      </c>
      <c r="U92" s="96">
        <v>6.0461448235868636</v>
      </c>
      <c r="V92" s="96">
        <v>5.9387485746175956</v>
      </c>
      <c r="W92" s="96">
        <v>5.8333135394709865</v>
      </c>
      <c r="X92" s="96">
        <v>5.775115591976026</v>
      </c>
      <c r="Y92" s="96">
        <v>5.6704311969734018</v>
      </c>
      <c r="DA92" s="171" t="s">
        <v>866</v>
      </c>
    </row>
    <row r="93" spans="1:105" ht="11.45" customHeight="1" x14ac:dyDescent="0.25">
      <c r="A93" s="111" t="s">
        <v>111</v>
      </c>
      <c r="B93" s="96">
        <v>6.8234203234410176</v>
      </c>
      <c r="C93" s="96">
        <v>6.5216418997681238</v>
      </c>
      <c r="D93" s="96">
        <v>6.4802977940162423</v>
      </c>
      <c r="E93" s="96">
        <v>6.4610983379736089</v>
      </c>
      <c r="F93" s="96">
        <v>6.429243286538374</v>
      </c>
      <c r="G93" s="96">
        <v>6.4366192918516161</v>
      </c>
      <c r="H93" s="96">
        <v>6.4548176385890992</v>
      </c>
      <c r="I93" s="96">
        <v>6.4626084017391472</v>
      </c>
      <c r="J93" s="96">
        <v>6.4691842080853927</v>
      </c>
      <c r="K93" s="96">
        <v>6.4413426041811626</v>
      </c>
      <c r="L93" s="96">
        <v>6.4178079557410941</v>
      </c>
      <c r="M93" s="96">
        <v>6.3606797192315581</v>
      </c>
      <c r="N93" s="96">
        <v>6.2786718622549742</v>
      </c>
      <c r="O93" s="96">
        <v>6.1862902665645843</v>
      </c>
      <c r="P93" s="96">
        <v>6.0825418649893095</v>
      </c>
      <c r="Q93" s="96">
        <v>5.9611493220886214</v>
      </c>
      <c r="R93" s="96">
        <v>5.8401800394307664</v>
      </c>
      <c r="S93" s="96">
        <v>5.7369148036854218</v>
      </c>
      <c r="T93" s="96">
        <v>5.6645975764537111</v>
      </c>
      <c r="U93" s="96">
        <v>5.5935239377448136</v>
      </c>
      <c r="V93" s="96">
        <v>5.5586460321689533</v>
      </c>
      <c r="W93" s="96">
        <v>5.5183507469906363</v>
      </c>
      <c r="X93" s="96">
        <v>5.4579467007541664</v>
      </c>
      <c r="Y93" s="96">
        <v>5.4259726737357123</v>
      </c>
      <c r="DA93" s="171" t="s">
        <v>867</v>
      </c>
    </row>
    <row r="94" spans="1:105" ht="11.45" customHeight="1" x14ac:dyDescent="0.25">
      <c r="A94" s="111" t="s">
        <v>112</v>
      </c>
      <c r="B94" s="96">
        <v>7.8800838265151958</v>
      </c>
      <c r="C94" s="96">
        <v>7.6047204070957868</v>
      </c>
      <c r="D94" s="96">
        <v>7.2576765035273221</v>
      </c>
      <c r="E94" s="96">
        <v>7.1213553871903379</v>
      </c>
      <c r="F94" s="96">
        <v>6.9309410197385484</v>
      </c>
      <c r="G94" s="96">
        <v>6.875036051831227</v>
      </c>
      <c r="H94" s="96">
        <v>6.86919792441092</v>
      </c>
      <c r="I94" s="96">
        <v>6.9420910258243858</v>
      </c>
      <c r="J94" s="96">
        <v>6.9565455481985303</v>
      </c>
      <c r="K94" s="96">
        <v>6.9550287742356174</v>
      </c>
      <c r="L94" s="96">
        <v>6.974675887115799</v>
      </c>
      <c r="M94" s="96">
        <v>7.0000521850903192</v>
      </c>
      <c r="N94" s="96">
        <v>6.9975839784185494</v>
      </c>
      <c r="O94" s="96">
        <v>6.9835626478448294</v>
      </c>
      <c r="P94" s="96">
        <v>6.9630467251863584</v>
      </c>
      <c r="Q94" s="96">
        <v>6.9443550690831861</v>
      </c>
      <c r="R94" s="96">
        <v>6.9246697994803936</v>
      </c>
      <c r="S94" s="96">
        <v>6.9022919006303525</v>
      </c>
      <c r="T94" s="96">
        <v>6.8758153301659535</v>
      </c>
      <c r="U94" s="96">
        <v>6.8402684763750763</v>
      </c>
      <c r="V94" s="96">
        <v>6.7808293785037232</v>
      </c>
      <c r="W94" s="96">
        <v>6.6747871427723613</v>
      </c>
      <c r="X94" s="96">
        <v>6.5125032129719083</v>
      </c>
      <c r="Y94" s="96">
        <v>6.3838038850863956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7.950404437699703</v>
      </c>
      <c r="H95" s="96">
        <v>7.9348669835069625</v>
      </c>
      <c r="I95" s="96">
        <v>7.9330389505343533</v>
      </c>
      <c r="J95" s="96">
        <v>7.7274877698308417</v>
      </c>
      <c r="K95" s="96">
        <v>7.3315037161789931</v>
      </c>
      <c r="L95" s="96">
        <v>7.2729503692614346</v>
      </c>
      <c r="M95" s="96">
        <v>7.2123712945960996</v>
      </c>
      <c r="N95" s="96">
        <v>7.1574892867454878</v>
      </c>
      <c r="O95" s="96">
        <v>6.8688609483967893</v>
      </c>
      <c r="P95" s="96">
        <v>6.5707036416822264</v>
      </c>
      <c r="Q95" s="96">
        <v>6.3596983312339672</v>
      </c>
      <c r="R95" s="96">
        <v>6.2179456462679132</v>
      </c>
      <c r="S95" s="96">
        <v>6.079396334795562</v>
      </c>
      <c r="T95" s="96">
        <v>5.8683788533757868</v>
      </c>
      <c r="U95" s="96">
        <v>5.7145525366411203</v>
      </c>
      <c r="V95" s="96">
        <v>5.5156593238055409</v>
      </c>
      <c r="W95" s="96">
        <v>5.4090090872608156</v>
      </c>
      <c r="X95" s="96">
        <v>5.385975134706138</v>
      </c>
      <c r="Y95" s="96">
        <v>5.3221719837973858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3.0919444929182096</v>
      </c>
      <c r="N96" s="96">
        <v>2.590479266150866</v>
      </c>
      <c r="O96" s="96">
        <v>2.7346879772094019</v>
      </c>
      <c r="P96" s="96">
        <v>2.6234630585683196</v>
      </c>
      <c r="Q96" s="96">
        <v>2.7167768353808985</v>
      </c>
      <c r="R96" s="96">
        <v>2.72010060545486</v>
      </c>
      <c r="S96" s="96">
        <v>2.8191209101620149</v>
      </c>
      <c r="T96" s="96">
        <v>2.9688134896431473</v>
      </c>
      <c r="U96" s="96">
        <v>2.9886320811947678</v>
      </c>
      <c r="V96" s="96">
        <v>2.9818167467060213</v>
      </c>
      <c r="W96" s="96">
        <v>2.8730850535257275</v>
      </c>
      <c r="X96" s="96">
        <v>2.7726260156403582</v>
      </c>
      <c r="Y96" s="96">
        <v>2.7369143188242226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1.4427980974337387</v>
      </c>
      <c r="I97" s="96">
        <v>1.4382448811004784</v>
      </c>
      <c r="J97" s="96">
        <v>1.4145410394655917</v>
      </c>
      <c r="K97" s="96">
        <v>1.4118015529562065</v>
      </c>
      <c r="L97" s="96">
        <v>1.4033380955970467</v>
      </c>
      <c r="M97" s="96">
        <v>1.3943925624905849</v>
      </c>
      <c r="N97" s="96">
        <v>1.3582109322470874</v>
      </c>
      <c r="O97" s="96">
        <v>1.3070689467468355</v>
      </c>
      <c r="P97" s="96">
        <v>1.2666229351982141</v>
      </c>
      <c r="Q97" s="96">
        <v>1.277682165608504</v>
      </c>
      <c r="R97" s="96">
        <v>1.2786225171567087</v>
      </c>
      <c r="S97" s="96">
        <v>1.255428895920204</v>
      </c>
      <c r="T97" s="96">
        <v>1.2738481614972741</v>
      </c>
      <c r="U97" s="96">
        <v>1.4159063889776327</v>
      </c>
      <c r="V97" s="96">
        <v>1.4365141985758043</v>
      </c>
      <c r="W97" s="96">
        <v>1.4232375484191853</v>
      </c>
      <c r="X97" s="96">
        <v>1.4240735421946089</v>
      </c>
      <c r="Y97" s="96">
        <v>1.4334534825225422</v>
      </c>
      <c r="DA97" s="171" t="s">
        <v>871</v>
      </c>
    </row>
    <row r="98" spans="1:105" ht="11.45" customHeight="1" x14ac:dyDescent="0.25">
      <c r="A98" s="109" t="s">
        <v>21</v>
      </c>
      <c r="B98" s="130">
        <v>54.17329432670811</v>
      </c>
      <c r="C98" s="130">
        <v>53.28929089293478</v>
      </c>
      <c r="D98" s="130">
        <v>52.805708942149373</v>
      </c>
      <c r="E98" s="130">
        <v>52.361640334942003</v>
      </c>
      <c r="F98" s="130">
        <v>51.914974236968483</v>
      </c>
      <c r="G98" s="130">
        <v>51.427049491383073</v>
      </c>
      <c r="H98" s="130">
        <v>50.932988822885534</v>
      </c>
      <c r="I98" s="130">
        <v>50.008457208631299</v>
      </c>
      <c r="J98" s="130">
        <v>49.411963297956717</v>
      </c>
      <c r="K98" s="130">
        <v>48.842047738288784</v>
      </c>
      <c r="L98" s="130">
        <v>48.532480308638021</v>
      </c>
      <c r="M98" s="130">
        <v>47.927898344495283</v>
      </c>
      <c r="N98" s="130">
        <v>47.587491013617822</v>
      </c>
      <c r="O98" s="130">
        <v>46.956608862123929</v>
      </c>
      <c r="P98" s="130">
        <v>46.614520387830154</v>
      </c>
      <c r="Q98" s="130">
        <v>46.220204368978699</v>
      </c>
      <c r="R98" s="130">
        <v>45.542903857940225</v>
      </c>
      <c r="S98" s="130">
        <v>44.851378418000266</v>
      </c>
      <c r="T98" s="130">
        <v>44.445776093804383</v>
      </c>
      <c r="U98" s="130">
        <v>43.724086261372996</v>
      </c>
      <c r="V98" s="130">
        <v>42.538509240932669</v>
      </c>
      <c r="W98" s="130">
        <v>41.822762763825402</v>
      </c>
      <c r="X98" s="130">
        <v>40.874566337344895</v>
      </c>
      <c r="Y98" s="130">
        <v>39.706666384985937</v>
      </c>
      <c r="DA98" s="176" t="s">
        <v>872</v>
      </c>
    </row>
    <row r="99" spans="1:105" ht="11.45" customHeight="1" x14ac:dyDescent="0.25">
      <c r="A99" s="111" t="s">
        <v>110</v>
      </c>
      <c r="B99" s="97">
        <v>0</v>
      </c>
      <c r="C99" s="97">
        <v>0</v>
      </c>
      <c r="D99" s="97">
        <v>0</v>
      </c>
      <c r="E99" s="97">
        <v>0</v>
      </c>
      <c r="F99" s="97">
        <v>0</v>
      </c>
      <c r="G99" s="97">
        <v>0</v>
      </c>
      <c r="H99" s="97">
        <v>0</v>
      </c>
      <c r="I99" s="97">
        <v>0</v>
      </c>
      <c r="J99" s="97">
        <v>0</v>
      </c>
      <c r="K99" s="97">
        <v>0</v>
      </c>
      <c r="L99" s="97">
        <v>0</v>
      </c>
      <c r="M99" s="97">
        <v>0</v>
      </c>
      <c r="N99" s="97">
        <v>0</v>
      </c>
      <c r="O99" s="97">
        <v>0</v>
      </c>
      <c r="P99" s="97">
        <v>0</v>
      </c>
      <c r="Q99" s="97">
        <v>0</v>
      </c>
      <c r="R99" s="97">
        <v>0</v>
      </c>
      <c r="S99" s="97">
        <v>0</v>
      </c>
      <c r="T99" s="97">
        <v>0</v>
      </c>
      <c r="U99" s="97">
        <v>0</v>
      </c>
      <c r="V99" s="97">
        <v>0</v>
      </c>
      <c r="W99" s="97">
        <v>0</v>
      </c>
      <c r="X99" s="97">
        <v>0</v>
      </c>
      <c r="Y99" s="97">
        <v>0</v>
      </c>
      <c r="DA99" s="175" t="s">
        <v>873</v>
      </c>
    </row>
    <row r="100" spans="1:105" ht="11.45" customHeight="1" x14ac:dyDescent="0.25">
      <c r="A100" s="111" t="s">
        <v>111</v>
      </c>
      <c r="B100" s="97">
        <v>54.301095182296081</v>
      </c>
      <c r="C100" s="97">
        <v>53.187914019855164</v>
      </c>
      <c r="D100" s="97">
        <v>52.623380308270534</v>
      </c>
      <c r="E100" s="97">
        <v>52.066234890902408</v>
      </c>
      <c r="F100" s="97">
        <v>51.537341088982387</v>
      </c>
      <c r="G100" s="97">
        <v>50.985794023514515</v>
      </c>
      <c r="H100" s="97">
        <v>50.462554859064774</v>
      </c>
      <c r="I100" s="97">
        <v>49.634059767962356</v>
      </c>
      <c r="J100" s="97">
        <v>49.04345339702023</v>
      </c>
      <c r="K100" s="97">
        <v>48.488037669458691</v>
      </c>
      <c r="L100" s="97">
        <v>48.127700271895215</v>
      </c>
      <c r="M100" s="97">
        <v>47.556955958547817</v>
      </c>
      <c r="N100" s="97">
        <v>47.19735056254455</v>
      </c>
      <c r="O100" s="97">
        <v>46.616562838825956</v>
      </c>
      <c r="P100" s="97">
        <v>46.238219790427046</v>
      </c>
      <c r="Q100" s="97">
        <v>45.817454308341347</v>
      </c>
      <c r="R100" s="97">
        <v>45.216610778977611</v>
      </c>
      <c r="S100" s="97">
        <v>44.594704862013671</v>
      </c>
      <c r="T100" s="97">
        <v>44.129496933538491</v>
      </c>
      <c r="U100" s="97">
        <v>43.458881530464367</v>
      </c>
      <c r="V100" s="97">
        <v>42.418199492695848</v>
      </c>
      <c r="W100" s="97">
        <v>41.706997593833265</v>
      </c>
      <c r="X100" s="97">
        <v>40.810389716170228</v>
      </c>
      <c r="Y100" s="97">
        <v>39.725551105244072</v>
      </c>
      <c r="DA100" s="175" t="s">
        <v>874</v>
      </c>
    </row>
    <row r="101" spans="1:105" ht="11.45" customHeight="1" x14ac:dyDescent="0.25">
      <c r="A101" s="111" t="s">
        <v>112</v>
      </c>
      <c r="B101" s="97">
        <v>0</v>
      </c>
      <c r="C101" s="97">
        <v>0</v>
      </c>
      <c r="D101" s="97">
        <v>0</v>
      </c>
      <c r="E101" s="97">
        <v>0</v>
      </c>
      <c r="F101" s="97">
        <v>39.291434835668845</v>
      </c>
      <c r="G101" s="97">
        <v>39.291434835668838</v>
      </c>
      <c r="H101" s="97">
        <v>39.291434835668838</v>
      </c>
      <c r="I101" s="97">
        <v>39.194406582201857</v>
      </c>
      <c r="J101" s="97">
        <v>38.920868461218532</v>
      </c>
      <c r="K101" s="97">
        <v>38.598535909706293</v>
      </c>
      <c r="L101" s="97">
        <v>38.418808454131266</v>
      </c>
      <c r="M101" s="97">
        <v>38.38646268564851</v>
      </c>
      <c r="N101" s="97">
        <v>38.38646268564851</v>
      </c>
      <c r="O101" s="97">
        <v>38.351626680636464</v>
      </c>
      <c r="P101" s="97">
        <v>38.314001348340035</v>
      </c>
      <c r="Q101" s="97">
        <v>38.273237703952667</v>
      </c>
      <c r="R101" s="97">
        <v>38.061765652991426</v>
      </c>
      <c r="S101" s="97">
        <v>38.009512502772481</v>
      </c>
      <c r="T101" s="97">
        <v>37.735677144668884</v>
      </c>
      <c r="U101" s="97">
        <v>37.248133442256169</v>
      </c>
      <c r="V101" s="97">
        <v>36.773915847876353</v>
      </c>
      <c r="W101" s="97">
        <v>36.092259385429713</v>
      </c>
      <c r="X101" s="97">
        <v>35.677949108487717</v>
      </c>
      <c r="Y101" s="97">
        <v>34.74725148406295</v>
      </c>
      <c r="DA101" s="175" t="s">
        <v>875</v>
      </c>
    </row>
    <row r="102" spans="1:105" ht="11.45" customHeight="1" x14ac:dyDescent="0.25">
      <c r="A102" s="111" t="s">
        <v>113</v>
      </c>
      <c r="B102" s="97">
        <v>45.439344983001604</v>
      </c>
      <c r="C102" s="97">
        <v>44.220917984953395</v>
      </c>
      <c r="D102" s="97">
        <v>43.643833274648209</v>
      </c>
      <c r="E102" s="97">
        <v>43.345315466590854</v>
      </c>
      <c r="F102" s="97">
        <v>43.153144066974569</v>
      </c>
      <c r="G102" s="97">
        <v>42.893311938164125</v>
      </c>
      <c r="H102" s="97">
        <v>42.362805884922437</v>
      </c>
      <c r="I102" s="97">
        <v>42.032063931222474</v>
      </c>
      <c r="J102" s="97">
        <v>41.449583034102339</v>
      </c>
      <c r="K102" s="97">
        <v>41.247379257664484</v>
      </c>
      <c r="L102" s="97">
        <v>41.178307859620418</v>
      </c>
      <c r="M102" s="97">
        <v>40.944999813879903</v>
      </c>
      <c r="N102" s="97">
        <v>40.457671901446759</v>
      </c>
      <c r="O102" s="97">
        <v>40.253111672987522</v>
      </c>
      <c r="P102" s="97">
        <v>39.919166996174219</v>
      </c>
      <c r="Q102" s="97">
        <v>39.643217607651557</v>
      </c>
      <c r="R102" s="97">
        <v>39.298701295277262</v>
      </c>
      <c r="S102" s="97">
        <v>38.912627483996999</v>
      </c>
      <c r="T102" s="97">
        <v>38.558505731054936</v>
      </c>
      <c r="U102" s="97">
        <v>38.525209331770419</v>
      </c>
      <c r="V102" s="97">
        <v>38.213998918426178</v>
      </c>
      <c r="W102" s="97">
        <v>38.020677915400299</v>
      </c>
      <c r="X102" s="97">
        <v>37.973988624114305</v>
      </c>
      <c r="Y102" s="97">
        <v>37.898678687706294</v>
      </c>
      <c r="DA102" s="175" t="s">
        <v>876</v>
      </c>
    </row>
    <row r="103" spans="1:105" ht="11.45" customHeight="1" x14ac:dyDescent="0.25">
      <c r="A103" s="111" t="s">
        <v>115</v>
      </c>
      <c r="B103" s="97">
        <v>33.394073828604647</v>
      </c>
      <c r="C103" s="97">
        <v>32.778123808277066</v>
      </c>
      <c r="D103" s="97">
        <v>32.237552043867971</v>
      </c>
      <c r="E103" s="97">
        <v>31.809793773366128</v>
      </c>
      <c r="F103" s="97">
        <v>31.584156489581382</v>
      </c>
      <c r="G103" s="97">
        <v>31.494134280206062</v>
      </c>
      <c r="H103" s="97">
        <v>31.394852773544521</v>
      </c>
      <c r="I103" s="97">
        <v>31.29417434277233</v>
      </c>
      <c r="J103" s="97">
        <v>31.093730938837108</v>
      </c>
      <c r="K103" s="97">
        <v>30.240117869567662</v>
      </c>
      <c r="L103" s="97">
        <v>29.965008891586358</v>
      </c>
      <c r="M103" s="97">
        <v>29.338682761920261</v>
      </c>
      <c r="N103" s="97">
        <v>28.989758566912784</v>
      </c>
      <c r="O103" s="97">
        <v>28.775896900531922</v>
      </c>
      <c r="P103" s="97">
        <v>28.015900065491603</v>
      </c>
      <c r="Q103" s="97">
        <v>27.587090570260656</v>
      </c>
      <c r="R103" s="97">
        <v>26.593502688870224</v>
      </c>
      <c r="S103" s="97">
        <v>26.222438592994937</v>
      </c>
      <c r="T103" s="97">
        <v>25.386044897852081</v>
      </c>
      <c r="U103" s="97">
        <v>24.729275763240182</v>
      </c>
      <c r="V103" s="97">
        <v>23.88143701897021</v>
      </c>
      <c r="W103" s="97">
        <v>23.400847858671462</v>
      </c>
      <c r="X103" s="97">
        <v>22.965201999738579</v>
      </c>
      <c r="Y103" s="97">
        <v>22.471171869075953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9.80077553065993</v>
      </c>
      <c r="C105" s="141">
        <v>9.4265767595762586</v>
      </c>
      <c r="D105" s="141">
        <v>9.2910355393034596</v>
      </c>
      <c r="E105" s="141">
        <v>9.1748388845868032</v>
      </c>
      <c r="F105" s="141">
        <v>9.0495566445910569</v>
      </c>
      <c r="G105" s="141">
        <v>9.038297577232564</v>
      </c>
      <c r="H105" s="141">
        <v>8.9870201757530737</v>
      </c>
      <c r="I105" s="141">
        <v>8.9011999722653741</v>
      </c>
      <c r="J105" s="141">
        <v>8.8058428177937405</v>
      </c>
      <c r="K105" s="141">
        <v>8.7226345569063763</v>
      </c>
      <c r="L105" s="141">
        <v>8.6872340424123529</v>
      </c>
      <c r="M105" s="141">
        <v>8.7014283598409072</v>
      </c>
      <c r="N105" s="141">
        <v>8.5949482692453927</v>
      </c>
      <c r="O105" s="141">
        <v>8.4993481998836149</v>
      </c>
      <c r="P105" s="141">
        <v>8.3875014539678965</v>
      </c>
      <c r="Q105" s="141">
        <v>8.2512009307341643</v>
      </c>
      <c r="R105" s="141">
        <v>8.073381573160848</v>
      </c>
      <c r="S105" s="141">
        <v>7.8722058686242704</v>
      </c>
      <c r="T105" s="141">
        <v>7.6837716640327409</v>
      </c>
      <c r="U105" s="141">
        <v>7.5055255516892645</v>
      </c>
      <c r="V105" s="141">
        <v>7.4497306553755624</v>
      </c>
      <c r="W105" s="141">
        <v>7.3528764630219792</v>
      </c>
      <c r="X105" s="141">
        <v>7.2830977312173708</v>
      </c>
      <c r="Y105" s="141">
        <v>7.2251168027961361</v>
      </c>
      <c r="DA105" s="174" t="s">
        <v>878</v>
      </c>
    </row>
    <row r="106" spans="1:105" ht="11.45" customHeight="1" x14ac:dyDescent="0.25">
      <c r="A106" s="111" t="s">
        <v>110</v>
      </c>
      <c r="B106" s="96">
        <v>9.5200012126865978</v>
      </c>
      <c r="C106" s="96">
        <v>9.3386803404376941</v>
      </c>
      <c r="D106" s="96">
        <v>9.2712455537846825</v>
      </c>
      <c r="E106" s="96">
        <v>9.1992478944353575</v>
      </c>
      <c r="F106" s="96">
        <v>9.130168169878214</v>
      </c>
      <c r="G106" s="96">
        <v>9.0485245289219964</v>
      </c>
      <c r="H106" s="96">
        <v>8.9626136574511488</v>
      </c>
      <c r="I106" s="96">
        <v>8.9161413899865227</v>
      </c>
      <c r="J106" s="96">
        <v>8.7946316386348169</v>
      </c>
      <c r="K106" s="96">
        <v>8.6702063047339522</v>
      </c>
      <c r="L106" s="96">
        <v>8.5359820102615238</v>
      </c>
      <c r="M106" s="96">
        <v>8.3756539981166949</v>
      </c>
      <c r="N106" s="96">
        <v>8.1473789107661627</v>
      </c>
      <c r="O106" s="96">
        <v>7.9617478951748728</v>
      </c>
      <c r="P106" s="96">
        <v>7.8374060626320112</v>
      </c>
      <c r="Q106" s="96">
        <v>7.707200732452506</v>
      </c>
      <c r="R106" s="96">
        <v>7.50208865417122</v>
      </c>
      <c r="S106" s="96">
        <v>7.202977656369856</v>
      </c>
      <c r="T106" s="96">
        <v>7.0264592606110403</v>
      </c>
      <c r="U106" s="96">
        <v>6.7584088274428185</v>
      </c>
      <c r="V106" s="96">
        <v>6.6582155906277789</v>
      </c>
      <c r="W106" s="96">
        <v>6.5971480838339298</v>
      </c>
      <c r="X106" s="96">
        <v>6.5130551419512805</v>
      </c>
      <c r="Y106" s="96">
        <v>6.5289887229378971</v>
      </c>
      <c r="DA106" s="171" t="s">
        <v>879</v>
      </c>
    </row>
    <row r="107" spans="1:105" ht="11.45" customHeight="1" x14ac:dyDescent="0.25">
      <c r="A107" s="111" t="s">
        <v>111</v>
      </c>
      <c r="B107" s="96">
        <v>9.85179863416705</v>
      </c>
      <c r="C107" s="96">
        <v>9.3322427684989204</v>
      </c>
      <c r="D107" s="96">
        <v>9.1747354669887518</v>
      </c>
      <c r="E107" s="96">
        <v>9.0568456518212361</v>
      </c>
      <c r="F107" s="96">
        <v>8.937949880644755</v>
      </c>
      <c r="G107" s="96">
        <v>8.9343961049818077</v>
      </c>
      <c r="H107" s="96">
        <v>8.8965800245077791</v>
      </c>
      <c r="I107" s="96">
        <v>8.8313211793703292</v>
      </c>
      <c r="J107" s="96">
        <v>8.7605836064283835</v>
      </c>
      <c r="K107" s="96">
        <v>8.6945228233067358</v>
      </c>
      <c r="L107" s="96">
        <v>8.6919757494959988</v>
      </c>
      <c r="M107" s="96">
        <v>8.7378576971577218</v>
      </c>
      <c r="N107" s="96">
        <v>8.6158487408316677</v>
      </c>
      <c r="O107" s="96">
        <v>8.4960255234248088</v>
      </c>
      <c r="P107" s="96">
        <v>8.3568705110366981</v>
      </c>
      <c r="Q107" s="96">
        <v>8.1980014828129235</v>
      </c>
      <c r="R107" s="96">
        <v>8.0125320289064241</v>
      </c>
      <c r="S107" s="96">
        <v>7.8149150346929375</v>
      </c>
      <c r="T107" s="96">
        <v>7.6312046273672784</v>
      </c>
      <c r="U107" s="96">
        <v>7.4650866867909889</v>
      </c>
      <c r="V107" s="96">
        <v>7.4183706295838752</v>
      </c>
      <c r="W107" s="96">
        <v>7.3511977404405524</v>
      </c>
      <c r="X107" s="96">
        <v>7.311863364837409</v>
      </c>
      <c r="Y107" s="96">
        <v>7.2700170644948052</v>
      </c>
      <c r="DA107" s="171" t="s">
        <v>880</v>
      </c>
    </row>
    <row r="108" spans="1:105" ht="11.45" customHeight="1" x14ac:dyDescent="0.25">
      <c r="A108" s="111" t="s">
        <v>112</v>
      </c>
      <c r="B108" s="96">
        <v>0</v>
      </c>
      <c r="C108" s="96">
        <v>0</v>
      </c>
      <c r="D108" s="96">
        <v>0</v>
      </c>
      <c r="E108" s="96">
        <v>0</v>
      </c>
      <c r="F108" s="96">
        <v>0</v>
      </c>
      <c r="G108" s="96">
        <v>0</v>
      </c>
      <c r="H108" s="96">
        <v>12.928159287407247</v>
      </c>
      <c r="I108" s="96">
        <v>12.785074331613604</v>
      </c>
      <c r="J108" s="96">
        <v>12.333486387805122</v>
      </c>
      <c r="K108" s="96">
        <v>12.189528967231404</v>
      </c>
      <c r="L108" s="96">
        <v>11.917798100993471</v>
      </c>
      <c r="M108" s="96">
        <v>11.770821250390872</v>
      </c>
      <c r="N108" s="96">
        <v>11.612637386053816</v>
      </c>
      <c r="O108" s="96">
        <v>11.53320754286891</v>
      </c>
      <c r="P108" s="96">
        <v>11.275571252910389</v>
      </c>
      <c r="Q108" s="96">
        <v>11.109426607493031</v>
      </c>
      <c r="R108" s="96">
        <v>11.116349862391155</v>
      </c>
      <c r="S108" s="96">
        <v>11.016303633271816</v>
      </c>
      <c r="T108" s="96">
        <v>10.951932054401482</v>
      </c>
      <c r="U108" s="96">
        <v>10.772372151962415</v>
      </c>
      <c r="V108" s="96">
        <v>10.864316742361289</v>
      </c>
      <c r="W108" s="96">
        <v>10.928320668473912</v>
      </c>
      <c r="X108" s="96">
        <v>10.843508867364166</v>
      </c>
      <c r="Y108" s="96">
        <v>10.578103217654281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0</v>
      </c>
      <c r="F109" s="96">
        <v>0</v>
      </c>
      <c r="G109" s="96">
        <v>0</v>
      </c>
      <c r="H109" s="96">
        <v>8.8075394993602245</v>
      </c>
      <c r="I109" s="96">
        <v>8.788180236774437</v>
      </c>
      <c r="J109" s="96">
        <v>8.7080910791613739</v>
      </c>
      <c r="K109" s="96">
        <v>8.6158406965689629</v>
      </c>
      <c r="L109" s="96">
        <v>8.5226883218640506</v>
      </c>
      <c r="M109" s="96">
        <v>8.4158113798143113</v>
      </c>
      <c r="N109" s="96">
        <v>8.3092613439774592</v>
      </c>
      <c r="O109" s="96">
        <v>8.1884802066464637</v>
      </c>
      <c r="P109" s="96">
        <v>8.1105935208718734</v>
      </c>
      <c r="Q109" s="96">
        <v>7.9608454082812328</v>
      </c>
      <c r="R109" s="96">
        <v>7.264483816375698</v>
      </c>
      <c r="S109" s="96">
        <v>7.1828460965265677</v>
      </c>
      <c r="T109" s="96">
        <v>7.0438817550352208</v>
      </c>
      <c r="U109" s="96">
        <v>7.0367891533476783</v>
      </c>
      <c r="V109" s="96">
        <v>6.983141874382583</v>
      </c>
      <c r="W109" s="96">
        <v>6.8874820795818401</v>
      </c>
      <c r="X109" s="96">
        <v>6.7753623303916335</v>
      </c>
      <c r="Y109" s="96">
        <v>6.6705283396944113</v>
      </c>
      <c r="DA109" s="171" t="s">
        <v>882</v>
      </c>
    </row>
    <row r="110" spans="1:105" ht="11.45" customHeight="1" x14ac:dyDescent="0.25">
      <c r="A110" s="111" t="s">
        <v>115</v>
      </c>
      <c r="B110" s="96">
        <v>1.7765517715909738</v>
      </c>
      <c r="C110" s="96">
        <v>1.7652542493714669</v>
      </c>
      <c r="D110" s="96">
        <v>1.7648472776625959</v>
      </c>
      <c r="E110" s="96">
        <v>1.7642546699299575</v>
      </c>
      <c r="F110" s="96">
        <v>1.7627851523607057</v>
      </c>
      <c r="G110" s="96">
        <v>1.7620724100634455</v>
      </c>
      <c r="H110" s="96">
        <v>1.7452031910366406</v>
      </c>
      <c r="I110" s="96">
        <v>1.7276836786143264</v>
      </c>
      <c r="J110" s="96">
        <v>1.6971194839107822</v>
      </c>
      <c r="K110" s="96">
        <v>1.6474680719410035</v>
      </c>
      <c r="L110" s="96">
        <v>1.5525818557698987</v>
      </c>
      <c r="M110" s="96">
        <v>1.4864058048816728</v>
      </c>
      <c r="N110" s="96">
        <v>1.4216371651155024</v>
      </c>
      <c r="O110" s="96">
        <v>1.3880095751686796</v>
      </c>
      <c r="P110" s="96">
        <v>1.3869297480395451</v>
      </c>
      <c r="Q110" s="96">
        <v>1.4397462880305838</v>
      </c>
      <c r="R110" s="96">
        <v>1.5576349598208956</v>
      </c>
      <c r="S110" s="96">
        <v>1.5065727961123057</v>
      </c>
      <c r="T110" s="96">
        <v>1.5313569053215519</v>
      </c>
      <c r="U110" s="96">
        <v>1.6973227624262435</v>
      </c>
      <c r="V110" s="96">
        <v>1.9613937069258502</v>
      </c>
      <c r="W110" s="96">
        <v>2.1296887265653246</v>
      </c>
      <c r="X110" s="96">
        <v>2.1565774155970421</v>
      </c>
      <c r="Y110" s="96">
        <v>2.1781032125403224</v>
      </c>
      <c r="DA110" s="171" t="s">
        <v>883</v>
      </c>
    </row>
    <row r="111" spans="1:105" ht="11.45" customHeight="1" x14ac:dyDescent="0.25">
      <c r="A111" s="109" t="s">
        <v>154</v>
      </c>
      <c r="B111" s="130">
        <v>32.877696612318509</v>
      </c>
      <c r="C111" s="130">
        <v>32.831036251275307</v>
      </c>
      <c r="D111" s="130">
        <v>32.81433524486971</v>
      </c>
      <c r="E111" s="130">
        <v>32.76652760423908</v>
      </c>
      <c r="F111" s="130">
        <v>32.656701986182078</v>
      </c>
      <c r="G111" s="130">
        <v>32.492976336265606</v>
      </c>
      <c r="H111" s="130">
        <v>32.253092815669788</v>
      </c>
      <c r="I111" s="130">
        <v>32.14063038341709</v>
      </c>
      <c r="J111" s="130">
        <v>32.050297858864184</v>
      </c>
      <c r="K111" s="130">
        <v>31.692596613685893</v>
      </c>
      <c r="L111" s="130">
        <v>31.284342725219663</v>
      </c>
      <c r="M111" s="130">
        <v>30.779586059772647</v>
      </c>
      <c r="N111" s="130">
        <v>30.343408192833522</v>
      </c>
      <c r="O111" s="130">
        <v>29.824332021376765</v>
      </c>
      <c r="P111" s="130">
        <v>29.310045014860474</v>
      </c>
      <c r="Q111" s="130">
        <v>28.791473631672599</v>
      </c>
      <c r="R111" s="130">
        <v>28.183565375192845</v>
      </c>
      <c r="S111" s="130">
        <v>27.554167274846527</v>
      </c>
      <c r="T111" s="130">
        <v>26.941920787867023</v>
      </c>
      <c r="U111" s="130">
        <v>26.181256625239087</v>
      </c>
      <c r="V111" s="130">
        <v>25.671401418442478</v>
      </c>
      <c r="W111" s="130">
        <v>25.073488061944328</v>
      </c>
      <c r="X111" s="130">
        <v>24.444197810684877</v>
      </c>
      <c r="Y111" s="130">
        <v>23.840394089612776</v>
      </c>
      <c r="DA111" s="176" t="s">
        <v>884</v>
      </c>
    </row>
    <row r="112" spans="1:105" ht="11.45" customHeight="1" x14ac:dyDescent="0.25">
      <c r="A112" s="128" t="s">
        <v>27</v>
      </c>
      <c r="B112" s="97">
        <v>32.52118792499413</v>
      </c>
      <c r="C112" s="97">
        <v>32.474494140614624</v>
      </c>
      <c r="D112" s="97">
        <v>32.45370133712494</v>
      </c>
      <c r="E112" s="97">
        <v>32.406254101234339</v>
      </c>
      <c r="F112" s="97">
        <v>32.297357548523927</v>
      </c>
      <c r="G112" s="97">
        <v>32.136662252594334</v>
      </c>
      <c r="H112" s="97">
        <v>31.899526655913441</v>
      </c>
      <c r="I112" s="97">
        <v>31.754085401674072</v>
      </c>
      <c r="J112" s="97">
        <v>31.701148570961767</v>
      </c>
      <c r="K112" s="97">
        <v>31.34046651794117</v>
      </c>
      <c r="L112" s="97">
        <v>30.933320643229887</v>
      </c>
      <c r="M112" s="97">
        <v>30.414294170295392</v>
      </c>
      <c r="N112" s="97">
        <v>29.975909890843226</v>
      </c>
      <c r="O112" s="97">
        <v>29.455078345580361</v>
      </c>
      <c r="P112" s="97">
        <v>28.918444640343729</v>
      </c>
      <c r="Q112" s="97">
        <v>28.372281697442478</v>
      </c>
      <c r="R112" s="97">
        <v>27.74913848223466</v>
      </c>
      <c r="S112" s="97">
        <v>27.10053656113622</v>
      </c>
      <c r="T112" s="97">
        <v>26.435239357909083</v>
      </c>
      <c r="U112" s="97">
        <v>25.646720773606937</v>
      </c>
      <c r="V112" s="97">
        <v>25.142361809295917</v>
      </c>
      <c r="W112" s="97">
        <v>24.525040633322771</v>
      </c>
      <c r="X112" s="97">
        <v>23.855745192783715</v>
      </c>
      <c r="Y112" s="97">
        <v>23.221382244228948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36.373642083833275</v>
      </c>
      <c r="D113" s="98">
        <v>36.053252428916927</v>
      </c>
      <c r="E113" s="98">
        <v>35.795146299153934</v>
      </c>
      <c r="F113" s="98">
        <v>35.136770201564431</v>
      </c>
      <c r="G113" s="98">
        <v>34.835715967205928</v>
      </c>
      <c r="H113" s="98">
        <v>34.434466497920774</v>
      </c>
      <c r="I113" s="98">
        <v>34.037067982294033</v>
      </c>
      <c r="J113" s="98">
        <v>33.660557019630225</v>
      </c>
      <c r="K113" s="98">
        <v>33.498493647690992</v>
      </c>
      <c r="L113" s="98">
        <v>32.976527224075376</v>
      </c>
      <c r="M113" s="98">
        <v>32.576198578137159</v>
      </c>
      <c r="N113" s="98">
        <v>32.12275947893049</v>
      </c>
      <c r="O113" s="98">
        <v>31.571929849599421</v>
      </c>
      <c r="P113" s="98">
        <v>31.1529747017128</v>
      </c>
      <c r="Q113" s="98">
        <v>30.796570116986114</v>
      </c>
      <c r="R113" s="98">
        <v>30.161311855572208</v>
      </c>
      <c r="S113" s="98">
        <v>29.525325203343293</v>
      </c>
      <c r="T113" s="98">
        <v>29.344675621952621</v>
      </c>
      <c r="U113" s="98">
        <v>28.618406606634039</v>
      </c>
      <c r="V113" s="98">
        <v>28.116577766293428</v>
      </c>
      <c r="W113" s="98">
        <v>27.568942270355524</v>
      </c>
      <c r="X113" s="98">
        <v>27.173916423264785</v>
      </c>
      <c r="Y113" s="98">
        <v>26.807699777595875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1.1275000000068984</v>
      </c>
      <c r="C117" s="150">
        <f>IF(TrRoad_act!C59=0,0,TrRoad_ene!C62/TrRoad_tech!C90)</f>
        <v>1.1279197880800662</v>
      </c>
      <c r="D117" s="150">
        <f>IF(TrRoad_act!D59=0,0,TrRoad_ene!D62/TrRoad_tech!D90)</f>
        <v>1.1288816865181002</v>
      </c>
      <c r="E117" s="150">
        <f>IF(TrRoad_act!E59=0,0,TrRoad_ene!E62/TrRoad_tech!E90)</f>
        <v>1.1304972098262336</v>
      </c>
      <c r="F117" s="150">
        <f>IF(TrRoad_act!F59=0,0,TrRoad_ene!F62/TrRoad_tech!F90)</f>
        <v>1.1328634424804511</v>
      </c>
      <c r="G117" s="150">
        <f>IF(TrRoad_act!G59=0,0,TrRoad_ene!G62/TrRoad_tech!G90)</f>
        <v>1.1359079554654816</v>
      </c>
      <c r="H117" s="150">
        <f>IF(TrRoad_act!H59=0,0,TrRoad_ene!H62/TrRoad_tech!H90)</f>
        <v>1.1397187781353595</v>
      </c>
      <c r="I117" s="150">
        <f>IF(TrRoad_act!I59=0,0,TrRoad_ene!I62/TrRoad_tech!I90)</f>
        <v>1.1452408226039419</v>
      </c>
      <c r="J117" s="150">
        <f>IF(TrRoad_act!J59=0,0,TrRoad_ene!J62/TrRoad_tech!J90)</f>
        <v>1.1521433504428298</v>
      </c>
      <c r="K117" s="150">
        <f>IF(TrRoad_act!K59=0,0,TrRoad_ene!K62/TrRoad_tech!K90)</f>
        <v>1.1580457213254571</v>
      </c>
      <c r="L117" s="150">
        <f>IF(TrRoad_act!L59=0,0,TrRoad_ene!L62/TrRoad_tech!L90)</f>
        <v>1.1628403149536175</v>
      </c>
      <c r="M117" s="150">
        <f>IF(TrRoad_act!M59=0,0,TrRoad_ene!M62/TrRoad_tech!M90)</f>
        <v>1.1692480823953417</v>
      </c>
      <c r="N117" s="150">
        <f>IF(TrRoad_act!N59=0,0,TrRoad_ene!N62/TrRoad_tech!N90)</f>
        <v>1.1758936976054584</v>
      </c>
      <c r="O117" s="150">
        <f>IF(TrRoad_act!O59=0,0,TrRoad_ene!O62/TrRoad_tech!O90)</f>
        <v>1.1584075844811774</v>
      </c>
      <c r="P117" s="150">
        <f>IF(TrRoad_act!P59=0,0,TrRoad_ene!P62/TrRoad_tech!P90)</f>
        <v>1.1342017840701268</v>
      </c>
      <c r="Q117" s="150">
        <f>IF(TrRoad_act!Q59=0,0,TrRoad_ene!Q62/TrRoad_tech!Q90)</f>
        <v>1.2026649403946863</v>
      </c>
      <c r="R117" s="150">
        <f>IF(TrRoad_act!R59=0,0,TrRoad_ene!R62/TrRoad_tech!R90)</f>
        <v>1.2151507449752321</v>
      </c>
      <c r="S117" s="150">
        <f>IF(TrRoad_act!S59=0,0,TrRoad_ene!S62/TrRoad_tech!S90)</f>
        <v>1.2230422094637958</v>
      </c>
      <c r="T117" s="150">
        <f>IF(TrRoad_act!T59=0,0,TrRoad_ene!T62/TrRoad_tech!T90)</f>
        <v>1.2363448324854778</v>
      </c>
      <c r="U117" s="150">
        <f>IF(TrRoad_act!U59=0,0,TrRoad_ene!U62/TrRoad_tech!U90)</f>
        <v>1.2511646387441626</v>
      </c>
      <c r="V117" s="150">
        <f>IF(TrRoad_act!V59=0,0,TrRoad_ene!V62/TrRoad_tech!V90)</f>
        <v>1.262316424901526</v>
      </c>
      <c r="W117" s="150">
        <f>IF(TrRoad_act!W59=0,0,TrRoad_ene!W62/TrRoad_tech!W90)</f>
        <v>1.2751052882148288</v>
      </c>
      <c r="X117" s="150">
        <f>IF(TrRoad_act!X59=0,0,TrRoad_ene!X62/TrRoad_tech!X90)</f>
        <v>1.294616044820678</v>
      </c>
      <c r="Y117" s="150">
        <f>IF(TrRoad_act!Y59=0,0,TrRoad_ene!Y62/TrRoad_tech!Y90)</f>
        <v>1.3168658422218091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1.0162115660066509</v>
      </c>
      <c r="C118" s="151">
        <f>IF(TrRoad_act!C60=0,0,TrRoad_ene!C63/TrRoad_tech!C91)</f>
        <v>1.0078715436492964</v>
      </c>
      <c r="D118" s="151">
        <f>IF(TrRoad_act!D60=0,0,TrRoad_ene!D63/TrRoad_tech!D91)</f>
        <v>1.0060895315158338</v>
      </c>
      <c r="E118" s="151">
        <f>IF(TrRoad_act!E60=0,0,TrRoad_ene!E63/TrRoad_tech!E91)</f>
        <v>1.0167599561422851</v>
      </c>
      <c r="F118" s="151">
        <f>IF(TrRoad_act!F60=0,0,TrRoad_ene!F63/TrRoad_tech!F91)</f>
        <v>1.0127644658964912</v>
      </c>
      <c r="G118" s="151">
        <f>IF(TrRoad_act!G60=0,0,TrRoad_ene!G63/TrRoad_tech!G91)</f>
        <v>1.0138299317029522</v>
      </c>
      <c r="H118" s="151">
        <f>IF(TrRoad_act!H60=0,0,TrRoad_ene!H63/TrRoad_tech!H91)</f>
        <v>1.0067705273755352</v>
      </c>
      <c r="I118" s="151">
        <f>IF(TrRoad_act!I60=0,0,TrRoad_ene!I63/TrRoad_tech!I91)</f>
        <v>1.0058438281819457</v>
      </c>
      <c r="J118" s="151">
        <f>IF(TrRoad_act!J60=0,0,TrRoad_ene!J63/TrRoad_tech!J91)</f>
        <v>1.0082890636266901</v>
      </c>
      <c r="K118" s="151">
        <f>IF(TrRoad_act!K60=0,0,TrRoad_ene!K63/TrRoad_tech!K91)</f>
        <v>1.0187002648347121</v>
      </c>
      <c r="L118" s="151">
        <f>IF(TrRoad_act!L60=0,0,TrRoad_ene!L63/TrRoad_tech!L91)</f>
        <v>1.0155639393037812</v>
      </c>
      <c r="M118" s="151">
        <f>IF(TrRoad_act!M60=0,0,TrRoad_ene!M63/TrRoad_tech!M91)</f>
        <v>1.0181600711410397</v>
      </c>
      <c r="N118" s="151">
        <f>IF(TrRoad_act!N60=0,0,TrRoad_ene!N63/TrRoad_tech!N91)</f>
        <v>1.0166890863852642</v>
      </c>
      <c r="O118" s="151">
        <f>IF(TrRoad_act!O60=0,0,TrRoad_ene!O63/TrRoad_tech!O91)</f>
        <v>1.0234426255035487</v>
      </c>
      <c r="P118" s="151">
        <f>IF(TrRoad_act!P60=0,0,TrRoad_ene!P63/TrRoad_tech!P91)</f>
        <v>1.0010295883003413</v>
      </c>
      <c r="Q118" s="151">
        <f>IF(TrRoad_act!Q60=0,0,TrRoad_ene!Q63/TrRoad_tech!Q91)</f>
        <v>1.0412263836459541</v>
      </c>
      <c r="R118" s="151">
        <f>IF(TrRoad_act!R60=0,0,TrRoad_ene!R63/TrRoad_tech!R91)</f>
        <v>1.0405994018101523</v>
      </c>
      <c r="S118" s="151">
        <f>IF(TrRoad_act!S60=0,0,TrRoad_ene!S63/TrRoad_tech!S91)</f>
        <v>1.0291078509649809</v>
      </c>
      <c r="T118" s="151">
        <f>IF(TrRoad_act!T60=0,0,TrRoad_ene!T63/TrRoad_tech!T91)</f>
        <v>1.0137561174071579</v>
      </c>
      <c r="U118" s="151">
        <f>IF(TrRoad_act!U60=0,0,TrRoad_ene!U63/TrRoad_tech!U91)</f>
        <v>1.0362897203616597</v>
      </c>
      <c r="V118" s="151">
        <f>IF(TrRoad_act!V60=0,0,TrRoad_ene!V63/TrRoad_tech!V91)</f>
        <v>1.0219342331653769</v>
      </c>
      <c r="W118" s="151">
        <f>IF(TrRoad_act!W60=0,0,TrRoad_ene!W63/TrRoad_tech!W91)</f>
        <v>1.0357673924294317</v>
      </c>
      <c r="X118" s="151">
        <f>IF(TrRoad_act!X60=0,0,TrRoad_ene!X63/TrRoad_tech!X91)</f>
        <v>1.0299703953908179</v>
      </c>
      <c r="Y118" s="151">
        <f>IF(TrRoad_act!Y60=0,0,TrRoad_ene!Y63/TrRoad_tech!Y91)</f>
        <v>1.0352726825271636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1.0279287480833248</v>
      </c>
      <c r="C119" s="91">
        <f>IF(TrRoad_act!C61=0,0,TrRoad_ene!C64/TrRoad_tech!C92)</f>
        <v>1.027955436340322</v>
      </c>
      <c r="D119" s="91">
        <f>IF(TrRoad_act!D61=0,0,TrRoad_ene!D64/TrRoad_tech!D92)</f>
        <v>1.0281190895759431</v>
      </c>
      <c r="E119" s="91">
        <f>IF(TrRoad_act!E61=0,0,TrRoad_ene!E64/TrRoad_tech!E92)</f>
        <v>1.0284510813042753</v>
      </c>
      <c r="F119" s="91">
        <f>IF(TrRoad_act!F61=0,0,TrRoad_ene!F64/TrRoad_tech!F92)</f>
        <v>1.0287970556932997</v>
      </c>
      <c r="G119" s="91">
        <f>IF(TrRoad_act!G61=0,0,TrRoad_ene!G64/TrRoad_tech!G92)</f>
        <v>1.0291696184811454</v>
      </c>
      <c r="H119" s="91">
        <f>IF(TrRoad_act!H61=0,0,TrRoad_ene!H64/TrRoad_tech!H92)</f>
        <v>1.0300227981221468</v>
      </c>
      <c r="I119" s="91">
        <f>IF(TrRoad_act!I61=0,0,TrRoad_ene!I64/TrRoad_tech!I92)</f>
        <v>1.0312420919397987</v>
      </c>
      <c r="J119" s="91">
        <f>IF(TrRoad_act!J61=0,0,TrRoad_ene!J64/TrRoad_tech!J92)</f>
        <v>1.0288057595898712</v>
      </c>
      <c r="K119" s="91">
        <f>IF(TrRoad_act!K61=0,0,TrRoad_ene!K64/TrRoad_tech!K92)</f>
        <v>1.0269627807729831</v>
      </c>
      <c r="L119" s="91">
        <f>IF(TrRoad_act!L61=0,0,TrRoad_ene!L64/TrRoad_tech!L92)</f>
        <v>1.030430714677036</v>
      </c>
      <c r="M119" s="91">
        <f>IF(TrRoad_act!M61=0,0,TrRoad_ene!M64/TrRoad_tech!M92)</f>
        <v>1.0327164209067543</v>
      </c>
      <c r="N119" s="91">
        <f>IF(TrRoad_act!N61=0,0,TrRoad_ene!N64/TrRoad_tech!N92)</f>
        <v>1.0351670632069931</v>
      </c>
      <c r="O119" s="91">
        <f>IF(TrRoad_act!O61=0,0,TrRoad_ene!O64/TrRoad_tech!O92)</f>
        <v>1.0381318526560872</v>
      </c>
      <c r="P119" s="91">
        <f>IF(TrRoad_act!P61=0,0,TrRoad_ene!P64/TrRoad_tech!P92)</f>
        <v>1.0408480822396005</v>
      </c>
      <c r="Q119" s="91">
        <f>IF(TrRoad_act!Q61=0,0,TrRoad_ene!Q64/TrRoad_tech!Q92)</f>
        <v>1.0426152462673919</v>
      </c>
      <c r="R119" s="91">
        <f>IF(TrRoad_act!R61=0,0,TrRoad_ene!R64/TrRoad_tech!R92)</f>
        <v>1.0471125695322756</v>
      </c>
      <c r="S119" s="91">
        <f>IF(TrRoad_act!S61=0,0,TrRoad_ene!S64/TrRoad_tech!S92)</f>
        <v>1.0524908307042622</v>
      </c>
      <c r="T119" s="91">
        <f>IF(TrRoad_act!T61=0,0,TrRoad_ene!T64/TrRoad_tech!T92)</f>
        <v>1.054393738735947</v>
      </c>
      <c r="U119" s="91">
        <f>IF(TrRoad_act!U61=0,0,TrRoad_ene!U64/TrRoad_tech!U92)</f>
        <v>1.0588633803320235</v>
      </c>
      <c r="V119" s="91">
        <f>IF(TrRoad_act!V61=0,0,TrRoad_ene!V64/TrRoad_tech!V92)</f>
        <v>1.0651580610489604</v>
      </c>
      <c r="W119" s="91">
        <f>IF(TrRoad_act!W61=0,0,TrRoad_ene!W64/TrRoad_tech!W92)</f>
        <v>1.0695671825012572</v>
      </c>
      <c r="X119" s="91">
        <f>IF(TrRoad_act!X61=0,0,TrRoad_ene!X64/TrRoad_tech!X92)</f>
        <v>1.0645558834164064</v>
      </c>
      <c r="Y119" s="91">
        <f>IF(TrRoad_act!Y61=0,0,TrRoad_ene!Y64/TrRoad_tech!Y92)</f>
        <v>1.067705450217503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1.0279287480540853</v>
      </c>
      <c r="C120" s="91">
        <f>IF(TrRoad_act!C62=0,0,TrRoad_ene!C65/TrRoad_tech!C93)</f>
        <v>1.0280960047131307</v>
      </c>
      <c r="D120" s="91">
        <f>IF(TrRoad_act!D62=0,0,TrRoad_ene!D65/TrRoad_tech!D93)</f>
        <v>1.0285544288062716</v>
      </c>
      <c r="E120" s="91">
        <f>IF(TrRoad_act!E62=0,0,TrRoad_ene!E65/TrRoad_tech!E93)</f>
        <v>1.0737568265752695</v>
      </c>
      <c r="F120" s="91">
        <f>IF(TrRoad_act!F62=0,0,TrRoad_ene!F65/TrRoad_tech!F93)</f>
        <v>1.0647614318118872</v>
      </c>
      <c r="G120" s="91">
        <f>IF(TrRoad_act!G62=0,0,TrRoad_ene!G65/TrRoad_tech!G93)</f>
        <v>1.063860227569321</v>
      </c>
      <c r="H120" s="91">
        <f>IF(TrRoad_act!H62=0,0,TrRoad_ene!H65/TrRoad_tech!H93)</f>
        <v>1.0370636130756032</v>
      </c>
      <c r="I120" s="91">
        <f>IF(TrRoad_act!I62=0,0,TrRoad_ene!I65/TrRoad_tech!I93)</f>
        <v>1.0340244296527139</v>
      </c>
      <c r="J120" s="91">
        <f>IF(TrRoad_act!J62=0,0,TrRoad_ene!J65/TrRoad_tech!J93)</f>
        <v>1.0309813431831838</v>
      </c>
      <c r="K120" s="91">
        <f>IF(TrRoad_act!K62=0,0,TrRoad_ene!K65/TrRoad_tech!K93)</f>
        <v>1.0520279990334283</v>
      </c>
      <c r="L120" s="91">
        <f>IF(TrRoad_act!L62=0,0,TrRoad_ene!L65/TrRoad_tech!L93)</f>
        <v>1.0427159156182946</v>
      </c>
      <c r="M120" s="91">
        <f>IF(TrRoad_act!M62=0,0,TrRoad_ene!M65/TrRoad_tech!M93)</f>
        <v>1.0499599459766513</v>
      </c>
      <c r="N120" s="91">
        <f>IF(TrRoad_act!N62=0,0,TrRoad_ene!N65/TrRoad_tech!N93)</f>
        <v>1.0469910619124898</v>
      </c>
      <c r="O120" s="91">
        <f>IF(TrRoad_act!O62=0,0,TrRoad_ene!O65/TrRoad_tech!O93)</f>
        <v>1.0680291191595184</v>
      </c>
      <c r="P120" s="91">
        <f>IF(TrRoad_act!P62=0,0,TrRoad_ene!P65/TrRoad_tech!P93)</f>
        <v>1.0163322944246962</v>
      </c>
      <c r="Q120" s="91">
        <f>IF(TrRoad_act!Q62=0,0,TrRoad_ene!Q65/TrRoad_tech!Q93)</f>
        <v>1.1124488750622648</v>
      </c>
      <c r="R120" s="91">
        <f>IF(TrRoad_act!R62=0,0,TrRoad_ene!R65/TrRoad_tech!R93)</f>
        <v>1.1140258303179167</v>
      </c>
      <c r="S120" s="91">
        <f>IF(TrRoad_act!S62=0,0,TrRoad_ene!S65/TrRoad_tech!S93)</f>
        <v>1.0851600317396997</v>
      </c>
      <c r="T120" s="91">
        <f>IF(TrRoad_act!T62=0,0,TrRoad_ene!T65/TrRoad_tech!T93)</f>
        <v>1.0406677989995576</v>
      </c>
      <c r="U120" s="91">
        <f>IF(TrRoad_act!U62=0,0,TrRoad_ene!U65/TrRoad_tech!U93)</f>
        <v>1.0880591430273088</v>
      </c>
      <c r="V120" s="91">
        <f>IF(TrRoad_act!V62=0,0,TrRoad_ene!V65/TrRoad_tech!V93)</f>
        <v>1.0489792176679027</v>
      </c>
      <c r="W120" s="91">
        <f>IF(TrRoad_act!W62=0,0,TrRoad_ene!W65/TrRoad_tech!W93)</f>
        <v>1.0758477332772425</v>
      </c>
      <c r="X120" s="91">
        <f>IF(TrRoad_act!X62=0,0,TrRoad_ene!X65/TrRoad_tech!X93)</f>
        <v>1.0814442431692903</v>
      </c>
      <c r="Y120" s="91">
        <f>IF(TrRoad_act!Y62=0,0,TrRoad_ene!Y65/TrRoad_tech!Y93)</f>
        <v>1.083004888612541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0.94992233566695106</v>
      </c>
      <c r="C121" s="91">
        <f>IF(TrRoad_act!C63=0,0,TrRoad_ene!C66/TrRoad_tech!C94)</f>
        <v>0.98220919108747062</v>
      </c>
      <c r="D121" s="91">
        <f>IF(TrRoad_act!D63=0,0,TrRoad_ene!D66/TrRoad_tech!D94)</f>
        <v>1.0056084404528445</v>
      </c>
      <c r="E121" s="91">
        <f>IF(TrRoad_act!E63=0,0,TrRoad_ene!E66/TrRoad_tech!E94)</f>
        <v>1.0038136572798237</v>
      </c>
      <c r="F121" s="91">
        <f>IF(TrRoad_act!F63=0,0,TrRoad_ene!F66/TrRoad_tech!F94)</f>
        <v>1.0478782772163007</v>
      </c>
      <c r="G121" s="91">
        <f>IF(TrRoad_act!G63=0,0,TrRoad_ene!G66/TrRoad_tech!G94)</f>
        <v>1.097959100520161</v>
      </c>
      <c r="H121" s="91">
        <f>IF(TrRoad_act!H63=0,0,TrRoad_ene!H66/TrRoad_tech!H94)</f>
        <v>1.0418054351618247</v>
      </c>
      <c r="I121" s="91">
        <f>IF(TrRoad_act!I63=0,0,TrRoad_ene!I66/TrRoad_tech!I94)</f>
        <v>1.0126944534152835</v>
      </c>
      <c r="J121" s="91">
        <f>IF(TrRoad_act!J63=0,0,TrRoad_ene!J66/TrRoad_tech!J94)</f>
        <v>1.436026553716709</v>
      </c>
      <c r="K121" s="91">
        <f>IF(TrRoad_act!K63=0,0,TrRoad_ene!K66/TrRoad_tech!K94)</f>
        <v>1.7384305700090987</v>
      </c>
      <c r="L121" s="91">
        <f>IF(TrRoad_act!L63=0,0,TrRoad_ene!L66/TrRoad_tech!L94)</f>
        <v>1.5216836402752449</v>
      </c>
      <c r="M121" s="91">
        <f>IF(TrRoad_act!M63=0,0,TrRoad_ene!M66/TrRoad_tech!M94)</f>
        <v>1.4018867624445712</v>
      </c>
      <c r="N121" s="91">
        <f>IF(TrRoad_act!N63=0,0,TrRoad_ene!N66/TrRoad_tech!N94)</f>
        <v>1.3311882862853976</v>
      </c>
      <c r="O121" s="91">
        <f>IF(TrRoad_act!O63=0,0,TrRoad_ene!O66/TrRoad_tech!O94)</f>
        <v>1.2520321485647108</v>
      </c>
      <c r="P121" s="91">
        <f>IF(TrRoad_act!P63=0,0,TrRoad_ene!P66/TrRoad_tech!P94)</f>
        <v>1.2753638530000859</v>
      </c>
      <c r="Q121" s="91">
        <f>IF(TrRoad_act!Q63=0,0,TrRoad_ene!Q66/TrRoad_tech!Q94)</f>
        <v>1.2600085530603062</v>
      </c>
      <c r="R121" s="91">
        <f>IF(TrRoad_act!R63=0,0,TrRoad_ene!R66/TrRoad_tech!R94)</f>
        <v>1.1721022397223573</v>
      </c>
      <c r="S121" s="91">
        <f>IF(TrRoad_act!S63=0,0,TrRoad_ene!S66/TrRoad_tech!S94)</f>
        <v>1.1272008176385266</v>
      </c>
      <c r="T121" s="91">
        <f>IF(TrRoad_act!T63=0,0,TrRoad_ene!T66/TrRoad_tech!T94)</f>
        <v>1.4067304785389141</v>
      </c>
      <c r="U121" s="91">
        <f>IF(TrRoad_act!U63=0,0,TrRoad_ene!U66/TrRoad_tech!U94)</f>
        <v>1.2969358256247345</v>
      </c>
      <c r="V121" s="91">
        <f>IF(TrRoad_act!V63=0,0,TrRoad_ene!V66/TrRoad_tech!V94)</f>
        <v>1.1278948093930357</v>
      </c>
      <c r="W121" s="91">
        <f>IF(TrRoad_act!W63=0,0,TrRoad_ene!W66/TrRoad_tech!W94)</f>
        <v>1.1093077703966339</v>
      </c>
      <c r="X121" s="91">
        <f>IF(TrRoad_act!X63=0,0,TrRoad_ene!X66/TrRoad_tech!X94)</f>
        <v>0.71377788890419891</v>
      </c>
      <c r="Y121" s="91">
        <f>IF(TrRoad_act!Y63=0,0,TrRoad_ene!Y66/TrRoad_tech!Y94)</f>
        <v>0.94850886909423127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1.0370370370411697</v>
      </c>
      <c r="H122" s="91">
        <f>IF(TrRoad_act!H64=0,0,TrRoad_ene!H67/TrRoad_tech!H95)</f>
        <v>1.0374605720295558</v>
      </c>
      <c r="I122" s="91">
        <f>IF(TrRoad_act!I64=0,0,TrRoad_ene!I67/TrRoad_tech!I95)</f>
        <v>1.0375130873410885</v>
      </c>
      <c r="J122" s="91">
        <f>IF(TrRoad_act!J64=0,0,TrRoad_ene!J67/TrRoad_tech!J95)</f>
        <v>1.0411750585034507</v>
      </c>
      <c r="K122" s="91">
        <f>IF(TrRoad_act!K64=0,0,TrRoad_ene!K67/TrRoad_tech!K95)</f>
        <v>1.0463817143817509</v>
      </c>
      <c r="L122" s="91">
        <f>IF(TrRoad_act!L64=0,0,TrRoad_ene!L67/TrRoad_tech!L95)</f>
        <v>1.0472636674916342</v>
      </c>
      <c r="M122" s="91">
        <f>IF(TrRoad_act!M64=0,0,TrRoad_ene!M67/TrRoad_tech!M95)</f>
        <v>1.0487766435938664</v>
      </c>
      <c r="N122" s="91">
        <f>IF(TrRoad_act!N64=0,0,TrRoad_ene!N67/TrRoad_tech!N95)</f>
        <v>1.0505054565021903</v>
      </c>
      <c r="O122" s="91">
        <f>IF(TrRoad_act!O64=0,0,TrRoad_ene!O67/TrRoad_tech!O95)</f>
        <v>1.0528809971609414</v>
      </c>
      <c r="P122" s="91">
        <f>IF(TrRoad_act!P64=0,0,TrRoad_ene!P67/TrRoad_tech!P95)</f>
        <v>1.0558351496447904</v>
      </c>
      <c r="Q122" s="91">
        <f>IF(TrRoad_act!Q64=0,0,TrRoad_ene!Q67/TrRoad_tech!Q95)</f>
        <v>1.0584633594590496</v>
      </c>
      <c r="R122" s="91">
        <f>IF(TrRoad_act!R64=0,0,TrRoad_ene!R67/TrRoad_tech!R95)</f>
        <v>1.0603399434586878</v>
      </c>
      <c r="S122" s="91">
        <f>IF(TrRoad_act!S64=0,0,TrRoad_ene!S67/TrRoad_tech!S95)</f>
        <v>1.0626236444588995</v>
      </c>
      <c r="T122" s="91">
        <f>IF(TrRoad_act!T64=0,0,TrRoad_ene!T67/TrRoad_tech!T95)</f>
        <v>1.0679548047458289</v>
      </c>
      <c r="U122" s="91">
        <f>IF(TrRoad_act!U64=0,0,TrRoad_ene!U67/TrRoad_tech!U95)</f>
        <v>1.0716447123620307</v>
      </c>
      <c r="V122" s="91">
        <f>IF(TrRoad_act!V64=0,0,TrRoad_ene!V67/TrRoad_tech!V95)</f>
        <v>1.0758512998393996</v>
      </c>
      <c r="W122" s="91">
        <f>IF(TrRoad_act!W64=0,0,TrRoad_ene!W67/TrRoad_tech!W95)</f>
        <v>1.0780190294009426</v>
      </c>
      <c r="X122" s="91">
        <f>IF(TrRoad_act!X64=0,0,TrRoad_ene!X67/TrRoad_tech!X95)</f>
        <v>1.0786238842190885</v>
      </c>
      <c r="Y122" s="91">
        <f>IF(TrRoad_act!Y64=0,0,TrRoad_ene!Y67/TrRoad_tech!Y95)</f>
        <v>1.0801884501051671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1.0562557362480387</v>
      </c>
      <c r="N123" s="91">
        <f>IF(TrRoad_act!N65=0,0,TrRoad_ene!N68/TrRoad_tech!N96)</f>
        <v>1.0617048117939774</v>
      </c>
      <c r="O123" s="91">
        <f>IF(TrRoad_act!O65=0,0,TrRoad_ene!O68/TrRoad_tech!O96)</f>
        <v>1.0657645652843697</v>
      </c>
      <c r="P123" s="91">
        <f>IF(TrRoad_act!P65=0,0,TrRoad_ene!P68/TrRoad_tech!P96)</f>
        <v>1.0712595882564682</v>
      </c>
      <c r="Q123" s="91">
        <f>IF(TrRoad_act!Q65=0,0,TrRoad_ene!Q68/TrRoad_tech!Q96)</f>
        <v>1.0769744302294677</v>
      </c>
      <c r="R123" s="91">
        <f>IF(TrRoad_act!R65=0,0,TrRoad_ene!R68/TrRoad_tech!R96)</f>
        <v>1.0816137037197178</v>
      </c>
      <c r="S123" s="91">
        <f>IF(TrRoad_act!S65=0,0,TrRoad_ene!S68/TrRoad_tech!S96)</f>
        <v>1.0888899604072151</v>
      </c>
      <c r="T123" s="91">
        <f>IF(TrRoad_act!T65=0,0,TrRoad_ene!T68/TrRoad_tech!T96)</f>
        <v>1.08962719391519</v>
      </c>
      <c r="U123" s="91">
        <f>IF(TrRoad_act!U65=0,0,TrRoad_ene!U68/TrRoad_tech!U96)</f>
        <v>1.0915011424890577</v>
      </c>
      <c r="V123" s="91">
        <f>IF(TrRoad_act!V65=0,0,TrRoad_ene!V68/TrRoad_tech!V96)</f>
        <v>1.0962015878074751</v>
      </c>
      <c r="W123" s="91">
        <f>IF(TrRoad_act!W65=0,0,TrRoad_ene!W68/TrRoad_tech!W96)</f>
        <v>1.0978701999743958</v>
      </c>
      <c r="X123" s="91">
        <f>IF(TrRoad_act!X65=0,0,TrRoad_ene!X68/TrRoad_tech!X96)</f>
        <v>1.0953176456946263</v>
      </c>
      <c r="Y123" s="91">
        <f>IF(TrRoad_act!Y65=0,0,TrRoad_ene!Y68/TrRoad_tech!Y96)</f>
        <v>1.0956427178633024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1.0400000000040801</v>
      </c>
      <c r="I124" s="91">
        <f>IF(TrRoad_act!I66=0,0,TrRoad_ene!I69/TrRoad_tech!I97)</f>
        <v>1.0410447187511096</v>
      </c>
      <c r="J124" s="91">
        <f>IF(TrRoad_act!J66=0,0,TrRoad_ene!J69/TrRoad_tech!J97)</f>
        <v>1.0469223814260227</v>
      </c>
      <c r="K124" s="91">
        <f>IF(TrRoad_act!K66=0,0,TrRoad_ene!K69/TrRoad_tech!K97)</f>
        <v>1.047701987887663</v>
      </c>
      <c r="L124" s="91">
        <f>IF(TrRoad_act!L66=0,0,TrRoad_ene!L69/TrRoad_tech!L97)</f>
        <v>1.0502408807960439</v>
      </c>
      <c r="M124" s="91">
        <f>IF(TrRoad_act!M66=0,0,TrRoad_ene!M69/TrRoad_tech!M97)</f>
        <v>1.0554152285881615</v>
      </c>
      <c r="N124" s="91">
        <f>IF(TrRoad_act!N66=0,0,TrRoad_ene!N69/TrRoad_tech!N97)</f>
        <v>1.0607318721766621</v>
      </c>
      <c r="O124" s="91">
        <f>IF(TrRoad_act!O66=0,0,TrRoad_ene!O69/TrRoad_tech!O97)</f>
        <v>1.0667794926923886</v>
      </c>
      <c r="P124" s="91">
        <f>IF(TrRoad_act!P66=0,0,TrRoad_ene!P69/TrRoad_tech!P97)</f>
        <v>1.0726599174298346</v>
      </c>
      <c r="Q124" s="91">
        <f>IF(TrRoad_act!Q66=0,0,TrRoad_ene!Q69/TrRoad_tech!Q97)</f>
        <v>1.0798076524814237</v>
      </c>
      <c r="R124" s="91">
        <f>IF(TrRoad_act!R66=0,0,TrRoad_ene!R69/TrRoad_tech!R97)</f>
        <v>1.0838023327683588</v>
      </c>
      <c r="S124" s="91">
        <f>IF(TrRoad_act!S66=0,0,TrRoad_ene!S69/TrRoad_tech!S97)</f>
        <v>1.0882897734263413</v>
      </c>
      <c r="T124" s="91">
        <f>IF(TrRoad_act!T66=0,0,TrRoad_ene!T69/TrRoad_tech!T97)</f>
        <v>1.0917236333149483</v>
      </c>
      <c r="U124" s="91">
        <f>IF(TrRoad_act!U66=0,0,TrRoad_ene!U69/TrRoad_tech!U97)</f>
        <v>1.0947776207071731</v>
      </c>
      <c r="V124" s="91">
        <f>IF(TrRoad_act!V66=0,0,TrRoad_ene!V69/TrRoad_tech!V97)</f>
        <v>1.0970034817882435</v>
      </c>
      <c r="W124" s="91">
        <f>IF(TrRoad_act!W66=0,0,TrRoad_ene!W69/TrRoad_tech!W97)</f>
        <v>1.0981317038318319</v>
      </c>
      <c r="X124" s="91">
        <f>IF(TrRoad_act!X66=0,0,TrRoad_ene!X69/TrRoad_tech!X97)</f>
        <v>1.099261045214571</v>
      </c>
      <c r="Y124" s="91">
        <f>IF(TrRoad_act!Y66=0,0,TrRoad_ene!Y69/TrRoad_tech!Y97)</f>
        <v>1.0998506351350203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1.1000147147010848</v>
      </c>
      <c r="C125" s="151">
        <f>IF(TrRoad_act!C67=0,0,TrRoad_ene!C70/TrRoad_tech!C98)</f>
        <v>1.0947114952617443</v>
      </c>
      <c r="D125" s="151">
        <f>IF(TrRoad_act!D67=0,0,TrRoad_ene!D70/TrRoad_tech!D98)</f>
        <v>1.0925005845381446</v>
      </c>
      <c r="E125" s="151">
        <f>IF(TrRoad_act!E67=0,0,TrRoad_ene!E70/TrRoad_tech!E98)</f>
        <v>1.0911201292235133</v>
      </c>
      <c r="F125" s="151">
        <f>IF(TrRoad_act!F67=0,0,TrRoad_ene!F70/TrRoad_tech!F98)</f>
        <v>1.0982446573423341</v>
      </c>
      <c r="G125" s="151">
        <f>IF(TrRoad_act!G67=0,0,TrRoad_ene!G70/TrRoad_tech!G98)</f>
        <v>1.092012712940559</v>
      </c>
      <c r="H125" s="151">
        <f>IF(TrRoad_act!H67=0,0,TrRoad_ene!H70/TrRoad_tech!H98)</f>
        <v>1.0936829665689163</v>
      </c>
      <c r="I125" s="151">
        <f>IF(TrRoad_act!I67=0,0,TrRoad_ene!I70/TrRoad_tech!I98)</f>
        <v>1.1020684379607721</v>
      </c>
      <c r="J125" s="151">
        <f>IF(TrRoad_act!J67=0,0,TrRoad_ene!J70/TrRoad_tech!J98)</f>
        <v>1.1110785189054979</v>
      </c>
      <c r="K125" s="151">
        <f>IF(TrRoad_act!K67=0,0,TrRoad_ene!K70/TrRoad_tech!K98)</f>
        <v>1.1170685211940388</v>
      </c>
      <c r="L125" s="151">
        <f>IF(TrRoad_act!L67=0,0,TrRoad_ene!L70/TrRoad_tech!L98)</f>
        <v>1.1183162382935197</v>
      </c>
      <c r="M125" s="151">
        <f>IF(TrRoad_act!M67=0,0,TrRoad_ene!M70/TrRoad_tech!M98)</f>
        <v>1.1441527999197847</v>
      </c>
      <c r="N125" s="151">
        <f>IF(TrRoad_act!N67=0,0,TrRoad_ene!N70/TrRoad_tech!N98)</f>
        <v>1.1655483936268183</v>
      </c>
      <c r="O125" s="151">
        <f>IF(TrRoad_act!O67=0,0,TrRoad_ene!O70/TrRoad_tech!O98)</f>
        <v>1.1833767062446312</v>
      </c>
      <c r="P125" s="151">
        <f>IF(TrRoad_act!P67=0,0,TrRoad_ene!P70/TrRoad_tech!P98)</f>
        <v>1.1955586998649221</v>
      </c>
      <c r="Q125" s="151">
        <f>IF(TrRoad_act!Q67=0,0,TrRoad_ene!Q70/TrRoad_tech!Q98)</f>
        <v>1.2143725047581837</v>
      </c>
      <c r="R125" s="151">
        <f>IF(TrRoad_act!R67=0,0,TrRoad_ene!R70/TrRoad_tech!R98)</f>
        <v>1.2253238301997762</v>
      </c>
      <c r="S125" s="151">
        <f>IF(TrRoad_act!S67=0,0,TrRoad_ene!S70/TrRoad_tech!S98)</f>
        <v>1.2351831175899162</v>
      </c>
      <c r="T125" s="151">
        <f>IF(TrRoad_act!T67=0,0,TrRoad_ene!T70/TrRoad_tech!T98)</f>
        <v>1.2361489205153793</v>
      </c>
      <c r="U125" s="151">
        <f>IF(TrRoad_act!U67=0,0,TrRoad_ene!U70/TrRoad_tech!U98)</f>
        <v>1.2721247393626409</v>
      </c>
      <c r="V125" s="151">
        <f>IF(TrRoad_act!V67=0,0,TrRoad_ene!V70/TrRoad_tech!V98)</f>
        <v>1.3190276776783887</v>
      </c>
      <c r="W125" s="151">
        <f>IF(TrRoad_act!W67=0,0,TrRoad_ene!W70/TrRoad_tech!W98)</f>
        <v>1.3099675338539105</v>
      </c>
      <c r="X125" s="151">
        <f>IF(TrRoad_act!X67=0,0,TrRoad_ene!X70/TrRoad_tech!X98)</f>
        <v>1.3783743034500076</v>
      </c>
      <c r="Y125" s="151">
        <f>IF(TrRoad_act!Y67=0,0,TrRoad_ene!Y70/TrRoad_tech!Y98)</f>
        <v>1.3975254268487571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0</v>
      </c>
      <c r="C126" s="93">
        <f>IF(TrRoad_act!C68=0,0,TrRoad_ene!C71/TrRoad_tech!C99)</f>
        <v>0</v>
      </c>
      <c r="D126" s="93">
        <f>IF(TrRoad_act!D68=0,0,TrRoad_ene!D71/TrRoad_tech!D99)</f>
        <v>0</v>
      </c>
      <c r="E126" s="93">
        <f>IF(TrRoad_act!E68=0,0,TrRoad_ene!E71/TrRoad_tech!E99)</f>
        <v>0</v>
      </c>
      <c r="F126" s="93">
        <f>IF(TrRoad_act!F68=0,0,TrRoad_ene!F71/TrRoad_tech!F99)</f>
        <v>0</v>
      </c>
      <c r="G126" s="93">
        <f>IF(TrRoad_act!G68=0,0,TrRoad_ene!G71/TrRoad_tech!G99)</f>
        <v>0</v>
      </c>
      <c r="H126" s="93">
        <f>IF(TrRoad_act!H68=0,0,TrRoad_ene!H71/TrRoad_tech!H99)</f>
        <v>0</v>
      </c>
      <c r="I126" s="93">
        <f>IF(TrRoad_act!I68=0,0,TrRoad_ene!I71/TrRoad_tech!I99)</f>
        <v>0</v>
      </c>
      <c r="J126" s="93">
        <f>IF(TrRoad_act!J68=0,0,TrRoad_ene!J71/TrRoad_tech!J99)</f>
        <v>0</v>
      </c>
      <c r="K126" s="93">
        <f>IF(TrRoad_act!K68=0,0,TrRoad_ene!K71/TrRoad_tech!K99)</f>
        <v>0</v>
      </c>
      <c r="L126" s="93">
        <f>IF(TrRoad_act!L68=0,0,TrRoad_ene!L71/TrRoad_tech!L99)</f>
        <v>0</v>
      </c>
      <c r="M126" s="93">
        <f>IF(TrRoad_act!M68=0,0,TrRoad_ene!M71/TrRoad_tech!M99)</f>
        <v>0</v>
      </c>
      <c r="N126" s="93">
        <f>IF(TrRoad_act!N68=0,0,TrRoad_ene!N71/TrRoad_tech!N99)</f>
        <v>0</v>
      </c>
      <c r="O126" s="93">
        <f>IF(TrRoad_act!O68=0,0,TrRoad_ene!O71/TrRoad_tech!O99)</f>
        <v>0</v>
      </c>
      <c r="P126" s="93">
        <f>IF(TrRoad_act!P68=0,0,TrRoad_ene!P71/TrRoad_tech!P99)</f>
        <v>0</v>
      </c>
      <c r="Q126" s="93">
        <f>IF(TrRoad_act!Q68=0,0,TrRoad_ene!Q71/TrRoad_tech!Q99)</f>
        <v>0</v>
      </c>
      <c r="R126" s="93">
        <f>IF(TrRoad_act!R68=0,0,TrRoad_ene!R71/TrRoad_tech!R99)</f>
        <v>0</v>
      </c>
      <c r="S126" s="93">
        <f>IF(TrRoad_act!S68=0,0,TrRoad_ene!S71/TrRoad_tech!S99)</f>
        <v>0</v>
      </c>
      <c r="T126" s="93">
        <f>IF(TrRoad_act!T68=0,0,TrRoad_ene!T71/TrRoad_tech!T99)</f>
        <v>0</v>
      </c>
      <c r="U126" s="93">
        <f>IF(TrRoad_act!U68=0,0,TrRoad_ene!U71/TrRoad_tech!U99)</f>
        <v>0</v>
      </c>
      <c r="V126" s="93">
        <f>IF(TrRoad_act!V68=0,0,TrRoad_ene!V71/TrRoad_tech!V99)</f>
        <v>0</v>
      </c>
      <c r="W126" s="93">
        <f>IF(TrRoad_act!W68=0,0,TrRoad_ene!W71/TrRoad_tech!W99)</f>
        <v>0</v>
      </c>
      <c r="X126" s="93">
        <f>IF(TrRoad_act!X68=0,0,TrRoad_ene!X71/TrRoad_tech!X99)</f>
        <v>0</v>
      </c>
      <c r="Y126" s="93">
        <f>IF(TrRoad_act!Y68=0,0,TrRoad_ene!Y71/TrRoad_tech!Y99)</f>
        <v>0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1.1003247655042505</v>
      </c>
      <c r="D127" s="93">
        <f>IF(TrRoad_act!D69=0,0,TrRoad_ene!D72/TrRoad_tech!D100)</f>
        <v>1.1010366225781953</v>
      </c>
      <c r="E127" s="93">
        <f>IF(TrRoad_act!E69=0,0,TrRoad_ene!E72/TrRoad_tech!E100)</f>
        <v>1.1022679714114318</v>
      </c>
      <c r="F127" s="93">
        <f>IF(TrRoad_act!F69=0,0,TrRoad_ene!F72/TrRoad_tech!F100)</f>
        <v>1.1040796898432335</v>
      </c>
      <c r="G127" s="93">
        <f>IF(TrRoad_act!G69=0,0,TrRoad_ene!G72/TrRoad_tech!G100)</f>
        <v>1.1066538122517025</v>
      </c>
      <c r="H127" s="93">
        <f>IF(TrRoad_act!H69=0,0,TrRoad_ene!H72/TrRoad_tech!H100)</f>
        <v>1.1100702339512016</v>
      </c>
      <c r="I127" s="93">
        <f>IF(TrRoad_act!I69=0,0,TrRoad_ene!I72/TrRoad_tech!I100)</f>
        <v>1.1154251743913188</v>
      </c>
      <c r="J127" s="93">
        <f>IF(TrRoad_act!J69=0,0,TrRoad_ene!J72/TrRoad_tech!J100)</f>
        <v>1.1213330939202288</v>
      </c>
      <c r="K127" s="93">
        <f>IF(TrRoad_act!K69=0,0,TrRoad_ene!K72/TrRoad_tech!K100)</f>
        <v>1.1278830289331629</v>
      </c>
      <c r="L127" s="93">
        <f>IF(TrRoad_act!L69=0,0,TrRoad_ene!L72/TrRoad_tech!L100)</f>
        <v>1.1348722104560787</v>
      </c>
      <c r="M127" s="93">
        <f>IF(TrRoad_act!M69=0,0,TrRoad_ene!M72/TrRoad_tech!M100)</f>
        <v>1.1434747802895959</v>
      </c>
      <c r="N127" s="93">
        <f>IF(TrRoad_act!N69=0,0,TrRoad_ene!N72/TrRoad_tech!N100)</f>
        <v>1.1525223842777197</v>
      </c>
      <c r="O127" s="93">
        <f>IF(TrRoad_act!O69=0,0,TrRoad_ene!O72/TrRoad_tech!O100)</f>
        <v>1.1646380645315835</v>
      </c>
      <c r="P127" s="93">
        <f>IF(TrRoad_act!P69=0,0,TrRoad_ene!P72/TrRoad_tech!P100)</f>
        <v>1.176843555241506</v>
      </c>
      <c r="Q127" s="93">
        <f>IF(TrRoad_act!Q69=0,0,TrRoad_ene!Q72/TrRoad_tech!Q100)</f>
        <v>1.1913005307403139</v>
      </c>
      <c r="R127" s="93">
        <f>IF(TrRoad_act!R69=0,0,TrRoad_ene!R72/TrRoad_tech!R100)</f>
        <v>1.2088219251004093</v>
      </c>
      <c r="S127" s="93">
        <f>IF(TrRoad_act!S69=0,0,TrRoad_ene!S72/TrRoad_tech!S100)</f>
        <v>1.2264993426165518</v>
      </c>
      <c r="T127" s="93">
        <f>IF(TrRoad_act!T69=0,0,TrRoad_ene!T72/TrRoad_tech!T100)</f>
        <v>1.2400806202026333</v>
      </c>
      <c r="U127" s="93">
        <f>IF(TrRoad_act!U69=0,0,TrRoad_ene!U72/TrRoad_tech!U100)</f>
        <v>1.2557089374118067</v>
      </c>
      <c r="V127" s="93">
        <f>IF(TrRoad_act!V69=0,0,TrRoad_ene!V72/TrRoad_tech!V100)</f>
        <v>1.2813838568642111</v>
      </c>
      <c r="W127" s="93">
        <f>IF(TrRoad_act!W69=0,0,TrRoad_ene!W72/TrRoad_tech!W100)</f>
        <v>1.2895622113671077</v>
      </c>
      <c r="X127" s="93">
        <f>IF(TrRoad_act!X69=0,0,TrRoad_ene!X72/TrRoad_tech!X100)</f>
        <v>1.3016144554933458</v>
      </c>
      <c r="Y127" s="93">
        <f>IF(TrRoad_act!Y69=0,0,TrRoad_ene!Y72/TrRoad_tech!Y100)</f>
        <v>1.3143866719086992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0</v>
      </c>
      <c r="C128" s="93">
        <f>IF(TrRoad_act!C70=0,0,TrRoad_ene!C73/TrRoad_tech!C101)</f>
        <v>0</v>
      </c>
      <c r="D128" s="93">
        <f>IF(TrRoad_act!D70=0,0,TrRoad_ene!D73/TrRoad_tech!D101)</f>
        <v>0</v>
      </c>
      <c r="E128" s="93">
        <f>IF(TrRoad_act!E70=0,0,TrRoad_ene!E73/TrRoad_tech!E101)</f>
        <v>0</v>
      </c>
      <c r="F128" s="93">
        <f>IF(TrRoad_act!F70=0,0,TrRoad_ene!F73/TrRoad_tech!F101)</f>
        <v>1.1240000000066175</v>
      </c>
      <c r="G128" s="93">
        <f>IF(TrRoad_act!G70=0,0,TrRoad_ene!G73/TrRoad_tech!G101)</f>
        <v>1.1240000000066179</v>
      </c>
      <c r="H128" s="93">
        <f>IF(TrRoad_act!H70=0,0,TrRoad_ene!H73/TrRoad_tech!H101)</f>
        <v>1.1240000000066175</v>
      </c>
      <c r="I128" s="93">
        <f>IF(TrRoad_act!I70=0,0,TrRoad_ene!I73/TrRoad_tech!I101)</f>
        <v>1.1297771905067502</v>
      </c>
      <c r="J128" s="93">
        <f>IF(TrRoad_act!J70=0,0,TrRoad_ene!J73/TrRoad_tech!J101)</f>
        <v>1.1422996743230764</v>
      </c>
      <c r="K128" s="93">
        <f>IF(TrRoad_act!K70=0,0,TrRoad_ene!K73/TrRoad_tech!K101)</f>
        <v>1.1539666232675356</v>
      </c>
      <c r="L128" s="93">
        <f>IF(TrRoad_act!L70=0,0,TrRoad_ene!L73/TrRoad_tech!L101)</f>
        <v>1.1610600399691673</v>
      </c>
      <c r="M128" s="93">
        <f>IF(TrRoad_act!M70=0,0,TrRoad_ene!M73/TrRoad_tech!M101)</f>
        <v>1.162466135452813</v>
      </c>
      <c r="N128" s="93">
        <f>IF(TrRoad_act!N70=0,0,TrRoad_ene!N73/TrRoad_tech!N101)</f>
        <v>1.1624661354528136</v>
      </c>
      <c r="O128" s="93">
        <f>IF(TrRoad_act!O70=0,0,TrRoad_ene!O73/TrRoad_tech!O101)</f>
        <v>1.1639831361694164</v>
      </c>
      <c r="P128" s="93">
        <f>IF(TrRoad_act!P70=0,0,TrRoad_ene!P73/TrRoad_tech!P101)</f>
        <v>1.1656247022481596</v>
      </c>
      <c r="Q128" s="93">
        <f>IF(TrRoad_act!Q70=0,0,TrRoad_ene!Q73/TrRoad_tech!Q101)</f>
        <v>1.1674068332116987</v>
      </c>
      <c r="R128" s="93">
        <f>IF(TrRoad_act!R70=0,0,TrRoad_ene!R73/TrRoad_tech!R101)</f>
        <v>1.1781145324438402</v>
      </c>
      <c r="S128" s="93">
        <f>IF(TrRoad_act!S70=0,0,TrRoad_ene!S73/TrRoad_tech!S101)</f>
        <v>1.1804916118441757</v>
      </c>
      <c r="T128" s="93">
        <f>IF(TrRoad_act!T70=0,0,TrRoad_ene!T73/TrRoad_tech!T101)</f>
        <v>1.193112993891241</v>
      </c>
      <c r="U128" s="93">
        <f>IF(TrRoad_act!U70=0,0,TrRoad_ene!U73/TrRoad_tech!U101)</f>
        <v>1.2144544830155757</v>
      </c>
      <c r="V128" s="93">
        <f>IF(TrRoad_act!V70=0,0,TrRoad_ene!V73/TrRoad_tech!V101)</f>
        <v>1.2348440355921475</v>
      </c>
      <c r="W128" s="93">
        <f>IF(TrRoad_act!W70=0,0,TrRoad_ene!W73/TrRoad_tech!W101)</f>
        <v>1.2607245196672838</v>
      </c>
      <c r="X128" s="93">
        <f>IF(TrRoad_act!X70=0,0,TrRoad_ene!X73/TrRoad_tech!X101)</f>
        <v>1.2791595980790584</v>
      </c>
      <c r="Y128" s="93">
        <f>IF(TrRoad_act!Y70=0,0,TrRoad_ene!Y73/TrRoad_tech!Y101)</f>
        <v>1.323993253290084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1.0704335294313665</v>
      </c>
      <c r="C129" s="93">
        <f>IF(TrRoad_act!C71=0,0,TrRoad_ene!C74/TrRoad_tech!C102)</f>
        <v>1.0730990875133086</v>
      </c>
      <c r="D129" s="93">
        <f>IF(TrRoad_act!D71=0,0,TrRoad_ene!D74/TrRoad_tech!D102)</f>
        <v>1.0717627096395375</v>
      </c>
      <c r="E129" s="93">
        <f>IF(TrRoad_act!E71=0,0,TrRoad_ene!E74/TrRoad_tech!E102)</f>
        <v>1.1023446925000193</v>
      </c>
      <c r="F129" s="93">
        <f>IF(TrRoad_act!F71=0,0,TrRoad_ene!F74/TrRoad_tech!F102)</f>
        <v>1.4600888993427696</v>
      </c>
      <c r="G129" s="93">
        <f>IF(TrRoad_act!G71=0,0,TrRoad_ene!G74/TrRoad_tech!G102)</f>
        <v>1.0386096729010479</v>
      </c>
      <c r="H129" s="93">
        <f>IF(TrRoad_act!H71=0,0,TrRoad_ene!H74/TrRoad_tech!H102)</f>
        <v>1.0616595286043857</v>
      </c>
      <c r="I129" s="93">
        <f>IF(TrRoad_act!I71=0,0,TrRoad_ene!I74/TrRoad_tech!I102)</f>
        <v>1.1113039483864127</v>
      </c>
      <c r="J129" s="93">
        <f>IF(TrRoad_act!J71=0,0,TrRoad_ene!J74/TrRoad_tech!J102)</f>
        <v>1.2374359009565326</v>
      </c>
      <c r="K129" s="93">
        <f>IF(TrRoad_act!K71=0,0,TrRoad_ene!K74/TrRoad_tech!K102)</f>
        <v>1.2089411259733522</v>
      </c>
      <c r="L129" s="93">
        <f>IF(TrRoad_act!L71=0,0,TrRoad_ene!L74/TrRoad_tech!L102)</f>
        <v>0.9695377052833265</v>
      </c>
      <c r="M129" s="93">
        <f>IF(TrRoad_act!M71=0,0,TrRoad_ene!M74/TrRoad_tech!M102)</f>
        <v>1.9315011315522208</v>
      </c>
      <c r="N129" s="93">
        <f>IF(TrRoad_act!N71=0,0,TrRoad_ene!N74/TrRoad_tech!N102)</f>
        <v>2.7185502266932167</v>
      </c>
      <c r="O129" s="93">
        <f>IF(TrRoad_act!O71=0,0,TrRoad_ene!O74/TrRoad_tech!O102)</f>
        <v>2.8960256085049552</v>
      </c>
      <c r="P129" s="93">
        <f>IF(TrRoad_act!P71=0,0,TrRoad_ene!P74/TrRoad_tech!P102)</f>
        <v>3.2429818066847216</v>
      </c>
      <c r="Q129" s="93">
        <f>IF(TrRoad_act!Q71=0,0,TrRoad_ene!Q74/TrRoad_tech!Q102)</f>
        <v>4.6424357321118848</v>
      </c>
      <c r="R129" s="93">
        <f>IF(TrRoad_act!R71=0,0,TrRoad_ene!R74/TrRoad_tech!R102)</f>
        <v>3.5070796434014393</v>
      </c>
      <c r="S129" s="93">
        <f>IF(TrRoad_act!S71=0,0,TrRoad_ene!S74/TrRoad_tech!S102)</f>
        <v>2.5534678583709112</v>
      </c>
      <c r="T129" s="93">
        <f>IF(TrRoad_act!T71=0,0,TrRoad_ene!T74/TrRoad_tech!T102)</f>
        <v>1.8386606555666891</v>
      </c>
      <c r="U129" s="93">
        <f>IF(TrRoad_act!U71=0,0,TrRoad_ene!U74/TrRoad_tech!U102)</f>
        <v>3.210696967694576</v>
      </c>
      <c r="V129" s="93">
        <f>IF(TrRoad_act!V71=0,0,TrRoad_ene!V74/TrRoad_tech!V102)</f>
        <v>4.4693713598734419</v>
      </c>
      <c r="W129" s="93">
        <f>IF(TrRoad_act!W71=0,0,TrRoad_ene!W74/TrRoad_tech!W102)</f>
        <v>3.7122078061556096</v>
      </c>
      <c r="X129" s="93">
        <f>IF(TrRoad_act!X71=0,0,TrRoad_ene!X74/TrRoad_tech!X102)</f>
        <v>8.1511414815568326</v>
      </c>
      <c r="Y129" s="93">
        <f>IF(TrRoad_act!Y71=0,0,TrRoad_ene!Y74/TrRoad_tech!Y102)</f>
        <v>8.6780890079399757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1.1005744994491624</v>
      </c>
      <c r="D130" s="93">
        <f>IF(TrRoad_act!D72=0,0,TrRoad_ene!D75/TrRoad_tech!D103)</f>
        <v>1.1020355224000282</v>
      </c>
      <c r="E130" s="93">
        <f>IF(TrRoad_act!E72=0,0,TrRoad_ene!E75/TrRoad_tech!E103)</f>
        <v>1.103680479810353</v>
      </c>
      <c r="F130" s="93">
        <f>IF(TrRoad_act!F72=0,0,TrRoad_ene!F75/TrRoad_tech!F103)</f>
        <v>1.1046359106201165</v>
      </c>
      <c r="G130" s="93">
        <f>IF(TrRoad_act!G72=0,0,TrRoad_ene!G75/TrRoad_tech!G103)</f>
        <v>1.1049289039723991</v>
      </c>
      <c r="H130" s="93">
        <f>IF(TrRoad_act!H72=0,0,TrRoad_ene!H75/TrRoad_tech!H103)</f>
        <v>1.105209108687313</v>
      </c>
      <c r="I130" s="93">
        <f>IF(TrRoad_act!I72=0,0,TrRoad_ene!I75/TrRoad_tech!I103)</f>
        <v>1.10554627921794</v>
      </c>
      <c r="J130" s="93">
        <f>IF(TrRoad_act!J72=0,0,TrRoad_ene!J75/TrRoad_tech!J103)</f>
        <v>1.1083032674924942</v>
      </c>
      <c r="K130" s="93">
        <f>IF(TrRoad_act!K72=0,0,TrRoad_ene!K75/TrRoad_tech!K103)</f>
        <v>1.1246724943275876</v>
      </c>
      <c r="L130" s="93">
        <f>IF(TrRoad_act!L72=0,0,TrRoad_ene!L75/TrRoad_tech!L103)</f>
        <v>1.1303668123025348</v>
      </c>
      <c r="M130" s="93">
        <f>IF(TrRoad_act!M72=0,0,TrRoad_ene!M75/TrRoad_tech!M103)</f>
        <v>1.1464940578636635</v>
      </c>
      <c r="N130" s="93">
        <f>IF(TrRoad_act!N72=0,0,TrRoad_ene!N75/TrRoad_tech!N103)</f>
        <v>1.1565277365736115</v>
      </c>
      <c r="O130" s="93">
        <f>IF(TrRoad_act!O72=0,0,TrRoad_ene!O75/TrRoad_tech!O103)</f>
        <v>1.1635208317129198</v>
      </c>
      <c r="P130" s="93">
        <f>IF(TrRoad_act!P72=0,0,TrRoad_ene!P75/TrRoad_tech!P103)</f>
        <v>1.1963694609571198</v>
      </c>
      <c r="Q130" s="93">
        <f>IF(TrRoad_act!Q72=0,0,TrRoad_ene!Q75/TrRoad_tech!Q103)</f>
        <v>1.2174601032818329</v>
      </c>
      <c r="R130" s="93">
        <f>IF(TrRoad_act!R72=0,0,TrRoad_ene!R75/TrRoad_tech!R103)</f>
        <v>1.2645022361940212</v>
      </c>
      <c r="S130" s="93">
        <f>IF(TrRoad_act!S72=0,0,TrRoad_ene!S75/TrRoad_tech!S103)</f>
        <v>1.2839834516334008</v>
      </c>
      <c r="T130" s="93">
        <f>IF(TrRoad_act!T72=0,0,TrRoad_ene!T75/TrRoad_tech!T103)</f>
        <v>1.3228003814136522</v>
      </c>
      <c r="U130" s="93">
        <f>IF(TrRoad_act!U72=0,0,TrRoad_ene!U75/TrRoad_tech!U103)</f>
        <v>1.3381200900187036</v>
      </c>
      <c r="V130" s="93">
        <f>IF(TrRoad_act!V72=0,0,TrRoad_ene!V75/TrRoad_tech!V103)</f>
        <v>1.3503526531771448</v>
      </c>
      <c r="W130" s="93">
        <f>IF(TrRoad_act!W72=0,0,TrRoad_ene!W75/TrRoad_tech!W103)</f>
        <v>1.3539741424438609</v>
      </c>
      <c r="X130" s="93">
        <f>IF(TrRoad_act!X72=0,0,TrRoad_ene!X75/TrRoad_tech!X103)</f>
        <v>1.3564977983305777</v>
      </c>
      <c r="Y130" s="93">
        <f>IF(TrRoad_act!Y72=0,0,TrRoad_ene!Y75/TrRoad_tech!Y103)</f>
        <v>1.3587545337983375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1.1015007568974282</v>
      </c>
      <c r="C132" s="150">
        <f>IF(TrRoad_act!C74=0,0,TrRoad_ene!C77/TrRoad_tech!C105)</f>
        <v>1.0890880168765977</v>
      </c>
      <c r="D132" s="150">
        <f>IF(TrRoad_act!D74=0,0,TrRoad_ene!D77/TrRoad_tech!D105)</f>
        <v>1.0879492799240924</v>
      </c>
      <c r="E132" s="150">
        <f>IF(TrRoad_act!E74=0,0,TrRoad_ene!E77/TrRoad_tech!E105)</f>
        <v>1.0889523549103339</v>
      </c>
      <c r="F132" s="150">
        <f>IF(TrRoad_act!F74=0,0,TrRoad_ene!F77/TrRoad_tech!F105)</f>
        <v>1.0916145465009799</v>
      </c>
      <c r="G132" s="150">
        <f>IF(TrRoad_act!G74=0,0,TrRoad_ene!G77/TrRoad_tech!G105)</f>
        <v>1.0921004541255364</v>
      </c>
      <c r="H132" s="150">
        <f>IF(TrRoad_act!H74=0,0,TrRoad_ene!H77/TrRoad_tech!H105)</f>
        <v>1.0975354642354402</v>
      </c>
      <c r="I132" s="150">
        <f>IF(TrRoad_act!I74=0,0,TrRoad_ene!I77/TrRoad_tech!I105)</f>
        <v>1.1057441671449966</v>
      </c>
      <c r="J132" s="150">
        <f>IF(TrRoad_act!J74=0,0,TrRoad_ene!J77/TrRoad_tech!J105)</f>
        <v>1.1151346660770605</v>
      </c>
      <c r="K132" s="150">
        <f>IF(TrRoad_act!K74=0,0,TrRoad_ene!K77/TrRoad_tech!K105)</f>
        <v>1.1224793050669193</v>
      </c>
      <c r="L132" s="150">
        <f>IF(TrRoad_act!L74=0,0,TrRoad_ene!L77/TrRoad_tech!L105)</f>
        <v>1.1281703854888065</v>
      </c>
      <c r="M132" s="150">
        <f>IF(TrRoad_act!M74=0,0,TrRoad_ene!M77/TrRoad_tech!M105)</f>
        <v>1.1347811276988216</v>
      </c>
      <c r="N132" s="150">
        <f>IF(TrRoad_act!N74=0,0,TrRoad_ene!N77/TrRoad_tech!N105)</f>
        <v>1.1443048881319222</v>
      </c>
      <c r="O132" s="150">
        <f>IF(TrRoad_act!O74=0,0,TrRoad_ene!O77/TrRoad_tech!O105)</f>
        <v>1.1542011642581083</v>
      </c>
      <c r="P132" s="150">
        <f>IF(TrRoad_act!P74=0,0,TrRoad_ene!P77/TrRoad_tech!P105)</f>
        <v>1.165617476592133</v>
      </c>
      <c r="Q132" s="150">
        <f>IF(TrRoad_act!Q74=0,0,TrRoad_ene!Q77/TrRoad_tech!Q105)</f>
        <v>1.1794385795086555</v>
      </c>
      <c r="R132" s="150">
        <f>IF(TrRoad_act!R74=0,0,TrRoad_ene!R77/TrRoad_tech!R105)</f>
        <v>1.194307664645248</v>
      </c>
      <c r="S132" s="150">
        <f>IF(TrRoad_act!S74=0,0,TrRoad_ene!S77/TrRoad_tech!S105)</f>
        <v>1.2093690922112073</v>
      </c>
      <c r="T132" s="150">
        <f>IF(TrRoad_act!T74=0,0,TrRoad_ene!T77/TrRoad_tech!T105)</f>
        <v>1.2264092842930683</v>
      </c>
      <c r="U132" s="150">
        <f>IF(TrRoad_act!U74=0,0,TrRoad_ene!U77/TrRoad_tech!U105)</f>
        <v>1.244401293795254</v>
      </c>
      <c r="V132" s="150">
        <f>IF(TrRoad_act!V74=0,0,TrRoad_ene!V77/TrRoad_tech!V105)</f>
        <v>1.2564951908642521</v>
      </c>
      <c r="W132" s="150">
        <f>IF(TrRoad_act!W74=0,0,TrRoad_ene!W77/TrRoad_tech!W105)</f>
        <v>1.270463488312918</v>
      </c>
      <c r="X132" s="150">
        <f>IF(TrRoad_act!X74=0,0,TrRoad_ene!X77/TrRoad_tech!X105)</f>
        <v>1.2790638657895772</v>
      </c>
      <c r="Y132" s="150">
        <f>IF(TrRoad_act!Y74=0,0,TrRoad_ene!Y77/TrRoad_tech!Y105)</f>
        <v>1.2881121965769182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1.1000625173822491</v>
      </c>
      <c r="D133" s="91">
        <f>IF(TrRoad_act!D75=0,0,TrRoad_ene!D78/TrRoad_tech!D106)</f>
        <v>1.1001822250265554</v>
      </c>
      <c r="E133" s="91">
        <f>IF(TrRoad_act!E75=0,0,TrRoad_ene!E78/TrRoad_tech!E106)</f>
        <v>1.1003898963577419</v>
      </c>
      <c r="F133" s="91">
        <f>IF(TrRoad_act!F75=0,0,TrRoad_ene!F78/TrRoad_tech!F106)</f>
        <v>1.1006738817419102</v>
      </c>
      <c r="G133" s="91">
        <f>IF(TrRoad_act!G75=0,0,TrRoad_ene!G78/TrRoad_tech!G106)</f>
        <v>1.1011456080110364</v>
      </c>
      <c r="H133" s="91">
        <f>IF(TrRoad_act!H75=0,0,TrRoad_ene!H78/TrRoad_tech!H106)</f>
        <v>1.1019789567200649</v>
      </c>
      <c r="I133" s="91">
        <f>IF(TrRoad_act!I75=0,0,TrRoad_ene!I78/TrRoad_tech!I106)</f>
        <v>1.1031223489561168</v>
      </c>
      <c r="J133" s="91">
        <f>IF(TrRoad_act!J75=0,0,TrRoad_ene!J78/TrRoad_tech!J106)</f>
        <v>1.1056313154384885</v>
      </c>
      <c r="K133" s="91">
        <f>IF(TrRoad_act!K75=0,0,TrRoad_ene!K78/TrRoad_tech!K106)</f>
        <v>1.1088005111249948</v>
      </c>
      <c r="L133" s="91">
        <f>IF(TrRoad_act!L75=0,0,TrRoad_ene!L78/TrRoad_tech!L106)</f>
        <v>1.1120654381669384</v>
      </c>
      <c r="M133" s="91">
        <f>IF(TrRoad_act!M75=0,0,TrRoad_ene!M78/TrRoad_tech!M106)</f>
        <v>1.1172139353356376</v>
      </c>
      <c r="N133" s="91">
        <f>IF(TrRoad_act!N75=0,0,TrRoad_ene!N78/TrRoad_tech!N106)</f>
        <v>1.1261412991484008</v>
      </c>
      <c r="O133" s="91">
        <f>IF(TrRoad_act!O75=0,0,TrRoad_ene!O78/TrRoad_tech!O106)</f>
        <v>1.1345761550790279</v>
      </c>
      <c r="P133" s="91">
        <f>IF(TrRoad_act!P75=0,0,TrRoad_ene!P78/TrRoad_tech!P106)</f>
        <v>1.1431620462370125</v>
      </c>
      <c r="Q133" s="91">
        <f>IF(TrRoad_act!Q75=0,0,TrRoad_ene!Q78/TrRoad_tech!Q106)</f>
        <v>1.1562750733275944</v>
      </c>
      <c r="R133" s="91">
        <f>IF(TrRoad_act!R75=0,0,TrRoad_ene!R78/TrRoad_tech!R106)</f>
        <v>1.1743778196090959</v>
      </c>
      <c r="S133" s="91">
        <f>IF(TrRoad_act!S75=0,0,TrRoad_ene!S78/TrRoad_tech!S106)</f>
        <v>1.1989626190148781</v>
      </c>
      <c r="T133" s="91">
        <f>IF(TrRoad_act!T75=0,0,TrRoad_ene!T78/TrRoad_tech!T106)</f>
        <v>1.2365301055764977</v>
      </c>
      <c r="U133" s="91">
        <f>IF(TrRoad_act!U75=0,0,TrRoad_ene!U78/TrRoad_tech!U106)</f>
        <v>1.2671331566724287</v>
      </c>
      <c r="V133" s="91">
        <f>IF(TrRoad_act!V75=0,0,TrRoad_ene!V78/TrRoad_tech!V106)</f>
        <v>1.2935736497161112</v>
      </c>
      <c r="W133" s="91">
        <f>IF(TrRoad_act!W75=0,0,TrRoad_ene!W78/TrRoad_tech!W106)</f>
        <v>1.3164080545479282</v>
      </c>
      <c r="X133" s="91">
        <f>IF(TrRoad_act!X75=0,0,TrRoad_ene!X78/TrRoad_tech!X106)</f>
        <v>1.3285768594348946</v>
      </c>
      <c r="Y133" s="91">
        <f>IF(TrRoad_act!Y75=0,0,TrRoad_ene!Y78/TrRoad_tech!Y106)</f>
        <v>1.3359134078946953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1.1000000000067303</v>
      </c>
      <c r="C134" s="91">
        <f>IF(TrRoad_act!C76=0,0,TrRoad_ene!C79/TrRoad_tech!C107)</f>
        <v>1.1003339193846782</v>
      </c>
      <c r="D134" s="91">
        <f>IF(TrRoad_act!D76=0,0,TrRoad_ene!D79/TrRoad_tech!D107)</f>
        <v>1.1010682872688045</v>
      </c>
      <c r="E134" s="91">
        <f>IF(TrRoad_act!E76=0,0,TrRoad_ene!E79/TrRoad_tech!E107)</f>
        <v>1.1021843816933286</v>
      </c>
      <c r="F134" s="91">
        <f>IF(TrRoad_act!F76=0,0,TrRoad_ene!F79/TrRoad_tech!F107)</f>
        <v>1.1040008181397996</v>
      </c>
      <c r="G134" s="91">
        <f>IF(TrRoad_act!G76=0,0,TrRoad_ene!G79/TrRoad_tech!G107)</f>
        <v>1.1042927079017024</v>
      </c>
      <c r="H134" s="91">
        <f>IF(TrRoad_act!H76=0,0,TrRoad_ene!H79/TrRoad_tech!H107)</f>
        <v>1.1082755186312827</v>
      </c>
      <c r="I134" s="91">
        <f>IF(TrRoad_act!I76=0,0,TrRoad_ene!I79/TrRoad_tech!I107)</f>
        <v>1.1139506960617032</v>
      </c>
      <c r="J134" s="91">
        <f>IF(TrRoad_act!J76=0,0,TrRoad_ene!J79/TrRoad_tech!J107)</f>
        <v>1.120451656893209</v>
      </c>
      <c r="K134" s="91">
        <f>IF(TrRoad_act!K76=0,0,TrRoad_ene!K79/TrRoad_tech!K107)</f>
        <v>1.1259059234662203</v>
      </c>
      <c r="L134" s="91">
        <f>IF(TrRoad_act!L76=0,0,TrRoad_ene!L79/TrRoad_tech!L107)</f>
        <v>1.1281310311135779</v>
      </c>
      <c r="M134" s="91">
        <f>IF(TrRoad_act!M76=0,0,TrRoad_ene!M79/TrRoad_tech!M107)</f>
        <v>1.1319258820784224</v>
      </c>
      <c r="N134" s="91">
        <f>IF(TrRoad_act!N76=0,0,TrRoad_ene!N79/TrRoad_tech!N107)</f>
        <v>1.1442645889186027</v>
      </c>
      <c r="O134" s="91">
        <f>IF(TrRoad_act!O76=0,0,TrRoad_ene!O79/TrRoad_tech!O107)</f>
        <v>1.1578439086555785</v>
      </c>
      <c r="P134" s="91">
        <f>IF(TrRoad_act!P76=0,0,TrRoad_ene!P79/TrRoad_tech!P107)</f>
        <v>1.1732841405223271</v>
      </c>
      <c r="Q134" s="91">
        <f>IF(TrRoad_act!Q76=0,0,TrRoad_ene!Q79/TrRoad_tech!Q107)</f>
        <v>1.1898997976555772</v>
      </c>
      <c r="R134" s="91">
        <f>IF(TrRoad_act!R76=0,0,TrRoad_ene!R79/TrRoad_tech!R107)</f>
        <v>1.2071095112660988</v>
      </c>
      <c r="S134" s="91">
        <f>IF(TrRoad_act!S76=0,0,TrRoad_ene!S79/TrRoad_tech!S107)</f>
        <v>1.2238771459417388</v>
      </c>
      <c r="T134" s="91">
        <f>IF(TrRoad_act!T76=0,0,TrRoad_ene!T79/TrRoad_tech!T107)</f>
        <v>1.2413459068910695</v>
      </c>
      <c r="U134" s="91">
        <f>IF(TrRoad_act!U76=0,0,TrRoad_ene!U79/TrRoad_tech!U107)</f>
        <v>1.2586650389766982</v>
      </c>
      <c r="V134" s="91">
        <f>IF(TrRoad_act!V76=0,0,TrRoad_ene!V79/TrRoad_tech!V107)</f>
        <v>1.2700294048397036</v>
      </c>
      <c r="W134" s="91">
        <f>IF(TrRoad_act!W76=0,0,TrRoad_ene!W79/TrRoad_tech!W107)</f>
        <v>1.2821669206858306</v>
      </c>
      <c r="X134" s="91">
        <f>IF(TrRoad_act!X76=0,0,TrRoad_ene!X79/TrRoad_tech!X107)</f>
        <v>1.2896707097767159</v>
      </c>
      <c r="Y134" s="91">
        <f>IF(TrRoad_act!Y76=0,0,TrRoad_ene!Y79/TrRoad_tech!Y107)</f>
        <v>1.2979166466599319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0</v>
      </c>
      <c r="C135" s="91">
        <f>IF(TrRoad_act!C77=0,0,TrRoad_ene!C80/TrRoad_tech!C108)</f>
        <v>0</v>
      </c>
      <c r="D135" s="91">
        <f>IF(TrRoad_act!D77=0,0,TrRoad_ene!D80/TrRoad_tech!D108)</f>
        <v>0</v>
      </c>
      <c r="E135" s="91">
        <f>IF(TrRoad_act!E77=0,0,TrRoad_ene!E80/TrRoad_tech!E108)</f>
        <v>0</v>
      </c>
      <c r="F135" s="91">
        <f>IF(TrRoad_act!F77=0,0,TrRoad_ene!F80/TrRoad_tech!F108)</f>
        <v>0</v>
      </c>
      <c r="G135" s="91">
        <f>IF(TrRoad_act!G77=0,0,TrRoad_ene!G80/TrRoad_tech!G108)</f>
        <v>0</v>
      </c>
      <c r="H135" s="91">
        <f>IF(TrRoad_act!H77=0,0,TrRoad_ene!H80/TrRoad_tech!H108)</f>
        <v>1.1089621047831217</v>
      </c>
      <c r="I135" s="91">
        <f>IF(TrRoad_act!I77=0,0,TrRoad_ene!I80/TrRoad_tech!I108)</f>
        <v>1.1110184597335131</v>
      </c>
      <c r="J135" s="91">
        <f>IF(TrRoad_act!J77=0,0,TrRoad_ene!J80/TrRoad_tech!J108)</f>
        <v>1.1169760526818435</v>
      </c>
      <c r="K135" s="91">
        <f>IF(TrRoad_act!K77=0,0,TrRoad_ene!K80/TrRoad_tech!K108)</f>
        <v>1.12061860058732</v>
      </c>
      <c r="L135" s="91">
        <f>IF(TrRoad_act!L77=0,0,TrRoad_ene!L80/TrRoad_tech!L108)</f>
        <v>1.1228138788991493</v>
      </c>
      <c r="M135" s="91">
        <f>IF(TrRoad_act!M77=0,0,TrRoad_ene!M80/TrRoad_tech!M108)</f>
        <v>1.126118270796987</v>
      </c>
      <c r="N135" s="91">
        <f>IF(TrRoad_act!N77=0,0,TrRoad_ene!N80/TrRoad_tech!N108)</f>
        <v>1.131603077844292</v>
      </c>
      <c r="O135" s="91">
        <f>IF(TrRoad_act!O77=0,0,TrRoad_ene!O80/TrRoad_tech!O108)</f>
        <v>1.1341472117718663</v>
      </c>
      <c r="P135" s="91">
        <f>IF(TrRoad_act!P77=0,0,TrRoad_ene!P80/TrRoad_tech!P108)</f>
        <v>1.141072082282899</v>
      </c>
      <c r="Q135" s="91">
        <f>IF(TrRoad_act!Q77=0,0,TrRoad_ene!Q80/TrRoad_tech!Q108)</f>
        <v>1.1514728313638218</v>
      </c>
      <c r="R135" s="91">
        <f>IF(TrRoad_act!R77=0,0,TrRoad_ene!R80/TrRoad_tech!R108)</f>
        <v>1.1616788860309162</v>
      </c>
      <c r="S135" s="91">
        <f>IF(TrRoad_act!S77=0,0,TrRoad_ene!S80/TrRoad_tech!S108)</f>
        <v>1.1711056857335964</v>
      </c>
      <c r="T135" s="91">
        <f>IF(TrRoad_act!T77=0,0,TrRoad_ene!T80/TrRoad_tech!T108)</f>
        <v>1.188690930854291</v>
      </c>
      <c r="U135" s="91">
        <f>IF(TrRoad_act!U77=0,0,TrRoad_ene!U80/TrRoad_tech!U108)</f>
        <v>1.2026781209146598</v>
      </c>
      <c r="V135" s="91">
        <f>IF(TrRoad_act!V77=0,0,TrRoad_ene!V80/TrRoad_tech!V108)</f>
        <v>1.222641365595406</v>
      </c>
      <c r="W135" s="91">
        <f>IF(TrRoad_act!W77=0,0,TrRoad_ene!W80/TrRoad_tech!W108)</f>
        <v>1.2412121298305394</v>
      </c>
      <c r="X135" s="91">
        <f>IF(TrRoad_act!X77=0,0,TrRoad_ene!X80/TrRoad_tech!X108)</f>
        <v>1.251787961964582</v>
      </c>
      <c r="Y135" s="91">
        <f>IF(TrRoad_act!Y77=0,0,TrRoad_ene!Y80/TrRoad_tech!Y108)</f>
        <v>1.2623753655285821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0</v>
      </c>
      <c r="F136" s="91">
        <f>IF(TrRoad_act!F78=0,0,TrRoad_ene!F81/TrRoad_tech!F109)</f>
        <v>0</v>
      </c>
      <c r="G136" s="91">
        <f>IF(TrRoad_act!G78=0,0,TrRoad_ene!G81/TrRoad_tech!G109)</f>
        <v>0</v>
      </c>
      <c r="H136" s="91">
        <f>IF(TrRoad_act!H78=0,0,TrRoad_ene!H81/TrRoad_tech!H109)</f>
        <v>1.1440000000061445</v>
      </c>
      <c r="I136" s="91">
        <f>IF(TrRoad_act!I78=0,0,TrRoad_ene!I81/TrRoad_tech!I109)</f>
        <v>1.1459032840108354</v>
      </c>
      <c r="J136" s="91">
        <f>IF(TrRoad_act!J78=0,0,TrRoad_ene!J81/TrRoad_tech!J109)</f>
        <v>1.1497834904611446</v>
      </c>
      <c r="K136" s="91">
        <f>IF(TrRoad_act!K78=0,0,TrRoad_ene!K81/TrRoad_tech!K109)</f>
        <v>1.1532349267926116</v>
      </c>
      <c r="L136" s="91">
        <f>IF(TrRoad_act!L78=0,0,TrRoad_ene!L81/TrRoad_tech!L109)</f>
        <v>1.1570027930406488</v>
      </c>
      <c r="M136" s="91">
        <f>IF(TrRoad_act!M78=0,0,TrRoad_ene!M81/TrRoad_tech!M109)</f>
        <v>1.1635504135154819</v>
      </c>
      <c r="N136" s="91">
        <f>IF(TrRoad_act!N78=0,0,TrRoad_ene!N81/TrRoad_tech!N109)</f>
        <v>1.1717045286810945</v>
      </c>
      <c r="O136" s="91">
        <f>IF(TrRoad_act!O78=0,0,TrRoad_ene!O81/TrRoad_tech!O109)</f>
        <v>1.1792609719584894</v>
      </c>
      <c r="P136" s="91">
        <f>IF(TrRoad_act!P78=0,0,TrRoad_ene!P81/TrRoad_tech!P109)</f>
        <v>1.1873830146305733</v>
      </c>
      <c r="Q136" s="91">
        <f>IF(TrRoad_act!Q78=0,0,TrRoad_ene!Q81/TrRoad_tech!Q109)</f>
        <v>1.1973685370971294</v>
      </c>
      <c r="R136" s="91">
        <f>IF(TrRoad_act!R78=0,0,TrRoad_ene!R81/TrRoad_tech!R109)</f>
        <v>1.2379575835440548</v>
      </c>
      <c r="S136" s="91">
        <f>IF(TrRoad_act!S78=0,0,TrRoad_ene!S81/TrRoad_tech!S109)</f>
        <v>1.244609564737335</v>
      </c>
      <c r="T136" s="91">
        <f>IF(TrRoad_act!T78=0,0,TrRoad_ene!T81/TrRoad_tech!T109)</f>
        <v>1.2571533899798473</v>
      </c>
      <c r="U136" s="91">
        <f>IF(TrRoad_act!U78=0,0,TrRoad_ene!U81/TrRoad_tech!U109)</f>
        <v>1.257608332141305</v>
      </c>
      <c r="V136" s="91">
        <f>IF(TrRoad_act!V78=0,0,TrRoad_ene!V81/TrRoad_tech!V109)</f>
        <v>1.2619402018466057</v>
      </c>
      <c r="W136" s="91">
        <f>IF(TrRoad_act!W78=0,0,TrRoad_ene!W81/TrRoad_tech!W109)</f>
        <v>1.2698888897257776</v>
      </c>
      <c r="X136" s="91">
        <f>IF(TrRoad_act!X78=0,0,TrRoad_ene!X81/TrRoad_tech!X109)</f>
        <v>1.2795945860791109</v>
      </c>
      <c r="Y136" s="91">
        <f>IF(TrRoad_act!Y78=0,0,TrRoad_ene!Y81/TrRoad_tech!Y109)</f>
        <v>1.2895542362526635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1.1000000000067303</v>
      </c>
      <c r="C137" s="91">
        <f>IF(TrRoad_act!C79=0,0,TrRoad_ene!C82/TrRoad_tech!C110)</f>
        <v>1.1001911580272343</v>
      </c>
      <c r="D137" s="91">
        <f>IF(TrRoad_act!D79=0,0,TrRoad_ene!D82/TrRoad_tech!D110)</f>
        <v>1.1001980897993857</v>
      </c>
      <c r="E137" s="91">
        <f>IF(TrRoad_act!E79=0,0,TrRoad_ene!E82/TrRoad_tech!E110)</f>
        <v>1.1002104367715373</v>
      </c>
      <c r="F137" s="91">
        <f>IF(TrRoad_act!F79=0,0,TrRoad_ene!F82/TrRoad_tech!F110)</f>
        <v>1.1002960962778467</v>
      </c>
      <c r="G137" s="91">
        <f>IF(TrRoad_act!G79=0,0,TrRoad_ene!G82/TrRoad_tech!G110)</f>
        <v>1.1003117280127241</v>
      </c>
      <c r="H137" s="91">
        <f>IF(TrRoad_act!H79=0,0,TrRoad_ene!H82/TrRoad_tech!H110)</f>
        <v>1.1021199139618287</v>
      </c>
      <c r="I137" s="91">
        <f>IF(TrRoad_act!I79=0,0,TrRoad_ene!I82/TrRoad_tech!I110)</f>
        <v>1.1043215701659286</v>
      </c>
      <c r="J137" s="91">
        <f>IF(TrRoad_act!J79=0,0,TrRoad_ene!J82/TrRoad_tech!J110)</f>
        <v>1.1096269960456078</v>
      </c>
      <c r="K137" s="91">
        <f>IF(TrRoad_act!K79=0,0,TrRoad_ene!K82/TrRoad_tech!K110)</f>
        <v>1.1202155718994129</v>
      </c>
      <c r="L137" s="91">
        <f>IF(TrRoad_act!L79=0,0,TrRoad_ene!L82/TrRoad_tech!L110)</f>
        <v>1.1462609546685396</v>
      </c>
      <c r="M137" s="91">
        <f>IF(TrRoad_act!M79=0,0,TrRoad_ene!M82/TrRoad_tech!M110)</f>
        <v>1.1705726592465502</v>
      </c>
      <c r="N137" s="91">
        <f>IF(TrRoad_act!N79=0,0,TrRoad_ene!N82/TrRoad_tech!N110)</f>
        <v>1.2028002942926765</v>
      </c>
      <c r="O137" s="91">
        <f>IF(TrRoad_act!O79=0,0,TrRoad_ene!O82/TrRoad_tech!O110)</f>
        <v>1.2253552870065683</v>
      </c>
      <c r="P137" s="91">
        <f>IF(TrRoad_act!P79=0,0,TrRoad_ene!P82/TrRoad_tech!P110)</f>
        <v>1.2390437862719195</v>
      </c>
      <c r="Q137" s="91">
        <f>IF(TrRoad_act!Q79=0,0,TrRoad_ene!Q82/TrRoad_tech!Q110)</f>
        <v>1.2762500385112672</v>
      </c>
      <c r="R137" s="91">
        <f>IF(TrRoad_act!R79=0,0,TrRoad_ene!R82/TrRoad_tech!R110)</f>
        <v>1.3047036018896243</v>
      </c>
      <c r="S137" s="91">
        <f>IF(TrRoad_act!S79=0,0,TrRoad_ene!S82/TrRoad_tech!S110)</f>
        <v>1.3185995167695115</v>
      </c>
      <c r="T137" s="91">
        <f>IF(TrRoad_act!T79=0,0,TrRoad_ene!T82/TrRoad_tech!T110)</f>
        <v>1.3301163378262424</v>
      </c>
      <c r="U137" s="91">
        <f>IF(TrRoad_act!U79=0,0,TrRoad_ene!U82/TrRoad_tech!U110)</f>
        <v>1.3387867750634523</v>
      </c>
      <c r="V137" s="91">
        <f>IF(TrRoad_act!V79=0,0,TrRoad_ene!V82/TrRoad_tech!V110)</f>
        <v>1.347072687248271</v>
      </c>
      <c r="W137" s="91">
        <f>IF(TrRoad_act!W79=0,0,TrRoad_ene!W82/TrRoad_tech!W110)</f>
        <v>1.3519648997470073</v>
      </c>
      <c r="X137" s="91">
        <f>IF(TrRoad_act!X79=0,0,TrRoad_ene!X82/TrRoad_tech!X110)</f>
        <v>1.3550768043794501</v>
      </c>
      <c r="Y137" s="91">
        <f>IF(TrRoad_act!Y79=0,0,TrRoad_ene!Y82/TrRoad_tech!Y110)</f>
        <v>1.3583667435433457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1.2556300897387886</v>
      </c>
      <c r="C138" s="151">
        <f>IF(TrRoad_act!C80=0,0,TrRoad_ene!C83/TrRoad_tech!C111)</f>
        <v>1.1462337699116276</v>
      </c>
      <c r="D138" s="151">
        <f>IF(TrRoad_act!D80=0,0,TrRoad_ene!D83/TrRoad_tech!D111)</f>
        <v>1.1268754432643717</v>
      </c>
      <c r="E138" s="151">
        <f>IF(TrRoad_act!E80=0,0,TrRoad_ene!E83/TrRoad_tech!E111)</f>
        <v>1.0266286106454323</v>
      </c>
      <c r="F138" s="151">
        <f>IF(TrRoad_act!F80=0,0,TrRoad_ene!F83/TrRoad_tech!F111)</f>
        <v>0.96802143460865497</v>
      </c>
      <c r="G138" s="151">
        <f>IF(TrRoad_act!G80=0,0,TrRoad_ene!G83/TrRoad_tech!G111)</f>
        <v>0.9287926561609251</v>
      </c>
      <c r="H138" s="151">
        <f>IF(TrRoad_act!H80=0,0,TrRoad_ene!H83/TrRoad_tech!H111)</f>
        <v>1.0630833096244507</v>
      </c>
      <c r="I138" s="151">
        <f>IF(TrRoad_act!I80=0,0,TrRoad_ene!I83/TrRoad_tech!I111)</f>
        <v>1.014945155001576</v>
      </c>
      <c r="J138" s="151">
        <f>IF(TrRoad_act!J80=0,0,TrRoad_ene!J83/TrRoad_tech!J111)</f>
        <v>0.97535095513172831</v>
      </c>
      <c r="K138" s="151">
        <f>IF(TrRoad_act!K80=0,0,TrRoad_ene!K83/TrRoad_tech!K111)</f>
        <v>0.99113149974716308</v>
      </c>
      <c r="L138" s="151">
        <f>IF(TrRoad_act!L80=0,0,TrRoad_ene!L83/TrRoad_tech!L111)</f>
        <v>1.0964178554747026</v>
      </c>
      <c r="M138" s="151">
        <f>IF(TrRoad_act!M80=0,0,TrRoad_ene!M83/TrRoad_tech!M111)</f>
        <v>1.0589665055099498</v>
      </c>
      <c r="N138" s="151">
        <f>IF(TrRoad_act!N80=0,0,TrRoad_ene!N83/TrRoad_tech!N111)</f>
        <v>1.1646037678139278</v>
      </c>
      <c r="O138" s="151">
        <f>IF(TrRoad_act!O80=0,0,TrRoad_ene!O83/TrRoad_tech!O111)</f>
        <v>1.1493862447554137</v>
      </c>
      <c r="P138" s="151">
        <f>IF(TrRoad_act!P80=0,0,TrRoad_ene!P83/TrRoad_tech!P111)</f>
        <v>1.1802129470907989</v>
      </c>
      <c r="Q138" s="151">
        <f>IF(TrRoad_act!Q80=0,0,TrRoad_ene!Q83/TrRoad_tech!Q111)</f>
        <v>1.0434016510179704</v>
      </c>
      <c r="R138" s="151">
        <f>IF(TrRoad_act!R80=0,0,TrRoad_ene!R83/TrRoad_tech!R111)</f>
        <v>1.0578007485753356</v>
      </c>
      <c r="S138" s="151">
        <f>IF(TrRoad_act!S80=0,0,TrRoad_ene!S83/TrRoad_tech!S111)</f>
        <v>1.1165553433847961</v>
      </c>
      <c r="T138" s="151">
        <f>IF(TrRoad_act!T80=0,0,TrRoad_ene!T83/TrRoad_tech!T111)</f>
        <v>1.203470426978088</v>
      </c>
      <c r="U138" s="151">
        <f>IF(TrRoad_act!U80=0,0,TrRoad_ene!U83/TrRoad_tech!U111)</f>
        <v>1.1821609686693371</v>
      </c>
      <c r="V138" s="151">
        <f>IF(TrRoad_act!V80=0,0,TrRoad_ene!V83/TrRoad_tech!V111)</f>
        <v>1.2699584646648951</v>
      </c>
      <c r="W138" s="151">
        <f>IF(TrRoad_act!W80=0,0,TrRoad_ene!W83/TrRoad_tech!W111)</f>
        <v>1.1506165575011396</v>
      </c>
      <c r="X138" s="151">
        <f>IF(TrRoad_act!X80=0,0,TrRoad_ene!X83/TrRoad_tech!X111)</f>
        <v>1.1249383570839357</v>
      </c>
      <c r="Y138" s="151">
        <f>IF(TrRoad_act!Y80=0,0,TrRoad_ene!Y83/TrRoad_tech!Y111)</f>
        <v>1.0282297543212966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1.126984635759837</v>
      </c>
      <c r="C139" s="93">
        <f>IF(TrRoad_act!C81=0,0,TrRoad_ene!C84/TrRoad_tech!C112)</f>
        <v>1.1056864783821589</v>
      </c>
      <c r="D139" s="93">
        <f>IF(TrRoad_act!D81=0,0,TrRoad_ene!D84/TrRoad_tech!D112)</f>
        <v>1.101987501387248</v>
      </c>
      <c r="E139" s="93">
        <f>IF(TrRoad_act!E81=0,0,TrRoad_ene!E84/TrRoad_tech!E112)</f>
        <v>1.0826599967015149</v>
      </c>
      <c r="F139" s="93">
        <f>IF(TrRoad_act!F81=0,0,TrRoad_ene!F84/TrRoad_tech!F112)</f>
        <v>1.072134021070493</v>
      </c>
      <c r="G139" s="93">
        <f>IF(TrRoad_act!G81=0,0,TrRoad_ene!G84/TrRoad_tech!G112)</f>
        <v>1.066084096403523</v>
      </c>
      <c r="H139" s="93">
        <f>IF(TrRoad_act!H81=0,0,TrRoad_ene!H84/TrRoad_tech!H112)</f>
        <v>1.0955573055039081</v>
      </c>
      <c r="I139" s="93">
        <f>IF(TrRoad_act!I81=0,0,TrRoad_ene!I84/TrRoad_tech!I112)</f>
        <v>1.0880308014472875</v>
      </c>
      <c r="J139" s="93">
        <f>IF(TrRoad_act!J81=0,0,TrRoad_ene!J84/TrRoad_tech!J112)</f>
        <v>1.0809549019139402</v>
      </c>
      <c r="K139" s="93">
        <f>IF(TrRoad_act!K81=0,0,TrRoad_ene!K84/TrRoad_tech!K112)</f>
        <v>1.090030481581111</v>
      </c>
      <c r="L139" s="93">
        <f>IF(TrRoad_act!L81=0,0,TrRoad_ene!L84/TrRoad_tech!L112)</f>
        <v>1.1179260392703887</v>
      </c>
      <c r="M139" s="93">
        <f>IF(TrRoad_act!M81=0,0,TrRoad_ene!M84/TrRoad_tech!M112)</f>
        <v>1.120601846137536</v>
      </c>
      <c r="N139" s="93">
        <f>IF(TrRoad_act!N81=0,0,TrRoad_ene!N84/TrRoad_tech!N112)</f>
        <v>1.1501950725015255</v>
      </c>
      <c r="O139" s="93">
        <f>IF(TrRoad_act!O81=0,0,TrRoad_ene!O84/TrRoad_tech!O112)</f>
        <v>1.1582603062698447</v>
      </c>
      <c r="P139" s="93">
        <f>IF(TrRoad_act!P81=0,0,TrRoad_ene!P84/TrRoad_tech!P112)</f>
        <v>1.1764883333533283</v>
      </c>
      <c r="Q139" s="93">
        <f>IF(TrRoad_act!Q81=0,0,TrRoad_ene!Q84/TrRoad_tech!Q112)</f>
        <v>1.162434877760113</v>
      </c>
      <c r="R139" s="93">
        <f>IF(TrRoad_act!R81=0,0,TrRoad_ene!R84/TrRoad_tech!R112)</f>
        <v>1.1772242977805079</v>
      </c>
      <c r="S139" s="93">
        <f>IF(TrRoad_act!S81=0,0,TrRoad_ene!S84/TrRoad_tech!S112)</f>
        <v>1.2003744693223626</v>
      </c>
      <c r="T139" s="93">
        <f>IF(TrRoad_act!T81=0,0,TrRoad_ene!T84/TrRoad_tech!T112)</f>
        <v>1.2295761021158662</v>
      </c>
      <c r="U139" s="93">
        <f>IF(TrRoad_act!U81=0,0,TrRoad_ene!U84/TrRoad_tech!U112)</f>
        <v>1.2387164893383311</v>
      </c>
      <c r="V139" s="93">
        <f>IF(TrRoad_act!V81=0,0,TrRoad_ene!V84/TrRoad_tech!V112)</f>
        <v>1.2638339220708028</v>
      </c>
      <c r="W139" s="93">
        <f>IF(TrRoad_act!W81=0,0,TrRoad_ene!W84/TrRoad_tech!W112)</f>
        <v>1.2540060398750335</v>
      </c>
      <c r="X139" s="93">
        <f>IF(TrRoad_act!X81=0,0,TrRoad_ene!X84/TrRoad_tech!X112)</f>
        <v>1.265230475086395</v>
      </c>
      <c r="Y139" s="93">
        <f>IF(TrRoad_act!Y81=0,0,TrRoad_ene!Y84/TrRoad_tech!Y112)</f>
        <v>1.2621786913974007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1.5836203021378439</v>
      </c>
      <c r="C140" s="94">
        <f>IF(TrRoad_act!C82=0,0,TrRoad_ene!C85/TrRoad_tech!C113)</f>
        <v>1.1960393184643185</v>
      </c>
      <c r="D140" s="94">
        <f>IF(TrRoad_act!D82=0,0,TrRoad_ene!D85/TrRoad_tech!D113)</f>
        <v>1.1299137676541287</v>
      </c>
      <c r="E140" s="94">
        <f>IF(TrRoad_act!E82=0,0,TrRoad_ene!E85/TrRoad_tech!E113)</f>
        <v>0.81938487314809705</v>
      </c>
      <c r="F140" s="94">
        <f>IF(TrRoad_act!F82=0,0,TrRoad_ene!F85/TrRoad_tech!F113)</f>
        <v>0.67970387164497048</v>
      </c>
      <c r="G140" s="94">
        <f>IF(TrRoad_act!G82=0,0,TrRoad_ene!G85/TrRoad_tech!G113)</f>
        <v>0.57649917771581793</v>
      </c>
      <c r="H140" s="94">
        <f>IF(TrRoad_act!H82=0,0,TrRoad_ene!H85/TrRoad_tech!H113)</f>
        <v>0.94927917701345366</v>
      </c>
      <c r="I140" s="94">
        <f>IF(TrRoad_act!I82=0,0,TrRoad_ene!I85/TrRoad_tech!I113)</f>
        <v>0.82383962388721643</v>
      </c>
      <c r="J140" s="94">
        <f>IF(TrRoad_act!J82=0,0,TrRoad_ene!J85/TrRoad_tech!J113)</f>
        <v>0.72031491753606036</v>
      </c>
      <c r="K140" s="94">
        <f>IF(TrRoad_act!K82=0,0,TrRoad_ene!K85/TrRoad_tech!K113)</f>
        <v>0.74016114193183291</v>
      </c>
      <c r="L140" s="94">
        <f>IF(TrRoad_act!L82=0,0,TrRoad_ene!L85/TrRoad_tech!L113)</f>
        <v>1.0205494731264491</v>
      </c>
      <c r="M140" s="94">
        <f>IF(TrRoad_act!M82=0,0,TrRoad_ene!M85/TrRoad_tech!M113)</f>
        <v>0.89073707858612372</v>
      </c>
      <c r="N140" s="94">
        <f>IF(TrRoad_act!N82=0,0,TrRoad_ene!N85/TrRoad_tech!N113)</f>
        <v>1.161744058039569</v>
      </c>
      <c r="O140" s="94">
        <f>IF(TrRoad_act!O82=0,0,TrRoad_ene!O85/TrRoad_tech!O113)</f>
        <v>1.097280221034479</v>
      </c>
      <c r="P140" s="94">
        <f>IF(TrRoad_act!P82=0,0,TrRoad_ene!P85/TrRoad_tech!P113)</f>
        <v>1.1513741896729504</v>
      </c>
      <c r="Q140" s="94">
        <f>IF(TrRoad_act!Q82=0,0,TrRoad_ene!Q85/TrRoad_tech!Q113)</f>
        <v>0.75821058797058782</v>
      </c>
      <c r="R140" s="94">
        <f>IF(TrRoad_act!R82=0,0,TrRoad_ene!R85/TrRoad_tech!R113)</f>
        <v>0.78710371151982506</v>
      </c>
      <c r="S140" s="94">
        <f>IF(TrRoad_act!S82=0,0,TrRoad_ene!S85/TrRoad_tech!S113)</f>
        <v>0.92445538285433315</v>
      </c>
      <c r="T140" s="94">
        <f>IF(TrRoad_act!T82=0,0,TrRoad_ene!T85/TrRoad_tech!T113)</f>
        <v>1.099161640872709</v>
      </c>
      <c r="U140" s="94">
        <f>IF(TrRoad_act!U82=0,0,TrRoad_ene!U85/TrRoad_tech!U113)</f>
        <v>1.0256232825309932</v>
      </c>
      <c r="V140" s="94">
        <f>IF(TrRoad_act!V82=0,0,TrRoad_ene!V85/TrRoad_tech!V113)</f>
        <v>1.2149112264727389</v>
      </c>
      <c r="W140" s="94">
        <f>IF(TrRoad_act!W82=0,0,TrRoad_ene!W85/TrRoad_tech!W113)</f>
        <v>0.92098104777223</v>
      </c>
      <c r="X140" s="94">
        <f>IF(TrRoad_act!X82=0,0,TrRoad_ene!X85/TrRoad_tech!X113)</f>
        <v>0.83559934755532073</v>
      </c>
      <c r="Y140" s="94">
        <f>IF(TrRoad_act!Y82=0,0,TrRoad_ene!Y85/TrRoad_tech!Y113)</f>
        <v>0.60581395502160451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3.7102370644248639</v>
      </c>
      <c r="C144" s="141">
        <v>3.7541453148631185</v>
      </c>
      <c r="D144" s="141">
        <v>3.8035419637428971</v>
      </c>
      <c r="E144" s="141">
        <v>3.7412033928566175</v>
      </c>
      <c r="F144" s="141">
        <v>3.7541453148631194</v>
      </c>
      <c r="G144" s="141">
        <v>3.6553520171035636</v>
      </c>
      <c r="H144" s="141">
        <v>3.6059553682237859</v>
      </c>
      <c r="I144" s="141">
        <v>3.5565587193440082</v>
      </c>
      <c r="J144" s="141">
        <v>3.4083687727046748</v>
      </c>
      <c r="K144" s="141">
        <v>3.2207623967301591</v>
      </c>
      <c r="L144" s="141">
        <v>3.1036215077883407</v>
      </c>
      <c r="M144" s="141">
        <v>2.9999112254965614</v>
      </c>
      <c r="N144" s="141">
        <v>2.9154844739231978</v>
      </c>
      <c r="O144" s="141">
        <v>2.7942088247507417</v>
      </c>
      <c r="P144" s="141">
        <v>2.7239089100334297</v>
      </c>
      <c r="Q144" s="141">
        <v>2.6581441302756916</v>
      </c>
      <c r="R144" s="141">
        <v>2.5998200410303713</v>
      </c>
      <c r="S144" s="141">
        <v>2.5531607696341152</v>
      </c>
      <c r="T144" s="141">
        <v>2.5158333525171104</v>
      </c>
      <c r="U144" s="141">
        <v>2.4859714188235063</v>
      </c>
      <c r="V144" s="141">
        <v>2.462081871868623</v>
      </c>
      <c r="W144" s="141">
        <v>2.4429702343047164</v>
      </c>
      <c r="X144" s="141">
        <v>2.4276809242535911</v>
      </c>
      <c r="Y144" s="141">
        <v>2.4154494762126908</v>
      </c>
      <c r="DA144" s="174" t="s">
        <v>887</v>
      </c>
    </row>
    <row r="145" spans="1:105" ht="11.45" customHeight="1" x14ac:dyDescent="0.25">
      <c r="A145" s="109" t="s">
        <v>20</v>
      </c>
      <c r="B145" s="130">
        <v>6.8737802859118657</v>
      </c>
      <c r="C145" s="130">
        <v>6.9961834322143428</v>
      </c>
      <c r="D145" s="130">
        <v>7.0989374381654704</v>
      </c>
      <c r="E145" s="130">
        <v>7.0299885920816241</v>
      </c>
      <c r="F145" s="130">
        <v>6.9814790200571402</v>
      </c>
      <c r="G145" s="130">
        <v>6.9470813196956449</v>
      </c>
      <c r="H145" s="130">
        <v>6.9231007387276655</v>
      </c>
      <c r="I145" s="130">
        <v>6.8573611096266767</v>
      </c>
      <c r="J145" s="130">
        <v>6.6052347283380639</v>
      </c>
      <c r="K145" s="130">
        <v>6.2922945709555957</v>
      </c>
      <c r="L145" s="130">
        <v>6.1552431162762806</v>
      </c>
      <c r="M145" s="130">
        <v>5.9322939610387557</v>
      </c>
      <c r="N145" s="130">
        <v>5.7688106807644015</v>
      </c>
      <c r="O145" s="130">
        <v>5.5421281269845597</v>
      </c>
      <c r="P145" s="130">
        <v>5.3979354853095538</v>
      </c>
      <c r="Q145" s="130">
        <v>5.233178295759827</v>
      </c>
      <c r="R145" s="130">
        <v>5.1733618124606373</v>
      </c>
      <c r="S145" s="130">
        <v>5.2065445204367986</v>
      </c>
      <c r="T145" s="130">
        <v>5.3166851546072973</v>
      </c>
      <c r="U145" s="130">
        <v>5.3260172133907453</v>
      </c>
      <c r="V145" s="130">
        <v>4.8454925416833765</v>
      </c>
      <c r="W145" s="130">
        <v>4.3590492791508284</v>
      </c>
      <c r="X145" s="130">
        <v>4.2165754334072867</v>
      </c>
      <c r="Y145" s="130">
        <v>4.363812928812921</v>
      </c>
      <c r="DA145" s="176" t="s">
        <v>888</v>
      </c>
    </row>
    <row r="146" spans="1:105" ht="11.45" customHeight="1" x14ac:dyDescent="0.25">
      <c r="A146" s="111" t="s">
        <v>110</v>
      </c>
      <c r="B146" s="96">
        <v>7.3164384646638458</v>
      </c>
      <c r="C146" s="96">
        <v>7.4030237708974598</v>
      </c>
      <c r="D146" s="96">
        <v>7.500431978409269</v>
      </c>
      <c r="E146" s="96">
        <v>7.3775028205293669</v>
      </c>
      <c r="F146" s="96">
        <v>7.4030237708974598</v>
      </c>
      <c r="G146" s="96">
        <v>7.2082073558738449</v>
      </c>
      <c r="H146" s="96">
        <v>7.1107991483620339</v>
      </c>
      <c r="I146" s="96">
        <v>7.0133909408502229</v>
      </c>
      <c r="J146" s="96">
        <v>6.7211663183147978</v>
      </c>
      <c r="K146" s="96">
        <v>6.3512140803413173</v>
      </c>
      <c r="L146" s="96">
        <v>6.1193557371539509</v>
      </c>
      <c r="M146" s="96">
        <v>5.9142111048365242</v>
      </c>
      <c r="N146" s="96">
        <v>5.7466054184180804</v>
      </c>
      <c r="O146" s="96">
        <v>5.5125265514615069</v>
      </c>
      <c r="P146" s="96">
        <v>5.3811972864525943</v>
      </c>
      <c r="Q146" s="96">
        <v>5.2646098576150546</v>
      </c>
      <c r="R146" s="96">
        <v>5.2383919547033031</v>
      </c>
      <c r="S146" s="96">
        <v>5.2643489461904558</v>
      </c>
      <c r="T146" s="96">
        <v>5.3552429169897593</v>
      </c>
      <c r="U146" s="96">
        <v>5.4174124237219772</v>
      </c>
      <c r="V146" s="96">
        <v>5.2005619206318743</v>
      </c>
      <c r="W146" s="96">
        <v>5.0374438763388261</v>
      </c>
      <c r="X146" s="96">
        <v>5.0800290503481289</v>
      </c>
      <c r="Y146" s="96">
        <v>5.0493508942959497</v>
      </c>
      <c r="DA146" s="171" t="s">
        <v>889</v>
      </c>
    </row>
    <row r="147" spans="1:105" ht="11.45" customHeight="1" x14ac:dyDescent="0.25">
      <c r="A147" s="111" t="s">
        <v>111</v>
      </c>
      <c r="B147" s="96">
        <v>6.0379334824460225</v>
      </c>
      <c r="C147" s="96">
        <v>6.2278517877670483</v>
      </c>
      <c r="D147" s="96">
        <v>6.4458864549988348</v>
      </c>
      <c r="E147" s="96">
        <v>6.5072758498083507</v>
      </c>
      <c r="F147" s="96">
        <v>6.4458864549988339</v>
      </c>
      <c r="G147" s="96">
        <v>6.5765435502850806</v>
      </c>
      <c r="H147" s="96">
        <v>6.673436478426094</v>
      </c>
      <c r="I147" s="96">
        <v>6.5697907168560352</v>
      </c>
      <c r="J147" s="96">
        <v>6.3696612897770226</v>
      </c>
      <c r="K147" s="96">
        <v>6.1193469666018387</v>
      </c>
      <c r="L147" s="96">
        <v>6.19399400203128</v>
      </c>
      <c r="M147" s="96">
        <v>5.9399104474622799</v>
      </c>
      <c r="N147" s="96">
        <v>5.7845811156618021</v>
      </c>
      <c r="O147" s="96">
        <v>5.5970912626923628</v>
      </c>
      <c r="P147" s="96">
        <v>5.4528603949401564</v>
      </c>
      <c r="Q147" s="96">
        <v>5.2515934314499599</v>
      </c>
      <c r="R147" s="96">
        <v>5.1531033300092979</v>
      </c>
      <c r="S147" s="96">
        <v>5.236257475624992</v>
      </c>
      <c r="T147" s="96">
        <v>5.4288871066578954</v>
      </c>
      <c r="U147" s="96">
        <v>5.4250926694574915</v>
      </c>
      <c r="V147" s="96">
        <v>5.2571017121499768</v>
      </c>
      <c r="W147" s="96">
        <v>5.0429290240834215</v>
      </c>
      <c r="X147" s="96">
        <v>5.0401655802022454</v>
      </c>
      <c r="Y147" s="96">
        <v>4.9944946531948808</v>
      </c>
      <c r="DA147" s="171" t="s">
        <v>890</v>
      </c>
    </row>
    <row r="148" spans="1:105" ht="11.45" customHeight="1" x14ac:dyDescent="0.25">
      <c r="A148" s="111" t="s">
        <v>112</v>
      </c>
      <c r="B148" s="96">
        <v>6.6059600229381932</v>
      </c>
      <c r="C148" s="96">
        <v>6.7876107067629796</v>
      </c>
      <c r="D148" s="96">
        <v>7.0252423158926192</v>
      </c>
      <c r="E148" s="96">
        <v>7.0921493855677884</v>
      </c>
      <c r="F148" s="96">
        <v>7.0252423158926192</v>
      </c>
      <c r="G148" s="96">
        <v>7.1676428625179325</v>
      </c>
      <c r="H148" s="96">
        <v>7.2732445208219056</v>
      </c>
      <c r="I148" s="96">
        <v>7.1602830848536643</v>
      </c>
      <c r="J148" s="96">
        <v>6.94216603771262</v>
      </c>
      <c r="K148" s="96">
        <v>6.6693534792350206</v>
      </c>
      <c r="L148" s="96">
        <v>6.4131742961472806</v>
      </c>
      <c r="M148" s="96">
        <v>6.5289703288404555</v>
      </c>
      <c r="N148" s="96">
        <v>6.3664774170226686</v>
      </c>
      <c r="O148" s="96">
        <v>5.9387007078978709</v>
      </c>
      <c r="P148" s="96">
        <v>5.6519171500558141</v>
      </c>
      <c r="Q148" s="96">
        <v>5.5859326100885882</v>
      </c>
      <c r="R148" s="96">
        <v>4.9572752543531999</v>
      </c>
      <c r="S148" s="96">
        <v>5.5425525881404525</v>
      </c>
      <c r="T148" s="96">
        <v>5.5401091877890423</v>
      </c>
      <c r="U148" s="96">
        <v>5.8236775551980058</v>
      </c>
      <c r="V148" s="96">
        <v>4.7931929214719471</v>
      </c>
      <c r="W148" s="96">
        <v>4.5913691012418507</v>
      </c>
      <c r="X148" s="96">
        <v>4.4539373633629733</v>
      </c>
      <c r="Y148" s="96">
        <v>4.4503796647454941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7.9504044376997021</v>
      </c>
      <c r="H149" s="96">
        <v>7.8429665398929487</v>
      </c>
      <c r="I149" s="96">
        <v>7.7355286420861935</v>
      </c>
      <c r="J149" s="96">
        <v>7.4132149486659351</v>
      </c>
      <c r="K149" s="96">
        <v>7.0051703726279682</v>
      </c>
      <c r="L149" s="96">
        <v>6.7503884969231276</v>
      </c>
      <c r="M149" s="96">
        <v>6.8562357449970834</v>
      </c>
      <c r="N149" s="96">
        <v>6.863554855892799</v>
      </c>
      <c r="O149" s="96">
        <v>4.9239434173905252</v>
      </c>
      <c r="P149" s="96">
        <v>4.7652757778514285</v>
      </c>
      <c r="Q149" s="96">
        <v>4.7552579647526843</v>
      </c>
      <c r="R149" s="96">
        <v>4.7227885917801284</v>
      </c>
      <c r="S149" s="96">
        <v>4.8866619595111782</v>
      </c>
      <c r="T149" s="96">
        <v>5.129740787524252</v>
      </c>
      <c r="U149" s="96">
        <v>4.9627179631122216</v>
      </c>
      <c r="V149" s="96">
        <v>4.7077945505432828</v>
      </c>
      <c r="W149" s="96">
        <v>4.516642170772764</v>
      </c>
      <c r="X149" s="96">
        <v>4.5772544657854191</v>
      </c>
      <c r="Y149" s="96">
        <v>4.5872085298306731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3.0919444929182096</v>
      </c>
      <c r="N150" s="96">
        <v>2.5512458553846225</v>
      </c>
      <c r="O150" s="96">
        <v>2.8499099204365939</v>
      </c>
      <c r="P150" s="96">
        <v>2.5566394117888511</v>
      </c>
      <c r="Q150" s="96">
        <v>2.7704914342862361</v>
      </c>
      <c r="R150" s="96">
        <v>2.7237690603986904</v>
      </c>
      <c r="S150" s="96">
        <v>2.8689067974576039</v>
      </c>
      <c r="T150" s="96">
        <v>3.1159741443557269</v>
      </c>
      <c r="U150" s="96">
        <v>3.0164983725863586</v>
      </c>
      <c r="V150" s="96">
        <v>2.9625655538814124</v>
      </c>
      <c r="W150" s="96">
        <v>2.7818377275445059</v>
      </c>
      <c r="X150" s="96">
        <v>2.633856161218886</v>
      </c>
      <c r="Y150" s="96">
        <v>2.6549263920759292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1.4427980974337387</v>
      </c>
      <c r="I151" s="96">
        <v>1.4283701164594014</v>
      </c>
      <c r="J151" s="96">
        <v>1.4140864152948076</v>
      </c>
      <c r="K151" s="96">
        <v>1.3999455511418595</v>
      </c>
      <c r="L151" s="96">
        <v>1.385946095630441</v>
      </c>
      <c r="M151" s="96">
        <v>1.385946095630441</v>
      </c>
      <c r="N151" s="96">
        <v>1.3206938082155668</v>
      </c>
      <c r="O151" s="96">
        <v>1.2653551584790157</v>
      </c>
      <c r="P151" s="96">
        <v>1.2415977179823292</v>
      </c>
      <c r="Q151" s="96">
        <v>1.3038855470081092</v>
      </c>
      <c r="R151" s="96">
        <v>1.2754296011981763</v>
      </c>
      <c r="S151" s="96">
        <v>1.225373776769908</v>
      </c>
      <c r="T151" s="96">
        <v>1.2997979883625925</v>
      </c>
      <c r="U151" s="96">
        <v>1.5685655472202724</v>
      </c>
      <c r="V151" s="96">
        <v>1.4332783329925116</v>
      </c>
      <c r="W151" s="96">
        <v>1.4104331986140541</v>
      </c>
      <c r="X151" s="96">
        <v>1.431251138254104</v>
      </c>
      <c r="Y151" s="96">
        <v>1.4492010217140825</v>
      </c>
      <c r="DA151" s="171" t="s">
        <v>894</v>
      </c>
    </row>
    <row r="152" spans="1:105" ht="11.45" customHeight="1" x14ac:dyDescent="0.25">
      <c r="A152" s="109" t="s">
        <v>21</v>
      </c>
      <c r="B152" s="130">
        <v>49.35549869075377</v>
      </c>
      <c r="C152" s="130">
        <v>46.849192036282929</v>
      </c>
      <c r="D152" s="130">
        <v>47.041158375957842</v>
      </c>
      <c r="E152" s="130">
        <v>46.971016802238246</v>
      </c>
      <c r="F152" s="130">
        <v>47.070591794031159</v>
      </c>
      <c r="G152" s="130">
        <v>46.757757088740512</v>
      </c>
      <c r="H152" s="130">
        <v>46.431667014834815</v>
      </c>
      <c r="I152" s="130">
        <v>46.355016065492087</v>
      </c>
      <c r="J152" s="130">
        <v>45.858360819590018</v>
      </c>
      <c r="K152" s="130">
        <v>45.148392145193426</v>
      </c>
      <c r="L152" s="130">
        <v>44.862444826899562</v>
      </c>
      <c r="M152" s="130">
        <v>44.431543623046316</v>
      </c>
      <c r="N152" s="130">
        <v>43.966701558676128</v>
      </c>
      <c r="O152" s="130">
        <v>43.614753071593519</v>
      </c>
      <c r="P152" s="130">
        <v>43.330567369615231</v>
      </c>
      <c r="Q152" s="130">
        <v>43.086773792083022</v>
      </c>
      <c r="R152" s="130">
        <v>42.419212415944237</v>
      </c>
      <c r="S152" s="130">
        <v>41.636399817890776</v>
      </c>
      <c r="T152" s="130">
        <v>40.404320097337582</v>
      </c>
      <c r="U152" s="130">
        <v>38.961873426373934</v>
      </c>
      <c r="V152" s="130">
        <v>37.10853667812696</v>
      </c>
      <c r="W152" s="130">
        <v>35.448263011810354</v>
      </c>
      <c r="X152" s="130">
        <v>33.813808240719922</v>
      </c>
      <c r="Y152" s="130">
        <v>32.061457409018502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0</v>
      </c>
      <c r="D153" s="97">
        <v>0</v>
      </c>
      <c r="E153" s="97">
        <v>0</v>
      </c>
      <c r="F153" s="97">
        <v>0</v>
      </c>
      <c r="G153" s="97">
        <v>0</v>
      </c>
      <c r="H153" s="97">
        <v>0</v>
      </c>
      <c r="I153" s="97">
        <v>0</v>
      </c>
      <c r="J153" s="97">
        <v>0</v>
      </c>
      <c r="K153" s="97">
        <v>0</v>
      </c>
      <c r="L153" s="97">
        <v>0</v>
      </c>
      <c r="M153" s="97">
        <v>0</v>
      </c>
      <c r="N153" s="97">
        <v>0</v>
      </c>
      <c r="O153" s="97">
        <v>0</v>
      </c>
      <c r="P153" s="97">
        <v>0</v>
      </c>
      <c r="Q153" s="97">
        <v>0</v>
      </c>
      <c r="R153" s="97">
        <v>0</v>
      </c>
      <c r="S153" s="97">
        <v>0</v>
      </c>
      <c r="T153" s="97">
        <v>0</v>
      </c>
      <c r="U153" s="97">
        <v>0</v>
      </c>
      <c r="V153" s="97">
        <v>0</v>
      </c>
      <c r="W153" s="97">
        <v>0</v>
      </c>
      <c r="X153" s="97">
        <v>0</v>
      </c>
      <c r="Y153" s="97">
        <v>0</v>
      </c>
      <c r="DA153" s="175" t="s">
        <v>896</v>
      </c>
    </row>
    <row r="154" spans="1:105" ht="11.45" customHeight="1" x14ac:dyDescent="0.25">
      <c r="A154" s="111" t="s">
        <v>111</v>
      </c>
      <c r="B154" s="97">
        <v>49.364631983905525</v>
      </c>
      <c r="C154" s="97">
        <v>47.151738671052676</v>
      </c>
      <c r="D154" s="97">
        <v>47.305327396365556</v>
      </c>
      <c r="E154" s="97">
        <v>47.1090861873015</v>
      </c>
      <c r="F154" s="97">
        <v>47.149721802802603</v>
      </c>
      <c r="G154" s="97">
        <v>46.833280716877752</v>
      </c>
      <c r="H154" s="97">
        <v>46.673440168355988</v>
      </c>
      <c r="I154" s="97">
        <v>46.51194037538589</v>
      </c>
      <c r="J154" s="97">
        <v>46.011811984252709</v>
      </c>
      <c r="K154" s="97">
        <v>45.351393002765384</v>
      </c>
      <c r="L154" s="97">
        <v>44.927465405417685</v>
      </c>
      <c r="M154" s="97">
        <v>44.542494457369948</v>
      </c>
      <c r="N154" s="97">
        <v>44.222346204958455</v>
      </c>
      <c r="O154" s="97">
        <v>43.747656783998089</v>
      </c>
      <c r="P154" s="97">
        <v>43.467201320292865</v>
      </c>
      <c r="Q154" s="97">
        <v>43.199999999908329</v>
      </c>
      <c r="R154" s="97">
        <v>42.617236082352292</v>
      </c>
      <c r="S154" s="97">
        <v>41.762677328147888</v>
      </c>
      <c r="T154" s="97">
        <v>40.680169327791624</v>
      </c>
      <c r="U154" s="97">
        <v>39.412084156029422</v>
      </c>
      <c r="V154" s="97">
        <v>37.998202963664021</v>
      </c>
      <c r="W154" s="97">
        <v>36.474976548767117</v>
      </c>
      <c r="X154" s="97">
        <v>34.875099902767403</v>
      </c>
      <c r="Y154" s="97">
        <v>33.227336343669585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39.291434835668838</v>
      </c>
      <c r="G155" s="97">
        <v>0</v>
      </c>
      <c r="H155" s="97">
        <v>0</v>
      </c>
      <c r="I155" s="97">
        <v>38.75995031282158</v>
      </c>
      <c r="J155" s="97">
        <v>38.343176653543928</v>
      </c>
      <c r="K155" s="97">
        <v>37.792827502304483</v>
      </c>
      <c r="L155" s="97">
        <v>37.439554504514739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35.591417128308599</v>
      </c>
      <c r="S155" s="97">
        <v>0</v>
      </c>
      <c r="T155" s="97">
        <v>34.814694675567708</v>
      </c>
      <c r="U155" s="97">
        <v>34.437927365471616</v>
      </c>
      <c r="V155" s="97">
        <v>34.068221904678907</v>
      </c>
      <c r="W155" s="97">
        <v>33.70514277144558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41.257771337171093</v>
      </c>
      <c r="D156" s="97">
        <v>41.392161471819868</v>
      </c>
      <c r="E156" s="97">
        <v>41.22045041388882</v>
      </c>
      <c r="F156" s="97">
        <v>41.256006577452283</v>
      </c>
      <c r="G156" s="97">
        <v>40.979120627268038</v>
      </c>
      <c r="H156" s="97">
        <v>40.839260147311492</v>
      </c>
      <c r="I156" s="97">
        <v>40.697947828462659</v>
      </c>
      <c r="J156" s="97">
        <v>40.260335486221123</v>
      </c>
      <c r="K156" s="97">
        <v>39.682468877419709</v>
      </c>
      <c r="L156" s="97">
        <v>39.311532229740479</v>
      </c>
      <c r="M156" s="97">
        <v>38.974682650198702</v>
      </c>
      <c r="N156" s="97">
        <v>38.694552929338649</v>
      </c>
      <c r="O156" s="97">
        <v>38.279199685998329</v>
      </c>
      <c r="P156" s="97">
        <v>38.039599842959063</v>
      </c>
      <c r="Q156" s="97">
        <v>37.799999999919791</v>
      </c>
      <c r="R156" s="97">
        <v>37.619308138564911</v>
      </c>
      <c r="S156" s="97">
        <v>37.473796576004055</v>
      </c>
      <c r="T156" s="97">
        <v>37.349373180781392</v>
      </c>
      <c r="U156" s="97">
        <v>37.237642611690319</v>
      </c>
      <c r="V156" s="97">
        <v>37.133594005567751</v>
      </c>
      <c r="W156" s="97">
        <v>37.034233140053587</v>
      </c>
      <c r="X156" s="97">
        <v>36.937769537992736</v>
      </c>
      <c r="Y156" s="97">
        <v>36.843132011522563</v>
      </c>
      <c r="DA156" s="175" t="s">
        <v>899</v>
      </c>
    </row>
    <row r="157" spans="1:105" ht="11.45" customHeight="1" x14ac:dyDescent="0.25">
      <c r="A157" s="111" t="s">
        <v>115</v>
      </c>
      <c r="B157" s="97">
        <v>30.35824893509513</v>
      </c>
      <c r="C157" s="97">
        <v>30.084887579001759</v>
      </c>
      <c r="D157" s="97">
        <v>29.784038703211742</v>
      </c>
      <c r="E157" s="97">
        <v>29.486198316179625</v>
      </c>
      <c r="F157" s="97">
        <v>29.19133633301783</v>
      </c>
      <c r="G157" s="97">
        <v>0</v>
      </c>
      <c r="H157" s="97">
        <v>0</v>
      </c>
      <c r="I157" s="97">
        <v>0</v>
      </c>
      <c r="J157" s="97">
        <v>28.041081208064959</v>
      </c>
      <c r="K157" s="97">
        <v>27.760670395984313</v>
      </c>
      <c r="L157" s="97">
        <v>27.483063692024469</v>
      </c>
      <c r="M157" s="97">
        <v>27.208233055104227</v>
      </c>
      <c r="N157" s="97">
        <v>26.936150724553187</v>
      </c>
      <c r="O157" s="97">
        <v>26.666789217307652</v>
      </c>
      <c r="P157" s="97">
        <v>26.400121325134577</v>
      </c>
      <c r="Q157" s="97">
        <v>26.13612011188323</v>
      </c>
      <c r="R157" s="97">
        <v>25.771273099887559</v>
      </c>
      <c r="S157" s="97">
        <v>25.320031069266992</v>
      </c>
      <c r="T157" s="97">
        <v>24.796069213687129</v>
      </c>
      <c r="U157" s="97">
        <v>24.212111531536628</v>
      </c>
      <c r="V157" s="97">
        <v>23.579825662547961</v>
      </c>
      <c r="W157" s="97">
        <v>22.90977385172679</v>
      </c>
      <c r="X157" s="97">
        <v>22.211407198784084</v>
      </c>
      <c r="Y157" s="97">
        <v>21.493092089852286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7.9301017566968817</v>
      </c>
      <c r="C159" s="141">
        <v>8.1382746686789496</v>
      </c>
      <c r="D159" s="141">
        <v>8.3807295078165858</v>
      </c>
      <c r="E159" s="141">
        <v>8.4934113513162171</v>
      </c>
      <c r="F159" s="141">
        <v>8.5190950281566931</v>
      </c>
      <c r="G159" s="141">
        <v>8.6088916125928296</v>
      </c>
      <c r="H159" s="141">
        <v>8.90928101203008</v>
      </c>
      <c r="I159" s="141">
        <v>8.9150662028687488</v>
      </c>
      <c r="J159" s="141">
        <v>8.7767632400317748</v>
      </c>
      <c r="K159" s="141">
        <v>8.519063715725709</v>
      </c>
      <c r="L159" s="141">
        <v>8.9388442833545678</v>
      </c>
      <c r="M159" s="141">
        <v>9.0541229300134063</v>
      </c>
      <c r="N159" s="141">
        <v>7.6310923005529592</v>
      </c>
      <c r="O159" s="141">
        <v>7.4350932306305948</v>
      </c>
      <c r="P159" s="141">
        <v>7.3175151904938005</v>
      </c>
      <c r="Q159" s="141">
        <v>7.1696630705091211</v>
      </c>
      <c r="R159" s="141">
        <v>6.8561812248186556</v>
      </c>
      <c r="S159" s="141">
        <v>6.5802374534352692</v>
      </c>
      <c r="T159" s="141">
        <v>6.6668595821845384</v>
      </c>
      <c r="U159" s="141">
        <v>6.6540866490644897</v>
      </c>
      <c r="V159" s="141">
        <v>7.0370412279052426</v>
      </c>
      <c r="W159" s="141">
        <v>6.8038621115815507</v>
      </c>
      <c r="X159" s="141">
        <v>6.5332411364624727</v>
      </c>
      <c r="Y159" s="141">
        <v>6.5902247334043409</v>
      </c>
      <c r="DA159" s="174" t="s">
        <v>901</v>
      </c>
    </row>
    <row r="160" spans="1:105" ht="11.45" customHeight="1" x14ac:dyDescent="0.25">
      <c r="A160" s="111" t="s">
        <v>110</v>
      </c>
      <c r="B160" s="96">
        <v>8.1354697037071393</v>
      </c>
      <c r="C160" s="96">
        <v>8.231747713705019</v>
      </c>
      <c r="D160" s="96">
        <v>8.3400601836221906</v>
      </c>
      <c r="E160" s="96">
        <v>8.2033698465867229</v>
      </c>
      <c r="F160" s="96">
        <v>8.2317477137050226</v>
      </c>
      <c r="G160" s="96">
        <v>8.0151227738706776</v>
      </c>
      <c r="H160" s="96">
        <v>7.9068103039535069</v>
      </c>
      <c r="I160" s="96">
        <v>7.7984978340363362</v>
      </c>
      <c r="J160" s="96">
        <v>7.4735604242848215</v>
      </c>
      <c r="K160" s="96">
        <v>7.0621942604896901</v>
      </c>
      <c r="L160" s="96">
        <v>6.8053383948122201</v>
      </c>
      <c r="M160" s="96">
        <v>6.5779319394032925</v>
      </c>
      <c r="N160" s="96">
        <v>6.3928086527558463</v>
      </c>
      <c r="O160" s="96">
        <v>6.3127652821462048</v>
      </c>
      <c r="P160" s="96">
        <v>6.1230598820169675</v>
      </c>
      <c r="Q160" s="96">
        <v>7.179152954307531</v>
      </c>
      <c r="R160" s="96">
        <v>6.5901983321721298</v>
      </c>
      <c r="S160" s="96">
        <v>6.1520280164806493</v>
      </c>
      <c r="T160" s="96">
        <v>7.0730830351010328</v>
      </c>
      <c r="U160" s="96">
        <v>6.2873815163620401</v>
      </c>
      <c r="V160" s="96">
        <v>6.5696174593994456</v>
      </c>
      <c r="W160" s="96">
        <v>6.5244671682265025</v>
      </c>
      <c r="X160" s="96">
        <v>6.479132688609921</v>
      </c>
      <c r="Y160" s="96">
        <v>6.545512129805279</v>
      </c>
      <c r="DA160" s="171" t="s">
        <v>902</v>
      </c>
    </row>
    <row r="161" spans="1:105" ht="11.45" customHeight="1" x14ac:dyDescent="0.25">
      <c r="A161" s="111" t="s">
        <v>111</v>
      </c>
      <c r="B161" s="96">
        <v>8.2588700024179094</v>
      </c>
      <c r="C161" s="96">
        <v>8.5186460664116535</v>
      </c>
      <c r="D161" s="96">
        <v>8.8168805497697402</v>
      </c>
      <c r="E161" s="96">
        <v>8.9008508407199276</v>
      </c>
      <c r="F161" s="96">
        <v>8.8168805497697402</v>
      </c>
      <c r="G161" s="96">
        <v>8.9955973190087199</v>
      </c>
      <c r="H161" s="96">
        <v>9.1281304282250986</v>
      </c>
      <c r="I161" s="96">
        <v>8.9863605870041976</v>
      </c>
      <c r="J161" s="96">
        <v>8.7126174385065855</v>
      </c>
      <c r="K161" s="96">
        <v>8.3702298549306278</v>
      </c>
      <c r="L161" s="96">
        <v>8.0487176344179563</v>
      </c>
      <c r="M161" s="96">
        <v>7.7185515435879637</v>
      </c>
      <c r="N161" s="96">
        <v>7.5167105454218577</v>
      </c>
      <c r="O161" s="96">
        <v>7.4022705450217163</v>
      </c>
      <c r="P161" s="96">
        <v>7.2885940461393046</v>
      </c>
      <c r="Q161" s="96">
        <v>7.142426561717734</v>
      </c>
      <c r="R161" s="96">
        <v>6.9017356072965539</v>
      </c>
      <c r="S161" s="96">
        <v>6.6479075468029079</v>
      </c>
      <c r="T161" s="96">
        <v>6.7312868052969135</v>
      </c>
      <c r="U161" s="96">
        <v>6.7436189233167241</v>
      </c>
      <c r="V161" s="96">
        <v>7.1882088126632082</v>
      </c>
      <c r="W161" s="96">
        <v>7.1019186129046021</v>
      </c>
      <c r="X161" s="96">
        <v>6.9882622526312739</v>
      </c>
      <c r="Y161" s="96">
        <v>7.0053751440453551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11.038297438709261</v>
      </c>
      <c r="I162" s="96">
        <v>10.866860616290943</v>
      </c>
      <c r="J162" s="96">
        <v>10.535833543585879</v>
      </c>
      <c r="K162" s="96">
        <v>10.121797392749759</v>
      </c>
      <c r="L162" s="96">
        <v>9.7330050164680859</v>
      </c>
      <c r="M162" s="96">
        <v>9.9087437871680208</v>
      </c>
      <c r="N162" s="96">
        <v>9.6621351261788515</v>
      </c>
      <c r="O162" s="96">
        <v>8.7826282605664101</v>
      </c>
      <c r="P162" s="96">
        <v>6.796094690647684</v>
      </c>
      <c r="Q162" s="96">
        <v>10.02507391135669</v>
      </c>
      <c r="R162" s="96">
        <v>11.523560820533085</v>
      </c>
      <c r="S162" s="96">
        <v>10.155466104485985</v>
      </c>
      <c r="T162" s="96">
        <v>10.526796141302698</v>
      </c>
      <c r="U162" s="96">
        <v>10.91872765639979</v>
      </c>
      <c r="V162" s="96">
        <v>11.767791652988798</v>
      </c>
      <c r="W162" s="96">
        <v>11.275863520536525</v>
      </c>
      <c r="X162" s="96">
        <v>10.052251028421853</v>
      </c>
      <c r="Y162" s="96">
        <v>8.3413391493224065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0</v>
      </c>
      <c r="F163" s="96">
        <v>0</v>
      </c>
      <c r="G163" s="96">
        <v>0</v>
      </c>
      <c r="H163" s="96">
        <v>8.8075394993602245</v>
      </c>
      <c r="I163" s="96">
        <v>8.6868882733415926</v>
      </c>
      <c r="J163" s="96">
        <v>8.3249345952856917</v>
      </c>
      <c r="K163" s="96">
        <v>7.8667063594932749</v>
      </c>
      <c r="L163" s="96">
        <v>7.58058994900275</v>
      </c>
      <c r="M163" s="96">
        <v>7.6994548980711457</v>
      </c>
      <c r="N163" s="96">
        <v>7.7076741551579042</v>
      </c>
      <c r="O163" s="96">
        <v>7.1579701918060668</v>
      </c>
      <c r="P163" s="96">
        <v>7.5213982220652422</v>
      </c>
      <c r="Q163" s="96">
        <v>6.6667810349043632</v>
      </c>
      <c r="R163" s="96">
        <v>6.0880220437641119</v>
      </c>
      <c r="S163" s="96">
        <v>6.3035378722111339</v>
      </c>
      <c r="T163" s="96">
        <v>6.4362211187694909</v>
      </c>
      <c r="U163" s="96">
        <v>0</v>
      </c>
      <c r="V163" s="96">
        <v>0</v>
      </c>
      <c r="W163" s="96">
        <v>0</v>
      </c>
      <c r="X163" s="96">
        <v>0</v>
      </c>
      <c r="Y163" s="96">
        <v>0</v>
      </c>
      <c r="DA163" s="171" t="s">
        <v>905</v>
      </c>
    </row>
    <row r="164" spans="1:105" ht="11.45" customHeight="1" x14ac:dyDescent="0.25">
      <c r="A164" s="111" t="s">
        <v>115</v>
      </c>
      <c r="B164" s="96">
        <v>1.6919540681818797</v>
      </c>
      <c r="C164" s="96">
        <v>1.6767188397102133</v>
      </c>
      <c r="D164" s="96">
        <v>0</v>
      </c>
      <c r="E164" s="96">
        <v>0</v>
      </c>
      <c r="F164" s="96">
        <v>1.4874141514225334</v>
      </c>
      <c r="G164" s="96">
        <v>0</v>
      </c>
      <c r="H164" s="96">
        <v>1.4458969923855043</v>
      </c>
      <c r="I164" s="96">
        <v>1.4314380224616492</v>
      </c>
      <c r="J164" s="96">
        <v>1.4171236422370326</v>
      </c>
      <c r="K164" s="96">
        <v>1.4029524058146621</v>
      </c>
      <c r="L164" s="96">
        <v>1.3889228817565151</v>
      </c>
      <c r="M164" s="96">
        <v>1.3750336529389502</v>
      </c>
      <c r="N164" s="96">
        <v>1.3612833164095608</v>
      </c>
      <c r="O164" s="96">
        <v>1.3931787966051119</v>
      </c>
      <c r="P164" s="96">
        <v>1.4077392404542133</v>
      </c>
      <c r="Q164" s="96">
        <v>1.513390891427135</v>
      </c>
      <c r="R164" s="96">
        <v>1.6254164070826536</v>
      </c>
      <c r="S164" s="96">
        <v>1.4639851486284232</v>
      </c>
      <c r="T164" s="96">
        <v>1.5538109655842685</v>
      </c>
      <c r="U164" s="96">
        <v>2.0247538809526122</v>
      </c>
      <c r="V164" s="96">
        <v>2.3550849917523227</v>
      </c>
      <c r="W164" s="96">
        <v>2.3625272041196519</v>
      </c>
      <c r="X164" s="96">
        <v>2.2079081077399336</v>
      </c>
      <c r="Y164" s="96">
        <v>2.0657726785549193</v>
      </c>
      <c r="DA164" s="171" t="s">
        <v>906</v>
      </c>
    </row>
    <row r="165" spans="1:105" ht="11.45" customHeight="1" x14ac:dyDescent="0.25">
      <c r="A165" s="109" t="s">
        <v>154</v>
      </c>
      <c r="B165" s="130">
        <v>33.546147315091126</v>
      </c>
      <c r="C165" s="130">
        <v>31.596063577976146</v>
      </c>
      <c r="D165" s="130">
        <v>32.018241141510444</v>
      </c>
      <c r="E165" s="130">
        <v>31.270667856440852</v>
      </c>
      <c r="F165" s="130">
        <v>31.27949198995848</v>
      </c>
      <c r="G165" s="130">
        <v>30.503899337757456</v>
      </c>
      <c r="H165" s="130">
        <v>30.218757261190699</v>
      </c>
      <c r="I165" s="130">
        <v>31.060923377618529</v>
      </c>
      <c r="J165" s="130">
        <v>30.693271276863467</v>
      </c>
      <c r="K165" s="130">
        <v>28.609588760067297</v>
      </c>
      <c r="L165" s="130">
        <v>28.698526259941627</v>
      </c>
      <c r="M165" s="130">
        <v>27.97682033799158</v>
      </c>
      <c r="N165" s="130">
        <v>27.598925268554066</v>
      </c>
      <c r="O165" s="130">
        <v>27.085220631150555</v>
      </c>
      <c r="P165" s="130">
        <v>26.463675827023582</v>
      </c>
      <c r="Q165" s="130">
        <v>25.805405808976005</v>
      </c>
      <c r="R165" s="130">
        <v>24.745595464452322</v>
      </c>
      <c r="S165" s="130">
        <v>23.868714801314827</v>
      </c>
      <c r="T165" s="130">
        <v>22.019725243848573</v>
      </c>
      <c r="U165" s="130">
        <v>21.756060822686976</v>
      </c>
      <c r="V165" s="130">
        <v>21.173882205228857</v>
      </c>
      <c r="W165" s="130">
        <v>21.276257523953525</v>
      </c>
      <c r="X165" s="130">
        <v>20.808734980393094</v>
      </c>
      <c r="Y165" s="130">
        <v>20.506650290771958</v>
      </c>
      <c r="DA165" s="176" t="s">
        <v>907</v>
      </c>
    </row>
    <row r="166" spans="1:105" ht="11.45" customHeight="1" x14ac:dyDescent="0.25">
      <c r="A166" s="128" t="s">
        <v>27</v>
      </c>
      <c r="B166" s="97">
        <v>0</v>
      </c>
      <c r="C166" s="97">
        <v>30.924742267979656</v>
      </c>
      <c r="D166" s="97">
        <v>30.766692337232875</v>
      </c>
      <c r="E166" s="97">
        <v>30.569890754710183</v>
      </c>
      <c r="F166" s="97">
        <v>30.334837596939458</v>
      </c>
      <c r="G166" s="97">
        <v>30.062125922637492</v>
      </c>
      <c r="H166" s="97">
        <v>29.752438074412268</v>
      </c>
      <c r="I166" s="97">
        <v>29.406541475835677</v>
      </c>
      <c r="J166" s="97">
        <v>29.025283971337718</v>
      </c>
      <c r="K166" s="97">
        <v>28.609588760067297</v>
      </c>
      <c r="L166" s="97">
        <v>28.160448979519664</v>
      </c>
      <c r="M166" s="97">
        <v>27.678921995598959</v>
      </c>
      <c r="N166" s="97">
        <v>27.166123457980362</v>
      </c>
      <c r="O166" s="97">
        <v>26.623221180324293</v>
      </c>
      <c r="P166" s="97">
        <v>26.051428903495164</v>
      </c>
      <c r="Q166" s="97">
        <v>25.451999999945986</v>
      </c>
      <c r="R166" s="97">
        <v>23.981752319275234</v>
      </c>
      <c r="S166" s="97">
        <v>22.952578942805708</v>
      </c>
      <c r="T166" s="97">
        <v>21.871946897512704</v>
      </c>
      <c r="U166" s="97">
        <v>20.551174397710145</v>
      </c>
      <c r="V166" s="97">
        <v>20.239307785484293</v>
      </c>
      <c r="W166" s="97">
        <v>20.203463945983966</v>
      </c>
      <c r="X166" s="97">
        <v>20.092155503713968</v>
      </c>
      <c r="Y166" s="97">
        <v>19.891233948676827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125.97126231880603</v>
      </c>
      <c r="C171" s="152">
        <v>123.78969895522826</v>
      </c>
      <c r="D171" s="152">
        <v>121.88431110596514</v>
      </c>
      <c r="E171" s="152">
        <v>119.84947198344112</v>
      </c>
      <c r="F171" s="152">
        <v>117.97747235302866</v>
      </c>
      <c r="G171" s="152">
        <v>115.98460476363562</v>
      </c>
      <c r="H171" s="152">
        <v>114.00489383886405</v>
      </c>
      <c r="I171" s="152">
        <v>111.21127663004761</v>
      </c>
      <c r="J171" s="152">
        <v>107.98671617988745</v>
      </c>
      <c r="K171" s="152">
        <v>105.78425031751212</v>
      </c>
      <c r="L171" s="152">
        <v>104.66621920950473</v>
      </c>
      <c r="M171" s="152">
        <v>103.13881972490455</v>
      </c>
      <c r="N171" s="152">
        <v>101.72650566045769</v>
      </c>
      <c r="O171" s="152">
        <v>100.17027859335106</v>
      </c>
      <c r="P171" s="152">
        <v>98.335675934902753</v>
      </c>
      <c r="Q171" s="152">
        <v>96.435181710880798</v>
      </c>
      <c r="R171" s="152">
        <v>94.194426660059861</v>
      </c>
      <c r="S171" s="152">
        <v>92.823787489692748</v>
      </c>
      <c r="T171" s="152">
        <v>90.766314698626644</v>
      </c>
      <c r="U171" s="152">
        <v>88.706066595526124</v>
      </c>
      <c r="V171" s="152">
        <v>87.444430226254482</v>
      </c>
      <c r="W171" s="152">
        <v>86.036440745882558</v>
      </c>
      <c r="X171" s="152">
        <v>83.847053806819986</v>
      </c>
      <c r="Y171" s="152">
        <v>81.453579876450462</v>
      </c>
      <c r="DA171" s="174" t="s">
        <v>910</v>
      </c>
    </row>
    <row r="172" spans="1:105" ht="11.45" customHeight="1" x14ac:dyDescent="0.25">
      <c r="A172" s="109" t="s">
        <v>20</v>
      </c>
      <c r="B172" s="116">
        <v>224.46841758236741</v>
      </c>
      <c r="C172" s="116">
        <v>221.8500197173872</v>
      </c>
      <c r="D172" s="116">
        <v>221.29217758929576</v>
      </c>
      <c r="E172" s="116">
        <v>220.5529885011766</v>
      </c>
      <c r="F172" s="116">
        <v>219.7339969952356</v>
      </c>
      <c r="G172" s="116">
        <v>217.96263740312656</v>
      </c>
      <c r="H172" s="116">
        <v>217.12267448237847</v>
      </c>
      <c r="I172" s="116">
        <v>214.47825006611524</v>
      </c>
      <c r="J172" s="116">
        <v>212.82973924482357</v>
      </c>
      <c r="K172" s="116">
        <v>209.09266038295269</v>
      </c>
      <c r="L172" s="116">
        <v>209.00678441508452</v>
      </c>
      <c r="M172" s="116">
        <v>207.16131296920227</v>
      </c>
      <c r="N172" s="116">
        <v>204.13865035235511</v>
      </c>
      <c r="O172" s="116">
        <v>201.34197959078156</v>
      </c>
      <c r="P172" s="116">
        <v>197.71426497352181</v>
      </c>
      <c r="Q172" s="116">
        <v>194.09292994681795</v>
      </c>
      <c r="R172" s="116">
        <v>190.14649345274316</v>
      </c>
      <c r="S172" s="116">
        <v>184.87327420355749</v>
      </c>
      <c r="T172" s="116">
        <v>180.55127021679411</v>
      </c>
      <c r="U172" s="116">
        <v>177.41619827683277</v>
      </c>
      <c r="V172" s="116">
        <v>168.77213710561801</v>
      </c>
      <c r="W172" s="116">
        <v>157.85457315006261</v>
      </c>
      <c r="X172" s="116">
        <v>152.01014652187993</v>
      </c>
      <c r="Y172" s="116">
        <v>152.52472555944004</v>
      </c>
      <c r="DA172" s="176" t="s">
        <v>911</v>
      </c>
    </row>
    <row r="173" spans="1:105" ht="11.45" customHeight="1" x14ac:dyDescent="0.25">
      <c r="A173" s="111" t="s">
        <v>110</v>
      </c>
      <c r="B173" s="87">
        <v>223.56924254730782</v>
      </c>
      <c r="C173" s="87">
        <v>221.76278206681084</v>
      </c>
      <c r="D173" s="87">
        <v>221.32086803846056</v>
      </c>
      <c r="E173" s="87">
        <v>220.63112417142833</v>
      </c>
      <c r="F173" s="87">
        <v>220.03988107471747</v>
      </c>
      <c r="G173" s="87">
        <v>219.01315150505732</v>
      </c>
      <c r="H173" s="87">
        <v>217.81611248910133</v>
      </c>
      <c r="I173" s="87">
        <v>216.39035802164176</v>
      </c>
      <c r="J173" s="87">
        <v>214.1943767539297</v>
      </c>
      <c r="K173" s="87">
        <v>210.3170976525937</v>
      </c>
      <c r="L173" s="87">
        <v>207.49474367289599</v>
      </c>
      <c r="M173" s="87">
        <v>204.49880215534893</v>
      </c>
      <c r="N173" s="87">
        <v>201.15854639187808</v>
      </c>
      <c r="O173" s="87">
        <v>197.84940275108775</v>
      </c>
      <c r="P173" s="87">
        <v>194.0413448861708</v>
      </c>
      <c r="Q173" s="87">
        <v>190.32864172991543</v>
      </c>
      <c r="R173" s="87">
        <v>186.44144045541702</v>
      </c>
      <c r="S173" s="87">
        <v>182.09899095270393</v>
      </c>
      <c r="T173" s="87">
        <v>178.23250937831108</v>
      </c>
      <c r="U173" s="87">
        <v>175.42601409143683</v>
      </c>
      <c r="V173" s="87">
        <v>172.309963048208</v>
      </c>
      <c r="W173" s="87">
        <v>169.2508156905059</v>
      </c>
      <c r="X173" s="87">
        <v>167.56222994616263</v>
      </c>
      <c r="Y173" s="87">
        <v>164.52486205493349</v>
      </c>
      <c r="DA173" s="171" t="s">
        <v>912</v>
      </c>
    </row>
    <row r="174" spans="1:105" ht="11.45" customHeight="1" x14ac:dyDescent="0.25">
      <c r="A174" s="111" t="s">
        <v>111</v>
      </c>
      <c r="B174" s="87">
        <v>211.69107491745493</v>
      </c>
      <c r="C174" s="87">
        <v>202.32864436708346</v>
      </c>
      <c r="D174" s="87">
        <v>201.04597705754517</v>
      </c>
      <c r="E174" s="87">
        <v>200.45032952378074</v>
      </c>
      <c r="F174" s="87">
        <v>199.46205241930437</v>
      </c>
      <c r="G174" s="87">
        <v>199.6908869948314</v>
      </c>
      <c r="H174" s="87">
        <v>200.2554759253043</v>
      </c>
      <c r="I174" s="87">
        <v>200.4971780259348</v>
      </c>
      <c r="J174" s="87">
        <v>200.70118707827237</v>
      </c>
      <c r="K174" s="87">
        <v>199.83742392452598</v>
      </c>
      <c r="L174" s="87">
        <v>199.10728056680736</v>
      </c>
      <c r="M174" s="87">
        <v>197.33492341722706</v>
      </c>
      <c r="N174" s="87">
        <v>194.79069624490845</v>
      </c>
      <c r="O174" s="87">
        <v>191.92463225246979</v>
      </c>
      <c r="P174" s="87">
        <v>188.70592233729897</v>
      </c>
      <c r="Q174" s="87">
        <v>184.93981726454996</v>
      </c>
      <c r="R174" s="87">
        <v>181.18684349714752</v>
      </c>
      <c r="S174" s="87">
        <v>177.98312340951964</v>
      </c>
      <c r="T174" s="87">
        <v>175.73954015624432</v>
      </c>
      <c r="U174" s="87">
        <v>173.5345382270954</v>
      </c>
      <c r="V174" s="87">
        <v>172.45247952746368</v>
      </c>
      <c r="W174" s="87">
        <v>171.20235102457795</v>
      </c>
      <c r="X174" s="87">
        <v>169.32836453817697</v>
      </c>
      <c r="Y174" s="87">
        <v>168.33639631283941</v>
      </c>
      <c r="DA174" s="171" t="s">
        <v>913</v>
      </c>
    </row>
    <row r="175" spans="1:105" ht="11.45" customHeight="1" x14ac:dyDescent="0.25">
      <c r="A175" s="111" t="s">
        <v>112</v>
      </c>
      <c r="B175" s="87">
        <v>208.18163362822764</v>
      </c>
      <c r="C175" s="87">
        <v>200.9068878567048</v>
      </c>
      <c r="D175" s="87">
        <v>191.73843630514932</v>
      </c>
      <c r="E175" s="87">
        <v>188.13700853840848</v>
      </c>
      <c r="F175" s="87">
        <v>183.10650696569496</v>
      </c>
      <c r="G175" s="87">
        <v>181.62956994280208</v>
      </c>
      <c r="H175" s="87">
        <v>181.47533415921822</v>
      </c>
      <c r="I175" s="87">
        <v>183.40107572067495</v>
      </c>
      <c r="J175" s="87">
        <v>183.78294552655692</v>
      </c>
      <c r="K175" s="87">
        <v>183.74287431812871</v>
      </c>
      <c r="L175" s="87">
        <v>184.2619256563533</v>
      </c>
      <c r="M175" s="87">
        <v>184.93233466266312</v>
      </c>
      <c r="N175" s="87">
        <v>184.86712783131799</v>
      </c>
      <c r="O175" s="87">
        <v>184.49670239311939</v>
      </c>
      <c r="P175" s="87">
        <v>183.95469822305466</v>
      </c>
      <c r="Q175" s="87">
        <v>183.46088881842854</v>
      </c>
      <c r="R175" s="87">
        <v>182.94082942889108</v>
      </c>
      <c r="S175" s="87">
        <v>182.34963425351833</v>
      </c>
      <c r="T175" s="87">
        <v>181.65015746957795</v>
      </c>
      <c r="U175" s="87">
        <v>180.71105551895806</v>
      </c>
      <c r="V175" s="87">
        <v>179.14075134851134</v>
      </c>
      <c r="W175" s="87">
        <v>176.33925248705734</v>
      </c>
      <c r="X175" s="87">
        <v>172.05192073256669</v>
      </c>
      <c r="Y175" s="87">
        <v>168.65185076936302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186.73868601165989</v>
      </c>
      <c r="H176" s="87">
        <v>186.37374309552843</v>
      </c>
      <c r="I176" s="87">
        <v>186.33080635212551</v>
      </c>
      <c r="J176" s="87">
        <v>181.50283090842282</v>
      </c>
      <c r="K176" s="87">
        <v>172.20197804741898</v>
      </c>
      <c r="L176" s="87">
        <v>170.82668007979339</v>
      </c>
      <c r="M176" s="87">
        <v>169.40380192416586</v>
      </c>
      <c r="N176" s="87">
        <v>168.11473617763517</v>
      </c>
      <c r="O176" s="87">
        <v>161.33544877517451</v>
      </c>
      <c r="P176" s="87">
        <v>154.33234545924279</v>
      </c>
      <c r="Q176" s="87">
        <v>149.37626369971025</v>
      </c>
      <c r="R176" s="87">
        <v>146.04678400636715</v>
      </c>
      <c r="S176" s="87">
        <v>142.79254498306875</v>
      </c>
      <c r="T176" s="87">
        <v>137.83617735239011</v>
      </c>
      <c r="U176" s="87">
        <v>134.22311282389475</v>
      </c>
      <c r="V176" s="87">
        <v>129.55151938325972</v>
      </c>
      <c r="W176" s="87">
        <v>127.04652417310952</v>
      </c>
      <c r="X176" s="87">
        <v>126.50550389327076</v>
      </c>
      <c r="Y176" s="87">
        <v>125.00689880248984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64.674343980159804</v>
      </c>
      <c r="N177" s="87">
        <v>48.334464508548933</v>
      </c>
      <c r="O177" s="87">
        <v>51.456855542938499</v>
      </c>
      <c r="P177" s="87">
        <v>45.778878580602523</v>
      </c>
      <c r="Q177" s="87">
        <v>47.468308945653071</v>
      </c>
      <c r="R177" s="87">
        <v>48.023213830781096</v>
      </c>
      <c r="S177" s="87">
        <v>49.702260802814664</v>
      </c>
      <c r="T177" s="87">
        <v>52.543238199125561</v>
      </c>
      <c r="U177" s="87">
        <v>52.926083274828478</v>
      </c>
      <c r="V177" s="87">
        <v>45.113604966556132</v>
      </c>
      <c r="W177" s="87">
        <v>40.806931507497481</v>
      </c>
      <c r="X177" s="87">
        <v>37.406844029902764</v>
      </c>
      <c r="Y177" s="87">
        <v>35.552198813911055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1680.1856984550943</v>
      </c>
      <c r="C179" s="116">
        <v>1635.0180660581184</v>
      </c>
      <c r="D179" s="116">
        <v>1622.6116787664726</v>
      </c>
      <c r="E179" s="116">
        <v>1616.3899973850748</v>
      </c>
      <c r="F179" s="116">
        <v>1606.5187700267265</v>
      </c>
      <c r="G179" s="116">
        <v>1591.1004398952089</v>
      </c>
      <c r="H179" s="116">
        <v>1566.1637184189533</v>
      </c>
      <c r="I179" s="116">
        <v>1542.6318705505191</v>
      </c>
      <c r="J179" s="116">
        <v>1524.4951545051638</v>
      </c>
      <c r="K179" s="116">
        <v>1504.1592336360679</v>
      </c>
      <c r="L179" s="116">
        <v>1502.1645947583233</v>
      </c>
      <c r="M179" s="116">
        <v>1480.8060931861453</v>
      </c>
      <c r="N179" s="116">
        <v>1461.8764235253764</v>
      </c>
      <c r="O179" s="116">
        <v>1449.3104351875961</v>
      </c>
      <c r="P179" s="116">
        <v>1438.8120544158928</v>
      </c>
      <c r="Q179" s="116">
        <v>1427.8959611732162</v>
      </c>
      <c r="R179" s="116">
        <v>1402.2881055679325</v>
      </c>
      <c r="S179" s="116">
        <v>1383.9067088724009</v>
      </c>
      <c r="T179" s="116">
        <v>1362.2616955543101</v>
      </c>
      <c r="U179" s="116">
        <v>1330.9324782680594</v>
      </c>
      <c r="V179" s="116">
        <v>1265.1844695551301</v>
      </c>
      <c r="W179" s="116">
        <v>1231.6100756385699</v>
      </c>
      <c r="X179" s="116">
        <v>1196.3954290551922</v>
      </c>
      <c r="Y179" s="116">
        <v>1146.6048020704732</v>
      </c>
      <c r="DA179" s="176" t="s">
        <v>918</v>
      </c>
    </row>
    <row r="180" spans="1:105" ht="11.45" customHeight="1" x14ac:dyDescent="0.25">
      <c r="A180" s="111" t="s">
        <v>110</v>
      </c>
      <c r="B180" s="101">
        <v>0</v>
      </c>
      <c r="C180" s="101">
        <v>0</v>
      </c>
      <c r="D180" s="101">
        <v>0</v>
      </c>
      <c r="E180" s="101">
        <v>0</v>
      </c>
      <c r="F180" s="101">
        <v>0</v>
      </c>
      <c r="G180" s="101">
        <v>0</v>
      </c>
      <c r="H180" s="101">
        <v>0</v>
      </c>
      <c r="I180" s="101">
        <v>0</v>
      </c>
      <c r="J180" s="101">
        <v>0</v>
      </c>
      <c r="K180" s="101">
        <v>0</v>
      </c>
      <c r="L180" s="101">
        <v>0</v>
      </c>
      <c r="M180" s="101">
        <v>0</v>
      </c>
      <c r="N180" s="101">
        <v>0</v>
      </c>
      <c r="O180" s="101">
        <v>0</v>
      </c>
      <c r="P180" s="101">
        <v>0</v>
      </c>
      <c r="Q180" s="101">
        <v>0</v>
      </c>
      <c r="R180" s="101">
        <v>0</v>
      </c>
      <c r="S180" s="101">
        <v>0</v>
      </c>
      <c r="T180" s="101">
        <v>0</v>
      </c>
      <c r="U180" s="101">
        <v>0</v>
      </c>
      <c r="V180" s="101">
        <v>0</v>
      </c>
      <c r="W180" s="101">
        <v>0</v>
      </c>
      <c r="X180" s="101">
        <v>0</v>
      </c>
      <c r="Y180" s="101">
        <v>0</v>
      </c>
      <c r="DA180" s="175" t="s">
        <v>919</v>
      </c>
    </row>
    <row r="181" spans="1:105" ht="11.45" customHeight="1" x14ac:dyDescent="0.25">
      <c r="A181" s="111" t="s">
        <v>111</v>
      </c>
      <c r="B181" s="101">
        <v>1684.6473855414479</v>
      </c>
      <c r="C181" s="101">
        <v>1650.1118438798223</v>
      </c>
      <c r="D181" s="101">
        <v>1632.5976438792829</v>
      </c>
      <c r="E181" s="101">
        <v>1615.3126597075159</v>
      </c>
      <c r="F181" s="101">
        <v>1598.9041589647143</v>
      </c>
      <c r="G181" s="101">
        <v>1581.7928591147906</v>
      </c>
      <c r="H181" s="101">
        <v>1565.5597889079393</v>
      </c>
      <c r="I181" s="101">
        <v>1539.8564014445005</v>
      </c>
      <c r="J181" s="101">
        <v>1521.5333183583944</v>
      </c>
      <c r="K181" s="101">
        <v>1504.3019964083683</v>
      </c>
      <c r="L181" s="101">
        <v>1493.1228212429285</v>
      </c>
      <c r="M181" s="101">
        <v>1475.4159423657075</v>
      </c>
      <c r="N181" s="101">
        <v>1464.2594769542877</v>
      </c>
      <c r="O181" s="101">
        <v>1446.2410094255504</v>
      </c>
      <c r="P181" s="101">
        <v>1434.5032235635292</v>
      </c>
      <c r="Q181" s="101">
        <v>1421.4493161433923</v>
      </c>
      <c r="R181" s="101">
        <v>1402.8086335298281</v>
      </c>
      <c r="S181" s="101">
        <v>1383.5145074436264</v>
      </c>
      <c r="T181" s="101">
        <v>1369.0818092115217</v>
      </c>
      <c r="U181" s="101">
        <v>1348.2765108708543</v>
      </c>
      <c r="V181" s="101">
        <v>1315.9901956829008</v>
      </c>
      <c r="W181" s="101">
        <v>1293.9257342666306</v>
      </c>
      <c r="X181" s="101">
        <v>1266.109202907732</v>
      </c>
      <c r="Y181" s="101">
        <v>1232.4529658926999</v>
      </c>
      <c r="DA181" s="175" t="s">
        <v>920</v>
      </c>
    </row>
    <row r="182" spans="1:105" ht="11.45" customHeight="1" x14ac:dyDescent="0.25">
      <c r="A182" s="111" t="s">
        <v>112</v>
      </c>
      <c r="B182" s="101">
        <v>0</v>
      </c>
      <c r="C182" s="101">
        <v>0</v>
      </c>
      <c r="D182" s="101">
        <v>0</v>
      </c>
      <c r="E182" s="101">
        <v>0</v>
      </c>
      <c r="F182" s="101">
        <v>1038.0289438245634</v>
      </c>
      <c r="G182" s="101">
        <v>1038.0289438245632</v>
      </c>
      <c r="H182" s="101">
        <v>1038.0289438245632</v>
      </c>
      <c r="I182" s="101">
        <v>1035.4655827284689</v>
      </c>
      <c r="J182" s="101">
        <v>1028.2390589833419</v>
      </c>
      <c r="K182" s="101">
        <v>1019.7234494260451</v>
      </c>
      <c r="L182" s="101">
        <v>1014.9752822576254</v>
      </c>
      <c r="M182" s="101">
        <v>1014.1207488450439</v>
      </c>
      <c r="N182" s="101">
        <v>1014.1207488450439</v>
      </c>
      <c r="O182" s="101">
        <v>1013.2004266007441</v>
      </c>
      <c r="P182" s="101">
        <v>1012.2064139334018</v>
      </c>
      <c r="Q182" s="101">
        <v>1011.129491115316</v>
      </c>
      <c r="R182" s="101">
        <v>1005.5426727508099</v>
      </c>
      <c r="S182" s="101">
        <v>1004.1622120330956</v>
      </c>
      <c r="T182" s="101">
        <v>996.92783566728122</v>
      </c>
      <c r="U182" s="101">
        <v>984.04756095600067</v>
      </c>
      <c r="V182" s="101">
        <v>971.51934480161788</v>
      </c>
      <c r="W182" s="101">
        <v>953.51086176392721</v>
      </c>
      <c r="X182" s="101">
        <v>942.56531953599733</v>
      </c>
      <c r="Y182" s="101">
        <v>917.97749076002583</v>
      </c>
      <c r="DA182" s="175" t="s">
        <v>921</v>
      </c>
    </row>
    <row r="183" spans="1:105" ht="11.45" customHeight="1" x14ac:dyDescent="0.25">
      <c r="A183" s="111" t="s">
        <v>113</v>
      </c>
      <c r="B183" s="101">
        <v>1067.2769721148027</v>
      </c>
      <c r="C183" s="101">
        <v>1038.6586221428502</v>
      </c>
      <c r="D183" s="101">
        <v>1025.1040864756069</v>
      </c>
      <c r="E183" s="101">
        <v>1018.0925157228819</v>
      </c>
      <c r="F183" s="101">
        <v>1013.5788038816072</v>
      </c>
      <c r="G183" s="101">
        <v>1007.4758803513785</v>
      </c>
      <c r="H183" s="101">
        <v>995.01538175915243</v>
      </c>
      <c r="I183" s="101">
        <v>987.24693194922929</v>
      </c>
      <c r="J183" s="101">
        <v>973.56565092667813</v>
      </c>
      <c r="K183" s="101">
        <v>968.81629914030214</v>
      </c>
      <c r="L183" s="101">
        <v>967.19395373475584</v>
      </c>
      <c r="M183" s="101">
        <v>961.71402648842093</v>
      </c>
      <c r="N183" s="101">
        <v>950.26769382224268</v>
      </c>
      <c r="O183" s="101">
        <v>945.46299381332403</v>
      </c>
      <c r="P183" s="101">
        <v>937.6193186094564</v>
      </c>
      <c r="Q183" s="101">
        <v>931.13783372120429</v>
      </c>
      <c r="R183" s="101">
        <v>923.04585249100523</v>
      </c>
      <c r="S183" s="101">
        <v>913.97777088749228</v>
      </c>
      <c r="T183" s="101">
        <v>905.66017756872043</v>
      </c>
      <c r="U183" s="101">
        <v>904.87811347373849</v>
      </c>
      <c r="V183" s="101">
        <v>897.56841946805059</v>
      </c>
      <c r="W183" s="101">
        <v>893.02770580167078</v>
      </c>
      <c r="X183" s="101">
        <v>891.93107015578857</v>
      </c>
      <c r="Y183" s="101">
        <v>890.16219428555382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315.38149530643898</v>
      </c>
      <c r="C186" s="152">
        <v>304.61449360128466</v>
      </c>
      <c r="D186" s="152">
        <v>301.94205002025188</v>
      </c>
      <c r="E186" s="152">
        <v>296.75929237790922</v>
      </c>
      <c r="F186" s="152">
        <v>289.61556143964305</v>
      </c>
      <c r="G186" s="152">
        <v>283.94318571150126</v>
      </c>
      <c r="H186" s="152">
        <v>280.58176416585036</v>
      </c>
      <c r="I186" s="152">
        <v>276.48871031931299</v>
      </c>
      <c r="J186" s="152">
        <v>268.49371159680049</v>
      </c>
      <c r="K186" s="152">
        <v>262.47397706298187</v>
      </c>
      <c r="L186" s="152">
        <v>239.38210400462248</v>
      </c>
      <c r="M186" s="152">
        <v>227.11102366987413</v>
      </c>
      <c r="N186" s="152">
        <v>258.70192179468722</v>
      </c>
      <c r="O186" s="152">
        <v>259.68997758196576</v>
      </c>
      <c r="P186" s="152">
        <v>256.18366121066583</v>
      </c>
      <c r="Q186" s="152">
        <v>253.48094632315113</v>
      </c>
      <c r="R186" s="152">
        <v>247.34776440622289</v>
      </c>
      <c r="S186" s="152">
        <v>239.7378341995377</v>
      </c>
      <c r="T186" s="152">
        <v>235.60542179380542</v>
      </c>
      <c r="U186" s="152">
        <v>229.257457708191</v>
      </c>
      <c r="V186" s="152">
        <v>226.68989580655659</v>
      </c>
      <c r="W186" s="152">
        <v>221.50647963275176</v>
      </c>
      <c r="X186" s="152">
        <v>218.49929219271229</v>
      </c>
      <c r="Y186" s="152">
        <v>217.24983669191002</v>
      </c>
      <c r="DA186" s="174" t="s">
        <v>924</v>
      </c>
    </row>
    <row r="187" spans="1:105" ht="11.45" customHeight="1" x14ac:dyDescent="0.25">
      <c r="A187" s="111" t="s">
        <v>110</v>
      </c>
      <c r="B187" s="87">
        <v>276.21830366552439</v>
      </c>
      <c r="C187" s="87">
        <v>270.95736486595763</v>
      </c>
      <c r="D187" s="87">
        <v>269.00077663017896</v>
      </c>
      <c r="E187" s="87">
        <v>266.91179881504416</v>
      </c>
      <c r="F187" s="87">
        <v>264.9074834889675</v>
      </c>
      <c r="G187" s="87">
        <v>262.53863210899601</v>
      </c>
      <c r="H187" s="87">
        <v>260.04596906684418</v>
      </c>
      <c r="I187" s="87">
        <v>258.69759834715728</v>
      </c>
      <c r="J187" s="87">
        <v>255.17205075032919</v>
      </c>
      <c r="K187" s="87">
        <v>251.56190891365458</v>
      </c>
      <c r="L187" s="87">
        <v>247.66745490030124</v>
      </c>
      <c r="M187" s="87">
        <v>243.01561394405277</v>
      </c>
      <c r="N187" s="87">
        <v>236.39232094351871</v>
      </c>
      <c r="O187" s="87">
        <v>231.00632538650083</v>
      </c>
      <c r="P187" s="87">
        <v>227.39860630198197</v>
      </c>
      <c r="Q187" s="87">
        <v>223.62076062456083</v>
      </c>
      <c r="R187" s="87">
        <v>217.66953130657856</v>
      </c>
      <c r="S187" s="87">
        <v>208.99096808220693</v>
      </c>
      <c r="T187" s="87">
        <v>203.86937085202129</v>
      </c>
      <c r="U187" s="87">
        <v>196.0920151256515</v>
      </c>
      <c r="V187" s="87">
        <v>193.18495605144386</v>
      </c>
      <c r="W187" s="87">
        <v>191.41311140995359</v>
      </c>
      <c r="X187" s="87">
        <v>188.97319472946887</v>
      </c>
      <c r="Y187" s="87">
        <v>189.43549999741097</v>
      </c>
      <c r="DA187" s="171" t="s">
        <v>925</v>
      </c>
    </row>
    <row r="188" spans="1:105" ht="11.45" customHeight="1" x14ac:dyDescent="0.25">
      <c r="A188" s="111" t="s">
        <v>111</v>
      </c>
      <c r="B188" s="87">
        <v>305.6440529645418</v>
      </c>
      <c r="C188" s="87">
        <v>289.52525411155096</v>
      </c>
      <c r="D188" s="87">
        <v>284.63871797812681</v>
      </c>
      <c r="E188" s="87">
        <v>280.9812821890846</v>
      </c>
      <c r="F188" s="87">
        <v>277.29263743170037</v>
      </c>
      <c r="G188" s="87">
        <v>277.18238442742336</v>
      </c>
      <c r="H188" s="87">
        <v>276.00917123737395</v>
      </c>
      <c r="I188" s="87">
        <v>273.98456855716682</v>
      </c>
      <c r="J188" s="87">
        <v>271.78999279555222</v>
      </c>
      <c r="K188" s="87">
        <v>269.74051064055891</v>
      </c>
      <c r="L188" s="87">
        <v>269.66148974380485</v>
      </c>
      <c r="M188" s="87">
        <v>271.0849399138682</v>
      </c>
      <c r="N188" s="87">
        <v>267.29971111512498</v>
      </c>
      <c r="O188" s="87">
        <v>263.58229309152966</v>
      </c>
      <c r="P188" s="87">
        <v>259.26512182605859</v>
      </c>
      <c r="Q188" s="87">
        <v>254.33633922706693</v>
      </c>
      <c r="R188" s="87">
        <v>248.58230002081433</v>
      </c>
      <c r="S188" s="87">
        <v>242.45139324034025</v>
      </c>
      <c r="T188" s="87">
        <v>236.75192702591244</v>
      </c>
      <c r="U188" s="87">
        <v>231.59825280730078</v>
      </c>
      <c r="V188" s="87">
        <v>230.14892506588856</v>
      </c>
      <c r="W188" s="87">
        <v>228.06494072460291</v>
      </c>
      <c r="X188" s="87">
        <v>226.84462366102832</v>
      </c>
      <c r="Y188" s="87">
        <v>225.54637617209497</v>
      </c>
      <c r="DA188" s="171" t="s">
        <v>926</v>
      </c>
    </row>
    <row r="189" spans="1:105" ht="11.45" customHeight="1" x14ac:dyDescent="0.25">
      <c r="A189" s="111" t="s">
        <v>112</v>
      </c>
      <c r="B189" s="87">
        <v>0</v>
      </c>
      <c r="C189" s="87">
        <v>0</v>
      </c>
      <c r="D189" s="87">
        <v>0</v>
      </c>
      <c r="E189" s="87">
        <v>0</v>
      </c>
      <c r="F189" s="87">
        <v>0</v>
      </c>
      <c r="G189" s="87">
        <v>0</v>
      </c>
      <c r="H189" s="87">
        <v>341.54526519150022</v>
      </c>
      <c r="I189" s="87">
        <v>337.76514552519507</v>
      </c>
      <c r="J189" s="87">
        <v>325.83477550139833</v>
      </c>
      <c r="K189" s="87">
        <v>322.03160644282809</v>
      </c>
      <c r="L189" s="87">
        <v>314.85282803310105</v>
      </c>
      <c r="M189" s="87">
        <v>310.96988953427137</v>
      </c>
      <c r="N189" s="87">
        <v>306.79087621203905</v>
      </c>
      <c r="O189" s="87">
        <v>304.69244237845129</v>
      </c>
      <c r="P189" s="87">
        <v>297.88602446383379</v>
      </c>
      <c r="Q189" s="87">
        <v>293.49669759078904</v>
      </c>
      <c r="R189" s="87">
        <v>293.67960104035217</v>
      </c>
      <c r="S189" s="87">
        <v>291.03650892674722</v>
      </c>
      <c r="T189" s="87">
        <v>289.3358949810729</v>
      </c>
      <c r="U189" s="87">
        <v>284.5921543500267</v>
      </c>
      <c r="V189" s="87">
        <v>287.02121163595422</v>
      </c>
      <c r="W189" s="87">
        <v>288.71211267077712</v>
      </c>
      <c r="X189" s="87">
        <v>286.47149446230469</v>
      </c>
      <c r="Y189" s="87">
        <v>279.45982010106894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0</v>
      </c>
      <c r="F190" s="87">
        <v>0</v>
      </c>
      <c r="G190" s="87">
        <v>0</v>
      </c>
      <c r="H190" s="87">
        <v>206.87102976891902</v>
      </c>
      <c r="I190" s="87">
        <v>206.41632041598569</v>
      </c>
      <c r="J190" s="87">
        <v>204.53519044660626</v>
      </c>
      <c r="K190" s="87">
        <v>202.36841825729564</v>
      </c>
      <c r="L190" s="87">
        <v>200.1804601241501</v>
      </c>
      <c r="M190" s="87">
        <v>197.67014006688683</v>
      </c>
      <c r="N190" s="87">
        <v>195.16749836575269</v>
      </c>
      <c r="O190" s="87">
        <v>192.3305972927414</v>
      </c>
      <c r="P190" s="87">
        <v>190.50119886737551</v>
      </c>
      <c r="Q190" s="87">
        <v>186.98392298574842</v>
      </c>
      <c r="R190" s="87">
        <v>170.62781812587397</v>
      </c>
      <c r="S190" s="87">
        <v>168.710315607219</v>
      </c>
      <c r="T190" s="87">
        <v>165.44632838041605</v>
      </c>
      <c r="U190" s="87">
        <v>165.27973772079432</v>
      </c>
      <c r="V190" s="87">
        <v>164.01967322212064</v>
      </c>
      <c r="W190" s="87">
        <v>161.77282093615014</v>
      </c>
      <c r="X190" s="87">
        <v>159.13935809739752</v>
      </c>
      <c r="Y190" s="87">
        <v>156.67702277526865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1020.0038407075326</v>
      </c>
      <c r="C192" s="116">
        <v>1018.5562408943804</v>
      </c>
      <c r="D192" s="116">
        <v>1018.038105731864</v>
      </c>
      <c r="E192" s="116">
        <v>1016.5549125011029</v>
      </c>
      <c r="F192" s="116">
        <v>1013.1476618792863</v>
      </c>
      <c r="G192" s="116">
        <v>1008.0682065358554</v>
      </c>
      <c r="H192" s="116">
        <v>1000.626015094789</v>
      </c>
      <c r="I192" s="116">
        <v>997.13695945364395</v>
      </c>
      <c r="J192" s="116">
        <v>994.33446622940005</v>
      </c>
      <c r="K192" s="116">
        <v>983.23707555115459</v>
      </c>
      <c r="L192" s="116">
        <v>970.57133016364708</v>
      </c>
      <c r="M192" s="116">
        <v>954.91166448056583</v>
      </c>
      <c r="N192" s="116">
        <v>941.37960033520744</v>
      </c>
      <c r="O192" s="116">
        <v>925.2756836056127</v>
      </c>
      <c r="P192" s="116">
        <v>909.32034682949427</v>
      </c>
      <c r="Q192" s="116">
        <v>893.23209074605347</v>
      </c>
      <c r="R192" s="116">
        <v>874.37223071027336</v>
      </c>
      <c r="S192" s="116">
        <v>854.84566571828634</v>
      </c>
      <c r="T192" s="116">
        <v>835.85121560389473</v>
      </c>
      <c r="U192" s="116">
        <v>812.25222761766304</v>
      </c>
      <c r="V192" s="116">
        <v>796.43438382922614</v>
      </c>
      <c r="W192" s="116">
        <v>777.88460744951658</v>
      </c>
      <c r="X192" s="116">
        <v>758.36138838787622</v>
      </c>
      <c r="Y192" s="116">
        <v>739.62886823023564</v>
      </c>
      <c r="DA192" s="176" t="s">
        <v>930</v>
      </c>
    </row>
    <row r="193" spans="1:105" ht="11.45" customHeight="1" x14ac:dyDescent="0.25">
      <c r="A193" s="128" t="s">
        <v>27</v>
      </c>
      <c r="B193" s="101">
        <v>943.58678755825247</v>
      </c>
      <c r="C193" s="101">
        <v>942.23198963072241</v>
      </c>
      <c r="D193" s="101">
        <v>941.62869633484388</v>
      </c>
      <c r="E193" s="101">
        <v>940.25203737036225</v>
      </c>
      <c r="F193" s="101">
        <v>937.09245572822863</v>
      </c>
      <c r="G193" s="101">
        <v>932.42995820779242</v>
      </c>
      <c r="H193" s="101">
        <v>925.54958174664034</v>
      </c>
      <c r="I193" s="101">
        <v>921.3296729849219</v>
      </c>
      <c r="J193" s="101">
        <v>919.7937360397359</v>
      </c>
      <c r="K193" s="101">
        <v>909.32871795600056</v>
      </c>
      <c r="L193" s="101">
        <v>897.51557420268921</v>
      </c>
      <c r="M193" s="101">
        <v>882.45626814709578</v>
      </c>
      <c r="N193" s="101">
        <v>869.73675694970837</v>
      </c>
      <c r="O193" s="101">
        <v>854.62507757972185</v>
      </c>
      <c r="P193" s="101">
        <v>839.05490605992452</v>
      </c>
      <c r="Q193" s="101">
        <v>823.2082482452056</v>
      </c>
      <c r="R193" s="101">
        <v>805.12804447212113</v>
      </c>
      <c r="S193" s="101">
        <v>786.30916846596438</v>
      </c>
      <c r="T193" s="101">
        <v>767.00588679579766</v>
      </c>
      <c r="U193" s="101">
        <v>744.12739540711709</v>
      </c>
      <c r="V193" s="101">
        <v>729.49366013249971</v>
      </c>
      <c r="W193" s="101">
        <v>711.58238005651879</v>
      </c>
      <c r="X193" s="101">
        <v>692.16309143390777</v>
      </c>
      <c r="Y193" s="101">
        <v>673.75735243835481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1055.3639112087908</v>
      </c>
      <c r="D194" s="88">
        <v>1046.0679578768686</v>
      </c>
      <c r="E194" s="88">
        <v>1038.5791313803131</v>
      </c>
      <c r="F194" s="88">
        <v>1019.4766622957761</v>
      </c>
      <c r="G194" s="88">
        <v>1010.7417169876796</v>
      </c>
      <c r="H194" s="88">
        <v>999.09965463111826</v>
      </c>
      <c r="I194" s="88">
        <v>987.5693258619018</v>
      </c>
      <c r="J194" s="88">
        <v>976.64503949942969</v>
      </c>
      <c r="K194" s="88">
        <v>971.94284790477798</v>
      </c>
      <c r="L194" s="88">
        <v>956.79824057958854</v>
      </c>
      <c r="M194" s="88">
        <v>945.18289547412644</v>
      </c>
      <c r="N194" s="88">
        <v>932.02657584765632</v>
      </c>
      <c r="O194" s="88">
        <v>916.04451634751877</v>
      </c>
      <c r="P194" s="88">
        <v>903.88873215423894</v>
      </c>
      <c r="Q194" s="88">
        <v>893.54782277697632</v>
      </c>
      <c r="R194" s="88">
        <v>875.11610670498442</v>
      </c>
      <c r="S194" s="88">
        <v>856.66325672020889</v>
      </c>
      <c r="T194" s="88">
        <v>851.42179510535937</v>
      </c>
      <c r="U194" s="88">
        <v>830.349445329942</v>
      </c>
      <c r="V194" s="88">
        <v>815.78912039798706</v>
      </c>
      <c r="W194" s="88">
        <v>799.89973715784481</v>
      </c>
      <c r="X194" s="88">
        <v>788.43825023681029</v>
      </c>
      <c r="Y194" s="88">
        <v>777.81264858185011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1.1275146285342126</v>
      </c>
      <c r="C198" s="150">
        <f>IF(TrRoad_act!C59=0,0,TrRoad_emi!C56/TrRoad_tech!C171)</f>
        <v>1.1279378901505679</v>
      </c>
      <c r="D198" s="150">
        <f>IF(TrRoad_act!D59=0,0,TrRoad_emi!D56/TrRoad_tech!D171)</f>
        <v>1.1289003103144439</v>
      </c>
      <c r="E198" s="150">
        <f>IF(TrRoad_act!E59=0,0,TrRoad_emi!E56/TrRoad_tech!E171)</f>
        <v>1.1305135725637891</v>
      </c>
      <c r="F198" s="150">
        <f>IF(TrRoad_act!F59=0,0,TrRoad_emi!F56/TrRoad_tech!F171)</f>
        <v>1.1310186096310439</v>
      </c>
      <c r="G198" s="150">
        <f>IF(TrRoad_act!G59=0,0,TrRoad_emi!G56/TrRoad_tech!G171)</f>
        <v>1.1286279805016706</v>
      </c>
      <c r="H198" s="150">
        <f>IF(TrRoad_act!H59=0,0,TrRoad_emi!H56/TrRoad_tech!H171)</f>
        <v>1.1233523271442416</v>
      </c>
      <c r="I198" s="150">
        <f>IF(TrRoad_act!I59=0,0,TrRoad_emi!I56/TrRoad_tech!I171)</f>
        <v>1.1296074608049582</v>
      </c>
      <c r="J198" s="150">
        <f>IF(TrRoad_act!J59=0,0,TrRoad_emi!J56/TrRoad_tech!J171)</f>
        <v>1.1302470232705792</v>
      </c>
      <c r="K198" s="150">
        <f>IF(TrRoad_act!K59=0,0,TrRoad_emi!K56/TrRoad_tech!K171)</f>
        <v>1.1253217671910425</v>
      </c>
      <c r="L198" s="150">
        <f>IF(TrRoad_act!L59=0,0,TrRoad_emi!L56/TrRoad_tech!L171)</f>
        <v>1.1184235513031924</v>
      </c>
      <c r="M198" s="150">
        <f>IF(TrRoad_act!M59=0,0,TrRoad_emi!M56/TrRoad_tech!M171)</f>
        <v>1.1225269652117105</v>
      </c>
      <c r="N198" s="150">
        <f>IF(TrRoad_act!N59=0,0,TrRoad_emi!N56/TrRoad_tech!N171)</f>
        <v>1.1253200758266402</v>
      </c>
      <c r="O198" s="150">
        <f>IF(TrRoad_act!O59=0,0,TrRoad_emi!O56/TrRoad_tech!O171)</f>
        <v>1.1101206020684917</v>
      </c>
      <c r="P198" s="150">
        <f>IF(TrRoad_act!P59=0,0,TrRoad_emi!P56/TrRoad_tech!P171)</f>
        <v>1.0863370742530032</v>
      </c>
      <c r="Q198" s="150">
        <f>IF(TrRoad_act!Q59=0,0,TrRoad_emi!Q56/TrRoad_tech!Q171)</f>
        <v>1.1520128329112826</v>
      </c>
      <c r="R198" s="150">
        <f>IF(TrRoad_act!R59=0,0,TrRoad_emi!R56/TrRoad_tech!R171)</f>
        <v>1.1639661211668249</v>
      </c>
      <c r="S198" s="150">
        <f>IF(TrRoad_act!S59=0,0,TrRoad_emi!S56/TrRoad_tech!S171)</f>
        <v>1.1729853095505336</v>
      </c>
      <c r="T198" s="150">
        <f>IF(TrRoad_act!T59=0,0,TrRoad_emi!T56/TrRoad_tech!T171)</f>
        <v>1.1825425661935931</v>
      </c>
      <c r="U198" s="150">
        <f>IF(TrRoad_act!U59=0,0,TrRoad_emi!U56/TrRoad_tech!U171)</f>
        <v>1.199186660583512</v>
      </c>
      <c r="V198" s="150">
        <f>IF(TrRoad_act!V59=0,0,TrRoad_emi!V56/TrRoad_tech!V171)</f>
        <v>1.2064736872388602</v>
      </c>
      <c r="W198" s="150">
        <f>IF(TrRoad_act!W59=0,0,TrRoad_emi!W56/TrRoad_tech!W171)</f>
        <v>1.2147817926888795</v>
      </c>
      <c r="X198" s="150">
        <f>IF(TrRoad_act!X59=0,0,TrRoad_emi!X56/TrRoad_tech!X171)</f>
        <v>1.2344475936876469</v>
      </c>
      <c r="Y198" s="150">
        <f>IF(TrRoad_act!Y59=0,0,TrRoad_emi!Y56/TrRoad_tech!Y171)</f>
        <v>1.2522655385910186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1.0083027519813814</v>
      </c>
      <c r="C199" s="151">
        <f>IF(TrRoad_act!C60=0,0,TrRoad_emi!C57/TrRoad_tech!C172)</f>
        <v>0.99995129799276472</v>
      </c>
      <c r="D199" s="151">
        <f>IF(TrRoad_act!D60=0,0,TrRoad_emi!D57/TrRoad_tech!D172)</f>
        <v>0.99530223970024623</v>
      </c>
      <c r="E199" s="151">
        <f>IF(TrRoad_act!E60=0,0,TrRoad_emi!E57/TrRoad_tech!E172)</f>
        <v>1.00349101664963</v>
      </c>
      <c r="F199" s="151">
        <f>IF(TrRoad_act!F60=0,0,TrRoad_emi!F57/TrRoad_tech!F172)</f>
        <v>0.99573056006977867</v>
      </c>
      <c r="G199" s="151">
        <f>IF(TrRoad_act!G60=0,0,TrRoad_emi!G57/TrRoad_tech!G172)</f>
        <v>0.98533994132051683</v>
      </c>
      <c r="H199" s="151">
        <f>IF(TrRoad_act!H60=0,0,TrRoad_emi!H57/TrRoad_tech!H172)</f>
        <v>0.95616284493089365</v>
      </c>
      <c r="I199" s="151">
        <f>IF(TrRoad_act!I60=0,0,TrRoad_emi!I57/TrRoad_tech!I172)</f>
        <v>0.95489346033953049</v>
      </c>
      <c r="J199" s="151">
        <f>IF(TrRoad_act!J60=0,0,TrRoad_emi!J57/TrRoad_tech!J172)</f>
        <v>0.96630445221410233</v>
      </c>
      <c r="K199" s="151">
        <f>IF(TrRoad_act!K60=0,0,TrRoad_emi!K57/TrRoad_tech!K172)</f>
        <v>0.98041831014197756</v>
      </c>
      <c r="L199" s="151">
        <f>IF(TrRoad_act!L60=0,0,TrRoad_emi!L57/TrRoad_tech!L172)</f>
        <v>0.96229208078113682</v>
      </c>
      <c r="M199" s="151">
        <f>IF(TrRoad_act!M60=0,0,TrRoad_emi!M57/TrRoad_tech!M172)</f>
        <v>0.96296124439625741</v>
      </c>
      <c r="N199" s="151">
        <f>IF(TrRoad_act!N60=0,0,TrRoad_emi!N57/TrRoad_tech!N172)</f>
        <v>0.95876791710574527</v>
      </c>
      <c r="O199" s="151">
        <f>IF(TrRoad_act!O60=0,0,TrRoad_emi!O57/TrRoad_tech!O172)</f>
        <v>0.97030811196645983</v>
      </c>
      <c r="P199" s="151">
        <f>IF(TrRoad_act!P60=0,0,TrRoad_emi!P57/TrRoad_tech!P172)</f>
        <v>0.9489377250444867</v>
      </c>
      <c r="Q199" s="151">
        <f>IF(TrRoad_act!Q60=0,0,TrRoad_emi!Q57/TrRoad_tech!Q172)</f>
        <v>0.99277230434936448</v>
      </c>
      <c r="R199" s="151">
        <f>IF(TrRoad_act!R60=0,0,TrRoad_emi!R57/TrRoad_tech!R172)</f>
        <v>0.99549077186755741</v>
      </c>
      <c r="S199" s="151">
        <f>IF(TrRoad_act!S60=0,0,TrRoad_emi!S57/TrRoad_tech!S172)</f>
        <v>0.99144291816861219</v>
      </c>
      <c r="T199" s="151">
        <f>IF(TrRoad_act!T60=0,0,TrRoad_emi!T57/TrRoad_tech!T172)</f>
        <v>0.97654636351523438</v>
      </c>
      <c r="U199" s="151">
        <f>IF(TrRoad_act!U60=0,0,TrRoad_emi!U57/TrRoad_tech!U172)</f>
        <v>1.0018247811828533</v>
      </c>
      <c r="V199" s="151">
        <f>IF(TrRoad_act!V60=0,0,TrRoad_emi!V57/TrRoad_tech!V172)</f>
        <v>1.0007712487292337</v>
      </c>
      <c r="W199" s="151">
        <f>IF(TrRoad_act!W60=0,0,TrRoad_emi!W57/TrRoad_tech!W172)</f>
        <v>1.0580990715000482</v>
      </c>
      <c r="X199" s="151">
        <f>IF(TrRoad_act!X60=0,0,TrRoad_emi!X57/TrRoad_tech!X172)</f>
        <v>1.0684444943765241</v>
      </c>
      <c r="Y199" s="151">
        <f>IF(TrRoad_act!Y60=0,0,TrRoad_emi!Y57/TrRoad_tech!Y172)</f>
        <v>1.0387479937534347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1.0279420847429865</v>
      </c>
      <c r="C200" s="91">
        <f>IF(TrRoad_act!C61=0,0,TrRoad_emi!C58/TrRoad_tech!C173)</f>
        <v>1.0279719340753366</v>
      </c>
      <c r="D200" s="91">
        <f>IF(TrRoad_act!D61=0,0,TrRoad_emi!D58/TrRoad_tech!D173)</f>
        <v>1.0281360510350313</v>
      </c>
      <c r="E200" s="91">
        <f>IF(TrRoad_act!E61=0,0,TrRoad_emi!E58/TrRoad_tech!E173)</f>
        <v>1.0284659670333032</v>
      </c>
      <c r="F200" s="91">
        <f>IF(TrRoad_act!F61=0,0,TrRoad_emi!F58/TrRoad_tech!F173)</f>
        <v>1.0271216917151307</v>
      </c>
      <c r="G200" s="91">
        <f>IF(TrRoad_act!G61=0,0,TrRoad_emi!G58/TrRoad_tech!G173)</f>
        <v>1.0225737239634531</v>
      </c>
      <c r="H200" s="91">
        <f>IF(TrRoad_act!H61=0,0,TrRoad_emi!H58/TrRoad_tech!H173)</f>
        <v>1.015231590002561</v>
      </c>
      <c r="I200" s="91">
        <f>IF(TrRoad_act!I61=0,0,TrRoad_emi!I58/TrRoad_tech!I173)</f>
        <v>1.0171648948931729</v>
      </c>
      <c r="J200" s="91">
        <f>IF(TrRoad_act!J61=0,0,TrRoad_emi!J58/TrRoad_tech!J173)</f>
        <v>1.0092534465031207</v>
      </c>
      <c r="K200" s="91">
        <f>IF(TrRoad_act!K61=0,0,TrRoad_emi!K58/TrRoad_tech!K173)</f>
        <v>0.99794295684297352</v>
      </c>
      <c r="L200" s="91">
        <f>IF(TrRoad_act!L61=0,0,TrRoad_emi!L58/TrRoad_tech!L173)</f>
        <v>0.99107157230521858</v>
      </c>
      <c r="M200" s="91">
        <f>IF(TrRoad_act!M61=0,0,TrRoad_emi!M58/TrRoad_tech!M173)</f>
        <v>0.99145087115293373</v>
      </c>
      <c r="N200" s="91">
        <f>IF(TrRoad_act!N61=0,0,TrRoad_emi!N58/TrRoad_tech!N173)</f>
        <v>0.9906459065419575</v>
      </c>
      <c r="O200" s="91">
        <f>IF(TrRoad_act!O61=0,0,TrRoad_emi!O58/TrRoad_tech!O173)</f>
        <v>0.99485843561116649</v>
      </c>
      <c r="P200" s="91">
        <f>IF(TrRoad_act!P61=0,0,TrRoad_emi!P58/TrRoad_tech!P173)</f>
        <v>0.99692301342042822</v>
      </c>
      <c r="Q200" s="91">
        <f>IF(TrRoad_act!Q61=0,0,TrRoad_emi!Q58/TrRoad_tech!Q173)</f>
        <v>0.99870388097853602</v>
      </c>
      <c r="R200" s="91">
        <f>IF(TrRoad_act!R61=0,0,TrRoad_emi!R58/TrRoad_tech!R173)</f>
        <v>1.0030060558522329</v>
      </c>
      <c r="S200" s="91">
        <f>IF(TrRoad_act!S61=0,0,TrRoad_emi!S58/TrRoad_tech!S173)</f>
        <v>1.009414289465929</v>
      </c>
      <c r="T200" s="91">
        <f>IF(TrRoad_act!T61=0,0,TrRoad_emi!T58/TrRoad_tech!T173)</f>
        <v>1.0085094747204435</v>
      </c>
      <c r="U200" s="91">
        <f>IF(TrRoad_act!U61=0,0,TrRoad_emi!U58/TrRoad_tech!U173)</f>
        <v>1.0148743033123484</v>
      </c>
      <c r="V200" s="91">
        <f>IF(TrRoad_act!V61=0,0,TrRoad_emi!V58/TrRoad_tech!V173)</f>
        <v>1.0180372750090649</v>
      </c>
      <c r="W200" s="91">
        <f>IF(TrRoad_act!W61=0,0,TrRoad_emi!W58/TrRoad_tech!W173)</f>
        <v>1.0189674149803765</v>
      </c>
      <c r="X200" s="91">
        <f>IF(TrRoad_act!X61=0,0,TrRoad_emi!X58/TrRoad_tech!X173)</f>
        <v>1.0150796862798315</v>
      </c>
      <c r="Y200" s="91">
        <f>IF(TrRoad_act!Y61=0,0,TrRoad_emi!Y58/TrRoad_tech!Y173)</f>
        <v>1.0153279839177258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1.0187490544608708</v>
      </c>
      <c r="C201" s="91">
        <f>IF(TrRoad_act!C62=0,0,TrRoad_emi!C59/TrRoad_tech!C174)</f>
        <v>1.0151924045520253</v>
      </c>
      <c r="D201" s="91">
        <f>IF(TrRoad_act!D62=0,0,TrRoad_emi!D59/TrRoad_tech!D174)</f>
        <v>1.0086955110728284</v>
      </c>
      <c r="E201" s="91">
        <f>IF(TrRoad_act!E62=0,0,TrRoad_emi!E59/TrRoad_tech!E174)</f>
        <v>1.0457469883476724</v>
      </c>
      <c r="F201" s="91">
        <f>IF(TrRoad_act!F62=0,0,TrRoad_emi!F59/TrRoad_tech!F174)</f>
        <v>1.0310866696190384</v>
      </c>
      <c r="G201" s="91">
        <f>IF(TrRoad_act!G62=0,0,TrRoad_emi!G59/TrRoad_tech!G174)</f>
        <v>0.9990651636153518</v>
      </c>
      <c r="H201" s="91">
        <f>IF(TrRoad_act!H62=0,0,TrRoad_emi!H59/TrRoad_tech!H174)</f>
        <v>0.93005862976586295</v>
      </c>
      <c r="I201" s="91">
        <f>IF(TrRoad_act!I62=0,0,TrRoad_emi!I59/TrRoad_tech!I174)</f>
        <v>0.91033677522566891</v>
      </c>
      <c r="J201" s="91">
        <f>IF(TrRoad_act!J62=0,0,TrRoad_emi!J59/TrRoad_tech!J174)</f>
        <v>0.94139121786800117</v>
      </c>
      <c r="K201" s="91">
        <f>IF(TrRoad_act!K62=0,0,TrRoad_emi!K59/TrRoad_tech!K174)</f>
        <v>0.97739915824892776</v>
      </c>
      <c r="L201" s="91">
        <f>IF(TrRoad_act!L62=0,0,TrRoad_emi!L59/TrRoad_tech!L174)</f>
        <v>0.96917027937967515</v>
      </c>
      <c r="M201" s="91">
        <f>IF(TrRoad_act!M62=0,0,TrRoad_emi!M59/TrRoad_tech!M174)</f>
        <v>0.98168719866024523</v>
      </c>
      <c r="N201" s="91">
        <f>IF(TrRoad_act!N62=0,0,TrRoad_emi!N59/TrRoad_tech!N174)</f>
        <v>0.97659135416033005</v>
      </c>
      <c r="O201" s="91">
        <f>IF(TrRoad_act!O62=0,0,TrRoad_emi!O59/TrRoad_tech!O174)</f>
        <v>1.0064289773685808</v>
      </c>
      <c r="P201" s="91">
        <f>IF(TrRoad_act!P62=0,0,TrRoad_emi!P59/TrRoad_tech!P174)</f>
        <v>0.95751963260314266</v>
      </c>
      <c r="Q201" s="91">
        <f>IF(TrRoad_act!Q62=0,0,TrRoad_emi!Q59/TrRoad_tech!Q174)</f>
        <v>1.054523814076362</v>
      </c>
      <c r="R201" s="91">
        <f>IF(TrRoad_act!R62=0,0,TrRoad_emi!R59/TrRoad_tech!R174)</f>
        <v>1.058170567463933</v>
      </c>
      <c r="S201" s="91">
        <f>IF(TrRoad_act!S62=0,0,TrRoad_emi!S59/TrRoad_tech!S174)</f>
        <v>1.0305121632410079</v>
      </c>
      <c r="T201" s="91">
        <f>IF(TrRoad_act!T62=0,0,TrRoad_emi!T59/TrRoad_tech!T174)</f>
        <v>0.98395458709814798</v>
      </c>
      <c r="U201" s="91">
        <f>IF(TrRoad_act!U62=0,0,TrRoad_emi!U59/TrRoad_tech!U174)</f>
        <v>1.0298731159124563</v>
      </c>
      <c r="V201" s="91">
        <f>IF(TrRoad_act!V62=0,0,TrRoad_emi!V59/TrRoad_tech!V174)</f>
        <v>0.96671146916519268</v>
      </c>
      <c r="W201" s="91">
        <f>IF(TrRoad_act!W62=0,0,TrRoad_emi!W59/TrRoad_tech!W174)</f>
        <v>1.0027910218669553</v>
      </c>
      <c r="X201" s="91">
        <f>IF(TrRoad_act!X62=0,0,TrRoad_emi!X59/TrRoad_tech!X174)</f>
        <v>1.006120296536047</v>
      </c>
      <c r="Y201" s="91">
        <f>IF(TrRoad_act!Y62=0,0,TrRoad_emi!Y59/TrRoad_tech!Y174)</f>
        <v>1.0046397369505975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0.94992233566695106</v>
      </c>
      <c r="C202" s="91">
        <f>IF(TrRoad_act!C63=0,0,TrRoad_emi!C60/TrRoad_tech!C175)</f>
        <v>0.98220919108747029</v>
      </c>
      <c r="D202" s="91">
        <f>IF(TrRoad_act!D63=0,0,TrRoad_emi!D60/TrRoad_tech!D175)</f>
        <v>1.0056084404528443</v>
      </c>
      <c r="E202" s="91">
        <f>IF(TrRoad_act!E63=0,0,TrRoad_emi!E60/TrRoad_tech!E175)</f>
        <v>1.0038136572798237</v>
      </c>
      <c r="F202" s="91">
        <f>IF(TrRoad_act!F63=0,0,TrRoad_emi!F60/TrRoad_tech!F175)</f>
        <v>1.0478782772163007</v>
      </c>
      <c r="G202" s="91">
        <f>IF(TrRoad_act!G63=0,0,TrRoad_emi!G60/TrRoad_tech!G175)</f>
        <v>1.097959100520161</v>
      </c>
      <c r="H202" s="91">
        <f>IF(TrRoad_act!H63=0,0,TrRoad_emi!H60/TrRoad_tech!H175)</f>
        <v>1.0418054351618247</v>
      </c>
      <c r="I202" s="91">
        <f>IF(TrRoad_act!I63=0,0,TrRoad_emi!I60/TrRoad_tech!I175)</f>
        <v>1.0126944534152835</v>
      </c>
      <c r="J202" s="91">
        <f>IF(TrRoad_act!J63=0,0,TrRoad_emi!J60/TrRoad_tech!J175)</f>
        <v>1.436026553716709</v>
      </c>
      <c r="K202" s="91">
        <f>IF(TrRoad_act!K63=0,0,TrRoad_emi!K60/TrRoad_tech!K175)</f>
        <v>1.7384305700090987</v>
      </c>
      <c r="L202" s="91">
        <f>IF(TrRoad_act!L63=0,0,TrRoad_emi!L60/TrRoad_tech!L175)</f>
        <v>1.5216836402752449</v>
      </c>
      <c r="M202" s="91">
        <f>IF(TrRoad_act!M63=0,0,TrRoad_emi!M60/TrRoad_tech!M175)</f>
        <v>1.4018867624445714</v>
      </c>
      <c r="N202" s="91">
        <f>IF(TrRoad_act!N63=0,0,TrRoad_emi!N60/TrRoad_tech!N175)</f>
        <v>1.3311882862853976</v>
      </c>
      <c r="O202" s="91">
        <f>IF(TrRoad_act!O63=0,0,TrRoad_emi!O60/TrRoad_tech!O175)</f>
        <v>1.252032148564711</v>
      </c>
      <c r="P202" s="91">
        <f>IF(TrRoad_act!P63=0,0,TrRoad_emi!P60/TrRoad_tech!P175)</f>
        <v>1.2753638530000864</v>
      </c>
      <c r="Q202" s="91">
        <f>IF(TrRoad_act!Q63=0,0,TrRoad_emi!Q60/TrRoad_tech!Q175)</f>
        <v>1.260008553060306</v>
      </c>
      <c r="R202" s="91">
        <f>IF(TrRoad_act!R63=0,0,TrRoad_emi!R60/TrRoad_tech!R175)</f>
        <v>1.1721022397223573</v>
      </c>
      <c r="S202" s="91">
        <f>IF(TrRoad_act!S63=0,0,TrRoad_emi!S60/TrRoad_tech!S175)</f>
        <v>1.1272008176385266</v>
      </c>
      <c r="T202" s="91">
        <f>IF(TrRoad_act!T63=0,0,TrRoad_emi!T60/TrRoad_tech!T175)</f>
        <v>1.4067304785389141</v>
      </c>
      <c r="U202" s="91">
        <f>IF(TrRoad_act!U63=0,0,TrRoad_emi!U60/TrRoad_tech!U175)</f>
        <v>1.2969358256247348</v>
      </c>
      <c r="V202" s="91">
        <f>IF(TrRoad_act!V63=0,0,TrRoad_emi!V60/TrRoad_tech!V175)</f>
        <v>1.1278948093930359</v>
      </c>
      <c r="W202" s="91">
        <f>IF(TrRoad_act!W63=0,0,TrRoad_emi!W60/TrRoad_tech!W175)</f>
        <v>1.1093077703966339</v>
      </c>
      <c r="X202" s="91">
        <f>IF(TrRoad_act!X63=0,0,TrRoad_emi!X60/TrRoad_tech!X175)</f>
        <v>0.7137778889041988</v>
      </c>
      <c r="Y202" s="91">
        <f>IF(TrRoad_act!Y63=0,0,TrRoad_emi!Y60/TrRoad_tech!Y175)</f>
        <v>0.94850886909423149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1.0370370370411699</v>
      </c>
      <c r="H203" s="91">
        <f>IF(TrRoad_act!H64=0,0,TrRoad_emi!H61/TrRoad_tech!H176)</f>
        <v>1.0374605720295555</v>
      </c>
      <c r="I203" s="91">
        <f>IF(TrRoad_act!I64=0,0,TrRoad_emi!I61/TrRoad_tech!I176)</f>
        <v>1.0375130873410883</v>
      </c>
      <c r="J203" s="91">
        <f>IF(TrRoad_act!J64=0,0,TrRoad_emi!J61/TrRoad_tech!J176)</f>
        <v>1.0375881995021581</v>
      </c>
      <c r="K203" s="91">
        <f>IF(TrRoad_act!K64=0,0,TrRoad_emi!K61/TrRoad_tech!K176)</f>
        <v>1.0384196251821651</v>
      </c>
      <c r="L203" s="91">
        <f>IF(TrRoad_act!L64=0,0,TrRoad_emi!L61/TrRoad_tech!L176)</f>
        <v>1.0006777304044054</v>
      </c>
      <c r="M203" s="91">
        <f>IF(TrRoad_act!M64=0,0,TrRoad_emi!M61/TrRoad_tech!M176)</f>
        <v>1.0009520803797616</v>
      </c>
      <c r="N203" s="91">
        <f>IF(TrRoad_act!N64=0,0,TrRoad_emi!N61/TrRoad_tech!N176)</f>
        <v>0.89884050484827882</v>
      </c>
      <c r="O203" s="91">
        <f>IF(TrRoad_act!O64=0,0,TrRoad_emi!O61/TrRoad_tech!O176)</f>
        <v>0.85200703110520015</v>
      </c>
      <c r="P203" s="91">
        <f>IF(TrRoad_act!P64=0,0,TrRoad_emi!P61/TrRoad_tech!P176)</f>
        <v>0.86757949363054532</v>
      </c>
      <c r="Q203" s="91">
        <f>IF(TrRoad_act!Q64=0,0,TrRoad_emi!Q61/TrRoad_tech!Q176)</f>
        <v>0.90611882086356688</v>
      </c>
      <c r="R203" s="91">
        <f>IF(TrRoad_act!R64=0,0,TrRoad_emi!R61/TrRoad_tech!R176)</f>
        <v>0.88337777898154879</v>
      </c>
      <c r="S203" s="91">
        <f>IF(TrRoad_act!S64=0,0,TrRoad_emi!S61/TrRoad_tech!S176)</f>
        <v>0.83823617910374282</v>
      </c>
      <c r="T203" s="91">
        <f>IF(TrRoad_act!T64=0,0,TrRoad_emi!T61/TrRoad_tech!T176)</f>
        <v>0.84332844703520182</v>
      </c>
      <c r="U203" s="91">
        <f>IF(TrRoad_act!U64=0,0,TrRoad_emi!U61/TrRoad_tech!U176)</f>
        <v>0.76595792256857931</v>
      </c>
      <c r="V203" s="91">
        <f>IF(TrRoad_act!V64=0,0,TrRoad_emi!V61/TrRoad_tech!V176)</f>
        <v>0.68510601549570072</v>
      </c>
      <c r="W203" s="91">
        <f>IF(TrRoad_act!W64=0,0,TrRoad_emi!W61/TrRoad_tech!W176)</f>
        <v>1.0669844885504962</v>
      </c>
      <c r="X203" s="91">
        <f>IF(TrRoad_act!X64=0,0,TrRoad_emi!X61/TrRoad_tech!X176)</f>
        <v>1.0661264566405957</v>
      </c>
      <c r="Y203" s="91">
        <f>IF(TrRoad_act!Y64=0,0,TrRoad_emi!Y61/TrRoad_tech!Y176)</f>
        <v>1.0649550322619528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1.0125203735412005</v>
      </c>
      <c r="N204" s="91">
        <f>IF(TrRoad_act!N65=0,0,TrRoad_emi!N62/TrRoad_tech!N177)</f>
        <v>1.014235475349371</v>
      </c>
      <c r="O204" s="91">
        <f>IF(TrRoad_act!O65=0,0,TrRoad_emi!O62/TrRoad_tech!O177)</f>
        <v>1.0198746932883271</v>
      </c>
      <c r="P204" s="91">
        <f>IF(TrRoad_act!P65=0,0,TrRoad_emi!P62/TrRoad_tech!P177)</f>
        <v>1.0244523344174319</v>
      </c>
      <c r="Q204" s="91">
        <f>IF(TrRoad_act!Q65=0,0,TrRoad_emi!Q62/TrRoad_tech!Q177)</f>
        <v>1.0296335427972774</v>
      </c>
      <c r="R204" s="91">
        <f>IF(TrRoad_act!R65=0,0,TrRoad_emi!R62/TrRoad_tech!R177)</f>
        <v>1.0345795621260252</v>
      </c>
      <c r="S204" s="91">
        <f>IF(TrRoad_act!S65=0,0,TrRoad_emi!S62/TrRoad_tech!S177)</f>
        <v>1.0433395406234685</v>
      </c>
      <c r="T204" s="91">
        <f>IF(TrRoad_act!T65=0,0,TrRoad_emi!T62/TrRoad_tech!T177)</f>
        <v>1.0402804142665494</v>
      </c>
      <c r="U204" s="91">
        <f>IF(TrRoad_act!U65=0,0,TrRoad_emi!U62/TrRoad_tech!U177)</f>
        <v>1.0444373581318938</v>
      </c>
      <c r="V204" s="91">
        <f>IF(TrRoad_act!V65=0,0,TrRoad_emi!V62/TrRoad_tech!V177)</f>
        <v>1.0469364222094366</v>
      </c>
      <c r="W204" s="91">
        <f>IF(TrRoad_act!W65=0,0,TrRoad_emi!W62/TrRoad_tech!W177)</f>
        <v>1.0457064243405578</v>
      </c>
      <c r="X204" s="91">
        <f>IF(TrRoad_act!X65=0,0,TrRoad_emi!X62/TrRoad_tech!X177)</f>
        <v>1.0404651528008835</v>
      </c>
      <c r="Y204" s="91">
        <f>IF(TrRoad_act!Y65=0,0,TrRoad_emi!Y62/TrRoad_tech!Y177)</f>
        <v>1.0375524195324719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1.0876084170419165</v>
      </c>
      <c r="C206" s="151">
        <f>IF(TrRoad_act!C67=0,0,TrRoad_emi!C64/TrRoad_tech!C179)</f>
        <v>1.0892026986519419</v>
      </c>
      <c r="D206" s="151">
        <f>IF(TrRoad_act!D67=0,0,TrRoad_emi!D64/TrRoad_tech!D179)</f>
        <v>1.0768739305398096</v>
      </c>
      <c r="E206" s="151">
        <f>IF(TrRoad_act!E67=0,0,TrRoad_emi!E64/TrRoad_tech!E179)</f>
        <v>1.0623665146559462</v>
      </c>
      <c r="F206" s="151">
        <f>IF(TrRoad_act!F67=0,0,TrRoad_emi!F64/TrRoad_tech!F179)</f>
        <v>1.0594174220114632</v>
      </c>
      <c r="G206" s="151">
        <f>IF(TrRoad_act!G67=0,0,TrRoad_emi!G64/TrRoad_tech!G179)</f>
        <v>1.0244015177887136</v>
      </c>
      <c r="H206" s="151">
        <f>IF(TrRoad_act!H67=0,0,TrRoad_emi!H64/TrRoad_tech!H179)</f>
        <v>0.98568625957786604</v>
      </c>
      <c r="I206" s="151">
        <f>IF(TrRoad_act!I67=0,0,TrRoad_emi!I64/TrRoad_tech!I179)</f>
        <v>0.97211628027908736</v>
      </c>
      <c r="J206" s="151">
        <f>IF(TrRoad_act!J67=0,0,TrRoad_emi!J64/TrRoad_tech!J179)</f>
        <v>1.0163352039248641</v>
      </c>
      <c r="K206" s="151">
        <f>IF(TrRoad_act!K67=0,0,TrRoad_emi!K64/TrRoad_tech!K179)</f>
        <v>1.0408087261575623</v>
      </c>
      <c r="L206" s="151">
        <f>IF(TrRoad_act!L67=0,0,TrRoad_emi!L64/TrRoad_tech!L179)</f>
        <v>1.0374960441267238</v>
      </c>
      <c r="M206" s="151">
        <f>IF(TrRoad_act!M67=0,0,TrRoad_emi!M64/TrRoad_tech!M179)</f>
        <v>1.0666885091965712</v>
      </c>
      <c r="N206" s="151">
        <f>IF(TrRoad_act!N67=0,0,TrRoad_emi!N64/TrRoad_tech!N179)</f>
        <v>1.0842536971823538</v>
      </c>
      <c r="O206" s="151">
        <f>IF(TrRoad_act!O67=0,0,TrRoad_emi!O64/TrRoad_tech!O179)</f>
        <v>1.1031181750059516</v>
      </c>
      <c r="P206" s="151">
        <f>IF(TrRoad_act!P67=0,0,TrRoad_emi!P64/TrRoad_tech!P179)</f>
        <v>1.1154749515614271</v>
      </c>
      <c r="Q206" s="151">
        <f>IF(TrRoad_act!Q67=0,0,TrRoad_emi!Q64/TrRoad_tech!Q179)</f>
        <v>1.1406018460692955</v>
      </c>
      <c r="R206" s="151">
        <f>IF(TrRoad_act!R67=0,0,TrRoad_emi!R64/TrRoad_tech!R179)</f>
        <v>1.157917463129023</v>
      </c>
      <c r="S206" s="151">
        <f>IF(TrRoad_act!S67=0,0,TrRoad_emi!S64/TrRoad_tech!S179)</f>
        <v>1.1652732834419595</v>
      </c>
      <c r="T206" s="151">
        <f>IF(TrRoad_act!T67=0,0,TrRoad_emi!T64/TrRoad_tech!T179)</f>
        <v>1.1725978591282873</v>
      </c>
      <c r="U206" s="151">
        <f>IF(TrRoad_act!U67=0,0,TrRoad_emi!U64/TrRoad_tech!U179)</f>
        <v>1.2057595166038497</v>
      </c>
      <c r="V206" s="151">
        <f>IF(TrRoad_act!V67=0,0,TrRoad_emi!V64/TrRoad_tech!V179)</f>
        <v>1.2328016277212621</v>
      </c>
      <c r="W206" s="151">
        <f>IF(TrRoad_act!W67=0,0,TrRoad_emi!W64/TrRoad_tech!W179)</f>
        <v>1.2676441450336591</v>
      </c>
      <c r="X206" s="151">
        <f>IF(TrRoad_act!X67=0,0,TrRoad_emi!X64/TrRoad_tech!X179)</f>
        <v>1.3256452765456015</v>
      </c>
      <c r="Y206" s="151">
        <f>IF(TrRoad_act!Y67=0,0,TrRoad_emi!Y64/TrRoad_tech!Y179)</f>
        <v>1.3524792702249633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0</v>
      </c>
      <c r="C207" s="93">
        <f>IF(TrRoad_act!C68=0,0,TrRoad_emi!C65/TrRoad_tech!C180)</f>
        <v>0</v>
      </c>
      <c r="D207" s="93">
        <f>IF(TrRoad_act!D68=0,0,TrRoad_emi!D65/TrRoad_tech!D180)</f>
        <v>0</v>
      </c>
      <c r="E207" s="93">
        <f>IF(TrRoad_act!E68=0,0,TrRoad_emi!E65/TrRoad_tech!E180)</f>
        <v>0</v>
      </c>
      <c r="F207" s="93">
        <f>IF(TrRoad_act!F68=0,0,TrRoad_emi!F65/TrRoad_tech!F180)</f>
        <v>0</v>
      </c>
      <c r="G207" s="93">
        <f>IF(TrRoad_act!G68=0,0,TrRoad_emi!G65/TrRoad_tech!G180)</f>
        <v>0</v>
      </c>
      <c r="H207" s="93">
        <f>IF(TrRoad_act!H68=0,0,TrRoad_emi!H65/TrRoad_tech!H180)</f>
        <v>0</v>
      </c>
      <c r="I207" s="93">
        <f>IF(TrRoad_act!I68=0,0,TrRoad_emi!I65/TrRoad_tech!I180)</f>
        <v>0</v>
      </c>
      <c r="J207" s="93">
        <f>IF(TrRoad_act!J68=0,0,TrRoad_emi!J65/TrRoad_tech!J180)</f>
        <v>0</v>
      </c>
      <c r="K207" s="93">
        <f>IF(TrRoad_act!K68=0,0,TrRoad_emi!K65/TrRoad_tech!K180)</f>
        <v>0</v>
      </c>
      <c r="L207" s="93">
        <f>IF(TrRoad_act!L68=0,0,TrRoad_emi!L65/TrRoad_tech!L180)</f>
        <v>0</v>
      </c>
      <c r="M207" s="93">
        <f>IF(TrRoad_act!M68=0,0,TrRoad_emi!M65/TrRoad_tech!M180)</f>
        <v>0</v>
      </c>
      <c r="N207" s="93">
        <f>IF(TrRoad_act!N68=0,0,TrRoad_emi!N65/TrRoad_tech!N180)</f>
        <v>0</v>
      </c>
      <c r="O207" s="93">
        <f>IF(TrRoad_act!O68=0,0,TrRoad_emi!O65/TrRoad_tech!O180)</f>
        <v>0</v>
      </c>
      <c r="P207" s="93">
        <f>IF(TrRoad_act!P68=0,0,TrRoad_emi!P65/TrRoad_tech!P180)</f>
        <v>0</v>
      </c>
      <c r="Q207" s="93">
        <f>IF(TrRoad_act!Q68=0,0,TrRoad_emi!Q65/TrRoad_tech!Q180)</f>
        <v>0</v>
      </c>
      <c r="R207" s="93">
        <f>IF(TrRoad_act!R68=0,0,TrRoad_emi!R65/TrRoad_tech!R180)</f>
        <v>0</v>
      </c>
      <c r="S207" s="93">
        <f>IF(TrRoad_act!S68=0,0,TrRoad_emi!S65/TrRoad_tech!S180)</f>
        <v>0</v>
      </c>
      <c r="T207" s="93">
        <f>IF(TrRoad_act!T68=0,0,TrRoad_emi!T65/TrRoad_tech!T180)</f>
        <v>0</v>
      </c>
      <c r="U207" s="93">
        <f>IF(TrRoad_act!U68=0,0,TrRoad_emi!U65/TrRoad_tech!U180)</f>
        <v>0</v>
      </c>
      <c r="V207" s="93">
        <f>IF(TrRoad_act!V68=0,0,TrRoad_emi!V65/TrRoad_tech!V180)</f>
        <v>0</v>
      </c>
      <c r="W207" s="93">
        <f>IF(TrRoad_act!W68=0,0,TrRoad_emi!W65/TrRoad_tech!W180)</f>
        <v>0</v>
      </c>
      <c r="X207" s="93">
        <f>IF(TrRoad_act!X68=0,0,TrRoad_emi!X65/TrRoad_tech!X180)</f>
        <v>0</v>
      </c>
      <c r="Y207" s="93">
        <f>IF(TrRoad_act!Y68=0,0,TrRoad_emi!Y65/TrRoad_tech!Y180)</f>
        <v>0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1.090176689809683</v>
      </c>
      <c r="C208" s="93">
        <f>IF(TrRoad_act!C69=0,0,TrRoad_emi!C66/TrRoad_tech!C181)</f>
        <v>1.0865146244703983</v>
      </c>
      <c r="D208" s="93">
        <f>IF(TrRoad_act!D69=0,0,TrRoad_emi!D66/TrRoad_tech!D181)</f>
        <v>1.0797782476230988</v>
      </c>
      <c r="E208" s="93">
        <f>IF(TrRoad_act!E69=0,0,TrRoad_emi!E66/TrRoad_tech!E181)</f>
        <v>1.0735143963015354</v>
      </c>
      <c r="F208" s="93">
        <f>IF(TrRoad_act!F69=0,0,TrRoad_emi!F66/TrRoad_tech!F181)</f>
        <v>1.0691614256324824</v>
      </c>
      <c r="G208" s="93">
        <f>IF(TrRoad_act!G69=0,0,TrRoad_emi!G66/TrRoad_tech!G181)</f>
        <v>1.0392523786032386</v>
      </c>
      <c r="H208" s="93">
        <f>IF(TrRoad_act!H69=0,0,TrRoad_emi!H66/TrRoad_tech!H181)</f>
        <v>0.99553237401769712</v>
      </c>
      <c r="I208" s="93">
        <f>IF(TrRoad_act!I69=0,0,TrRoad_emi!I66/TrRoad_tech!I181)</f>
        <v>0.98200054770655443</v>
      </c>
      <c r="J208" s="93">
        <f>IF(TrRoad_act!J69=0,0,TrRoad_emi!J66/TrRoad_tech!J181)</f>
        <v>1.02389159018341</v>
      </c>
      <c r="K208" s="93">
        <f>IF(TrRoad_act!K69=0,0,TrRoad_emi!K66/TrRoad_tech!K181)</f>
        <v>1.0478731783710789</v>
      </c>
      <c r="L208" s="93">
        <f>IF(TrRoad_act!L69=0,0,TrRoad_emi!L66/TrRoad_tech!L181)</f>
        <v>1.0548265359656983</v>
      </c>
      <c r="M208" s="93">
        <f>IF(TrRoad_act!M69=0,0,TrRoad_emi!M66/TrRoad_tech!M181)</f>
        <v>1.069121310867696</v>
      </c>
      <c r="N208" s="93">
        <f>IF(TrRoad_act!N69=0,0,TrRoad_emi!N66/TrRoad_tech!N181)</f>
        <v>1.0750267475119544</v>
      </c>
      <c r="O208" s="93">
        <f>IF(TrRoad_act!O69=0,0,TrRoad_emi!O66/TrRoad_tech!O181)</f>
        <v>1.0974658604939951</v>
      </c>
      <c r="P208" s="93">
        <f>IF(TrRoad_act!P69=0,0,TrRoad_emi!P66/TrRoad_tech!P181)</f>
        <v>1.1087424996999502</v>
      </c>
      <c r="Q208" s="93">
        <f>IF(TrRoad_act!Q69=0,0,TrRoad_emi!Q66/TrRoad_tech!Q181)</f>
        <v>1.129269674812837</v>
      </c>
      <c r="R208" s="93">
        <f>IF(TrRoad_act!R69=0,0,TrRoad_emi!R66/TrRoad_tech!R181)</f>
        <v>1.1482137555834839</v>
      </c>
      <c r="S208" s="93">
        <f>IF(TrRoad_act!S69=0,0,TrRoad_emi!S66/TrRoad_tech!S181)</f>
        <v>1.1647337294087121</v>
      </c>
      <c r="T208" s="93">
        <f>IF(TrRoad_act!T69=0,0,TrRoad_emi!T66/TrRoad_tech!T181)</f>
        <v>1.1725000194998982</v>
      </c>
      <c r="U208" s="93">
        <f>IF(TrRoad_act!U69=0,0,TrRoad_emi!U66/TrRoad_tech!U181)</f>
        <v>1.1885575194499876</v>
      </c>
      <c r="V208" s="93">
        <f>IF(TrRoad_act!V69=0,0,TrRoad_emi!V66/TrRoad_tech!V181)</f>
        <v>1.1808894303813871</v>
      </c>
      <c r="W208" s="93">
        <f>IF(TrRoad_act!W69=0,0,TrRoad_emi!W66/TrRoad_tech!W181)</f>
        <v>1.2019929658248296</v>
      </c>
      <c r="X208" s="93">
        <f>IF(TrRoad_act!X69=0,0,TrRoad_emi!X66/TrRoad_tech!X181)</f>
        <v>1.2109553776889139</v>
      </c>
      <c r="Y208" s="93">
        <f>IF(TrRoad_act!Y69=0,0,TrRoad_emi!Y66/TrRoad_tech!Y181)</f>
        <v>1.2192789655912137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0</v>
      </c>
      <c r="C209" s="93">
        <f>IF(TrRoad_act!C70=0,0,TrRoad_emi!C67/TrRoad_tech!C182)</f>
        <v>0</v>
      </c>
      <c r="D209" s="93">
        <f>IF(TrRoad_act!D70=0,0,TrRoad_emi!D67/TrRoad_tech!D182)</f>
        <v>0</v>
      </c>
      <c r="E209" s="93">
        <f>IF(TrRoad_act!E70=0,0,TrRoad_emi!E67/TrRoad_tech!E182)</f>
        <v>0</v>
      </c>
      <c r="F209" s="93">
        <f>IF(TrRoad_act!F70=0,0,TrRoad_emi!F67/TrRoad_tech!F182)</f>
        <v>1.1240000000066173</v>
      </c>
      <c r="G209" s="93">
        <f>IF(TrRoad_act!G70=0,0,TrRoad_emi!G67/TrRoad_tech!G182)</f>
        <v>1.1240000000066175</v>
      </c>
      <c r="H209" s="93">
        <f>IF(TrRoad_act!H70=0,0,TrRoad_emi!H67/TrRoad_tech!H182)</f>
        <v>1.1240000000066175</v>
      </c>
      <c r="I209" s="93">
        <f>IF(TrRoad_act!I70=0,0,TrRoad_emi!I67/TrRoad_tech!I182)</f>
        <v>1.1297771905067502</v>
      </c>
      <c r="J209" s="93">
        <f>IF(TrRoad_act!J70=0,0,TrRoad_emi!J67/TrRoad_tech!J182)</f>
        <v>1.1422996743230764</v>
      </c>
      <c r="K209" s="93">
        <f>IF(TrRoad_act!K70=0,0,TrRoad_emi!K67/TrRoad_tech!K182)</f>
        <v>1.1539666232675356</v>
      </c>
      <c r="L209" s="93">
        <f>IF(TrRoad_act!L70=0,0,TrRoad_emi!L67/TrRoad_tech!L182)</f>
        <v>1.1610600399691673</v>
      </c>
      <c r="M209" s="93">
        <f>IF(TrRoad_act!M70=0,0,TrRoad_emi!M67/TrRoad_tech!M182)</f>
        <v>1.1624661354528132</v>
      </c>
      <c r="N209" s="93">
        <f>IF(TrRoad_act!N70=0,0,TrRoad_emi!N67/TrRoad_tech!N182)</f>
        <v>1.1624661354528136</v>
      </c>
      <c r="O209" s="93">
        <f>IF(TrRoad_act!O70=0,0,TrRoad_emi!O67/TrRoad_tech!O182)</f>
        <v>1.1639831361694166</v>
      </c>
      <c r="P209" s="93">
        <f>IF(TrRoad_act!P70=0,0,TrRoad_emi!P67/TrRoad_tech!P182)</f>
        <v>1.1656247022481598</v>
      </c>
      <c r="Q209" s="93">
        <f>IF(TrRoad_act!Q70=0,0,TrRoad_emi!Q67/TrRoad_tech!Q182)</f>
        <v>1.1674068332116989</v>
      </c>
      <c r="R209" s="93">
        <f>IF(TrRoad_act!R70=0,0,TrRoad_emi!R67/TrRoad_tech!R182)</f>
        <v>1.17811453244384</v>
      </c>
      <c r="S209" s="93">
        <f>IF(TrRoad_act!S70=0,0,TrRoad_emi!S67/TrRoad_tech!S182)</f>
        <v>1.1804916118441759</v>
      </c>
      <c r="T209" s="93">
        <f>IF(TrRoad_act!T70=0,0,TrRoad_emi!T67/TrRoad_tech!T182)</f>
        <v>1.1931129938912408</v>
      </c>
      <c r="U209" s="93">
        <f>IF(TrRoad_act!U70=0,0,TrRoad_emi!U67/TrRoad_tech!U182)</f>
        <v>1.2144544830155759</v>
      </c>
      <c r="V209" s="93">
        <f>IF(TrRoad_act!V70=0,0,TrRoad_emi!V67/TrRoad_tech!V182)</f>
        <v>1.2348440355921477</v>
      </c>
      <c r="W209" s="93">
        <f>IF(TrRoad_act!W70=0,0,TrRoad_emi!W67/TrRoad_tech!W182)</f>
        <v>1.260724519667284</v>
      </c>
      <c r="X209" s="93">
        <f>IF(TrRoad_act!X70=0,0,TrRoad_emi!X67/TrRoad_tech!X182)</f>
        <v>1.2791595980790584</v>
      </c>
      <c r="Y209" s="93">
        <f>IF(TrRoad_act!Y70=0,0,TrRoad_emi!Y67/TrRoad_tech!Y182)</f>
        <v>1.323993253290084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1.0704335294313667</v>
      </c>
      <c r="C210" s="93">
        <f>IF(TrRoad_act!C71=0,0,TrRoad_emi!C68/TrRoad_tech!C183)</f>
        <v>1.0730990875133088</v>
      </c>
      <c r="D210" s="93">
        <f>IF(TrRoad_act!D71=0,0,TrRoad_emi!D68/TrRoad_tech!D183)</f>
        <v>1.0717627096395372</v>
      </c>
      <c r="E210" s="93">
        <f>IF(TrRoad_act!E71=0,0,TrRoad_emi!E68/TrRoad_tech!E183)</f>
        <v>1.1023446925000191</v>
      </c>
      <c r="F210" s="93">
        <f>IF(TrRoad_act!F71=0,0,TrRoad_emi!F68/TrRoad_tech!F183)</f>
        <v>1.4600888993427696</v>
      </c>
      <c r="G210" s="93">
        <f>IF(TrRoad_act!G71=0,0,TrRoad_emi!G68/TrRoad_tech!G183)</f>
        <v>1.0386096729010477</v>
      </c>
      <c r="H210" s="93">
        <f>IF(TrRoad_act!H71=0,0,TrRoad_emi!H68/TrRoad_tech!H183)</f>
        <v>1.0616595286043859</v>
      </c>
      <c r="I210" s="93">
        <f>IF(TrRoad_act!I71=0,0,TrRoad_emi!I68/TrRoad_tech!I183)</f>
        <v>1.1113039483864124</v>
      </c>
      <c r="J210" s="93">
        <f>IF(TrRoad_act!J71=0,0,TrRoad_emi!J68/TrRoad_tech!J183)</f>
        <v>1.2331729212936808</v>
      </c>
      <c r="K210" s="93">
        <f>IF(TrRoad_act!K71=0,0,TrRoad_emi!K68/TrRoad_tech!K183)</f>
        <v>1.1997420956866518</v>
      </c>
      <c r="L210" s="93">
        <f>IF(TrRoad_act!L71=0,0,TrRoad_emi!L68/TrRoad_tech!L183)</f>
        <v>0.92640928982878568</v>
      </c>
      <c r="M210" s="93">
        <f>IF(TrRoad_act!M71=0,0,TrRoad_emi!M68/TrRoad_tech!M183)</f>
        <v>1.843424038561766</v>
      </c>
      <c r="N210" s="93">
        <f>IF(TrRoad_act!N71=0,0,TrRoad_emi!N68/TrRoad_tech!N183)</f>
        <v>2.326064127598598</v>
      </c>
      <c r="O210" s="93">
        <f>IF(TrRoad_act!O71=0,0,TrRoad_emi!O68/TrRoad_tech!O183)</f>
        <v>2.3435071839650368</v>
      </c>
      <c r="P210" s="93">
        <f>IF(TrRoad_act!P71=0,0,TrRoad_emi!P68/TrRoad_tech!P183)</f>
        <v>2.6647573862673064</v>
      </c>
      <c r="Q210" s="93">
        <f>IF(TrRoad_act!Q71=0,0,TrRoad_emi!Q68/TrRoad_tech!Q183)</f>
        <v>3.9742503639105493</v>
      </c>
      <c r="R210" s="93">
        <f>IF(TrRoad_act!R71=0,0,TrRoad_emi!R68/TrRoad_tech!R183)</f>
        <v>2.9217764031352558</v>
      </c>
      <c r="S210" s="93">
        <f>IF(TrRoad_act!S71=0,0,TrRoad_emi!S68/TrRoad_tech!S183)</f>
        <v>2.0142683180694436</v>
      </c>
      <c r="T210" s="93">
        <f>IF(TrRoad_act!T71=0,0,TrRoad_emi!T68/TrRoad_tech!T183)</f>
        <v>1.4519292655393039</v>
      </c>
      <c r="U210" s="93">
        <f>IF(TrRoad_act!U71=0,0,TrRoad_emi!U68/TrRoad_tech!U183)</f>
        <v>2.294845251419269</v>
      </c>
      <c r="V210" s="93">
        <f>IF(TrRoad_act!V71=0,0,TrRoad_emi!V68/TrRoad_tech!V183)</f>
        <v>2.8461119158294292</v>
      </c>
      <c r="W210" s="93">
        <f>IF(TrRoad_act!W71=0,0,TrRoad_emi!W68/TrRoad_tech!W183)</f>
        <v>3.6742098603260893</v>
      </c>
      <c r="X210" s="93">
        <f>IF(TrRoad_act!X71=0,0,TrRoad_emi!X68/TrRoad_tech!X183)</f>
        <v>8.0566986439391961</v>
      </c>
      <c r="Y210" s="93">
        <f>IF(TrRoad_act!Y71=0,0,TrRoad_emi!Y68/TrRoad_tech!Y183)</f>
        <v>8.5557057738610638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1.0463672403155746</v>
      </c>
      <c r="C213" s="150">
        <f>IF(TrRoad_act!C74=0,0,TrRoad_emi!C71/TrRoad_tech!C186)</f>
        <v>1.0273413262544067</v>
      </c>
      <c r="D213" s="150">
        <f>IF(TrRoad_act!D74=0,0,TrRoad_emi!D71/TrRoad_tech!D186)</f>
        <v>1.0142990826533256</v>
      </c>
      <c r="E213" s="150">
        <f>IF(TrRoad_act!E74=0,0,TrRoad_emi!E71/TrRoad_tech!E186)</f>
        <v>1.0140309247521426</v>
      </c>
      <c r="F213" s="150">
        <f>IF(TrRoad_act!F74=0,0,TrRoad_emi!F71/TrRoad_tech!F186)</f>
        <v>1.0219819533506211</v>
      </c>
      <c r="G213" s="150">
        <f>IF(TrRoad_act!G74=0,0,TrRoad_emi!G71/TrRoad_tech!G186)</f>
        <v>1.0120482485098838</v>
      </c>
      <c r="H213" s="150">
        <f>IF(TrRoad_act!H74=0,0,TrRoad_emi!H71/TrRoad_tech!H186)</f>
        <v>0.97897867049216392</v>
      </c>
      <c r="I213" s="150">
        <f>IF(TrRoad_act!I74=0,0,TrRoad_emi!I71/TrRoad_tech!I186)</f>
        <v>0.97421262179924362</v>
      </c>
      <c r="J213" s="150">
        <f>IF(TrRoad_act!J74=0,0,TrRoad_emi!J71/TrRoad_tech!J186)</f>
        <v>1.0348761766508248</v>
      </c>
      <c r="K213" s="150">
        <f>IF(TrRoad_act!K74=0,0,TrRoad_emi!K71/TrRoad_tech!K186)</f>
        <v>1.0722155527934434</v>
      </c>
      <c r="L213" s="150">
        <f>IF(TrRoad_act!L74=0,0,TrRoad_emi!L71/TrRoad_tech!L186)</f>
        <v>1.1763645522921009</v>
      </c>
      <c r="M213" s="150">
        <f>IF(TrRoad_act!M74=0,0,TrRoad_emi!M71/TrRoad_tech!M186)</f>
        <v>1.2563622248707085</v>
      </c>
      <c r="N213" s="150">
        <f>IF(TrRoad_act!N74=0,0,TrRoad_emi!N71/TrRoad_tech!N186)</f>
        <v>1.0955874900645746</v>
      </c>
      <c r="O213" s="150">
        <f>IF(TrRoad_act!O74=0,0,TrRoad_emi!O71/TrRoad_tech!O186)</f>
        <v>1.0994629909523146</v>
      </c>
      <c r="P213" s="150">
        <f>IF(TrRoad_act!P74=0,0,TrRoad_emi!P71/TrRoad_tech!P186)</f>
        <v>1.1106944644086119</v>
      </c>
      <c r="Q213" s="150">
        <f>IF(TrRoad_act!Q74=0,0,TrRoad_emi!Q71/TrRoad_tech!Q186)</f>
        <v>1.1247568893016788</v>
      </c>
      <c r="R213" s="150">
        <f>IF(TrRoad_act!R74=0,0,TrRoad_emi!R71/TrRoad_tech!R186)</f>
        <v>1.1441040337046637</v>
      </c>
      <c r="S213" s="150">
        <f>IF(TrRoad_act!S74=0,0,TrRoad_emi!S71/TrRoad_tech!S186)</f>
        <v>1.1646230031231994</v>
      </c>
      <c r="T213" s="150">
        <f>IF(TrRoad_act!T74=0,0,TrRoad_emi!T71/TrRoad_tech!T186)</f>
        <v>1.1674360682131251</v>
      </c>
      <c r="U213" s="150">
        <f>IF(TrRoad_act!U74=0,0,TrRoad_emi!U71/TrRoad_tech!U186)</f>
        <v>1.1899572812092971</v>
      </c>
      <c r="V213" s="150">
        <f>IF(TrRoad_act!V74=0,0,TrRoad_emi!V71/TrRoad_tech!V186)</f>
        <v>1.1745457590639736</v>
      </c>
      <c r="W213" s="150">
        <f>IF(TrRoad_act!W74=0,0,TrRoad_emi!W71/TrRoad_tech!W186)</f>
        <v>1.2117508876493528</v>
      </c>
      <c r="X213" s="150">
        <f>IF(TrRoad_act!X74=0,0,TrRoad_emi!X71/TrRoad_tech!X186)</f>
        <v>1.2210629294459605</v>
      </c>
      <c r="Y213" s="150">
        <f>IF(TrRoad_act!Y74=0,0,TrRoad_emi!Y71/TrRoad_tech!Y186)</f>
        <v>1.2224671327566763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1.1000142717406958</v>
      </c>
      <c r="C214" s="91">
        <f>IF(TrRoad_act!C75=0,0,TrRoad_emi!C72/TrRoad_tech!C187)</f>
        <v>1.1000801723692941</v>
      </c>
      <c r="D214" s="91">
        <f>IF(TrRoad_act!D75=0,0,TrRoad_emi!D72/TrRoad_tech!D187)</f>
        <v>1.1002003753517355</v>
      </c>
      <c r="E214" s="91">
        <f>IF(TrRoad_act!E75=0,0,TrRoad_emi!E72/TrRoad_tech!E187)</f>
        <v>1.1004058233241476</v>
      </c>
      <c r="F214" s="91">
        <f>IF(TrRoad_act!F75=0,0,TrRoad_emi!F72/TrRoad_tech!F187)</f>
        <v>1.098881468590087</v>
      </c>
      <c r="G214" s="91">
        <f>IF(TrRoad_act!G75=0,0,TrRoad_emi!G72/TrRoad_tech!G187)</f>
        <v>1.0940884231227184</v>
      </c>
      <c r="H214" s="91">
        <f>IF(TrRoad_act!H75=0,0,TrRoad_emi!H72/TrRoad_tech!H187)</f>
        <v>1.0861544525227143</v>
      </c>
      <c r="I214" s="91">
        <f>IF(TrRoad_act!I75=0,0,TrRoad_emi!I72/TrRoad_tech!I187)</f>
        <v>1.0880639346476184</v>
      </c>
      <c r="J214" s="91">
        <f>IF(TrRoad_act!J75=0,0,TrRoad_emi!J72/TrRoad_tech!J187)</f>
        <v>1.0846189431452125</v>
      </c>
      <c r="K214" s="91">
        <f>IF(TrRoad_act!K75=0,0,TrRoad_emi!K72/TrRoad_tech!K187)</f>
        <v>1.0774681238089399</v>
      </c>
      <c r="L214" s="91">
        <f>IF(TrRoad_act!L75=0,0,TrRoad_emi!L72/TrRoad_tech!L187)</f>
        <v>1.0695881116624499</v>
      </c>
      <c r="M214" s="91">
        <f>IF(TrRoad_act!M75=0,0,TrRoad_emi!M72/TrRoad_tech!M187)</f>
        <v>1.0725720120535662</v>
      </c>
      <c r="N214" s="91">
        <f>IF(TrRoad_act!N75=0,0,TrRoad_emi!N72/TrRoad_tech!N187)</f>
        <v>1.0777074617627471</v>
      </c>
      <c r="O214" s="91">
        <f>IF(TrRoad_act!O75=0,0,TrRoad_emi!O72/TrRoad_tech!O187)</f>
        <v>1.0872825603373375</v>
      </c>
      <c r="P214" s="91">
        <f>IF(TrRoad_act!P75=0,0,TrRoad_emi!P72/TrRoad_tech!P187)</f>
        <v>1.0949192023395808</v>
      </c>
      <c r="Q214" s="91">
        <f>IF(TrRoad_act!Q75=0,0,TrRoad_emi!Q72/TrRoad_tech!Q187)</f>
        <v>1.1075767473621354</v>
      </c>
      <c r="R214" s="91">
        <f>IF(TrRoad_act!R75=0,0,TrRoad_emi!R72/TrRoad_tech!R187)</f>
        <v>1.1249106344436421</v>
      </c>
      <c r="S214" s="91">
        <f>IF(TrRoad_act!S75=0,0,TrRoad_emi!S72/TrRoad_tech!S187)</f>
        <v>1.1498912530756087</v>
      </c>
      <c r="T214" s="91">
        <f>IF(TrRoad_act!T75=0,0,TrRoad_emi!T72/TrRoad_tech!T187)</f>
        <v>1.1827197767183146</v>
      </c>
      <c r="U214" s="91">
        <f>IF(TrRoad_act!U75=0,0,TrRoad_emi!U72/TrRoad_tech!U187)</f>
        <v>1.2144917875794969</v>
      </c>
      <c r="V214" s="91">
        <f>IF(TrRoad_act!V75=0,0,TrRoad_emi!V72/TrRoad_tech!V187)</f>
        <v>1.2363481454420391</v>
      </c>
      <c r="W214" s="91">
        <f>IF(TrRoad_act!W75=0,0,TrRoad_emi!W72/TrRoad_tech!W187)</f>
        <v>1.2541305813676382</v>
      </c>
      <c r="X214" s="91">
        <f>IF(TrRoad_act!X75=0,0,TrRoad_emi!X72/TrRoad_tech!X187)</f>
        <v>1.2668300487390194</v>
      </c>
      <c r="Y214" s="91">
        <f>IF(TrRoad_act!Y75=0,0,TrRoad_emi!Y72/TrRoad_tech!Y187)</f>
        <v>1.270378704960313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1.090176689809683</v>
      </c>
      <c r="C215" s="91">
        <f>IF(TrRoad_act!C76=0,0,TrRoad_emi!C73/TrRoad_tech!C188)</f>
        <v>1.0865236634607645</v>
      </c>
      <c r="D215" s="91">
        <f>IF(TrRoad_act!D76=0,0,TrRoad_emi!D73/TrRoad_tech!D188)</f>
        <v>1.07980930094452</v>
      </c>
      <c r="E215" s="91">
        <f>IF(TrRoad_act!E76=0,0,TrRoad_emi!E73/TrRoad_tech!E188)</f>
        <v>1.0734329870906227</v>
      </c>
      <c r="F215" s="91">
        <f>IF(TrRoad_act!F76=0,0,TrRoad_emi!F73/TrRoad_tech!F188)</f>
        <v>1.0690850483712566</v>
      </c>
      <c r="G215" s="91">
        <f>IF(TrRoad_act!G76=0,0,TrRoad_emi!G73/TrRoad_tech!G188)</f>
        <v>1.0370350787713472</v>
      </c>
      <c r="H215" s="91">
        <f>IF(TrRoad_act!H76=0,0,TrRoad_emi!H73/TrRoad_tech!H188)</f>
        <v>0.99392283873922627</v>
      </c>
      <c r="I215" s="91">
        <f>IF(TrRoad_act!I76=0,0,TrRoad_emi!I73/TrRoad_tech!I188)</f>
        <v>0.98070244312678789</v>
      </c>
      <c r="J215" s="91">
        <f>IF(TrRoad_act!J76=0,0,TrRoad_emi!J73/TrRoad_tech!J188)</f>
        <v>1.0230867481929833</v>
      </c>
      <c r="K215" s="91">
        <f>IF(TrRoad_act!K76=0,0,TrRoad_emi!K73/TrRoad_tech!K188)</f>
        <v>1.0460363249594447</v>
      </c>
      <c r="L215" s="91">
        <f>IF(TrRoad_act!L76=0,0,TrRoad_emi!L73/TrRoad_tech!L188)</f>
        <v>1.0485608306390022</v>
      </c>
      <c r="M215" s="91">
        <f>IF(TrRoad_act!M76=0,0,TrRoad_emi!M73/TrRoad_tech!M188)</f>
        <v>1.0583233698833914</v>
      </c>
      <c r="N215" s="91">
        <f>IF(TrRoad_act!N76=0,0,TrRoad_emi!N73/TrRoad_tech!N188)</f>
        <v>1.0673242065395336</v>
      </c>
      <c r="O215" s="91">
        <f>IF(TrRoad_act!O76=0,0,TrRoad_emi!O73/TrRoad_tech!O188)</f>
        <v>1.0910635674968236</v>
      </c>
      <c r="P215" s="91">
        <f>IF(TrRoad_act!P76=0,0,TrRoad_emi!P73/TrRoad_tech!P188)</f>
        <v>1.105389059596859</v>
      </c>
      <c r="Q215" s="91">
        <f>IF(TrRoad_act!Q76=0,0,TrRoad_emi!Q73/TrRoad_tech!Q188)</f>
        <v>1.1279418777085106</v>
      </c>
      <c r="R215" s="91">
        <f>IF(TrRoad_act!R76=0,0,TrRoad_emi!R73/TrRoad_tech!R188)</f>
        <v>1.1465871991164152</v>
      </c>
      <c r="S215" s="91">
        <f>IF(TrRoad_act!S76=0,0,TrRoad_emi!S73/TrRoad_tech!S188)</f>
        <v>1.1622435846477841</v>
      </c>
      <c r="T215" s="91">
        <f>IF(TrRoad_act!T76=0,0,TrRoad_emi!T73/TrRoad_tech!T188)</f>
        <v>1.1736963519340118</v>
      </c>
      <c r="U215" s="91">
        <f>IF(TrRoad_act!U76=0,0,TrRoad_emi!U73/TrRoad_tech!U188)</f>
        <v>1.1913555378749032</v>
      </c>
      <c r="V215" s="91">
        <f>IF(TrRoad_act!V76=0,0,TrRoad_emi!V73/TrRoad_tech!V188)</f>
        <v>1.1704254680708843</v>
      </c>
      <c r="W215" s="91">
        <f>IF(TrRoad_act!W76=0,0,TrRoad_emi!W73/TrRoad_tech!W188)</f>
        <v>1.1950998610945802</v>
      </c>
      <c r="X215" s="91">
        <f>IF(TrRoad_act!X76=0,0,TrRoad_emi!X73/TrRoad_tech!X188)</f>
        <v>1.1998435288274787</v>
      </c>
      <c r="Y215" s="91">
        <f>IF(TrRoad_act!Y76=0,0,TrRoad_emi!Y73/TrRoad_tech!Y188)</f>
        <v>1.2040006949135171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0</v>
      </c>
      <c r="C216" s="91">
        <f>IF(TrRoad_act!C77=0,0,TrRoad_emi!C74/TrRoad_tech!C189)</f>
        <v>0</v>
      </c>
      <c r="D216" s="91">
        <f>IF(TrRoad_act!D77=0,0,TrRoad_emi!D74/TrRoad_tech!D189)</f>
        <v>0</v>
      </c>
      <c r="E216" s="91">
        <f>IF(TrRoad_act!E77=0,0,TrRoad_emi!E74/TrRoad_tech!E189)</f>
        <v>0</v>
      </c>
      <c r="F216" s="91">
        <f>IF(TrRoad_act!F77=0,0,TrRoad_emi!F74/TrRoad_tech!F189)</f>
        <v>0</v>
      </c>
      <c r="G216" s="91">
        <f>IF(TrRoad_act!G77=0,0,TrRoad_emi!G74/TrRoad_tech!G189)</f>
        <v>0</v>
      </c>
      <c r="H216" s="91">
        <f>IF(TrRoad_act!H77=0,0,TrRoad_emi!H74/TrRoad_tech!H189)</f>
        <v>1.1089621047831215</v>
      </c>
      <c r="I216" s="91">
        <f>IF(TrRoad_act!I77=0,0,TrRoad_emi!I74/TrRoad_tech!I189)</f>
        <v>1.1110184597335129</v>
      </c>
      <c r="J216" s="91">
        <f>IF(TrRoad_act!J77=0,0,TrRoad_emi!J74/TrRoad_tech!J189)</f>
        <v>1.1169760526818435</v>
      </c>
      <c r="K216" s="91">
        <f>IF(TrRoad_act!K77=0,0,TrRoad_emi!K74/TrRoad_tech!K189)</f>
        <v>1.12061860058732</v>
      </c>
      <c r="L216" s="91">
        <f>IF(TrRoad_act!L77=0,0,TrRoad_emi!L74/TrRoad_tech!L189)</f>
        <v>1.1228138788991493</v>
      </c>
      <c r="M216" s="91">
        <f>IF(TrRoad_act!M77=0,0,TrRoad_emi!M74/TrRoad_tech!M189)</f>
        <v>1.1261182707969872</v>
      </c>
      <c r="N216" s="91">
        <f>IF(TrRoad_act!N77=0,0,TrRoad_emi!N74/TrRoad_tech!N189)</f>
        <v>1.1316030778442918</v>
      </c>
      <c r="O216" s="91">
        <f>IF(TrRoad_act!O77=0,0,TrRoad_emi!O74/TrRoad_tech!O189)</f>
        <v>1.1341472117718658</v>
      </c>
      <c r="P216" s="91">
        <f>IF(TrRoad_act!P77=0,0,TrRoad_emi!P74/TrRoad_tech!P189)</f>
        <v>1.141072082282899</v>
      </c>
      <c r="Q216" s="91">
        <f>IF(TrRoad_act!Q77=0,0,TrRoad_emi!Q74/TrRoad_tech!Q189)</f>
        <v>1.1514728313638218</v>
      </c>
      <c r="R216" s="91">
        <f>IF(TrRoad_act!R77=0,0,TrRoad_emi!R74/TrRoad_tech!R189)</f>
        <v>1.161678886030916</v>
      </c>
      <c r="S216" s="91">
        <f>IF(TrRoad_act!S77=0,0,TrRoad_emi!S74/TrRoad_tech!S189)</f>
        <v>1.1711056857335964</v>
      </c>
      <c r="T216" s="91">
        <f>IF(TrRoad_act!T77=0,0,TrRoad_emi!T74/TrRoad_tech!T189)</f>
        <v>1.188690930854291</v>
      </c>
      <c r="U216" s="91">
        <f>IF(TrRoad_act!U77=0,0,TrRoad_emi!U74/TrRoad_tech!U189)</f>
        <v>1.2026781209146598</v>
      </c>
      <c r="V216" s="91">
        <f>IF(TrRoad_act!V77=0,0,TrRoad_emi!V74/TrRoad_tech!V189)</f>
        <v>1.2226413655954058</v>
      </c>
      <c r="W216" s="91">
        <f>IF(TrRoad_act!W77=0,0,TrRoad_emi!W74/TrRoad_tech!W189)</f>
        <v>1.2412121298305396</v>
      </c>
      <c r="X216" s="91">
        <f>IF(TrRoad_act!X77=0,0,TrRoad_emi!X74/TrRoad_tech!X189)</f>
        <v>1.251787961964582</v>
      </c>
      <c r="Y216" s="91">
        <f>IF(TrRoad_act!Y77=0,0,TrRoad_emi!Y74/TrRoad_tech!Y189)</f>
        <v>1.2623753655285816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0</v>
      </c>
      <c r="F217" s="91">
        <f>IF(TrRoad_act!F78=0,0,TrRoad_emi!F75/TrRoad_tech!F190)</f>
        <v>0</v>
      </c>
      <c r="G217" s="91">
        <f>IF(TrRoad_act!G78=0,0,TrRoad_emi!G75/TrRoad_tech!G190)</f>
        <v>0</v>
      </c>
      <c r="H217" s="91">
        <f>IF(TrRoad_act!H78=0,0,TrRoad_emi!H75/TrRoad_tech!H190)</f>
        <v>1.1440000000061443</v>
      </c>
      <c r="I217" s="91">
        <f>IF(TrRoad_act!I78=0,0,TrRoad_emi!I75/TrRoad_tech!I190)</f>
        <v>1.1459032840108352</v>
      </c>
      <c r="J217" s="91">
        <f>IF(TrRoad_act!J78=0,0,TrRoad_emi!J75/TrRoad_tech!J190)</f>
        <v>1.1458224742721608</v>
      </c>
      <c r="K217" s="91">
        <f>IF(TrRoad_act!K78=0,0,TrRoad_emi!K75/TrRoad_tech!K190)</f>
        <v>1.1444597740648847</v>
      </c>
      <c r="L217" s="91">
        <f>IF(TrRoad_act!L78=0,0,TrRoad_emi!L75/TrRoad_tech!L190)</f>
        <v>1.1055352772664799</v>
      </c>
      <c r="M217" s="91">
        <f>IF(TrRoad_act!M78=0,0,TrRoad_emi!M75/TrRoad_tech!M190)</f>
        <v>1.1104921282801388</v>
      </c>
      <c r="N217" s="91">
        <f>IF(TrRoad_act!N78=0,0,TrRoad_emi!N75/TrRoad_tech!N190)</f>
        <v>1.0025416656086965</v>
      </c>
      <c r="O217" s="91">
        <f>IF(TrRoad_act!O78=0,0,TrRoad_emi!O75/TrRoad_tech!O190)</f>
        <v>0.9542755946073963</v>
      </c>
      <c r="P217" s="91">
        <f>IF(TrRoad_act!P78=0,0,TrRoad_emi!P75/TrRoad_tech!P190)</f>
        <v>0.97567234328699082</v>
      </c>
      <c r="Q217" s="91">
        <f>IF(TrRoad_act!Q78=0,0,TrRoad_emi!Q75/TrRoad_tech!Q190)</f>
        <v>1.0250313884536124</v>
      </c>
      <c r="R217" s="91">
        <f>IF(TrRoad_act!R78=0,0,TrRoad_emi!R75/TrRoad_tech!R190)</f>
        <v>1.031352470847591</v>
      </c>
      <c r="S217" s="91">
        <f>IF(TrRoad_act!S78=0,0,TrRoad_emi!S75/TrRoad_tech!S190)</f>
        <v>0.98179329197276133</v>
      </c>
      <c r="T217" s="91">
        <f>IF(TrRoad_act!T78=0,0,TrRoad_emi!T75/TrRoad_tech!T190)</f>
        <v>0.99273228730785867</v>
      </c>
      <c r="U217" s="91">
        <f>IF(TrRoad_act!U78=0,0,TrRoad_emi!U75/TrRoad_tech!U190)</f>
        <v>0.89887539627636337</v>
      </c>
      <c r="V217" s="91">
        <f>IF(TrRoad_act!V78=0,0,TrRoad_emi!V75/TrRoad_tech!V190)</f>
        <v>0.80360810421480033</v>
      </c>
      <c r="W217" s="91">
        <f>IF(TrRoad_act!W78=0,0,TrRoad_emi!W75/TrRoad_tech!W190)</f>
        <v>1.2568903800083808</v>
      </c>
      <c r="X217" s="91">
        <f>IF(TrRoad_act!X78=0,0,TrRoad_emi!X75/TrRoad_tech!X190)</f>
        <v>1.2647686204173798</v>
      </c>
      <c r="Y217" s="91">
        <f>IF(TrRoad_act!Y78=0,0,TrRoad_emi!Y75/TrRoad_tech!Y190)</f>
        <v>1.271368225737173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1.2444169589531751</v>
      </c>
      <c r="C219" s="151">
        <f>IF(TrRoad_act!C80=0,0,TrRoad_emi!C77/TrRoad_tech!C192)</f>
        <v>1.1318474264278564</v>
      </c>
      <c r="D219" s="151">
        <f>IF(TrRoad_act!D80=0,0,TrRoad_emi!D77/TrRoad_tech!D192)</f>
        <v>1.1051181826888694</v>
      </c>
      <c r="E219" s="151">
        <f>IF(TrRoad_act!E80=0,0,TrRoad_emi!E77/TrRoad_tech!E192)</f>
        <v>0.99984815105504476</v>
      </c>
      <c r="F219" s="151">
        <f>IF(TrRoad_act!F80=0,0,TrRoad_emi!F77/TrRoad_tech!F192)</f>
        <v>0.93740622763918802</v>
      </c>
      <c r="G219" s="151">
        <f>IF(TrRoad_act!G80=0,0,TrRoad_emi!G77/TrRoad_tech!G192)</f>
        <v>0.87222396603005647</v>
      </c>
      <c r="H219" s="151">
        <f>IF(TrRoad_act!H80=0,0,TrRoad_emi!H77/TrRoad_tech!H192)</f>
        <v>0.95339359496377929</v>
      </c>
      <c r="I219" s="151">
        <f>IF(TrRoad_act!I80=0,0,TrRoad_emi!I77/TrRoad_tech!I192)</f>
        <v>0.89353972008704374</v>
      </c>
      <c r="J219" s="151">
        <f>IF(TrRoad_act!J80=0,0,TrRoad_emi!J77/TrRoad_tech!J192)</f>
        <v>0.89059499434320344</v>
      </c>
      <c r="K219" s="151">
        <f>IF(TrRoad_act!K80=0,0,TrRoad_emi!K77/TrRoad_tech!K192)</f>
        <v>0.92082253937814929</v>
      </c>
      <c r="L219" s="151">
        <f>IF(TrRoad_act!L80=0,0,TrRoad_emi!L77/TrRoad_tech!L192)</f>
        <v>1.0190844729527189</v>
      </c>
      <c r="M219" s="151">
        <f>IF(TrRoad_act!M80=0,0,TrRoad_emi!M77/TrRoad_tech!M192)</f>
        <v>0.99010811436440183</v>
      </c>
      <c r="N219" s="151">
        <f>IF(TrRoad_act!N80=0,0,TrRoad_emi!N77/TrRoad_tech!N192)</f>
        <v>1.0862957784874467</v>
      </c>
      <c r="O219" s="151">
        <f>IF(TrRoad_act!O80=0,0,TrRoad_emi!O77/TrRoad_tech!O192)</f>
        <v>1.0830937117342128</v>
      </c>
      <c r="P219" s="151">
        <f>IF(TrRoad_act!P80=0,0,TrRoad_emi!P77/TrRoad_tech!P192)</f>
        <v>1.1119169130914455</v>
      </c>
      <c r="Q219" s="151">
        <f>IF(TrRoad_act!Q80=0,0,TrRoad_emi!Q77/TrRoad_tech!Q192)</f>
        <v>0.98907186955756443</v>
      </c>
      <c r="R219" s="151">
        <f>IF(TrRoad_act!R80=0,0,TrRoad_emi!R77/TrRoad_tech!R192)</f>
        <v>1.0047645107692922</v>
      </c>
      <c r="S219" s="151">
        <f>IF(TrRoad_act!S80=0,0,TrRoad_emi!S77/TrRoad_tech!S192)</f>
        <v>1.0603264298677892</v>
      </c>
      <c r="T219" s="151">
        <f>IF(TrRoad_act!T80=0,0,TrRoad_emi!T77/TrRoad_tech!T192)</f>
        <v>1.1378849698246114</v>
      </c>
      <c r="U219" s="151">
        <f>IF(TrRoad_act!U80=0,0,TrRoad_emi!U77/TrRoad_tech!U192)</f>
        <v>1.1189426678831016</v>
      </c>
      <c r="V219" s="151">
        <f>IF(TrRoad_act!V80=0,0,TrRoad_emi!V77/TrRoad_tech!V192)</f>
        <v>1.1703600914843355</v>
      </c>
      <c r="W219" s="151">
        <f>IF(TrRoad_act!W80=0,0,TrRoad_emi!W77/TrRoad_tech!W192)</f>
        <v>1.0724825807447869</v>
      </c>
      <c r="X219" s="151">
        <f>IF(TrRoad_act!X80=0,0,TrRoad_emi!X77/TrRoad_tech!X192)</f>
        <v>1.0465849909165272</v>
      </c>
      <c r="Y219" s="151">
        <f>IF(TrRoad_act!Y80=0,0,TrRoad_emi!Y77/TrRoad_tech!Y192)</f>
        <v>0.9538280766484093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1.1942827933052489</v>
      </c>
      <c r="C220" s="93">
        <f>IF(TrRoad_act!C81=0,0,TrRoad_emi!C78/TrRoad_tech!C193)</f>
        <v>1.1674321798150118</v>
      </c>
      <c r="D220" s="93">
        <f>IF(TrRoad_act!D81=0,0,TrRoad_emi!D78/TrRoad_tech!D193)</f>
        <v>1.1555651926810617</v>
      </c>
      <c r="E220" s="93">
        <f>IF(TrRoad_act!E81=0,0,TrRoad_emi!E78/TrRoad_tech!E193)</f>
        <v>1.1274511871724053</v>
      </c>
      <c r="F220" s="93">
        <f>IF(TrRoad_act!F81=0,0,TrRoad_emi!F78/TrRoad_tech!F193)</f>
        <v>1.1101378528434409</v>
      </c>
      <c r="G220" s="93">
        <f>IF(TrRoad_act!G81=0,0,TrRoad_emi!G78/TrRoad_tech!G193)</f>
        <v>1.0704975576938491</v>
      </c>
      <c r="H220" s="93">
        <f>IF(TrRoad_act!H81=0,0,TrRoad_emi!H78/TrRoad_tech!H193)</f>
        <v>1.0505700187849494</v>
      </c>
      <c r="I220" s="93">
        <f>IF(TrRoad_act!I81=0,0,TrRoad_emi!I78/TrRoad_tech!I193)</f>
        <v>1.0242299038129885</v>
      </c>
      <c r="J220" s="93">
        <f>IF(TrRoad_act!J81=0,0,TrRoad_emi!J78/TrRoad_tech!J193)</f>
        <v>1.0553873512770251</v>
      </c>
      <c r="K220" s="93">
        <f>IF(TrRoad_act!K81=0,0,TrRoad_emi!K78/TrRoad_tech!K193)</f>
        <v>1.0828499437625059</v>
      </c>
      <c r="L220" s="93">
        <f>IF(TrRoad_act!L81=0,0,TrRoad_emi!L78/TrRoad_tech!L193)</f>
        <v>1.1110462311497893</v>
      </c>
      <c r="M220" s="93">
        <f>IF(TrRoad_act!M81=0,0,TrRoad_emi!M78/TrRoad_tech!M193)</f>
        <v>1.1203061056886281</v>
      </c>
      <c r="N220" s="93">
        <f>IF(TrRoad_act!N81=0,0,TrRoad_emi!N78/TrRoad_tech!N193)</f>
        <v>1.1471662912906648</v>
      </c>
      <c r="O220" s="93">
        <f>IF(TrRoad_act!O81=0,0,TrRoad_emi!O78/TrRoad_tech!O193)</f>
        <v>1.1670546292038242</v>
      </c>
      <c r="P220" s="93">
        <f>IF(TrRoad_act!P81=0,0,TrRoad_emi!P78/TrRoad_tech!P193)</f>
        <v>1.185180670594413</v>
      </c>
      <c r="Q220" s="93">
        <f>IF(TrRoad_act!Q81=0,0,TrRoad_emi!Q78/TrRoad_tech!Q193)</f>
        <v>1.1782296188436649</v>
      </c>
      <c r="R220" s="93">
        <f>IF(TrRoad_act!R81=0,0,TrRoad_emi!R78/TrRoad_tech!R193)</f>
        <v>1.1956514851385569</v>
      </c>
      <c r="S220" s="93">
        <f>IF(TrRoad_act!S81=0,0,TrRoad_emi!S78/TrRoad_tech!S193)</f>
        <v>1.2188802942309604</v>
      </c>
      <c r="T220" s="93">
        <f>IF(TrRoad_act!T81=0,0,TrRoad_emi!T78/TrRoad_tech!T193)</f>
        <v>1.2430921536059878</v>
      </c>
      <c r="U220" s="93">
        <f>IF(TrRoad_act!U81=0,0,TrRoad_emi!U78/TrRoad_tech!U193)</f>
        <v>1.2536840795245887</v>
      </c>
      <c r="V220" s="93">
        <f>IF(TrRoad_act!V81=0,0,TrRoad_emi!V78/TrRoad_tech!V193)</f>
        <v>1.24538883626626</v>
      </c>
      <c r="W220" s="93">
        <f>IF(TrRoad_act!W81=0,0,TrRoad_emi!W78/TrRoad_tech!W193)</f>
        <v>1.2498106740568027</v>
      </c>
      <c r="X220" s="93">
        <f>IF(TrRoad_act!X81=0,0,TrRoad_emi!X78/TrRoad_tech!X193)</f>
        <v>1.2586367100245837</v>
      </c>
      <c r="Y220" s="93">
        <f>IF(TrRoad_act!Y81=0,0,TrRoad_emi!Y78/TrRoad_tech!Y193)</f>
        <v>1.2519464480062494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1.6781865679090986</v>
      </c>
      <c r="C221" s="94">
        <f>IF(TrRoad_act!C82=0,0,TrRoad_emi!C79/TrRoad_tech!C194)</f>
        <v>1.2628306631209956</v>
      </c>
      <c r="D221" s="94">
        <f>IF(TrRoad_act!D82=0,0,TrRoad_emi!D79/TrRoad_tech!D194)</f>
        <v>1.1848492101666745</v>
      </c>
      <c r="E221" s="94">
        <f>IF(TrRoad_act!E82=0,0,TrRoad_emi!E79/TrRoad_tech!E194)</f>
        <v>0.85328399571100566</v>
      </c>
      <c r="F221" s="94">
        <f>IF(TrRoad_act!F82=0,0,TrRoad_emi!F79/TrRoad_tech!F194)</f>
        <v>0.70379726956515298</v>
      </c>
      <c r="G221" s="94">
        <f>IF(TrRoad_act!G82=0,0,TrRoad_emi!G79/TrRoad_tech!G194)</f>
        <v>0.57888581570557618</v>
      </c>
      <c r="H221" s="94">
        <f>IF(TrRoad_act!H82=0,0,TrRoad_emi!H79/TrRoad_tech!H194)</f>
        <v>0.91029856477336779</v>
      </c>
      <c r="I221" s="94">
        <f>IF(TrRoad_act!I82=0,0,TrRoad_emi!I79/TrRoad_tech!I194)</f>
        <v>0.77553059859051476</v>
      </c>
      <c r="J221" s="94">
        <f>IF(TrRoad_act!J82=0,0,TrRoad_emi!J79/TrRoad_tech!J194)</f>
        <v>0.70327749248158322</v>
      </c>
      <c r="K221" s="94">
        <f>IF(TrRoad_act!K82=0,0,TrRoad_emi!K79/TrRoad_tech!K194)</f>
        <v>0.73528535619802993</v>
      </c>
      <c r="L221" s="94">
        <f>IF(TrRoad_act!L82=0,0,TrRoad_emi!L79/TrRoad_tech!L194)</f>
        <v>1.0142689283443713</v>
      </c>
      <c r="M221" s="94">
        <f>IF(TrRoad_act!M82=0,0,TrRoad_emi!M79/TrRoad_tech!M194)</f>
        <v>0.89050200224354226</v>
      </c>
      <c r="N221" s="94">
        <f>IF(TrRoad_act!N82=0,0,TrRoad_emi!N79/TrRoad_tech!N194)</f>
        <v>1.15868486516095</v>
      </c>
      <c r="O221" s="94">
        <f>IF(TrRoad_act!O82=0,0,TrRoad_emi!O79/TrRoad_tech!O194)</f>
        <v>1.1056115404802116</v>
      </c>
      <c r="P221" s="94">
        <f>IF(TrRoad_act!P82=0,0,TrRoad_emi!P79/TrRoad_tech!P194)</f>
        <v>1.1598809741973595</v>
      </c>
      <c r="Q221" s="94">
        <f>IF(TrRoad_act!Q82=0,0,TrRoad_emi!Q79/TrRoad_tech!Q194)</f>
        <v>0.76851287685827074</v>
      </c>
      <c r="R221" s="94">
        <f>IF(TrRoad_act!R82=0,0,TrRoad_emi!R79/TrRoad_tech!R194)</f>
        <v>0.7994243097182625</v>
      </c>
      <c r="S221" s="94">
        <f>IF(TrRoad_act!S82=0,0,TrRoad_emi!S79/TrRoad_tech!S194)</f>
        <v>0.93870744326392419</v>
      </c>
      <c r="T221" s="94">
        <f>IF(TrRoad_act!T82=0,0,TrRoad_emi!T79/TrRoad_tech!T194)</f>
        <v>1.1112441181658486</v>
      </c>
      <c r="U221" s="94">
        <f>IF(TrRoad_act!U82=0,0,TrRoad_emi!U79/TrRoad_tech!U194)</f>
        <v>1.0380160367330526</v>
      </c>
      <c r="V221" s="94">
        <f>IF(TrRoad_act!V82=0,0,TrRoad_emi!V79/TrRoad_tech!V194)</f>
        <v>1.1971801453347406</v>
      </c>
      <c r="W221" s="94">
        <f>IF(TrRoad_act!W82=0,0,TrRoad_emi!W79/TrRoad_tech!W194)</f>
        <v>0.91789984059762431</v>
      </c>
      <c r="X221" s="94">
        <f>IF(TrRoad_act!X82=0,0,TrRoad_emi!X79/TrRoad_tech!X194)</f>
        <v>0.83124461069743227</v>
      </c>
      <c r="Y221" s="94">
        <f>IF(TrRoad_act!Y82=0,0,TrRoad_emi!Y79/TrRoad_tech!Y194)</f>
        <v>0.60090273612701683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107.65076235144477</v>
      </c>
      <c r="C225" s="152">
        <v>108.9247393375835</v>
      </c>
      <c r="D225" s="152">
        <v>110.35795959202542</v>
      </c>
      <c r="E225" s="152">
        <v>108.54923563091975</v>
      </c>
      <c r="F225" s="152">
        <v>108.92473933758355</v>
      </c>
      <c r="G225" s="152">
        <v>106.05829882869976</v>
      </c>
      <c r="H225" s="152">
        <v>104.62507857425787</v>
      </c>
      <c r="I225" s="152">
        <v>103.19185831981599</v>
      </c>
      <c r="J225" s="152">
        <v>98.892197556490345</v>
      </c>
      <c r="K225" s="152">
        <v>93.448887858224737</v>
      </c>
      <c r="L225" s="152">
        <v>90.050100724641013</v>
      </c>
      <c r="M225" s="152">
        <v>87.040996250039399</v>
      </c>
      <c r="N225" s="152">
        <v>84.591394240271995</v>
      </c>
      <c r="O225" s="152">
        <v>81.072639006742193</v>
      </c>
      <c r="P225" s="152">
        <v>79.032920443978796</v>
      </c>
      <c r="Q225" s="152">
        <v>77.124786663343187</v>
      </c>
      <c r="R225" s="152">
        <v>75.432540976156687</v>
      </c>
      <c r="S225" s="152">
        <v>74.078744426407511</v>
      </c>
      <c r="T225" s="152">
        <v>72.995707186608172</v>
      </c>
      <c r="U225" s="152">
        <v>72.129277394768678</v>
      </c>
      <c r="V225" s="152">
        <v>71.436133561297098</v>
      </c>
      <c r="W225" s="152">
        <v>70.881618494519827</v>
      </c>
      <c r="X225" s="152">
        <v>70.438006441097997</v>
      </c>
      <c r="Y225" s="152">
        <v>70.08311679836055</v>
      </c>
      <c r="DA225" s="174" t="s">
        <v>933</v>
      </c>
    </row>
    <row r="226" spans="1:105" ht="11.45" customHeight="1" x14ac:dyDescent="0.25">
      <c r="A226" s="109" t="s">
        <v>20</v>
      </c>
      <c r="B226" s="116">
        <v>203.61484763199627</v>
      </c>
      <c r="C226" s="116">
        <v>207.29772342424329</v>
      </c>
      <c r="D226" s="116">
        <v>210.78988462139185</v>
      </c>
      <c r="E226" s="116">
        <v>209.13090576586885</v>
      </c>
      <c r="F226" s="116">
        <v>208.08574201849325</v>
      </c>
      <c r="G226" s="116">
        <v>206.70861359497869</v>
      </c>
      <c r="H226" s="116">
        <v>206.36355892435168</v>
      </c>
      <c r="I226" s="116">
        <v>203.09092607916998</v>
      </c>
      <c r="J226" s="116">
        <v>195.6015768711431</v>
      </c>
      <c r="K226" s="116">
        <v>185.62581015694255</v>
      </c>
      <c r="L226" s="116">
        <v>183.38633371346882</v>
      </c>
      <c r="M226" s="116">
        <v>177.39106885619458</v>
      </c>
      <c r="N226" s="116">
        <v>172.57549684575457</v>
      </c>
      <c r="O226" s="116">
        <v>165.9091423757219</v>
      </c>
      <c r="P226" s="116">
        <v>161.58269626290902</v>
      </c>
      <c r="Q226" s="116">
        <v>156.55223835319367</v>
      </c>
      <c r="R226" s="116">
        <v>154.51743322528796</v>
      </c>
      <c r="S226" s="116">
        <v>154.4211781314803</v>
      </c>
      <c r="T226" s="116">
        <v>156.95908763688988</v>
      </c>
      <c r="U226" s="116">
        <v>156.87830807217125</v>
      </c>
      <c r="V226" s="116">
        <v>138.41078883514177</v>
      </c>
      <c r="W226" s="116">
        <v>119.33978844846251</v>
      </c>
      <c r="X226" s="116">
        <v>113.19589642175119</v>
      </c>
      <c r="Y226" s="116">
        <v>120.25716615256901</v>
      </c>
      <c r="DA226" s="176" t="s">
        <v>934</v>
      </c>
    </row>
    <row r="227" spans="1:105" ht="11.45" customHeight="1" x14ac:dyDescent="0.25">
      <c r="A227" s="111" t="s">
        <v>110</v>
      </c>
      <c r="B227" s="87">
        <v>212.28297942751229</v>
      </c>
      <c r="C227" s="87">
        <v>214.79521087327487</v>
      </c>
      <c r="D227" s="87">
        <v>217.62146364792324</v>
      </c>
      <c r="E227" s="87">
        <v>214.05473264631701</v>
      </c>
      <c r="F227" s="87">
        <v>214.79521087327487</v>
      </c>
      <c r="G227" s="87">
        <v>209.14270532397819</v>
      </c>
      <c r="H227" s="87">
        <v>206.3164525493298</v>
      </c>
      <c r="I227" s="87">
        <v>203.4901997746814</v>
      </c>
      <c r="J227" s="87">
        <v>195.01144145073636</v>
      </c>
      <c r="K227" s="87">
        <v>184.27745336320109</v>
      </c>
      <c r="L227" s="87">
        <v>177.550193900191</v>
      </c>
      <c r="M227" s="87">
        <v>171.59802004234584</v>
      </c>
      <c r="N227" s="87">
        <v>166.73502083122145</v>
      </c>
      <c r="O227" s="87">
        <v>159.94333392801713</v>
      </c>
      <c r="P227" s="87">
        <v>156.13287781651368</v>
      </c>
      <c r="Q227" s="87">
        <v>152.75014906440859</v>
      </c>
      <c r="R227" s="87">
        <v>151.9894490911459</v>
      </c>
      <c r="S227" s="87">
        <v>152.74257884361768</v>
      </c>
      <c r="T227" s="87">
        <v>155.37982414082941</v>
      </c>
      <c r="U227" s="87">
        <v>157.18364278597949</v>
      </c>
      <c r="V227" s="87">
        <v>150.89182865965961</v>
      </c>
      <c r="W227" s="87">
        <v>146.15903624868591</v>
      </c>
      <c r="X227" s="87">
        <v>147.394624802023</v>
      </c>
      <c r="Y227" s="87">
        <v>146.5045127069713</v>
      </c>
      <c r="DA227" s="171" t="s">
        <v>935</v>
      </c>
    </row>
    <row r="228" spans="1:105" ht="11.45" customHeight="1" x14ac:dyDescent="0.25">
      <c r="A228" s="111" t="s">
        <v>111</v>
      </c>
      <c r="B228" s="87">
        <v>187.3219834909001</v>
      </c>
      <c r="C228" s="87">
        <v>193.21404469982102</v>
      </c>
      <c r="D228" s="87">
        <v>199.97839320653739</v>
      </c>
      <c r="E228" s="87">
        <v>201.88294933231401</v>
      </c>
      <c r="F228" s="87">
        <v>199.97839320653736</v>
      </c>
      <c r="G228" s="87">
        <v>204.03192349423179</v>
      </c>
      <c r="H228" s="87">
        <v>207.0379479127491</v>
      </c>
      <c r="I228" s="87">
        <v>203.82242232039638</v>
      </c>
      <c r="J228" s="87">
        <v>197.61356935036486</v>
      </c>
      <c r="K228" s="87">
        <v>189.84777072908517</v>
      </c>
      <c r="L228" s="87">
        <v>192.1636343898908</v>
      </c>
      <c r="M228" s="87">
        <v>184.28089842523389</v>
      </c>
      <c r="N228" s="87">
        <v>179.4619320335415</v>
      </c>
      <c r="O228" s="87">
        <v>173.64521158692526</v>
      </c>
      <c r="P228" s="87">
        <v>169.17056603037767</v>
      </c>
      <c r="Q228" s="87">
        <v>162.92642191686869</v>
      </c>
      <c r="R228" s="87">
        <v>159.8708464936345</v>
      </c>
      <c r="S228" s="87">
        <v>162.45063634019519</v>
      </c>
      <c r="T228" s="87">
        <v>168.4268142277306</v>
      </c>
      <c r="U228" s="87">
        <v>168.30909489467109</v>
      </c>
      <c r="V228" s="87">
        <v>163.09731185286279</v>
      </c>
      <c r="W228" s="87">
        <v>156.45277811382061</v>
      </c>
      <c r="X228" s="87">
        <v>156.36704451132351</v>
      </c>
      <c r="Y228" s="87">
        <v>154.9501410857128</v>
      </c>
      <c r="DA228" s="171" t="s">
        <v>936</v>
      </c>
    </row>
    <row r="229" spans="1:105" ht="11.45" customHeight="1" x14ac:dyDescent="0.25">
      <c r="A229" s="111" t="s">
        <v>112</v>
      </c>
      <c r="B229" s="87">
        <v>174.52092890567744</v>
      </c>
      <c r="C229" s="87">
        <v>179.31990527964484</v>
      </c>
      <c r="D229" s="87">
        <v>185.59782537281089</v>
      </c>
      <c r="E229" s="87">
        <v>187.36542370969482</v>
      </c>
      <c r="F229" s="87">
        <v>185.59782537281089</v>
      </c>
      <c r="G229" s="87">
        <v>189.35986383314545</v>
      </c>
      <c r="H229" s="87">
        <v>192.1497232081939</v>
      </c>
      <c r="I229" s="87">
        <v>189.16542801608821</v>
      </c>
      <c r="J229" s="87">
        <v>183.40305743784671</v>
      </c>
      <c r="K229" s="87">
        <v>176.19570211669409</v>
      </c>
      <c r="L229" s="87">
        <v>169.42777908302057</v>
      </c>
      <c r="M229" s="87">
        <v>172.48696065829998</v>
      </c>
      <c r="N229" s="87">
        <v>168.19410786891612</v>
      </c>
      <c r="O229" s="87">
        <v>156.89279990134716</v>
      </c>
      <c r="P229" s="87">
        <v>149.31634882751675</v>
      </c>
      <c r="Q229" s="87">
        <v>147.57312253360828</v>
      </c>
      <c r="R229" s="87">
        <v>130.96480742038293</v>
      </c>
      <c r="S229" s="87">
        <v>146.42707840072691</v>
      </c>
      <c r="T229" s="87">
        <v>146.3625269203159</v>
      </c>
      <c r="U229" s="87">
        <v>153.85403681693001</v>
      </c>
      <c r="V229" s="87">
        <v>126.62996418003431</v>
      </c>
      <c r="W229" s="87">
        <v>121.2980396059309</v>
      </c>
      <c r="X229" s="87">
        <v>117.6672706529763</v>
      </c>
      <c r="Y229" s="87">
        <v>117.57328085204909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186.73868601165987</v>
      </c>
      <c r="H230" s="87">
        <v>184.21519025474552</v>
      </c>
      <c r="I230" s="87">
        <v>181.69169449783118</v>
      </c>
      <c r="J230" s="87">
        <v>174.12120722708821</v>
      </c>
      <c r="K230" s="87">
        <v>164.53707744342637</v>
      </c>
      <c r="L230" s="87">
        <v>158.55277399552861</v>
      </c>
      <c r="M230" s="87">
        <v>161.03890865423276</v>
      </c>
      <c r="N230" s="87">
        <v>161.2108195503576</v>
      </c>
      <c r="O230" s="87">
        <v>115.65332694261099</v>
      </c>
      <c r="P230" s="87">
        <v>111.92654967583393</v>
      </c>
      <c r="Q230" s="87">
        <v>111.69125180269691</v>
      </c>
      <c r="R230" s="87">
        <v>110.9286128587249</v>
      </c>
      <c r="S230" s="87">
        <v>114.77766199857666</v>
      </c>
      <c r="T230" s="87">
        <v>120.48708487084869</v>
      </c>
      <c r="U230" s="87">
        <v>116.5640614562458</v>
      </c>
      <c r="V230" s="87">
        <v>110.576433597844</v>
      </c>
      <c r="W230" s="87">
        <v>106.08665644171781</v>
      </c>
      <c r="X230" s="87">
        <v>107.51031487513571</v>
      </c>
      <c r="Y230" s="87">
        <v>107.7441154138193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64.674343980159819</v>
      </c>
      <c r="N231" s="87">
        <v>47.134725037085275</v>
      </c>
      <c r="O231" s="87">
        <v>53.998579784345651</v>
      </c>
      <c r="P231" s="87">
        <v>42.390082150783257</v>
      </c>
      <c r="Q231" s="87">
        <v>48.557977061786708</v>
      </c>
      <c r="R231" s="87">
        <v>48.678828002967229</v>
      </c>
      <c r="S231" s="87">
        <v>50.243651735943963</v>
      </c>
      <c r="T231" s="87">
        <v>55.533029111064273</v>
      </c>
      <c r="U231" s="87">
        <v>53.467203331020116</v>
      </c>
      <c r="V231" s="87">
        <v>41.453394449257942</v>
      </c>
      <c r="W231" s="87">
        <v>37.228090477995707</v>
      </c>
      <c r="X231" s="87">
        <v>33.428567685818336</v>
      </c>
      <c r="Y231" s="87">
        <v>31.35482092996493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1530.7616801040631</v>
      </c>
      <c r="C233" s="116">
        <v>1437.4234311626847</v>
      </c>
      <c r="D233" s="116">
        <v>1445.4788031944486</v>
      </c>
      <c r="E233" s="116">
        <v>1449.9828737313044</v>
      </c>
      <c r="F233" s="116">
        <v>1456.608432245517</v>
      </c>
      <c r="G233" s="116">
        <v>1446.6372970682271</v>
      </c>
      <c r="H233" s="116">
        <v>1427.7503430481881</v>
      </c>
      <c r="I233" s="116">
        <v>1429.93263807721</v>
      </c>
      <c r="J233" s="116">
        <v>1414.8567309792645</v>
      </c>
      <c r="K233" s="116">
        <v>1390.4079389320482</v>
      </c>
      <c r="L233" s="116">
        <v>1388.5706196077665</v>
      </c>
      <c r="M233" s="116">
        <v>1372.7808395385184</v>
      </c>
      <c r="N233" s="116">
        <v>1350.6466312840948</v>
      </c>
      <c r="O233" s="116">
        <v>1346.1644332194987</v>
      </c>
      <c r="P233" s="116">
        <v>1337.4489780733406</v>
      </c>
      <c r="Q233" s="116">
        <v>1331.0938607400792</v>
      </c>
      <c r="R233" s="116">
        <v>1306.1081305659295</v>
      </c>
      <c r="S233" s="116">
        <v>1284.7072949300391</v>
      </c>
      <c r="T233" s="116">
        <v>1238.391191265322</v>
      </c>
      <c r="U233" s="116">
        <v>1185.9738462537277</v>
      </c>
      <c r="V233" s="116">
        <v>1103.685698696426</v>
      </c>
      <c r="W233" s="116">
        <v>1043.8917709901757</v>
      </c>
      <c r="X233" s="116">
        <v>989.72757984186444</v>
      </c>
      <c r="Y233" s="116">
        <v>925.83498876800968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0</v>
      </c>
      <c r="D234" s="101">
        <v>0</v>
      </c>
      <c r="E234" s="101">
        <v>0</v>
      </c>
      <c r="F234" s="101">
        <v>0</v>
      </c>
      <c r="G234" s="101">
        <v>0</v>
      </c>
      <c r="H234" s="101">
        <v>0</v>
      </c>
      <c r="I234" s="101">
        <v>0</v>
      </c>
      <c r="J234" s="101">
        <v>0</v>
      </c>
      <c r="K234" s="101">
        <v>0</v>
      </c>
      <c r="L234" s="101">
        <v>0</v>
      </c>
      <c r="M234" s="101">
        <v>0</v>
      </c>
      <c r="N234" s="101">
        <v>0</v>
      </c>
      <c r="O234" s="101">
        <v>0</v>
      </c>
      <c r="P234" s="101">
        <v>0</v>
      </c>
      <c r="Q234" s="101">
        <v>0</v>
      </c>
      <c r="R234" s="101">
        <v>0</v>
      </c>
      <c r="S234" s="101">
        <v>0</v>
      </c>
      <c r="T234" s="101">
        <v>0</v>
      </c>
      <c r="U234" s="101">
        <v>0</v>
      </c>
      <c r="V234" s="101">
        <v>0</v>
      </c>
      <c r="W234" s="101">
        <v>0</v>
      </c>
      <c r="X234" s="101">
        <v>0</v>
      </c>
      <c r="Y234" s="101">
        <v>0</v>
      </c>
      <c r="DA234" s="175" t="s">
        <v>942</v>
      </c>
    </row>
    <row r="235" spans="1:105" ht="11.45" customHeight="1" x14ac:dyDescent="0.25">
      <c r="A235" s="111" t="s">
        <v>111</v>
      </c>
      <c r="B235" s="101">
        <v>1531.4976232194979</v>
      </c>
      <c r="C235" s="101">
        <v>1462.8444050576084</v>
      </c>
      <c r="D235" s="101">
        <v>1467.6093705463954</v>
      </c>
      <c r="E235" s="101">
        <v>1461.5211463830451</v>
      </c>
      <c r="F235" s="101">
        <v>1462.7818333578468</v>
      </c>
      <c r="G235" s="101">
        <v>1452.9645056171901</v>
      </c>
      <c r="H235" s="101">
        <v>1448.0055823898281</v>
      </c>
      <c r="I235" s="101">
        <v>1442.9951824507625</v>
      </c>
      <c r="J235" s="101">
        <v>1427.4791052201092</v>
      </c>
      <c r="K235" s="101">
        <v>1406.9901425796777</v>
      </c>
      <c r="L235" s="101">
        <v>1393.8381331011747</v>
      </c>
      <c r="M235" s="101">
        <v>1381.894722034403</v>
      </c>
      <c r="N235" s="101">
        <v>1371.9623824637176</v>
      </c>
      <c r="O235" s="101">
        <v>1357.2355286262323</v>
      </c>
      <c r="P235" s="101">
        <v>1348.534625594614</v>
      </c>
      <c r="Q235" s="101">
        <v>1340.2449215971562</v>
      </c>
      <c r="R235" s="101">
        <v>1322.1651442592811</v>
      </c>
      <c r="S235" s="101">
        <v>1295.6531528117978</v>
      </c>
      <c r="T235" s="101">
        <v>1262.0692210972411</v>
      </c>
      <c r="U235" s="101">
        <v>1222.7279083284782</v>
      </c>
      <c r="V235" s="101">
        <v>1178.8633924068699</v>
      </c>
      <c r="W235" s="101">
        <v>1131.6065297445421</v>
      </c>
      <c r="X235" s="101">
        <v>1081.9716559022377</v>
      </c>
      <c r="Y235" s="101">
        <v>1030.8511294652378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1038.0289438245632</v>
      </c>
      <c r="G236" s="101">
        <v>0</v>
      </c>
      <c r="H236" s="101">
        <v>0</v>
      </c>
      <c r="I236" s="101">
        <v>1023.9878094089421</v>
      </c>
      <c r="J236" s="101">
        <v>1012.9771878023943</v>
      </c>
      <c r="K236" s="101">
        <v>998.43767427775163</v>
      </c>
      <c r="L236" s="101">
        <v>989.10465810485971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940.27925641898344</v>
      </c>
      <c r="S236" s="101">
        <v>0</v>
      </c>
      <c r="T236" s="101">
        <v>919.75925274297822</v>
      </c>
      <c r="U236" s="101">
        <v>909.80554719360396</v>
      </c>
      <c r="V236" s="101">
        <v>900.03840657891601</v>
      </c>
      <c r="W236" s="101">
        <v>890.44632497713167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969.06038776336516</v>
      </c>
      <c r="D237" s="101">
        <v>972.21693625770865</v>
      </c>
      <c r="E237" s="101">
        <v>968.18379585799914</v>
      </c>
      <c r="F237" s="101">
        <v>969.01893717885719</v>
      </c>
      <c r="G237" s="101">
        <v>962.51545437899927</v>
      </c>
      <c r="H237" s="101">
        <v>959.23041869852489</v>
      </c>
      <c r="I237" s="101">
        <v>955.91128230164406</v>
      </c>
      <c r="J237" s="101">
        <v>945.63266636291655</v>
      </c>
      <c r="K237" s="101">
        <v>932.05976550445257</v>
      </c>
      <c r="L237" s="101">
        <v>923.34722481246854</v>
      </c>
      <c r="M237" s="101">
        <v>915.43531940436935</v>
      </c>
      <c r="N237" s="101">
        <v>908.85564708755396</v>
      </c>
      <c r="O237" s="101">
        <v>899.09985170634513</v>
      </c>
      <c r="P237" s="101">
        <v>893.47214305223076</v>
      </c>
      <c r="Q237" s="101">
        <v>887.84443439811616</v>
      </c>
      <c r="R237" s="101">
        <v>883.60035335458963</v>
      </c>
      <c r="S237" s="101">
        <v>880.18258533976132</v>
      </c>
      <c r="T237" s="101">
        <v>877.26013510278801</v>
      </c>
      <c r="U237" s="101">
        <v>874.63581330596651</v>
      </c>
      <c r="V237" s="101">
        <v>872.19192505588728</v>
      </c>
      <c r="W237" s="101">
        <v>869.85814221345549</v>
      </c>
      <c r="X237" s="101">
        <v>867.59241014435759</v>
      </c>
      <c r="Y237" s="101">
        <v>865.36956884377742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255.18463739275916</v>
      </c>
      <c r="C240" s="152">
        <v>262.98374056832461</v>
      </c>
      <c r="D240" s="152">
        <v>272.35873090256905</v>
      </c>
      <c r="E240" s="152">
        <v>274.71858353015807</v>
      </c>
      <c r="F240" s="152">
        <v>272.63904591524505</v>
      </c>
      <c r="G240" s="152">
        <v>270.45315658583274</v>
      </c>
      <c r="H240" s="152">
        <v>278.15468697278646</v>
      </c>
      <c r="I240" s="152">
        <v>276.91942260849453</v>
      </c>
      <c r="J240" s="152">
        <v>267.60706350115186</v>
      </c>
      <c r="K240" s="152">
        <v>256.34829932764211</v>
      </c>
      <c r="L240" s="152">
        <v>246.31537972527198</v>
      </c>
      <c r="M240" s="152">
        <v>236.31650368558815</v>
      </c>
      <c r="N240" s="152">
        <v>229.69053235721424</v>
      </c>
      <c r="O240" s="152">
        <v>227.17261947318784</v>
      </c>
      <c r="P240" s="152">
        <v>223.50253442621218</v>
      </c>
      <c r="Q240" s="152">
        <v>220.25557190850006</v>
      </c>
      <c r="R240" s="152">
        <v>210.05585862069677</v>
      </c>
      <c r="S240" s="152">
        <v>200.39260938191634</v>
      </c>
      <c r="T240" s="152">
        <v>204.42412041644039</v>
      </c>
      <c r="U240" s="152">
        <v>203.25012259683766</v>
      </c>
      <c r="V240" s="152">
        <v>214.13205611523716</v>
      </c>
      <c r="W240" s="152">
        <v>204.96734194058294</v>
      </c>
      <c r="X240" s="152">
        <v>196.00293950782304</v>
      </c>
      <c r="Y240" s="152">
        <v>198.15946041744246</v>
      </c>
      <c r="DA240" s="174" t="s">
        <v>947</v>
      </c>
    </row>
    <row r="241" spans="1:105" ht="11.45" customHeight="1" x14ac:dyDescent="0.25">
      <c r="A241" s="111" t="s">
        <v>110</v>
      </c>
      <c r="B241" s="87">
        <v>236.04678096948368</v>
      </c>
      <c r="C241" s="87">
        <v>238.8402416012394</v>
      </c>
      <c r="D241" s="87">
        <v>241.98287635915048</v>
      </c>
      <c r="E241" s="87">
        <v>238.0168712946668</v>
      </c>
      <c r="F241" s="87">
        <v>238.84024160123948</v>
      </c>
      <c r="G241" s="87">
        <v>232.55497208541738</v>
      </c>
      <c r="H241" s="87">
        <v>229.41233732750635</v>
      </c>
      <c r="I241" s="87">
        <v>226.26970256959527</v>
      </c>
      <c r="J241" s="87">
        <v>216.84179829586213</v>
      </c>
      <c r="K241" s="87">
        <v>204.90620486364037</v>
      </c>
      <c r="L241" s="87">
        <v>197.45365418440065</v>
      </c>
      <c r="M241" s="87">
        <v>190.85556412618337</v>
      </c>
      <c r="N241" s="87">
        <v>185.48430008279217</v>
      </c>
      <c r="O241" s="87">
        <v>183.16187978519784</v>
      </c>
      <c r="P241" s="87">
        <v>177.65766790021846</v>
      </c>
      <c r="Q241" s="87">
        <v>208.29970569242678</v>
      </c>
      <c r="R241" s="87">
        <v>191.21146767356825</v>
      </c>
      <c r="S241" s="87">
        <v>178.49816453285018</v>
      </c>
      <c r="T241" s="87">
        <v>205.22213747593176</v>
      </c>
      <c r="U241" s="87">
        <v>182.4253819036428</v>
      </c>
      <c r="V241" s="87">
        <v>190.61432344656424</v>
      </c>
      <c r="W241" s="87">
        <v>189.30430923971991</v>
      </c>
      <c r="X241" s="87">
        <v>187.9889508928571</v>
      </c>
      <c r="Y241" s="87">
        <v>189.9149187825264</v>
      </c>
      <c r="DA241" s="171" t="s">
        <v>948</v>
      </c>
    </row>
    <row r="242" spans="1:105" ht="11.45" customHeight="1" x14ac:dyDescent="0.25">
      <c r="A242" s="111" t="s">
        <v>111</v>
      </c>
      <c r="B242" s="87">
        <v>256.22473562257369</v>
      </c>
      <c r="C242" s="87">
        <v>264.28407706981562</v>
      </c>
      <c r="D242" s="87">
        <v>273.53655974959975</v>
      </c>
      <c r="E242" s="87">
        <v>276.1416698424531</v>
      </c>
      <c r="F242" s="87">
        <v>273.53655974959975</v>
      </c>
      <c r="G242" s="87">
        <v>279.08110239722254</v>
      </c>
      <c r="H242" s="87">
        <v>283.19283449377599</v>
      </c>
      <c r="I242" s="87">
        <v>278.7945402870086</v>
      </c>
      <c r="J242" s="87">
        <v>270.3018813843068</v>
      </c>
      <c r="K242" s="87">
        <v>259.67958462258048</v>
      </c>
      <c r="L242" s="87">
        <v>249.70492904909801</v>
      </c>
      <c r="M242" s="87">
        <v>239.46179417596318</v>
      </c>
      <c r="N242" s="87">
        <v>233.19984110275027</v>
      </c>
      <c r="O242" s="87">
        <v>229.64943301561618</v>
      </c>
      <c r="P242" s="87">
        <v>226.12271194310648</v>
      </c>
      <c r="Q242" s="87">
        <v>221.58798442692461</v>
      </c>
      <c r="R242" s="87">
        <v>214.12074300706246</v>
      </c>
      <c r="S242" s="87">
        <v>206.24593353863224</v>
      </c>
      <c r="T242" s="87">
        <v>208.83270732945087</v>
      </c>
      <c r="U242" s="87">
        <v>209.21530127733564</v>
      </c>
      <c r="V242" s="87">
        <v>223.00834158732019</v>
      </c>
      <c r="W242" s="87">
        <v>220.33125820745161</v>
      </c>
      <c r="X242" s="87">
        <v>216.80516191893611</v>
      </c>
      <c r="Y242" s="87">
        <v>217.33607547939019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0</v>
      </c>
      <c r="D243" s="87">
        <v>0</v>
      </c>
      <c r="E243" s="87">
        <v>0</v>
      </c>
      <c r="F243" s="87">
        <v>0</v>
      </c>
      <c r="G243" s="87">
        <v>0</v>
      </c>
      <c r="H243" s="87">
        <v>291.61755685040794</v>
      </c>
      <c r="I243" s="87">
        <v>287.08841749849051</v>
      </c>
      <c r="J243" s="87">
        <v>278.34310992460064</v>
      </c>
      <c r="K243" s="87">
        <v>267.40480975421724</v>
      </c>
      <c r="L243" s="87">
        <v>257.13341749260559</v>
      </c>
      <c r="M243" s="87">
        <v>261.77620876000611</v>
      </c>
      <c r="N243" s="87">
        <v>255.26112655506225</v>
      </c>
      <c r="O243" s="87">
        <v>232.02569148845194</v>
      </c>
      <c r="P243" s="87">
        <v>179.54404117257153</v>
      </c>
      <c r="Q243" s="87">
        <v>264.84950034255036</v>
      </c>
      <c r="R243" s="87">
        <v>304.43758843790403</v>
      </c>
      <c r="S243" s="87">
        <v>268.29429361831274</v>
      </c>
      <c r="T243" s="87">
        <v>278.10435343260275</v>
      </c>
      <c r="U243" s="87">
        <v>288.45867768595042</v>
      </c>
      <c r="V243" s="87">
        <v>310.88985148514848</v>
      </c>
      <c r="W243" s="87">
        <v>297.8937457969065</v>
      </c>
      <c r="X243" s="87">
        <v>265.5674846625767</v>
      </c>
      <c r="Y243" s="87">
        <v>220.36740331491711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0</v>
      </c>
      <c r="F244" s="87">
        <v>0</v>
      </c>
      <c r="G244" s="87">
        <v>0</v>
      </c>
      <c r="H244" s="87">
        <v>206.87102976891902</v>
      </c>
      <c r="I244" s="87">
        <v>204.03718004605713</v>
      </c>
      <c r="J244" s="87">
        <v>195.53563087747139</v>
      </c>
      <c r="K244" s="87">
        <v>184.7727899030474</v>
      </c>
      <c r="L244" s="87">
        <v>178.05250253149927</v>
      </c>
      <c r="M244" s="87">
        <v>180.84439627424038</v>
      </c>
      <c r="N244" s="87">
        <v>181.03744975729282</v>
      </c>
      <c r="O244" s="87">
        <v>168.12603165069092</v>
      </c>
      <c r="P244" s="87">
        <v>176.66221032716089</v>
      </c>
      <c r="Q244" s="87">
        <v>156.5890062752199</v>
      </c>
      <c r="R244" s="87">
        <v>142.99514518678521</v>
      </c>
      <c r="S244" s="87">
        <v>148.05716975852576</v>
      </c>
      <c r="T244" s="87">
        <v>151.17362695415966</v>
      </c>
      <c r="U244" s="87">
        <v>0</v>
      </c>
      <c r="V244" s="87">
        <v>0</v>
      </c>
      <c r="W244" s="87">
        <v>0</v>
      </c>
      <c r="X244" s="87">
        <v>0</v>
      </c>
      <c r="Y244" s="87">
        <v>0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1040.7419809790824</v>
      </c>
      <c r="C246" s="116">
        <v>980.24221650308459</v>
      </c>
      <c r="D246" s="116">
        <v>993.33993260355464</v>
      </c>
      <c r="E246" s="116">
        <v>970.14707846377803</v>
      </c>
      <c r="F246" s="116">
        <v>970.42084004096603</v>
      </c>
      <c r="G246" s="116">
        <v>946.35870778766287</v>
      </c>
      <c r="H246" s="116">
        <v>937.51240639754542</v>
      </c>
      <c r="I246" s="116">
        <v>963.63992632083227</v>
      </c>
      <c r="J246" s="116">
        <v>952.23381842841241</v>
      </c>
      <c r="K246" s="116">
        <v>887.58926029501481</v>
      </c>
      <c r="L246" s="116">
        <v>890.34847401136585</v>
      </c>
      <c r="M246" s="116">
        <v>867.95813380807431</v>
      </c>
      <c r="N246" s="116">
        <v>856.23424612957183</v>
      </c>
      <c r="O246" s="116">
        <v>840.29697688229339</v>
      </c>
      <c r="P246" s="116">
        <v>821.0140540286352</v>
      </c>
      <c r="Q246" s="116">
        <v>800.59176123396367</v>
      </c>
      <c r="R246" s="116">
        <v>767.71200586111615</v>
      </c>
      <c r="S246" s="116">
        <v>740.50749531437384</v>
      </c>
      <c r="T246" s="116">
        <v>683.14409567350401</v>
      </c>
      <c r="U246" s="116">
        <v>674.96412110247547</v>
      </c>
      <c r="V246" s="116">
        <v>656.90250222487464</v>
      </c>
      <c r="W246" s="116">
        <v>660.07861335954874</v>
      </c>
      <c r="X246" s="116">
        <v>645.57410607389181</v>
      </c>
      <c r="Y246" s="116">
        <v>636.20217387116395</v>
      </c>
      <c r="DA246" s="176" t="s">
        <v>953</v>
      </c>
    </row>
    <row r="247" spans="1:105" ht="11.45" customHeight="1" x14ac:dyDescent="0.25">
      <c r="A247" s="128" t="s">
        <v>27</v>
      </c>
      <c r="B247" s="101">
        <v>0</v>
      </c>
      <c r="C247" s="101">
        <v>897.26667672811027</v>
      </c>
      <c r="D247" s="101">
        <v>892.68093321925949</v>
      </c>
      <c r="E247" s="101">
        <v>886.97082897991675</v>
      </c>
      <c r="F247" s="101">
        <v>880.15087349250223</v>
      </c>
      <c r="G247" s="101">
        <v>872.23827407338774</v>
      </c>
      <c r="H247" s="101">
        <v>863.25282856854858</v>
      </c>
      <c r="I247" s="101">
        <v>853.21680340762964</v>
      </c>
      <c r="J247" s="101">
        <v>842.15479839319357</v>
      </c>
      <c r="K247" s="101">
        <v>830.09359970910282</v>
      </c>
      <c r="L247" s="101">
        <v>817.06202276704892</v>
      </c>
      <c r="M247" s="101">
        <v>803.09074653543394</v>
      </c>
      <c r="N247" s="101">
        <v>788.21214105853437</v>
      </c>
      <c r="O247" s="101">
        <v>772.46008989382767</v>
      </c>
      <c r="P247" s="101">
        <v>755.86980915475419</v>
      </c>
      <c r="Q247" s="101">
        <v>738.47766484643284</v>
      </c>
      <c r="R247" s="101">
        <v>695.81912822966694</v>
      </c>
      <c r="S247" s="101">
        <v>665.95815259793085</v>
      </c>
      <c r="T247" s="101">
        <v>634.60412818460793</v>
      </c>
      <c r="U247" s="101">
        <v>596.28254279054659</v>
      </c>
      <c r="V247" s="101">
        <v>587.23388148532081</v>
      </c>
      <c r="W247" s="101">
        <v>586.19388954388648</v>
      </c>
      <c r="X247" s="101">
        <v>582.96432807424105</v>
      </c>
      <c r="Y247" s="101">
        <v>577.13468479349865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90004</v>
      </c>
      <c r="C4" s="28">
        <f t="shared" ref="C4:V4" si="1">SUM(C5,C6,C9)</f>
        <v>90453.999999999985</v>
      </c>
      <c r="D4" s="28">
        <f t="shared" si="1"/>
        <v>85559</v>
      </c>
      <c r="E4" s="28">
        <f t="shared" si="1"/>
        <v>86043</v>
      </c>
      <c r="F4" s="28">
        <f t="shared" si="1"/>
        <v>87886</v>
      </c>
      <c r="G4" s="28">
        <f t="shared" si="1"/>
        <v>92285</v>
      </c>
      <c r="H4" s="28">
        <f t="shared" si="1"/>
        <v>94568</v>
      </c>
      <c r="I4" s="28">
        <f t="shared" si="1"/>
        <v>95027</v>
      </c>
      <c r="J4" s="28">
        <f t="shared" si="1"/>
        <v>98529.824999999997</v>
      </c>
      <c r="K4" s="28">
        <f t="shared" si="1"/>
        <v>98750</v>
      </c>
      <c r="L4" s="28">
        <f t="shared" si="1"/>
        <v>100241</v>
      </c>
      <c r="M4" s="28">
        <f t="shared" si="1"/>
        <v>102013</v>
      </c>
      <c r="N4" s="28">
        <f t="shared" si="1"/>
        <v>105395</v>
      </c>
      <c r="O4" s="28">
        <f t="shared" si="1"/>
        <v>106315</v>
      </c>
      <c r="P4" s="28">
        <f t="shared" si="1"/>
        <v>107578</v>
      </c>
      <c r="Q4" s="28">
        <f t="shared" si="1"/>
        <v>107750</v>
      </c>
      <c r="R4" s="28">
        <f t="shared" si="1"/>
        <v>112465</v>
      </c>
      <c r="S4" s="28">
        <f t="shared" si="1"/>
        <v>112729</v>
      </c>
      <c r="T4" s="28">
        <f t="shared" si="1"/>
        <v>115761</v>
      </c>
      <c r="U4" s="28">
        <f t="shared" si="1"/>
        <v>117852</v>
      </c>
      <c r="V4" s="28">
        <f t="shared" si="1"/>
        <v>69487</v>
      </c>
      <c r="W4" s="28">
        <f t="shared" ref="W4:Y4" si="2">SUM(W5,W6,W9)</f>
        <v>68718</v>
      </c>
      <c r="X4" s="28">
        <f t="shared" si="2"/>
        <v>106813</v>
      </c>
      <c r="Y4" s="28">
        <f t="shared" si="2"/>
        <v>117008</v>
      </c>
      <c r="DA4" s="173" t="s">
        <v>376</v>
      </c>
    </row>
    <row r="5" spans="1:105" ht="11.45" customHeight="1" x14ac:dyDescent="0.25">
      <c r="A5" s="107" t="s">
        <v>23</v>
      </c>
      <c r="B5" s="108">
        <v>14600</v>
      </c>
      <c r="C5" s="108">
        <v>14700</v>
      </c>
      <c r="D5" s="108">
        <v>14740</v>
      </c>
      <c r="E5" s="108">
        <v>14750</v>
      </c>
      <c r="F5" s="108">
        <v>14986</v>
      </c>
      <c r="G5" s="108">
        <v>15485</v>
      </c>
      <c r="H5" s="108">
        <v>15568</v>
      </c>
      <c r="I5" s="108">
        <v>15920</v>
      </c>
      <c r="J5" s="108">
        <v>15991</v>
      </c>
      <c r="K5" s="108">
        <v>16496</v>
      </c>
      <c r="L5" s="108">
        <v>16349</v>
      </c>
      <c r="M5" s="108">
        <v>16600</v>
      </c>
      <c r="N5" s="108">
        <v>16600</v>
      </c>
      <c r="O5" s="108">
        <v>16700</v>
      </c>
      <c r="P5" s="108">
        <v>16600</v>
      </c>
      <c r="Q5" s="108">
        <v>16700</v>
      </c>
      <c r="R5" s="108">
        <v>17000</v>
      </c>
      <c r="S5" s="108">
        <v>17200</v>
      </c>
      <c r="T5" s="108">
        <v>17600</v>
      </c>
      <c r="U5" s="108">
        <v>17600</v>
      </c>
      <c r="V5" s="108">
        <v>11700</v>
      </c>
      <c r="W5" s="108">
        <v>11200</v>
      </c>
      <c r="X5" s="108">
        <v>14500</v>
      </c>
      <c r="Y5" s="108">
        <v>15600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61479</v>
      </c>
      <c r="C6" s="110">
        <f t="shared" ref="C6:V6" si="4">SUM(C7:C8)</f>
        <v>60238.999999999985</v>
      </c>
      <c r="D6" s="110">
        <f t="shared" si="4"/>
        <v>55564</v>
      </c>
      <c r="E6" s="110">
        <f t="shared" si="4"/>
        <v>53836</v>
      </c>
      <c r="F6" s="110">
        <f t="shared" si="4"/>
        <v>53296</v>
      </c>
      <c r="G6" s="110">
        <f t="shared" si="4"/>
        <v>55947</v>
      </c>
      <c r="H6" s="110">
        <f t="shared" si="4"/>
        <v>57365</v>
      </c>
      <c r="I6" s="110">
        <f t="shared" si="4"/>
        <v>57188</v>
      </c>
      <c r="J6" s="110">
        <f t="shared" si="4"/>
        <v>59205.824999999997</v>
      </c>
      <c r="K6" s="110">
        <f t="shared" si="4"/>
        <v>59693</v>
      </c>
      <c r="L6" s="110">
        <f t="shared" si="4"/>
        <v>59988.865097999995</v>
      </c>
      <c r="M6" s="110">
        <f t="shared" si="4"/>
        <v>62107</v>
      </c>
      <c r="N6" s="110">
        <f t="shared" si="4"/>
        <v>64042</v>
      </c>
      <c r="O6" s="110">
        <f t="shared" si="4"/>
        <v>64437</v>
      </c>
      <c r="P6" s="110">
        <f t="shared" si="4"/>
        <v>66662</v>
      </c>
      <c r="Q6" s="110">
        <f t="shared" si="4"/>
        <v>65770</v>
      </c>
      <c r="R6" s="110">
        <f t="shared" si="4"/>
        <v>68252</v>
      </c>
      <c r="S6" s="110">
        <f t="shared" si="4"/>
        <v>67027</v>
      </c>
      <c r="T6" s="110">
        <f t="shared" si="4"/>
        <v>67094</v>
      </c>
      <c r="U6" s="110">
        <f t="shared" si="4"/>
        <v>67048</v>
      </c>
      <c r="V6" s="110">
        <f t="shared" si="4"/>
        <v>39634</v>
      </c>
      <c r="W6" s="110">
        <f t="shared" ref="W6:Y6" si="5">SUM(W7:W8)</f>
        <v>37948</v>
      </c>
      <c r="X6" s="110">
        <f t="shared" si="5"/>
        <v>58325</v>
      </c>
      <c r="Y6" s="110">
        <f t="shared" si="5"/>
        <v>63451</v>
      </c>
      <c r="DA6" s="176" t="s">
        <v>378</v>
      </c>
    </row>
    <row r="7" spans="1:105" ht="11.45" customHeight="1" x14ac:dyDescent="0.25">
      <c r="A7" s="111" t="s">
        <v>90</v>
      </c>
      <c r="B7" s="84">
        <v>16931.930846645511</v>
      </c>
      <c r="C7" s="84">
        <v>17303.989014921019</v>
      </c>
      <c r="D7" s="84">
        <v>17364.743712551681</v>
      </c>
      <c r="E7" s="84">
        <v>19291.263653250957</v>
      </c>
      <c r="F7" s="84">
        <v>18776.398936953381</v>
      </c>
      <c r="G7" s="84">
        <v>17715.514650473116</v>
      </c>
      <c r="H7" s="84">
        <v>18013.415504152126</v>
      </c>
      <c r="I7" s="84">
        <v>18324.932196652226</v>
      </c>
      <c r="J7" s="84">
        <v>20129.120395142763</v>
      </c>
      <c r="K7" s="84">
        <v>18181.6744862097</v>
      </c>
      <c r="L7" s="84">
        <v>17807.79925372608</v>
      </c>
      <c r="M7" s="84">
        <v>18181.38714497834</v>
      </c>
      <c r="N7" s="84">
        <v>18819.07077516416</v>
      </c>
      <c r="O7" s="84">
        <v>18608.444986928327</v>
      </c>
      <c r="P7" s="84">
        <v>19825.745163142154</v>
      </c>
      <c r="Q7" s="84">
        <v>19394.117609857833</v>
      </c>
      <c r="R7" s="84">
        <v>19649.153434480508</v>
      </c>
      <c r="S7" s="84">
        <v>16670.858808105182</v>
      </c>
      <c r="T7" s="84">
        <v>14930.073127997581</v>
      </c>
      <c r="U7" s="84">
        <v>16799.153806510811</v>
      </c>
      <c r="V7" s="84">
        <v>9366.1566629520639</v>
      </c>
      <c r="W7" s="84">
        <v>12442.752776082394</v>
      </c>
      <c r="X7" s="84">
        <v>13089.937873555324</v>
      </c>
      <c r="Y7" s="84">
        <v>14737.429527402606</v>
      </c>
      <c r="DA7" s="171" t="s">
        <v>1031</v>
      </c>
    </row>
    <row r="8" spans="1:105" ht="11.45" customHeight="1" x14ac:dyDescent="0.25">
      <c r="A8" s="111" t="s">
        <v>93</v>
      </c>
      <c r="B8" s="84">
        <v>44547.069153354489</v>
      </c>
      <c r="C8" s="84">
        <v>42935.010985078967</v>
      </c>
      <c r="D8" s="84">
        <v>38199.256287448319</v>
      </c>
      <c r="E8" s="84">
        <v>34544.736346749043</v>
      </c>
      <c r="F8" s="84">
        <v>34519.601063046619</v>
      </c>
      <c r="G8" s="84">
        <v>38231.485349526884</v>
      </c>
      <c r="H8" s="84">
        <v>39351.58449584787</v>
      </c>
      <c r="I8" s="84">
        <v>38863.067803347774</v>
      </c>
      <c r="J8" s="84">
        <v>39076.704604857237</v>
      </c>
      <c r="K8" s="84">
        <v>41511.325513790303</v>
      </c>
      <c r="L8" s="84">
        <v>42181.065844273915</v>
      </c>
      <c r="M8" s="84">
        <v>43925.61285502166</v>
      </c>
      <c r="N8" s="84">
        <v>45222.92922483584</v>
      </c>
      <c r="O8" s="84">
        <v>45828.555013071673</v>
      </c>
      <c r="P8" s="84">
        <v>46836.254836857843</v>
      </c>
      <c r="Q8" s="84">
        <v>46375.882390142171</v>
      </c>
      <c r="R8" s="84">
        <v>48602.846565519489</v>
      </c>
      <c r="S8" s="84">
        <v>50356.141191894814</v>
      </c>
      <c r="T8" s="84">
        <v>52163.926872002419</v>
      </c>
      <c r="U8" s="84">
        <v>50248.846193489189</v>
      </c>
      <c r="V8" s="84">
        <v>30267.843337047936</v>
      </c>
      <c r="W8" s="84">
        <v>25505.247223917606</v>
      </c>
      <c r="X8" s="84">
        <v>45235.062126444675</v>
      </c>
      <c r="Y8" s="84">
        <v>48713.570472597392</v>
      </c>
      <c r="DA8" s="171" t="s">
        <v>1032</v>
      </c>
    </row>
    <row r="9" spans="1:105" ht="11.45" customHeight="1" x14ac:dyDescent="0.25">
      <c r="A9" s="112" t="s">
        <v>25</v>
      </c>
      <c r="B9" s="113">
        <v>13925</v>
      </c>
      <c r="C9" s="113">
        <v>15515</v>
      </c>
      <c r="D9" s="113">
        <v>15255</v>
      </c>
      <c r="E9" s="113">
        <v>17457</v>
      </c>
      <c r="F9" s="113">
        <v>19604</v>
      </c>
      <c r="G9" s="113">
        <v>20853</v>
      </c>
      <c r="H9" s="113">
        <v>21635</v>
      </c>
      <c r="I9" s="113">
        <v>21919</v>
      </c>
      <c r="J9" s="113">
        <v>23333</v>
      </c>
      <c r="K9" s="113">
        <v>22561</v>
      </c>
      <c r="L9" s="113">
        <v>23903.134902000002</v>
      </c>
      <c r="M9" s="113">
        <v>23306</v>
      </c>
      <c r="N9" s="113">
        <v>24753</v>
      </c>
      <c r="O9" s="113">
        <v>25178</v>
      </c>
      <c r="P9" s="113">
        <v>24316</v>
      </c>
      <c r="Q9" s="113">
        <v>25280</v>
      </c>
      <c r="R9" s="113">
        <v>27213</v>
      </c>
      <c r="S9" s="113">
        <v>28502</v>
      </c>
      <c r="T9" s="113">
        <v>31067</v>
      </c>
      <c r="U9" s="113">
        <v>33204</v>
      </c>
      <c r="V9" s="113">
        <v>18153</v>
      </c>
      <c r="W9" s="113">
        <v>19570</v>
      </c>
      <c r="X9" s="113">
        <v>33988</v>
      </c>
      <c r="Y9" s="113">
        <v>37957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82675</v>
      </c>
      <c r="C10" s="28">
        <f t="shared" ref="C10:V10" si="7">SUM(C11:C12)</f>
        <v>81042</v>
      </c>
      <c r="D10" s="28">
        <f t="shared" si="7"/>
        <v>81059</v>
      </c>
      <c r="E10" s="28">
        <f t="shared" si="7"/>
        <v>85128</v>
      </c>
      <c r="F10" s="28">
        <f t="shared" si="7"/>
        <v>86409</v>
      </c>
      <c r="G10" s="28">
        <f t="shared" si="7"/>
        <v>95420</v>
      </c>
      <c r="H10" s="28">
        <f t="shared" si="7"/>
        <v>107007</v>
      </c>
      <c r="I10" s="28">
        <f t="shared" si="7"/>
        <v>114615</v>
      </c>
      <c r="J10" s="28">
        <f t="shared" si="7"/>
        <v>115969</v>
      </c>
      <c r="K10" s="28">
        <f t="shared" si="7"/>
        <v>95652</v>
      </c>
      <c r="L10" s="28">
        <f t="shared" si="7"/>
        <v>107317</v>
      </c>
      <c r="M10" s="28">
        <f t="shared" si="7"/>
        <v>113160</v>
      </c>
      <c r="N10" s="28">
        <f t="shared" si="7"/>
        <v>110065</v>
      </c>
      <c r="O10" s="28">
        <f t="shared" si="7"/>
        <v>110655</v>
      </c>
      <c r="P10" s="28">
        <f t="shared" si="7"/>
        <v>112629</v>
      </c>
      <c r="Q10" s="28">
        <f t="shared" si="7"/>
        <v>114341</v>
      </c>
      <c r="R10" s="28">
        <f t="shared" si="7"/>
        <v>135875</v>
      </c>
      <c r="S10" s="28">
        <f t="shared" si="7"/>
        <v>126897</v>
      </c>
      <c r="T10" s="28">
        <f t="shared" si="7"/>
        <v>127620</v>
      </c>
      <c r="U10" s="28">
        <f t="shared" si="7"/>
        <v>128544.99999999999</v>
      </c>
      <c r="V10" s="28">
        <f t="shared" si="7"/>
        <v>109219</v>
      </c>
      <c r="W10" s="28">
        <f t="shared" ref="W10:Y10" si="8">SUM(W11:W12)</f>
        <v>123935</v>
      </c>
      <c r="X10" s="28">
        <f t="shared" si="8"/>
        <v>128637</v>
      </c>
      <c r="Y10" s="28">
        <f t="shared" si="8"/>
        <v>129090</v>
      </c>
      <c r="DA10" s="173" t="s">
        <v>384</v>
      </c>
    </row>
    <row r="11" spans="1:105" ht="11.45" customHeight="1" x14ac:dyDescent="0.25">
      <c r="A11" s="83" t="s">
        <v>90</v>
      </c>
      <c r="B11" s="84">
        <v>16370.431097609613</v>
      </c>
      <c r="C11" s="84">
        <v>15835.806091949109</v>
      </c>
      <c r="D11" s="84">
        <v>15632.829272876674</v>
      </c>
      <c r="E11" s="84">
        <v>18230.385472403887</v>
      </c>
      <c r="F11" s="84">
        <v>18041.798288844799</v>
      </c>
      <c r="G11" s="84">
        <v>18493.536211822444</v>
      </c>
      <c r="H11" s="84">
        <v>20383.078770045478</v>
      </c>
      <c r="I11" s="84">
        <v>22162.160171196902</v>
      </c>
      <c r="J11" s="84">
        <v>23734.580510331853</v>
      </c>
      <c r="K11" s="84">
        <v>17527.606270827164</v>
      </c>
      <c r="L11" s="84">
        <v>19322.988800501011</v>
      </c>
      <c r="M11" s="84">
        <v>20105.703729740861</v>
      </c>
      <c r="N11" s="84">
        <v>19488.128812544073</v>
      </c>
      <c r="O11" s="84">
        <v>19213.016373585939</v>
      </c>
      <c r="P11" s="84">
        <v>20159.009622667494</v>
      </c>
      <c r="Q11" s="84">
        <v>20378.270989551256</v>
      </c>
      <c r="R11" s="84">
        <v>24057.30006619509</v>
      </c>
      <c r="S11" s="84">
        <v>19163.302716628976</v>
      </c>
      <c r="T11" s="84">
        <v>17139.750186686437</v>
      </c>
      <c r="U11" s="84">
        <v>19327.913791729643</v>
      </c>
      <c r="V11" s="84">
        <v>15941.800287567059</v>
      </c>
      <c r="W11" s="84">
        <v>24879.888298707687</v>
      </c>
      <c r="X11" s="84">
        <v>18619.544716750592</v>
      </c>
      <c r="Y11" s="84">
        <v>19457.924776170748</v>
      </c>
      <c r="DA11" s="171" t="s">
        <v>1033</v>
      </c>
    </row>
    <row r="12" spans="1:105" ht="11.45" customHeight="1" x14ac:dyDescent="0.25">
      <c r="A12" s="85" t="s">
        <v>93</v>
      </c>
      <c r="B12" s="86">
        <v>66304.568902390383</v>
      </c>
      <c r="C12" s="86">
        <v>65206.193908050889</v>
      </c>
      <c r="D12" s="86">
        <v>65426.170727123324</v>
      </c>
      <c r="E12" s="86">
        <v>66897.614527596117</v>
      </c>
      <c r="F12" s="86">
        <v>68367.201711155198</v>
      </c>
      <c r="G12" s="86">
        <v>76926.463788177556</v>
      </c>
      <c r="H12" s="86">
        <v>86623.921229954518</v>
      </c>
      <c r="I12" s="86">
        <v>92452.839828803102</v>
      </c>
      <c r="J12" s="86">
        <v>92234.419489668144</v>
      </c>
      <c r="K12" s="86">
        <v>78124.393729172836</v>
      </c>
      <c r="L12" s="86">
        <v>87994.011199498986</v>
      </c>
      <c r="M12" s="86">
        <v>93054.296270259132</v>
      </c>
      <c r="N12" s="86">
        <v>90576.871187455923</v>
      </c>
      <c r="O12" s="86">
        <v>91441.983626414061</v>
      </c>
      <c r="P12" s="86">
        <v>92469.990377332506</v>
      </c>
      <c r="Q12" s="86">
        <v>93962.729010448747</v>
      </c>
      <c r="R12" s="86">
        <v>111817.69993380491</v>
      </c>
      <c r="S12" s="86">
        <v>107733.69728337103</v>
      </c>
      <c r="T12" s="86">
        <v>110480.24981331357</v>
      </c>
      <c r="U12" s="86">
        <v>109217.08620827034</v>
      </c>
      <c r="V12" s="86">
        <v>93277.199712432935</v>
      </c>
      <c r="W12" s="86">
        <v>99055.111701292306</v>
      </c>
      <c r="X12" s="86">
        <v>110017.45528324941</v>
      </c>
      <c r="Y12" s="86">
        <v>109632.07522382925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977.79707756338883</v>
      </c>
      <c r="C14" s="62">
        <f t="shared" ref="C14:V14" si="10">C15+C21</f>
        <v>971.80139210901541</v>
      </c>
      <c r="D14" s="62">
        <f t="shared" si="10"/>
        <v>998.88738016671232</v>
      </c>
      <c r="E14" s="62">
        <f t="shared" si="10"/>
        <v>978.49603190238884</v>
      </c>
      <c r="F14" s="62">
        <f t="shared" si="10"/>
        <v>991.57567326806907</v>
      </c>
      <c r="G14" s="62">
        <f t="shared" si="10"/>
        <v>1038.7235930679799</v>
      </c>
      <c r="H14" s="62">
        <f t="shared" si="10"/>
        <v>1038.3660808627808</v>
      </c>
      <c r="I14" s="62">
        <f t="shared" si="10"/>
        <v>1065.8297163134407</v>
      </c>
      <c r="J14" s="62">
        <f t="shared" si="10"/>
        <v>1032.8937416331921</v>
      </c>
      <c r="K14" s="62">
        <f t="shared" si="10"/>
        <v>1084.5121899461058</v>
      </c>
      <c r="L14" s="62">
        <f t="shared" si="10"/>
        <v>1113.4618344608582</v>
      </c>
      <c r="M14" s="62">
        <f t="shared" si="10"/>
        <v>1112.9855615854419</v>
      </c>
      <c r="N14" s="62">
        <f t="shared" si="10"/>
        <v>1126.0036969236285</v>
      </c>
      <c r="O14" s="62">
        <f t="shared" si="10"/>
        <v>1137.8972499814224</v>
      </c>
      <c r="P14" s="62">
        <f t="shared" si="10"/>
        <v>1148.3679135264138</v>
      </c>
      <c r="Q14" s="62">
        <f t="shared" si="10"/>
        <v>1157.9943200222651</v>
      </c>
      <c r="R14" s="62">
        <f t="shared" si="10"/>
        <v>1232.243269638652</v>
      </c>
      <c r="S14" s="62">
        <f t="shared" si="10"/>
        <v>1219.1795051262109</v>
      </c>
      <c r="T14" s="62">
        <f t="shared" si="10"/>
        <v>1205.1212574271174</v>
      </c>
      <c r="U14" s="62">
        <f t="shared" si="10"/>
        <v>1178.8264143104259</v>
      </c>
      <c r="V14" s="62">
        <f t="shared" si="10"/>
        <v>1103.3541071407326</v>
      </c>
      <c r="W14" s="62">
        <f t="shared" ref="W14:Y14" si="11">W15+W21</f>
        <v>1258.976639596267</v>
      </c>
      <c r="X14" s="62">
        <f t="shared" si="11"/>
        <v>1163.8905707250356</v>
      </c>
      <c r="Y14" s="62">
        <f t="shared" si="11"/>
        <v>1168.3111503853659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791.42352335159728</v>
      </c>
      <c r="C15" s="29">
        <f t="shared" ref="C15:V15" si="13">SUM(C16,C17,C20)</f>
        <v>772.82120072250541</v>
      </c>
      <c r="D15" s="29">
        <f t="shared" si="13"/>
        <v>789.74778310065449</v>
      </c>
      <c r="E15" s="29">
        <f t="shared" si="13"/>
        <v>793.90580948278682</v>
      </c>
      <c r="F15" s="29">
        <f t="shared" si="13"/>
        <v>806.06288365685873</v>
      </c>
      <c r="G15" s="29">
        <f t="shared" si="13"/>
        <v>850.40180262564695</v>
      </c>
      <c r="H15" s="29">
        <f t="shared" si="13"/>
        <v>824.48445169647175</v>
      </c>
      <c r="I15" s="29">
        <f t="shared" si="13"/>
        <v>838.51587674404016</v>
      </c>
      <c r="J15" s="29">
        <f t="shared" si="13"/>
        <v>838.35689396608586</v>
      </c>
      <c r="K15" s="29">
        <f t="shared" si="13"/>
        <v>880.67530294163714</v>
      </c>
      <c r="L15" s="29">
        <f t="shared" si="13"/>
        <v>899.5256089241193</v>
      </c>
      <c r="M15" s="29">
        <f t="shared" si="13"/>
        <v>872.76799055825211</v>
      </c>
      <c r="N15" s="29">
        <f t="shared" si="13"/>
        <v>882.93094392138528</v>
      </c>
      <c r="O15" s="29">
        <f t="shared" si="13"/>
        <v>889.55758126122146</v>
      </c>
      <c r="P15" s="29">
        <f t="shared" si="13"/>
        <v>897.85093743033042</v>
      </c>
      <c r="Q15" s="29">
        <f t="shared" si="13"/>
        <v>913.30968959844404</v>
      </c>
      <c r="R15" s="29">
        <f t="shared" si="13"/>
        <v>958.21716841173043</v>
      </c>
      <c r="S15" s="29">
        <f t="shared" si="13"/>
        <v>939.65378468512847</v>
      </c>
      <c r="T15" s="29">
        <f t="shared" si="13"/>
        <v>912.22954143259824</v>
      </c>
      <c r="U15" s="29">
        <f t="shared" si="13"/>
        <v>914.03907119796247</v>
      </c>
      <c r="V15" s="29">
        <f t="shared" si="13"/>
        <v>826.8697477944911</v>
      </c>
      <c r="W15" s="29">
        <f t="shared" ref="W15:Y15" si="14">SUM(W16,W17,W20)</f>
        <v>966.75325370642111</v>
      </c>
      <c r="X15" s="29">
        <f t="shared" si="14"/>
        <v>895.08031963216638</v>
      </c>
      <c r="Y15" s="29">
        <f t="shared" si="14"/>
        <v>920.38088987553806</v>
      </c>
      <c r="DA15" s="173" t="s">
        <v>1036</v>
      </c>
    </row>
    <row r="16" spans="1:105" ht="11.45" customHeight="1" x14ac:dyDescent="0.25">
      <c r="A16" s="107" t="s">
        <v>23</v>
      </c>
      <c r="B16" s="115">
        <v>190.58602262301767</v>
      </c>
      <c r="C16" s="115">
        <v>188.59198268166699</v>
      </c>
      <c r="D16" s="115">
        <v>194.42292362051359</v>
      </c>
      <c r="E16" s="115">
        <v>191.5757369788621</v>
      </c>
      <c r="F16" s="115">
        <v>194.64094877052389</v>
      </c>
      <c r="G16" s="115">
        <v>204.87802700059851</v>
      </c>
      <c r="H16" s="115">
        <v>203.0288316680562</v>
      </c>
      <c r="I16" s="115">
        <v>208.28630771143904</v>
      </c>
      <c r="J16" s="115">
        <v>206.73150223648517</v>
      </c>
      <c r="K16" s="115">
        <v>213.70056850229432</v>
      </c>
      <c r="L16" s="115">
        <v>211.10010502326759</v>
      </c>
      <c r="M16" s="115">
        <v>213.08381491226498</v>
      </c>
      <c r="N16" s="115">
        <v>210.73027183274192</v>
      </c>
      <c r="O16" s="115">
        <v>211.21581906441182</v>
      </c>
      <c r="P16" s="115">
        <v>209.15586412876746</v>
      </c>
      <c r="Q16" s="115">
        <v>211.17716202676516</v>
      </c>
      <c r="R16" s="115">
        <v>215.17695741323053</v>
      </c>
      <c r="S16" s="115">
        <v>216.34788182577407</v>
      </c>
      <c r="T16" s="115">
        <v>219.79175051415825</v>
      </c>
      <c r="U16" s="115">
        <v>218.77177205749203</v>
      </c>
      <c r="V16" s="115">
        <v>177.72163289321125</v>
      </c>
      <c r="W16" s="115">
        <v>183.57773218818457</v>
      </c>
      <c r="X16" s="115">
        <v>147.9348460611663</v>
      </c>
      <c r="Y16" s="115">
        <v>149.25369464605026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545.13082303232488</v>
      </c>
      <c r="C17" s="116">
        <f t="shared" ref="C17:V17" si="16">SUM(C18:C19)</f>
        <v>522.16177786436504</v>
      </c>
      <c r="D17" s="116">
        <f t="shared" si="16"/>
        <v>534.29754398596731</v>
      </c>
      <c r="E17" s="116">
        <f t="shared" si="16"/>
        <v>532.49370104658044</v>
      </c>
      <c r="F17" s="116">
        <f t="shared" si="16"/>
        <v>532.99653384092164</v>
      </c>
      <c r="G17" s="116">
        <f t="shared" si="16"/>
        <v>562.10177562504839</v>
      </c>
      <c r="H17" s="116">
        <f t="shared" si="16"/>
        <v>538.73419145698699</v>
      </c>
      <c r="I17" s="116">
        <f t="shared" si="16"/>
        <v>547.80056903260117</v>
      </c>
      <c r="J17" s="116">
        <f t="shared" si="16"/>
        <v>545.29907594012695</v>
      </c>
      <c r="K17" s="116">
        <f t="shared" si="16"/>
        <v>585.16521062981894</v>
      </c>
      <c r="L17" s="116">
        <f t="shared" si="16"/>
        <v>604.11550390085176</v>
      </c>
      <c r="M17" s="116">
        <f t="shared" si="16"/>
        <v>578.18417564598712</v>
      </c>
      <c r="N17" s="116">
        <f t="shared" si="16"/>
        <v>588.4251618845617</v>
      </c>
      <c r="O17" s="116">
        <f t="shared" si="16"/>
        <v>594.79584382946268</v>
      </c>
      <c r="P17" s="116">
        <f t="shared" si="16"/>
        <v>608.858798791759</v>
      </c>
      <c r="Q17" s="116">
        <f t="shared" si="16"/>
        <v>620.35652757167895</v>
      </c>
      <c r="R17" s="116">
        <f t="shared" si="16"/>
        <v>658.56721099849995</v>
      </c>
      <c r="S17" s="116">
        <f t="shared" si="16"/>
        <v>639.40290285935441</v>
      </c>
      <c r="T17" s="116">
        <f t="shared" si="16"/>
        <v>604.93979091843994</v>
      </c>
      <c r="U17" s="116">
        <f t="shared" si="16"/>
        <v>602.49629914047046</v>
      </c>
      <c r="V17" s="116">
        <f t="shared" si="16"/>
        <v>558.51287680604173</v>
      </c>
      <c r="W17" s="116">
        <f t="shared" ref="W17:Y17" si="17">SUM(W18:W19)</f>
        <v>691.09143743681341</v>
      </c>
      <c r="X17" s="116">
        <f t="shared" si="17"/>
        <v>655.15472238956556</v>
      </c>
      <c r="Y17" s="116">
        <f t="shared" si="17"/>
        <v>676.36141817281089</v>
      </c>
      <c r="DA17" s="176" t="s">
        <v>1038</v>
      </c>
    </row>
    <row r="18" spans="1:105" ht="11.45" customHeight="1" x14ac:dyDescent="0.25">
      <c r="A18" s="111" t="s">
        <v>92</v>
      </c>
      <c r="B18" s="87">
        <v>156.41129534901668</v>
      </c>
      <c r="C18" s="87">
        <v>160.87442092334595</v>
      </c>
      <c r="D18" s="87">
        <v>166.81343329937127</v>
      </c>
      <c r="E18" s="87">
        <v>177.81278658194333</v>
      </c>
      <c r="F18" s="87">
        <v>179.40363302078728</v>
      </c>
      <c r="G18" s="87">
        <v>169.84302539768385</v>
      </c>
      <c r="H18" s="87">
        <v>161.21607232567428</v>
      </c>
      <c r="I18" s="87">
        <v>164.38791572891918</v>
      </c>
      <c r="J18" s="87">
        <v>169.26602415697045</v>
      </c>
      <c r="K18" s="87">
        <v>159.89055191223883</v>
      </c>
      <c r="L18" s="87">
        <v>161.77989359375289</v>
      </c>
      <c r="M18" s="87">
        <v>160.66419123301634</v>
      </c>
      <c r="N18" s="87">
        <v>162.50753090100258</v>
      </c>
      <c r="O18" s="87">
        <v>164.85926118354473</v>
      </c>
      <c r="P18" s="87">
        <v>177.0399888756443</v>
      </c>
      <c r="Q18" s="87">
        <v>171.24196997137909</v>
      </c>
      <c r="R18" s="87">
        <v>182.70844459619852</v>
      </c>
      <c r="S18" s="87">
        <v>151.12284455939036</v>
      </c>
      <c r="T18" s="87">
        <v>134.25906405486796</v>
      </c>
      <c r="U18" s="87">
        <v>148.88260990649894</v>
      </c>
      <c r="V18" s="87">
        <v>136.17911825720046</v>
      </c>
      <c r="W18" s="87">
        <v>217.11402915455693</v>
      </c>
      <c r="X18" s="87">
        <v>149.58974654444955</v>
      </c>
      <c r="Y18" s="87">
        <v>161.62827041355237</v>
      </c>
      <c r="DA18" s="171" t="s">
        <v>1039</v>
      </c>
    </row>
    <row r="19" spans="1:105" ht="11.45" customHeight="1" x14ac:dyDescent="0.25">
      <c r="A19" s="111" t="s">
        <v>93</v>
      </c>
      <c r="B19" s="87">
        <v>388.71952768330823</v>
      </c>
      <c r="C19" s="87">
        <v>361.28735694101908</v>
      </c>
      <c r="D19" s="87">
        <v>367.48411068659607</v>
      </c>
      <c r="E19" s="87">
        <v>354.68091446463711</v>
      </c>
      <c r="F19" s="87">
        <v>353.59290082013433</v>
      </c>
      <c r="G19" s="87">
        <v>392.25875022736454</v>
      </c>
      <c r="H19" s="87">
        <v>377.51811913131269</v>
      </c>
      <c r="I19" s="87">
        <v>383.41265330368196</v>
      </c>
      <c r="J19" s="87">
        <v>376.03305178315651</v>
      </c>
      <c r="K19" s="87">
        <v>425.27465871758011</v>
      </c>
      <c r="L19" s="87">
        <v>442.33561030709888</v>
      </c>
      <c r="M19" s="87">
        <v>417.51998441297076</v>
      </c>
      <c r="N19" s="87">
        <v>425.91763098355909</v>
      </c>
      <c r="O19" s="87">
        <v>429.93658264591795</v>
      </c>
      <c r="P19" s="87">
        <v>431.81880991611467</v>
      </c>
      <c r="Q19" s="87">
        <v>449.11455760029986</v>
      </c>
      <c r="R19" s="87">
        <v>475.8587664023014</v>
      </c>
      <c r="S19" s="87">
        <v>488.28005829996403</v>
      </c>
      <c r="T19" s="87">
        <v>470.68072686357198</v>
      </c>
      <c r="U19" s="87">
        <v>453.61368923397151</v>
      </c>
      <c r="V19" s="87">
        <v>422.33375854884127</v>
      </c>
      <c r="W19" s="87">
        <v>473.97740828225648</v>
      </c>
      <c r="X19" s="87">
        <v>505.56497584511601</v>
      </c>
      <c r="Y19" s="87">
        <v>514.73314775925849</v>
      </c>
      <c r="DA19" s="171" t="s">
        <v>1040</v>
      </c>
    </row>
    <row r="20" spans="1:105" ht="11.45" customHeight="1" x14ac:dyDescent="0.25">
      <c r="A20" s="112" t="s">
        <v>25</v>
      </c>
      <c r="B20" s="117">
        <v>55.706677696254737</v>
      </c>
      <c r="C20" s="117">
        <v>62.067440176473404</v>
      </c>
      <c r="D20" s="117">
        <v>61.0273154941735</v>
      </c>
      <c r="E20" s="117">
        <v>69.836371457344271</v>
      </c>
      <c r="F20" s="117">
        <v>78.425401045413139</v>
      </c>
      <c r="G20" s="117">
        <v>83.421999999999997</v>
      </c>
      <c r="H20" s="117">
        <v>82.721428571428575</v>
      </c>
      <c r="I20" s="117">
        <v>82.429000000000002</v>
      </c>
      <c r="J20" s="117">
        <v>86.326315789473696</v>
      </c>
      <c r="K20" s="117">
        <v>81.809523809523824</v>
      </c>
      <c r="L20" s="117">
        <v>84.31</v>
      </c>
      <c r="M20" s="117">
        <v>81.5</v>
      </c>
      <c r="N20" s="117">
        <v>83.775510204081627</v>
      </c>
      <c r="O20" s="117">
        <v>83.545918367346957</v>
      </c>
      <c r="P20" s="117">
        <v>79.836274509803928</v>
      </c>
      <c r="Q20" s="117">
        <v>81.775999999999996</v>
      </c>
      <c r="R20" s="117">
        <v>84.472999999999999</v>
      </c>
      <c r="S20" s="117">
        <v>83.903000000000006</v>
      </c>
      <c r="T20" s="117">
        <v>87.498000000000005</v>
      </c>
      <c r="U20" s="117">
        <v>92.771000000000001</v>
      </c>
      <c r="V20" s="117">
        <v>90.635238095238094</v>
      </c>
      <c r="W20" s="117">
        <v>92.084084081423185</v>
      </c>
      <c r="X20" s="117">
        <v>91.990751181434604</v>
      </c>
      <c r="Y20" s="117">
        <v>94.76577705667691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186.37355421179154</v>
      </c>
      <c r="C21" s="29">
        <f t="shared" ref="C21:V21" si="19">SUM(C22:C23)</f>
        <v>198.98019138651</v>
      </c>
      <c r="D21" s="29">
        <f t="shared" si="19"/>
        <v>209.1395970660578</v>
      </c>
      <c r="E21" s="29">
        <f t="shared" si="19"/>
        <v>184.59022241960201</v>
      </c>
      <c r="F21" s="29">
        <f t="shared" si="19"/>
        <v>185.51278961121031</v>
      </c>
      <c r="G21" s="29">
        <f t="shared" si="19"/>
        <v>188.32179044233285</v>
      </c>
      <c r="H21" s="29">
        <f t="shared" si="19"/>
        <v>213.88162916630904</v>
      </c>
      <c r="I21" s="29">
        <f t="shared" si="19"/>
        <v>227.3138395694005</v>
      </c>
      <c r="J21" s="29">
        <f t="shared" si="19"/>
        <v>194.53684766710617</v>
      </c>
      <c r="K21" s="29">
        <f t="shared" si="19"/>
        <v>203.83688700446871</v>
      </c>
      <c r="L21" s="29">
        <f t="shared" si="19"/>
        <v>213.93622553673899</v>
      </c>
      <c r="M21" s="29">
        <f t="shared" si="19"/>
        <v>240.21757102718976</v>
      </c>
      <c r="N21" s="29">
        <f t="shared" si="19"/>
        <v>243.0727530022433</v>
      </c>
      <c r="O21" s="29">
        <f t="shared" si="19"/>
        <v>248.33966872020105</v>
      </c>
      <c r="P21" s="29">
        <f t="shared" si="19"/>
        <v>250.51697609608337</v>
      </c>
      <c r="Q21" s="29">
        <f t="shared" si="19"/>
        <v>244.6846304238212</v>
      </c>
      <c r="R21" s="29">
        <f t="shared" si="19"/>
        <v>274.02610122692164</v>
      </c>
      <c r="S21" s="29">
        <f t="shared" si="19"/>
        <v>279.52572044108234</v>
      </c>
      <c r="T21" s="29">
        <f t="shared" si="19"/>
        <v>292.89171599451913</v>
      </c>
      <c r="U21" s="29">
        <f t="shared" si="19"/>
        <v>264.78734311246336</v>
      </c>
      <c r="V21" s="29">
        <f t="shared" si="19"/>
        <v>276.48435934624149</v>
      </c>
      <c r="W21" s="29">
        <f t="shared" ref="W21:Y21" si="20">SUM(W22:W23)</f>
        <v>292.22338588984582</v>
      </c>
      <c r="X21" s="29">
        <f t="shared" si="20"/>
        <v>268.81025109286918</v>
      </c>
      <c r="Y21" s="29">
        <f t="shared" si="20"/>
        <v>247.93026050982783</v>
      </c>
      <c r="DA21" s="173" t="s">
        <v>1042</v>
      </c>
    </row>
    <row r="22" spans="1:105" ht="11.45" customHeight="1" x14ac:dyDescent="0.25">
      <c r="A22" s="83" t="s">
        <v>92</v>
      </c>
      <c r="B22" s="87">
        <v>28.846382583739125</v>
      </c>
      <c r="C22" s="87">
        <v>28.014518340048038</v>
      </c>
      <c r="D22" s="87">
        <v>26.978479835782661</v>
      </c>
      <c r="E22" s="87">
        <v>27.540515900121978</v>
      </c>
      <c r="F22" s="87">
        <v>27.133932754835335</v>
      </c>
      <c r="G22" s="87">
        <v>26.490907584908278</v>
      </c>
      <c r="H22" s="87">
        <v>29.602710197998992</v>
      </c>
      <c r="I22" s="87">
        <v>30.2149742578233</v>
      </c>
      <c r="J22" s="87">
        <v>27.435192025140161</v>
      </c>
      <c r="K22" s="87">
        <v>24.524704129189367</v>
      </c>
      <c r="L22" s="87">
        <v>26.064438666611654</v>
      </c>
      <c r="M22" s="87">
        <v>25.833206493493943</v>
      </c>
      <c r="N22" s="87">
        <v>24.968944943909932</v>
      </c>
      <c r="O22" s="87">
        <v>24.248297943171131</v>
      </c>
      <c r="P22" s="87">
        <v>24.355041656287227</v>
      </c>
      <c r="Q22" s="87">
        <v>25.227896371094992</v>
      </c>
      <c r="R22" s="87">
        <v>27.145876012657649</v>
      </c>
      <c r="S22" s="87">
        <v>22.999807690604918</v>
      </c>
      <c r="T22" s="87">
        <v>19.442214820668955</v>
      </c>
      <c r="U22" s="87">
        <v>21.808457347579814</v>
      </c>
      <c r="V22" s="87">
        <v>22.065991215933444</v>
      </c>
      <c r="W22" s="87">
        <v>39.315692716610435</v>
      </c>
      <c r="X22" s="87">
        <v>22.450972600803944</v>
      </c>
      <c r="Y22" s="87">
        <v>21.332931652526273</v>
      </c>
      <c r="DA22" s="171" t="s">
        <v>1043</v>
      </c>
    </row>
    <row r="23" spans="1:105" ht="11.45" customHeight="1" x14ac:dyDescent="0.25">
      <c r="A23" s="85" t="s">
        <v>93</v>
      </c>
      <c r="B23" s="88">
        <v>157.52717162805243</v>
      </c>
      <c r="C23" s="88">
        <v>170.96567304646197</v>
      </c>
      <c r="D23" s="88">
        <v>182.16111723027515</v>
      </c>
      <c r="E23" s="88">
        <v>157.04970651948003</v>
      </c>
      <c r="F23" s="88">
        <v>158.37885685637497</v>
      </c>
      <c r="G23" s="88">
        <v>161.83088285742457</v>
      </c>
      <c r="H23" s="88">
        <v>184.27891896831005</v>
      </c>
      <c r="I23" s="88">
        <v>197.09886531157719</v>
      </c>
      <c r="J23" s="88">
        <v>167.101655641966</v>
      </c>
      <c r="K23" s="88">
        <v>179.31218287527935</v>
      </c>
      <c r="L23" s="88">
        <v>187.87178687012732</v>
      </c>
      <c r="M23" s="88">
        <v>214.38436453369582</v>
      </c>
      <c r="N23" s="88">
        <v>218.10380805833336</v>
      </c>
      <c r="O23" s="88">
        <v>224.09137077702991</v>
      </c>
      <c r="P23" s="88">
        <v>226.16193443979614</v>
      </c>
      <c r="Q23" s="88">
        <v>219.4567340527262</v>
      </c>
      <c r="R23" s="88">
        <v>246.88022521426399</v>
      </c>
      <c r="S23" s="88">
        <v>256.5259127504774</v>
      </c>
      <c r="T23" s="88">
        <v>273.44950117385019</v>
      </c>
      <c r="U23" s="88">
        <v>242.97888576488356</v>
      </c>
      <c r="V23" s="88">
        <v>254.41836813030804</v>
      </c>
      <c r="W23" s="88">
        <v>252.90769317323537</v>
      </c>
      <c r="X23" s="88">
        <v>246.35927849206524</v>
      </c>
      <c r="Y23" s="88">
        <v>226.59732885730156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6422.4660830000003</v>
      </c>
      <c r="C25" s="62">
        <f t="shared" ref="C25:V25" si="22">C26+C32</f>
        <v>6328.3796929999999</v>
      </c>
      <c r="D25" s="62">
        <f t="shared" si="22"/>
        <v>6510.7789959999991</v>
      </c>
      <c r="E25" s="62">
        <f t="shared" si="22"/>
        <v>6416.4921359999998</v>
      </c>
      <c r="F25" s="62">
        <f t="shared" si="22"/>
        <v>6424.6160160000009</v>
      </c>
      <c r="G25" s="62">
        <f t="shared" si="22"/>
        <v>6736.8638659999997</v>
      </c>
      <c r="H25" s="62">
        <f t="shared" si="22"/>
        <v>6690.5114719999992</v>
      </c>
      <c r="I25" s="62">
        <f t="shared" si="22"/>
        <v>6865.2604389999997</v>
      </c>
      <c r="J25" s="62">
        <f t="shared" si="22"/>
        <v>6750.4474289999998</v>
      </c>
      <c r="K25" s="62">
        <f t="shared" si="22"/>
        <v>7044.946473</v>
      </c>
      <c r="L25" s="62">
        <f t="shared" si="22"/>
        <v>7203.5652420000006</v>
      </c>
      <c r="M25" s="62">
        <f t="shared" si="22"/>
        <v>7173.8857310000003</v>
      </c>
      <c r="N25" s="62">
        <f t="shared" si="22"/>
        <v>7240.0957249999992</v>
      </c>
      <c r="O25" s="62">
        <f t="shared" si="22"/>
        <v>7312.8053779999991</v>
      </c>
      <c r="P25" s="62">
        <f t="shared" si="22"/>
        <v>7390.4744330000003</v>
      </c>
      <c r="Q25" s="62">
        <f t="shared" si="22"/>
        <v>7460.6501659999994</v>
      </c>
      <c r="R25" s="62">
        <f t="shared" si="22"/>
        <v>7904.4505200000003</v>
      </c>
      <c r="S25" s="62">
        <f t="shared" si="22"/>
        <v>7926.1682830000009</v>
      </c>
      <c r="T25" s="62">
        <f t="shared" si="22"/>
        <v>7814.0567469999996</v>
      </c>
      <c r="U25" s="62">
        <f t="shared" si="22"/>
        <v>7609.1602729999995</v>
      </c>
      <c r="V25" s="62">
        <f t="shared" si="22"/>
        <v>7122.8268909999997</v>
      </c>
      <c r="W25" s="62">
        <f t="shared" ref="W25:Y25" si="23">W26+W32</f>
        <v>7941.9129540000013</v>
      </c>
      <c r="X25" s="62">
        <f t="shared" si="23"/>
        <v>7827.5898520000001</v>
      </c>
      <c r="Y25" s="62">
        <f t="shared" si="23"/>
        <v>7558.6400650000014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5490.5983110000006</v>
      </c>
      <c r="C26" s="29">
        <f t="shared" ref="C26:V26" si="25">SUM(C27,C28,C31)</f>
        <v>5333.4787349999997</v>
      </c>
      <c r="D26" s="29">
        <f t="shared" si="25"/>
        <v>5465.0810089999995</v>
      </c>
      <c r="E26" s="29">
        <f t="shared" si="25"/>
        <v>5446.7475539999996</v>
      </c>
      <c r="F26" s="29">
        <f t="shared" si="25"/>
        <v>5497.0520670000005</v>
      </c>
      <c r="G26" s="29">
        <f t="shared" si="25"/>
        <v>5795.2549129999998</v>
      </c>
      <c r="H26" s="29">
        <f t="shared" si="25"/>
        <v>5621.1033259999995</v>
      </c>
      <c r="I26" s="29">
        <f t="shared" si="25"/>
        <v>5728.6912400000001</v>
      </c>
      <c r="J26" s="29">
        <f t="shared" si="25"/>
        <v>5706.5407260000002</v>
      </c>
      <c r="K26" s="29">
        <f t="shared" si="25"/>
        <v>6025.6327879999999</v>
      </c>
      <c r="L26" s="29">
        <f t="shared" si="25"/>
        <v>6133.8841130000001</v>
      </c>
      <c r="M26" s="29">
        <f t="shared" si="25"/>
        <v>5972.7978750000002</v>
      </c>
      <c r="N26" s="29">
        <f t="shared" si="25"/>
        <v>6024.7319589999997</v>
      </c>
      <c r="O26" s="29">
        <f t="shared" si="25"/>
        <v>6071.1070339999997</v>
      </c>
      <c r="P26" s="29">
        <f t="shared" si="25"/>
        <v>6137.8895510000002</v>
      </c>
      <c r="Q26" s="29">
        <f t="shared" si="25"/>
        <v>6237.2270129999997</v>
      </c>
      <c r="R26" s="29">
        <f t="shared" si="25"/>
        <v>6534.3200120000001</v>
      </c>
      <c r="S26" s="29">
        <f t="shared" si="25"/>
        <v>6522.2325290000008</v>
      </c>
      <c r="T26" s="29">
        <f t="shared" si="25"/>
        <v>6339.9262419999995</v>
      </c>
      <c r="U26" s="29">
        <f t="shared" si="25"/>
        <v>6211.6340649999993</v>
      </c>
      <c r="V26" s="29">
        <f t="shared" si="25"/>
        <v>5740.4050929999994</v>
      </c>
      <c r="W26" s="29">
        <f t="shared" ref="W26:Y26" si="26">SUM(W27,W28,W31)</f>
        <v>6480.7960240000011</v>
      </c>
      <c r="X26" s="29">
        <f t="shared" si="26"/>
        <v>6413.6381860000001</v>
      </c>
      <c r="Y26" s="29">
        <f t="shared" si="26"/>
        <v>6237.875175000001</v>
      </c>
      <c r="DA26" s="173" t="s">
        <v>1046</v>
      </c>
    </row>
    <row r="27" spans="1:105" ht="11.45" customHeight="1" x14ac:dyDescent="0.25">
      <c r="A27" s="107" t="s">
        <v>23</v>
      </c>
      <c r="B27" s="115">
        <v>1732.6002060000001</v>
      </c>
      <c r="C27" s="115">
        <v>1714.4725700000001</v>
      </c>
      <c r="D27" s="115">
        <v>1767.4811240000001</v>
      </c>
      <c r="E27" s="115">
        <v>1741.5976090000001</v>
      </c>
      <c r="F27" s="115">
        <v>1769.4631710000001</v>
      </c>
      <c r="G27" s="115">
        <v>1862.5275190000002</v>
      </c>
      <c r="H27" s="115">
        <v>1845.7166520000001</v>
      </c>
      <c r="I27" s="115">
        <v>1893.5118890000001</v>
      </c>
      <c r="J27" s="115">
        <v>1879.3772940000001</v>
      </c>
      <c r="K27" s="115">
        <v>1942.7324410000001</v>
      </c>
      <c r="L27" s="115">
        <v>1919.0918640000002</v>
      </c>
      <c r="M27" s="115">
        <v>1937.1255910000002</v>
      </c>
      <c r="N27" s="115">
        <v>1915.7297440000002</v>
      </c>
      <c r="O27" s="115">
        <v>1920.14381</v>
      </c>
      <c r="P27" s="115">
        <v>1901.4169470000002</v>
      </c>
      <c r="Q27" s="115">
        <v>1919.7923830000002</v>
      </c>
      <c r="R27" s="115">
        <v>1956.1541590000002</v>
      </c>
      <c r="S27" s="115">
        <v>1966.7989260000002</v>
      </c>
      <c r="T27" s="115">
        <v>1998.1068230000001</v>
      </c>
      <c r="U27" s="115">
        <v>1988.834292</v>
      </c>
      <c r="V27" s="115">
        <v>1815.5742720000001</v>
      </c>
      <c r="W27" s="115">
        <v>1668.8884750000002</v>
      </c>
      <c r="X27" s="115">
        <v>1495.628455</v>
      </c>
      <c r="Y27" s="115">
        <v>1356.8517700000002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3634.2054870000002</v>
      </c>
      <c r="C28" s="116">
        <f t="shared" ref="C28:V28" si="28">SUM(C29:C30)</f>
        <v>3481.07852</v>
      </c>
      <c r="D28" s="116">
        <f t="shared" si="28"/>
        <v>3561.983628</v>
      </c>
      <c r="E28" s="116">
        <f t="shared" si="28"/>
        <v>3549.9580079999996</v>
      </c>
      <c r="F28" s="116">
        <f t="shared" si="28"/>
        <v>3553.3102269999999</v>
      </c>
      <c r="G28" s="116">
        <f t="shared" si="28"/>
        <v>3747.3451709999999</v>
      </c>
      <c r="H28" s="116">
        <f t="shared" si="28"/>
        <v>3591.5612769999998</v>
      </c>
      <c r="I28" s="116">
        <f t="shared" si="28"/>
        <v>3652.0037949999996</v>
      </c>
      <c r="J28" s="116">
        <f t="shared" si="28"/>
        <v>3635.327174</v>
      </c>
      <c r="K28" s="116">
        <f t="shared" si="28"/>
        <v>3901.1014049999999</v>
      </c>
      <c r="L28" s="116">
        <f t="shared" si="28"/>
        <v>4027.4366929999997</v>
      </c>
      <c r="M28" s="116">
        <f t="shared" si="28"/>
        <v>3854.5611720000002</v>
      </c>
      <c r="N28" s="116">
        <f t="shared" si="28"/>
        <v>3922.8344139999999</v>
      </c>
      <c r="O28" s="116">
        <f t="shared" si="28"/>
        <v>3965.3056269999997</v>
      </c>
      <c r="P28" s="116">
        <f t="shared" si="28"/>
        <v>4059.0586599999997</v>
      </c>
      <c r="Q28" s="116">
        <f t="shared" si="28"/>
        <v>4135.7101849999999</v>
      </c>
      <c r="R28" s="116">
        <f t="shared" si="28"/>
        <v>4390.4480750000002</v>
      </c>
      <c r="S28" s="116">
        <f t="shared" si="28"/>
        <v>4368.9824910000007</v>
      </c>
      <c r="T28" s="116">
        <f t="shared" si="28"/>
        <v>4147.3794189999999</v>
      </c>
      <c r="U28" s="116">
        <f t="shared" si="28"/>
        <v>4016.641995</v>
      </c>
      <c r="V28" s="116">
        <f t="shared" si="28"/>
        <v>3723.4191799999999</v>
      </c>
      <c r="W28" s="116">
        <f t="shared" ref="W28:Y28" si="29">SUM(W29:W30)</f>
        <v>4607.2762510000002</v>
      </c>
      <c r="X28" s="116">
        <f t="shared" si="29"/>
        <v>4713.5858390000003</v>
      </c>
      <c r="Y28" s="116">
        <f t="shared" si="29"/>
        <v>4670.4327890000004</v>
      </c>
      <c r="DA28" s="176" t="s">
        <v>1048</v>
      </c>
    </row>
    <row r="29" spans="1:105" ht="11.45" customHeight="1" x14ac:dyDescent="0.25">
      <c r="A29" s="111" t="s">
        <v>92</v>
      </c>
      <c r="B29" s="87">
        <v>1042.7419690000002</v>
      </c>
      <c r="C29" s="87">
        <v>1072.4961400000002</v>
      </c>
      <c r="D29" s="87">
        <v>1112.0895560000001</v>
      </c>
      <c r="E29" s="87">
        <v>1185.418578</v>
      </c>
      <c r="F29" s="87">
        <v>1196.0242210000001</v>
      </c>
      <c r="G29" s="87">
        <v>1132.2868360000002</v>
      </c>
      <c r="H29" s="87">
        <v>1074.7738160000001</v>
      </c>
      <c r="I29" s="87">
        <v>1095.919439</v>
      </c>
      <c r="J29" s="87">
        <v>1128.4401620000001</v>
      </c>
      <c r="K29" s="87">
        <v>1065.9370130000002</v>
      </c>
      <c r="L29" s="87">
        <v>1078.5326240000002</v>
      </c>
      <c r="M29" s="87">
        <v>1071.0946090000002</v>
      </c>
      <c r="N29" s="87">
        <v>1083.38354</v>
      </c>
      <c r="O29" s="87">
        <v>1099.0617420000001</v>
      </c>
      <c r="P29" s="87">
        <v>1180.2665930000001</v>
      </c>
      <c r="Q29" s="87">
        <v>1141.6131340000002</v>
      </c>
      <c r="R29" s="87">
        <v>1218.0562980000002</v>
      </c>
      <c r="S29" s="87">
        <v>1113.7821020000001</v>
      </c>
      <c r="T29" s="87">
        <v>1009.507906</v>
      </c>
      <c r="U29" s="87">
        <v>992.55073300000004</v>
      </c>
      <c r="V29" s="87">
        <v>907.86078899999995</v>
      </c>
      <c r="W29" s="87">
        <v>1447.426862</v>
      </c>
      <c r="X29" s="87">
        <v>1343.1526660000002</v>
      </c>
      <c r="Y29" s="87">
        <v>1238.8784700000001</v>
      </c>
      <c r="DA29" s="171" t="s">
        <v>1049</v>
      </c>
    </row>
    <row r="30" spans="1:105" ht="11.45" customHeight="1" x14ac:dyDescent="0.25">
      <c r="A30" s="111" t="s">
        <v>93</v>
      </c>
      <c r="B30" s="87">
        <v>2591.463518</v>
      </c>
      <c r="C30" s="87">
        <v>2408.5823799999998</v>
      </c>
      <c r="D30" s="87">
        <v>2449.8940720000001</v>
      </c>
      <c r="E30" s="87">
        <v>2364.5394299999998</v>
      </c>
      <c r="F30" s="87">
        <v>2357.2860059999998</v>
      </c>
      <c r="G30" s="87">
        <v>2615.0583349999997</v>
      </c>
      <c r="H30" s="87">
        <v>2516.7874609999999</v>
      </c>
      <c r="I30" s="87">
        <v>2556.0843559999998</v>
      </c>
      <c r="J30" s="87">
        <v>2506.8870119999997</v>
      </c>
      <c r="K30" s="87">
        <v>2835.1643919999997</v>
      </c>
      <c r="L30" s="87">
        <v>2948.9040689999997</v>
      </c>
      <c r="M30" s="87">
        <v>2783.466563</v>
      </c>
      <c r="N30" s="87">
        <v>2839.4508739999997</v>
      </c>
      <c r="O30" s="87">
        <v>2866.2438849999999</v>
      </c>
      <c r="P30" s="87">
        <v>2878.7920669999999</v>
      </c>
      <c r="Q30" s="87">
        <v>2994.0970509999997</v>
      </c>
      <c r="R30" s="87">
        <v>3172.3917769999998</v>
      </c>
      <c r="S30" s="87">
        <v>3255.2003890000001</v>
      </c>
      <c r="T30" s="87">
        <v>3137.871513</v>
      </c>
      <c r="U30" s="87">
        <v>3024.0912619999999</v>
      </c>
      <c r="V30" s="87">
        <v>2815.558391</v>
      </c>
      <c r="W30" s="87">
        <v>3159.849389</v>
      </c>
      <c r="X30" s="87">
        <v>3370.4331729999999</v>
      </c>
      <c r="Y30" s="87">
        <v>3431.5543189999999</v>
      </c>
      <c r="DA30" s="171" t="s">
        <v>1050</v>
      </c>
    </row>
    <row r="31" spans="1:105" ht="11.45" customHeight="1" x14ac:dyDescent="0.25">
      <c r="A31" s="112" t="s">
        <v>25</v>
      </c>
      <c r="B31" s="117">
        <v>123.792618</v>
      </c>
      <c r="C31" s="117">
        <v>137.92764499999998</v>
      </c>
      <c r="D31" s="117">
        <v>135.61625699999999</v>
      </c>
      <c r="E31" s="117">
        <v>155.191937</v>
      </c>
      <c r="F31" s="117">
        <v>174.27866900000001</v>
      </c>
      <c r="G31" s="117">
        <v>185.38222300000001</v>
      </c>
      <c r="H31" s="117">
        <v>183.82539700000001</v>
      </c>
      <c r="I31" s="117">
        <v>183.175556</v>
      </c>
      <c r="J31" s="117">
        <v>191.83625799999999</v>
      </c>
      <c r="K31" s="117">
        <v>181.79894200000001</v>
      </c>
      <c r="L31" s="117">
        <v>187.35555600000001</v>
      </c>
      <c r="M31" s="117">
        <v>181.11111199999999</v>
      </c>
      <c r="N31" s="117">
        <v>186.167801</v>
      </c>
      <c r="O31" s="117">
        <v>185.65759700000001</v>
      </c>
      <c r="P31" s="117">
        <v>177.41394399999999</v>
      </c>
      <c r="Q31" s="117">
        <v>181.724445</v>
      </c>
      <c r="R31" s="117">
        <v>187.71777800000001</v>
      </c>
      <c r="S31" s="117">
        <v>186.45111199999999</v>
      </c>
      <c r="T31" s="117">
        <v>194.44</v>
      </c>
      <c r="U31" s="117">
        <v>206.15777800000001</v>
      </c>
      <c r="V31" s="117">
        <v>201.411641</v>
      </c>
      <c r="W31" s="117">
        <v>204.63129799999999</v>
      </c>
      <c r="X31" s="117">
        <v>204.423892</v>
      </c>
      <c r="Y31" s="117">
        <v>210.59061600000001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931.86777199999995</v>
      </c>
      <c r="C32" s="29">
        <f t="shared" ref="C32:V32" si="31">SUM(C33:C34)</f>
        <v>994.90095799999995</v>
      </c>
      <c r="D32" s="29">
        <f t="shared" si="31"/>
        <v>1045.697987</v>
      </c>
      <c r="E32" s="29">
        <f t="shared" si="31"/>
        <v>969.74458200000004</v>
      </c>
      <c r="F32" s="29">
        <f t="shared" si="31"/>
        <v>927.56394899999998</v>
      </c>
      <c r="G32" s="29">
        <f t="shared" si="31"/>
        <v>941.60895299999993</v>
      </c>
      <c r="H32" s="29">
        <f t="shared" si="31"/>
        <v>1069.408146</v>
      </c>
      <c r="I32" s="29">
        <f t="shared" si="31"/>
        <v>1136.569199</v>
      </c>
      <c r="J32" s="29">
        <f t="shared" si="31"/>
        <v>1043.9067029999999</v>
      </c>
      <c r="K32" s="29">
        <f t="shared" si="31"/>
        <v>1019.3136850000001</v>
      </c>
      <c r="L32" s="29">
        <f t="shared" si="31"/>
        <v>1069.6811290000001</v>
      </c>
      <c r="M32" s="29">
        <f t="shared" si="31"/>
        <v>1201.0878560000001</v>
      </c>
      <c r="N32" s="29">
        <f t="shared" si="31"/>
        <v>1215.3637659999999</v>
      </c>
      <c r="O32" s="29">
        <f t="shared" si="31"/>
        <v>1241.6983439999999</v>
      </c>
      <c r="P32" s="29">
        <f t="shared" si="31"/>
        <v>1252.5848820000001</v>
      </c>
      <c r="Q32" s="29">
        <f t="shared" si="31"/>
        <v>1223.4231530000002</v>
      </c>
      <c r="R32" s="29">
        <f t="shared" si="31"/>
        <v>1370.1305080000002</v>
      </c>
      <c r="S32" s="29">
        <f t="shared" si="31"/>
        <v>1403.9357540000001</v>
      </c>
      <c r="T32" s="29">
        <f t="shared" si="31"/>
        <v>1474.1305050000001</v>
      </c>
      <c r="U32" s="29">
        <f t="shared" si="31"/>
        <v>1397.526208</v>
      </c>
      <c r="V32" s="29">
        <f t="shared" si="31"/>
        <v>1382.4217980000001</v>
      </c>
      <c r="W32" s="29">
        <f t="shared" ref="W32:Y32" si="32">SUM(W33:W34)</f>
        <v>1461.1169300000001</v>
      </c>
      <c r="X32" s="29">
        <f t="shared" si="32"/>
        <v>1413.9516660000002</v>
      </c>
      <c r="Y32" s="29">
        <f t="shared" si="32"/>
        <v>1320.7648900000002</v>
      </c>
      <c r="DA32" s="173" t="s">
        <v>1052</v>
      </c>
    </row>
    <row r="33" spans="1:105" ht="11.45" customHeight="1" x14ac:dyDescent="0.25">
      <c r="A33" s="83" t="s">
        <v>92</v>
      </c>
      <c r="B33" s="87">
        <v>144.23191299999999</v>
      </c>
      <c r="C33" s="87">
        <v>140.07259199999999</v>
      </c>
      <c r="D33" s="87">
        <v>134.89240000000001</v>
      </c>
      <c r="E33" s="87">
        <v>137.70257999999998</v>
      </c>
      <c r="F33" s="87">
        <v>135.66966400000001</v>
      </c>
      <c r="G33" s="87">
        <v>132.45453799999999</v>
      </c>
      <c r="H33" s="87">
        <v>148.01355100000001</v>
      </c>
      <c r="I33" s="87">
        <v>151.074872</v>
      </c>
      <c r="J33" s="87">
        <v>137.175961</v>
      </c>
      <c r="K33" s="87">
        <v>122.75277</v>
      </c>
      <c r="L33" s="87">
        <v>130.322194</v>
      </c>
      <c r="M33" s="87">
        <v>129.166033</v>
      </c>
      <c r="N33" s="87">
        <v>124.844725</v>
      </c>
      <c r="O33" s="87">
        <v>121.24149</v>
      </c>
      <c r="P33" s="87">
        <v>121.775209</v>
      </c>
      <c r="Q33" s="87">
        <v>126.139482</v>
      </c>
      <c r="R33" s="87">
        <v>135.72938099999999</v>
      </c>
      <c r="S33" s="87">
        <v>121.30619</v>
      </c>
      <c r="T33" s="87">
        <v>106.882999</v>
      </c>
      <c r="U33" s="87">
        <v>109.042287</v>
      </c>
      <c r="V33" s="87">
        <v>110.32995699999999</v>
      </c>
      <c r="W33" s="87">
        <v>196.578464</v>
      </c>
      <c r="X33" s="87">
        <v>182.15527299999999</v>
      </c>
      <c r="Y33" s="87">
        <v>167.73208199999999</v>
      </c>
      <c r="DA33" s="171" t="s">
        <v>1053</v>
      </c>
    </row>
    <row r="34" spans="1:105" ht="11.45" customHeight="1" x14ac:dyDescent="0.25">
      <c r="A34" s="85" t="s">
        <v>93</v>
      </c>
      <c r="B34" s="88">
        <v>787.63585899999998</v>
      </c>
      <c r="C34" s="88">
        <v>854.82836599999996</v>
      </c>
      <c r="D34" s="88">
        <v>910.80558699999995</v>
      </c>
      <c r="E34" s="88">
        <v>832.04200200000002</v>
      </c>
      <c r="F34" s="88">
        <v>791.89428499999997</v>
      </c>
      <c r="G34" s="88">
        <v>809.15441499999997</v>
      </c>
      <c r="H34" s="88">
        <v>921.39459499999998</v>
      </c>
      <c r="I34" s="88">
        <v>985.494327</v>
      </c>
      <c r="J34" s="88">
        <v>906.73074199999996</v>
      </c>
      <c r="K34" s="88">
        <v>896.56091500000002</v>
      </c>
      <c r="L34" s="88">
        <v>939.35893499999997</v>
      </c>
      <c r="M34" s="88">
        <v>1071.9218230000001</v>
      </c>
      <c r="N34" s="88">
        <v>1090.519041</v>
      </c>
      <c r="O34" s="88">
        <v>1120.456854</v>
      </c>
      <c r="P34" s="88">
        <v>1130.8096730000002</v>
      </c>
      <c r="Q34" s="88">
        <v>1097.2836710000001</v>
      </c>
      <c r="R34" s="88">
        <v>1234.4011270000001</v>
      </c>
      <c r="S34" s="88">
        <v>1282.6295640000001</v>
      </c>
      <c r="T34" s="88">
        <v>1367.2475060000002</v>
      </c>
      <c r="U34" s="88">
        <v>1288.483921</v>
      </c>
      <c r="V34" s="88">
        <v>1272.0918410000002</v>
      </c>
      <c r="W34" s="88">
        <v>1264.5384660000002</v>
      </c>
      <c r="X34" s="88">
        <v>1231.7963930000001</v>
      </c>
      <c r="Y34" s="88">
        <v>1153.0328080000002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219.73167900000004</v>
      </c>
      <c r="D36" s="54">
        <f t="shared" ref="D36:V36" si="34">D37+D43</f>
        <v>382.15287400000022</v>
      </c>
      <c r="E36" s="54">
        <f t="shared" si="34"/>
        <v>172.27401899999987</v>
      </c>
      <c r="F36" s="54">
        <f t="shared" si="34"/>
        <v>219.53088900000009</v>
      </c>
      <c r="G36" s="54">
        <f t="shared" si="34"/>
        <v>539.98893399999997</v>
      </c>
      <c r="H36" s="54">
        <f t="shared" si="34"/>
        <v>204.61855899999978</v>
      </c>
      <c r="I36" s="54">
        <f t="shared" si="34"/>
        <v>374.50253799999984</v>
      </c>
      <c r="J36" s="54">
        <f t="shared" si="34"/>
        <v>143.50587399999992</v>
      </c>
      <c r="K36" s="54">
        <f t="shared" si="34"/>
        <v>535.92270499999995</v>
      </c>
      <c r="L36" s="54">
        <f t="shared" si="34"/>
        <v>358.37234000000001</v>
      </c>
      <c r="M36" s="54">
        <f t="shared" si="34"/>
        <v>268.99858000000017</v>
      </c>
      <c r="N36" s="54">
        <f t="shared" si="34"/>
        <v>265.96356499999945</v>
      </c>
      <c r="O36" s="54">
        <f t="shared" si="34"/>
        <v>272.46322400000008</v>
      </c>
      <c r="P36" s="54">
        <f t="shared" si="34"/>
        <v>281.72548900000027</v>
      </c>
      <c r="Q36" s="54">
        <f t="shared" si="34"/>
        <v>277.86461399999985</v>
      </c>
      <c r="R36" s="54">
        <f t="shared" si="34"/>
        <v>643.55392499999994</v>
      </c>
      <c r="S36" s="54">
        <f t="shared" si="34"/>
        <v>298.81594500000017</v>
      </c>
      <c r="T36" s="54">
        <f t="shared" si="34"/>
        <v>213.4988819999999</v>
      </c>
      <c r="U36" s="54">
        <f t="shared" si="34"/>
        <v>90.090013999999911</v>
      </c>
      <c r="V36" s="54">
        <f t="shared" si="34"/>
        <v>18.992773000000142</v>
      </c>
      <c r="W36" s="54">
        <f t="shared" ref="W36:Y36" si="35">W37+W43</f>
        <v>1108.3763450000001</v>
      </c>
      <c r="X36" s="54">
        <f t="shared" si="35"/>
        <v>283.13380799999993</v>
      </c>
      <c r="Y36" s="54">
        <f t="shared" si="35"/>
        <v>140.04529999999997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122.60131000000007</v>
      </c>
      <c r="D37" s="28">
        <f t="shared" ref="D37:V37" si="37">SUM(D38,D39,D42)</f>
        <v>297.25866200000019</v>
      </c>
      <c r="E37" s="28">
        <f t="shared" si="37"/>
        <v>163.8609349999999</v>
      </c>
      <c r="F37" s="28">
        <f t="shared" si="37"/>
        <v>215.96090100000006</v>
      </c>
      <c r="G37" s="28">
        <f t="shared" si="37"/>
        <v>491.84674699999994</v>
      </c>
      <c r="H37" s="28">
        <f t="shared" si="37"/>
        <v>42.722182999999745</v>
      </c>
      <c r="I37" s="28">
        <f t="shared" si="37"/>
        <v>273.24430199999983</v>
      </c>
      <c r="J37" s="28">
        <f t="shared" si="37"/>
        <v>143.50587399999992</v>
      </c>
      <c r="K37" s="28">
        <f t="shared" si="37"/>
        <v>517.59825299999989</v>
      </c>
      <c r="L37" s="28">
        <f t="shared" si="37"/>
        <v>273.90771300000006</v>
      </c>
      <c r="M37" s="28">
        <f t="shared" si="37"/>
        <v>103.49467000000004</v>
      </c>
      <c r="N37" s="28">
        <f t="shared" si="37"/>
        <v>217.59047199999952</v>
      </c>
      <c r="O37" s="28">
        <f t="shared" si="37"/>
        <v>212.03146300000009</v>
      </c>
      <c r="P37" s="28">
        <f t="shared" si="37"/>
        <v>236.74176800000009</v>
      </c>
      <c r="Q37" s="28">
        <f t="shared" si="37"/>
        <v>267.89743699999985</v>
      </c>
      <c r="R37" s="28">
        <f t="shared" si="37"/>
        <v>462.74938700000007</v>
      </c>
      <c r="S37" s="28">
        <f t="shared" si="37"/>
        <v>222.09322900000015</v>
      </c>
      <c r="T37" s="28">
        <f t="shared" si="37"/>
        <v>100.3866609999998</v>
      </c>
      <c r="U37" s="28">
        <f t="shared" si="37"/>
        <v>82.327821999999912</v>
      </c>
      <c r="V37" s="28">
        <f t="shared" si="37"/>
        <v>0</v>
      </c>
      <c r="W37" s="28">
        <f t="shared" ref="W37:Y37" si="38">SUM(W38,W39,W42)</f>
        <v>995.5840300000001</v>
      </c>
      <c r="X37" s="28">
        <f t="shared" si="38"/>
        <v>283.13380799999993</v>
      </c>
      <c r="Y37" s="28">
        <f t="shared" si="38"/>
        <v>140.04529999999997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39.021449999999959</v>
      </c>
      <c r="D38" s="108">
        <v>110.1576399999999</v>
      </c>
      <c r="E38" s="108">
        <v>31.265570999999909</v>
      </c>
      <c r="F38" s="108">
        <v>85.014647999999852</v>
      </c>
      <c r="G38" s="108">
        <v>150.21343400000001</v>
      </c>
      <c r="H38" s="108">
        <v>40.338218999999754</v>
      </c>
      <c r="I38" s="108">
        <v>104.94432299999994</v>
      </c>
      <c r="J38" s="108">
        <v>43.014490999999907</v>
      </c>
      <c r="K38" s="108">
        <v>120.50423299999989</v>
      </c>
      <c r="L38" s="108">
        <v>33.508509000000004</v>
      </c>
      <c r="M38" s="108">
        <v>75.182812999999896</v>
      </c>
      <c r="N38" s="108">
        <v>35.753238999999894</v>
      </c>
      <c r="O38" s="108">
        <v>61.563151999999718</v>
      </c>
      <c r="P38" s="108">
        <v>38.422223000000031</v>
      </c>
      <c r="Q38" s="108">
        <v>75.524521999999934</v>
      </c>
      <c r="R38" s="108">
        <v>93.510861999999861</v>
      </c>
      <c r="S38" s="108">
        <v>67.793852999999899</v>
      </c>
      <c r="T38" s="108">
        <v>88.456982999999809</v>
      </c>
      <c r="U38" s="108">
        <v>47.876554999999826</v>
      </c>
      <c r="V38" s="108">
        <v>0</v>
      </c>
      <c r="W38" s="108">
        <v>0</v>
      </c>
      <c r="X38" s="108">
        <v>0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65.504043000000138</v>
      </c>
      <c r="D39" s="110">
        <f t="shared" ref="D39:V39" si="40">SUM(D40:D41)</f>
        <v>185.47162000000026</v>
      </c>
      <c r="E39" s="110">
        <f t="shared" si="40"/>
        <v>109.07889399999999</v>
      </c>
      <c r="F39" s="110">
        <f t="shared" si="40"/>
        <v>107.91873100000021</v>
      </c>
      <c r="G39" s="110">
        <f t="shared" si="40"/>
        <v>326.58896899999991</v>
      </c>
      <c r="H39" s="110">
        <f t="shared" si="40"/>
        <v>0</v>
      </c>
      <c r="I39" s="110">
        <f t="shared" si="40"/>
        <v>165.00902999999994</v>
      </c>
      <c r="J39" s="110">
        <f t="shared" si="40"/>
        <v>87.889891000000034</v>
      </c>
      <c r="K39" s="110">
        <f t="shared" si="40"/>
        <v>397.09402</v>
      </c>
      <c r="L39" s="110">
        <f t="shared" si="40"/>
        <v>230.90180000000009</v>
      </c>
      <c r="M39" s="110">
        <f t="shared" si="40"/>
        <v>28.311857000000145</v>
      </c>
      <c r="N39" s="110">
        <f t="shared" si="40"/>
        <v>172.83975399999963</v>
      </c>
      <c r="O39" s="110">
        <f t="shared" si="40"/>
        <v>147.03772500000036</v>
      </c>
      <c r="P39" s="110">
        <f t="shared" si="40"/>
        <v>198.31954500000006</v>
      </c>
      <c r="Q39" s="110">
        <f t="shared" si="40"/>
        <v>184.12162399999988</v>
      </c>
      <c r="R39" s="110">
        <f t="shared" si="40"/>
        <v>359.30440200000021</v>
      </c>
      <c r="S39" s="110">
        <f t="shared" si="40"/>
        <v>151.62525200000027</v>
      </c>
      <c r="T39" s="110">
        <f t="shared" si="40"/>
        <v>0</v>
      </c>
      <c r="U39" s="110">
        <f t="shared" si="40"/>
        <v>18.792699000000084</v>
      </c>
      <c r="V39" s="110">
        <f t="shared" si="40"/>
        <v>0</v>
      </c>
      <c r="W39" s="110">
        <f t="shared" ref="W39:Y39" si="41">SUM(W40:W41)</f>
        <v>988.42358300000012</v>
      </c>
      <c r="X39" s="110">
        <f t="shared" si="41"/>
        <v>279.40042399999993</v>
      </c>
      <c r="Y39" s="110">
        <f t="shared" si="41"/>
        <v>129.93778599999996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65.504043000000138</v>
      </c>
      <c r="D40" s="84">
        <v>75.34328800000003</v>
      </c>
      <c r="E40" s="84">
        <v>109.07889399999999</v>
      </c>
      <c r="F40" s="84">
        <v>46.355515000000196</v>
      </c>
      <c r="G40" s="84">
        <v>0</v>
      </c>
      <c r="H40" s="84">
        <v>0</v>
      </c>
      <c r="I40" s="84">
        <v>56.895494999999983</v>
      </c>
      <c r="J40" s="84">
        <v>68.270595000000185</v>
      </c>
      <c r="K40" s="84">
        <v>0</v>
      </c>
      <c r="L40" s="84">
        <v>48.345483000000058</v>
      </c>
      <c r="M40" s="84">
        <v>28.311857000000145</v>
      </c>
      <c r="N40" s="84">
        <v>48.038802999999916</v>
      </c>
      <c r="O40" s="84">
        <v>51.428074000000151</v>
      </c>
      <c r="P40" s="84">
        <v>116.95472300000006</v>
      </c>
      <c r="Q40" s="84">
        <v>0</v>
      </c>
      <c r="R40" s="84">
        <v>112.19303600000012</v>
      </c>
      <c r="S40" s="84">
        <v>0</v>
      </c>
      <c r="T40" s="84">
        <v>0</v>
      </c>
      <c r="U40" s="84">
        <v>18.792699000000084</v>
      </c>
      <c r="V40" s="84">
        <v>0</v>
      </c>
      <c r="W40" s="84">
        <v>575.31594500000017</v>
      </c>
      <c r="X40" s="84">
        <v>0</v>
      </c>
      <c r="Y40" s="84">
        <v>0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110.12833200000023</v>
      </c>
      <c r="E41" s="84">
        <v>0</v>
      </c>
      <c r="F41" s="84">
        <v>61.563216000000011</v>
      </c>
      <c r="G41" s="84">
        <v>326.58896899999991</v>
      </c>
      <c r="H41" s="84">
        <v>0</v>
      </c>
      <c r="I41" s="84">
        <v>108.11353499999996</v>
      </c>
      <c r="J41" s="84">
        <v>19.619295999999849</v>
      </c>
      <c r="K41" s="84">
        <v>397.09402</v>
      </c>
      <c r="L41" s="84">
        <v>182.55631700000004</v>
      </c>
      <c r="M41" s="84">
        <v>0</v>
      </c>
      <c r="N41" s="84">
        <v>124.80095099999971</v>
      </c>
      <c r="O41" s="84">
        <v>95.609651000000213</v>
      </c>
      <c r="P41" s="84">
        <v>81.364822000000004</v>
      </c>
      <c r="Q41" s="84">
        <v>184.12162399999988</v>
      </c>
      <c r="R41" s="84">
        <v>247.11136600000009</v>
      </c>
      <c r="S41" s="84">
        <v>151.62525200000027</v>
      </c>
      <c r="T41" s="84">
        <v>0</v>
      </c>
      <c r="U41" s="84">
        <v>0</v>
      </c>
      <c r="V41" s="84">
        <v>0</v>
      </c>
      <c r="W41" s="84">
        <v>413.10763799999995</v>
      </c>
      <c r="X41" s="84">
        <v>279.40042399999993</v>
      </c>
      <c r="Y41" s="84">
        <v>129.93778599999996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18.075816999999972</v>
      </c>
      <c r="D42" s="113">
        <v>1.6294019999999989</v>
      </c>
      <c r="E42" s="113">
        <v>23.516469999999998</v>
      </c>
      <c r="F42" s="113">
        <v>23.027522000000005</v>
      </c>
      <c r="G42" s="113">
        <v>15.044343999999995</v>
      </c>
      <c r="H42" s="113">
        <v>2.3839639999999918</v>
      </c>
      <c r="I42" s="113">
        <v>3.2909489999999835</v>
      </c>
      <c r="J42" s="113">
        <v>12.601491999999979</v>
      </c>
      <c r="K42" s="113">
        <v>0</v>
      </c>
      <c r="L42" s="113">
        <v>9.4974039999999889</v>
      </c>
      <c r="M42" s="113">
        <v>0</v>
      </c>
      <c r="N42" s="113">
        <v>8.9974789999999985</v>
      </c>
      <c r="O42" s="113">
        <v>3.4305860000000052</v>
      </c>
      <c r="P42" s="113">
        <v>0</v>
      </c>
      <c r="Q42" s="113">
        <v>8.251291000000009</v>
      </c>
      <c r="R42" s="113">
        <v>9.9341229999999996</v>
      </c>
      <c r="S42" s="113">
        <v>2.6741239999999777</v>
      </c>
      <c r="T42" s="113">
        <v>11.929677999999996</v>
      </c>
      <c r="U42" s="113">
        <v>15.658568000000002</v>
      </c>
      <c r="V42" s="113">
        <v>0</v>
      </c>
      <c r="W42" s="113">
        <v>7.1604469999999765</v>
      </c>
      <c r="X42" s="113">
        <v>3.7333840000000009</v>
      </c>
      <c r="Y42" s="113">
        <v>10.107514000000009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97.130368999999973</v>
      </c>
      <c r="D43" s="28">
        <f t="shared" ref="D43:V43" si="43">SUM(D44:D45)</f>
        <v>84.89421200000001</v>
      </c>
      <c r="E43" s="28">
        <f t="shared" si="43"/>
        <v>8.4130839999999694</v>
      </c>
      <c r="F43" s="28">
        <f t="shared" si="43"/>
        <v>3.5699880000000235</v>
      </c>
      <c r="G43" s="28">
        <f t="shared" si="43"/>
        <v>48.142186999999979</v>
      </c>
      <c r="H43" s="28">
        <f t="shared" si="43"/>
        <v>161.89637600000003</v>
      </c>
      <c r="I43" s="28">
        <f t="shared" si="43"/>
        <v>101.25823600000001</v>
      </c>
      <c r="J43" s="28">
        <f t="shared" si="43"/>
        <v>0</v>
      </c>
      <c r="K43" s="28">
        <f t="shared" si="43"/>
        <v>18.324452000000065</v>
      </c>
      <c r="L43" s="28">
        <f t="shared" si="43"/>
        <v>84.46462699999995</v>
      </c>
      <c r="M43" s="28">
        <f t="shared" si="43"/>
        <v>165.50391000000016</v>
      </c>
      <c r="N43" s="28">
        <f t="shared" si="43"/>
        <v>48.373092999999898</v>
      </c>
      <c r="O43" s="28">
        <f t="shared" si="43"/>
        <v>60.431761000000009</v>
      </c>
      <c r="P43" s="28">
        <f t="shared" si="43"/>
        <v>44.983721000000187</v>
      </c>
      <c r="Q43" s="28">
        <f t="shared" si="43"/>
        <v>9.9671770000000066</v>
      </c>
      <c r="R43" s="28">
        <f t="shared" si="43"/>
        <v>180.80453799999992</v>
      </c>
      <c r="S43" s="28">
        <f t="shared" si="43"/>
        <v>76.722715999999991</v>
      </c>
      <c r="T43" s="28">
        <f t="shared" si="43"/>
        <v>113.11222100000009</v>
      </c>
      <c r="U43" s="28">
        <f t="shared" si="43"/>
        <v>7.7621919999999989</v>
      </c>
      <c r="V43" s="28">
        <f t="shared" si="43"/>
        <v>18.992773000000142</v>
      </c>
      <c r="W43" s="28">
        <f t="shared" ref="W43:Y43" si="44">SUM(W44:W45)</f>
        <v>112.79231500000004</v>
      </c>
      <c r="X43" s="28">
        <f t="shared" si="44"/>
        <v>0</v>
      </c>
      <c r="Y43" s="28">
        <f t="shared" si="44"/>
        <v>0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1.4435829999999896</v>
      </c>
      <c r="D44" s="84">
        <v>0.42271200000001841</v>
      </c>
      <c r="E44" s="84">
        <v>8.4130839999999694</v>
      </c>
      <c r="F44" s="84">
        <v>3.5699880000000235</v>
      </c>
      <c r="G44" s="84">
        <v>2.3877779999999689</v>
      </c>
      <c r="H44" s="84">
        <v>21.161917000000017</v>
      </c>
      <c r="I44" s="84">
        <v>8.6642249999999876</v>
      </c>
      <c r="J44" s="84">
        <v>0</v>
      </c>
      <c r="K44" s="84">
        <v>0</v>
      </c>
      <c r="L44" s="84">
        <v>13.172327999999993</v>
      </c>
      <c r="M44" s="84">
        <v>4.4467429999999979</v>
      </c>
      <c r="N44" s="84">
        <v>1.2815960000000075</v>
      </c>
      <c r="O44" s="84">
        <v>1.9996689999999973</v>
      </c>
      <c r="P44" s="84">
        <v>6.1366230000000002</v>
      </c>
      <c r="Q44" s="84">
        <v>9.9671770000000066</v>
      </c>
      <c r="R44" s="84">
        <v>15.192802999999984</v>
      </c>
      <c r="S44" s="84">
        <v>0</v>
      </c>
      <c r="T44" s="84">
        <v>0</v>
      </c>
      <c r="U44" s="84">
        <v>7.7621919999999989</v>
      </c>
      <c r="V44" s="84">
        <v>6.8905739999999867</v>
      </c>
      <c r="W44" s="84">
        <v>91.851410999999999</v>
      </c>
      <c r="X44" s="84">
        <v>0</v>
      </c>
      <c r="Y44" s="84">
        <v>0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95.686785999999984</v>
      </c>
      <c r="D45" s="86">
        <v>84.471499999999992</v>
      </c>
      <c r="E45" s="86">
        <v>0</v>
      </c>
      <c r="F45" s="86">
        <v>0</v>
      </c>
      <c r="G45" s="86">
        <v>45.75440900000001</v>
      </c>
      <c r="H45" s="86">
        <v>140.73445900000002</v>
      </c>
      <c r="I45" s="86">
        <v>92.594011000000023</v>
      </c>
      <c r="J45" s="86">
        <v>0</v>
      </c>
      <c r="K45" s="86">
        <v>18.324452000000065</v>
      </c>
      <c r="L45" s="86">
        <v>71.292298999999957</v>
      </c>
      <c r="M45" s="86">
        <v>161.05716700000016</v>
      </c>
      <c r="N45" s="86">
        <v>47.09149699999989</v>
      </c>
      <c r="O45" s="86">
        <v>58.432092000000011</v>
      </c>
      <c r="P45" s="86">
        <v>38.847098000000187</v>
      </c>
      <c r="Q45" s="86">
        <v>0</v>
      </c>
      <c r="R45" s="86">
        <v>165.61173499999995</v>
      </c>
      <c r="S45" s="86">
        <v>76.722715999999991</v>
      </c>
      <c r="T45" s="86">
        <v>113.11222100000009</v>
      </c>
      <c r="U45" s="86">
        <v>0</v>
      </c>
      <c r="V45" s="86">
        <v>12.102199000000155</v>
      </c>
      <c r="W45" s="86">
        <v>20.940904000000046</v>
      </c>
      <c r="X45" s="86">
        <v>0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113.72419108651498</v>
      </c>
      <c r="C50" s="29">
        <f t="shared" si="45"/>
        <v>117.0438905084839</v>
      </c>
      <c r="D50" s="29">
        <f t="shared" si="45"/>
        <v>108.33711955997397</v>
      </c>
      <c r="E50" s="29">
        <f t="shared" si="45"/>
        <v>108.3793555510763</v>
      </c>
      <c r="F50" s="29">
        <f t="shared" si="45"/>
        <v>109.03119568201468</v>
      </c>
      <c r="G50" s="29">
        <f t="shared" si="45"/>
        <v>108.5192901932553</v>
      </c>
      <c r="H50" s="29">
        <f t="shared" si="45"/>
        <v>114.69955534687821</v>
      </c>
      <c r="I50" s="29">
        <f t="shared" si="45"/>
        <v>113.32760969176893</v>
      </c>
      <c r="J50" s="29">
        <f t="shared" si="45"/>
        <v>117.52730335868847</v>
      </c>
      <c r="K50" s="29">
        <f t="shared" ref="K50:V50" si="46">IF(K4=0,0,K4/K15)</f>
        <v>112.12986178919135</v>
      </c>
      <c r="L50" s="29">
        <f t="shared" si="46"/>
        <v>111.43762779571512</v>
      </c>
      <c r="M50" s="29">
        <f t="shared" si="46"/>
        <v>116.88444249055125</v>
      </c>
      <c r="N50" s="29">
        <f t="shared" si="46"/>
        <v>119.36947133363149</v>
      </c>
      <c r="O50" s="29">
        <f t="shared" si="46"/>
        <v>119.51446678613631</v>
      </c>
      <c r="P50" s="29">
        <f t="shared" si="46"/>
        <v>119.81721632756842</v>
      </c>
      <c r="Q50" s="29">
        <f t="shared" si="46"/>
        <v>117.97750667396792</v>
      </c>
      <c r="R50" s="29">
        <f t="shared" si="46"/>
        <v>117.36900956013304</v>
      </c>
      <c r="S50" s="29">
        <f t="shared" si="46"/>
        <v>119.96865423978973</v>
      </c>
      <c r="T50" s="29">
        <f t="shared" si="46"/>
        <v>126.89898182666255</v>
      </c>
      <c r="U50" s="29">
        <f t="shared" si="46"/>
        <v>128.93540737327586</v>
      </c>
      <c r="V50" s="29">
        <f t="shared" si="46"/>
        <v>84.036210280207499</v>
      </c>
      <c r="W50" s="29">
        <f t="shared" ref="W50:Y50" si="47">IF(W4=0,0,W4/W15)</f>
        <v>71.081219263077799</v>
      </c>
      <c r="X50" s="29">
        <f t="shared" si="47"/>
        <v>119.33342478571626</v>
      </c>
      <c r="Y50" s="29">
        <f t="shared" si="47"/>
        <v>127.12997552113761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76.605827641825783</v>
      </c>
      <c r="C51" s="115">
        <f t="shared" si="48"/>
        <v>77.94604940769301</v>
      </c>
      <c r="D51" s="115">
        <f t="shared" si="48"/>
        <v>75.814105278914653</v>
      </c>
      <c r="E51" s="115">
        <f t="shared" si="48"/>
        <v>76.993048454917187</v>
      </c>
      <c r="F51" s="115">
        <f t="shared" si="48"/>
        <v>76.993048454917187</v>
      </c>
      <c r="G51" s="115">
        <f t="shared" si="48"/>
        <v>75.581555653866019</v>
      </c>
      <c r="H51" s="115">
        <f t="shared" si="48"/>
        <v>76.678764646850951</v>
      </c>
      <c r="I51" s="115">
        <f t="shared" si="48"/>
        <v>76.433252741969255</v>
      </c>
      <c r="J51" s="115">
        <f t="shared" si="48"/>
        <v>77.351539687974153</v>
      </c>
      <c r="K51" s="115">
        <f t="shared" ref="K51:V51" si="49">IF(K5=0,0,K5/K16)</f>
        <v>77.192120337400496</v>
      </c>
      <c r="L51" s="115">
        <f t="shared" si="49"/>
        <v>77.446669191367775</v>
      </c>
      <c r="M51" s="115">
        <f t="shared" si="49"/>
        <v>77.903617441967029</v>
      </c>
      <c r="N51" s="115">
        <f t="shared" si="49"/>
        <v>78.773684746990384</v>
      </c>
      <c r="O51" s="115">
        <f t="shared" si="49"/>
        <v>79.066047580968416</v>
      </c>
      <c r="P51" s="115">
        <f t="shared" si="49"/>
        <v>79.366648738952676</v>
      </c>
      <c r="Q51" s="115">
        <f t="shared" si="49"/>
        <v>79.080521017151455</v>
      </c>
      <c r="R51" s="115">
        <f t="shared" si="49"/>
        <v>79.004741977798432</v>
      </c>
      <c r="S51" s="115">
        <f t="shared" si="49"/>
        <v>79.501587234633703</v>
      </c>
      <c r="T51" s="115">
        <f t="shared" si="49"/>
        <v>80.075798836072636</v>
      </c>
      <c r="U51" s="115">
        <f t="shared" si="49"/>
        <v>80.449135802469144</v>
      </c>
      <c r="V51" s="115">
        <f t="shared" si="49"/>
        <v>65.833291139240515</v>
      </c>
      <c r="W51" s="115">
        <f t="shared" ref="W51:Y51" si="50">IF(W5=0,0,W5/W16)</f>
        <v>61.009578157981267</v>
      </c>
      <c r="X51" s="115">
        <f t="shared" si="50"/>
        <v>98.016122543600829</v>
      </c>
      <c r="Y51" s="115">
        <f t="shared" si="50"/>
        <v>104.52002569849165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112.77843299709077</v>
      </c>
      <c r="C52" s="116">
        <f t="shared" si="51"/>
        <v>115.36462941883016</v>
      </c>
      <c r="D52" s="116">
        <f t="shared" si="51"/>
        <v>103.99448888625122</v>
      </c>
      <c r="E52" s="116">
        <f t="shared" si="51"/>
        <v>101.10166541724151</v>
      </c>
      <c r="F52" s="116">
        <f t="shared" si="51"/>
        <v>99.993145576265121</v>
      </c>
      <c r="G52" s="116">
        <f t="shared" si="51"/>
        <v>99.531797311595056</v>
      </c>
      <c r="H52" s="116">
        <f t="shared" si="51"/>
        <v>106.48108271141739</v>
      </c>
      <c r="I52" s="116">
        <f t="shared" si="51"/>
        <v>104.39565643568469</v>
      </c>
      <c r="J52" s="116">
        <f t="shared" si="51"/>
        <v>108.57495934304629</v>
      </c>
      <c r="K52" s="116">
        <f t="shared" ref="K52:V52" si="52">IF(K6=0,0,K6/K17)</f>
        <v>102.0105073159627</v>
      </c>
      <c r="L52" s="116">
        <f t="shared" si="52"/>
        <v>99.300323713998651</v>
      </c>
      <c r="M52" s="116">
        <f t="shared" si="52"/>
        <v>107.41732931484987</v>
      </c>
      <c r="N52" s="116">
        <f t="shared" si="52"/>
        <v>108.83627035066164</v>
      </c>
      <c r="O52" s="116">
        <f t="shared" si="52"/>
        <v>108.33465073517746</v>
      </c>
      <c r="P52" s="116">
        <f t="shared" si="52"/>
        <v>109.48679748455051</v>
      </c>
      <c r="Q52" s="116">
        <f t="shared" si="52"/>
        <v>106.01967913104714</v>
      </c>
      <c r="R52" s="116">
        <f t="shared" si="52"/>
        <v>103.63710622112261</v>
      </c>
      <c r="S52" s="116">
        <f t="shared" si="52"/>
        <v>104.8274878019181</v>
      </c>
      <c r="T52" s="116">
        <f t="shared" si="52"/>
        <v>110.91021124290012</v>
      </c>
      <c r="U52" s="116">
        <f t="shared" si="52"/>
        <v>111.28367111242277</v>
      </c>
      <c r="V52" s="116">
        <f t="shared" si="52"/>
        <v>70.963448912143789</v>
      </c>
      <c r="W52" s="116">
        <f t="shared" ref="W52:Y52" si="53">IF(W6=0,0,W6/W17)</f>
        <v>54.910244787209642</v>
      </c>
      <c r="X52" s="116">
        <f t="shared" si="53"/>
        <v>89.024772327473229</v>
      </c>
      <c r="Y52" s="116">
        <f t="shared" si="53"/>
        <v>93.812270030737054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108.2526093071702</v>
      </c>
      <c r="C53" s="87">
        <f t="shared" si="54"/>
        <v>107.56209045293838</v>
      </c>
      <c r="D53" s="87">
        <f t="shared" si="54"/>
        <v>104.09679465914529</v>
      </c>
      <c r="E53" s="87">
        <f t="shared" si="54"/>
        <v>108.49199331545688</v>
      </c>
      <c r="F53" s="87">
        <f t="shared" si="54"/>
        <v>104.66008196599778</v>
      </c>
      <c r="G53" s="87">
        <f t="shared" si="54"/>
        <v>104.30522306696206</v>
      </c>
      <c r="H53" s="87">
        <f t="shared" si="54"/>
        <v>111.73461333162265</v>
      </c>
      <c r="I53" s="87">
        <f t="shared" si="54"/>
        <v>111.47371821947431</v>
      </c>
      <c r="J53" s="87">
        <f t="shared" si="54"/>
        <v>118.92002837188302</v>
      </c>
      <c r="K53" s="87">
        <f t="shared" ref="K53:V53" si="55">IF(K7=0,0,K7/K18)</f>
        <v>113.71325115063276</v>
      </c>
      <c r="L53" s="87">
        <f t="shared" si="55"/>
        <v>110.07424259063627</v>
      </c>
      <c r="M53" s="87">
        <f t="shared" si="55"/>
        <v>113.1639041994697</v>
      </c>
      <c r="N53" s="87">
        <f t="shared" si="55"/>
        <v>115.80429947353325</v>
      </c>
      <c r="O53" s="87">
        <f t="shared" si="55"/>
        <v>112.87473238285816</v>
      </c>
      <c r="P53" s="87">
        <f t="shared" si="55"/>
        <v>111.98455947186075</v>
      </c>
      <c r="Q53" s="87">
        <f t="shared" si="55"/>
        <v>113.25563244279023</v>
      </c>
      <c r="R53" s="87">
        <f t="shared" si="55"/>
        <v>107.54376174514998</v>
      </c>
      <c r="S53" s="87">
        <f t="shared" si="55"/>
        <v>110.31329417276577</v>
      </c>
      <c r="T53" s="87">
        <f t="shared" si="55"/>
        <v>111.20346498092727</v>
      </c>
      <c r="U53" s="87">
        <f t="shared" si="55"/>
        <v>112.8348960100914</v>
      </c>
      <c r="V53" s="87">
        <f t="shared" si="55"/>
        <v>68.778214918841485</v>
      </c>
      <c r="W53" s="87">
        <f t="shared" ref="W53:Y53" si="56">IF(W7=0,0,W7/W18)</f>
        <v>57.309759413219552</v>
      </c>
      <c r="X53" s="87">
        <f t="shared" si="56"/>
        <v>87.505582273753902</v>
      </c>
      <c r="Y53" s="87">
        <f t="shared" si="56"/>
        <v>91.181013628955398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114.59951451074825</v>
      </c>
      <c r="C54" s="87">
        <f t="shared" si="57"/>
        <v>118.838952319298</v>
      </c>
      <c r="D54" s="87">
        <f t="shared" si="57"/>
        <v>103.94804884509972</v>
      </c>
      <c r="E54" s="87">
        <f t="shared" si="57"/>
        <v>97.396659752306093</v>
      </c>
      <c r="F54" s="87">
        <f t="shared" si="57"/>
        <v>97.625266183175015</v>
      </c>
      <c r="G54" s="87">
        <f t="shared" si="57"/>
        <v>97.464964968574463</v>
      </c>
      <c r="H54" s="87">
        <f t="shared" si="57"/>
        <v>104.23760477085909</v>
      </c>
      <c r="I54" s="87">
        <f t="shared" si="57"/>
        <v>101.36094223412675</v>
      </c>
      <c r="J54" s="87">
        <f t="shared" si="57"/>
        <v>103.91827106568078</v>
      </c>
      <c r="K54" s="87">
        <f t="shared" ref="K54:V54" si="58">IF(K8=0,0,K8/K19)</f>
        <v>97.610625657705796</v>
      </c>
      <c r="L54" s="87">
        <f t="shared" si="58"/>
        <v>95.35986898045357</v>
      </c>
      <c r="M54" s="87">
        <f t="shared" si="58"/>
        <v>105.20601287332549</v>
      </c>
      <c r="N54" s="87">
        <f t="shared" si="58"/>
        <v>106.17764078092719</v>
      </c>
      <c r="O54" s="87">
        <f t="shared" si="58"/>
        <v>106.59375559770547</v>
      </c>
      <c r="P54" s="87">
        <f t="shared" si="58"/>
        <v>108.46274817430087</v>
      </c>
      <c r="Q54" s="87">
        <f t="shared" si="58"/>
        <v>103.2606973105857</v>
      </c>
      <c r="R54" s="87">
        <f t="shared" si="58"/>
        <v>102.13712554457719</v>
      </c>
      <c r="S54" s="87">
        <f t="shared" si="58"/>
        <v>103.12962885934537</v>
      </c>
      <c r="T54" s="87">
        <f t="shared" si="58"/>
        <v>110.82656224231222</v>
      </c>
      <c r="U54" s="87">
        <f t="shared" si="58"/>
        <v>110.77453654087388</v>
      </c>
      <c r="V54" s="87">
        <f t="shared" si="58"/>
        <v>71.668065183919168</v>
      </c>
      <c r="W54" s="87">
        <f t="shared" ref="W54:Y54" si="59">IF(W8=0,0,W8/W19)</f>
        <v>53.811103183907605</v>
      </c>
      <c r="X54" s="87">
        <f t="shared" si="59"/>
        <v>89.474279840743577</v>
      </c>
      <c r="Y54" s="87">
        <f t="shared" si="59"/>
        <v>94.638495081689996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249.9700318860732</v>
      </c>
      <c r="C55" s="117">
        <f t="shared" si="60"/>
        <v>249.97003188607323</v>
      </c>
      <c r="D55" s="117">
        <f t="shared" si="60"/>
        <v>249.97003188607323</v>
      </c>
      <c r="E55" s="117">
        <f t="shared" si="60"/>
        <v>249.9700318860732</v>
      </c>
      <c r="F55" s="117">
        <f t="shared" si="60"/>
        <v>249.9700318860732</v>
      </c>
      <c r="G55" s="117">
        <f t="shared" si="60"/>
        <v>249.97003188607323</v>
      </c>
      <c r="H55" s="117">
        <f t="shared" si="60"/>
        <v>261.54045419221137</v>
      </c>
      <c r="I55" s="117">
        <f t="shared" si="60"/>
        <v>265.91369542272741</v>
      </c>
      <c r="J55" s="117">
        <f t="shared" si="60"/>
        <v>270.28837946591875</v>
      </c>
      <c r="K55" s="117">
        <f t="shared" ref="K55:V55" si="61">IF(K9=0,0,K9/K20)</f>
        <v>275.77473806752033</v>
      </c>
      <c r="L55" s="117">
        <f t="shared" si="61"/>
        <v>283.51482507413118</v>
      </c>
      <c r="M55" s="117">
        <f t="shared" si="61"/>
        <v>285.9631901840491</v>
      </c>
      <c r="N55" s="117">
        <f t="shared" si="61"/>
        <v>295.46820950060902</v>
      </c>
      <c r="O55" s="117">
        <f t="shared" si="61"/>
        <v>301.36720610687019</v>
      </c>
      <c r="P55" s="117">
        <f t="shared" si="61"/>
        <v>304.57333022239141</v>
      </c>
      <c r="Q55" s="117">
        <f t="shared" si="61"/>
        <v>309.13715515554685</v>
      </c>
      <c r="R55" s="117">
        <f t="shared" si="61"/>
        <v>322.15027286825375</v>
      </c>
      <c r="S55" s="117">
        <f t="shared" si="61"/>
        <v>339.70179850541695</v>
      </c>
      <c r="T55" s="117">
        <f t="shared" si="61"/>
        <v>355.05954421815352</v>
      </c>
      <c r="U55" s="117">
        <f t="shared" si="61"/>
        <v>357.91357212922139</v>
      </c>
      <c r="V55" s="117">
        <f t="shared" si="61"/>
        <v>200.28633875187828</v>
      </c>
      <c r="W55" s="117">
        <f t="shared" ref="W55:Y55" si="62">IF(W9=0,0,W9/W20)</f>
        <v>212.52315419346178</v>
      </c>
      <c r="X55" s="117">
        <f t="shared" si="62"/>
        <v>369.47192585660059</v>
      </c>
      <c r="Y55" s="117">
        <f t="shared" si="62"/>
        <v>400.53488905914759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443.59834392625049</v>
      </c>
      <c r="C56" s="29">
        <f t="shared" si="63"/>
        <v>407.28677279528591</v>
      </c>
      <c r="D56" s="29">
        <f t="shared" si="63"/>
        <v>387.58322736175637</v>
      </c>
      <c r="E56" s="29">
        <f t="shared" si="63"/>
        <v>461.1728556591201</v>
      </c>
      <c r="F56" s="29">
        <f t="shared" si="63"/>
        <v>465.78459728352016</v>
      </c>
      <c r="G56" s="29">
        <f t="shared" si="63"/>
        <v>506.68592187805865</v>
      </c>
      <c r="H56" s="29">
        <f t="shared" si="63"/>
        <v>500.30944881569991</v>
      </c>
      <c r="I56" s="29">
        <f t="shared" si="63"/>
        <v>504.21479051655911</v>
      </c>
      <c r="J56" s="29">
        <f t="shared" si="63"/>
        <v>596.12870975707165</v>
      </c>
      <c r="K56" s="29">
        <f t="shared" ref="K56:V56" si="64">IF(K10=0,0,K10/K21)</f>
        <v>469.25755885343278</v>
      </c>
      <c r="L56" s="29">
        <f t="shared" si="64"/>
        <v>501.63080016371794</v>
      </c>
      <c r="M56" s="29">
        <f t="shared" si="64"/>
        <v>471.0729507259552</v>
      </c>
      <c r="N56" s="29">
        <f t="shared" si="64"/>
        <v>452.80681870165932</v>
      </c>
      <c r="O56" s="29">
        <f t="shared" si="64"/>
        <v>445.57923657646739</v>
      </c>
      <c r="P56" s="29">
        <f t="shared" si="64"/>
        <v>449.58629852214978</v>
      </c>
      <c r="Q56" s="29">
        <f t="shared" si="64"/>
        <v>467.29947770707366</v>
      </c>
      <c r="R56" s="29">
        <f t="shared" si="64"/>
        <v>495.8469262294164</v>
      </c>
      <c r="S56" s="29">
        <f t="shared" si="64"/>
        <v>453.97253533506944</v>
      </c>
      <c r="T56" s="29">
        <f t="shared" si="64"/>
        <v>435.7241705067143</v>
      </c>
      <c r="U56" s="29">
        <f t="shared" si="64"/>
        <v>485.46504711670815</v>
      </c>
      <c r="V56" s="29">
        <f t="shared" si="64"/>
        <v>395.02777031674691</v>
      </c>
      <c r="W56" s="29">
        <f t="shared" ref="W56:Y56" si="65">IF(W10=0,0,W10/W21)</f>
        <v>424.11047843623828</v>
      </c>
      <c r="X56" s="29">
        <f t="shared" si="65"/>
        <v>478.54201793650418</v>
      </c>
      <c r="Y56" s="29">
        <f t="shared" si="65"/>
        <v>520.67061009232043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567.50377798974773</v>
      </c>
      <c r="C57" s="87">
        <f t="shared" si="66"/>
        <v>565.27140319635976</v>
      </c>
      <c r="D57" s="87">
        <f t="shared" si="66"/>
        <v>579.45552781451431</v>
      </c>
      <c r="E57" s="87">
        <f t="shared" si="66"/>
        <v>661.94785669658222</v>
      </c>
      <c r="F57" s="87">
        <f t="shared" si="66"/>
        <v>664.91645173070992</v>
      </c>
      <c r="G57" s="87">
        <f t="shared" si="66"/>
        <v>698.10881913151616</v>
      </c>
      <c r="H57" s="87">
        <f t="shared" si="66"/>
        <v>688.55448145498792</v>
      </c>
      <c r="I57" s="87">
        <f t="shared" si="66"/>
        <v>733.48267591055935</v>
      </c>
      <c r="J57" s="87">
        <f t="shared" si="66"/>
        <v>865.11442998404152</v>
      </c>
      <c r="K57" s="87">
        <f t="shared" ref="K57:V57" si="67">IF(K11=0,0,K11/K22)</f>
        <v>714.69185432356596</v>
      </c>
      <c r="L57" s="87">
        <f t="shared" si="67"/>
        <v>741.35449635650934</v>
      </c>
      <c r="M57" s="87">
        <f t="shared" si="67"/>
        <v>778.28912701195088</v>
      </c>
      <c r="N57" s="87">
        <f t="shared" si="67"/>
        <v>780.4946847502797</v>
      </c>
      <c r="O57" s="87">
        <f t="shared" si="67"/>
        <v>792.34494802950735</v>
      </c>
      <c r="P57" s="87">
        <f t="shared" si="67"/>
        <v>827.7140276400828</v>
      </c>
      <c r="Q57" s="87">
        <f t="shared" si="67"/>
        <v>807.76734967485345</v>
      </c>
      <c r="R57" s="87">
        <f t="shared" si="67"/>
        <v>886.22301431634003</v>
      </c>
      <c r="S57" s="87">
        <f t="shared" si="67"/>
        <v>833.19404120308809</v>
      </c>
      <c r="T57" s="87">
        <f t="shared" si="67"/>
        <v>881.57395362514069</v>
      </c>
      <c r="U57" s="87">
        <f t="shared" si="67"/>
        <v>886.25772486720848</v>
      </c>
      <c r="V57" s="87">
        <f t="shared" si="67"/>
        <v>722.46019367830525</v>
      </c>
      <c r="W57" s="87">
        <f t="shared" ref="W57:Y57" si="68">IF(W11=0,0,W11/W22)</f>
        <v>632.82334812318379</v>
      </c>
      <c r="X57" s="87">
        <f t="shared" si="68"/>
        <v>829.34245423665288</v>
      </c>
      <c r="Y57" s="87">
        <f t="shared" si="68"/>
        <v>912.10739775967522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420.9087754012773</v>
      </c>
      <c r="C58" s="88">
        <f t="shared" si="69"/>
        <v>381.39933441685878</v>
      </c>
      <c r="D58" s="88">
        <f t="shared" si="69"/>
        <v>359.16649898680743</v>
      </c>
      <c r="E58" s="88">
        <f t="shared" si="69"/>
        <v>425.9645943324212</v>
      </c>
      <c r="F58" s="88">
        <f t="shared" si="69"/>
        <v>431.66874081654493</v>
      </c>
      <c r="G58" s="88">
        <f t="shared" si="69"/>
        <v>475.35094927431697</v>
      </c>
      <c r="H58" s="88">
        <f t="shared" si="69"/>
        <v>470.06961900428229</v>
      </c>
      <c r="I58" s="88">
        <f t="shared" si="69"/>
        <v>469.06835147250649</v>
      </c>
      <c r="J58" s="88">
        <f t="shared" si="69"/>
        <v>551.96592239211986</v>
      </c>
      <c r="K58" s="88">
        <f t="shared" ref="K58:V58" si="70">IF(K12=0,0,K12/K23)</f>
        <v>435.68926816039203</v>
      </c>
      <c r="L58" s="88">
        <f t="shared" si="70"/>
        <v>468.37267407440902</v>
      </c>
      <c r="M58" s="88">
        <f t="shared" si="70"/>
        <v>434.05355830244486</v>
      </c>
      <c r="N58" s="88">
        <f t="shared" si="70"/>
        <v>415.29247927312906</v>
      </c>
      <c r="O58" s="88">
        <f t="shared" si="70"/>
        <v>408.05669272021413</v>
      </c>
      <c r="P58" s="88">
        <f t="shared" si="70"/>
        <v>408.86628692127601</v>
      </c>
      <c r="Q58" s="88">
        <f t="shared" si="70"/>
        <v>428.1606094979681</v>
      </c>
      <c r="R58" s="88">
        <f t="shared" si="70"/>
        <v>452.92286912311363</v>
      </c>
      <c r="S58" s="88">
        <f t="shared" si="70"/>
        <v>419.9719869554213</v>
      </c>
      <c r="T58" s="88">
        <f t="shared" si="70"/>
        <v>404.02432382962678</v>
      </c>
      <c r="U58" s="88">
        <f t="shared" si="70"/>
        <v>449.49208596648731</v>
      </c>
      <c r="V58" s="88">
        <f t="shared" si="70"/>
        <v>366.62918797065078</v>
      </c>
      <c r="W58" s="88">
        <f t="shared" ref="W58:Y58" si="71">IF(W12=0,0,W12/W23)</f>
        <v>391.66507929611322</v>
      </c>
      <c r="X58" s="88">
        <f t="shared" si="71"/>
        <v>446.57321598217322</v>
      </c>
      <c r="Y58" s="88">
        <f t="shared" si="71"/>
        <v>483.81892132925122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350.65572006292774</v>
      </c>
      <c r="C61" s="29">
        <f t="shared" ref="C61" si="73">IF(C26=0,0,(C62*C27+C64*C29+C65*C30+C66*C31)/(C27+C29+C30+C31))</f>
        <v>351.92296226526537</v>
      </c>
      <c r="D61" s="29">
        <f t="shared" ref="D61" si="74">IF(D26=0,0,(D62*D27+D64*D29+D65*D30+D66*D31)/(D27+D29+D30+D31))</f>
        <v>351.82869408770739</v>
      </c>
      <c r="E61" s="29">
        <f t="shared" ref="E61" si="75">IF(E26=0,0,(E62*E27+E64*E29+E65*E30+E66*E31)/(E27+E29+E30+E31))</f>
        <v>352.41822240693483</v>
      </c>
      <c r="F61" s="29">
        <f t="shared" ref="F61" si="76">IF(F26=0,0,(F62*F27+F64*F29+F65*F30+F66*F31)/(F27+F29+F30+F31))</f>
        <v>353.36041427384214</v>
      </c>
      <c r="G61" s="29">
        <f t="shared" ref="G61" si="77">IF(G26=0,0,(G62*G27+G64*G29+G65*G30+G66*G31)/(G27+G29+G30+G31))</f>
        <v>353.38833889876901</v>
      </c>
      <c r="H61" s="29">
        <f t="shared" ref="H61" si="78">IF(H26=0,0,(H62*H27+H64*H29+H65*H30+H66*H31)/(H27+H29+H30+H31))</f>
        <v>354.11704363322355</v>
      </c>
      <c r="I61" s="29">
        <f t="shared" ref="I61" si="79">IF(I26=0,0,(I62*I27+I64*I29+I65*I30+I66*I31)/(I27+I29+I30+I31))</f>
        <v>354.11653314379004</v>
      </c>
      <c r="J61" s="29">
        <f t="shared" ref="J61" si="80">IF(J26=0,0,(J62*J27+J64*J29+J65*J30+J66*J31)/(J27+J29+J30+J31))</f>
        <v>354.41505018008689</v>
      </c>
      <c r="K61" s="29">
        <f t="shared" ref="K61" si="81">IF(K26=0,0,(K62*K27+K64*K29+K65*K30+K66*K31)/(K27+K29+K30+K31))</f>
        <v>353.03393159908569</v>
      </c>
      <c r="L61" s="29">
        <f t="shared" ref="L61" si="82">IF(L26=0,0,(L62*L27+L64*L29+L65*L30+L66*L31)/(L27+L29+L30+L31))</f>
        <v>352.36003140967722</v>
      </c>
      <c r="M61" s="29">
        <f t="shared" ref="M61" si="83">IF(M26=0,0,(M62*M27+M64*M29+M65*M30+M66*M31)/(M27+M29+M30+M31))</f>
        <v>353.22341025310521</v>
      </c>
      <c r="N61" s="29">
        <f t="shared" ref="N61" si="84">IF(N26=0,0,(N62*N27+N64*N29+N65*N30+N66*N31)/(N27+N29+N30+N31))</f>
        <v>352.85434988760147</v>
      </c>
      <c r="O61" s="29">
        <f t="shared" ref="O61" si="85">IF(O26=0,0,(O62*O27+O64*O29+O65*O30+O66*O31)/(O27+O29+O30+O31))</f>
        <v>352.64138269514814</v>
      </c>
      <c r="P61" s="29">
        <f t="shared" ref="P61" si="86">IF(P26=0,0,(P62*P27+P64*P29+P65*P30+P66*P31)/(P27+P29+P30+P31))</f>
        <v>351.71981194876344</v>
      </c>
      <c r="Q61" s="29">
        <f t="shared" ref="Q61" si="87">IF(Q26=0,0,(Q62*Q27+Q64*Q29+Q65*Q30+Q66*Q31)/(Q27+Q29+Q30+Q31))</f>
        <v>351.61617446807531</v>
      </c>
      <c r="R61" s="29">
        <f t="shared" ref="R61" si="88">IF(R26=0,0,(R62*R27+R64*R29+R65*R30+R66*R31)/(R27+R29+R30+R31))</f>
        <v>350.8440050487078</v>
      </c>
      <c r="S61" s="29">
        <f t="shared" ref="S61" si="89">IF(S26=0,0,(S62*S27+S64*S29+S65*S30+S66*S31)/(S27+S29+S30+S31))</f>
        <v>350.98512358482031</v>
      </c>
      <c r="T61" s="29">
        <f t="shared" ref="T61" si="90">IF(T26=0,0,(T62*T27+T64*T29+T65*T30+T66*T31)/(T27+T29+T30+T31))</f>
        <v>352.57358807613713</v>
      </c>
      <c r="U61" s="29">
        <f t="shared" ref="U61" si="91">IF(U26=0,0,(U62*U27+U64*U29+U65*U30+U66*U31)/(U27+U29+U30+U31))</f>
        <v>353.57966807080419</v>
      </c>
      <c r="V61" s="29">
        <f t="shared" ref="V61" si="92">IF(V26=0,0,(V62*V27+V64*V29+V65*V30+V66*V31)/(V27+V29+V30+V31))</f>
        <v>353.7231837237519</v>
      </c>
      <c r="W61" s="29">
        <f t="shared" ref="W61:Y61" si="93">IF(W26=0,0,(W62*W27+W64*W29+W65*W30+W66*W31)/(W27+W29+W30+W31))</f>
        <v>348.17903677938682</v>
      </c>
      <c r="X61" s="29">
        <f t="shared" si="93"/>
        <v>346.30519614409695</v>
      </c>
      <c r="Y61" s="29">
        <f t="shared" si="93"/>
        <v>345.50385908291275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320.00000000000006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320.00000000000006</v>
      </c>
      <c r="E63" s="116">
        <f t="shared" ref="E63" si="97">IF(E28=0,0,(E64*E29+E65*E30)/(E29+E30))</f>
        <v>320.00000000000006</v>
      </c>
      <c r="F63" s="116">
        <f t="shared" ref="F63" si="98">IF(F28=0,0,(F64*F29+F65*F30)/(F29+F30))</f>
        <v>320.00000000000006</v>
      </c>
      <c r="G63" s="116">
        <f t="shared" ref="G63" si="99">IF(G28=0,0,(G64*G29+G65*G30)/(G29+G30))</f>
        <v>320</v>
      </c>
      <c r="H63" s="116">
        <f t="shared" ref="H63" si="100">IF(H28=0,0,(H64*H29+H65*H30)/(H29+H30))</f>
        <v>320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319.99999999999994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320.00000000000006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320.00000000000006</v>
      </c>
      <c r="P63" s="116">
        <f t="shared" ref="P63" si="108">IF(P28=0,0,(P64*P29+P65*P30)/(P29+P30))</f>
        <v>320.00000000000006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319.99999999999994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2099.9999999999995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2100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2100.0000000000005</v>
      </c>
      <c r="P67" s="29">
        <f t="shared" ref="P67" si="130">IF(P32=0,0,(P68*P33+P69*P34)/(P33+P34))</f>
        <v>2100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2100.0000000000005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0.3243186538240595</v>
      </c>
      <c r="C72" s="30">
        <f t="shared" ref="C72:J72" si="138">IF(C50=0,0,C50/C61)</f>
        <v>0.33258384094943177</v>
      </c>
      <c r="D72" s="30">
        <f t="shared" si="138"/>
        <v>0.30792576438625158</v>
      </c>
      <c r="E72" s="30">
        <f t="shared" si="138"/>
        <v>0.30753050966227119</v>
      </c>
      <c r="F72" s="30">
        <f t="shared" si="138"/>
        <v>0.30855520674570885</v>
      </c>
      <c r="G72" s="30">
        <f t="shared" si="138"/>
        <v>0.30708226120710097</v>
      </c>
      <c r="H72" s="30">
        <f t="shared" si="138"/>
        <v>0.3239029507590665</v>
      </c>
      <c r="I72" s="30">
        <f t="shared" si="138"/>
        <v>0.32002914036705515</v>
      </c>
      <c r="J72" s="30">
        <f t="shared" si="138"/>
        <v>0.33160923414220134</v>
      </c>
      <c r="K72" s="30">
        <f t="shared" ref="K72:V72" si="139">IF(K50=0,0,K50/K61)</f>
        <v>0.31761780314230215</v>
      </c>
      <c r="L72" s="30">
        <f t="shared" si="139"/>
        <v>0.31626069321735961</v>
      </c>
      <c r="M72" s="30">
        <f t="shared" si="139"/>
        <v>0.33090797239853587</v>
      </c>
      <c r="N72" s="30">
        <f t="shared" si="139"/>
        <v>0.3382967260334343</v>
      </c>
      <c r="O72" s="30">
        <f t="shared" si="139"/>
        <v>0.33891219990324939</v>
      </c>
      <c r="P72" s="30">
        <f t="shared" si="139"/>
        <v>0.34066098143206874</v>
      </c>
      <c r="Q72" s="30">
        <f t="shared" si="139"/>
        <v>0.33552923682320418</v>
      </c>
      <c r="R72" s="30">
        <f t="shared" si="139"/>
        <v>0.3345333192848447</v>
      </c>
      <c r="S72" s="30">
        <f t="shared" si="139"/>
        <v>0.34180552444638773</v>
      </c>
      <c r="T72" s="30">
        <f t="shared" si="139"/>
        <v>0.35992197407384674</v>
      </c>
      <c r="U72" s="30">
        <f t="shared" si="139"/>
        <v>0.36465730079099629</v>
      </c>
      <c r="V72" s="30">
        <f t="shared" si="139"/>
        <v>0.23757620124169604</v>
      </c>
      <c r="W72" s="30">
        <f t="shared" ref="W72:Y72" si="140">IF(W50=0,0,W50/W61)</f>
        <v>0.20415134673405474</v>
      </c>
      <c r="X72" s="30">
        <f t="shared" si="140"/>
        <v>0.34459033856385407</v>
      </c>
      <c r="Y72" s="30">
        <f t="shared" si="140"/>
        <v>0.3679552982666669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0.19151456910456446</v>
      </c>
      <c r="C73" s="118">
        <f t="shared" si="141"/>
        <v>0.19486512351923252</v>
      </c>
      <c r="D73" s="118">
        <f t="shared" si="141"/>
        <v>0.18953526319728664</v>
      </c>
      <c r="E73" s="118">
        <f t="shared" si="141"/>
        <v>0.19248262113729298</v>
      </c>
      <c r="F73" s="118">
        <f t="shared" si="141"/>
        <v>0.19248262113729298</v>
      </c>
      <c r="G73" s="118">
        <f t="shared" si="141"/>
        <v>0.18895388913466504</v>
      </c>
      <c r="H73" s="118">
        <f t="shared" si="141"/>
        <v>0.19169691161712737</v>
      </c>
      <c r="I73" s="118">
        <f t="shared" si="141"/>
        <v>0.19108313185492315</v>
      </c>
      <c r="J73" s="118">
        <f t="shared" si="141"/>
        <v>0.19337884921993539</v>
      </c>
      <c r="K73" s="118">
        <f t="shared" ref="K73:V73" si="142">IF(K51=0,0,K51/K62)</f>
        <v>0.19298030084350123</v>
      </c>
      <c r="L73" s="118">
        <f t="shared" si="142"/>
        <v>0.19361667297841945</v>
      </c>
      <c r="M73" s="118">
        <f t="shared" si="142"/>
        <v>0.19475904360491758</v>
      </c>
      <c r="N73" s="118">
        <f t="shared" si="142"/>
        <v>0.19693421186747595</v>
      </c>
      <c r="O73" s="118">
        <f t="shared" si="142"/>
        <v>0.19766511895242103</v>
      </c>
      <c r="P73" s="118">
        <f t="shared" si="142"/>
        <v>0.19841662184738168</v>
      </c>
      <c r="Q73" s="118">
        <f t="shared" si="142"/>
        <v>0.19770130254287863</v>
      </c>
      <c r="R73" s="118">
        <f t="shared" si="142"/>
        <v>0.19751185494449608</v>
      </c>
      <c r="S73" s="118">
        <f t="shared" si="142"/>
        <v>0.19875396808658427</v>
      </c>
      <c r="T73" s="118">
        <f t="shared" si="142"/>
        <v>0.20018949709018158</v>
      </c>
      <c r="U73" s="118">
        <f t="shared" si="142"/>
        <v>0.20112283950617285</v>
      </c>
      <c r="V73" s="118">
        <f t="shared" si="142"/>
        <v>0.16458322784810128</v>
      </c>
      <c r="W73" s="118">
        <f t="shared" ref="W73:Y73" si="143">IF(W51=0,0,W51/W62)</f>
        <v>0.15252394539495318</v>
      </c>
      <c r="X73" s="118">
        <f t="shared" si="143"/>
        <v>0.24504030635900206</v>
      </c>
      <c r="Y73" s="118">
        <f t="shared" si="143"/>
        <v>0.26130006424622915</v>
      </c>
      <c r="DA73" s="203"/>
    </row>
    <row r="74" spans="1:105" ht="11.45" customHeight="1" x14ac:dyDescent="0.25">
      <c r="A74" s="109" t="s">
        <v>24</v>
      </c>
      <c r="B74" s="119">
        <f t="shared" si="141"/>
        <v>0.35243260311590863</v>
      </c>
      <c r="C74" s="119">
        <f t="shared" si="141"/>
        <v>0.36051446693384426</v>
      </c>
      <c r="D74" s="119">
        <f t="shared" si="141"/>
        <v>0.32498277776953499</v>
      </c>
      <c r="E74" s="119">
        <f t="shared" si="141"/>
        <v>0.31594270442887967</v>
      </c>
      <c r="F74" s="119">
        <f t="shared" si="141"/>
        <v>0.31247857992582845</v>
      </c>
      <c r="G74" s="119">
        <f t="shared" si="141"/>
        <v>0.31103686659873453</v>
      </c>
      <c r="H74" s="119">
        <f t="shared" si="141"/>
        <v>0.33275338347317934</v>
      </c>
      <c r="I74" s="119">
        <f t="shared" si="141"/>
        <v>0.32623642636151462</v>
      </c>
      <c r="J74" s="119">
        <f t="shared" si="141"/>
        <v>0.33929674794701969</v>
      </c>
      <c r="K74" s="119">
        <f t="shared" ref="K74:V74" si="144">IF(K52=0,0,K52/K63)</f>
        <v>0.31878283536238344</v>
      </c>
      <c r="L74" s="119">
        <f t="shared" si="144"/>
        <v>0.31031351160624571</v>
      </c>
      <c r="M74" s="119">
        <f t="shared" si="144"/>
        <v>0.33567915410890581</v>
      </c>
      <c r="N74" s="119">
        <f t="shared" si="144"/>
        <v>0.34011334484581762</v>
      </c>
      <c r="O74" s="119">
        <f t="shared" si="144"/>
        <v>0.33854578354742954</v>
      </c>
      <c r="P74" s="119">
        <f t="shared" si="144"/>
        <v>0.34214624213922029</v>
      </c>
      <c r="Q74" s="119">
        <f t="shared" si="144"/>
        <v>0.3313114972845223</v>
      </c>
      <c r="R74" s="119">
        <f t="shared" si="144"/>
        <v>0.32386595694100817</v>
      </c>
      <c r="S74" s="119">
        <f t="shared" si="144"/>
        <v>0.32758589938099403</v>
      </c>
      <c r="T74" s="119">
        <f t="shared" si="144"/>
        <v>0.34659441013406289</v>
      </c>
      <c r="U74" s="119">
        <f t="shared" si="144"/>
        <v>0.3477614722263212</v>
      </c>
      <c r="V74" s="119">
        <f t="shared" si="144"/>
        <v>0.22176077785044934</v>
      </c>
      <c r="W74" s="119">
        <f t="shared" ref="W74:Y74" si="145">IF(W52=0,0,W52/W63)</f>
        <v>0.17159451496003014</v>
      </c>
      <c r="X74" s="119">
        <f t="shared" si="145"/>
        <v>0.27820241352335384</v>
      </c>
      <c r="Y74" s="119">
        <f t="shared" si="145"/>
        <v>0.2931633438460533</v>
      </c>
      <c r="DA74" s="176"/>
    </row>
    <row r="75" spans="1:105" ht="11.45" customHeight="1" x14ac:dyDescent="0.25">
      <c r="A75" s="111" t="s">
        <v>92</v>
      </c>
      <c r="B75" s="120">
        <f t="shared" si="141"/>
        <v>0.33828940408490688</v>
      </c>
      <c r="C75" s="120">
        <f t="shared" si="141"/>
        <v>0.33613153266543244</v>
      </c>
      <c r="D75" s="120">
        <f t="shared" si="141"/>
        <v>0.32530248330982903</v>
      </c>
      <c r="E75" s="120">
        <f t="shared" si="141"/>
        <v>0.33903747911080273</v>
      </c>
      <c r="F75" s="120">
        <f t="shared" si="141"/>
        <v>0.32706275614374303</v>
      </c>
      <c r="G75" s="120">
        <f t="shared" si="141"/>
        <v>0.32595382208425644</v>
      </c>
      <c r="H75" s="120">
        <f t="shared" si="141"/>
        <v>0.34917066666132079</v>
      </c>
      <c r="I75" s="120">
        <f t="shared" si="141"/>
        <v>0.34835536943585721</v>
      </c>
      <c r="J75" s="120">
        <f t="shared" si="141"/>
        <v>0.37162508866213445</v>
      </c>
      <c r="K75" s="120">
        <f t="shared" ref="K75:V75" si="146">IF(K53=0,0,K53/K64)</f>
        <v>0.35535390984572734</v>
      </c>
      <c r="L75" s="120">
        <f t="shared" si="146"/>
        <v>0.34398200809573837</v>
      </c>
      <c r="M75" s="120">
        <f t="shared" si="146"/>
        <v>0.35363720062334281</v>
      </c>
      <c r="N75" s="120">
        <f t="shared" si="146"/>
        <v>0.36188843585479141</v>
      </c>
      <c r="O75" s="120">
        <f t="shared" si="146"/>
        <v>0.35273353869643176</v>
      </c>
      <c r="P75" s="120">
        <f t="shared" si="146"/>
        <v>0.34995174834956483</v>
      </c>
      <c r="Q75" s="120">
        <f t="shared" si="146"/>
        <v>0.35392385138371946</v>
      </c>
      <c r="R75" s="120">
        <f t="shared" si="146"/>
        <v>0.33607425545359371</v>
      </c>
      <c r="S75" s="120">
        <f t="shared" si="146"/>
        <v>0.34472904428989304</v>
      </c>
      <c r="T75" s="120">
        <f t="shared" si="146"/>
        <v>0.34751082806539768</v>
      </c>
      <c r="U75" s="120">
        <f t="shared" si="146"/>
        <v>0.35260905003153564</v>
      </c>
      <c r="V75" s="120">
        <f t="shared" si="146"/>
        <v>0.21493192162137964</v>
      </c>
      <c r="W75" s="120">
        <f t="shared" ref="W75:Y75" si="147">IF(W53=0,0,W53/W64)</f>
        <v>0.17909299816631111</v>
      </c>
      <c r="X75" s="120">
        <f t="shared" si="147"/>
        <v>0.27345494460548092</v>
      </c>
      <c r="Y75" s="120">
        <f t="shared" si="147"/>
        <v>0.28494066759048564</v>
      </c>
      <c r="DA75" s="171"/>
    </row>
    <row r="76" spans="1:105" ht="11.45" customHeight="1" x14ac:dyDescent="0.25">
      <c r="A76" s="111" t="s">
        <v>93</v>
      </c>
      <c r="B76" s="120">
        <f t="shared" si="141"/>
        <v>0.3581234828460883</v>
      </c>
      <c r="C76" s="120">
        <f t="shared" si="141"/>
        <v>0.37137172599780627</v>
      </c>
      <c r="D76" s="120">
        <f t="shared" si="141"/>
        <v>0.32483765264093661</v>
      </c>
      <c r="E76" s="120">
        <f t="shared" si="141"/>
        <v>0.30436456172595655</v>
      </c>
      <c r="F76" s="120">
        <f t="shared" si="141"/>
        <v>0.30507895682242192</v>
      </c>
      <c r="G76" s="120">
        <f t="shared" si="141"/>
        <v>0.3045780155267952</v>
      </c>
      <c r="H76" s="120">
        <f t="shared" si="141"/>
        <v>0.32574251490893469</v>
      </c>
      <c r="I76" s="120">
        <f t="shared" si="141"/>
        <v>0.31675294448164609</v>
      </c>
      <c r="J76" s="120">
        <f t="shared" si="141"/>
        <v>0.32474459708025244</v>
      </c>
      <c r="K76" s="120">
        <f t="shared" ref="K76:V76" si="148">IF(K54=0,0,K54/K65)</f>
        <v>0.30503320518033061</v>
      </c>
      <c r="L76" s="120">
        <f t="shared" si="148"/>
        <v>0.29799959056391739</v>
      </c>
      <c r="M76" s="120">
        <f t="shared" si="148"/>
        <v>0.32876879022914218</v>
      </c>
      <c r="N76" s="120">
        <f t="shared" si="148"/>
        <v>0.33180512744039747</v>
      </c>
      <c r="O76" s="120">
        <f t="shared" si="148"/>
        <v>0.3331054862428296</v>
      </c>
      <c r="P76" s="120">
        <f t="shared" si="148"/>
        <v>0.33894608804469023</v>
      </c>
      <c r="Q76" s="120">
        <f t="shared" si="148"/>
        <v>0.32268967909558033</v>
      </c>
      <c r="R76" s="120">
        <f t="shared" si="148"/>
        <v>0.31917851732680369</v>
      </c>
      <c r="S76" s="120">
        <f t="shared" si="148"/>
        <v>0.32228009018545428</v>
      </c>
      <c r="T76" s="120">
        <f t="shared" si="148"/>
        <v>0.34633300700722569</v>
      </c>
      <c r="U76" s="120">
        <f t="shared" si="148"/>
        <v>0.3461704266902309</v>
      </c>
      <c r="V76" s="120">
        <f t="shared" si="148"/>
        <v>0.22396270369974741</v>
      </c>
      <c r="W76" s="120">
        <f t="shared" ref="W76:Y76" si="149">IF(W54=0,0,W54/W65)</f>
        <v>0.16815969744971127</v>
      </c>
      <c r="X76" s="120">
        <f t="shared" si="149"/>
        <v>0.27960712450232367</v>
      </c>
      <c r="Y76" s="120">
        <f t="shared" si="149"/>
        <v>0.29574529713028125</v>
      </c>
      <c r="DA76" s="171"/>
    </row>
    <row r="77" spans="1:105" ht="11.45" customHeight="1" x14ac:dyDescent="0.25">
      <c r="A77" s="112" t="s">
        <v>25</v>
      </c>
      <c r="B77" s="121">
        <f t="shared" si="141"/>
        <v>0.44637505693941643</v>
      </c>
      <c r="C77" s="121">
        <f t="shared" si="141"/>
        <v>0.44637505693941648</v>
      </c>
      <c r="D77" s="121">
        <f t="shared" si="141"/>
        <v>0.44637505693941648</v>
      </c>
      <c r="E77" s="121">
        <f t="shared" si="141"/>
        <v>0.44637505693941643</v>
      </c>
      <c r="F77" s="121">
        <f t="shared" si="141"/>
        <v>0.44637505693941643</v>
      </c>
      <c r="G77" s="121">
        <f t="shared" si="141"/>
        <v>0.44637505693941648</v>
      </c>
      <c r="H77" s="121">
        <f t="shared" si="141"/>
        <v>0.46703652534323459</v>
      </c>
      <c r="I77" s="121">
        <f t="shared" si="141"/>
        <v>0.4748458846834418</v>
      </c>
      <c r="J77" s="121">
        <f t="shared" si="141"/>
        <v>0.48265782047485489</v>
      </c>
      <c r="K77" s="121">
        <f t="shared" ref="K77:V77" si="150">IF(K55=0,0,K55/K66)</f>
        <v>0.49245488940628629</v>
      </c>
      <c r="L77" s="121">
        <f t="shared" si="150"/>
        <v>0.50627647334666281</v>
      </c>
      <c r="M77" s="121">
        <f t="shared" si="150"/>
        <v>0.51064855390008768</v>
      </c>
      <c r="N77" s="121">
        <f t="shared" si="150"/>
        <v>0.52762180267965897</v>
      </c>
      <c r="O77" s="121">
        <f t="shared" si="150"/>
        <v>0.53815572519083965</v>
      </c>
      <c r="P77" s="121">
        <f t="shared" si="150"/>
        <v>0.54388094682569899</v>
      </c>
      <c r="Q77" s="121">
        <f t="shared" si="150"/>
        <v>0.55203063420633369</v>
      </c>
      <c r="R77" s="121">
        <f t="shared" si="150"/>
        <v>0.575268344407596</v>
      </c>
      <c r="S77" s="121">
        <f t="shared" si="150"/>
        <v>0.60661035447395883</v>
      </c>
      <c r="T77" s="121">
        <f t="shared" si="150"/>
        <v>0.6340349003895599</v>
      </c>
      <c r="U77" s="121">
        <f t="shared" si="150"/>
        <v>0.63913137880218107</v>
      </c>
      <c r="V77" s="121">
        <f t="shared" si="150"/>
        <v>0.3576541763426398</v>
      </c>
      <c r="W77" s="121">
        <f t="shared" ref="W77:Y77" si="151">IF(W55=0,0,W55/W66)</f>
        <v>0.37950563248832458</v>
      </c>
      <c r="X77" s="121">
        <f t="shared" si="151"/>
        <v>0.65977129617250108</v>
      </c>
      <c r="Y77" s="121">
        <f t="shared" si="151"/>
        <v>0.71524087331990638</v>
      </c>
      <c r="DA77" s="204"/>
    </row>
    <row r="78" spans="1:105" ht="11.45" customHeight="1" x14ac:dyDescent="0.25">
      <c r="A78" s="27" t="s">
        <v>34</v>
      </c>
      <c r="B78" s="30">
        <f t="shared" si="141"/>
        <v>0.21123730663154786</v>
      </c>
      <c r="C78" s="30">
        <f t="shared" si="141"/>
        <v>0.19394608228346949</v>
      </c>
      <c r="D78" s="30">
        <f t="shared" si="141"/>
        <v>0.1845634416008364</v>
      </c>
      <c r="E78" s="30">
        <f t="shared" si="141"/>
        <v>0.21960612174243815</v>
      </c>
      <c r="F78" s="30">
        <f t="shared" si="141"/>
        <v>0.22180218918262865</v>
      </c>
      <c r="G78" s="30">
        <f t="shared" si="141"/>
        <v>0.24127901041812316</v>
      </c>
      <c r="H78" s="30">
        <f t="shared" si="141"/>
        <v>0.23824259467414283</v>
      </c>
      <c r="I78" s="30">
        <f t="shared" si="141"/>
        <v>0.24010228119836147</v>
      </c>
      <c r="J78" s="30">
        <f t="shared" si="141"/>
        <v>0.28387081417003412</v>
      </c>
      <c r="K78" s="30">
        <f t="shared" ref="K78:V78" si="152">IF(K56=0,0,K56/K67)</f>
        <v>0.22345598040639655</v>
      </c>
      <c r="L78" s="30">
        <f t="shared" si="152"/>
        <v>0.23887180960177046</v>
      </c>
      <c r="M78" s="30">
        <f t="shared" si="152"/>
        <v>0.22432045272664533</v>
      </c>
      <c r="N78" s="30">
        <f t="shared" si="152"/>
        <v>0.21562229461983778</v>
      </c>
      <c r="O78" s="30">
        <f t="shared" si="152"/>
        <v>0.2121805888459368</v>
      </c>
      <c r="P78" s="30">
        <f t="shared" si="152"/>
        <v>0.21408871358197609</v>
      </c>
      <c r="Q78" s="30">
        <f t="shared" si="152"/>
        <v>0.22252356081289221</v>
      </c>
      <c r="R78" s="30">
        <f t="shared" si="152"/>
        <v>0.23611758391876972</v>
      </c>
      <c r="S78" s="30">
        <f t="shared" si="152"/>
        <v>0.21617739777860451</v>
      </c>
      <c r="T78" s="30">
        <f t="shared" si="152"/>
        <v>0.20748770024129248</v>
      </c>
      <c r="U78" s="30">
        <f t="shared" si="152"/>
        <v>0.23117383196033722</v>
      </c>
      <c r="V78" s="30">
        <f t="shared" si="152"/>
        <v>0.18810846205559376</v>
      </c>
      <c r="W78" s="30">
        <f t="shared" ref="W78:Y78" si="153">IF(W56=0,0,W56/W67)</f>
        <v>0.201957370683923</v>
      </c>
      <c r="X78" s="30">
        <f t="shared" si="153"/>
        <v>0.22787715139833534</v>
      </c>
      <c r="Y78" s="30">
        <f t="shared" si="153"/>
        <v>0.24793838575824784</v>
      </c>
      <c r="DA78" s="173"/>
    </row>
    <row r="79" spans="1:105" ht="11.45" customHeight="1" x14ac:dyDescent="0.25">
      <c r="A79" s="83" t="s">
        <v>92</v>
      </c>
      <c r="B79" s="120">
        <f t="shared" si="141"/>
        <v>0.27023989428083223</v>
      </c>
      <c r="C79" s="120">
        <f t="shared" si="141"/>
        <v>0.26917685866493324</v>
      </c>
      <c r="D79" s="120">
        <f t="shared" si="141"/>
        <v>0.27593120372119728</v>
      </c>
      <c r="E79" s="120">
        <f t="shared" si="141"/>
        <v>0.31521326509361058</v>
      </c>
      <c r="F79" s="120">
        <f t="shared" si="141"/>
        <v>0.31662688177652853</v>
      </c>
      <c r="G79" s="120">
        <f t="shared" si="141"/>
        <v>0.33243277101500768</v>
      </c>
      <c r="H79" s="120">
        <f t="shared" si="141"/>
        <v>0.32788308640713709</v>
      </c>
      <c r="I79" s="120">
        <f t="shared" si="141"/>
        <v>0.34927746471931398</v>
      </c>
      <c r="J79" s="120">
        <f t="shared" si="141"/>
        <v>0.41195925237335312</v>
      </c>
      <c r="K79" s="120">
        <f t="shared" ref="K79:V79" si="154">IF(K57=0,0,K57/K68)</f>
        <v>0.34032945443979329</v>
      </c>
      <c r="L79" s="120">
        <f t="shared" si="154"/>
        <v>0.35302595064595682</v>
      </c>
      <c r="M79" s="120">
        <f t="shared" si="154"/>
        <v>0.3706138700056909</v>
      </c>
      <c r="N79" s="120">
        <f t="shared" si="154"/>
        <v>0.37166413559537131</v>
      </c>
      <c r="O79" s="120">
        <f t="shared" si="154"/>
        <v>0.37730711810928924</v>
      </c>
      <c r="P79" s="120">
        <f t="shared" si="154"/>
        <v>0.39414953697146798</v>
      </c>
      <c r="Q79" s="120">
        <f t="shared" si="154"/>
        <v>0.38465111889278736</v>
      </c>
      <c r="R79" s="120">
        <f t="shared" si="154"/>
        <v>0.42201095919825715</v>
      </c>
      <c r="S79" s="120">
        <f t="shared" si="154"/>
        <v>0.39675906723956578</v>
      </c>
      <c r="T79" s="120">
        <f t="shared" si="154"/>
        <v>0.41979712077387654</v>
      </c>
      <c r="U79" s="120">
        <f t="shared" si="154"/>
        <v>0.42202748803200402</v>
      </c>
      <c r="V79" s="120">
        <f t="shared" si="154"/>
        <v>0.34402866365633583</v>
      </c>
      <c r="W79" s="120">
        <f t="shared" ref="W79:Y79" si="155">IF(W57=0,0,W57/W68)</f>
        <v>0.30134445148723038</v>
      </c>
      <c r="X79" s="120">
        <f t="shared" si="155"/>
        <v>0.39492497820792993</v>
      </c>
      <c r="Y79" s="120">
        <f t="shared" si="155"/>
        <v>0.43433685607603584</v>
      </c>
      <c r="DA79" s="171"/>
    </row>
    <row r="80" spans="1:105" ht="11.45" customHeight="1" x14ac:dyDescent="0.25">
      <c r="A80" s="85" t="s">
        <v>93</v>
      </c>
      <c r="B80" s="122">
        <f t="shared" si="141"/>
        <v>0.20043275019108442</v>
      </c>
      <c r="C80" s="122">
        <f t="shared" si="141"/>
        <v>0.18161873067469467</v>
      </c>
      <c r="D80" s="122">
        <f t="shared" si="141"/>
        <v>0.17103166618419402</v>
      </c>
      <c r="E80" s="122">
        <f t="shared" si="141"/>
        <v>0.20284028301543866</v>
      </c>
      <c r="F80" s="122">
        <f t="shared" si="141"/>
        <v>0.20555654324597378</v>
      </c>
      <c r="G80" s="122">
        <f t="shared" si="141"/>
        <v>0.2263575948925319</v>
      </c>
      <c r="H80" s="122">
        <f t="shared" si="141"/>
        <v>0.22384267571632491</v>
      </c>
      <c r="I80" s="122">
        <f t="shared" si="141"/>
        <v>0.22336588165357452</v>
      </c>
      <c r="J80" s="122">
        <f t="shared" si="141"/>
        <v>0.26284091542481897</v>
      </c>
      <c r="K80" s="122">
        <f t="shared" ref="K80:V80" si="156">IF(K58=0,0,K58/K69)</f>
        <v>0.20747108007637716</v>
      </c>
      <c r="L80" s="122">
        <f t="shared" si="156"/>
        <v>0.22303460670209954</v>
      </c>
      <c r="M80" s="122">
        <f t="shared" si="156"/>
        <v>0.20669217062021183</v>
      </c>
      <c r="N80" s="122">
        <f t="shared" si="156"/>
        <v>0.19775832346339478</v>
      </c>
      <c r="O80" s="122">
        <f t="shared" si="156"/>
        <v>0.19431271081914958</v>
      </c>
      <c r="P80" s="122">
        <f t="shared" si="156"/>
        <v>0.19469823186727428</v>
      </c>
      <c r="Q80" s="122">
        <f t="shared" si="156"/>
        <v>0.20388600452284195</v>
      </c>
      <c r="R80" s="122">
        <f t="shared" si="156"/>
        <v>0.21567755672529221</v>
      </c>
      <c r="S80" s="122">
        <f t="shared" si="156"/>
        <v>0.19998666045496252</v>
      </c>
      <c r="T80" s="122">
        <f t="shared" si="156"/>
        <v>0.19239253515696514</v>
      </c>
      <c r="U80" s="122">
        <f t="shared" si="156"/>
        <v>0.21404385046023205</v>
      </c>
      <c r="V80" s="122">
        <f t="shared" si="156"/>
        <v>0.17458532760507181</v>
      </c>
      <c r="W80" s="122">
        <f t="shared" ref="W80:Y80" si="157">IF(W58=0,0,W58/W69)</f>
        <v>0.18650718061719676</v>
      </c>
      <c r="X80" s="122">
        <f t="shared" si="157"/>
        <v>0.21265391237246345</v>
      </c>
      <c r="Y80" s="122">
        <f t="shared" si="157"/>
        <v>0.23038996253773869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152246.35909741538</v>
      </c>
      <c r="C82" s="54">
        <f t="shared" si="158"/>
        <v>153562.43450182871</v>
      </c>
      <c r="D82" s="54">
        <f t="shared" si="158"/>
        <v>153420.56315847838</v>
      </c>
      <c r="E82" s="54">
        <f t="shared" si="158"/>
        <v>152497.03594468627</v>
      </c>
      <c r="F82" s="54">
        <f t="shared" si="158"/>
        <v>154340.0680754504</v>
      </c>
      <c r="G82" s="54">
        <f t="shared" si="158"/>
        <v>154185.03531150025</v>
      </c>
      <c r="H82" s="54">
        <f t="shared" si="158"/>
        <v>155199.80575601364</v>
      </c>
      <c r="I82" s="54">
        <f t="shared" si="158"/>
        <v>155249.71350812883</v>
      </c>
      <c r="J82" s="54">
        <f t="shared" si="158"/>
        <v>153011.15259351087</v>
      </c>
      <c r="K82" s="54">
        <f t="shared" ref="K82:V82" si="159">IF(K14=0,0,K14/K25*1000000)</f>
        <v>153941.86373204342</v>
      </c>
      <c r="L82" s="54">
        <f t="shared" si="159"/>
        <v>154570.93773078901</v>
      </c>
      <c r="M82" s="54">
        <f t="shared" si="159"/>
        <v>155144.03258139125</v>
      </c>
      <c r="N82" s="54">
        <f t="shared" si="159"/>
        <v>155523.31622295349</v>
      </c>
      <c r="O82" s="54">
        <f t="shared" si="159"/>
        <v>155603.38217186759</v>
      </c>
      <c r="P82" s="54">
        <f t="shared" si="159"/>
        <v>155384.87061110896</v>
      </c>
      <c r="Q82" s="54">
        <f t="shared" si="159"/>
        <v>155213.59322000211</v>
      </c>
      <c r="R82" s="54">
        <f t="shared" si="159"/>
        <v>155892.33767999499</v>
      </c>
      <c r="S82" s="54">
        <f t="shared" si="159"/>
        <v>153817.00988371644</v>
      </c>
      <c r="T82" s="54">
        <f t="shared" si="159"/>
        <v>154224.78956142618</v>
      </c>
      <c r="U82" s="54">
        <f t="shared" si="159"/>
        <v>154922.01136744619</v>
      </c>
      <c r="V82" s="54">
        <f t="shared" si="159"/>
        <v>154903.96215228373</v>
      </c>
      <c r="W82" s="54">
        <f t="shared" ref="W82:Y82" si="160">IF(W14=0,0,W14/W25*1000000)</f>
        <v>158523.09725482124</v>
      </c>
      <c r="X82" s="54">
        <f t="shared" si="160"/>
        <v>148690.79662211146</v>
      </c>
      <c r="Y82" s="54">
        <f t="shared" si="160"/>
        <v>154566.31620748641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144141.58139488002</v>
      </c>
      <c r="C83" s="28">
        <f t="shared" si="161"/>
        <v>144900.02475326369</v>
      </c>
      <c r="D83" s="28">
        <f t="shared" si="161"/>
        <v>144507.9737702118</v>
      </c>
      <c r="E83" s="28">
        <f t="shared" si="161"/>
        <v>145757.77592257893</v>
      </c>
      <c r="F83" s="28">
        <f t="shared" si="161"/>
        <v>146635.48277008865</v>
      </c>
      <c r="G83" s="28">
        <f t="shared" si="161"/>
        <v>146741.05201447022</v>
      </c>
      <c r="H83" s="28">
        <f t="shared" si="161"/>
        <v>146676.62269840861</v>
      </c>
      <c r="I83" s="28">
        <f t="shared" si="161"/>
        <v>146371.28126040183</v>
      </c>
      <c r="J83" s="28">
        <f t="shared" si="161"/>
        <v>146911.57642078761</v>
      </c>
      <c r="K83" s="28">
        <f t="shared" ref="K83:V83" si="162">IF(K15=0,0,K15/K26*1000000)</f>
        <v>146154.82455145541</v>
      </c>
      <c r="L83" s="28">
        <f t="shared" si="162"/>
        <v>146648.61486666944</v>
      </c>
      <c r="M83" s="28">
        <f t="shared" si="162"/>
        <v>146123.81145716438</v>
      </c>
      <c r="N83" s="28">
        <f t="shared" si="162"/>
        <v>146551.07479137319</v>
      </c>
      <c r="O83" s="28">
        <f t="shared" si="162"/>
        <v>146523.12605912486</v>
      </c>
      <c r="P83" s="28">
        <f t="shared" si="162"/>
        <v>146280.07395213723</v>
      </c>
      <c r="Q83" s="28">
        <f t="shared" si="162"/>
        <v>146428.80364861977</v>
      </c>
      <c r="R83" s="28">
        <f t="shared" si="162"/>
        <v>146643.74665642416</v>
      </c>
      <c r="S83" s="28">
        <f t="shared" si="162"/>
        <v>144069.3474982864</v>
      </c>
      <c r="T83" s="28">
        <f t="shared" si="162"/>
        <v>143886.45965458825</v>
      </c>
      <c r="U83" s="28">
        <f t="shared" si="162"/>
        <v>147149.53611774981</v>
      </c>
      <c r="V83" s="28">
        <f t="shared" si="162"/>
        <v>144043.79732761331</v>
      </c>
      <c r="W83" s="28">
        <f t="shared" ref="W83:Y83" si="163">IF(W15=0,0,W15/W26*1000000)</f>
        <v>149171.99216366216</v>
      </c>
      <c r="X83" s="28">
        <f t="shared" si="163"/>
        <v>139558.90458335972</v>
      </c>
      <c r="Y83" s="28">
        <f t="shared" si="163"/>
        <v>147547.17977753346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109999.999978655</v>
      </c>
      <c r="C84" s="108">
        <f t="shared" si="161"/>
        <v>109999.9999893069</v>
      </c>
      <c r="D84" s="108">
        <f t="shared" si="161"/>
        <v>109999.99998897503</v>
      </c>
      <c r="E84" s="108">
        <f t="shared" si="161"/>
        <v>109999.99999360477</v>
      </c>
      <c r="F84" s="108">
        <f t="shared" si="161"/>
        <v>109999.99997769034</v>
      </c>
      <c r="G84" s="108">
        <f t="shared" si="161"/>
        <v>109999.9999519999</v>
      </c>
      <c r="H84" s="108">
        <f t="shared" si="161"/>
        <v>109999.99997185711</v>
      </c>
      <c r="I84" s="108">
        <f t="shared" si="161"/>
        <v>109999.99995851044</v>
      </c>
      <c r="J84" s="108">
        <f t="shared" si="161"/>
        <v>109999.99994492067</v>
      </c>
      <c r="K84" s="108">
        <f t="shared" ref="K84:V84" si="164">IF(K16=0,0,K16/K27*1000000)</f>
        <v>109999.99999603357</v>
      </c>
      <c r="L84" s="108">
        <f t="shared" si="164"/>
        <v>109999.99999128107</v>
      </c>
      <c r="M84" s="108">
        <f t="shared" si="164"/>
        <v>109999.99994954636</v>
      </c>
      <c r="N84" s="108">
        <f t="shared" si="164"/>
        <v>109999.99999621131</v>
      </c>
      <c r="O84" s="108">
        <f t="shared" si="164"/>
        <v>109999.99998146588</v>
      </c>
      <c r="P84" s="108">
        <f t="shared" si="164"/>
        <v>109999.99997831484</v>
      </c>
      <c r="Q84" s="108">
        <f t="shared" si="164"/>
        <v>109999.99994622603</v>
      </c>
      <c r="R84" s="108">
        <f t="shared" si="164"/>
        <v>109999.99996075488</v>
      </c>
      <c r="S84" s="108">
        <f t="shared" si="164"/>
        <v>109999.99998259814</v>
      </c>
      <c r="T84" s="108">
        <f t="shared" si="164"/>
        <v>109999.99999207162</v>
      </c>
      <c r="U84" s="108">
        <f t="shared" si="164"/>
        <v>109999.99996857054</v>
      </c>
      <c r="V84" s="108">
        <f t="shared" si="164"/>
        <v>97887.283177590245</v>
      </c>
      <c r="W84" s="108">
        <f t="shared" ref="W84:Y84" si="165">IF(W16=0,0,W16/W27*1000000)</f>
        <v>109999.99996296011</v>
      </c>
      <c r="X84" s="108">
        <f t="shared" si="165"/>
        <v>98911.494740962444</v>
      </c>
      <c r="Y84" s="108">
        <f t="shared" si="165"/>
        <v>109999.99996023902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149999.99999513643</v>
      </c>
      <c r="C85" s="110">
        <f t="shared" si="161"/>
        <v>149999.99996103652</v>
      </c>
      <c r="D85" s="110">
        <f t="shared" si="161"/>
        <v>149999.99993991194</v>
      </c>
      <c r="E85" s="110">
        <f t="shared" si="161"/>
        <v>149999.99995678273</v>
      </c>
      <c r="F85" s="110">
        <f t="shared" si="161"/>
        <v>149999.99994115956</v>
      </c>
      <c r="G85" s="110">
        <f t="shared" si="161"/>
        <v>149999.99999334151</v>
      </c>
      <c r="H85" s="110">
        <f t="shared" si="161"/>
        <v>149999.99997410233</v>
      </c>
      <c r="I85" s="110">
        <f t="shared" si="161"/>
        <v>149999.99994047137</v>
      </c>
      <c r="J85" s="110">
        <f t="shared" si="161"/>
        <v>149999.99995602237</v>
      </c>
      <c r="K85" s="110">
        <f t="shared" ref="K85:V85" si="166">IF(K17=0,0,K17/K28*1000000)</f>
        <v>149999.99996919304</v>
      </c>
      <c r="L85" s="110">
        <f t="shared" si="166"/>
        <v>149999.99998779665</v>
      </c>
      <c r="M85" s="110">
        <f t="shared" si="166"/>
        <v>149999.99996004399</v>
      </c>
      <c r="N85" s="110">
        <f t="shared" si="166"/>
        <v>149999.99994508096</v>
      </c>
      <c r="O85" s="110">
        <f t="shared" si="166"/>
        <v>149999.99994438328</v>
      </c>
      <c r="P85" s="110">
        <f t="shared" si="166"/>
        <v>149999.99994869722</v>
      </c>
      <c r="Q85" s="110">
        <f t="shared" si="166"/>
        <v>149999.99995688259</v>
      </c>
      <c r="R85" s="110">
        <f t="shared" si="166"/>
        <v>149999.99994271653</v>
      </c>
      <c r="S85" s="110">
        <f t="shared" si="166"/>
        <v>146350.52994066905</v>
      </c>
      <c r="T85" s="110">
        <f t="shared" si="166"/>
        <v>145860.73030769409</v>
      </c>
      <c r="U85" s="110">
        <f t="shared" si="166"/>
        <v>149999.99997273105</v>
      </c>
      <c r="V85" s="110">
        <f t="shared" si="166"/>
        <v>149999.99994790854</v>
      </c>
      <c r="W85" s="110">
        <f t="shared" ref="W85:Y85" si="167">IF(W17=0,0,W17/W28*1000000)</f>
        <v>149999.99995372829</v>
      </c>
      <c r="X85" s="110">
        <f t="shared" si="167"/>
        <v>138992.84849526754</v>
      </c>
      <c r="Y85" s="110">
        <f t="shared" si="167"/>
        <v>144817.71791380999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149999.99999905698</v>
      </c>
      <c r="C86" s="84">
        <f t="shared" si="161"/>
        <v>149999.99992852742</v>
      </c>
      <c r="D86" s="84">
        <f t="shared" si="161"/>
        <v>149999.99990951383</v>
      </c>
      <c r="E86" s="84">
        <f t="shared" si="161"/>
        <v>149999.99990040931</v>
      </c>
      <c r="F86" s="84">
        <f t="shared" si="161"/>
        <v>149999.99989196478</v>
      </c>
      <c r="G86" s="84">
        <f t="shared" si="161"/>
        <v>149999.99999795441</v>
      </c>
      <c r="H86" s="84">
        <f t="shared" si="161"/>
        <v>149999.99993084522</v>
      </c>
      <c r="I86" s="84">
        <f t="shared" si="161"/>
        <v>149999.99988951668</v>
      </c>
      <c r="J86" s="84">
        <f t="shared" si="161"/>
        <v>149999.9998732502</v>
      </c>
      <c r="K86" s="84">
        <f t="shared" ref="K86:V86" si="168">IF(K18=0,0,K18/K29*1000000)</f>
        <v>149999.99996457464</v>
      </c>
      <c r="L86" s="84">
        <f t="shared" si="168"/>
        <v>149999.99999420773</v>
      </c>
      <c r="M86" s="84">
        <f t="shared" si="168"/>
        <v>149999.99989078115</v>
      </c>
      <c r="N86" s="84">
        <f t="shared" si="168"/>
        <v>149999.99990862201</v>
      </c>
      <c r="O86" s="84">
        <f t="shared" si="168"/>
        <v>149999.99989404116</v>
      </c>
      <c r="P86" s="84">
        <f t="shared" si="168"/>
        <v>149999.99993700092</v>
      </c>
      <c r="Q86" s="84">
        <f t="shared" si="168"/>
        <v>149999.99988733404</v>
      </c>
      <c r="R86" s="84">
        <f t="shared" si="168"/>
        <v>149999.99991478102</v>
      </c>
      <c r="S86" s="84">
        <f t="shared" si="168"/>
        <v>135684.38951211513</v>
      </c>
      <c r="T86" s="84">
        <f t="shared" si="168"/>
        <v>132994.56423956717</v>
      </c>
      <c r="U86" s="84">
        <f t="shared" si="168"/>
        <v>149999.99995617245</v>
      </c>
      <c r="V86" s="84">
        <f t="shared" si="168"/>
        <v>149999.9998977822</v>
      </c>
      <c r="W86" s="84">
        <f t="shared" ref="W86:Y86" si="169">IF(W18=0,0,W18/W29*1000000)</f>
        <v>149999.99989951611</v>
      </c>
      <c r="X86" s="84">
        <f t="shared" si="169"/>
        <v>111372.11005949009</v>
      </c>
      <c r="Y86" s="84">
        <f t="shared" si="169"/>
        <v>130463.37823075765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149999.99999355894</v>
      </c>
      <c r="C87" s="84">
        <f t="shared" si="161"/>
        <v>149999.99997551218</v>
      </c>
      <c r="D87" s="84">
        <f t="shared" si="161"/>
        <v>149999.99995371068</v>
      </c>
      <c r="E87" s="84">
        <f t="shared" si="161"/>
        <v>149999.9999850445</v>
      </c>
      <c r="F87" s="84">
        <f t="shared" si="161"/>
        <v>149999.99996611965</v>
      </c>
      <c r="G87" s="84">
        <f t="shared" si="161"/>
        <v>149999.9999913442</v>
      </c>
      <c r="H87" s="84">
        <f t="shared" si="161"/>
        <v>149999.99999257494</v>
      </c>
      <c r="I87" s="84">
        <f t="shared" si="161"/>
        <v>149999.99996231814</v>
      </c>
      <c r="J87" s="84">
        <f t="shared" si="161"/>
        <v>149999.99999328112</v>
      </c>
      <c r="K87" s="84">
        <f t="shared" ref="K87:V87" si="170">IF(K19=0,0,K19/K30*1000000)</f>
        <v>149999.99997092944</v>
      </c>
      <c r="L87" s="84">
        <f t="shared" si="170"/>
        <v>149999.99998545187</v>
      </c>
      <c r="M87" s="84">
        <f t="shared" si="170"/>
        <v>149999.99998669673</v>
      </c>
      <c r="N87" s="84">
        <f t="shared" si="170"/>
        <v>149999.99995899177</v>
      </c>
      <c r="O87" s="84">
        <f t="shared" si="170"/>
        <v>149999.99996368695</v>
      </c>
      <c r="P87" s="84">
        <f t="shared" si="170"/>
        <v>149999.99995349252</v>
      </c>
      <c r="Q87" s="84">
        <f t="shared" si="170"/>
        <v>149999.99998340063</v>
      </c>
      <c r="R87" s="84">
        <f t="shared" si="170"/>
        <v>149999.99995344252</v>
      </c>
      <c r="S87" s="84">
        <f t="shared" si="170"/>
        <v>149999.9999846289</v>
      </c>
      <c r="T87" s="84">
        <f t="shared" si="170"/>
        <v>149999.99997245648</v>
      </c>
      <c r="U87" s="84">
        <f t="shared" si="170"/>
        <v>149999.99997816584</v>
      </c>
      <c r="V87" s="84">
        <f t="shared" si="170"/>
        <v>149999.99996407153</v>
      </c>
      <c r="W87" s="84">
        <f t="shared" ref="W87:Y87" si="171">IF(W19=0,0,W19/W30*1000000)</f>
        <v>149999.99997856116</v>
      </c>
      <c r="X87" s="84">
        <f t="shared" si="171"/>
        <v>149999.99996888117</v>
      </c>
      <c r="Y87" s="84">
        <f t="shared" si="171"/>
        <v>149999.99997355673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449999.99673853518</v>
      </c>
      <c r="C88" s="113">
        <f t="shared" si="161"/>
        <v>449999.99946691917</v>
      </c>
      <c r="D88" s="113">
        <f t="shared" si="161"/>
        <v>449999.99885097478</v>
      </c>
      <c r="E88" s="113">
        <f t="shared" si="161"/>
        <v>449999.99875859701</v>
      </c>
      <c r="F88" s="113">
        <f t="shared" si="161"/>
        <v>449999.99997368082</v>
      </c>
      <c r="G88" s="113">
        <f t="shared" si="161"/>
        <v>449999.99811200879</v>
      </c>
      <c r="H88" s="113">
        <f t="shared" si="161"/>
        <v>449999.99957257573</v>
      </c>
      <c r="I88" s="113">
        <f t="shared" si="161"/>
        <v>449999.99890815129</v>
      </c>
      <c r="J88" s="113">
        <f t="shared" si="161"/>
        <v>449999.99838129507</v>
      </c>
      <c r="K88" s="113">
        <f t="shared" ref="K88:V88" si="172">IF(K20=0,0,K20/K31*1000000)</f>
        <v>449999.99950232834</v>
      </c>
      <c r="L88" s="113">
        <f t="shared" si="172"/>
        <v>449999.99893251096</v>
      </c>
      <c r="M88" s="113">
        <f t="shared" si="172"/>
        <v>449999.99779141106</v>
      </c>
      <c r="N88" s="113">
        <f t="shared" si="172"/>
        <v>449999.99867904995</v>
      </c>
      <c r="O88" s="113">
        <f t="shared" si="172"/>
        <v>449999.99847755732</v>
      </c>
      <c r="P88" s="113">
        <f t="shared" si="172"/>
        <v>449999.99836429954</v>
      </c>
      <c r="Q88" s="113">
        <f t="shared" si="172"/>
        <v>449999.99862429075</v>
      </c>
      <c r="R88" s="113">
        <f t="shared" si="172"/>
        <v>449999.99946728535</v>
      </c>
      <c r="S88" s="113">
        <f t="shared" si="172"/>
        <v>449999.99785466556</v>
      </c>
      <c r="T88" s="113">
        <f t="shared" si="172"/>
        <v>450000</v>
      </c>
      <c r="U88" s="113">
        <f t="shared" si="172"/>
        <v>449999.99951493461</v>
      </c>
      <c r="V88" s="113">
        <f t="shared" si="172"/>
        <v>449999.99823862262</v>
      </c>
      <c r="W88" s="113">
        <f t="shared" ref="W88:Y88" si="173">IF(W20=0,0,W20/W31*1000000)</f>
        <v>449999.99990921811</v>
      </c>
      <c r="X88" s="113">
        <f t="shared" si="173"/>
        <v>449999.99893082265</v>
      </c>
      <c r="Y88" s="113">
        <f t="shared" si="173"/>
        <v>449999.99931942316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199999.99979803097</v>
      </c>
      <c r="C89" s="28">
        <f t="shared" si="161"/>
        <v>199999.99978541583</v>
      </c>
      <c r="D89" s="28">
        <f t="shared" si="161"/>
        <v>199999.99968065138</v>
      </c>
      <c r="E89" s="28">
        <f t="shared" si="161"/>
        <v>190349.32068287855</v>
      </c>
      <c r="F89" s="28">
        <f t="shared" si="161"/>
        <v>199999.99979646722</v>
      </c>
      <c r="G89" s="28">
        <f t="shared" si="161"/>
        <v>199999.99983255562</v>
      </c>
      <c r="H89" s="28">
        <f t="shared" si="161"/>
        <v>199999.99996849569</v>
      </c>
      <c r="I89" s="28">
        <f t="shared" si="161"/>
        <v>199999.99979710914</v>
      </c>
      <c r="J89" s="28">
        <f t="shared" si="161"/>
        <v>186354.63026345393</v>
      </c>
      <c r="K89" s="28">
        <f t="shared" ref="K89:V89" si="174">IF(K21=0,0,K21/K32*1000000)</f>
        <v>199974.63980331892</v>
      </c>
      <c r="L89" s="28">
        <f t="shared" si="174"/>
        <v>199999.99975388832</v>
      </c>
      <c r="M89" s="28">
        <f t="shared" si="174"/>
        <v>199999.99985612187</v>
      </c>
      <c r="N89" s="28">
        <f t="shared" si="174"/>
        <v>199999.99983728601</v>
      </c>
      <c r="O89" s="28">
        <f t="shared" si="174"/>
        <v>199999.99993573403</v>
      </c>
      <c r="P89" s="28">
        <f t="shared" si="174"/>
        <v>199999.99975736844</v>
      </c>
      <c r="Q89" s="28">
        <f t="shared" si="174"/>
        <v>199999.99985599518</v>
      </c>
      <c r="R89" s="28">
        <f t="shared" si="174"/>
        <v>199999.99972770593</v>
      </c>
      <c r="S89" s="28">
        <f t="shared" si="174"/>
        <v>199101.50421390461</v>
      </c>
      <c r="T89" s="28">
        <f t="shared" si="174"/>
        <v>198687.77899994623</v>
      </c>
      <c r="U89" s="28">
        <f t="shared" si="174"/>
        <v>189468.60645382857</v>
      </c>
      <c r="V89" s="28">
        <f t="shared" si="174"/>
        <v>199999.99981643914</v>
      </c>
      <c r="W89" s="28">
        <f t="shared" ref="W89:Y89" si="175">IF(W21=0,0,W21/W32*1000000)</f>
        <v>199999.99992460958</v>
      </c>
      <c r="X89" s="28">
        <f t="shared" si="175"/>
        <v>190112.75813502181</v>
      </c>
      <c r="Y89" s="28">
        <f t="shared" si="175"/>
        <v>187717.17993641383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199999.99988725883</v>
      </c>
      <c r="C90" s="84">
        <f t="shared" si="161"/>
        <v>199999.99957199366</v>
      </c>
      <c r="D90" s="84">
        <f t="shared" si="161"/>
        <v>199999.99878260493</v>
      </c>
      <c r="E90" s="84">
        <f t="shared" si="161"/>
        <v>199999.99927468304</v>
      </c>
      <c r="F90" s="84">
        <f t="shared" si="161"/>
        <v>199999.99966709825</v>
      </c>
      <c r="G90" s="84">
        <f t="shared" si="161"/>
        <v>199999.99988606115</v>
      </c>
      <c r="H90" s="84">
        <f t="shared" si="161"/>
        <v>199999.99998648092</v>
      </c>
      <c r="I90" s="84">
        <f t="shared" si="161"/>
        <v>199999.99905889909</v>
      </c>
      <c r="J90" s="84">
        <f t="shared" si="161"/>
        <v>199999.99872528802</v>
      </c>
      <c r="K90" s="84">
        <f t="shared" ref="K90:V90" si="176">IF(K22=0,0,K22/K33*1000000)</f>
        <v>199789.41517319216</v>
      </c>
      <c r="L90" s="84">
        <f t="shared" si="176"/>
        <v>199999.99897647253</v>
      </c>
      <c r="M90" s="84">
        <f t="shared" si="176"/>
        <v>199999.99917543292</v>
      </c>
      <c r="N90" s="84">
        <f t="shared" si="176"/>
        <v>199999.99955072138</v>
      </c>
      <c r="O90" s="84">
        <f t="shared" si="176"/>
        <v>199999.99953127539</v>
      </c>
      <c r="P90" s="84">
        <f t="shared" si="176"/>
        <v>199999.99881985199</v>
      </c>
      <c r="Q90" s="84">
        <f t="shared" si="176"/>
        <v>199999.99977084884</v>
      </c>
      <c r="R90" s="84">
        <f t="shared" si="176"/>
        <v>199999.99861973623</v>
      </c>
      <c r="S90" s="84">
        <f t="shared" si="176"/>
        <v>189601.27006383531</v>
      </c>
      <c r="T90" s="84">
        <f t="shared" si="176"/>
        <v>181901.84596774791</v>
      </c>
      <c r="U90" s="84">
        <f t="shared" si="176"/>
        <v>199999.99951926735</v>
      </c>
      <c r="V90" s="84">
        <f t="shared" si="176"/>
        <v>199999.99833167202</v>
      </c>
      <c r="W90" s="84">
        <f t="shared" ref="W90:Y90" si="177">IF(W22=0,0,W22/W33*1000000)</f>
        <v>199999.99957579499</v>
      </c>
      <c r="X90" s="84">
        <f t="shared" si="177"/>
        <v>123251.84020779867</v>
      </c>
      <c r="Y90" s="84">
        <f t="shared" si="177"/>
        <v>127184.56360975877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199999.99978169156</v>
      </c>
      <c r="C91" s="86">
        <f t="shared" si="161"/>
        <v>199999.99982038731</v>
      </c>
      <c r="D91" s="86">
        <f t="shared" si="161"/>
        <v>199999.99981365417</v>
      </c>
      <c r="E91" s="86">
        <f t="shared" si="161"/>
        <v>188752.13768292434</v>
      </c>
      <c r="F91" s="86">
        <f t="shared" si="161"/>
        <v>199999.99981863107</v>
      </c>
      <c r="G91" s="86">
        <f t="shared" si="161"/>
        <v>199999.99982379703</v>
      </c>
      <c r="H91" s="86">
        <f t="shared" si="161"/>
        <v>199999.99996560655</v>
      </c>
      <c r="I91" s="86">
        <f t="shared" si="161"/>
        <v>199999.99991027568</v>
      </c>
      <c r="J91" s="86">
        <f t="shared" si="161"/>
        <v>184290.27262645299</v>
      </c>
      <c r="K91" s="86">
        <f t="shared" ref="K91:V91" si="178">IF(K23=0,0,K23/K34*1000000)</f>
        <v>199999.99986088992</v>
      </c>
      <c r="L91" s="86">
        <f t="shared" si="178"/>
        <v>199999.9998617433</v>
      </c>
      <c r="M91" s="86">
        <f t="shared" si="178"/>
        <v>199999.99993814455</v>
      </c>
      <c r="N91" s="86">
        <f t="shared" si="178"/>
        <v>199999.99987009246</v>
      </c>
      <c r="O91" s="86">
        <f t="shared" si="178"/>
        <v>199999.99997949935</v>
      </c>
      <c r="P91" s="86">
        <f t="shared" si="178"/>
        <v>199999.99985832814</v>
      </c>
      <c r="Q91" s="86">
        <f t="shared" si="178"/>
        <v>199999.99986578326</v>
      </c>
      <c r="R91" s="86">
        <f t="shared" si="178"/>
        <v>199999.99984953349</v>
      </c>
      <c r="S91" s="86">
        <f t="shared" si="178"/>
        <v>199999.99996138978</v>
      </c>
      <c r="T91" s="86">
        <f t="shared" si="178"/>
        <v>199999.9999808741</v>
      </c>
      <c r="U91" s="86">
        <f t="shared" si="178"/>
        <v>188577.35188212999</v>
      </c>
      <c r="V91" s="86">
        <f t="shared" si="178"/>
        <v>199999.99994521463</v>
      </c>
      <c r="W91" s="86">
        <f t="shared" ref="W91:Y91" si="179">IF(W23=0,0,W23/W34*1000000)</f>
        <v>199999.99997883444</v>
      </c>
      <c r="X91" s="86">
        <f t="shared" si="179"/>
        <v>199999.99991237614</v>
      </c>
      <c r="Y91" s="86">
        <f t="shared" si="179"/>
        <v>196522.88060245858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16392384.746063787</v>
      </c>
      <c r="C94" s="28">
        <f t="shared" si="180"/>
        <v>16959662.631897602</v>
      </c>
      <c r="D94" s="28">
        <f t="shared" si="180"/>
        <v>15655577.631713018</v>
      </c>
      <c r="E94" s="28">
        <f t="shared" si="180"/>
        <v>15797133.821047291</v>
      </c>
      <c r="F94" s="28">
        <f t="shared" si="180"/>
        <v>15987842.015832227</v>
      </c>
      <c r="G94" s="28">
        <f t="shared" si="180"/>
        <v>15924234.806821862</v>
      </c>
      <c r="H94" s="28">
        <f t="shared" si="180"/>
        <v>16823743.403289292</v>
      </c>
      <c r="I94" s="28">
        <f t="shared" si="180"/>
        <v>16587907.432762951</v>
      </c>
      <c r="J94" s="28">
        <f t="shared" si="180"/>
        <v>17266121.408909049</v>
      </c>
      <c r="K94" s="28">
        <f t="shared" ref="K94:V94" si="181">IF(K4=0,0,K4/K26*1000000)</f>
        <v>16388320.276778206</v>
      </c>
      <c r="L94" s="28">
        <f t="shared" si="181"/>
        <v>16342173.760269083</v>
      </c>
      <c r="M94" s="28">
        <f t="shared" si="181"/>
        <v>17079600.236765087</v>
      </c>
      <c r="N94" s="28">
        <f t="shared" si="181"/>
        <v>17493724.321221709</v>
      </c>
      <c r="O94" s="28">
        <f t="shared" si="181"/>
        <v>17511633.28279414</v>
      </c>
      <c r="P94" s="28">
        <f t="shared" si="181"/>
        <v>17526871.265135933</v>
      </c>
      <c r="Q94" s="28">
        <f t="shared" si="181"/>
        <v>17275305.159716174</v>
      </c>
      <c r="R94" s="28">
        <f t="shared" si="181"/>
        <v>17211431.303251572</v>
      </c>
      <c r="S94" s="28">
        <f t="shared" si="181"/>
        <v>17283805.736574039</v>
      </c>
      <c r="T94" s="28">
        <f t="shared" si="181"/>
        <v>18259045.228810411</v>
      </c>
      <c r="U94" s="28">
        <f t="shared" si="181"/>
        <v>18972785.384130642</v>
      </c>
      <c r="V94" s="28">
        <f t="shared" si="181"/>
        <v>12104894.841782903</v>
      </c>
      <c r="W94" s="28">
        <f t="shared" ref="W94:Y94" si="182">IF(W4=0,0,W4/W26*1000000)</f>
        <v>10603327.082895394</v>
      </c>
      <c r="X94" s="28">
        <f t="shared" si="182"/>
        <v>16654042.043275312</v>
      </c>
      <c r="Y94" s="28">
        <f t="shared" si="182"/>
        <v>18757669.353330716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8426641.0389656834</v>
      </c>
      <c r="C95" s="108">
        <f t="shared" si="180"/>
        <v>8574065.4340127464</v>
      </c>
      <c r="D95" s="108">
        <f t="shared" si="180"/>
        <v>8339551.5798447644</v>
      </c>
      <c r="E95" s="108">
        <f t="shared" si="180"/>
        <v>8469235.3295485023</v>
      </c>
      <c r="F95" s="108">
        <f t="shared" si="180"/>
        <v>8469235.3283232022</v>
      </c>
      <c r="G95" s="108">
        <f t="shared" si="180"/>
        <v>8313971.1182973385</v>
      </c>
      <c r="H95" s="108">
        <f t="shared" si="180"/>
        <v>8434664.1089956425</v>
      </c>
      <c r="I95" s="108">
        <f t="shared" si="180"/>
        <v>8407657.7984454371</v>
      </c>
      <c r="J95" s="108">
        <f t="shared" si="180"/>
        <v>8508669.3614166863</v>
      </c>
      <c r="K95" s="108">
        <f t="shared" ref="K95:V95" si="183">IF(K5=0,0,K5/K27*1000000)</f>
        <v>8491133.2368078772</v>
      </c>
      <c r="L95" s="108">
        <f t="shared" si="183"/>
        <v>8519133.6103752032</v>
      </c>
      <c r="M95" s="108">
        <f t="shared" si="183"/>
        <v>8569397.914685851</v>
      </c>
      <c r="N95" s="108">
        <f t="shared" si="183"/>
        <v>8665105.3218704928</v>
      </c>
      <c r="O95" s="108">
        <f t="shared" si="183"/>
        <v>8697265.2324411068</v>
      </c>
      <c r="P95" s="108">
        <f t="shared" si="183"/>
        <v>8730331.3595637158</v>
      </c>
      <c r="Q95" s="108">
        <f t="shared" si="183"/>
        <v>8698857.307634186</v>
      </c>
      <c r="R95" s="108">
        <f t="shared" si="183"/>
        <v>8690521.6144572776</v>
      </c>
      <c r="S95" s="108">
        <f t="shared" si="183"/>
        <v>8745174.5944262315</v>
      </c>
      <c r="T95" s="108">
        <f t="shared" si="183"/>
        <v>8808337.8713331167</v>
      </c>
      <c r="U95" s="108">
        <f t="shared" si="183"/>
        <v>8849404.9357431326</v>
      </c>
      <c r="V95" s="108">
        <f t="shared" si="183"/>
        <v>6444242.0122595783</v>
      </c>
      <c r="W95" s="108">
        <f t="shared" ref="W95:Y95" si="184">IF(W5=0,0,W5/W27*1000000)</f>
        <v>6711053.595118151</v>
      </c>
      <c r="X95" s="108">
        <f t="shared" si="184"/>
        <v>9694921.1895009056</v>
      </c>
      <c r="Y95" s="108">
        <f t="shared" si="184"/>
        <v>11497202.822678262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16916764.949015114</v>
      </c>
      <c r="C96" s="110">
        <f t="shared" si="180"/>
        <v>17304694.408329513</v>
      </c>
      <c r="D96" s="110">
        <f t="shared" si="180"/>
        <v>15599173.326688856</v>
      </c>
      <c r="E96" s="110">
        <f t="shared" si="180"/>
        <v>15165249.808216888</v>
      </c>
      <c r="F96" s="110">
        <f t="shared" si="180"/>
        <v>14998971.830556128</v>
      </c>
      <c r="G96" s="110">
        <f t="shared" si="180"/>
        <v>14929769.596076529</v>
      </c>
      <c r="H96" s="110">
        <f t="shared" si="180"/>
        <v>15972162.403954998</v>
      </c>
      <c r="I96" s="110">
        <f t="shared" si="180"/>
        <v>15659348.459138172</v>
      </c>
      <c r="J96" s="110">
        <f t="shared" si="180"/>
        <v>16286243.896682076</v>
      </c>
      <c r="K96" s="110">
        <f t="shared" ref="K96:V96" si="185">IF(K6=0,0,K6/K28*1000000)</f>
        <v>15301576.094251772</v>
      </c>
      <c r="L96" s="110">
        <f t="shared" si="185"/>
        <v>14895048.555888001</v>
      </c>
      <c r="M96" s="110">
        <f t="shared" si="185"/>
        <v>16112599.392935511</v>
      </c>
      <c r="N96" s="110">
        <f t="shared" si="185"/>
        <v>16325440.546622062</v>
      </c>
      <c r="O96" s="110">
        <f t="shared" si="185"/>
        <v>16250197.604251401</v>
      </c>
      <c r="P96" s="110">
        <f t="shared" si="185"/>
        <v>16423019.617065599</v>
      </c>
      <c r="Q96" s="110">
        <f t="shared" si="185"/>
        <v>15902951.865085779</v>
      </c>
      <c r="R96" s="110">
        <f t="shared" si="185"/>
        <v>15545565.927231697</v>
      </c>
      <c r="S96" s="110">
        <f t="shared" si="185"/>
        <v>15341558.392159736</v>
      </c>
      <c r="T96" s="110">
        <f t="shared" si="185"/>
        <v>16177444.410470035</v>
      </c>
      <c r="U96" s="110">
        <f t="shared" si="185"/>
        <v>16692550.663828829</v>
      </c>
      <c r="V96" s="110">
        <f t="shared" si="185"/>
        <v>10644517.33312498</v>
      </c>
      <c r="W96" s="110">
        <f t="shared" ref="W96:Y96" si="186">IF(W6=0,0,W6/W28*1000000)</f>
        <v>8236536.7155406531</v>
      </c>
      <c r="X96" s="110">
        <f t="shared" si="186"/>
        <v>12373806.692438172</v>
      </c>
      <c r="Y96" s="110">
        <f t="shared" si="186"/>
        <v>13585678.85816545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16237891.395973446</v>
      </c>
      <c r="C97" s="84">
        <f t="shared" si="180"/>
        <v>16134313.560253017</v>
      </c>
      <c r="D97" s="84">
        <f t="shared" si="180"/>
        <v>15614519.189452471</v>
      </c>
      <c r="E97" s="84">
        <f t="shared" si="180"/>
        <v>16273798.986513739</v>
      </c>
      <c r="F97" s="84">
        <f t="shared" si="180"/>
        <v>15699012.28359269</v>
      </c>
      <c r="G97" s="84">
        <f t="shared" si="180"/>
        <v>15645783.459830945</v>
      </c>
      <c r="H97" s="84">
        <f t="shared" si="180"/>
        <v>16760191.992016416</v>
      </c>
      <c r="I97" s="84">
        <f t="shared" si="180"/>
        <v>16721057.720605159</v>
      </c>
      <c r="J97" s="84">
        <f t="shared" si="180"/>
        <v>17838004.240709364</v>
      </c>
      <c r="K97" s="84">
        <f t="shared" ref="K97:V97" si="187">IF(K7=0,0,K7/K29*1000000)</f>
        <v>17056987.668566581</v>
      </c>
      <c r="L97" s="84">
        <f t="shared" si="187"/>
        <v>16511136.387957865</v>
      </c>
      <c r="M97" s="84">
        <f t="shared" si="187"/>
        <v>16974585.617560826</v>
      </c>
      <c r="N97" s="84">
        <f t="shared" si="187"/>
        <v>17370644.910448022</v>
      </c>
      <c r="O97" s="84">
        <f t="shared" si="187"/>
        <v>16931209.845468652</v>
      </c>
      <c r="P97" s="84">
        <f t="shared" si="187"/>
        <v>16797683.913724188</v>
      </c>
      <c r="Q97" s="84">
        <f t="shared" si="187"/>
        <v>16988344.853658482</v>
      </c>
      <c r="R97" s="84">
        <f t="shared" si="187"/>
        <v>16131564.252607727</v>
      </c>
      <c r="S97" s="84">
        <f t="shared" si="187"/>
        <v>14967791.97490209</v>
      </c>
      <c r="T97" s="84">
        <f t="shared" si="187"/>
        <v>14789456.367068393</v>
      </c>
      <c r="U97" s="84">
        <f t="shared" si="187"/>
        <v>16925234.396568432</v>
      </c>
      <c r="V97" s="84">
        <f t="shared" si="187"/>
        <v>10316732.230795866</v>
      </c>
      <c r="W97" s="84">
        <f t="shared" ref="W97:Y97" si="188">IF(W7=0,0,W7/W29*1000000)</f>
        <v>8596463.9062242266</v>
      </c>
      <c r="X97" s="84">
        <f t="shared" si="188"/>
        <v>9745681.3398122843</v>
      </c>
      <c r="Y97" s="84">
        <f t="shared" si="188"/>
        <v>11895783.068538276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17189927.175874095</v>
      </c>
      <c r="C98" s="84">
        <f t="shared" si="180"/>
        <v>17825842.844984595</v>
      </c>
      <c r="D98" s="84">
        <f t="shared" si="180"/>
        <v>15592207.321953272</v>
      </c>
      <c r="E98" s="84">
        <f t="shared" si="180"/>
        <v>14609498.961389299</v>
      </c>
      <c r="F98" s="84">
        <f t="shared" si="180"/>
        <v>14643789.924168676</v>
      </c>
      <c r="G98" s="84">
        <f t="shared" si="180"/>
        <v>14619744.744442532</v>
      </c>
      <c r="H98" s="84">
        <f t="shared" si="180"/>
        <v>15635640.714854894</v>
      </c>
      <c r="I98" s="84">
        <f t="shared" si="180"/>
        <v>15204141.331299543</v>
      </c>
      <c r="J98" s="84">
        <f t="shared" si="180"/>
        <v>15587740.659153905</v>
      </c>
      <c r="K98" s="84">
        <f t="shared" ref="K98:V98" si="189">IF(K8=0,0,K8/K30*1000000)</f>
        <v>14641593.845818274</v>
      </c>
      <c r="L98" s="84">
        <f t="shared" si="189"/>
        <v>14303980.345680727</v>
      </c>
      <c r="M98" s="84">
        <f t="shared" si="189"/>
        <v>15780901.929599239</v>
      </c>
      <c r="N98" s="84">
        <f t="shared" si="189"/>
        <v>15926646.11278492</v>
      </c>
      <c r="O98" s="84">
        <f t="shared" si="189"/>
        <v>15989063.335785076</v>
      </c>
      <c r="P98" s="84">
        <f t="shared" si="189"/>
        <v>16269412.221100803</v>
      </c>
      <c r="Q98" s="84">
        <f t="shared" si="189"/>
        <v>15489104.594873793</v>
      </c>
      <c r="R98" s="84">
        <f t="shared" si="189"/>
        <v>15320568.826931331</v>
      </c>
      <c r="S98" s="84">
        <f t="shared" si="189"/>
        <v>15469444.327316592</v>
      </c>
      <c r="T98" s="84">
        <f t="shared" si="189"/>
        <v>16623984.333294282</v>
      </c>
      <c r="U98" s="84">
        <f t="shared" si="189"/>
        <v>16616180.478712415</v>
      </c>
      <c r="V98" s="84">
        <f t="shared" si="189"/>
        <v>10750209.775012951</v>
      </c>
      <c r="W98" s="84">
        <f t="shared" ref="W98:Y98" si="190">IF(W8=0,0,W8/W30*1000000)</f>
        <v>8071665.476432493</v>
      </c>
      <c r="X98" s="84">
        <f t="shared" si="190"/>
        <v>13421141.973327201</v>
      </c>
      <c r="Y98" s="84">
        <f t="shared" si="190"/>
        <v>14195774.259750947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112486513.53346449</v>
      </c>
      <c r="C99" s="113">
        <f t="shared" si="180"/>
        <v>112486514.21547872</v>
      </c>
      <c r="D99" s="113">
        <f t="shared" si="180"/>
        <v>112486514.06151108</v>
      </c>
      <c r="E99" s="113">
        <f t="shared" si="180"/>
        <v>112486514.03841941</v>
      </c>
      <c r="F99" s="113">
        <f t="shared" si="180"/>
        <v>112486514.34215394</v>
      </c>
      <c r="G99" s="113">
        <f t="shared" si="180"/>
        <v>112486513.87679173</v>
      </c>
      <c r="H99" s="113">
        <f t="shared" si="180"/>
        <v>117693204.27470639</v>
      </c>
      <c r="I99" s="113">
        <f t="shared" si="180"/>
        <v>119661162.64988981</v>
      </c>
      <c r="J99" s="113">
        <f t="shared" si="180"/>
        <v>121629770.3221463</v>
      </c>
      <c r="K99" s="113">
        <f t="shared" ref="K99:V99" si="191">IF(K9=0,0,K9/K31*1000000)</f>
        <v>124098631.99313888</v>
      </c>
      <c r="L99" s="113">
        <f t="shared" si="191"/>
        <v>127581670.98071007</v>
      </c>
      <c r="M99" s="113">
        <f t="shared" si="191"/>
        <v>128683434.95124693</v>
      </c>
      <c r="N99" s="113">
        <f t="shared" si="191"/>
        <v>132960693.88497531</v>
      </c>
      <c r="O99" s="113">
        <f t="shared" si="191"/>
        <v>135615242.28927729</v>
      </c>
      <c r="P99" s="113">
        <f t="shared" si="191"/>
        <v>137057998.10188541</v>
      </c>
      <c r="Q99" s="113">
        <f t="shared" si="191"/>
        <v>139111719.39471325</v>
      </c>
      <c r="R99" s="113">
        <f t="shared" si="191"/>
        <v>144967622.61910003</v>
      </c>
      <c r="S99" s="113">
        <f t="shared" si="191"/>
        <v>152865808.59866366</v>
      </c>
      <c r="T99" s="113">
        <f t="shared" si="191"/>
        <v>159776794.8981691</v>
      </c>
      <c r="U99" s="113">
        <f t="shared" si="191"/>
        <v>161061107.28453815</v>
      </c>
      <c r="V99" s="113">
        <f t="shared" si="191"/>
        <v>90128852.085565403</v>
      </c>
      <c r="W99" s="113">
        <f t="shared" ref="W99:Y99" si="192">IF(W9=0,0,W9/W31*1000000)</f>
        <v>95635419.367764562</v>
      </c>
      <c r="X99" s="113">
        <f t="shared" si="192"/>
        <v>166262366.24043927</v>
      </c>
      <c r="Y99" s="113">
        <f t="shared" si="192"/>
        <v>180240699.80402166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88719668.69565697</v>
      </c>
      <c r="C100" s="28">
        <f t="shared" si="180"/>
        <v>81457354.471659884</v>
      </c>
      <c r="D100" s="28">
        <f t="shared" si="180"/>
        <v>77516645.348577112</v>
      </c>
      <c r="E100" s="28">
        <f t="shared" si="180"/>
        <v>87783939.792096719</v>
      </c>
      <c r="F100" s="28">
        <f t="shared" si="180"/>
        <v>93156919.361901581</v>
      </c>
      <c r="G100" s="28">
        <f t="shared" si="180"/>
        <v>101337184.29077002</v>
      </c>
      <c r="H100" s="28">
        <f t="shared" si="180"/>
        <v>100061889.74737808</v>
      </c>
      <c r="I100" s="28">
        <f t="shared" si="180"/>
        <v>100842958.00101125</v>
      </c>
      <c r="J100" s="28">
        <f t="shared" si="180"/>
        <v>111091345.29620893</v>
      </c>
      <c r="K100" s="28">
        <f t="shared" ref="K100:V100" si="193">IF(K10=0,0,K10/K32*1000000)</f>
        <v>93839611.306699947</v>
      </c>
      <c r="L100" s="28">
        <f t="shared" si="193"/>
        <v>100326159.90928638</v>
      </c>
      <c r="M100" s="28">
        <f t="shared" si="193"/>
        <v>94214590.077413946</v>
      </c>
      <c r="N100" s="28">
        <f t="shared" si="193"/>
        <v>90561363.666653857</v>
      </c>
      <c r="O100" s="28">
        <f t="shared" si="193"/>
        <v>89115847.2866579</v>
      </c>
      <c r="P100" s="28">
        <f t="shared" si="193"/>
        <v>89917259.595346123</v>
      </c>
      <c r="Q100" s="28">
        <f t="shared" si="193"/>
        <v>93459895.474121347</v>
      </c>
      <c r="R100" s="28">
        <f t="shared" si="193"/>
        <v>99169385.110867098</v>
      </c>
      <c r="S100" s="28">
        <f t="shared" si="193"/>
        <v>90386614.657012284</v>
      </c>
      <c r="T100" s="28">
        <f t="shared" si="193"/>
        <v>86573067.69457294</v>
      </c>
      <c r="U100" s="28">
        <f t="shared" si="193"/>
        <v>91980385.959244907</v>
      </c>
      <c r="V100" s="28">
        <f t="shared" si="193"/>
        <v>79005553.990837753</v>
      </c>
      <c r="W100" s="28">
        <f t="shared" ref="W100:Y100" si="194">IF(W10=0,0,W10/W32*1000000)</f>
        <v>84822095.655273795</v>
      </c>
      <c r="X100" s="28">
        <f t="shared" si="194"/>
        <v>90976942.913407892</v>
      </c>
      <c r="Y100" s="28">
        <f t="shared" si="194"/>
        <v>97738818.602302477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113500755.53396851</v>
      </c>
      <c r="C101" s="84">
        <f t="shared" si="180"/>
        <v>113054280.39733219</v>
      </c>
      <c r="D101" s="84">
        <f t="shared" si="180"/>
        <v>115891104.85747658</v>
      </c>
      <c r="E101" s="84">
        <f t="shared" si="180"/>
        <v>132389570.85919444</v>
      </c>
      <c r="F101" s="84">
        <f t="shared" si="180"/>
        <v>132983290.12479016</v>
      </c>
      <c r="G101" s="84">
        <f t="shared" si="180"/>
        <v>139621763.74676153</v>
      </c>
      <c r="H101" s="84">
        <f t="shared" si="180"/>
        <v>137710896.28168896</v>
      </c>
      <c r="I101" s="84">
        <f t="shared" si="180"/>
        <v>146696534.49183065</v>
      </c>
      <c r="J101" s="84">
        <f t="shared" si="180"/>
        <v>173022884.89403659</v>
      </c>
      <c r="K101" s="84">
        <f t="shared" ref="K101:V101" si="195">IF(K11=0,0,K11/K33*1000000)</f>
        <v>142787867.60434949</v>
      </c>
      <c r="L101" s="84">
        <f t="shared" si="195"/>
        <v>148270898.51250517</v>
      </c>
      <c r="M101" s="84">
        <f t="shared" si="195"/>
        <v>155657824.76063859</v>
      </c>
      <c r="N101" s="84">
        <f t="shared" si="195"/>
        <v>156098936.59939635</v>
      </c>
      <c r="O101" s="84">
        <f t="shared" si="195"/>
        <v>158468989.23450992</v>
      </c>
      <c r="P101" s="84">
        <f t="shared" si="195"/>
        <v>165542804.55119148</v>
      </c>
      <c r="Q101" s="84">
        <f t="shared" si="195"/>
        <v>161553469.74986988</v>
      </c>
      <c r="R101" s="84">
        <f t="shared" si="195"/>
        <v>177244601.64004645</v>
      </c>
      <c r="S101" s="84">
        <f t="shared" si="195"/>
        <v>157974648.42172503</v>
      </c>
      <c r="T101" s="84">
        <f t="shared" si="195"/>
        <v>160359929.52149889</v>
      </c>
      <c r="U101" s="84">
        <f t="shared" si="195"/>
        <v>177251544.5473887</v>
      </c>
      <c r="V101" s="84">
        <f t="shared" si="195"/>
        <v>144492037.53036052</v>
      </c>
      <c r="W101" s="84">
        <f t="shared" ref="W101:Y101" si="196">IF(W11=0,0,W11/W33*1000000)</f>
        <v>126564669.35618994</v>
      </c>
      <c r="X101" s="84">
        <f t="shared" si="196"/>
        <v>102217983.64711952</v>
      </c>
      <c r="Y101" s="84">
        <f t="shared" si="196"/>
        <v>116005981.34929696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84181754.988367513</v>
      </c>
      <c r="C102" s="86">
        <f t="shared" si="180"/>
        <v>76279866.814867601</v>
      </c>
      <c r="D102" s="86">
        <f t="shared" si="180"/>
        <v>71833299.730432302</v>
      </c>
      <c r="E102" s="86">
        <f t="shared" si="180"/>
        <v>80401727.757484198</v>
      </c>
      <c r="F102" s="86">
        <f t="shared" si="180"/>
        <v>86333748.085017696</v>
      </c>
      <c r="G102" s="86">
        <f t="shared" si="180"/>
        <v>95070189.77110514</v>
      </c>
      <c r="H102" s="86">
        <f t="shared" si="180"/>
        <v>94013923.784689143</v>
      </c>
      <c r="I102" s="86">
        <f t="shared" si="180"/>
        <v>93813670.25241445</v>
      </c>
      <c r="J102" s="86">
        <f t="shared" si="180"/>
        <v>101721950.31815536</v>
      </c>
      <c r="K102" s="86">
        <f t="shared" ref="K102:V102" si="197">IF(K12=0,0,K12/K34*1000000)</f>
        <v>87137853.571469635</v>
      </c>
      <c r="L102" s="86">
        <f t="shared" si="197"/>
        <v>93674534.750126138</v>
      </c>
      <c r="M102" s="86">
        <f t="shared" si="197"/>
        <v>86810711.633640394</v>
      </c>
      <c r="N102" s="86">
        <f t="shared" si="197"/>
        <v>83058495.800676182</v>
      </c>
      <c r="O102" s="86">
        <f t="shared" si="197"/>
        <v>81611338.535677388</v>
      </c>
      <c r="P102" s="86">
        <f t="shared" si="197"/>
        <v>81773257.326330364</v>
      </c>
      <c r="Q102" s="86">
        <f t="shared" si="197"/>
        <v>85632121.842127308</v>
      </c>
      <c r="R102" s="86">
        <f t="shared" si="197"/>
        <v>90584573.756473005</v>
      </c>
      <c r="S102" s="86">
        <f t="shared" si="197"/>
        <v>83994397.374869034</v>
      </c>
      <c r="T102" s="86">
        <f t="shared" si="197"/>
        <v>80804864.758198038</v>
      </c>
      <c r="U102" s="86">
        <f t="shared" si="197"/>
        <v>84764027.263534889</v>
      </c>
      <c r="V102" s="86">
        <f t="shared" si="197"/>
        <v>73325837.574044243</v>
      </c>
      <c r="W102" s="86">
        <f t="shared" ref="W102:Y102" si="198">IF(W12=0,0,W12/W34*1000000)</f>
        <v>78333015.850932837</v>
      </c>
      <c r="X102" s="86">
        <f t="shared" si="198"/>
        <v>89314643.157304168</v>
      </c>
      <c r="Y102" s="86">
        <f t="shared" si="198"/>
        <v>95081488.109598726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0.16221501266610372</v>
      </c>
      <c r="C106" s="123">
        <f t="shared" si="199"/>
        <v>0.16251354279523297</v>
      </c>
      <c r="D106" s="123">
        <f t="shared" si="199"/>
        <v>0.17227877838684416</v>
      </c>
      <c r="E106" s="123">
        <f t="shared" si="199"/>
        <v>0.17142591494950199</v>
      </c>
      <c r="F106" s="123">
        <f t="shared" si="199"/>
        <v>0.17051635072707827</v>
      </c>
      <c r="G106" s="123">
        <f t="shared" si="199"/>
        <v>0.16779541637319173</v>
      </c>
      <c r="H106" s="123">
        <f t="shared" si="199"/>
        <v>0.16462228237881735</v>
      </c>
      <c r="I106" s="123">
        <f t="shared" si="199"/>
        <v>0.16753133320003788</v>
      </c>
      <c r="J106" s="123">
        <f t="shared" si="199"/>
        <v>0.16229603574349188</v>
      </c>
      <c r="K106" s="123">
        <f t="shared" ref="K106:V106" si="202">IF(K5=0,0,K5/K$4)</f>
        <v>0.16704810126582278</v>
      </c>
      <c r="L106" s="123">
        <f t="shared" si="202"/>
        <v>0.16309693638331621</v>
      </c>
      <c r="M106" s="123">
        <f t="shared" si="202"/>
        <v>0.16272435866017076</v>
      </c>
      <c r="N106" s="123">
        <f t="shared" si="202"/>
        <v>0.15750272783338867</v>
      </c>
      <c r="O106" s="123">
        <f t="shared" si="202"/>
        <v>0.15708037435921554</v>
      </c>
      <c r="P106" s="123">
        <f t="shared" si="202"/>
        <v>0.15430664262209745</v>
      </c>
      <c r="Q106" s="123">
        <f t="shared" si="202"/>
        <v>0.15498839907192574</v>
      </c>
      <c r="R106" s="123">
        <f t="shared" si="202"/>
        <v>0.15115813808740497</v>
      </c>
      <c r="S106" s="123">
        <f t="shared" si="202"/>
        <v>0.1525783072678725</v>
      </c>
      <c r="T106" s="123">
        <f t="shared" si="202"/>
        <v>0.15203738737571376</v>
      </c>
      <c r="U106" s="123">
        <f t="shared" si="202"/>
        <v>0.14933984998133251</v>
      </c>
      <c r="V106" s="123">
        <f t="shared" si="202"/>
        <v>0.16837681868550952</v>
      </c>
      <c r="W106" s="123">
        <f t="shared" ref="W106:Y106" si="203">IF(W5=0,0,W5/W$4)</f>
        <v>0.16298495299630372</v>
      </c>
      <c r="X106" s="123">
        <f t="shared" si="203"/>
        <v>0.13575126623163847</v>
      </c>
      <c r="Y106" s="123">
        <f t="shared" si="203"/>
        <v>0.13332421714754547</v>
      </c>
      <c r="DA106" s="203"/>
    </row>
    <row r="107" spans="1:105" ht="11.45" customHeight="1" x14ac:dyDescent="0.25">
      <c r="A107" s="109" t="s">
        <v>24</v>
      </c>
      <c r="B107" s="124">
        <f t="shared" si="199"/>
        <v>0.68306964134927339</v>
      </c>
      <c r="C107" s="124">
        <f t="shared" si="199"/>
        <v>0.66596280982598888</v>
      </c>
      <c r="D107" s="124">
        <f t="shared" si="199"/>
        <v>0.64942320503979711</v>
      </c>
      <c r="E107" s="124">
        <f t="shared" si="199"/>
        <v>0.62568715642178907</v>
      </c>
      <c r="F107" s="124">
        <f t="shared" si="199"/>
        <v>0.60642195571535851</v>
      </c>
      <c r="G107" s="124">
        <f t="shared" si="199"/>
        <v>0.60624153437720107</v>
      </c>
      <c r="H107" s="124">
        <f t="shared" si="199"/>
        <v>0.60660054140935626</v>
      </c>
      <c r="I107" s="124">
        <f t="shared" si="199"/>
        <v>0.60180790722636723</v>
      </c>
      <c r="J107" s="124">
        <f t="shared" si="199"/>
        <v>0.60089242013776034</v>
      </c>
      <c r="K107" s="124">
        <f t="shared" ref="K107:V107" si="204">IF(K6=0,0,K6/K$4)</f>
        <v>0.6044860759493671</v>
      </c>
      <c r="L107" s="124">
        <f t="shared" si="204"/>
        <v>0.59844639516764597</v>
      </c>
      <c r="M107" s="124">
        <f t="shared" si="204"/>
        <v>0.60881456284983282</v>
      </c>
      <c r="N107" s="124">
        <f t="shared" si="204"/>
        <v>0.60763793348830586</v>
      </c>
      <c r="O107" s="124">
        <f t="shared" si="204"/>
        <v>0.60609509476555523</v>
      </c>
      <c r="P107" s="124">
        <f t="shared" si="204"/>
        <v>0.61966201267917231</v>
      </c>
      <c r="Q107" s="124">
        <f t="shared" si="204"/>
        <v>0.61039443155452433</v>
      </c>
      <c r="R107" s="124">
        <f t="shared" si="204"/>
        <v>0.60687324945538612</v>
      </c>
      <c r="S107" s="124">
        <f t="shared" si="204"/>
        <v>0.59458524425835413</v>
      </c>
      <c r="T107" s="124">
        <f t="shared" si="204"/>
        <v>0.57959070844239424</v>
      </c>
      <c r="U107" s="124">
        <f t="shared" si="204"/>
        <v>0.56891694667888537</v>
      </c>
      <c r="V107" s="124">
        <f t="shared" si="204"/>
        <v>0.5703800710924346</v>
      </c>
      <c r="W107" s="124">
        <f t="shared" ref="W107:Y107" si="205">IF(W6=0,0,W6/W$4)</f>
        <v>0.55222794609854764</v>
      </c>
      <c r="X107" s="124">
        <f t="shared" si="205"/>
        <v>0.5460477657214009</v>
      </c>
      <c r="Y107" s="124">
        <f t="shared" si="205"/>
        <v>0.54227916039928892</v>
      </c>
      <c r="DA107" s="176"/>
    </row>
    <row r="108" spans="1:105" ht="11.45" customHeight="1" x14ac:dyDescent="0.25">
      <c r="A108" s="111" t="s">
        <v>92</v>
      </c>
      <c r="B108" s="125">
        <f t="shared" si="199"/>
        <v>0.1881242038869996</v>
      </c>
      <c r="C108" s="125">
        <f t="shared" si="199"/>
        <v>0.19130153464657199</v>
      </c>
      <c r="D108" s="125">
        <f t="shared" si="199"/>
        <v>0.20295636592937832</v>
      </c>
      <c r="E108" s="125">
        <f t="shared" si="199"/>
        <v>0.22420491676546561</v>
      </c>
      <c r="F108" s="125">
        <f t="shared" si="199"/>
        <v>0.21364493704291218</v>
      </c>
      <c r="G108" s="125">
        <f t="shared" si="199"/>
        <v>0.19196526684155732</v>
      </c>
      <c r="H108" s="125">
        <f t="shared" si="199"/>
        <v>0.19048108772684338</v>
      </c>
      <c r="I108" s="125">
        <f t="shared" si="199"/>
        <v>0.19283921618752803</v>
      </c>
      <c r="J108" s="125">
        <f t="shared" si="199"/>
        <v>0.20429469346101817</v>
      </c>
      <c r="K108" s="125">
        <f t="shared" ref="K108:V108" si="206">IF(K7=0,0,K7/K$4)</f>
        <v>0.18411822264516153</v>
      </c>
      <c r="L108" s="125">
        <f t="shared" si="206"/>
        <v>0.17764985638337685</v>
      </c>
      <c r="M108" s="125">
        <f t="shared" si="206"/>
        <v>0.17822617847704059</v>
      </c>
      <c r="N108" s="125">
        <f t="shared" si="206"/>
        <v>0.17855752905891323</v>
      </c>
      <c r="O108" s="125">
        <f t="shared" si="206"/>
        <v>0.17503122783171074</v>
      </c>
      <c r="P108" s="125">
        <f t="shared" si="206"/>
        <v>0.18429181768709357</v>
      </c>
      <c r="Q108" s="125">
        <f t="shared" si="206"/>
        <v>0.17999181076434184</v>
      </c>
      <c r="R108" s="125">
        <f t="shared" si="206"/>
        <v>0.17471349694998894</v>
      </c>
      <c r="S108" s="125">
        <f t="shared" si="206"/>
        <v>0.14788438474665067</v>
      </c>
      <c r="T108" s="125">
        <f t="shared" si="206"/>
        <v>0.1289732563471081</v>
      </c>
      <c r="U108" s="125">
        <f t="shared" si="206"/>
        <v>0.14254449484532133</v>
      </c>
      <c r="V108" s="125">
        <f t="shared" si="206"/>
        <v>0.13479005659982535</v>
      </c>
      <c r="W108" s="125">
        <f t="shared" ref="W108:Y108" si="207">IF(W7=0,0,W7/W$4)</f>
        <v>0.1810697746745015</v>
      </c>
      <c r="X108" s="125">
        <f t="shared" si="207"/>
        <v>0.12255004422266319</v>
      </c>
      <c r="Y108" s="125">
        <f t="shared" si="207"/>
        <v>0.1259523240069278</v>
      </c>
      <c r="DA108" s="171"/>
    </row>
    <row r="109" spans="1:105" ht="11.45" customHeight="1" x14ac:dyDescent="0.25">
      <c r="A109" s="111" t="s">
        <v>93</v>
      </c>
      <c r="B109" s="125">
        <f t="shared" si="199"/>
        <v>0.49494543746227376</v>
      </c>
      <c r="C109" s="125">
        <f t="shared" si="199"/>
        <v>0.47466127517941686</v>
      </c>
      <c r="D109" s="125">
        <f t="shared" si="199"/>
        <v>0.44646683911041879</v>
      </c>
      <c r="E109" s="125">
        <f t="shared" si="199"/>
        <v>0.40148223965632351</v>
      </c>
      <c r="F109" s="125">
        <f t="shared" si="199"/>
        <v>0.39277701867244635</v>
      </c>
      <c r="G109" s="125">
        <f t="shared" si="199"/>
        <v>0.41427626753564373</v>
      </c>
      <c r="H109" s="125">
        <f t="shared" si="199"/>
        <v>0.4161194536825128</v>
      </c>
      <c r="I109" s="125">
        <f t="shared" si="199"/>
        <v>0.4089686910388392</v>
      </c>
      <c r="J109" s="125">
        <f t="shared" si="199"/>
        <v>0.3965977266767422</v>
      </c>
      <c r="K109" s="125">
        <f t="shared" ref="K109:V109" si="208">IF(K8=0,0,K8/K$4)</f>
        <v>0.42036785330420562</v>
      </c>
      <c r="L109" s="125">
        <f t="shared" si="208"/>
        <v>0.42079653878426904</v>
      </c>
      <c r="M109" s="125">
        <f t="shared" si="208"/>
        <v>0.43058838437279229</v>
      </c>
      <c r="N109" s="125">
        <f t="shared" si="208"/>
        <v>0.42908040442939266</v>
      </c>
      <c r="O109" s="125">
        <f t="shared" si="208"/>
        <v>0.43106386693384446</v>
      </c>
      <c r="P109" s="125">
        <f t="shared" si="208"/>
        <v>0.43537019499207869</v>
      </c>
      <c r="Q109" s="125">
        <f t="shared" si="208"/>
        <v>0.43040262079018254</v>
      </c>
      <c r="R109" s="125">
        <f t="shared" si="208"/>
        <v>0.43215975250539712</v>
      </c>
      <c r="S109" s="125">
        <f t="shared" si="208"/>
        <v>0.44670085951170341</v>
      </c>
      <c r="T109" s="125">
        <f t="shared" si="208"/>
        <v>0.45061745209528614</v>
      </c>
      <c r="U109" s="125">
        <f t="shared" si="208"/>
        <v>0.42637245183356404</v>
      </c>
      <c r="V109" s="125">
        <f t="shared" si="208"/>
        <v>0.4355900144926092</v>
      </c>
      <c r="W109" s="125">
        <f t="shared" ref="W109:Y109" si="209">IF(W8=0,0,W8/W$4)</f>
        <v>0.37115817142404617</v>
      </c>
      <c r="X109" s="125">
        <f t="shared" si="209"/>
        <v>0.42349772149873777</v>
      </c>
      <c r="Y109" s="125">
        <f t="shared" si="209"/>
        <v>0.41632683639236112</v>
      </c>
      <c r="DA109" s="171"/>
    </row>
    <row r="110" spans="1:105" ht="11.45" customHeight="1" x14ac:dyDescent="0.25">
      <c r="A110" s="112" t="s">
        <v>25</v>
      </c>
      <c r="B110" s="126">
        <f t="shared" si="199"/>
        <v>0.15471534598462292</v>
      </c>
      <c r="C110" s="126">
        <f t="shared" si="199"/>
        <v>0.1715236473787782</v>
      </c>
      <c r="D110" s="126">
        <f t="shared" si="199"/>
        <v>0.17829801657335873</v>
      </c>
      <c r="E110" s="126">
        <f t="shared" si="199"/>
        <v>0.20288692862870891</v>
      </c>
      <c r="F110" s="126">
        <f t="shared" si="199"/>
        <v>0.2230616935575632</v>
      </c>
      <c r="G110" s="126">
        <f t="shared" si="199"/>
        <v>0.2259630492496072</v>
      </c>
      <c r="H110" s="126">
        <f t="shared" si="199"/>
        <v>0.22877717621182642</v>
      </c>
      <c r="I110" s="126">
        <f t="shared" si="199"/>
        <v>0.23066075957359489</v>
      </c>
      <c r="J110" s="126">
        <f t="shared" si="199"/>
        <v>0.2368115441187478</v>
      </c>
      <c r="K110" s="126">
        <f t="shared" ref="K110:V110" si="210">IF(K9=0,0,K9/K$4)</f>
        <v>0.22846582278481012</v>
      </c>
      <c r="L110" s="126">
        <f t="shared" si="210"/>
        <v>0.23845666844903785</v>
      </c>
      <c r="M110" s="126">
        <f t="shared" si="210"/>
        <v>0.22846107848999636</v>
      </c>
      <c r="N110" s="126">
        <f t="shared" si="210"/>
        <v>0.23485933867830541</v>
      </c>
      <c r="O110" s="126">
        <f t="shared" si="210"/>
        <v>0.23682453087522928</v>
      </c>
      <c r="P110" s="126">
        <f t="shared" si="210"/>
        <v>0.22603134469873024</v>
      </c>
      <c r="Q110" s="126">
        <f t="shared" si="210"/>
        <v>0.23461716937354987</v>
      </c>
      <c r="R110" s="126">
        <f t="shared" si="210"/>
        <v>0.24196861245720891</v>
      </c>
      <c r="S110" s="126">
        <f t="shared" si="210"/>
        <v>0.2528364484737734</v>
      </c>
      <c r="T110" s="126">
        <f t="shared" si="210"/>
        <v>0.268371904181892</v>
      </c>
      <c r="U110" s="126">
        <f t="shared" si="210"/>
        <v>0.28174320333978209</v>
      </c>
      <c r="V110" s="126">
        <f t="shared" si="210"/>
        <v>0.26124311022205593</v>
      </c>
      <c r="W110" s="126">
        <f t="shared" ref="W110:Y110" si="211">IF(W9=0,0,W9/W$4)</f>
        <v>0.28478710090514858</v>
      </c>
      <c r="X110" s="126">
        <f t="shared" si="211"/>
        <v>0.31820096804696058</v>
      </c>
      <c r="Y110" s="126">
        <f t="shared" si="211"/>
        <v>0.32439662245316558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0.19800944780900651</v>
      </c>
      <c r="C112" s="125">
        <f t="shared" si="212"/>
        <v>0.19540245911933454</v>
      </c>
      <c r="D112" s="125">
        <f t="shared" si="212"/>
        <v>0.19285741586840047</v>
      </c>
      <c r="E112" s="125">
        <f t="shared" si="212"/>
        <v>0.21415263453157465</v>
      </c>
      <c r="F112" s="125">
        <f t="shared" si="212"/>
        <v>0.20879536030789383</v>
      </c>
      <c r="G112" s="125">
        <f t="shared" si="212"/>
        <v>0.19381194940078017</v>
      </c>
      <c r="H112" s="125">
        <f t="shared" si="212"/>
        <v>0.19048360172741483</v>
      </c>
      <c r="I112" s="125">
        <f t="shared" si="212"/>
        <v>0.19336177787546918</v>
      </c>
      <c r="J112" s="125">
        <f t="shared" si="212"/>
        <v>0.20466314713700948</v>
      </c>
      <c r="K112" s="125">
        <f t="shared" ref="K112:V112" si="215">IF(K11=0,0,K11/K$10)</f>
        <v>0.18324348963771969</v>
      </c>
      <c r="L112" s="125">
        <f t="shared" si="215"/>
        <v>0.18005524567869965</v>
      </c>
      <c r="M112" s="125">
        <f t="shared" si="215"/>
        <v>0.17767500644875275</v>
      </c>
      <c r="N112" s="125">
        <f t="shared" si="215"/>
        <v>0.17706018091622289</v>
      </c>
      <c r="O112" s="125">
        <f t="shared" si="215"/>
        <v>0.1736298980939491</v>
      </c>
      <c r="P112" s="125">
        <f t="shared" si="215"/>
        <v>0.17898595941247364</v>
      </c>
      <c r="Q112" s="125">
        <f t="shared" si="215"/>
        <v>0.17822365546524219</v>
      </c>
      <c r="R112" s="125">
        <f t="shared" si="215"/>
        <v>0.17705464630134382</v>
      </c>
      <c r="S112" s="125">
        <f t="shared" si="215"/>
        <v>0.15101462380220948</v>
      </c>
      <c r="T112" s="125">
        <f t="shared" si="215"/>
        <v>0.13430301039559972</v>
      </c>
      <c r="U112" s="125">
        <f t="shared" si="215"/>
        <v>0.1503591255337014</v>
      </c>
      <c r="V112" s="125">
        <f t="shared" si="215"/>
        <v>0.14596178583915856</v>
      </c>
      <c r="W112" s="125">
        <f t="shared" ref="W112:Y112" si="216">IF(W11=0,0,W11/W$10)</f>
        <v>0.20074949206202999</v>
      </c>
      <c r="X112" s="125">
        <f t="shared" si="216"/>
        <v>0.14474486125104435</v>
      </c>
      <c r="Y112" s="125">
        <f t="shared" si="216"/>
        <v>0.15073146468487683</v>
      </c>
      <c r="DA112" s="171"/>
    </row>
    <row r="113" spans="1:105" ht="11.45" customHeight="1" x14ac:dyDescent="0.25">
      <c r="A113" s="85" t="s">
        <v>93</v>
      </c>
      <c r="B113" s="127">
        <f t="shared" si="212"/>
        <v>0.80199055219099347</v>
      </c>
      <c r="C113" s="127">
        <f t="shared" si="212"/>
        <v>0.80459754088066548</v>
      </c>
      <c r="D113" s="127">
        <f t="shared" si="212"/>
        <v>0.80714258413159956</v>
      </c>
      <c r="E113" s="127">
        <f t="shared" si="212"/>
        <v>0.78584736546842537</v>
      </c>
      <c r="F113" s="127">
        <f t="shared" si="212"/>
        <v>0.79120463969210608</v>
      </c>
      <c r="G113" s="127">
        <f t="shared" si="212"/>
        <v>0.80618805059921983</v>
      </c>
      <c r="H113" s="127">
        <f t="shared" si="212"/>
        <v>0.80951639827258515</v>
      </c>
      <c r="I113" s="127">
        <f t="shared" si="212"/>
        <v>0.80663822212453085</v>
      </c>
      <c r="J113" s="127">
        <f t="shared" si="212"/>
        <v>0.7953368528629905</v>
      </c>
      <c r="K113" s="127">
        <f t="shared" ref="K113:V113" si="217">IF(K12=0,0,K12/K$10)</f>
        <v>0.81675651036228036</v>
      </c>
      <c r="L113" s="127">
        <f t="shared" si="217"/>
        <v>0.81994475432130032</v>
      </c>
      <c r="M113" s="127">
        <f t="shared" si="217"/>
        <v>0.82232499355124722</v>
      </c>
      <c r="N113" s="127">
        <f t="shared" si="217"/>
        <v>0.82293981908377711</v>
      </c>
      <c r="O113" s="127">
        <f t="shared" si="217"/>
        <v>0.82637010190605087</v>
      </c>
      <c r="P113" s="127">
        <f t="shared" si="217"/>
        <v>0.82101404058752636</v>
      </c>
      <c r="Q113" s="127">
        <f t="shared" si="217"/>
        <v>0.8217763445347579</v>
      </c>
      <c r="R113" s="127">
        <f t="shared" si="217"/>
        <v>0.82294535369865618</v>
      </c>
      <c r="S113" s="127">
        <f t="shared" si="217"/>
        <v>0.84898537619779058</v>
      </c>
      <c r="T113" s="127">
        <f t="shared" si="217"/>
        <v>0.86569698960440034</v>
      </c>
      <c r="U113" s="127">
        <f t="shared" si="217"/>
        <v>0.84964087446629855</v>
      </c>
      <c r="V113" s="127">
        <f t="shared" si="217"/>
        <v>0.85403821416084136</v>
      </c>
      <c r="W113" s="127">
        <f t="shared" ref="W113:Y113" si="218">IF(W12=0,0,W12/W$10)</f>
        <v>0.79925050793796992</v>
      </c>
      <c r="X113" s="127">
        <f t="shared" si="218"/>
        <v>0.85525513874895565</v>
      </c>
      <c r="Y113" s="127">
        <f t="shared" si="218"/>
        <v>0.84926853531512314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0.2408141999822111</v>
      </c>
      <c r="C117" s="123">
        <f t="shared" si="219"/>
        <v>0.24403055002289481</v>
      </c>
      <c r="D117" s="123">
        <f t="shared" si="219"/>
        <v>0.24618356364000596</v>
      </c>
      <c r="E117" s="123">
        <f t="shared" si="219"/>
        <v>0.24130789155412494</v>
      </c>
      <c r="F117" s="123">
        <f t="shared" si="219"/>
        <v>0.241471171439501</v>
      </c>
      <c r="G117" s="123">
        <f t="shared" si="219"/>
        <v>0.2409190883274589</v>
      </c>
      <c r="H117" s="123">
        <f t="shared" si="219"/>
        <v>0.24624943654219433</v>
      </c>
      <c r="I117" s="123">
        <f t="shared" si="219"/>
        <v>0.24839876439813571</v>
      </c>
      <c r="J117" s="123">
        <f t="shared" si="219"/>
        <v>0.24659128316877429</v>
      </c>
      <c r="K117" s="123">
        <f t="shared" ref="K117:V117" si="222">IF(K16=0,0,K16/K$15)</f>
        <v>0.2426553439031279</v>
      </c>
      <c r="L117" s="123">
        <f t="shared" si="222"/>
        <v>0.23467937202561093</v>
      </c>
      <c r="M117" s="123">
        <f t="shared" si="222"/>
        <v>0.24414714702812293</v>
      </c>
      <c r="N117" s="123">
        <f t="shared" si="222"/>
        <v>0.23867129505827467</v>
      </c>
      <c r="O117" s="123">
        <f t="shared" si="222"/>
        <v>0.23743917596087308</v>
      </c>
      <c r="P117" s="123">
        <f t="shared" si="222"/>
        <v>0.23295165757400249</v>
      </c>
      <c r="Q117" s="123">
        <f t="shared" si="222"/>
        <v>0.23122185654201663</v>
      </c>
      <c r="R117" s="123">
        <f t="shared" si="222"/>
        <v>0.22455969743256829</v>
      </c>
      <c r="S117" s="123">
        <f t="shared" si="222"/>
        <v>0.23024212252629914</v>
      </c>
      <c r="T117" s="123">
        <f t="shared" si="222"/>
        <v>0.2409390844424851</v>
      </c>
      <c r="U117" s="123">
        <f t="shared" si="222"/>
        <v>0.23934619312363123</v>
      </c>
      <c r="V117" s="123">
        <f t="shared" si="222"/>
        <v>0.21493304521933229</v>
      </c>
      <c r="W117" s="123">
        <f t="shared" ref="W117:Y117" si="223">IF(W16=0,0,W16/W$15)</f>
        <v>0.18989098974776511</v>
      </c>
      <c r="X117" s="123">
        <f t="shared" si="223"/>
        <v>0.16527549854068982</v>
      </c>
      <c r="Y117" s="123">
        <f t="shared" si="223"/>
        <v>0.16216513868104504</v>
      </c>
      <c r="DA117" s="203"/>
    </row>
    <row r="118" spans="1:105" ht="11.45" customHeight="1" x14ac:dyDescent="0.25">
      <c r="A118" s="109" t="s">
        <v>24</v>
      </c>
      <c r="B118" s="124">
        <f t="shared" si="219"/>
        <v>0.68879785215854072</v>
      </c>
      <c r="C118" s="124">
        <f t="shared" si="219"/>
        <v>0.67565664266999848</v>
      </c>
      <c r="D118" s="124">
        <f t="shared" si="219"/>
        <v>0.6765419991281828</v>
      </c>
      <c r="E118" s="124">
        <f t="shared" si="219"/>
        <v>0.6707265454997603</v>
      </c>
      <c r="F118" s="124">
        <f t="shared" si="219"/>
        <v>0.66123443300463203</v>
      </c>
      <c r="G118" s="124">
        <f t="shared" si="219"/>
        <v>0.66098375366742923</v>
      </c>
      <c r="H118" s="124">
        <f t="shared" si="219"/>
        <v>0.65341946758180747</v>
      </c>
      <c r="I118" s="124">
        <f t="shared" si="219"/>
        <v>0.65329778985188991</v>
      </c>
      <c r="J118" s="124">
        <f t="shared" si="219"/>
        <v>0.65043787420943666</v>
      </c>
      <c r="K118" s="124">
        <f t="shared" ref="K118:V118" si="224">IF(K17=0,0,K17/K$15)</f>
        <v>0.66445057409381925</v>
      </c>
      <c r="L118" s="124">
        <f t="shared" si="224"/>
        <v>0.67159344648720587</v>
      </c>
      <c r="M118" s="124">
        <f t="shared" si="224"/>
        <v>0.66247179307774662</v>
      </c>
      <c r="N118" s="124">
        <f t="shared" si="224"/>
        <v>0.66644528197321184</v>
      </c>
      <c r="O118" s="124">
        <f t="shared" si="224"/>
        <v>0.66864231878745461</v>
      </c>
      <c r="P118" s="124">
        <f t="shared" si="224"/>
        <v>0.67812904504429938</v>
      </c>
      <c r="Q118" s="124">
        <f t="shared" si="224"/>
        <v>0.67924005913528829</v>
      </c>
      <c r="R118" s="124">
        <f t="shared" si="224"/>
        <v>0.68728387750565145</v>
      </c>
      <c r="S118" s="124">
        <f t="shared" si="224"/>
        <v>0.68046647954875628</v>
      </c>
      <c r="T118" s="124">
        <f t="shared" si="224"/>
        <v>0.66314426736106424</v>
      </c>
      <c r="U118" s="124">
        <f t="shared" si="224"/>
        <v>0.65915814556025898</v>
      </c>
      <c r="V118" s="124">
        <f t="shared" si="224"/>
        <v>0.67545448155016263</v>
      </c>
      <c r="W118" s="124">
        <f t="shared" ref="W118:Y118" si="225">IF(W17=0,0,W17/W$15)</f>
        <v>0.71485814481332033</v>
      </c>
      <c r="X118" s="124">
        <f t="shared" si="225"/>
        <v>0.7319507624285625</v>
      </c>
      <c r="Y118" s="124">
        <f t="shared" si="225"/>
        <v>0.73487120996642419</v>
      </c>
      <c r="DA118" s="176"/>
    </row>
    <row r="119" spans="1:105" ht="11.45" customHeight="1" x14ac:dyDescent="0.25">
      <c r="A119" s="111" t="s">
        <v>92</v>
      </c>
      <c r="B119" s="125">
        <f t="shared" si="219"/>
        <v>0.19763286121017851</v>
      </c>
      <c r="C119" s="125">
        <f t="shared" si="219"/>
        <v>0.20816512379958718</v>
      </c>
      <c r="D119" s="125">
        <f t="shared" si="219"/>
        <v>0.21122368035582148</v>
      </c>
      <c r="E119" s="125">
        <f t="shared" si="219"/>
        <v>0.2239721443753947</v>
      </c>
      <c r="F119" s="125">
        <f t="shared" si="219"/>
        <v>0.22256778802031962</v>
      </c>
      <c r="G119" s="125">
        <f t="shared" si="219"/>
        <v>0.19972091412940005</v>
      </c>
      <c r="H119" s="125">
        <f t="shared" si="219"/>
        <v>0.19553561258062979</v>
      </c>
      <c r="I119" s="125">
        <f t="shared" si="219"/>
        <v>0.1960462768662628</v>
      </c>
      <c r="J119" s="125">
        <f t="shared" si="219"/>
        <v>0.20190210801059838</v>
      </c>
      <c r="K119" s="125">
        <f t="shared" ref="K119:V119" si="226">IF(K18=0,0,K18/K$15)</f>
        <v>0.18155448594751256</v>
      </c>
      <c r="L119" s="125">
        <f t="shared" si="226"/>
        <v>0.17985023660110164</v>
      </c>
      <c r="M119" s="125">
        <f t="shared" si="226"/>
        <v>0.18408579710886286</v>
      </c>
      <c r="N119" s="125">
        <f t="shared" si="226"/>
        <v>0.18405463306026343</v>
      </c>
      <c r="O119" s="125">
        <f t="shared" si="226"/>
        <v>0.18532725104743195</v>
      </c>
      <c r="P119" s="125">
        <f t="shared" si="226"/>
        <v>0.19718193911155979</v>
      </c>
      <c r="Q119" s="125">
        <f t="shared" si="226"/>
        <v>0.1874960617648426</v>
      </c>
      <c r="R119" s="125">
        <f t="shared" si="226"/>
        <v>0.19067540284113513</v>
      </c>
      <c r="S119" s="125">
        <f t="shared" si="226"/>
        <v>0.16082821888492749</v>
      </c>
      <c r="T119" s="125">
        <f t="shared" si="226"/>
        <v>0.14717684306081852</v>
      </c>
      <c r="U119" s="125">
        <f t="shared" si="226"/>
        <v>0.16288429521001729</v>
      </c>
      <c r="V119" s="125">
        <f t="shared" si="226"/>
        <v>0.16469234558457471</v>
      </c>
      <c r="W119" s="125">
        <f t="shared" ref="W119:Y119" si="227">IF(W18=0,0,W18/W$15)</f>
        <v>0.22458060350163461</v>
      </c>
      <c r="X119" s="125">
        <f t="shared" si="227"/>
        <v>0.16712438343625244</v>
      </c>
      <c r="Y119" s="125">
        <f t="shared" si="227"/>
        <v>0.1756101981163572</v>
      </c>
      <c r="DA119" s="171"/>
    </row>
    <row r="120" spans="1:105" ht="11.45" customHeight="1" x14ac:dyDescent="0.25">
      <c r="A120" s="111" t="s">
        <v>93</v>
      </c>
      <c r="B120" s="125">
        <f t="shared" si="219"/>
        <v>0.49116499094836225</v>
      </c>
      <c r="C120" s="125">
        <f t="shared" si="219"/>
        <v>0.46749151887041135</v>
      </c>
      <c r="D120" s="125">
        <f t="shared" si="219"/>
        <v>0.46531831877236141</v>
      </c>
      <c r="E120" s="125">
        <f t="shared" si="219"/>
        <v>0.4467544011243656</v>
      </c>
      <c r="F120" s="125">
        <f t="shared" si="219"/>
        <v>0.43866664498431235</v>
      </c>
      <c r="G120" s="125">
        <f t="shared" si="219"/>
        <v>0.46126283953802916</v>
      </c>
      <c r="H120" s="125">
        <f t="shared" si="219"/>
        <v>0.45788385500117762</v>
      </c>
      <c r="I120" s="125">
        <f t="shared" si="219"/>
        <v>0.45725151298562711</v>
      </c>
      <c r="J120" s="125">
        <f t="shared" si="219"/>
        <v>0.44853576619883823</v>
      </c>
      <c r="K120" s="125">
        <f t="shared" ref="K120:V120" si="228">IF(K19=0,0,K19/K$15)</f>
        <v>0.48289608814630663</v>
      </c>
      <c r="L120" s="125">
        <f t="shared" si="228"/>
        <v>0.4917432098861042</v>
      </c>
      <c r="M120" s="125">
        <f t="shared" si="228"/>
        <v>0.47838599596888376</v>
      </c>
      <c r="N120" s="125">
        <f t="shared" si="228"/>
        <v>0.48239064891294842</v>
      </c>
      <c r="O120" s="125">
        <f t="shared" si="228"/>
        <v>0.48331506774002264</v>
      </c>
      <c r="P120" s="125">
        <f t="shared" si="228"/>
        <v>0.48094710593273959</v>
      </c>
      <c r="Q120" s="125">
        <f t="shared" si="228"/>
        <v>0.49174399737044572</v>
      </c>
      <c r="R120" s="125">
        <f t="shared" si="228"/>
        <v>0.4966084746645163</v>
      </c>
      <c r="S120" s="125">
        <f t="shared" si="228"/>
        <v>0.51963826066382879</v>
      </c>
      <c r="T120" s="125">
        <f t="shared" si="228"/>
        <v>0.51596742430024567</v>
      </c>
      <c r="U120" s="125">
        <f t="shared" si="228"/>
        <v>0.49627385035024169</v>
      </c>
      <c r="V120" s="125">
        <f t="shared" si="228"/>
        <v>0.51076213596558795</v>
      </c>
      <c r="W120" s="125">
        <f t="shared" ref="W120:Y120" si="229">IF(W19=0,0,W19/W$15)</f>
        <v>0.49027754131168572</v>
      </c>
      <c r="X120" s="125">
        <f t="shared" si="229"/>
        <v>0.56482637899231003</v>
      </c>
      <c r="Y120" s="125">
        <f t="shared" si="229"/>
        <v>0.55926101185006694</v>
      </c>
      <c r="DA120" s="171"/>
    </row>
    <row r="121" spans="1:105" ht="11.45" customHeight="1" x14ac:dyDescent="0.25">
      <c r="A121" s="112" t="s">
        <v>25</v>
      </c>
      <c r="B121" s="126">
        <f t="shared" si="219"/>
        <v>7.0387947859248207E-2</v>
      </c>
      <c r="C121" s="126">
        <f t="shared" si="219"/>
        <v>8.0312807307106701E-2</v>
      </c>
      <c r="D121" s="126">
        <f t="shared" si="219"/>
        <v>7.7274437231811113E-2</v>
      </c>
      <c r="E121" s="126">
        <f t="shared" si="219"/>
        <v>8.7965562946114753E-2</v>
      </c>
      <c r="F121" s="126">
        <f t="shared" si="219"/>
        <v>9.72943955558669E-2</v>
      </c>
      <c r="G121" s="126">
        <f t="shared" si="219"/>
        <v>9.8097158005111817E-2</v>
      </c>
      <c r="H121" s="126">
        <f t="shared" si="219"/>
        <v>0.10033109587599827</v>
      </c>
      <c r="I121" s="126">
        <f t="shared" si="219"/>
        <v>9.8303445749974433E-2</v>
      </c>
      <c r="J121" s="126">
        <f t="shared" si="219"/>
        <v>0.10297084262178903</v>
      </c>
      <c r="K121" s="126">
        <f t="shared" ref="K121:V121" si="230">IF(K20=0,0,K20/K$15)</f>
        <v>9.2894082003052825E-2</v>
      </c>
      <c r="L121" s="126">
        <f t="shared" si="230"/>
        <v>9.37271814871833E-2</v>
      </c>
      <c r="M121" s="126">
        <f t="shared" si="230"/>
        <v>9.3381059894130425E-2</v>
      </c>
      <c r="N121" s="126">
        <f t="shared" si="230"/>
        <v>9.4883422968513445E-2</v>
      </c>
      <c r="O121" s="126">
        <f t="shared" si="230"/>
        <v>9.3918505251672321E-2</v>
      </c>
      <c r="P121" s="126">
        <f t="shared" si="230"/>
        <v>8.8919297381698056E-2</v>
      </c>
      <c r="Q121" s="126">
        <f t="shared" si="230"/>
        <v>8.9538084322695125E-2</v>
      </c>
      <c r="R121" s="126">
        <f t="shared" si="230"/>
        <v>8.8156425061780272E-2</v>
      </c>
      <c r="S121" s="126">
        <f t="shared" si="230"/>
        <v>8.9291397924944588E-2</v>
      </c>
      <c r="T121" s="126">
        <f t="shared" si="230"/>
        <v>9.5916648196450627E-2</v>
      </c>
      <c r="U121" s="126">
        <f t="shared" si="230"/>
        <v>0.10149566131610983</v>
      </c>
      <c r="V121" s="126">
        <f t="shared" si="230"/>
        <v>0.10961247323050502</v>
      </c>
      <c r="W121" s="126">
        <f t="shared" ref="W121:Y121" si="231">IF(W20=0,0,W20/W$15)</f>
        <v>9.5250865438914603E-2</v>
      </c>
      <c r="X121" s="126">
        <f t="shared" si="231"/>
        <v>0.10277373903074781</v>
      </c>
      <c r="Y121" s="126">
        <f t="shared" si="231"/>
        <v>0.10296365135253076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0.15477723063090065</v>
      </c>
      <c r="C123" s="125">
        <f t="shared" si="232"/>
        <v>0.14079048846440753</v>
      </c>
      <c r="D123" s="125">
        <f t="shared" si="232"/>
        <v>0.12899747448237348</v>
      </c>
      <c r="E123" s="125">
        <f t="shared" si="232"/>
        <v>0.14919812945193892</v>
      </c>
      <c r="F123" s="125">
        <f t="shared" si="232"/>
        <v>0.14626448565460884</v>
      </c>
      <c r="G123" s="125">
        <f t="shared" si="232"/>
        <v>0.14066830780806652</v>
      </c>
      <c r="H123" s="125">
        <f t="shared" si="232"/>
        <v>0.13840697919399456</v>
      </c>
      <c r="I123" s="125">
        <f t="shared" si="232"/>
        <v>0.13292184195673867</v>
      </c>
      <c r="J123" s="125">
        <f t="shared" si="232"/>
        <v>0.14102825430834368</v>
      </c>
      <c r="K123" s="125">
        <f t="shared" ref="K123:V123" si="235">IF(K22=0,0,K22/K$21)</f>
        <v>0.12031533884567082</v>
      </c>
      <c r="L123" s="125">
        <f t="shared" si="235"/>
        <v>0.12183274992918693</v>
      </c>
      <c r="M123" s="125">
        <f t="shared" si="235"/>
        <v>0.10754086965008039</v>
      </c>
      <c r="N123" s="125">
        <f t="shared" si="235"/>
        <v>0.10272210535945793</v>
      </c>
      <c r="O123" s="125">
        <f t="shared" si="235"/>
        <v>9.7641661793835946E-2</v>
      </c>
      <c r="P123" s="125">
        <f t="shared" si="235"/>
        <v>9.7219126766667052E-2</v>
      </c>
      <c r="Q123" s="125">
        <f t="shared" si="235"/>
        <v>0.10310372305525463</v>
      </c>
      <c r="R123" s="125">
        <f t="shared" si="235"/>
        <v>9.9063103445675371E-2</v>
      </c>
      <c r="S123" s="125">
        <f t="shared" si="235"/>
        <v>8.2281543373940627E-2</v>
      </c>
      <c r="T123" s="125">
        <f t="shared" si="235"/>
        <v>6.6380214116512515E-2</v>
      </c>
      <c r="U123" s="125">
        <f t="shared" si="235"/>
        <v>8.2362159351087594E-2</v>
      </c>
      <c r="V123" s="125">
        <f t="shared" si="235"/>
        <v>7.9809184389704274E-2</v>
      </c>
      <c r="W123" s="125">
        <f t="shared" ref="W123:Y123" si="236">IF(W22=0,0,W22/W$21)</f>
        <v>0.13453985757125736</v>
      </c>
      <c r="X123" s="125">
        <f t="shared" si="236"/>
        <v>8.3519778392110236E-2</v>
      </c>
      <c r="Y123" s="125">
        <f t="shared" si="236"/>
        <v>8.6044081947312945E-2</v>
      </c>
      <c r="DA123" s="171"/>
    </row>
    <row r="124" spans="1:105" ht="11.45" customHeight="1" x14ac:dyDescent="0.25">
      <c r="A124" s="85" t="s">
        <v>93</v>
      </c>
      <c r="B124" s="127">
        <f t="shared" si="232"/>
        <v>0.84522276936909946</v>
      </c>
      <c r="C124" s="127">
        <f t="shared" si="232"/>
        <v>0.85920951153559255</v>
      </c>
      <c r="D124" s="127">
        <f t="shared" si="232"/>
        <v>0.87100252551762658</v>
      </c>
      <c r="E124" s="127">
        <f t="shared" si="232"/>
        <v>0.850801870548061</v>
      </c>
      <c r="F124" s="127">
        <f t="shared" si="232"/>
        <v>0.85373551434539119</v>
      </c>
      <c r="G124" s="127">
        <f t="shared" si="232"/>
        <v>0.85933169219193339</v>
      </c>
      <c r="H124" s="127">
        <f t="shared" si="232"/>
        <v>0.86159302080600553</v>
      </c>
      <c r="I124" s="127">
        <f t="shared" si="232"/>
        <v>0.86707815804326127</v>
      </c>
      <c r="J124" s="127">
        <f t="shared" si="232"/>
        <v>0.85897174569165635</v>
      </c>
      <c r="K124" s="127">
        <f t="shared" ref="K124:V124" si="237">IF(K23=0,0,K23/K$21)</f>
        <v>0.87968466115432919</v>
      </c>
      <c r="L124" s="127">
        <f t="shared" si="237"/>
        <v>0.87816725007081298</v>
      </c>
      <c r="M124" s="127">
        <f t="shared" si="237"/>
        <v>0.89245913034991964</v>
      </c>
      <c r="N124" s="127">
        <f t="shared" si="237"/>
        <v>0.89727789464054197</v>
      </c>
      <c r="O124" s="127">
        <f t="shared" si="237"/>
        <v>0.90235833820616407</v>
      </c>
      <c r="P124" s="127">
        <f t="shared" si="237"/>
        <v>0.902780873233333</v>
      </c>
      <c r="Q124" s="127">
        <f t="shared" si="237"/>
        <v>0.89689627694474539</v>
      </c>
      <c r="R124" s="127">
        <f t="shared" si="237"/>
        <v>0.90093689655432463</v>
      </c>
      <c r="S124" s="127">
        <f t="shared" si="237"/>
        <v>0.91771845662605933</v>
      </c>
      <c r="T124" s="127">
        <f t="shared" si="237"/>
        <v>0.93361978588348749</v>
      </c>
      <c r="U124" s="127">
        <f t="shared" si="237"/>
        <v>0.91763784064891241</v>
      </c>
      <c r="V124" s="127">
        <f t="shared" si="237"/>
        <v>0.9201908156102957</v>
      </c>
      <c r="W124" s="127">
        <f t="shared" ref="W124:Y124" si="238">IF(W23=0,0,W23/W$21)</f>
        <v>0.86546014242874258</v>
      </c>
      <c r="X124" s="127">
        <f t="shared" si="238"/>
        <v>0.91648022160788978</v>
      </c>
      <c r="Y124" s="127">
        <f t="shared" si="238"/>
        <v>0.91395591805268706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1955.5555460017199</v>
      </c>
      <c r="C4" s="146">
        <f t="shared" ref="C4:V4" si="0">SUM(C5,C8)</f>
        <v>1994.9651762682715</v>
      </c>
      <c r="D4" s="146">
        <f t="shared" si="0"/>
        <v>1941.0527944969901</v>
      </c>
      <c r="E4" s="146">
        <f t="shared" si="0"/>
        <v>1636.7161650902831</v>
      </c>
      <c r="F4" s="146">
        <f t="shared" si="0"/>
        <v>1597.2650042992259</v>
      </c>
      <c r="G4" s="146">
        <f t="shared" si="0"/>
        <v>1575.8815133276012</v>
      </c>
      <c r="H4" s="146">
        <f t="shared" si="0"/>
        <v>1510.9553740326742</v>
      </c>
      <c r="I4" s="146">
        <f t="shared" si="0"/>
        <v>1467.1039552880484</v>
      </c>
      <c r="J4" s="146">
        <f t="shared" si="0"/>
        <v>1362.7135855546001</v>
      </c>
      <c r="K4" s="146">
        <f t="shared" si="0"/>
        <v>1361.0893379191743</v>
      </c>
      <c r="L4" s="146">
        <f t="shared" si="0"/>
        <v>1408.4656921754081</v>
      </c>
      <c r="M4" s="146">
        <f t="shared" si="0"/>
        <v>1404.3812553740329</v>
      </c>
      <c r="N4" s="146">
        <f t="shared" si="0"/>
        <v>1392.4289767841788</v>
      </c>
      <c r="O4" s="146">
        <f t="shared" si="0"/>
        <v>1370.0901117798794</v>
      </c>
      <c r="P4" s="146">
        <f t="shared" si="0"/>
        <v>1336.438091143594</v>
      </c>
      <c r="Q4" s="146">
        <f t="shared" si="0"/>
        <v>1287.8436801375751</v>
      </c>
      <c r="R4" s="146">
        <f t="shared" si="0"/>
        <v>1349.9306964746343</v>
      </c>
      <c r="S4" s="146">
        <f t="shared" si="0"/>
        <v>1301.6361134995705</v>
      </c>
      <c r="T4" s="146">
        <f t="shared" si="0"/>
        <v>1268.0141014617373</v>
      </c>
      <c r="U4" s="146">
        <f t="shared" si="0"/>
        <v>1241.5145313843507</v>
      </c>
      <c r="V4" s="146">
        <f t="shared" si="0"/>
        <v>1187.5309544282029</v>
      </c>
      <c r="W4" s="146">
        <f t="shared" ref="W4:Y4" si="1">SUM(W5,W8)</f>
        <v>1399.6550300945828</v>
      </c>
      <c r="X4" s="146">
        <f t="shared" si="1"/>
        <v>1268.2092863284611</v>
      </c>
      <c r="Y4" s="146">
        <f t="shared" si="1"/>
        <v>1267.9710232158211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587.54178847807384</v>
      </c>
      <c r="C5" s="101">
        <f t="shared" ref="C5:V5" si="2">SUM(C6:C7)</f>
        <v>584.90498710232157</v>
      </c>
      <c r="D5" s="101">
        <f t="shared" si="2"/>
        <v>548.96337059329312</v>
      </c>
      <c r="E5" s="101">
        <f t="shared" si="2"/>
        <v>515.13404987102319</v>
      </c>
      <c r="F5" s="101">
        <f t="shared" si="2"/>
        <v>489.87033533963881</v>
      </c>
      <c r="G5" s="101">
        <f t="shared" si="2"/>
        <v>447.93654342218406</v>
      </c>
      <c r="H5" s="101">
        <f t="shared" si="2"/>
        <v>421.96139294926917</v>
      </c>
      <c r="I5" s="101">
        <f t="shared" si="2"/>
        <v>416.02914875322443</v>
      </c>
      <c r="J5" s="101">
        <f t="shared" si="2"/>
        <v>409.48916595012901</v>
      </c>
      <c r="K5" s="101">
        <f t="shared" si="2"/>
        <v>365.3885640584694</v>
      </c>
      <c r="L5" s="101">
        <f t="shared" si="2"/>
        <v>371.40636285468611</v>
      </c>
      <c r="M5" s="101">
        <f t="shared" si="2"/>
        <v>365.34428202923476</v>
      </c>
      <c r="N5" s="101">
        <f t="shared" si="2"/>
        <v>360.95864144453986</v>
      </c>
      <c r="O5" s="101">
        <f t="shared" si="2"/>
        <v>348.16405846947549</v>
      </c>
      <c r="P5" s="101">
        <f t="shared" si="2"/>
        <v>350.28159931212377</v>
      </c>
      <c r="Q5" s="101">
        <f t="shared" si="2"/>
        <v>336.08099742046426</v>
      </c>
      <c r="R5" s="101">
        <f t="shared" si="2"/>
        <v>349.93069647463449</v>
      </c>
      <c r="S5" s="101">
        <f t="shared" si="2"/>
        <v>287.01874462596737</v>
      </c>
      <c r="T5" s="101">
        <f t="shared" si="2"/>
        <v>248.23766122098021</v>
      </c>
      <c r="U5" s="101">
        <f t="shared" si="2"/>
        <v>272.55494411006015</v>
      </c>
      <c r="V5" s="101">
        <f t="shared" si="2"/>
        <v>252.96517626827168</v>
      </c>
      <c r="W5" s="101">
        <f t="shared" ref="W5:Y5" si="3">SUM(W6:W7)</f>
        <v>412.38073946689593</v>
      </c>
      <c r="X5" s="101">
        <f t="shared" si="3"/>
        <v>267.86534823731722</v>
      </c>
      <c r="Y5" s="101">
        <f t="shared" si="3"/>
        <v>279.06302665520207</v>
      </c>
      <c r="DA5" s="175"/>
    </row>
    <row r="6" spans="1:105" ht="11.45" customHeight="1" x14ac:dyDescent="0.25">
      <c r="A6" s="164" t="s">
        <v>175</v>
      </c>
      <c r="B6" s="165">
        <v>587.54178847807384</v>
      </c>
      <c r="C6" s="165">
        <v>584.90498710232157</v>
      </c>
      <c r="D6" s="165">
        <v>548.96337059329312</v>
      </c>
      <c r="E6" s="165">
        <v>515.13404987102319</v>
      </c>
      <c r="F6" s="165">
        <v>485.43447979363708</v>
      </c>
      <c r="G6" s="165">
        <v>437.29054170249361</v>
      </c>
      <c r="H6" s="165">
        <v>408.65382631126403</v>
      </c>
      <c r="I6" s="165">
        <v>396.51143594153052</v>
      </c>
      <c r="J6" s="165">
        <v>388.19707652622532</v>
      </c>
      <c r="K6" s="165">
        <v>343.20937231298359</v>
      </c>
      <c r="L6" s="165">
        <v>348.33998280309538</v>
      </c>
      <c r="M6" s="165">
        <v>343.26534823731731</v>
      </c>
      <c r="N6" s="165">
        <v>338.11840068787609</v>
      </c>
      <c r="O6" s="165">
        <v>328.89699054170251</v>
      </c>
      <c r="P6" s="165">
        <v>330.31195184866721</v>
      </c>
      <c r="Q6" s="165">
        <v>319.04961306964742</v>
      </c>
      <c r="R6" s="165">
        <v>332.90567497850378</v>
      </c>
      <c r="S6" s="165">
        <v>272.84883920894242</v>
      </c>
      <c r="T6" s="165">
        <v>235.8450558899398</v>
      </c>
      <c r="U6" s="165">
        <v>258.37403267411861</v>
      </c>
      <c r="V6" s="165">
        <v>233.77790197764401</v>
      </c>
      <c r="W6" s="165">
        <v>387.90412725709371</v>
      </c>
      <c r="X6" s="165">
        <v>251.62416165090281</v>
      </c>
      <c r="Y6" s="165">
        <v>239.3780739466896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4.4358555460017186</v>
      </c>
      <c r="G7" s="167">
        <v>10.64600171969045</v>
      </c>
      <c r="H7" s="167">
        <v>13.307566638005159</v>
      </c>
      <c r="I7" s="167">
        <v>19.51771281169389</v>
      </c>
      <c r="J7" s="167">
        <v>21.2920894239037</v>
      </c>
      <c r="K7" s="167">
        <v>22.179191745485809</v>
      </c>
      <c r="L7" s="167">
        <v>23.066380051590709</v>
      </c>
      <c r="M7" s="167">
        <v>22.07893379191745</v>
      </c>
      <c r="N7" s="167">
        <v>22.8402407566638</v>
      </c>
      <c r="O7" s="167">
        <v>19.267067927772999</v>
      </c>
      <c r="P7" s="167">
        <v>19.969647463456582</v>
      </c>
      <c r="Q7" s="167">
        <v>17.03138435081685</v>
      </c>
      <c r="R7" s="167">
        <v>17.025021496130691</v>
      </c>
      <c r="S7" s="167">
        <v>14.16990541702493</v>
      </c>
      <c r="T7" s="167">
        <v>12.392605331040411</v>
      </c>
      <c r="U7" s="167">
        <v>14.18091143594153</v>
      </c>
      <c r="V7" s="167">
        <v>19.187274290627681</v>
      </c>
      <c r="W7" s="167">
        <v>24.47661220980223</v>
      </c>
      <c r="X7" s="167">
        <v>16.24118658641444</v>
      </c>
      <c r="Y7" s="167">
        <v>39.684952708512462</v>
      </c>
      <c r="DA7" s="177" t="s">
        <v>1105</v>
      </c>
    </row>
    <row r="8" spans="1:105" ht="11.45" customHeight="1" x14ac:dyDescent="0.25">
      <c r="A8" s="85" t="s">
        <v>91</v>
      </c>
      <c r="B8" s="88">
        <v>1368.0137575236461</v>
      </c>
      <c r="C8" s="88">
        <v>1410.0601891659501</v>
      </c>
      <c r="D8" s="88">
        <v>1392.089423903697</v>
      </c>
      <c r="E8" s="88">
        <v>1121.58211521926</v>
      </c>
      <c r="F8" s="88">
        <v>1107.3946689595871</v>
      </c>
      <c r="G8" s="88">
        <v>1127.9449699054171</v>
      </c>
      <c r="H8" s="88">
        <v>1088.9939810834051</v>
      </c>
      <c r="I8" s="88">
        <v>1051.0748065348239</v>
      </c>
      <c r="J8" s="88">
        <v>953.22441960447111</v>
      </c>
      <c r="K8" s="88">
        <v>995.700773860705</v>
      </c>
      <c r="L8" s="88">
        <v>1037.0593293207221</v>
      </c>
      <c r="M8" s="88">
        <v>1039.0369733447981</v>
      </c>
      <c r="N8" s="88">
        <v>1031.470335339639</v>
      </c>
      <c r="O8" s="88">
        <v>1021.926053310404</v>
      </c>
      <c r="P8" s="88">
        <v>986.15649183147025</v>
      </c>
      <c r="Q8" s="88">
        <v>951.76268271711081</v>
      </c>
      <c r="R8" s="88">
        <v>999.99999999999989</v>
      </c>
      <c r="S8" s="88">
        <v>1014.617368873603</v>
      </c>
      <c r="T8" s="88">
        <v>1019.776440240757</v>
      </c>
      <c r="U8" s="88">
        <v>968.95958727429058</v>
      </c>
      <c r="V8" s="88">
        <v>934.56577815993114</v>
      </c>
      <c r="W8" s="88">
        <v>987.27429062768692</v>
      </c>
      <c r="X8" s="88">
        <v>1000.343938091144</v>
      </c>
      <c r="Y8" s="88">
        <v>988.90799656061904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1955.5555460017201</v>
      </c>
      <c r="C10" s="62">
        <f t="shared" ref="C10:V10" si="5">SUM(C11,C17)</f>
        <v>1994.9651762682715</v>
      </c>
      <c r="D10" s="62">
        <f t="shared" si="5"/>
        <v>1941.0527944969899</v>
      </c>
      <c r="E10" s="62">
        <f t="shared" si="5"/>
        <v>1636.7161650902833</v>
      </c>
      <c r="F10" s="62">
        <f t="shared" si="5"/>
        <v>1597.2650042992259</v>
      </c>
      <c r="G10" s="62">
        <f t="shared" si="5"/>
        <v>1575.8815133276009</v>
      </c>
      <c r="H10" s="62">
        <f t="shared" si="5"/>
        <v>1510.9553740326742</v>
      </c>
      <c r="I10" s="62">
        <f t="shared" si="5"/>
        <v>1467.1039552880484</v>
      </c>
      <c r="J10" s="62">
        <f t="shared" si="5"/>
        <v>1362.7135855546003</v>
      </c>
      <c r="K10" s="62">
        <f t="shared" si="5"/>
        <v>1361.0893379191743</v>
      </c>
      <c r="L10" s="62">
        <f t="shared" si="5"/>
        <v>1408.4656921754085</v>
      </c>
      <c r="M10" s="62">
        <f t="shared" si="5"/>
        <v>1404.3812553740327</v>
      </c>
      <c r="N10" s="62">
        <f t="shared" si="5"/>
        <v>1392.428976784179</v>
      </c>
      <c r="O10" s="62">
        <f t="shared" si="5"/>
        <v>1370.0901117798794</v>
      </c>
      <c r="P10" s="62">
        <f t="shared" si="5"/>
        <v>1336.438091143594</v>
      </c>
      <c r="Q10" s="62">
        <f t="shared" si="5"/>
        <v>1287.8436801375751</v>
      </c>
      <c r="R10" s="62">
        <f t="shared" si="5"/>
        <v>1349.9306964746343</v>
      </c>
      <c r="S10" s="62">
        <f t="shared" si="5"/>
        <v>1301.6361134995705</v>
      </c>
      <c r="T10" s="62">
        <f t="shared" si="5"/>
        <v>1268.014101461737</v>
      </c>
      <c r="U10" s="62">
        <f t="shared" si="5"/>
        <v>1241.5145313843509</v>
      </c>
      <c r="V10" s="62">
        <f t="shared" si="5"/>
        <v>1187.5309544282027</v>
      </c>
      <c r="W10" s="62">
        <f t="shared" ref="W10:Y10" si="6">SUM(W11,W17)</f>
        <v>1399.6550300945828</v>
      </c>
      <c r="X10" s="62">
        <f t="shared" si="6"/>
        <v>1268.2092863284611</v>
      </c>
      <c r="Y10" s="62">
        <f t="shared" si="6"/>
        <v>1267.9710232158211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1464.2211408169683</v>
      </c>
      <c r="C11" s="29">
        <f t="shared" ref="C11:V11" si="8">SUM(C12,C13,C16)</f>
        <v>1432.7909144773732</v>
      </c>
      <c r="D11" s="29">
        <f t="shared" si="8"/>
        <v>1375.7326652213783</v>
      </c>
      <c r="E11" s="29">
        <f t="shared" si="8"/>
        <v>1207.5466052995248</v>
      </c>
      <c r="F11" s="29">
        <f t="shared" si="8"/>
        <v>1180.168070318359</v>
      </c>
      <c r="G11" s="29">
        <f t="shared" si="8"/>
        <v>1187.1797742109686</v>
      </c>
      <c r="H11" s="29">
        <f t="shared" si="8"/>
        <v>1093.4372798155728</v>
      </c>
      <c r="I11" s="29">
        <f t="shared" si="8"/>
        <v>1046.7133915885022</v>
      </c>
      <c r="J11" s="29">
        <f t="shared" si="8"/>
        <v>1015.3167468667525</v>
      </c>
      <c r="K11" s="29">
        <f t="shared" si="8"/>
        <v>1010.4274589445673</v>
      </c>
      <c r="L11" s="29">
        <f t="shared" si="8"/>
        <v>1040.3356952248523</v>
      </c>
      <c r="M11" s="29">
        <f t="shared" si="8"/>
        <v>1000.9139005946737</v>
      </c>
      <c r="N11" s="29">
        <f t="shared" si="8"/>
        <v>991.00441366569896</v>
      </c>
      <c r="O11" s="29">
        <f t="shared" si="8"/>
        <v>970.42611184249654</v>
      </c>
      <c r="P11" s="29">
        <f t="shared" si="8"/>
        <v>944.52971776494587</v>
      </c>
      <c r="Q11" s="29">
        <f t="shared" si="8"/>
        <v>919.38957298915057</v>
      </c>
      <c r="R11" s="29">
        <f t="shared" si="8"/>
        <v>947.37494141812726</v>
      </c>
      <c r="S11" s="29">
        <f t="shared" si="8"/>
        <v>902.88353907299427</v>
      </c>
      <c r="T11" s="29">
        <f t="shared" si="8"/>
        <v>862.17761188206077</v>
      </c>
      <c r="U11" s="29">
        <f t="shared" si="8"/>
        <v>868.23362518411113</v>
      </c>
      <c r="V11" s="29">
        <f t="shared" si="8"/>
        <v>801.64761680739844</v>
      </c>
      <c r="W11" s="29">
        <f t="shared" ref="W11:Y11" si="9">SUM(W12,W13,W16)</f>
        <v>963.87767488962425</v>
      </c>
      <c r="X11" s="29">
        <f t="shared" si="9"/>
        <v>894.3102744647058</v>
      </c>
      <c r="Y11" s="29">
        <f t="shared" si="9"/>
        <v>922.92269811724395</v>
      </c>
      <c r="DA11" s="173" t="s">
        <v>395</v>
      </c>
    </row>
    <row r="12" spans="1:105" ht="11.45" customHeight="1" x14ac:dyDescent="0.25">
      <c r="A12" s="107" t="s">
        <v>23</v>
      </c>
      <c r="B12" s="115">
        <v>91.031113817931214</v>
      </c>
      <c r="C12" s="115">
        <v>88.668780000027496</v>
      </c>
      <c r="D12" s="115">
        <v>89.72370099838443</v>
      </c>
      <c r="E12" s="115">
        <v>90.757522748415965</v>
      </c>
      <c r="F12" s="115">
        <v>88.352684600428674</v>
      </c>
      <c r="G12" s="115">
        <v>83.702828097640008</v>
      </c>
      <c r="H12" s="115">
        <v>78.568253331027321</v>
      </c>
      <c r="I12" s="115">
        <v>76.237865810031636</v>
      </c>
      <c r="J12" s="115">
        <v>74.939072044477498</v>
      </c>
      <c r="K12" s="115">
        <v>77.379865516659365</v>
      </c>
      <c r="L12" s="115">
        <v>76.302244748426062</v>
      </c>
      <c r="M12" s="115">
        <v>76.76316951369715</v>
      </c>
      <c r="N12" s="115">
        <v>71.809719382372535</v>
      </c>
      <c r="O12" s="115">
        <v>70.648470746351379</v>
      </c>
      <c r="P12" s="115">
        <v>68.382715301000687</v>
      </c>
      <c r="Q12" s="115">
        <v>65.043243353950359</v>
      </c>
      <c r="R12" s="115">
        <v>63.373867286658005</v>
      </c>
      <c r="S12" s="115">
        <v>61.615006858657523</v>
      </c>
      <c r="T12" s="115">
        <v>61.039335345271368</v>
      </c>
      <c r="U12" s="115">
        <v>59.619469655515061</v>
      </c>
      <c r="V12" s="115">
        <v>47.751380381743765</v>
      </c>
      <c r="W12" s="115">
        <v>48.80364339749007</v>
      </c>
      <c r="X12" s="115">
        <v>39.01599486254041</v>
      </c>
      <c r="Y12" s="115">
        <v>39.129316270359752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1247.632876743733</v>
      </c>
      <c r="C13" s="116">
        <f t="shared" ref="C13:V13" si="11">SUM(C14:C15)</f>
        <v>1202.4741660782977</v>
      </c>
      <c r="D13" s="116">
        <f t="shared" si="11"/>
        <v>1149.3044093088602</v>
      </c>
      <c r="E13" s="116">
        <f t="shared" si="11"/>
        <v>965.35121126504646</v>
      </c>
      <c r="F13" s="116">
        <f t="shared" si="11"/>
        <v>927.23640778825802</v>
      </c>
      <c r="G13" s="116">
        <f t="shared" si="11"/>
        <v>940.77483061959151</v>
      </c>
      <c r="H13" s="116">
        <f t="shared" si="11"/>
        <v>857.22492242334374</v>
      </c>
      <c r="I13" s="116">
        <f t="shared" si="11"/>
        <v>818.8632774235241</v>
      </c>
      <c r="J13" s="116">
        <f t="shared" si="11"/>
        <v>782.73681623623952</v>
      </c>
      <c r="K13" s="116">
        <f t="shared" si="11"/>
        <v>782.40868940246355</v>
      </c>
      <c r="L13" s="116">
        <f t="shared" si="11"/>
        <v>807.65870134988631</v>
      </c>
      <c r="M13" s="116">
        <f t="shared" si="11"/>
        <v>773.6910480623178</v>
      </c>
      <c r="N13" s="116">
        <f t="shared" si="11"/>
        <v>772.89834704119198</v>
      </c>
      <c r="O13" s="116">
        <f t="shared" si="11"/>
        <v>756.57149404147526</v>
      </c>
      <c r="P13" s="116">
        <f t="shared" si="11"/>
        <v>742.38379996757089</v>
      </c>
      <c r="Q13" s="116">
        <f t="shared" si="11"/>
        <v>724.01845373656863</v>
      </c>
      <c r="R13" s="116">
        <f t="shared" si="11"/>
        <v>751.73884523678316</v>
      </c>
      <c r="S13" s="116">
        <f t="shared" si="11"/>
        <v>710.3362820562478</v>
      </c>
      <c r="T13" s="116">
        <f t="shared" si="11"/>
        <v>664.66475223335794</v>
      </c>
      <c r="U13" s="116">
        <f t="shared" si="11"/>
        <v>663.97083845864768</v>
      </c>
      <c r="V13" s="116">
        <f t="shared" si="11"/>
        <v>612.62293142226213</v>
      </c>
      <c r="W13" s="116">
        <f t="shared" ref="W13:Y13" si="12">SUM(W14:W15)</f>
        <v>771.57291964041792</v>
      </c>
      <c r="X13" s="116">
        <f t="shared" si="12"/>
        <v>711.96147148704461</v>
      </c>
      <c r="Y13" s="116">
        <f t="shared" si="12"/>
        <v>736.15440205845448</v>
      </c>
      <c r="DA13" s="176" t="s">
        <v>397</v>
      </c>
    </row>
    <row r="14" spans="1:105" ht="11.45" customHeight="1" x14ac:dyDescent="0.25">
      <c r="A14" s="111" t="s">
        <v>95</v>
      </c>
      <c r="B14" s="87">
        <v>445.51385700865984</v>
      </c>
      <c r="C14" s="87">
        <v>447.37088637638959</v>
      </c>
      <c r="D14" s="87">
        <v>426.01682794658166</v>
      </c>
      <c r="E14" s="87">
        <v>396.3154167218218</v>
      </c>
      <c r="F14" s="87">
        <v>373.37405601293034</v>
      </c>
      <c r="G14" s="87">
        <v>336.50990526244738</v>
      </c>
      <c r="H14" s="87">
        <v>301.16370550012584</v>
      </c>
      <c r="I14" s="87">
        <v>293.68775273219592</v>
      </c>
      <c r="J14" s="87">
        <v>301.65588592134594</v>
      </c>
      <c r="K14" s="87">
        <v>270.98567635541036</v>
      </c>
      <c r="L14" s="87">
        <v>272.25591665887811</v>
      </c>
      <c r="M14" s="87">
        <v>267.85538434619468</v>
      </c>
      <c r="N14" s="87">
        <v>268.93497329077206</v>
      </c>
      <c r="O14" s="87">
        <v>260.96579713765288</v>
      </c>
      <c r="P14" s="87">
        <v>265.7940880624227</v>
      </c>
      <c r="Q14" s="87">
        <v>248.61969706139826</v>
      </c>
      <c r="R14" s="87">
        <v>258.68572800071252</v>
      </c>
      <c r="S14" s="87">
        <v>209.97150740516341</v>
      </c>
      <c r="T14" s="87">
        <v>183.92305003020405</v>
      </c>
      <c r="U14" s="87">
        <v>201.80561336051036</v>
      </c>
      <c r="V14" s="87">
        <v>183.12487012707891</v>
      </c>
      <c r="W14" s="87">
        <v>290.22535828703707</v>
      </c>
      <c r="X14" s="87">
        <v>199.07067465479699</v>
      </c>
      <c r="Y14" s="87">
        <v>214.37112257879548</v>
      </c>
      <c r="DA14" s="171" t="s">
        <v>1108</v>
      </c>
    </row>
    <row r="15" spans="1:105" ht="11.45" customHeight="1" x14ac:dyDescent="0.25">
      <c r="A15" s="111" t="s">
        <v>93</v>
      </c>
      <c r="B15" s="87">
        <v>802.11901973507315</v>
      </c>
      <c r="C15" s="87">
        <v>755.10327970190815</v>
      </c>
      <c r="D15" s="87">
        <v>723.2875813622785</v>
      </c>
      <c r="E15" s="87">
        <v>569.0357945432246</v>
      </c>
      <c r="F15" s="87">
        <v>553.86235177532762</v>
      </c>
      <c r="G15" s="87">
        <v>604.26492535714408</v>
      </c>
      <c r="H15" s="87">
        <v>556.0612169232179</v>
      </c>
      <c r="I15" s="87">
        <v>525.17552469132818</v>
      </c>
      <c r="J15" s="87">
        <v>481.08093031489352</v>
      </c>
      <c r="K15" s="87">
        <v>511.42301304705319</v>
      </c>
      <c r="L15" s="87">
        <v>535.40278469100815</v>
      </c>
      <c r="M15" s="87">
        <v>505.83566371612307</v>
      </c>
      <c r="N15" s="87">
        <v>503.96337375041986</v>
      </c>
      <c r="O15" s="87">
        <v>495.60569690382238</v>
      </c>
      <c r="P15" s="87">
        <v>476.58971190514819</v>
      </c>
      <c r="Q15" s="87">
        <v>475.39875667517038</v>
      </c>
      <c r="R15" s="87">
        <v>493.05311723607059</v>
      </c>
      <c r="S15" s="87">
        <v>500.36477465108436</v>
      </c>
      <c r="T15" s="87">
        <v>480.74170220315392</v>
      </c>
      <c r="U15" s="87">
        <v>462.16522509813728</v>
      </c>
      <c r="V15" s="87">
        <v>429.49806129518316</v>
      </c>
      <c r="W15" s="87">
        <v>481.34756135338091</v>
      </c>
      <c r="X15" s="87">
        <v>512.89079683224759</v>
      </c>
      <c r="Y15" s="87">
        <v>521.78327947965897</v>
      </c>
      <c r="DA15" s="171" t="s">
        <v>1109</v>
      </c>
    </row>
    <row r="16" spans="1:105" ht="11.45" customHeight="1" x14ac:dyDescent="0.25">
      <c r="A16" s="112" t="s">
        <v>25</v>
      </c>
      <c r="B16" s="117">
        <v>125.55715025530382</v>
      </c>
      <c r="C16" s="117">
        <v>141.64796839904807</v>
      </c>
      <c r="D16" s="117">
        <v>136.70455491413381</v>
      </c>
      <c r="E16" s="117">
        <v>151.43787128606235</v>
      </c>
      <c r="F16" s="117">
        <v>164.57897792967236</v>
      </c>
      <c r="G16" s="117">
        <v>162.7021154937373</v>
      </c>
      <c r="H16" s="117">
        <v>157.64410406120166</v>
      </c>
      <c r="I16" s="117">
        <v>151.61224835494644</v>
      </c>
      <c r="J16" s="117">
        <v>157.64085858603545</v>
      </c>
      <c r="K16" s="117">
        <v>150.63890402544442</v>
      </c>
      <c r="L16" s="117">
        <v>156.37474912653988</v>
      </c>
      <c r="M16" s="117">
        <v>150.45968301865881</v>
      </c>
      <c r="N16" s="117">
        <v>146.29634724213443</v>
      </c>
      <c r="O16" s="117">
        <v>143.20614705466991</v>
      </c>
      <c r="P16" s="117">
        <v>133.76320249637436</v>
      </c>
      <c r="Q16" s="117">
        <v>130.32787589863156</v>
      </c>
      <c r="R16" s="117">
        <v>132.2622288946861</v>
      </c>
      <c r="S16" s="117">
        <v>130.932250158089</v>
      </c>
      <c r="T16" s="117">
        <v>136.47352430343139</v>
      </c>
      <c r="U16" s="117">
        <v>144.6433170699483</v>
      </c>
      <c r="V16" s="117">
        <v>141.27330500339264</v>
      </c>
      <c r="W16" s="117">
        <v>143.50111185171622</v>
      </c>
      <c r="X16" s="117">
        <v>143.33280811512077</v>
      </c>
      <c r="Y16" s="117">
        <v>147.63897978842974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491.33440518475186</v>
      </c>
      <c r="C17" s="29">
        <f t="shared" si="13"/>
        <v>562.17426179089819</v>
      </c>
      <c r="D17" s="29">
        <f t="shared" si="13"/>
        <v>565.32012927561163</v>
      </c>
      <c r="E17" s="29">
        <f t="shared" si="13"/>
        <v>429.16955979075857</v>
      </c>
      <c r="F17" s="29">
        <f t="shared" si="13"/>
        <v>417.09693398086677</v>
      </c>
      <c r="G17" s="29">
        <f t="shared" si="13"/>
        <v>388.70173911663238</v>
      </c>
      <c r="H17" s="29">
        <f t="shared" si="13"/>
        <v>417.51809421710152</v>
      </c>
      <c r="I17" s="29">
        <f t="shared" si="13"/>
        <v>420.39056369954608</v>
      </c>
      <c r="J17" s="29">
        <f t="shared" si="13"/>
        <v>347.39683868784766</v>
      </c>
      <c r="K17" s="29">
        <f t="shared" si="13"/>
        <v>350.66187897460696</v>
      </c>
      <c r="L17" s="29">
        <f t="shared" si="13"/>
        <v>368.12999695055612</v>
      </c>
      <c r="M17" s="29">
        <f t="shared" si="13"/>
        <v>403.46735477935903</v>
      </c>
      <c r="N17" s="29">
        <f t="shared" si="13"/>
        <v>401.42456311847997</v>
      </c>
      <c r="O17" s="29">
        <f t="shared" si="13"/>
        <v>399.66399993738293</v>
      </c>
      <c r="P17" s="29">
        <f t="shared" si="13"/>
        <v>391.90837337864809</v>
      </c>
      <c r="Q17" s="29">
        <f t="shared" si="13"/>
        <v>368.45410714842444</v>
      </c>
      <c r="R17" s="29">
        <f t="shared" si="13"/>
        <v>402.55575505650711</v>
      </c>
      <c r="S17" s="29">
        <f t="shared" si="13"/>
        <v>398.75257442657607</v>
      </c>
      <c r="T17" s="29">
        <f t="shared" si="13"/>
        <v>405.83648957967637</v>
      </c>
      <c r="U17" s="29">
        <f t="shared" si="13"/>
        <v>373.28090620023977</v>
      </c>
      <c r="V17" s="29">
        <f t="shared" si="13"/>
        <v>385.88333762080424</v>
      </c>
      <c r="W17" s="29">
        <f t="shared" si="13"/>
        <v>435.77735520495855</v>
      </c>
      <c r="X17" s="29">
        <f t="shared" ref="X17:Y17" si="14">SUM(X18:X19)</f>
        <v>373.89901186375539</v>
      </c>
      <c r="Y17" s="29">
        <f t="shared" si="14"/>
        <v>345.0483250985771</v>
      </c>
      <c r="DA17" s="173" t="s">
        <v>402</v>
      </c>
    </row>
    <row r="18" spans="1:105" ht="11.45" customHeight="1" x14ac:dyDescent="0.25">
      <c r="A18" s="83" t="s">
        <v>95</v>
      </c>
      <c r="B18" s="87">
        <v>142.02793146941403</v>
      </c>
      <c r="C18" s="87">
        <v>137.53410072593201</v>
      </c>
      <c r="D18" s="87">
        <v>122.94654264671145</v>
      </c>
      <c r="E18" s="87">
        <v>118.81863314920135</v>
      </c>
      <c r="F18" s="87">
        <v>116.49627932670845</v>
      </c>
      <c r="G18" s="87">
        <v>111.42663815973668</v>
      </c>
      <c r="H18" s="87">
        <v>120.7976874491433</v>
      </c>
      <c r="I18" s="87">
        <v>122.3413960210285</v>
      </c>
      <c r="J18" s="87">
        <v>107.83328002878305</v>
      </c>
      <c r="K18" s="87">
        <v>94.402887703059079</v>
      </c>
      <c r="L18" s="87">
        <v>99.150446195808016</v>
      </c>
      <c r="M18" s="87">
        <v>97.488897683040037</v>
      </c>
      <c r="N18" s="87">
        <v>92.023668153767858</v>
      </c>
      <c r="O18" s="87">
        <v>87.198261331822607</v>
      </c>
      <c r="P18" s="87">
        <v>84.487511249701058</v>
      </c>
      <c r="Q18" s="87">
        <v>87.461300359066001</v>
      </c>
      <c r="R18" s="87">
        <v>91.244968473922</v>
      </c>
      <c r="S18" s="87">
        <v>77.04723722080395</v>
      </c>
      <c r="T18" s="87">
        <v>64.314611190776162</v>
      </c>
      <c r="U18" s="87">
        <v>70.749330749549785</v>
      </c>
      <c r="V18" s="87">
        <v>69.840306141192769</v>
      </c>
      <c r="W18" s="87">
        <v>122.15538117985888</v>
      </c>
      <c r="X18" s="87">
        <v>68.794673582520218</v>
      </c>
      <c r="Y18" s="87">
        <v>64.691904076406558</v>
      </c>
      <c r="DA18" s="171" t="s">
        <v>1110</v>
      </c>
    </row>
    <row r="19" spans="1:105" ht="11.45" customHeight="1" x14ac:dyDescent="0.25">
      <c r="A19" s="85" t="s">
        <v>93</v>
      </c>
      <c r="B19" s="88">
        <v>349.30647371533786</v>
      </c>
      <c r="C19" s="88">
        <v>424.64016106496621</v>
      </c>
      <c r="D19" s="88">
        <v>442.37358662890023</v>
      </c>
      <c r="E19" s="88">
        <v>310.35092664155724</v>
      </c>
      <c r="F19" s="88">
        <v>300.60065465415835</v>
      </c>
      <c r="G19" s="88">
        <v>277.2751009568957</v>
      </c>
      <c r="H19" s="88">
        <v>296.7204067679582</v>
      </c>
      <c r="I19" s="88">
        <v>298.04916767851756</v>
      </c>
      <c r="J19" s="88">
        <v>239.56355865906463</v>
      </c>
      <c r="K19" s="88">
        <v>256.25899127154787</v>
      </c>
      <c r="L19" s="88">
        <v>268.97955075474812</v>
      </c>
      <c r="M19" s="88">
        <v>305.978457096319</v>
      </c>
      <c r="N19" s="88">
        <v>309.40089496471211</v>
      </c>
      <c r="O19" s="88">
        <v>312.46573860556032</v>
      </c>
      <c r="P19" s="88">
        <v>307.42086212894702</v>
      </c>
      <c r="Q19" s="88">
        <v>280.99280678935844</v>
      </c>
      <c r="R19" s="88">
        <v>311.31078658258514</v>
      </c>
      <c r="S19" s="88">
        <v>321.70533720577214</v>
      </c>
      <c r="T19" s="88">
        <v>341.52187838890023</v>
      </c>
      <c r="U19" s="88">
        <v>302.53157545069001</v>
      </c>
      <c r="V19" s="88">
        <v>316.0430314796115</v>
      </c>
      <c r="W19" s="88">
        <v>313.62197402509969</v>
      </c>
      <c r="X19" s="88">
        <v>305.10433828123519</v>
      </c>
      <c r="Y19" s="88">
        <v>280.35642102217054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199.99605141742151</v>
      </c>
      <c r="C23" s="62">
        <f>IF(C10=0,0,C10/TrRail_act!C14*100)</f>
        <v>205.2852766488401</v>
      </c>
      <c r="D23" s="62">
        <f>IF(D10=0,0,D10/TrRail_act!D14*100)</f>
        <v>194.321485388376</v>
      </c>
      <c r="E23" s="62">
        <f>IF(E10=0,0,E10/TrRail_act!E14*100)</f>
        <v>167.26855416144971</v>
      </c>
      <c r="F23" s="62">
        <f>IF(F10=0,0,F10/TrRail_act!F14*100)</f>
        <v>161.08352063891454</v>
      </c>
      <c r="G23" s="62">
        <f>IF(G10=0,0,G10/TrRail_act!G14*100)</f>
        <v>151.71326846183098</v>
      </c>
      <c r="H23" s="62">
        <f>IF(H10=0,0,H10/TrRail_act!H14*100)</f>
        <v>145.51278223352767</v>
      </c>
      <c r="I23" s="62">
        <f>IF(I10=0,0,I10/TrRail_act!I14*100)</f>
        <v>137.64900085189598</v>
      </c>
      <c r="J23" s="62">
        <f>IF(J10=0,0,J10/TrRail_act!J14*100)</f>
        <v>131.93163349018877</v>
      </c>
      <c r="K23" s="62">
        <f>IF(K10=0,0,K10/TrRail_act!K14*100)</f>
        <v>125.50244714048009</v>
      </c>
      <c r="L23" s="62">
        <f>IF(L10=0,0,L10/TrRail_act!L14*100)</f>
        <v>126.49429451323692</v>
      </c>
      <c r="M23" s="62">
        <f>IF(M10=0,0,M10/TrRail_act!M14*100)</f>
        <v>126.18144420251949</v>
      </c>
      <c r="N23" s="62">
        <f>IF(N10=0,0,N10/TrRail_act!N14*100)</f>
        <v>123.66113722259126</v>
      </c>
      <c r="O23" s="62">
        <f>IF(O10=0,0,O10/TrRail_act!O14*100)</f>
        <v>120.40543307422948</v>
      </c>
      <c r="P23" s="62">
        <f>IF(P10=0,0,P10/TrRail_act!P14*100)</f>
        <v>116.37717106181185</v>
      </c>
      <c r="Q23" s="62">
        <f>IF(Q10=0,0,Q10/TrRail_act!Q14*100)</f>
        <v>111.21329853438428</v>
      </c>
      <c r="R23" s="62">
        <f>IF(R10=0,0,R10/TrRail_act!R14*100)</f>
        <v>109.55066501361321</v>
      </c>
      <c r="S23" s="62">
        <f>IF(S10=0,0,S10/TrRail_act!S14*100)</f>
        <v>106.76328695049901</v>
      </c>
      <c r="T23" s="62">
        <f>IF(T10=0,0,T10/TrRail_act!T14*100)</f>
        <v>105.21879799621934</v>
      </c>
      <c r="U23" s="62">
        <f>IF(U10=0,0,U10/TrRail_act!U14*100)</f>
        <v>105.31784122860832</v>
      </c>
      <c r="V23" s="62">
        <f>IF(V10=0,0,V10/TrRail_act!V14*100)</f>
        <v>107.62917786254576</v>
      </c>
      <c r="W23" s="62">
        <f>IF(W10=0,0,W10/TrRail_act!W14*100)</f>
        <v>111.17402706879685</v>
      </c>
      <c r="X23" s="62">
        <f>IF(X10=0,0,X10/TrRail_act!X14*100)</f>
        <v>108.96293158715437</v>
      </c>
      <c r="Y23" s="62">
        <f>IF(Y10=0,0,Y10/TrRail_act!Y14*100)</f>
        <v>108.53025093508546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185.01107152035894</v>
      </c>
      <c r="C24" s="29">
        <f>IF(C11=0,0,C11/TrRail_act!C15*100)</f>
        <v>185.39746491657664</v>
      </c>
      <c r="D24" s="29">
        <f>IF(D11=0,0,D11/TrRail_act!D15*100)</f>
        <v>174.19899044478092</v>
      </c>
      <c r="E24" s="29">
        <f>IF(E11=0,0,E11/TrRail_act!E15*100)</f>
        <v>152.10199886132793</v>
      </c>
      <c r="F24" s="29">
        <f>IF(F11=0,0,F11/TrRail_act!F15*100)</f>
        <v>146.41141457404666</v>
      </c>
      <c r="G24" s="29">
        <f>IF(G11=0,0,G11/TrRail_act!G15*100)</f>
        <v>139.60221751006492</v>
      </c>
      <c r="H24" s="29">
        <f>IF(H11=0,0,H11/TrRail_act!H15*100)</f>
        <v>132.62072772454346</v>
      </c>
      <c r="I24" s="29">
        <f>IF(I11=0,0,I11/TrRail_act!I15*100)</f>
        <v>124.82928715111439</v>
      </c>
      <c r="J24" s="29">
        <f>IF(J11=0,0,J11/TrRail_act!J15*100)</f>
        <v>121.10793794078648</v>
      </c>
      <c r="K24" s="29">
        <f>IF(K11=0,0,K11/TrRail_act!K15*100)</f>
        <v>114.7332570323627</v>
      </c>
      <c r="L24" s="29">
        <f>IF(L11=0,0,L11/TrRail_act!L15*100)</f>
        <v>115.65381628980518</v>
      </c>
      <c r="M24" s="29">
        <f>IF(M11=0,0,M11/TrRail_act!M15*100)</f>
        <v>114.68270049116434</v>
      </c>
      <c r="N24" s="29">
        <f>IF(N11=0,0,N11/TrRail_act!N15*100)</f>
        <v>112.24030831497693</v>
      </c>
      <c r="O24" s="29">
        <f>IF(O11=0,0,O11/TrRail_act!O15*100)</f>
        <v>109.09087081992142</v>
      </c>
      <c r="P24" s="29">
        <f>IF(P11=0,0,P11/TrRail_act!P15*100)</f>
        <v>105.19894543611117</v>
      </c>
      <c r="Q24" s="29">
        <f>IF(Q11=0,0,Q11/TrRail_act!Q15*100)</f>
        <v>100.66569789633783</v>
      </c>
      <c r="R24" s="29">
        <f>IF(R11=0,0,R11/TrRail_act!R15*100)</f>
        <v>98.8685000278617</v>
      </c>
      <c r="S24" s="29">
        <f>IF(S11=0,0,S11/TrRail_act!S15*100)</f>
        <v>96.086830467622107</v>
      </c>
      <c r="T24" s="29">
        <f>IF(T11=0,0,T11/TrRail_act!T15*100)</f>
        <v>94.513230795843981</v>
      </c>
      <c r="U24" s="29">
        <f>IF(U11=0,0,U11/TrRail_act!U15*100)</f>
        <v>94.988677458413505</v>
      </c>
      <c r="V24" s="29">
        <f>IF(V11=0,0,V11/TrRail_act!V15*100)</f>
        <v>96.94968511614222</v>
      </c>
      <c r="W24" s="29">
        <f>IF(W11=0,0,W11/TrRail_act!W15*100)</f>
        <v>99.702552972459912</v>
      </c>
      <c r="X24" s="29">
        <f>IF(X11=0,0,X11/TrRail_act!X15*100)</f>
        <v>99.913969154435549</v>
      </c>
      <c r="Y24" s="29">
        <f>IF(Y11=0,0,Y11/TrRail_act!Y15*100)</f>
        <v>100.27616916753341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47.763793254656598</v>
      </c>
      <c r="C25" s="115">
        <f>IF(C12=0,0,C12/TrRail_act!C16*100)</f>
        <v>47.01619800545582</v>
      </c>
      <c r="D25" s="115">
        <f>IF(D12=0,0,D12/TrRail_act!D16*100)</f>
        <v>46.148725329073116</v>
      </c>
      <c r="E25" s="115">
        <f>IF(E12=0,0,E12/TrRail_act!E16*100)</f>
        <v>47.374226078759591</v>
      </c>
      <c r="F25" s="115">
        <f>IF(F12=0,0,F12/TrRail_act!F16*100)</f>
        <v>45.392649983736959</v>
      </c>
      <c r="G25" s="115">
        <f>IF(G12=0,0,G12/TrRail_act!G16*100)</f>
        <v>40.854956152713974</v>
      </c>
      <c r="H25" s="115">
        <f>IF(H12=0,0,H12/TrRail_act!H16*100)</f>
        <v>38.698076862050407</v>
      </c>
      <c r="I25" s="115">
        <f>IF(I12=0,0,I12/TrRail_act!I16*100)</f>
        <v>36.602437600291985</v>
      </c>
      <c r="J25" s="115">
        <f>IF(J12=0,0,J12/TrRail_act!J16*100)</f>
        <v>36.249469110301767</v>
      </c>
      <c r="K25" s="115">
        <f>IF(K12=0,0,K12/TrRail_act!K16*100)</f>
        <v>36.20948042345924</v>
      </c>
      <c r="L25" s="115">
        <f>IF(L12=0,0,L12/TrRail_act!L16*100)</f>
        <v>36.145052954860432</v>
      </c>
      <c r="M25" s="115">
        <f>IF(M12=0,0,M12/TrRail_act!M16*100)</f>
        <v>36.024871032698371</v>
      </c>
      <c r="N25" s="115">
        <f>IF(N12=0,0,N12/TrRail_act!N16*100)</f>
        <v>34.076603592752164</v>
      </c>
      <c r="O25" s="115">
        <f>IF(O12=0,0,O12/TrRail_act!O16*100)</f>
        <v>33.448475147027985</v>
      </c>
      <c r="P25" s="115">
        <f>IF(P12=0,0,P12/TrRail_act!P16*100)</f>
        <v>32.694620151267024</v>
      </c>
      <c r="Q25" s="115">
        <f>IF(Q12=0,0,Q12/TrRail_act!Q16*100)</f>
        <v>30.800320796860888</v>
      </c>
      <c r="R25" s="115">
        <f>IF(R12=0,0,R12/TrRail_act!R16*100)</f>
        <v>29.451976665397982</v>
      </c>
      <c r="S25" s="115">
        <f>IF(S12=0,0,S12/TrRail_act!S16*100)</f>
        <v>28.479597922884388</v>
      </c>
      <c r="T25" s="115">
        <f>IF(T12=0,0,T12/TrRail_act!T16*100)</f>
        <v>27.771440557929139</v>
      </c>
      <c r="U25" s="115">
        <f>IF(U12=0,0,U12/TrRail_act!U16*100)</f>
        <v>27.251902334021132</v>
      </c>
      <c r="V25" s="115">
        <f>IF(V12=0,0,V12/TrRail_act!V16*100)</f>
        <v>26.868636982666281</v>
      </c>
      <c r="W25" s="115">
        <f>IF(W12=0,0,W12/TrRail_act!W16*100)</f>
        <v>26.584729430834081</v>
      </c>
      <c r="X25" s="115">
        <f>IF(X12=0,0,X12/TrRail_act!X16*100)</f>
        <v>26.373769197291459</v>
      </c>
      <c r="Y25" s="115">
        <f>IF(Y12=0,0,Y12/TrRail_act!Y16*100)</f>
        <v>26.216648347066723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228.86852550433599</v>
      </c>
      <c r="C26" s="116">
        <f>IF(C13=0,0,C13/TrRail_act!C17*100)</f>
        <v>230.28766505974482</v>
      </c>
      <c r="D26" s="116">
        <f>IF(D13=0,0,D13/TrRail_act!D17*100)</f>
        <v>215.10568825280717</v>
      </c>
      <c r="E26" s="116">
        <f>IF(E13=0,0,E13/TrRail_act!E17*100)</f>
        <v>181.28875691256326</v>
      </c>
      <c r="F26" s="116">
        <f>IF(F13=0,0,F13/TrRail_act!F17*100)</f>
        <v>173.96668625710078</v>
      </c>
      <c r="G26" s="116">
        <f>IF(G13=0,0,G13/TrRail_act!G17*100)</f>
        <v>167.36734723413116</v>
      </c>
      <c r="H26" s="116">
        <f>IF(H13=0,0,H13/TrRail_act!H17*100)</f>
        <v>159.11834370582832</v>
      </c>
      <c r="I26" s="116">
        <f>IF(I13=0,0,I13/TrRail_act!I17*100)</f>
        <v>149.48200562653872</v>
      </c>
      <c r="J26" s="116">
        <f>IF(J13=0,0,J13/TrRail_act!J17*100)</f>
        <v>143.54266324159016</v>
      </c>
      <c r="K26" s="116">
        <f>IF(K13=0,0,K13/TrRail_act!K17*100)</f>
        <v>133.70731465056673</v>
      </c>
      <c r="L26" s="116">
        <f>IF(L13=0,0,L13/TrRail_act!L17*100)</f>
        <v>133.69276175412315</v>
      </c>
      <c r="M26" s="116">
        <f>IF(M13=0,0,M13/TrRail_act!M17*100)</f>
        <v>133.8139438350932</v>
      </c>
      <c r="N26" s="116">
        <f>IF(N13=0,0,N13/TrRail_act!N17*100)</f>
        <v>131.35032236993641</v>
      </c>
      <c r="O26" s="116">
        <f>IF(O13=0,0,O13/TrRail_act!O17*100)</f>
        <v>127.19851725433311</v>
      </c>
      <c r="P26" s="116">
        <f>IF(P13=0,0,P13/TrRail_act!P17*100)</f>
        <v>121.93037227034964</v>
      </c>
      <c r="Q26" s="116">
        <f>IF(Q13=0,0,Q13/TrRail_act!Q17*100)</f>
        <v>116.71005648488352</v>
      </c>
      <c r="R26" s="116">
        <f>IF(R13=0,0,R13/TrRail_act!R17*100)</f>
        <v>114.14762725538965</v>
      </c>
      <c r="S26" s="116">
        <f>IF(S13=0,0,S13/TrRail_act!S17*100)</f>
        <v>111.09369051652493</v>
      </c>
      <c r="T26" s="116">
        <f>IF(T13=0,0,T13/TrRail_act!T17*100)</f>
        <v>109.87287697247383</v>
      </c>
      <c r="U26" s="116">
        <f>IF(U13=0,0,U13/TrRail_act!U17*100)</f>
        <v>110.20330571422225</v>
      </c>
      <c r="V26" s="116">
        <f>IF(V13=0,0,V13/TrRail_act!V17*100)</f>
        <v>109.68823761515736</v>
      </c>
      <c r="W26" s="116">
        <f>IF(W13=0,0,W13/TrRail_act!W17*100)</f>
        <v>111.64556205501577</v>
      </c>
      <c r="X26" s="116">
        <f>IF(X13=0,0,X13/TrRail_act!X17*100)</f>
        <v>108.67073794267803</v>
      </c>
      <c r="Y26" s="116">
        <f>IF(Y13=0,0,Y13/TrRail_act!Y17*100)</f>
        <v>108.84038951351988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284.83483626584558</v>
      </c>
      <c r="C27" s="87">
        <f>IF(C14=0,0,C14/TrRail_act!C18*100)</f>
        <v>278.08702204407905</v>
      </c>
      <c r="D27" s="87">
        <f>IF(D14=0,0,D14/TrRail_act!D18*100)</f>
        <v>255.38520460881094</v>
      </c>
      <c r="E27" s="87">
        <f>IF(E14=0,0,E14/TrRail_act!E18*100)</f>
        <v>222.88353067296632</v>
      </c>
      <c r="F27" s="87">
        <f>IF(F14=0,0,F14/TrRail_act!F18*100)</f>
        <v>208.11956242250008</v>
      </c>
      <c r="G27" s="87">
        <f>IF(G14=0,0,G14/TrRail_act!G18*100)</f>
        <v>198.12995233364254</v>
      </c>
      <c r="H27" s="87">
        <f>IF(H14=0,0,H14/TrRail_act!H18*100)</f>
        <v>186.80749453549637</v>
      </c>
      <c r="I27" s="87">
        <f>IF(I14=0,0,I14/TrRail_act!I18*100)</f>
        <v>178.655317472664</v>
      </c>
      <c r="J27" s="87">
        <f>IF(J14=0,0,J14/TrRail_act!J18*100)</f>
        <v>178.21407894687863</v>
      </c>
      <c r="K27" s="87">
        <f>IF(K14=0,0,K14/TrRail_act!K18*100)</f>
        <v>169.48198196485663</v>
      </c>
      <c r="L27" s="87">
        <f>IF(L14=0,0,L14/TrRail_act!L18*100)</f>
        <v>168.28785741604125</v>
      </c>
      <c r="M27" s="87">
        <f>IF(M14=0,0,M14/TrRail_act!M18*100)</f>
        <v>166.71753817110098</v>
      </c>
      <c r="N27" s="87">
        <f>IF(N14=0,0,N14/TrRail_act!N18*100)</f>
        <v>165.49077559648831</v>
      </c>
      <c r="O27" s="87">
        <f>IF(O14=0,0,O14/TrRail_act!O18*100)</f>
        <v>158.29610982370514</v>
      </c>
      <c r="P27" s="87">
        <f>IF(P14=0,0,P14/TrRail_act!P18*100)</f>
        <v>150.13223269524755</v>
      </c>
      <c r="Q27" s="87">
        <f>IF(Q14=0,0,Q14/TrRail_act!Q18*100)</f>
        <v>145.18619302438057</v>
      </c>
      <c r="R27" s="87">
        <f>IF(R14=0,0,R14/TrRail_act!R18*100)</f>
        <v>141.58389261778808</v>
      </c>
      <c r="S27" s="87">
        <f>IF(S14=0,0,S14/TrRail_act!S18*100)</f>
        <v>138.94094438028256</v>
      </c>
      <c r="T27" s="87">
        <f>IF(T14=0,0,T14/TrRail_act!T18*100)</f>
        <v>136.99116057820854</v>
      </c>
      <c r="U27" s="87">
        <f>IF(U14=0,0,U14/TrRail_act!U18*100)</f>
        <v>135.54679991655712</v>
      </c>
      <c r="V27" s="87">
        <f>IF(V14=0,0,V14/TrRail_act!V18*100)</f>
        <v>134.47353197074781</v>
      </c>
      <c r="W27" s="87">
        <f>IF(W14=0,0,W14/TrRail_act!W18*100)</f>
        <v>133.6741616454616</v>
      </c>
      <c r="X27" s="87">
        <f>IF(X14=0,0,X14/TrRail_act!X18*100)</f>
        <v>133.07775382562369</v>
      </c>
      <c r="Y27" s="87">
        <f>IF(Y14=0,0,Y14/TrRail_act!Y18*100)</f>
        <v>132.63219486930836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206.34904156103099</v>
      </c>
      <c r="C28" s="87">
        <f>IF(C15=0,0,C15/TrRail_act!C19*100)</f>
        <v>209.00351623020686</v>
      </c>
      <c r="D28" s="87">
        <f>IF(D15=0,0,D15/TrRail_act!D19*100)</f>
        <v>196.8214571266524</v>
      </c>
      <c r="E28" s="87">
        <f>IF(E15=0,0,E15/TrRail_act!E19*100)</f>
        <v>160.43597818116018</v>
      </c>
      <c r="F28" s="87">
        <f>IF(F15=0,0,F15/TrRail_act!F19*100)</f>
        <v>156.63842528814411</v>
      </c>
      <c r="G28" s="87">
        <f>IF(G15=0,0,G15/TrRail_act!G19*100)</f>
        <v>154.04753240224588</v>
      </c>
      <c r="H28" s="87">
        <f>IF(H15=0,0,H15/TrRail_act!H19*100)</f>
        <v>147.29391484645598</v>
      </c>
      <c r="I28" s="87">
        <f>IF(I15=0,0,I15/TrRail_act!I19*100)</f>
        <v>136.97396790798214</v>
      </c>
      <c r="J28" s="87">
        <f>IF(J15=0,0,J15/TrRail_act!J19*100)</f>
        <v>127.93580990649566</v>
      </c>
      <c r="K28" s="87">
        <f>IF(K15=0,0,K15/TrRail_act!K19*100)</f>
        <v>120.25710974391333</v>
      </c>
      <c r="L28" s="87">
        <f>IF(L15=0,0,L15/TrRail_act!L19*100)</f>
        <v>121.03994618911551</v>
      </c>
      <c r="M28" s="87">
        <f>IF(M15=0,0,M15/TrRail_act!M19*100)</f>
        <v>121.15244361951281</v>
      </c>
      <c r="N28" s="87">
        <f>IF(N15=0,0,N15/TrRail_act!N19*100)</f>
        <v>118.32413994852291</v>
      </c>
      <c r="O28" s="87">
        <f>IF(O15=0,0,O15/TrRail_act!O19*100)</f>
        <v>115.27413970073522</v>
      </c>
      <c r="P28" s="87">
        <f>IF(P15=0,0,P15/TrRail_act!P19*100)</f>
        <v>110.36798327468198</v>
      </c>
      <c r="Q28" s="87">
        <f>IF(Q15=0,0,Q15/TrRail_act!Q19*100)</f>
        <v>105.85244869712345</v>
      </c>
      <c r="R28" s="87">
        <f>IF(R15=0,0,R15/TrRail_act!R19*100)</f>
        <v>103.61333068712086</v>
      </c>
      <c r="S28" s="87">
        <f>IF(S15=0,0,S15/TrRail_act!S19*100)</f>
        <v>102.47495594909108</v>
      </c>
      <c r="T28" s="87">
        <f>IF(T15=0,0,T15/TrRail_act!T19*100)</f>
        <v>102.1375371383112</v>
      </c>
      <c r="U28" s="87">
        <f>IF(U15=0,0,U15/TrRail_act!U19*100)</f>
        <v>101.8852023356277</v>
      </c>
      <c r="V28" s="87">
        <f>IF(V15=0,0,V15/TrRail_act!V19*100)</f>
        <v>101.69636042616123</v>
      </c>
      <c r="W28" s="87">
        <f>IF(W15=0,0,W15/TrRail_act!W19*100)</f>
        <v>101.55495872637361</v>
      </c>
      <c r="X28" s="87">
        <f>IF(X15=0,0,X15/TrRail_act!X19*100)</f>
        <v>101.44903649128099</v>
      </c>
      <c r="Y28" s="87">
        <f>IF(Y15=0,0,Y15/TrRail_act!Y19*100)</f>
        <v>101.36966732200776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225.38976555003796</v>
      </c>
      <c r="C29" s="117">
        <f>IF(C16=0,0,C16/TrRail_act!C20*100)</f>
        <v>228.21622415280399</v>
      </c>
      <c r="D29" s="117">
        <f>IF(D16=0,0,D16/TrRail_act!D20*100)</f>
        <v>224.00551917966226</v>
      </c>
      <c r="E29" s="117">
        <f>IF(E16=0,0,E16/TrRail_act!E20*100)</f>
        <v>216.8467062733348</v>
      </c>
      <c r="F29" s="117">
        <f>IF(F16=0,0,F16/TrRail_act!F20*100)</f>
        <v>209.85417445856731</v>
      </c>
      <c r="G29" s="117">
        <f>IF(G16=0,0,G16/TrRail_act!G20*100)</f>
        <v>195.03502132978986</v>
      </c>
      <c r="H29" s="117">
        <f>IF(H16=0,0,H16/TrRail_act!H20*100)</f>
        <v>190.57226982616552</v>
      </c>
      <c r="I29" s="117">
        <f>IF(I16=0,0,I16/TrRail_act!I20*100)</f>
        <v>183.93071413573674</v>
      </c>
      <c r="J29" s="117">
        <f>IF(J16=0,0,J16/TrRail_act!J20*100)</f>
        <v>182.6104324554733</v>
      </c>
      <c r="K29" s="117">
        <f>IF(K16=0,0,K16/TrRail_act!K20*100)</f>
        <v>184.1337010788319</v>
      </c>
      <c r="L29" s="117">
        <f>IF(L16=0,0,L16/TrRail_act!L20*100)</f>
        <v>185.47592115590069</v>
      </c>
      <c r="M29" s="117">
        <f>IF(M16=0,0,M16/TrRail_act!M20*100)</f>
        <v>184.61310799835437</v>
      </c>
      <c r="N29" s="117">
        <f>IF(N16=0,0,N16/TrRail_act!N20*100)</f>
        <v>174.62901376040406</v>
      </c>
      <c r="O29" s="117">
        <f>IF(O16=0,0,O16/TrRail_act!O20*100)</f>
        <v>171.41010578757434</v>
      </c>
      <c r="P29" s="117">
        <f>IF(P16=0,0,P16/TrRail_act!P20*100)</f>
        <v>167.54689934830085</v>
      </c>
      <c r="Q29" s="117">
        <f>IF(Q16=0,0,Q16/TrRail_act!Q20*100)</f>
        <v>159.37179111063341</v>
      </c>
      <c r="R29" s="117">
        <f>IF(R16=0,0,R16/TrRail_act!R20*100)</f>
        <v>156.57337716748086</v>
      </c>
      <c r="S29" s="117">
        <f>IF(S16=0,0,S16/TrRail_act!S20*100)</f>
        <v>156.05192920168409</v>
      </c>
      <c r="T29" s="117">
        <f>IF(T16=0,0,T16/TrRail_act!T20*100)</f>
        <v>155.97330716522822</v>
      </c>
      <c r="U29" s="117">
        <f>IF(U16=0,0,U16/TrRail_act!U20*100)</f>
        <v>155.91436663391394</v>
      </c>
      <c r="V29" s="117">
        <f>IF(V16=0,0,V16/TrRail_act!V20*100)</f>
        <v>155.87017585251428</v>
      </c>
      <c r="W29" s="117">
        <f>IF(W16=0,0,W16/TrRail_act!W20*100)</f>
        <v>155.83704098618034</v>
      </c>
      <c r="X29" s="117">
        <f>IF(X16=0,0,X16/TrRail_act!X20*100)</f>
        <v>155.81219445900982</v>
      </c>
      <c r="Y29" s="117">
        <f>IF(Y16=0,0,Y16/TrRail_act!Y20*100)</f>
        <v>155.79356216340713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263.62882183724861</v>
      </c>
      <c r="C30" s="29">
        <f>IF(C17=0,0,C17/TrRail_act!C21*100)</f>
        <v>282.52775207100899</v>
      </c>
      <c r="D30" s="29">
        <f>IF(D17=0,0,D17/TrRail_act!D21*100)</f>
        <v>270.30755400042796</v>
      </c>
      <c r="E30" s="29">
        <f>IF(E17=0,0,E17/TrRail_act!E21*100)</f>
        <v>232.49853332707406</v>
      </c>
      <c r="F30" s="29">
        <f>IF(F17=0,0,F17/TrRail_act!F21*100)</f>
        <v>224.83459757949871</v>
      </c>
      <c r="G30" s="29">
        <f>IF(G17=0,0,G17/TrRail_act!G21*100)</f>
        <v>206.40295432814457</v>
      </c>
      <c r="H30" s="29">
        <f>IF(H17=0,0,H17/TrRail_act!H21*100)</f>
        <v>195.20989055700983</v>
      </c>
      <c r="I30" s="29">
        <f>IF(I17=0,0,I17/TrRail_act!I21*100)</f>
        <v>184.9383937625135</v>
      </c>
      <c r="J30" s="29">
        <f>IF(J17=0,0,J17/TrRail_act!J21*100)</f>
        <v>178.57636887502019</v>
      </c>
      <c r="K30" s="29">
        <f>IF(K17=0,0,K17/TrRail_act!K21*100)</f>
        <v>172.03062906220669</v>
      </c>
      <c r="L30" s="29">
        <f>IF(L17=0,0,L17/TrRail_act!L21*100)</f>
        <v>172.07464328538302</v>
      </c>
      <c r="M30" s="29">
        <f>IF(M17=0,0,M17/TrRail_act!M21*100)</f>
        <v>167.9591351515628</v>
      </c>
      <c r="N30" s="29">
        <f>IF(N17=0,0,N17/TrRail_act!N21*100)</f>
        <v>165.14584961103199</v>
      </c>
      <c r="O30" s="29">
        <f>IF(O17=0,0,O17/TrRail_act!O21*100)</f>
        <v>160.93441776620702</v>
      </c>
      <c r="P30" s="29">
        <f>IF(P17=0,0,P17/TrRail_act!P21*100)</f>
        <v>156.43984670657028</v>
      </c>
      <c r="Q30" s="29">
        <f>IF(Q17=0,0,Q17/TrRail_act!Q21*100)</f>
        <v>150.58326569601886</v>
      </c>
      <c r="R30" s="29">
        <f>IF(R17=0,0,R17/TrRail_act!R21*100)</f>
        <v>146.90416469603008</v>
      </c>
      <c r="S30" s="29">
        <f>IF(S17=0,0,S17/TrRail_act!S21*100)</f>
        <v>142.65326775559606</v>
      </c>
      <c r="T30" s="29">
        <f>IF(T17=0,0,T17/TrRail_act!T21*100)</f>
        <v>138.56195563662536</v>
      </c>
      <c r="U30" s="29">
        <f>IF(U17=0,0,U17/TrRail_act!U21*100)</f>
        <v>140.97384784804302</v>
      </c>
      <c r="V30" s="29">
        <f>IF(V17=0,0,V17/TrRail_act!V21*100)</f>
        <v>139.56787231409439</v>
      </c>
      <c r="W30" s="29">
        <f>IF(W17=0,0,W17/TrRail_act!W21*100)</f>
        <v>149.124736844034</v>
      </c>
      <c r="X30" s="29">
        <f>IF(X17=0,0,X17/TrRail_act!X21*100)</f>
        <v>139.09403021039549</v>
      </c>
      <c r="Y30" s="29">
        <f>IF(Y17=0,0,Y17/TrRail_act!Y21*100)</f>
        <v>139.17152524626962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492.35959156097454</v>
      </c>
      <c r="C31" s="87">
        <f>IF(C18=0,0,C18/TrRail_act!C22*100)</f>
        <v>490.93865922128208</v>
      </c>
      <c r="D31" s="87">
        <f>IF(D18=0,0,D18/TrRail_act!D22*100)</f>
        <v>455.72079448169063</v>
      </c>
      <c r="E31" s="87">
        <f>IF(E18=0,0,E18/TrRail_act!E22*100)</f>
        <v>431.43212560035994</v>
      </c>
      <c r="F31" s="87">
        <f>IF(F18=0,0,F18/TrRail_act!F22*100)</f>
        <v>429.33798199948922</v>
      </c>
      <c r="G31" s="87">
        <f>IF(G18=0,0,G18/TrRail_act!G22*100)</f>
        <v>420.62219953240037</v>
      </c>
      <c r="H31" s="87">
        <f>IF(H18=0,0,H18/TrRail_act!H22*100)</f>
        <v>408.06293289088336</v>
      </c>
      <c r="I31" s="87">
        <f>IF(I18=0,0,I18/TrRail_act!I22*100)</f>
        <v>404.90319461169724</v>
      </c>
      <c r="J31" s="87">
        <f>IF(J18=0,0,J18/TrRail_act!J22*100)</f>
        <v>393.04729462061113</v>
      </c>
      <c r="K31" s="87">
        <f>IF(K18=0,0,K18/TrRail_act!K22*100)</f>
        <v>384.92977206073823</v>
      </c>
      <c r="L31" s="87">
        <f>IF(L18=0,0,L18/TrRail_act!L22*100)</f>
        <v>380.4050701572138</v>
      </c>
      <c r="M31" s="87">
        <f>IF(M18=0,0,M18/TrRail_act!M22*100)</f>
        <v>377.37823102831805</v>
      </c>
      <c r="N31" s="87">
        <f>IF(N18=0,0,N18/TrRail_act!N22*100)</f>
        <v>368.55248934422019</v>
      </c>
      <c r="O31" s="87">
        <f>IF(O18=0,0,O18/TrRail_act!O22*100)</f>
        <v>359.60569907291</v>
      </c>
      <c r="P31" s="87">
        <f>IF(P18=0,0,P18/TrRail_act!P22*100)</f>
        <v>346.89947339051542</v>
      </c>
      <c r="Q31" s="87">
        <f>IF(Q18=0,0,Q18/TrRail_act!Q22*100)</f>
        <v>346.68487246235594</v>
      </c>
      <c r="R31" s="87">
        <f>IF(R18=0,0,R18/TrRail_act!R22*100)</f>
        <v>336.12828862614737</v>
      </c>
      <c r="S31" s="87">
        <f>IF(S18=0,0,S18/TrRail_act!S22*100)</f>
        <v>334.99078886766785</v>
      </c>
      <c r="T31" s="87">
        <f>IF(T18=0,0,T18/TrRail_act!T22*100)</f>
        <v>330.79878904744697</v>
      </c>
      <c r="U31" s="87">
        <f>IF(U18=0,0,U18/TrRail_act!U22*100)</f>
        <v>324.41235811390925</v>
      </c>
      <c r="V31" s="87">
        <f>IF(V18=0,0,V18/TrRail_act!V22*100)</f>
        <v>316.50654374756743</v>
      </c>
      <c r="W31" s="87">
        <f>IF(W18=0,0,W18/TrRail_act!W22*100)</f>
        <v>310.70387608419173</v>
      </c>
      <c r="X31" s="87">
        <f>IF(X18=0,0,X18/TrRail_act!X22*100)</f>
        <v>306.42179653302304</v>
      </c>
      <c r="Y31" s="87">
        <f>IF(Y18=0,0,Y18/TrRail_act!Y22*100)</f>
        <v>303.24901016942817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221.74363324449695</v>
      </c>
      <c r="C32" s="88">
        <f>IF(C19=0,0,C19/TrRail_act!C23*100)</f>
        <v>248.37743945801631</v>
      </c>
      <c r="D32" s="88">
        <f>IF(D19=0,0,D19/TrRail_act!D23*100)</f>
        <v>242.84742724194152</v>
      </c>
      <c r="E32" s="88">
        <f>IF(E19=0,0,E19/TrRail_act!E23*100)</f>
        <v>197.61318471681585</v>
      </c>
      <c r="F32" s="88">
        <f>IF(F19=0,0,F19/TrRail_act!F23*100)</f>
        <v>189.79847475901187</v>
      </c>
      <c r="G32" s="88">
        <f>IF(G19=0,0,G19/TrRail_act!G23*100)</f>
        <v>171.33633337536645</v>
      </c>
      <c r="H32" s="88">
        <f>IF(H19=0,0,H19/TrRail_act!H23*100)</f>
        <v>161.01701075150351</v>
      </c>
      <c r="I32" s="88">
        <f>IF(I19=0,0,I19/TrRail_act!I23*100)</f>
        <v>151.21810427845764</v>
      </c>
      <c r="J32" s="88">
        <f>IF(J19=0,0,J19/TrRail_act!J23*100)</f>
        <v>143.36396473076027</v>
      </c>
      <c r="K32" s="88">
        <f>IF(K19=0,0,K19/TrRail_act!K23*100)</f>
        <v>142.91220326607083</v>
      </c>
      <c r="L32" s="88">
        <f>IF(L19=0,0,L19/TrRail_act!L23*100)</f>
        <v>143.1718701545588</v>
      </c>
      <c r="M32" s="88">
        <f>IF(M19=0,0,M19/TrRail_act!M23*100)</f>
        <v>142.72424099670147</v>
      </c>
      <c r="N32" s="88">
        <f>IF(N19=0,0,N19/TrRail_act!N23*100)</f>
        <v>141.8594648663634</v>
      </c>
      <c r="O32" s="88">
        <f>IF(O19=0,0,O19/TrRail_act!O23*100)</f>
        <v>139.43675632046651</v>
      </c>
      <c r="P32" s="88">
        <f>IF(P19=0,0,P19/TrRail_act!P23*100)</f>
        <v>135.92953336308761</v>
      </c>
      <c r="Q32" s="88">
        <f>IF(Q19=0,0,Q19/TrRail_act!Q23*100)</f>
        <v>128.04018432254975</v>
      </c>
      <c r="R32" s="88">
        <f>IF(R19=0,0,R19/TrRail_act!R23*100)</f>
        <v>126.09790286459872</v>
      </c>
      <c r="S32" s="88">
        <f>IF(S19=0,0,S19/TrRail_act!S23*100)</f>
        <v>125.40851477982839</v>
      </c>
      <c r="T32" s="88">
        <f>IF(T19=0,0,T19/TrRail_act!T23*100)</f>
        <v>124.89394821450847</v>
      </c>
      <c r="U32" s="88">
        <f>IF(U19=0,0,U19/TrRail_act!U23*100)</f>
        <v>124.50940932515104</v>
      </c>
      <c r="V32" s="88">
        <f>IF(V19=0,0,V19/TrRail_act!V23*100)</f>
        <v>124.22178233520486</v>
      </c>
      <c r="W32" s="88">
        <f>IF(W19=0,0,W19/TrRail_act!W23*100)</f>
        <v>124.00649821683226</v>
      </c>
      <c r="X32" s="88">
        <f>IF(X19=0,0,X19/TrRail_act!X23*100)</f>
        <v>123.84528001086106</v>
      </c>
      <c r="Y32" s="88">
        <f>IF(Y19=0,0,Y19/TrRail_act!Y23*100)</f>
        <v>123.72450391889814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16.26840074682201</v>
      </c>
      <c r="C35" s="29">
        <f>IF(C11=0,0,C11/TrRail_act!C4*1000)</f>
        <v>15.839995074594528</v>
      </c>
      <c r="D35" s="29">
        <f>IF(D11=0,0,D11/TrRail_act!D4*1000)</f>
        <v>16.079344840652393</v>
      </c>
      <c r="E35" s="29">
        <f>IF(E11=0,0,E11/TrRail_act!E4*1000)</f>
        <v>14.03422248526347</v>
      </c>
      <c r="F35" s="29">
        <f>IF(F11=0,0,F11/TrRail_act!F4*1000)</f>
        <v>13.428396676585111</v>
      </c>
      <c r="G35" s="29">
        <f>IF(G11=0,0,G11/TrRail_act!G4*1000)</f>
        <v>12.864276688638116</v>
      </c>
      <c r="H35" s="29">
        <f>IF(H11=0,0,H11/TrRail_act!H4*1000)</f>
        <v>11.562444799674021</v>
      </c>
      <c r="I35" s="29">
        <f>IF(I11=0,0,I11/TrRail_act!I4*1000)</f>
        <v>11.014905148941903</v>
      </c>
      <c r="J35" s="29">
        <f>IF(J11=0,0,J11/TrRail_act!J4*1000)</f>
        <v>10.304664063564028</v>
      </c>
      <c r="K35" s="29">
        <f>IF(K11=0,0,K11/TrRail_act!K4*1000)</f>
        <v>10.232176799438657</v>
      </c>
      <c r="L35" s="29">
        <f>IF(L11=0,0,L11/TrRail_act!L4*1000)</f>
        <v>10.378345140460015</v>
      </c>
      <c r="M35" s="29">
        <f>IF(M11=0,0,M11/TrRail_act!M4*1000)</f>
        <v>9.8116308764047115</v>
      </c>
      <c r="N35" s="29">
        <f>IF(N11=0,0,N11/TrRail_act!N4*1000)</f>
        <v>9.4027649667033444</v>
      </c>
      <c r="O35" s="29">
        <f>IF(O11=0,0,O11/TrRail_act!O4*1000)</f>
        <v>9.1278381398908586</v>
      </c>
      <c r="P35" s="29">
        <f>IF(P11=0,0,P11/TrRail_act!P4*1000)</f>
        <v>8.7799523858497643</v>
      </c>
      <c r="Q35" s="29">
        <f>IF(Q11=0,0,Q11/TrRail_act!Q4*1000)</f>
        <v>8.5326178467670584</v>
      </c>
      <c r="R35" s="29">
        <f>IF(R11=0,0,R11/TrRail_act!R4*1000)</f>
        <v>8.4237313067899091</v>
      </c>
      <c r="S35" s="29">
        <f>IF(S11=0,0,S11/TrRail_act!S4*1000)</f>
        <v>8.0093280262664823</v>
      </c>
      <c r="T35" s="29">
        <f>IF(T11=0,0,T11/TrRail_act!T4*1000)</f>
        <v>7.4479108843398096</v>
      </c>
      <c r="U35" s="29">
        <f>IF(U11=0,0,U11/TrRail_act!U4*1000)</f>
        <v>7.3671522348717984</v>
      </c>
      <c r="V35" s="29">
        <f>IF(V11=0,0,V11/TrRail_act!V4*1000)</f>
        <v>11.536656019217959</v>
      </c>
      <c r="W35" s="29">
        <f>IF(W11=0,0,W11/TrRail_act!W4*1000)</f>
        <v>14.026567637149279</v>
      </c>
      <c r="X35" s="29">
        <f>IF(X11=0,0,X11/TrRail_act!X4*1000)</f>
        <v>8.3726725629343406</v>
      </c>
      <c r="Y35" s="29">
        <f>IF(Y11=0,0,Y11/TrRail_act!Y4*1000)</f>
        <v>7.8876888598834602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6.2350077957487136</v>
      </c>
      <c r="C36" s="115">
        <f>IF(C12=0,0,C12/TrRail_act!C5*1000)</f>
        <v>6.0318897959202378</v>
      </c>
      <c r="D36" s="115">
        <f>IF(D12=0,0,D12/TrRail_act!D5*1000)</f>
        <v>6.087089619971807</v>
      </c>
      <c r="E36" s="115">
        <f>IF(E12=0,0,E12/TrRail_act!E5*1000)</f>
        <v>6.1530523897231166</v>
      </c>
      <c r="F36" s="115">
        <f>IF(F12=0,0,F12/TrRail_act!F5*1000)</f>
        <v>5.8956816095308069</v>
      </c>
      <c r="G36" s="115">
        <f>IF(G12=0,0,G12/TrRail_act!G5*1000)</f>
        <v>5.4054135032379724</v>
      </c>
      <c r="H36" s="115">
        <f>IF(H12=0,0,H12/TrRail_act!H5*1000)</f>
        <v>5.046778862476061</v>
      </c>
      <c r="I36" s="115">
        <f>IF(I12=0,0,I12/TrRail_act!I5*1000)</f>
        <v>4.7888106664592733</v>
      </c>
      <c r="J36" s="115">
        <f>IF(J12=0,0,J12/TrRail_act!J5*1000)</f>
        <v>4.6863280623148951</v>
      </c>
      <c r="K36" s="115">
        <f>IF(K12=0,0,K12/TrRail_act!K5*1000)</f>
        <v>4.6908259891282347</v>
      </c>
      <c r="L36" s="115">
        <f>IF(L12=0,0,L12/TrRail_act!L5*1000)</f>
        <v>4.6670894090419024</v>
      </c>
      <c r="M36" s="115">
        <f>IF(M12=0,0,M12/TrRail_act!M5*1000)</f>
        <v>4.6242873201022379</v>
      </c>
      <c r="N36" s="115">
        <f>IF(N12=0,0,N12/TrRail_act!N5*1000)</f>
        <v>4.3258867097814777</v>
      </c>
      <c r="O36" s="115">
        <f>IF(O12=0,0,O12/TrRail_act!O5*1000)</f>
        <v>4.2304473500809205</v>
      </c>
      <c r="P36" s="115">
        <f>IF(P12=0,0,P12/TrRail_act!P5*1000)</f>
        <v>4.1194406807831738</v>
      </c>
      <c r="Q36" s="115">
        <f>IF(Q12=0,0,Q12/TrRail_act!Q5*1000)</f>
        <v>3.8948049912545124</v>
      </c>
      <c r="R36" s="115">
        <f>IF(R12=0,0,R12/TrRail_act!R5*1000)</f>
        <v>3.7278745462740002</v>
      </c>
      <c r="S36" s="115">
        <f>IF(S12=0,0,S12/TrRail_act!S5*1000)</f>
        <v>3.5822678406196236</v>
      </c>
      <c r="T36" s="115">
        <f>IF(T12=0,0,T12/TrRail_act!T5*1000)</f>
        <v>3.4681440537086003</v>
      </c>
      <c r="U36" s="115">
        <f>IF(U12=0,0,U12/TrRail_act!U5*1000)</f>
        <v>3.3874698667906284</v>
      </c>
      <c r="V36" s="115">
        <f>IF(V12=0,0,V12/TrRail_act!V5*1000)</f>
        <v>4.081314562542202</v>
      </c>
      <c r="W36" s="115">
        <f>IF(W12=0,0,W12/TrRail_act!W5*1000)</f>
        <v>4.3574681604901855</v>
      </c>
      <c r="X36" s="115">
        <f>IF(X12=0,0,X12/TrRail_act!X5*1000)</f>
        <v>2.690758266382097</v>
      </c>
      <c r="Y36" s="115">
        <f>IF(Y12=0,0,Y12/TrRail_act!Y5*1000)</f>
        <v>2.5082895045102402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20.293642979614717</v>
      </c>
      <c r="C37" s="116">
        <f>IF(C13=0,0,C13/TrRail_act!C6*1000)</f>
        <v>19.961721909033983</v>
      </c>
      <c r="D37" s="116">
        <f>IF(D13=0,0,D13/TrRail_act!D6*1000)</f>
        <v>20.684335348586497</v>
      </c>
      <c r="E37" s="116">
        <f>IF(E13=0,0,E13/TrRail_act!E6*1000)</f>
        <v>17.931332403318343</v>
      </c>
      <c r="F37" s="116">
        <f>IF(F13=0,0,F13/TrRail_act!F6*1000)</f>
        <v>17.397861148834021</v>
      </c>
      <c r="G37" s="116">
        <f>IF(G13=0,0,G13/TrRail_act!G6*1000)</f>
        <v>16.815465183469918</v>
      </c>
      <c r="H37" s="116">
        <f>IF(H13=0,0,H13/TrRail_act!H6*1000)</f>
        <v>14.943343893024384</v>
      </c>
      <c r="I37" s="116">
        <f>IF(I13=0,0,I13/TrRail_act!I6*1000)</f>
        <v>14.318795506461568</v>
      </c>
      <c r="J37" s="116">
        <f>IF(J13=0,0,J13/TrRail_act!J6*1000)</f>
        <v>13.220604834680364</v>
      </c>
      <c r="K37" s="116">
        <f>IF(K13=0,0,K13/TrRail_act!K6*1000)</f>
        <v>13.10721004812061</v>
      </c>
      <c r="L37" s="116">
        <f>IF(L13=0,0,L13/TrRail_act!L6*1000)</f>
        <v>13.463476930768163</v>
      </c>
      <c r="M37" s="116">
        <f>IF(M13=0,0,M13/TrRail_act!M6*1000)</f>
        <v>12.457388829959873</v>
      </c>
      <c r="N37" s="116">
        <f>IF(N13=0,0,N13/TrRail_act!N6*1000)</f>
        <v>12.068616642846756</v>
      </c>
      <c r="O37" s="116">
        <f>IF(O13=0,0,O13/TrRail_act!O6*1000)</f>
        <v>11.741258811575262</v>
      </c>
      <c r="P37" s="116">
        <f>IF(P13=0,0,P13/TrRail_act!P6*1000)</f>
        <v>11.136536557072558</v>
      </c>
      <c r="Q37" s="116">
        <f>IF(Q13=0,0,Q13/TrRail_act!Q6*1000)</f>
        <v>11.008338965129521</v>
      </c>
      <c r="R37" s="116">
        <f>IF(R13=0,0,R13/TrRail_act!R6*1000)</f>
        <v>11.014165815460107</v>
      </c>
      <c r="S37" s="116">
        <f>IF(S13=0,0,S13/TrRail_act!S6*1000)</f>
        <v>10.597763320098585</v>
      </c>
      <c r="T37" s="116">
        <f>IF(T13=0,0,T13/TrRail_act!T6*1000)</f>
        <v>9.9064708056362409</v>
      </c>
      <c r="U37" s="116">
        <f>IF(U13=0,0,U13/TrRail_act!U6*1000)</f>
        <v>9.9029178865685434</v>
      </c>
      <c r="V37" s="116">
        <f>IF(V13=0,0,V13/TrRail_act!V6*1000)</f>
        <v>15.457004880210478</v>
      </c>
      <c r="W37" s="116">
        <f>IF(W13=0,0,W13/TrRail_act!W6*1000)</f>
        <v>20.332373765163325</v>
      </c>
      <c r="X37" s="116">
        <f>IF(X13=0,0,X13/TrRail_act!X6*1000)</f>
        <v>12.20679762515293</v>
      </c>
      <c r="Y37" s="116">
        <f>IF(Y13=0,0,Y13/TrRail_act!Y6*1000)</f>
        <v>11.601935384130345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26.312052715294623</v>
      </c>
      <c r="C38" s="87">
        <f>IF(C14=0,0,C14/TrRail_act!C7*1000)</f>
        <v>25.853627506965424</v>
      </c>
      <c r="D38" s="87">
        <f>IF(D14=0,0,D14/TrRail_act!D7*1000)</f>
        <v>24.533435966500665</v>
      </c>
      <c r="E38" s="87">
        <f>IF(E14=0,0,E14/TrRail_act!E7*1000)</f>
        <v>20.543776905720474</v>
      </c>
      <c r="F38" s="87">
        <f>IF(F14=0,0,F14/TrRail_act!F7*1000)</f>
        <v>19.885285632598155</v>
      </c>
      <c r="G38" s="87">
        <f>IF(G14=0,0,G14/TrRail_act!G7*1000)</f>
        <v>18.99520910917823</v>
      </c>
      <c r="H38" s="87">
        <f>IF(H14=0,0,H14/TrRail_act!H7*1000)</f>
        <v>16.718856311880835</v>
      </c>
      <c r="I38" s="87">
        <f>IF(I14=0,0,I14/TrRail_act!I7*1000)</f>
        <v>16.026676092468687</v>
      </c>
      <c r="J38" s="87">
        <f>IF(J14=0,0,J14/TrRail_act!J7*1000)</f>
        <v>14.986044099280996</v>
      </c>
      <c r="K38" s="87">
        <f>IF(K14=0,0,K14/TrRail_act!K7*1000)</f>
        <v>14.904329992319768</v>
      </c>
      <c r="L38" s="87">
        <f>IF(L14=0,0,L14/TrRail_act!L7*1000)</f>
        <v>15.288577368812806</v>
      </c>
      <c r="M38" s="87">
        <f>IF(M14=0,0,M14/TrRail_act!M7*1000)</f>
        <v>14.732395400324323</v>
      </c>
      <c r="N38" s="87">
        <f>IF(N14=0,0,N14/TrRail_act!N7*1000)</f>
        <v>14.290555389466414</v>
      </c>
      <c r="O38" s="87">
        <f>IF(O14=0,0,O14/TrRail_act!O7*1000)</f>
        <v>14.024051838881256</v>
      </c>
      <c r="P38" s="87">
        <f>IF(P14=0,0,P14/TrRail_act!P7*1000)</f>
        <v>13.406511880146521</v>
      </c>
      <c r="Q38" s="87">
        <f>IF(Q14=0,0,Q14/TrRail_act!Q7*1000)</f>
        <v>12.81933532954484</v>
      </c>
      <c r="R38" s="87">
        <f>IF(R14=0,0,R14/TrRail_act!R7*1000)</f>
        <v>13.165235279132611</v>
      </c>
      <c r="S38" s="87">
        <f>IF(S14=0,0,S14/TrRail_act!S7*1000)</f>
        <v>12.595122412234554</v>
      </c>
      <c r="T38" s="87">
        <f>IF(T14=0,0,T14/TrRail_act!T7*1000)</f>
        <v>12.318965115134153</v>
      </c>
      <c r="U38" s="87">
        <f>IF(U14=0,0,U14/TrRail_act!U7*1000)</f>
        <v>12.012843961360542</v>
      </c>
      <c r="V38" s="87">
        <f>IF(V14=0,0,V14/TrRail_act!V7*1000)</f>
        <v>19.551762448244258</v>
      </c>
      <c r="W38" s="87">
        <f>IF(W14=0,0,W14/TrRail_act!W7*1000)</f>
        <v>23.324851301788431</v>
      </c>
      <c r="X38" s="87">
        <f>IF(X14=0,0,X14/TrRail_act!X7*1000)</f>
        <v>15.207915925786432</v>
      </c>
      <c r="Y38" s="87">
        <f>IF(Y14=0,0,Y14/TrRail_act!Y7*1000)</f>
        <v>14.54603207297421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18.006100849727211</v>
      </c>
      <c r="C39" s="87">
        <f>IF(C15=0,0,C15/TrRail_act!C8*1000)</f>
        <v>17.587122080027562</v>
      </c>
      <c r="D39" s="87">
        <f>IF(D15=0,0,D15/TrRail_act!D8*1000)</f>
        <v>18.934598514682065</v>
      </c>
      <c r="E39" s="87">
        <f>IF(E15=0,0,E15/TrRail_act!E8*1000)</f>
        <v>16.472431250637573</v>
      </c>
      <c r="F39" s="87">
        <f>IF(F15=0,0,F15/TrRail_act!F8*1000)</f>
        <v>16.044865372683571</v>
      </c>
      <c r="G39" s="87">
        <f>IF(G15=0,0,G15/TrRail_act!G8*1000)</f>
        <v>15.805426334674751</v>
      </c>
      <c r="H39" s="87">
        <f>IF(H15=0,0,H15/TrRail_act!H8*1000)</f>
        <v>14.130592809595505</v>
      </c>
      <c r="I39" s="87">
        <f>IF(I15=0,0,I15/TrRail_act!I8*1000)</f>
        <v>13.513486051816219</v>
      </c>
      <c r="J39" s="87">
        <f>IF(J15=0,0,J15/TrRail_act!J8*1000)</f>
        <v>12.311194999158017</v>
      </c>
      <c r="K39" s="87">
        <f>IF(K15=0,0,K15/TrRail_act!K8*1000)</f>
        <v>12.320083897999245</v>
      </c>
      <c r="L39" s="87">
        <f>IF(L15=0,0,L15/TrRail_act!L8*1000)</f>
        <v>12.692964816669969</v>
      </c>
      <c r="M39" s="87">
        <f>IF(M15=0,0,M15/TrRail_act!M8*1000)</f>
        <v>11.515733778960694</v>
      </c>
      <c r="N39" s="87">
        <f>IF(N15=0,0,N15/TrRail_act!N8*1000)</f>
        <v>11.14397900332493</v>
      </c>
      <c r="O39" s="87">
        <f>IF(O15=0,0,O15/TrRail_act!O8*1000)</f>
        <v>10.81434264646705</v>
      </c>
      <c r="P39" s="87">
        <f>IF(P15=0,0,P15/TrRail_act!P8*1000)</f>
        <v>10.175658014613401</v>
      </c>
      <c r="Q39" s="87">
        <f>IF(Q15=0,0,Q15/TrRail_act!Q8*1000)</f>
        <v>10.250991079281823</v>
      </c>
      <c r="R39" s="87">
        <f>IF(R15=0,0,R15/TrRail_act!R8*1000)</f>
        <v>10.14453169057508</v>
      </c>
      <c r="S39" s="87">
        <f>IF(S15=0,0,S15/TrRail_act!S8*1000)</f>
        <v>9.9365194156620902</v>
      </c>
      <c r="T39" s="87">
        <f>IF(T15=0,0,T15/TrRail_act!T8*1000)</f>
        <v>9.2159799123784722</v>
      </c>
      <c r="U39" s="87">
        <f>IF(U15=0,0,U15/TrRail_act!U8*1000)</f>
        <v>9.1975290998427077</v>
      </c>
      <c r="V39" s="87">
        <f>IF(V15=0,0,V15/TrRail_act!V8*1000)</f>
        <v>14.189912922189476</v>
      </c>
      <c r="W39" s="87">
        <f>IF(W15=0,0,W15/TrRail_act!W8*1000)</f>
        <v>18.872491496651563</v>
      </c>
      <c r="X39" s="87">
        <f>IF(X15=0,0,X15/TrRail_act!X8*1000)</f>
        <v>11.338346245630747</v>
      </c>
      <c r="Y39" s="87">
        <f>IF(Y15=0,0,Y15/TrRail_act!Y8*1000)</f>
        <v>10.71125098032334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9.0166714725532362</v>
      </c>
      <c r="C40" s="117">
        <f>IF(C16=0,0,C16/TrRail_act!C9*1000)</f>
        <v>9.1297433708700009</v>
      </c>
      <c r="D40" s="117">
        <f>IF(D16=0,0,D16/TrRail_act!D9*1000)</f>
        <v>8.9612949796220143</v>
      </c>
      <c r="E40" s="117">
        <f>IF(E16=0,0,E16/TrRail_act!E9*1000)</f>
        <v>8.6749081334743838</v>
      </c>
      <c r="F40" s="117">
        <f>IF(F16=0,0,F16/TrRail_act!F9*1000)</f>
        <v>8.3951733283856544</v>
      </c>
      <c r="G40" s="117">
        <f>IF(G16=0,0,G16/TrRail_act!G9*1000)</f>
        <v>7.8023361383847547</v>
      </c>
      <c r="H40" s="117">
        <f>IF(H16=0,0,H16/TrRail_act!H9*1000)</f>
        <v>7.28653127160627</v>
      </c>
      <c r="I40" s="117">
        <f>IF(I16=0,0,I16/TrRail_act!I9*1000)</f>
        <v>6.9169327229776192</v>
      </c>
      <c r="J40" s="117">
        <f>IF(J16=0,0,J16/TrRail_act!J9*1000)</f>
        <v>6.7561333127345584</v>
      </c>
      <c r="K40" s="117">
        <f>IF(K16=0,0,K16/TrRail_act!K9*1000)</f>
        <v>6.6769604195489745</v>
      </c>
      <c r="L40" s="117">
        <f>IF(L16=0,0,L16/TrRail_act!L9*1000)</f>
        <v>6.5420184326306012</v>
      </c>
      <c r="M40" s="117">
        <f>IF(M16=0,0,M16/TrRail_act!M9*1000)</f>
        <v>6.4558346785659833</v>
      </c>
      <c r="N40" s="117">
        <f>IF(N16=0,0,N16/TrRail_act!N9*1000)</f>
        <v>5.9102471313430458</v>
      </c>
      <c r="O40" s="117">
        <f>IF(O16=0,0,O16/TrRail_act!O9*1000)</f>
        <v>5.6877491085340344</v>
      </c>
      <c r="P40" s="117">
        <f>IF(P16=0,0,P16/TrRail_act!P9*1000)</f>
        <v>5.5010364573274533</v>
      </c>
      <c r="Q40" s="117">
        <f>IF(Q16=0,0,Q16/TrRail_act!Q9*1000)</f>
        <v>5.1553748377623245</v>
      </c>
      <c r="R40" s="117">
        <f>IF(R16=0,0,R16/TrRail_act!R9*1000)</f>
        <v>4.8602590267403851</v>
      </c>
      <c r="S40" s="117">
        <f>IF(S16=0,0,S16/TrRail_act!S9*1000)</f>
        <v>4.5937916692894882</v>
      </c>
      <c r="T40" s="117">
        <f>IF(T16=0,0,T16/TrRail_act!T9*1000)</f>
        <v>4.3928774681633689</v>
      </c>
      <c r="U40" s="117">
        <f>IF(U16=0,0,U16/TrRail_act!U9*1000)</f>
        <v>4.35620157420637</v>
      </c>
      <c r="V40" s="117">
        <f>IF(V16=0,0,V16/TrRail_act!V9*1000)</f>
        <v>7.7823668266067667</v>
      </c>
      <c r="W40" s="117">
        <f>IF(W16=0,0,W16/TrRail_act!W9*1000)</f>
        <v>7.3327088324842213</v>
      </c>
      <c r="X40" s="117">
        <f>IF(X16=0,0,X16/TrRail_act!X9*1000)</f>
        <v>4.217159236057455</v>
      </c>
      <c r="Y40" s="117">
        <f>IF(Y16=0,0,Y16/TrRail_act!Y9*1000)</f>
        <v>3.8896377424040294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5.9429622641034392</v>
      </c>
      <c r="C41" s="29">
        <f>IF(C17=0,0,C17/TrRail_act!C10*1000)</f>
        <v>6.9368261122738604</v>
      </c>
      <c r="D41" s="29">
        <f>IF(D17=0,0,D17/TrRail_act!D10*1000)</f>
        <v>6.974180896329977</v>
      </c>
      <c r="E41" s="29">
        <f>IF(E17=0,0,E17/TrRail_act!E10*1000)</f>
        <v>5.0414617962451667</v>
      </c>
      <c r="F41" s="29">
        <f>IF(F17=0,0,F17/TrRail_act!F10*1000)</f>
        <v>4.8270079966307531</v>
      </c>
      <c r="G41" s="29">
        <f>IF(G17=0,0,G17/TrRail_act!G10*1000)</f>
        <v>4.0735877082019742</v>
      </c>
      <c r="H41" s="29">
        <f>IF(H17=0,0,H17/TrRail_act!H10*1000)</f>
        <v>3.9017830068790031</v>
      </c>
      <c r="I41" s="29">
        <f>IF(I17=0,0,I17/TrRail_act!I10*1000)</f>
        <v>3.6678494411686611</v>
      </c>
      <c r="J41" s="29">
        <f>IF(J17=0,0,J17/TrRail_act!J10*1000)</f>
        <v>2.9956008820275044</v>
      </c>
      <c r="K41" s="29">
        <f>IF(K17=0,0,K17/TrRail_act!K10*1000)</f>
        <v>3.6660172184021973</v>
      </c>
      <c r="L41" s="29">
        <f>IF(L17=0,0,L17/TrRail_act!L10*1000)</f>
        <v>3.4303045831560341</v>
      </c>
      <c r="M41" s="29">
        <f>IF(M17=0,0,M17/TrRail_act!M10*1000)</f>
        <v>3.5654591267175597</v>
      </c>
      <c r="N41" s="29">
        <f>IF(N17=0,0,N17/TrRail_act!N10*1000)</f>
        <v>3.6471590707171213</v>
      </c>
      <c r="O41" s="29">
        <f>IF(O17=0,0,O17/TrRail_act!O10*1000)</f>
        <v>3.6118024484874875</v>
      </c>
      <c r="P41" s="29">
        <f>IF(P17=0,0,P17/TrRail_act!P10*1000)</f>
        <v>3.4796399983898292</v>
      </c>
      <c r="Q41" s="29">
        <f>IF(Q17=0,0,Q17/TrRail_act!Q10*1000)</f>
        <v>3.22241459448863</v>
      </c>
      <c r="R41" s="29">
        <f>IF(R17=0,0,R17/TrRail_act!R10*1000)</f>
        <v>2.9626918495419106</v>
      </c>
      <c r="S41" s="29">
        <f>IF(S17=0,0,S17/TrRail_act!S10*1000)</f>
        <v>3.1423325565346389</v>
      </c>
      <c r="T41" s="29">
        <f>IF(T17=0,0,T17/TrRail_act!T10*1000)</f>
        <v>3.1800383135846761</v>
      </c>
      <c r="U41" s="29">
        <f>IF(U17=0,0,U17/TrRail_act!U10*1000)</f>
        <v>2.9038928484207074</v>
      </c>
      <c r="V41" s="29">
        <f>IF(V17=0,0,V17/TrRail_act!V10*1000)</f>
        <v>3.5331154617859917</v>
      </c>
      <c r="W41" s="29">
        <f>IF(W17=0,0,W17/TrRail_act!W10*1000)</f>
        <v>3.5161766668411549</v>
      </c>
      <c r="X41" s="29">
        <f>IF(X17=0,0,X17/TrRail_act!X10*1000)</f>
        <v>2.9066210488720619</v>
      </c>
      <c r="Y41" s="29">
        <f>IF(Y17=0,0,Y17/TrRail_act!Y10*1000)</f>
        <v>2.672928384062105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8.6758821818780785</v>
      </c>
      <c r="C42" s="87">
        <f>IF(C18=0,0,C18/TrRail_act!C11*1000)</f>
        <v>8.6850078819703445</v>
      </c>
      <c r="D42" s="87">
        <f>IF(D18=0,0,D18/TrRail_act!D11*1000)</f>
        <v>7.8646379679989593</v>
      </c>
      <c r="E42" s="87">
        <f>IF(E18=0,0,E18/TrRail_act!E11*1000)</f>
        <v>6.5176149637133118</v>
      </c>
      <c r="F42" s="87">
        <f>IF(F18=0,0,F18/TrRail_act!F11*1000)</f>
        <v>6.4570214931810774</v>
      </c>
      <c r="G42" s="87">
        <f>IF(G18=0,0,G18/TrRail_act!G11*1000)</f>
        <v>6.0251666789667029</v>
      </c>
      <c r="H42" s="87">
        <f>IF(H18=0,0,H18/TrRail_act!H11*1000)</f>
        <v>5.9263710262781748</v>
      </c>
      <c r="I42" s="87">
        <f>IF(I18=0,0,I18/TrRail_act!I11*1000)</f>
        <v>5.520282999309325</v>
      </c>
      <c r="J42" s="87">
        <f>IF(J18=0,0,J18/TrRail_act!J11*1000)</f>
        <v>4.5432983313879243</v>
      </c>
      <c r="K42" s="87">
        <f>IF(K18=0,0,K18/TrRail_act!K11*1000)</f>
        <v>5.3859543764502886</v>
      </c>
      <c r="L42" s="87">
        <f>IF(L18=0,0,L18/TrRail_act!L11*1000)</f>
        <v>5.1312168743397102</v>
      </c>
      <c r="M42" s="87">
        <f>IF(M18=0,0,M18/TrRail_act!M11*1000)</f>
        <v>4.8488179769023461</v>
      </c>
      <c r="N42" s="87">
        <f>IF(N18=0,0,N18/TrRail_act!N11*1000)</f>
        <v>4.7220371457383976</v>
      </c>
      <c r="O42" s="87">
        <f>IF(O18=0,0,O18/TrRail_act!O11*1000)</f>
        <v>4.5384992984080732</v>
      </c>
      <c r="P42" s="87">
        <f>IF(P18=0,0,P18/TrRail_act!P11*1000)</f>
        <v>4.1910546614700923</v>
      </c>
      <c r="Q42" s="87">
        <f>IF(Q18=0,0,Q18/TrRail_act!Q11*1000)</f>
        <v>4.291890141411451</v>
      </c>
      <c r="R42" s="87">
        <f>IF(R18=0,0,R18/TrRail_act!R11*1000)</f>
        <v>3.7928183222080634</v>
      </c>
      <c r="S42" s="87">
        <f>IF(S18=0,0,S18/TrRail_act!S11*1000)</f>
        <v>4.0205615055042747</v>
      </c>
      <c r="T42" s="87">
        <f>IF(T18=0,0,T18/TrRail_act!T11*1000)</f>
        <v>3.7523657282200951</v>
      </c>
      <c r="U42" s="87">
        <f>IF(U18=0,0,U18/TrRail_act!U11*1000)</f>
        <v>3.6604742504503105</v>
      </c>
      <c r="V42" s="87">
        <f>IF(V18=0,0,V18/TrRail_act!V11*1000)</f>
        <v>4.3809547780912128</v>
      </c>
      <c r="W42" s="87">
        <f>IF(W18=0,0,W18/TrRail_act!W11*1000)</f>
        <v>4.9098042448286989</v>
      </c>
      <c r="X42" s="87">
        <f>IF(X18=0,0,X18/TrRail_act!X11*1000)</f>
        <v>3.6947559475302785</v>
      </c>
      <c r="Y42" s="87">
        <f>IF(Y18=0,0,Y18/TrRail_act!Y11*1000)</f>
        <v>3.3247072758566651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5.2682112182882284</v>
      </c>
      <c r="C43" s="88">
        <f>IF(C19=0,0,C19/TrRail_act!C12*1000)</f>
        <v>6.5122672496996739</v>
      </c>
      <c r="D43" s="88">
        <f>IF(D19=0,0,D19/TrRail_act!D12*1000)</f>
        <v>6.7614164441005276</v>
      </c>
      <c r="E43" s="88">
        <f>IF(E19=0,0,E19/TrRail_act!E12*1000)</f>
        <v>4.639192725078912</v>
      </c>
      <c r="F43" s="88">
        <f>IF(F19=0,0,F19/TrRail_act!F12*1000)</f>
        <v>4.3968547363422443</v>
      </c>
      <c r="G43" s="88">
        <f>IF(G19=0,0,G19/TrRail_act!G12*1000)</f>
        <v>3.604417612648779</v>
      </c>
      <c r="H43" s="88">
        <f>IF(H19=0,0,H19/TrRail_act!H12*1000)</f>
        <v>3.4253864585542728</v>
      </c>
      <c r="I43" s="88">
        <f>IF(I19=0,0,I19/TrRail_act!I12*1000)</f>
        <v>3.2237967836404113</v>
      </c>
      <c r="J43" s="88">
        <f>IF(J19=0,0,J19/TrRail_act!J12*1000)</f>
        <v>2.5973336199714456</v>
      </c>
      <c r="K43" s="88">
        <f>IF(K19=0,0,K19/TrRail_act!K12*1000)</f>
        <v>3.2801405430408717</v>
      </c>
      <c r="L43" s="88">
        <f>IF(L19=0,0,L19/TrRail_act!L12*1000)</f>
        <v>3.0567938327634687</v>
      </c>
      <c r="M43" s="88">
        <f>IF(M19=0,0,M19/TrRail_act!M12*1000)</f>
        <v>3.2881712006897641</v>
      </c>
      <c r="N43" s="88">
        <f>IF(N19=0,0,N19/TrRail_act!N12*1000)</f>
        <v>3.4158929416360908</v>
      </c>
      <c r="O43" s="88">
        <f>IF(O19=0,0,O19/TrRail_act!O12*1000)</f>
        <v>3.4170927424555675</v>
      </c>
      <c r="P43" s="88">
        <f>IF(P19=0,0,P19/TrRail_act!P12*1000)</f>
        <v>3.3245473571965047</v>
      </c>
      <c r="Q43" s="88">
        <f>IF(Q19=0,0,Q19/TrRail_act!Q12*1000)</f>
        <v>2.9904708999896306</v>
      </c>
      <c r="R43" s="88">
        <f>IF(R19=0,0,R19/TrRail_act!R12*1000)</f>
        <v>2.7840922033531217</v>
      </c>
      <c r="S43" s="88">
        <f>IF(S19=0,0,S19/TrRail_act!S12*1000)</f>
        <v>2.9861161857240761</v>
      </c>
      <c r="T43" s="88">
        <f>IF(T19=0,0,T19/TrRail_act!T12*1000)</f>
        <v>3.0912482454193788</v>
      </c>
      <c r="U43" s="88">
        <f>IF(U19=0,0,U19/TrRail_act!U12*1000)</f>
        <v>2.7700022583808974</v>
      </c>
      <c r="V43" s="88">
        <f>IF(V19=0,0,V19/TrRail_act!V12*1000)</f>
        <v>3.3882131158948812</v>
      </c>
      <c r="W43" s="88">
        <f>IF(W19=0,0,W19/TrRail_act!W12*1000)</f>
        <v>3.1661361906374803</v>
      </c>
      <c r="X43" s="88">
        <f>IF(X19=0,0,X19/TrRail_act!X12*1000)</f>
        <v>2.7732357333272053</v>
      </c>
      <c r="Y43" s="88">
        <f>IF(Y19=0,0,Y19/TrRail_act!Y12*1000)</f>
        <v>2.5572481452146518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304486.70662161912</v>
      </c>
      <c r="C45" s="54">
        <f>IF(C10=0,0,1000000*C10/TrRail_act!C25)</f>
        <v>315241.06849577295</v>
      </c>
      <c r="D45" s="54">
        <f>IF(D10=0,0,1000000*D10/TrRail_act!D25)</f>
        <v>298129.11722076678</v>
      </c>
      <c r="E45" s="54">
        <f>IF(E10=0,0,1000000*E10/TrRail_act!E25)</f>
        <v>255079.58716374298</v>
      </c>
      <c r="F45" s="54">
        <f>IF(F10=0,0,1000000*F10/TrRail_act!F25)</f>
        <v>248616.41541243289</v>
      </c>
      <c r="G45" s="54">
        <f>IF(G10=0,0,1000000*G10/TrRail_act!G25)</f>
        <v>233919.15655010522</v>
      </c>
      <c r="H45" s="54">
        <f>IF(H10=0,0,1000000*H10/TrRail_act!H25)</f>
        <v>225835.55537660609</v>
      </c>
      <c r="I45" s="54">
        <f>IF(I10=0,0,1000000*I10/TrRail_act!I25)</f>
        <v>213699.67946937028</v>
      </c>
      <c r="J45" s="54">
        <f>IF(J10=0,0,1000000*J10/TrRail_act!J25)</f>
        <v>201870.11303878421</v>
      </c>
      <c r="K45" s="54">
        <f>IF(K10=0,0,1000000*K10/TrRail_act!K25)</f>
        <v>193200.80615737766</v>
      </c>
      <c r="L45" s="54">
        <f>IF(L10=0,0,1000000*L10/TrRail_act!L25)</f>
        <v>195523.41720505632</v>
      </c>
      <c r="M45" s="54">
        <f>IF(M10=0,0,1000000*M10/TrRail_act!M25)</f>
        <v>195762.9809052269</v>
      </c>
      <c r="N45" s="54">
        <f>IF(N10=0,0,1000000*N10/TrRail_act!N25)</f>
        <v>192321.90148759107</v>
      </c>
      <c r="O45" s="54">
        <f>IF(O10=0,0,1000000*O10/TrRail_act!O25)</f>
        <v>187354.92618218556</v>
      </c>
      <c r="P45" s="54">
        <f>IF(P10=0,0,1000000*P10/TrRail_act!P25)</f>
        <v>180832.51667526524</v>
      </c>
      <c r="Q45" s="54">
        <f>IF(Q10=0,0,1000000*Q10/TrRail_act!Q25)</f>
        <v>172618.1567937058</v>
      </c>
      <c r="R45" s="54">
        <f>IF(R10=0,0,1000000*R10/TrRail_act!R25)</f>
        <v>170781.09263370204</v>
      </c>
      <c r="S45" s="54">
        <f>IF(S10=0,0,1000000*S10/TrRail_act!S25)</f>
        <v>164220.09564082962</v>
      </c>
      <c r="T45" s="54">
        <f>IF(T10=0,0,1000000*T10/TrRail_act!T25)</f>
        <v>162273.46978873137</v>
      </c>
      <c r="U45" s="54">
        <f>IF(U10=0,0,1000000*U10/TrRail_act!U25)</f>
        <v>163160.51796013353</v>
      </c>
      <c r="V45" s="54">
        <f>IF(V10=0,0,1000000*V10/TrRail_act!V25)</f>
        <v>166721.86094101198</v>
      </c>
      <c r="W45" s="54">
        <f>IF(W10=0,0,1000000*W10/TrRail_act!W25)</f>
        <v>176236.51105237013</v>
      </c>
      <c r="X45" s="54">
        <f>IF(X10=0,0,1000000*X10/TrRail_act!X25)</f>
        <v>162017.85099974618</v>
      </c>
      <c r="Y45" s="54">
        <f>IF(Y10=0,0,1000000*Y10/TrRail_act!Y25)</f>
        <v>167751.21084110264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266677.88424505782</v>
      </c>
      <c r="C46" s="28">
        <f>IF(C11=0,0,1000000*C11/TrRail_act!C26)</f>
        <v>268640.97255604283</v>
      </c>
      <c r="D46" s="28">
        <f>IF(D11=0,0,1000000*D11/TrRail_act!D26)</f>
        <v>251731.43141991776</v>
      </c>
      <c r="E46" s="28">
        <f>IF(E11=0,0,1000000*E11/TrRail_act!E26)</f>
        <v>221700.49067405795</v>
      </c>
      <c r="F46" s="28">
        <f>IF(F11=0,0,1000000*F11/TrRail_act!F26)</f>
        <v>214691.08459116926</v>
      </c>
      <c r="G46" s="28">
        <f>IF(G11=0,0,1000000*G11/TrRail_act!G26)</f>
        <v>204853.7626097982</v>
      </c>
      <c r="H46" s="28">
        <f>IF(H11=0,0,1000000*H11/TrRail_act!H26)</f>
        <v>194523.60442441239</v>
      </c>
      <c r="I46" s="28">
        <f>IF(I11=0,0,1000000*I11/TrRail_act!I26)</f>
        <v>182714.22699131226</v>
      </c>
      <c r="J46" s="28">
        <f>IF(J11=0,0,1000000*J11/TrRail_act!J26)</f>
        <v>177921.58079951859</v>
      </c>
      <c r="K46" s="28">
        <f>IF(K11=0,0,1000000*K11/TrRail_act!K26)</f>
        <v>167688.19051782007</v>
      </c>
      <c r="L46" s="28">
        <f>IF(L11=0,0,1000000*L11/TrRail_act!L26)</f>
        <v>169604.7196294418</v>
      </c>
      <c r="M46" s="28">
        <f>IF(M11=0,0,1000000*M11/TrRail_act!M26)</f>
        <v>167578.7330396935</v>
      </c>
      <c r="N46" s="28">
        <f>IF(N11=0,0,1000000*N11/TrRail_act!N26)</f>
        <v>164489.37818474972</v>
      </c>
      <c r="O46" s="28">
        <f>IF(O11=0,0,1000000*O11/TrRail_act!O26)</f>
        <v>159843.35417047047</v>
      </c>
      <c r="P46" s="28">
        <f>IF(P11=0,0,1000000*P11/TrRail_act!P26)</f>
        <v>153885.09518081191</v>
      </c>
      <c r="Q46" s="28">
        <f>IF(Q11=0,0,1000000*Q11/TrRail_act!Q26)</f>
        <v>147403.57711414128</v>
      </c>
      <c r="R46" s="28">
        <f>IF(R11=0,0,1000000*R11/TrRail_act!R26)</f>
        <v>144984.47270386416</v>
      </c>
      <c r="S46" s="28">
        <f>IF(S11=0,0,1000000*S11/TrRail_act!S26)</f>
        <v>138431.66968648782</v>
      </c>
      <c r="T46" s="28">
        <f>IF(T11=0,0,1000000*T11/TrRail_act!T26)</f>
        <v>135991.74169730992</v>
      </c>
      <c r="U46" s="28">
        <f>IF(U11=0,0,1000000*U11/TrRail_act!U26)</f>
        <v>139775.39824444105</v>
      </c>
      <c r="V46" s="28">
        <f>IF(V11=0,0,1000000*V11/TrRail_act!V26)</f>
        <v>139650.00793845518</v>
      </c>
      <c r="W46" s="28">
        <f>IF(W11=0,0,1000000*W11/TrRail_act!W26)</f>
        <v>148728.28450704901</v>
      </c>
      <c r="X46" s="28">
        <f>IF(X11=0,0,1000000*X11/TrRail_act!X26)</f>
        <v>139438.84087768616</v>
      </c>
      <c r="Y46" s="28">
        <f>IF(Y11=0,0,1000000*Y11/TrRail_act!Y26)</f>
        <v>147954.6595956441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52540.172569927083</v>
      </c>
      <c r="C47" s="108">
        <f>IF(C12=0,0,1000000*C12/TrRail_act!C27)</f>
        <v>51717.817800973906</v>
      </c>
      <c r="D47" s="108">
        <f>IF(D12=0,0,1000000*D12/TrRail_act!D27)</f>
        <v>50763.597856892542</v>
      </c>
      <c r="E47" s="108">
        <f>IF(E12=0,0,1000000*E12/TrRail_act!E27)</f>
        <v>52111.648683605854</v>
      </c>
      <c r="F47" s="108">
        <f>IF(F12=0,0,1000000*F12/TrRail_act!F27)</f>
        <v>49931.914971983708</v>
      </c>
      <c r="G47" s="108">
        <f>IF(G12=0,0,1000000*G12/TrRail_act!G27)</f>
        <v>44940.451748374944</v>
      </c>
      <c r="H47" s="108">
        <f>IF(H12=0,0,1000000*H12/TrRail_act!H27)</f>
        <v>42567.884537364684</v>
      </c>
      <c r="I47" s="108">
        <f>IF(I12=0,0,1000000*I12/TrRail_act!I27)</f>
        <v>40262.681345135003</v>
      </c>
      <c r="J47" s="108">
        <f>IF(J12=0,0,1000000*J12/TrRail_act!J27)</f>
        <v>39874.416001365978</v>
      </c>
      <c r="K47" s="108">
        <f>IF(K12=0,0,1000000*K12/TrRail_act!K27)</f>
        <v>39830.428464368946</v>
      </c>
      <c r="L47" s="108">
        <f>IF(L12=0,0,1000000*L12/TrRail_act!L27)</f>
        <v>39759.558247195018</v>
      </c>
      <c r="M47" s="108">
        <f>IF(M12=0,0,1000000*M12/TrRail_act!M27)</f>
        <v>39627.358117792341</v>
      </c>
      <c r="N47" s="108">
        <f>IF(N12=0,0,1000000*N12/TrRail_act!N27)</f>
        <v>37484.26395073632</v>
      </c>
      <c r="O47" s="108">
        <f>IF(O12=0,0,1000000*O12/TrRail_act!O27)</f>
        <v>36793.322655531396</v>
      </c>
      <c r="P47" s="108">
        <f>IF(P12=0,0,1000000*P12/TrRail_act!P27)</f>
        <v>35964.082159303842</v>
      </c>
      <c r="Q47" s="108">
        <f>IF(Q12=0,0,1000000*Q12/TrRail_act!Q27)</f>
        <v>33880.352859984421</v>
      </c>
      <c r="R47" s="108">
        <f>IF(R12=0,0,1000000*R12/TrRail_act!R27)</f>
        <v>32397.174320379316</v>
      </c>
      <c r="S47" s="108">
        <f>IF(S12=0,0,1000000*S12/TrRail_act!S27)</f>
        <v>31327.55771021685</v>
      </c>
      <c r="T47" s="108">
        <f>IF(T12=0,0,1000000*T12/TrRail_act!T27)</f>
        <v>30548.584611520226</v>
      </c>
      <c r="U47" s="108">
        <f>IF(U12=0,0,1000000*U12/TrRail_act!U27)</f>
        <v>29977.092558858119</v>
      </c>
      <c r="V47" s="108">
        <f>IF(V12=0,0,1000000*V12/TrRail_act!V27)</f>
        <v>26300.978769181282</v>
      </c>
      <c r="W47" s="108">
        <f>IF(W12=0,0,1000000*W12/TrRail_act!W27)</f>
        <v>29243.20236407053</v>
      </c>
      <c r="X47" s="108">
        <f>IF(X12=0,0,1000000*X12/TrRail_act!X27)</f>
        <v>26086.689332572514</v>
      </c>
      <c r="Y47" s="108">
        <f>IF(Y12=0,0,1000000*Y12/TrRail_act!Y27)</f>
        <v>28838.3131713494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343302.78824537282</v>
      </c>
      <c r="C48" s="110">
        <f>IF(C13=0,0,1000000*C13/TrRail_act!C28)</f>
        <v>345431.49749988911</v>
      </c>
      <c r="D48" s="110">
        <f>IF(D13=0,0,1000000*D13/TrRail_act!D28)</f>
        <v>322658.53224995791</v>
      </c>
      <c r="E48" s="110">
        <f>IF(E13=0,0,1000000*E13/TrRail_act!E28)</f>
        <v>271933.13529049681</v>
      </c>
      <c r="F48" s="110">
        <f>IF(F13=0,0,1000000*F13/TrRail_act!F28)</f>
        <v>260950.02928328837</v>
      </c>
      <c r="G48" s="110">
        <f>IF(G13=0,0,1000000*G13/TrRail_act!G28)</f>
        <v>251051.0208400526</v>
      </c>
      <c r="H48" s="110">
        <f>IF(H13=0,0,1000000*H13/TrRail_act!H28)</f>
        <v>238677.51551753457</v>
      </c>
      <c r="I48" s="110">
        <f>IF(I13=0,0,1000000*I13/TrRail_act!I28)</f>
        <v>224223.00835082354</v>
      </c>
      <c r="J48" s="110">
        <f>IF(J13=0,0,1000000*J13/TrRail_act!J28)</f>
        <v>215313.99479925862</v>
      </c>
      <c r="K48" s="110">
        <f>IF(K13=0,0,1000000*K13/TrRail_act!K28)</f>
        <v>200560.97193465894</v>
      </c>
      <c r="L48" s="110">
        <f>IF(L13=0,0,1000000*L13/TrRail_act!L28)</f>
        <v>200539.14261486975</v>
      </c>
      <c r="M48" s="110">
        <f>IF(M13=0,0,1000000*M13/TrRail_act!M28)</f>
        <v>200720.91569917309</v>
      </c>
      <c r="N48" s="110">
        <f>IF(N13=0,0,1000000*N13/TrRail_act!N28)</f>
        <v>197025.48348276826</v>
      </c>
      <c r="O48" s="110">
        <f>IF(O13=0,0,1000000*O13/TrRail_act!O28)</f>
        <v>190797.77581075602</v>
      </c>
      <c r="P48" s="110">
        <f>IF(P13=0,0,1000000*P13/TrRail_act!P28)</f>
        <v>182895.55834297082</v>
      </c>
      <c r="Q48" s="110">
        <f>IF(Q13=0,0,1000000*Q13/TrRail_act!Q28)</f>
        <v>175065.084677003</v>
      </c>
      <c r="R48" s="110">
        <f>IF(R13=0,0,1000000*R13/TrRail_act!R28)</f>
        <v>171221.44081769674</v>
      </c>
      <c r="S48" s="110">
        <f>IF(S13=0,0,1000000*S13/TrRail_act!S28)</f>
        <v>162586.20480158104</v>
      </c>
      <c r="T48" s="110">
        <f>IF(T13=0,0,1000000*T13/TrRail_act!T28)</f>
        <v>160261.38076212455</v>
      </c>
      <c r="U48" s="110">
        <f>IF(U13=0,0,1000000*U13/TrRail_act!U28)</f>
        <v>165304.95854128213</v>
      </c>
      <c r="V48" s="110">
        <f>IF(V13=0,0,1000000*V13/TrRail_act!V28)</f>
        <v>164532.35636559784</v>
      </c>
      <c r="W48" s="110">
        <f>IF(W13=0,0,1000000*W13/TrRail_act!W28)</f>
        <v>167468.34303086333</v>
      </c>
      <c r="X48" s="110">
        <f>IF(X13=0,0,1000000*X13/TrRail_act!X28)</f>
        <v>151044.5541473557</v>
      </c>
      <c r="Y48" s="110">
        <f>IF(Y13=0,0,1000000*Y13/TrRail_act!Y28)</f>
        <v>157620.16826198128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427252.25439608231</v>
      </c>
      <c r="C49" s="84">
        <f>IF(C14=0,0,1000000*C14/TrRail_act!C29)</f>
        <v>417130.53286736255</v>
      </c>
      <c r="D49" s="84">
        <f>IF(D14=0,0,1000000*D14/TrRail_act!D29)</f>
        <v>383077.80668212805</v>
      </c>
      <c r="E49" s="84">
        <f>IF(E14=0,0,1000000*E14/TrRail_act!E29)</f>
        <v>334325.29578747816</v>
      </c>
      <c r="F49" s="84">
        <f>IF(F14=0,0,1000000*F14/TrRail_act!F29)</f>
        <v>312179.34340890771</v>
      </c>
      <c r="G49" s="84">
        <f>IF(G14=0,0,1000000*G14/TrRail_act!G29)</f>
        <v>297194.92849641084</v>
      </c>
      <c r="H49" s="84">
        <f>IF(H14=0,0,1000000*H14/TrRail_act!H29)</f>
        <v>280211.24167405826</v>
      </c>
      <c r="I49" s="84">
        <f>IF(I14=0,0,1000000*I14/TrRail_act!I29)</f>
        <v>267982.97601161164</v>
      </c>
      <c r="J49" s="84">
        <f>IF(J14=0,0,1000000*J14/TrRail_act!J29)</f>
        <v>267321.11819443194</v>
      </c>
      <c r="K49" s="84">
        <f>IF(K14=0,0,1000000*K14/TrRail_act!K29)</f>
        <v>254222.97288724533</v>
      </c>
      <c r="L49" s="84">
        <f>IF(L14=0,0,1000000*L14/TrRail_act!L29)</f>
        <v>252431.78611431419</v>
      </c>
      <c r="M49" s="84">
        <f>IF(M14=0,0,1000000*M14/TrRail_act!M29)</f>
        <v>250076.30707456454</v>
      </c>
      <c r="N49" s="84">
        <f>IF(N14=0,0,1000000*N14/TrRail_act!N29)</f>
        <v>248236.16324351029</v>
      </c>
      <c r="O49" s="84">
        <f>IF(O14=0,0,1000000*O14/TrRail_act!O29)</f>
        <v>237444.16456782902</v>
      </c>
      <c r="P49" s="84">
        <f>IF(P14=0,0,1000000*P14/TrRail_act!P29)</f>
        <v>225198.34894828941</v>
      </c>
      <c r="Q49" s="84">
        <f>IF(Q14=0,0,1000000*Q14/TrRail_act!Q29)</f>
        <v>217779.28937299544</v>
      </c>
      <c r="R49" s="84">
        <f>IF(R14=0,0,1000000*R14/TrRail_act!R29)</f>
        <v>212375.83880602574</v>
      </c>
      <c r="S49" s="84">
        <f>IF(S14=0,0,1000000*S14/TrRail_act!S29)</f>
        <v>188521.17216475381</v>
      </c>
      <c r="T49" s="84">
        <f>IF(T14=0,0,1000000*T14/TrRail_act!T29)</f>
        <v>182190.79705771423</v>
      </c>
      <c r="U49" s="84">
        <f>IF(U14=0,0,1000000*U14/TrRail_act!U29)</f>
        <v>203320.19981542882</v>
      </c>
      <c r="V49" s="84">
        <f>IF(V14=0,0,1000000*V14/TrRail_act!V29)</f>
        <v>201710.29781866583</v>
      </c>
      <c r="W49" s="84">
        <f>IF(W14=0,0,1000000*W14/TrRail_act!W29)</f>
        <v>200511.24233387143</v>
      </c>
      <c r="X49" s="84">
        <f>IF(X14=0,0,1000000*X14/TrRail_act!X29)</f>
        <v>148211.50245537088</v>
      </c>
      <c r="Y49" s="84">
        <f>IF(Y14=0,0,1000000*Y14/TrRail_act!Y29)</f>
        <v>173036.44204810137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309523.5623282555</v>
      </c>
      <c r="C50" s="84">
        <f>IF(C15=0,0,1000000*C15/TrRail_act!C30)</f>
        <v>313505.27429412986</v>
      </c>
      <c r="D50" s="84">
        <f>IF(D15=0,0,1000000*D15/TrRail_act!D30)</f>
        <v>295232.18559887126</v>
      </c>
      <c r="E50" s="84">
        <f>IF(E15=0,0,1000000*E15/TrRail_act!E30)</f>
        <v>240653.96724774627</v>
      </c>
      <c r="F50" s="84">
        <f>IF(F15=0,0,1000000*F15/TrRail_act!F30)</f>
        <v>234957.63787914658</v>
      </c>
      <c r="G50" s="84">
        <f>IF(G15=0,0,1000000*G15/TrRail_act!G30)</f>
        <v>231071.29859003477</v>
      </c>
      <c r="H50" s="84">
        <f>IF(H15=0,0,1000000*H15/TrRail_act!H30)</f>
        <v>220940.87225874729</v>
      </c>
      <c r="I50" s="84">
        <f>IF(I15=0,0,1000000*I15/TrRail_act!I30)</f>
        <v>205460.95181035888</v>
      </c>
      <c r="J50" s="84">
        <f>IF(J15=0,0,1000000*J15/TrRail_act!J30)</f>
        <v>191903.71485114767</v>
      </c>
      <c r="K50" s="84">
        <f>IF(K15=0,0,1000000*K15/TrRail_act!K30)</f>
        <v>180385.66458091058</v>
      </c>
      <c r="L50" s="84">
        <f>IF(L15=0,0,1000000*L15/TrRail_act!L30)</f>
        <v>181559.91926606419</v>
      </c>
      <c r="M50" s="84">
        <f>IF(M15=0,0,1000000*M15/TrRail_act!M30)</f>
        <v>181728.66541315196</v>
      </c>
      <c r="N50" s="84">
        <f>IF(N15=0,0,1000000*N15/TrRail_act!N30)</f>
        <v>177486.20987426172</v>
      </c>
      <c r="O50" s="84">
        <f>IF(O15=0,0,1000000*O15/TrRail_act!O30)</f>
        <v>172911.20950924329</v>
      </c>
      <c r="P50" s="84">
        <f>IF(P15=0,0,1000000*P15/TrRail_act!P30)</f>
        <v>165551.97486069362</v>
      </c>
      <c r="Q50" s="84">
        <f>IF(Q15=0,0,1000000*Q15/TrRail_act!Q30)</f>
        <v>158778.67302811434</v>
      </c>
      <c r="R50" s="84">
        <f>IF(R15=0,0,1000000*R15/TrRail_act!R30)</f>
        <v>155419.99598244156</v>
      </c>
      <c r="S50" s="84">
        <f>IF(S15=0,0,1000000*S15/TrRail_act!S30)</f>
        <v>153712.4339078851</v>
      </c>
      <c r="T50" s="84">
        <f>IF(T15=0,0,1000000*T15/TrRail_act!T30)</f>
        <v>153206.30567933453</v>
      </c>
      <c r="U50" s="84">
        <f>IF(U15=0,0,1000000*U15/TrRail_act!U30)</f>
        <v>152827.80348119576</v>
      </c>
      <c r="V50" s="84">
        <f>IF(V15=0,0,1000000*V15/TrRail_act!V30)</f>
        <v>152544.5406027039</v>
      </c>
      <c r="W50" s="84">
        <f>IF(W15=0,0,1000000*W15/TrRail_act!W30)</f>
        <v>152332.4380677882</v>
      </c>
      <c r="X50" s="84">
        <f>IF(X15=0,0,1000000*X15/TrRail_act!X30)</f>
        <v>152173.55470535171</v>
      </c>
      <c r="Y50" s="84">
        <f>IF(Y15=0,0,1000000*Y15/TrRail_act!Y30)</f>
        <v>152054.5009562062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1014253.9376241629</v>
      </c>
      <c r="C51" s="113">
        <f>IF(C16=0,0,1000000*C16/TrRail_act!C31)</f>
        <v>1026973.0074710409</v>
      </c>
      <c r="D51" s="113">
        <f>IF(D16=0,0,1000000*D16/TrRail_act!D31)</f>
        <v>1008024.8337346003</v>
      </c>
      <c r="E51" s="113">
        <f>IF(E16=0,0,1000000*E16/TrRail_act!E31)</f>
        <v>975810.17553806526</v>
      </c>
      <c r="F51" s="113">
        <f>IF(F16=0,0,1000000*F16/TrRail_act!F31)</f>
        <v>944343.78500832105</v>
      </c>
      <c r="G51" s="113">
        <f>IF(G16=0,0,1000000*G16/TrRail_act!G31)</f>
        <v>877657.59230181039</v>
      </c>
      <c r="H51" s="113">
        <f>IF(H16=0,0,1000000*H16/TrRail_act!H31)</f>
        <v>857575.21340319293</v>
      </c>
      <c r="I51" s="113">
        <f>IF(I16=0,0,1000000*I16/TrRail_act!I31)</f>
        <v>827688.21160257014</v>
      </c>
      <c r="J51" s="113">
        <f>IF(J16=0,0,1000000*J16/TrRail_act!J31)</f>
        <v>821746.94309370581</v>
      </c>
      <c r="K51" s="113">
        <f>IF(K16=0,0,1000000*K16/TrRail_act!K31)</f>
        <v>828601.65393836237</v>
      </c>
      <c r="L51" s="113">
        <f>IF(L16=0,0,1000000*L16/TrRail_act!L31)</f>
        <v>834641.64322161803</v>
      </c>
      <c r="M51" s="113">
        <f>IF(M16=0,0,1000000*M16/TrRail_act!M31)</f>
        <v>830758.98191525007</v>
      </c>
      <c r="N51" s="113">
        <f>IF(N16=0,0,1000000*N16/TrRail_act!N31)</f>
        <v>785830.55961505626</v>
      </c>
      <c r="O51" s="113">
        <f>IF(O16=0,0,1000000*O16/TrRail_act!O31)</f>
        <v>771345.47343446396</v>
      </c>
      <c r="P51" s="113">
        <f>IF(P16=0,0,1000000*P16/TrRail_act!P31)</f>
        <v>753961.04432678851</v>
      </c>
      <c r="Q51" s="113">
        <f>IF(Q16=0,0,1000000*Q16/TrRail_act!Q31)</f>
        <v>717173.05780535773</v>
      </c>
      <c r="R51" s="113">
        <f>IF(R16=0,0,1000000*R16/TrRail_act!R31)</f>
        <v>704580.19641957455</v>
      </c>
      <c r="S51" s="113">
        <f>IF(S16=0,0,1000000*S16/TrRail_act!S31)</f>
        <v>702233.67805974267</v>
      </c>
      <c r="T51" s="113">
        <f>IF(T16=0,0,1000000*T16/TrRail_act!T31)</f>
        <v>701879.88224352698</v>
      </c>
      <c r="U51" s="113">
        <f>IF(U16=0,0,1000000*U16/TrRail_act!U31)</f>
        <v>701614.64909632597</v>
      </c>
      <c r="V51" s="113">
        <f>IF(V16=0,0,1000000*V16/TrRail_act!V31)</f>
        <v>701415.78859085229</v>
      </c>
      <c r="W51" s="113">
        <f>IF(W16=0,0,1000000*W16/TrRail_act!W31)</f>
        <v>701266.68429633975</v>
      </c>
      <c r="X51" s="113">
        <f>IF(X16=0,0,1000000*X16/TrRail_act!X31)</f>
        <v>701154.87339963554</v>
      </c>
      <c r="Y51" s="113">
        <f>IF(Y16=0,0,1000000*Y16/TrRail_act!Y31)</f>
        <v>701071.02867503709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527257.64314204862</v>
      </c>
      <c r="C52" s="28">
        <f>IF(C17=0,0,1000000*C17/TrRail_act!C32)</f>
        <v>565055.50353575824</v>
      </c>
      <c r="D52" s="28">
        <f>IF(D17=0,0,1000000*D17/TrRail_act!D32)</f>
        <v>540615.10713763244</v>
      </c>
      <c r="E52" s="28">
        <f>IF(E17=0,0,1000000*E17/TrRail_act!E32)</f>
        <v>442559.37878574146</v>
      </c>
      <c r="F52" s="28">
        <f>IF(F17=0,0,1000000*F17/TrRail_act!F32)</f>
        <v>449669.19470138528</v>
      </c>
      <c r="G52" s="28">
        <f>IF(G17=0,0,1000000*G17/TrRail_act!G32)</f>
        <v>412805.90831067896</v>
      </c>
      <c r="H52" s="28">
        <f>IF(H17=0,0,1000000*H17/TrRail_act!H32)</f>
        <v>390419.78105252015</v>
      </c>
      <c r="I52" s="28">
        <f>IF(I17=0,0,1000000*I17/TrRail_act!I32)</f>
        <v>369876.78714980389</v>
      </c>
      <c r="J52" s="28">
        <f>IF(J17=0,0,1000000*J17/TrRail_act!J32)</f>
        <v>332785.33195494552</v>
      </c>
      <c r="K52" s="28">
        <f>IF(K17=0,0,1000000*K17/TrRail_act!K32)</f>
        <v>344017.63081853156</v>
      </c>
      <c r="L52" s="28">
        <f>IF(L17=0,0,1000000*L17/TrRail_act!L32)</f>
        <v>344149.28614727024</v>
      </c>
      <c r="M52" s="28">
        <f>IF(M17=0,0,1000000*M17/TrRail_act!M32)</f>
        <v>335918.27006146917</v>
      </c>
      <c r="N52" s="28">
        <f>IF(N17=0,0,1000000*N17/TrRail_act!N32)</f>
        <v>330291.69895334856</v>
      </c>
      <c r="O52" s="28">
        <f>IF(O17=0,0,1000000*O17/TrRail_act!O32)</f>
        <v>321868.83542898804</v>
      </c>
      <c r="P52" s="28">
        <f>IF(P17=0,0,1000000*P17/TrRail_act!P32)</f>
        <v>312879.69303356804</v>
      </c>
      <c r="Q52" s="28">
        <f>IF(Q17=0,0,1000000*Q17/TrRail_act!Q32)</f>
        <v>301166.53117519052</v>
      </c>
      <c r="R52" s="28">
        <f>IF(R17=0,0,1000000*R17/TrRail_act!R32)</f>
        <v>293808.32899204886</v>
      </c>
      <c r="S52" s="28">
        <f>IF(S17=0,0,1000000*S17/TrRail_act!S32)</f>
        <v>284024.80191168067</v>
      </c>
      <c r="T52" s="28">
        <f>IF(T17=0,0,1000000*T17/TrRail_act!T32)</f>
        <v>275305.67219330173</v>
      </c>
      <c r="U52" s="28">
        <f>IF(U17=0,0,1000000*U17/TrRail_act!U32)</f>
        <v>267101.18498202774</v>
      </c>
      <c r="V52" s="28">
        <f>IF(V17=0,0,1000000*V17/TrRail_act!V32)</f>
        <v>279135.74437199684</v>
      </c>
      <c r="W52" s="28">
        <f>IF(W17=0,0,1000000*W17/TrRail_act!W32)</f>
        <v>298249.47357564222</v>
      </c>
      <c r="X52" s="28">
        <f>IF(X17=0,0,1000000*X17/TrRail_act!X32)</f>
        <v>264435.49723414332</v>
      </c>
      <c r="Y52" s="28">
        <f>IF(Y17=0,0,1000000*Y17/TrRail_act!Y32)</f>
        <v>261248.86246679153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984719.18256685697</v>
      </c>
      <c r="C53" s="84">
        <f>IF(C18=0,0,1000000*C18/TrRail_act!C33)</f>
        <v>981877.31634131551</v>
      </c>
      <c r="D53" s="84">
        <f>IF(D18=0,0,1000000*D18/TrRail_act!D33)</f>
        <v>911441.58341545891</v>
      </c>
      <c r="E53" s="84">
        <f>IF(E18=0,0,1000000*E18/TrRail_act!E33)</f>
        <v>862864.24807146937</v>
      </c>
      <c r="F53" s="84">
        <f>IF(F18=0,0,1000000*F18/TrRail_act!F33)</f>
        <v>858675.96256970486</v>
      </c>
      <c r="G53" s="84">
        <f>IF(G18=0,0,1000000*G18/TrRail_act!G33)</f>
        <v>841244.39858554862</v>
      </c>
      <c r="H53" s="84">
        <f>IF(H18=0,0,1000000*H18/TrRail_act!H33)</f>
        <v>816125.86572660017</v>
      </c>
      <c r="I53" s="84">
        <f>IF(I18=0,0,1000000*I18/TrRail_act!I33)</f>
        <v>809806.38541284681</v>
      </c>
      <c r="J53" s="84">
        <f>IF(J18=0,0,1000000*J18/TrRail_act!J33)</f>
        <v>786094.58423100132</v>
      </c>
      <c r="K53" s="84">
        <f>IF(K18=0,0,1000000*K18/TrRail_act!K33)</f>
        <v>769048.94042765046</v>
      </c>
      <c r="L53" s="84">
        <f>IF(L18=0,0,1000000*L18/TrRail_act!L33)</f>
        <v>760810.13642087707</v>
      </c>
      <c r="M53" s="84">
        <f>IF(M18=0,0,1000000*M18/TrRail_act!M33)</f>
        <v>754756.4589448995</v>
      </c>
      <c r="N53" s="84">
        <f>IF(N18=0,0,1000000*N18/TrRail_act!N33)</f>
        <v>737104.97703261278</v>
      </c>
      <c r="O53" s="84">
        <f>IF(O18=0,0,1000000*O18/TrRail_act!O33)</f>
        <v>719211.39646025968</v>
      </c>
      <c r="P53" s="84">
        <f>IF(P18=0,0,1000000*P18/TrRail_act!P33)</f>
        <v>693798.94268710352</v>
      </c>
      <c r="Q53" s="84">
        <f>IF(Q18=0,0,1000000*Q18/TrRail_act!Q33)</f>
        <v>693369.74413027952</v>
      </c>
      <c r="R53" s="84">
        <f>IF(R18=0,0,1000000*R18/TrRail_act!R33)</f>
        <v>672256.57261283766</v>
      </c>
      <c r="S53" s="84">
        <f>IF(S18=0,0,1000000*S18/TrRail_act!S33)</f>
        <v>635146.79028995917</v>
      </c>
      <c r="T53" s="84">
        <f>IF(T18=0,0,1000000*T18/TrRail_act!T33)</f>
        <v>601729.10371626238</v>
      </c>
      <c r="U53" s="84">
        <f>IF(U18=0,0,1000000*U18/TrRail_act!U33)</f>
        <v>648824.71466826252</v>
      </c>
      <c r="V53" s="84">
        <f>IF(V18=0,0,1000000*V18/TrRail_act!V33)</f>
        <v>633013.08221476758</v>
      </c>
      <c r="W53" s="84">
        <f>IF(W18=0,0,1000000*W18/TrRail_act!W33)</f>
        <v>621407.75085036212</v>
      </c>
      <c r="X53" s="84">
        <f>IF(X18=0,0,1000000*X18/TrRail_act!X33)</f>
        <v>377670.5030247476</v>
      </c>
      <c r="Y53" s="84">
        <f>IF(Y18=0,0,1000000*Y18/TrRail_act!Y33)</f>
        <v>385685.93023490021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443487.26600490883</v>
      </c>
      <c r="C54" s="86">
        <f>IF(C19=0,0,1000000*C19/TrRail_act!C34)</f>
        <v>496754.87846991525</v>
      </c>
      <c r="D54" s="86">
        <f>IF(D19=0,0,1000000*D19/TrRail_act!D34)</f>
        <v>485694.85403134691</v>
      </c>
      <c r="E54" s="86">
        <f>IF(E19=0,0,1000000*E19/TrRail_act!E34)</f>
        <v>372999.11049629585</v>
      </c>
      <c r="F54" s="86">
        <f>IF(F19=0,0,1000000*F19/TrRail_act!F34)</f>
        <v>379596.94917378825</v>
      </c>
      <c r="G54" s="86">
        <f>IF(G19=0,0,1000000*G19/TrRail_act!G34)</f>
        <v>342672.66644883313</v>
      </c>
      <c r="H54" s="86">
        <f>IF(H19=0,0,1000000*H19/TrRail_act!H34)</f>
        <v>322034.02144762769</v>
      </c>
      <c r="I54" s="86">
        <f>IF(I19=0,0,1000000*I19/TrRail_act!I34)</f>
        <v>302436.20842123585</v>
      </c>
      <c r="J54" s="86">
        <f>IF(J19=0,0,1000000*J19/TrRail_act!J34)</f>
        <v>264205.84145041002</v>
      </c>
      <c r="K54" s="86">
        <f>IF(K19=0,0,1000000*K19/TrRail_act!K34)</f>
        <v>285824.40633333637</v>
      </c>
      <c r="L54" s="86">
        <f>IF(L19=0,0,1000000*L19/TrRail_act!L34)</f>
        <v>286343.74011117284</v>
      </c>
      <c r="M54" s="86">
        <f>IF(M19=0,0,1000000*M19/TrRail_act!M34)</f>
        <v>285448.48190512025</v>
      </c>
      <c r="N54" s="86">
        <f>IF(N19=0,0,1000000*N19/TrRail_act!N34)</f>
        <v>283718.92954844068</v>
      </c>
      <c r="O54" s="86">
        <f>IF(O19=0,0,1000000*O19/TrRail_act!O34)</f>
        <v>278873.51261234761</v>
      </c>
      <c r="P54" s="86">
        <f>IF(P19=0,0,1000000*P19/TrRail_act!P34)</f>
        <v>271859.06653360132</v>
      </c>
      <c r="Q54" s="86">
        <f>IF(Q19=0,0,1000000*Q19/TrRail_act!Q34)</f>
        <v>256080.36847324815</v>
      </c>
      <c r="R54" s="86">
        <f>IF(R19=0,0,1000000*R19/TrRail_act!R34)</f>
        <v>252195.80553946231</v>
      </c>
      <c r="S54" s="86">
        <f>IF(S19=0,0,1000000*S19/TrRail_act!S34)</f>
        <v>250817.02951123629</v>
      </c>
      <c r="T54" s="86">
        <f>IF(T19=0,0,1000000*T19/TrRail_act!T34)</f>
        <v>249787.89640512987</v>
      </c>
      <c r="U54" s="86">
        <f>IF(U19=0,0,1000000*U19/TrRail_act!U34)</f>
        <v>234796.54694945164</v>
      </c>
      <c r="V54" s="86">
        <f>IF(V19=0,0,1000000*V19/TrRail_act!V34)</f>
        <v>248443.56460235443</v>
      </c>
      <c r="W54" s="86">
        <f>IF(W19=0,0,1000000*W19/TrRail_act!W34)</f>
        <v>248012.99640741781</v>
      </c>
      <c r="X54" s="86">
        <f>IF(X19=0,0,1000000*X19/TrRail_act!X34)</f>
        <v>247690.55991320405</v>
      </c>
      <c r="Y54" s="86">
        <f>IF(Y19=0,0,1000000*Y19/TrRail_act!Y34)</f>
        <v>243146.95911252033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0.74874945066668042</v>
      </c>
      <c r="C57" s="31">
        <f t="shared" ref="C57:V57" si="18">IF(C11=0,0,C11/C$10)</f>
        <v>0.71820347117913785</v>
      </c>
      <c r="D57" s="31">
        <f t="shared" si="18"/>
        <v>0.70875592313700553</v>
      </c>
      <c r="E57" s="31">
        <f t="shared" si="18"/>
        <v>0.73778620328645372</v>
      </c>
      <c r="F57" s="31">
        <f t="shared" si="18"/>
        <v>0.73886804452723776</v>
      </c>
      <c r="G57" s="31">
        <f t="shared" si="18"/>
        <v>0.7533432965427348</v>
      </c>
      <c r="H57" s="31">
        <f t="shared" si="18"/>
        <v>0.72367278253707534</v>
      </c>
      <c r="I57" s="31">
        <f t="shared" si="18"/>
        <v>0.7134555038282836</v>
      </c>
      <c r="J57" s="31">
        <f t="shared" si="18"/>
        <v>0.74506980603230466</v>
      </c>
      <c r="K57" s="31">
        <f t="shared" si="18"/>
        <v>0.74236674316272511</v>
      </c>
      <c r="L57" s="31">
        <f t="shared" si="18"/>
        <v>0.73863048351431926</v>
      </c>
      <c r="M57" s="31">
        <f t="shared" si="18"/>
        <v>0.71270810313407207</v>
      </c>
      <c r="N57" s="31">
        <f t="shared" si="18"/>
        <v>0.71170912857216473</v>
      </c>
      <c r="O57" s="31">
        <f t="shared" si="18"/>
        <v>0.70829363959266833</v>
      </c>
      <c r="P57" s="31">
        <f t="shared" si="18"/>
        <v>0.70675156898342295</v>
      </c>
      <c r="Q57" s="31">
        <f t="shared" si="18"/>
        <v>0.713898423519022</v>
      </c>
      <c r="R57" s="31">
        <f t="shared" si="18"/>
        <v>0.70179524318708519</v>
      </c>
      <c r="S57" s="31">
        <f t="shared" si="18"/>
        <v>0.69365280335185797</v>
      </c>
      <c r="T57" s="31">
        <f t="shared" si="18"/>
        <v>0.67994323634742115</v>
      </c>
      <c r="U57" s="31">
        <f t="shared" si="18"/>
        <v>0.69933424316506965</v>
      </c>
      <c r="V57" s="31">
        <f t="shared" si="18"/>
        <v>0.67505408075311402</v>
      </c>
      <c r="W57" s="31">
        <f t="shared" ref="W57:Y57" si="19">IF(W11=0,0,W11/W$10)</f>
        <v>0.68865374264720747</v>
      </c>
      <c r="X57" s="31">
        <f t="shared" si="19"/>
        <v>0.70517562369676823</v>
      </c>
      <c r="Y57" s="31">
        <f t="shared" si="19"/>
        <v>0.72787365106856505</v>
      </c>
      <c r="DA57" s="173"/>
    </row>
    <row r="58" spans="1:105" ht="11.45" customHeight="1" x14ac:dyDescent="0.25">
      <c r="A58" s="107" t="s">
        <v>23</v>
      </c>
      <c r="B58" s="123">
        <f t="shared" si="15"/>
        <v>4.6550001611588662E-2</v>
      </c>
      <c r="C58" s="123">
        <f t="shared" ref="C58:V58" si="20">IF(C12=0,0,C12/C$10)</f>
        <v>4.4446279591651289E-2</v>
      </c>
      <c r="D58" s="123">
        <f t="shared" si="20"/>
        <v>4.6224245550021574E-2</v>
      </c>
      <c r="E58" s="123">
        <f t="shared" si="20"/>
        <v>5.5450984528774214E-2</v>
      </c>
      <c r="F58" s="123">
        <f t="shared" si="20"/>
        <v>5.5314981773604929E-2</v>
      </c>
      <c r="G58" s="123">
        <f t="shared" si="20"/>
        <v>5.3114924814934045E-2</v>
      </c>
      <c r="H58" s="123">
        <f t="shared" si="20"/>
        <v>5.1999056147722003E-2</v>
      </c>
      <c r="I58" s="123">
        <f t="shared" si="20"/>
        <v>5.1964869657149304E-2</v>
      </c>
      <c r="J58" s="123">
        <f t="shared" si="20"/>
        <v>5.4992533162409638E-2</v>
      </c>
      <c r="K58" s="123">
        <f t="shared" si="20"/>
        <v>5.6851422872033708E-2</v>
      </c>
      <c r="L58" s="123">
        <f t="shared" si="20"/>
        <v>5.4174017281582089E-2</v>
      </c>
      <c r="M58" s="123">
        <f t="shared" si="20"/>
        <v>5.4659779329832063E-2</v>
      </c>
      <c r="N58" s="123">
        <f t="shared" si="20"/>
        <v>5.1571549127207482E-2</v>
      </c>
      <c r="O58" s="123">
        <f t="shared" si="20"/>
        <v>5.1564835143998074E-2</v>
      </c>
      <c r="P58" s="123">
        <f t="shared" si="20"/>
        <v>5.1167888549543961E-2</v>
      </c>
      <c r="Q58" s="123">
        <f t="shared" si="20"/>
        <v>5.0505542215342515E-2</v>
      </c>
      <c r="R58" s="123">
        <f t="shared" si="20"/>
        <v>4.6946015415576428E-2</v>
      </c>
      <c r="S58" s="123">
        <f t="shared" si="20"/>
        <v>4.7336583719239177E-2</v>
      </c>
      <c r="T58" s="123">
        <f t="shared" si="20"/>
        <v>4.8137741745069434E-2</v>
      </c>
      <c r="U58" s="123">
        <f t="shared" si="20"/>
        <v>4.8021564104478394E-2</v>
      </c>
      <c r="V58" s="123">
        <f t="shared" si="20"/>
        <v>4.0210640576300687E-2</v>
      </c>
      <c r="W58" s="123">
        <f t="shared" ref="W58:Y58" si="21">IF(W12=0,0,W12/W$10)</f>
        <v>3.4868337088884052E-2</v>
      </c>
      <c r="X58" s="123">
        <f t="shared" si="21"/>
        <v>3.0764634262767435E-2</v>
      </c>
      <c r="Y58" s="123">
        <f t="shared" si="21"/>
        <v>3.0859787450915239E-2</v>
      </c>
      <c r="DA58" s="203"/>
    </row>
    <row r="59" spans="1:105" ht="11.45" customHeight="1" x14ac:dyDescent="0.25">
      <c r="A59" s="109" t="s">
        <v>24</v>
      </c>
      <c r="B59" s="124">
        <f t="shared" si="15"/>
        <v>0.63799408781540978</v>
      </c>
      <c r="C59" s="124">
        <f t="shared" ref="C59:V59" si="22">IF(C13=0,0,C13/C$10)</f>
        <v>0.60275446427972923</v>
      </c>
      <c r="D59" s="124">
        <f t="shared" si="22"/>
        <v>0.59210363188843318</v>
      </c>
      <c r="E59" s="124">
        <f t="shared" si="22"/>
        <v>0.58980978611633406</v>
      </c>
      <c r="F59" s="124">
        <f t="shared" si="22"/>
        <v>0.58051507125773905</v>
      </c>
      <c r="G59" s="124">
        <f t="shared" si="22"/>
        <v>0.59698322663425984</v>
      </c>
      <c r="H59" s="124">
        <f t="shared" si="22"/>
        <v>0.5673396694274615</v>
      </c>
      <c r="I59" s="124">
        <f t="shared" si="22"/>
        <v>0.55814945796581272</v>
      </c>
      <c r="J59" s="124">
        <f t="shared" si="22"/>
        <v>0.57439569439507676</v>
      </c>
      <c r="K59" s="124">
        <f t="shared" si="22"/>
        <v>0.57484006935107257</v>
      </c>
      <c r="L59" s="124">
        <f t="shared" si="22"/>
        <v>0.57343157581810766</v>
      </c>
      <c r="M59" s="124">
        <f t="shared" si="22"/>
        <v>0.55091240010623654</v>
      </c>
      <c r="N59" s="124">
        <f t="shared" si="22"/>
        <v>0.55507200721016614</v>
      </c>
      <c r="O59" s="124">
        <f t="shared" si="22"/>
        <v>0.55220564511528059</v>
      </c>
      <c r="P59" s="124">
        <f t="shared" si="22"/>
        <v>0.55549434342470061</v>
      </c>
      <c r="Q59" s="124">
        <f t="shared" si="22"/>
        <v>0.56219436015652513</v>
      </c>
      <c r="R59" s="124">
        <f t="shared" si="22"/>
        <v>0.55687217662355648</v>
      </c>
      <c r="S59" s="124">
        <f t="shared" si="22"/>
        <v>0.54572570220600458</v>
      </c>
      <c r="T59" s="124">
        <f t="shared" si="22"/>
        <v>0.52417772914918526</v>
      </c>
      <c r="U59" s="124">
        <f t="shared" si="22"/>
        <v>0.53480714214298153</v>
      </c>
      <c r="V59" s="124">
        <f t="shared" si="22"/>
        <v>0.51587954750808218</v>
      </c>
      <c r="W59" s="124">
        <f t="shared" ref="W59:Y59" si="23">IF(W13=0,0,W13/W$10)</f>
        <v>0.55125934823259859</v>
      </c>
      <c r="X59" s="124">
        <f t="shared" si="23"/>
        <v>0.56139115141493257</v>
      </c>
      <c r="Y59" s="124">
        <f t="shared" si="23"/>
        <v>0.58057667610685915</v>
      </c>
      <c r="DA59" s="176"/>
    </row>
    <row r="60" spans="1:105" ht="11.45" customHeight="1" x14ac:dyDescent="0.25">
      <c r="A60" s="111" t="s">
        <v>92</v>
      </c>
      <c r="B60" s="125">
        <f t="shared" si="15"/>
        <v>0.22781958708334638</v>
      </c>
      <c r="C60" s="125">
        <f t="shared" ref="C60:V60" si="24">IF(C14=0,0,C14/C$10)</f>
        <v>0.22424997273046621</v>
      </c>
      <c r="D60" s="125">
        <f t="shared" si="24"/>
        <v>0.21947719771165777</v>
      </c>
      <c r="E60" s="125">
        <f t="shared" si="24"/>
        <v>0.2421405892939052</v>
      </c>
      <c r="F60" s="125">
        <f t="shared" si="24"/>
        <v>0.23375836508528661</v>
      </c>
      <c r="G60" s="125">
        <f t="shared" si="24"/>
        <v>0.21353756765118689</v>
      </c>
      <c r="H60" s="125">
        <f t="shared" si="24"/>
        <v>0.19932005317690688</v>
      </c>
      <c r="I60" s="125">
        <f t="shared" si="24"/>
        <v>0.20018196507045324</v>
      </c>
      <c r="J60" s="125">
        <f t="shared" si="24"/>
        <v>0.22136411430768654</v>
      </c>
      <c r="K60" s="125">
        <f t="shared" si="24"/>
        <v>0.19909470216678923</v>
      </c>
      <c r="L60" s="125">
        <f t="shared" si="24"/>
        <v>0.19329964384036391</v>
      </c>
      <c r="M60" s="125">
        <f t="shared" si="24"/>
        <v>0.19072839609701001</v>
      </c>
      <c r="N60" s="125">
        <f t="shared" si="24"/>
        <v>0.19314089104341867</v>
      </c>
      <c r="O60" s="125">
        <f t="shared" si="24"/>
        <v>0.19047345491650408</v>
      </c>
      <c r="P60" s="125">
        <f t="shared" si="24"/>
        <v>0.19888245465600424</v>
      </c>
      <c r="Q60" s="125">
        <f t="shared" si="24"/>
        <v>0.19305114502315934</v>
      </c>
      <c r="R60" s="125">
        <f t="shared" si="24"/>
        <v>0.1916288952286769</v>
      </c>
      <c r="S60" s="125">
        <f t="shared" si="24"/>
        <v>0.16131352320936715</v>
      </c>
      <c r="T60" s="125">
        <f t="shared" si="24"/>
        <v>0.14504811091468295</v>
      </c>
      <c r="U60" s="125">
        <f t="shared" si="24"/>
        <v>0.16254792695457781</v>
      </c>
      <c r="V60" s="125">
        <f t="shared" si="24"/>
        <v>0.15420639726840107</v>
      </c>
      <c r="W60" s="125">
        <f t="shared" ref="W60:Y60" si="25">IF(W14=0,0,W14/W$10)</f>
        <v>0.2073549210675325</v>
      </c>
      <c r="X60" s="125">
        <f t="shared" si="25"/>
        <v>0.15696989195775254</v>
      </c>
      <c r="Y60" s="125">
        <f t="shared" si="25"/>
        <v>0.16906626307209183</v>
      </c>
      <c r="DA60" s="171"/>
    </row>
    <row r="61" spans="1:105" ht="11.45" customHeight="1" x14ac:dyDescent="0.25">
      <c r="A61" s="111" t="s">
        <v>93</v>
      </c>
      <c r="B61" s="125">
        <f t="shared" si="15"/>
        <v>0.41017450073206335</v>
      </c>
      <c r="C61" s="125">
        <f t="shared" ref="C61:V61" si="26">IF(C15=0,0,C15/C$10)</f>
        <v>0.37850449154926308</v>
      </c>
      <c r="D61" s="125">
        <f t="shared" si="26"/>
        <v>0.37262643417677538</v>
      </c>
      <c r="E61" s="125">
        <f t="shared" si="26"/>
        <v>0.34766919682242881</v>
      </c>
      <c r="F61" s="125">
        <f t="shared" si="26"/>
        <v>0.34675670617245241</v>
      </c>
      <c r="G61" s="125">
        <f t="shared" si="26"/>
        <v>0.38344565898307287</v>
      </c>
      <c r="H61" s="125">
        <f t="shared" si="26"/>
        <v>0.36801961625055457</v>
      </c>
      <c r="I61" s="125">
        <f t="shared" si="26"/>
        <v>0.35796749289535945</v>
      </c>
      <c r="J61" s="125">
        <f t="shared" si="26"/>
        <v>0.35303158008739022</v>
      </c>
      <c r="K61" s="125">
        <f t="shared" si="26"/>
        <v>0.37574536718428331</v>
      </c>
      <c r="L61" s="125">
        <f t="shared" si="26"/>
        <v>0.38013193197774375</v>
      </c>
      <c r="M61" s="125">
        <f t="shared" si="26"/>
        <v>0.36018400400922645</v>
      </c>
      <c r="N61" s="125">
        <f t="shared" si="26"/>
        <v>0.36193111616674739</v>
      </c>
      <c r="O61" s="125">
        <f t="shared" si="26"/>
        <v>0.36173219019877656</v>
      </c>
      <c r="P61" s="125">
        <f t="shared" si="26"/>
        <v>0.35661188876869632</v>
      </c>
      <c r="Q61" s="125">
        <f t="shared" si="26"/>
        <v>0.36914321513336579</v>
      </c>
      <c r="R61" s="125">
        <f t="shared" si="26"/>
        <v>0.36524328139487955</v>
      </c>
      <c r="S61" s="125">
        <f t="shared" si="26"/>
        <v>0.38441217899663743</v>
      </c>
      <c r="T61" s="125">
        <f t="shared" si="26"/>
        <v>0.37912961823450236</v>
      </c>
      <c r="U61" s="125">
        <f t="shared" si="26"/>
        <v>0.37225921518840371</v>
      </c>
      <c r="V61" s="125">
        <f t="shared" si="26"/>
        <v>0.36167315023968105</v>
      </c>
      <c r="W61" s="125">
        <f t="shared" ref="W61:Y61" si="27">IF(W15=0,0,W15/W$10)</f>
        <v>0.34390442716506614</v>
      </c>
      <c r="X61" s="125">
        <f t="shared" si="27"/>
        <v>0.40442125945717994</v>
      </c>
      <c r="Y61" s="125">
        <f t="shared" si="27"/>
        <v>0.41151041303476721</v>
      </c>
      <c r="DA61" s="171"/>
    </row>
    <row r="62" spans="1:105" ht="11.45" customHeight="1" x14ac:dyDescent="0.25">
      <c r="A62" s="112" t="s">
        <v>25</v>
      </c>
      <c r="B62" s="126">
        <f t="shared" si="15"/>
        <v>6.4205361239681902E-2</v>
      </c>
      <c r="C62" s="126">
        <f t="shared" ref="C62:V62" si="28">IF(C16=0,0,C16/C$10)</f>
        <v>7.1002727307757307E-2</v>
      </c>
      <c r="D62" s="126">
        <f t="shared" si="28"/>
        <v>7.0428045698550837E-2</v>
      </c>
      <c r="E62" s="126">
        <f t="shared" si="28"/>
        <v>9.2525432641345509E-2</v>
      </c>
      <c r="F62" s="126">
        <f t="shared" si="28"/>
        <v>0.10303799149589377</v>
      </c>
      <c r="G62" s="126">
        <f t="shared" si="28"/>
        <v>0.1032451450935411</v>
      </c>
      <c r="H62" s="126">
        <f t="shared" si="28"/>
        <v>0.10433405696189187</v>
      </c>
      <c r="I62" s="126">
        <f t="shared" si="28"/>
        <v>0.10334117620532159</v>
      </c>
      <c r="J62" s="126">
        <f t="shared" si="28"/>
        <v>0.11568157847481825</v>
      </c>
      <c r="K62" s="126">
        <f t="shared" si="28"/>
        <v>0.11067525093961894</v>
      </c>
      <c r="L62" s="126">
        <f t="shared" si="28"/>
        <v>0.1110248904146294</v>
      </c>
      <c r="M62" s="126">
        <f t="shared" si="28"/>
        <v>0.10713592369800355</v>
      </c>
      <c r="N62" s="126">
        <f t="shared" si="28"/>
        <v>0.10506557223479111</v>
      </c>
      <c r="O62" s="126">
        <f t="shared" si="28"/>
        <v>0.10452315933338961</v>
      </c>
      <c r="P62" s="126">
        <f t="shared" si="28"/>
        <v>0.10008933700917848</v>
      </c>
      <c r="Q62" s="126">
        <f t="shared" si="28"/>
        <v>0.10119852114715441</v>
      </c>
      <c r="R62" s="126">
        <f t="shared" si="28"/>
        <v>9.7977051147952299E-2</v>
      </c>
      <c r="S62" s="126">
        <f t="shared" si="28"/>
        <v>0.10059051742661426</v>
      </c>
      <c r="T62" s="126">
        <f t="shared" si="28"/>
        <v>0.10762776545316641</v>
      </c>
      <c r="U62" s="126">
        <f t="shared" si="28"/>
        <v>0.11650553691760962</v>
      </c>
      <c r="V62" s="126">
        <f t="shared" si="28"/>
        <v>0.11896389266873121</v>
      </c>
      <c r="W62" s="126">
        <f t="shared" ref="W62:Y62" si="29">IF(W16=0,0,W16/W$10)</f>
        <v>0.10252605732572477</v>
      </c>
      <c r="X62" s="126">
        <f t="shared" si="29"/>
        <v>0.11301983801906822</v>
      </c>
      <c r="Y62" s="126">
        <f t="shared" si="29"/>
        <v>0.11643718751079073</v>
      </c>
      <c r="DA62" s="204"/>
    </row>
    <row r="63" spans="1:105" ht="11.45" customHeight="1" x14ac:dyDescent="0.25">
      <c r="A63" s="27" t="s">
        <v>34</v>
      </c>
      <c r="B63" s="31">
        <f t="shared" si="15"/>
        <v>0.25125054933331958</v>
      </c>
      <c r="C63" s="31">
        <f t="shared" ref="C63:V63" si="30">IF(C17=0,0,C17/C$10)</f>
        <v>0.28179652882086209</v>
      </c>
      <c r="D63" s="31">
        <f t="shared" si="30"/>
        <v>0.29124407686299453</v>
      </c>
      <c r="E63" s="31">
        <f t="shared" si="30"/>
        <v>0.26221379671354628</v>
      </c>
      <c r="F63" s="31">
        <f t="shared" si="30"/>
        <v>0.26113195547276219</v>
      </c>
      <c r="G63" s="31">
        <f t="shared" si="30"/>
        <v>0.2466567034572652</v>
      </c>
      <c r="H63" s="31">
        <f t="shared" si="30"/>
        <v>0.27632721746292471</v>
      </c>
      <c r="I63" s="31">
        <f t="shared" si="30"/>
        <v>0.28654449617171635</v>
      </c>
      <c r="J63" s="31">
        <f t="shared" si="30"/>
        <v>0.25493019396769523</v>
      </c>
      <c r="K63" s="31">
        <f t="shared" si="30"/>
        <v>0.25763325683727478</v>
      </c>
      <c r="L63" s="31">
        <f t="shared" si="30"/>
        <v>0.26136951648568069</v>
      </c>
      <c r="M63" s="31">
        <f t="shared" si="30"/>
        <v>0.28729189686592799</v>
      </c>
      <c r="N63" s="31">
        <f t="shared" si="30"/>
        <v>0.28829087142783527</v>
      </c>
      <c r="O63" s="31">
        <f t="shared" si="30"/>
        <v>0.29170636040733172</v>
      </c>
      <c r="P63" s="31">
        <f t="shared" si="30"/>
        <v>0.29324843101657705</v>
      </c>
      <c r="Q63" s="31">
        <f t="shared" si="30"/>
        <v>0.28610157648097784</v>
      </c>
      <c r="R63" s="31">
        <f t="shared" si="30"/>
        <v>0.29820475681291486</v>
      </c>
      <c r="S63" s="31">
        <f t="shared" si="30"/>
        <v>0.30634719664814192</v>
      </c>
      <c r="T63" s="31">
        <f t="shared" si="30"/>
        <v>0.3200567636525789</v>
      </c>
      <c r="U63" s="31">
        <f t="shared" si="30"/>
        <v>0.30066575683493035</v>
      </c>
      <c r="V63" s="31">
        <f t="shared" si="30"/>
        <v>0.32494591924688604</v>
      </c>
      <c r="W63" s="31">
        <f t="shared" ref="W63:Y63" si="31">IF(W17=0,0,W17/W$10)</f>
        <v>0.31134625735279253</v>
      </c>
      <c r="X63" s="31">
        <f t="shared" si="31"/>
        <v>0.29482437630323188</v>
      </c>
      <c r="Y63" s="31">
        <f t="shared" si="31"/>
        <v>0.27212634893143489</v>
      </c>
      <c r="DA63" s="173"/>
    </row>
    <row r="64" spans="1:105" ht="11.45" customHeight="1" x14ac:dyDescent="0.25">
      <c r="A64" s="83" t="s">
        <v>92</v>
      </c>
      <c r="B64" s="125">
        <f t="shared" si="15"/>
        <v>7.2627919856227449E-2</v>
      </c>
      <c r="C64" s="125">
        <f t="shared" ref="C64:V64" si="32">IF(C18=0,0,C18/C$10)</f>
        <v>6.8940602253117822E-2</v>
      </c>
      <c r="D64" s="125">
        <f t="shared" si="32"/>
        <v>6.3340133248963065E-2</v>
      </c>
      <c r="E64" s="125">
        <f t="shared" si="32"/>
        <v>7.2595747316179987E-2</v>
      </c>
      <c r="F64" s="125">
        <f t="shared" si="32"/>
        <v>7.2934847387969473E-2</v>
      </c>
      <c r="G64" s="125">
        <f t="shared" si="32"/>
        <v>7.0707497497353305E-2</v>
      </c>
      <c r="H64" s="125">
        <f t="shared" si="32"/>
        <v>7.9947885639229388E-2</v>
      </c>
      <c r="I64" s="125">
        <f t="shared" si="32"/>
        <v>8.3389725438377832E-2</v>
      </c>
      <c r="J64" s="125">
        <f t="shared" si="32"/>
        <v>7.9131287140501216E-2</v>
      </c>
      <c r="K64" s="125">
        <f t="shared" si="32"/>
        <v>6.9358333118222551E-2</v>
      </c>
      <c r="L64" s="125">
        <f t="shared" si="32"/>
        <v>7.0396067683173608E-2</v>
      </c>
      <c r="M64" s="125">
        <f t="shared" si="32"/>
        <v>6.9417686479356741E-2</v>
      </c>
      <c r="N64" s="125">
        <f t="shared" si="32"/>
        <v>6.6088590289392665E-2</v>
      </c>
      <c r="O64" s="125">
        <f t="shared" si="32"/>
        <v>6.3644179738326589E-2</v>
      </c>
      <c r="P64" s="125">
        <f t="shared" si="32"/>
        <v>6.3218425013166796E-2</v>
      </c>
      <c r="Q64" s="125">
        <f t="shared" si="32"/>
        <v>6.7912978654150691E-2</v>
      </c>
      <c r="R64" s="125">
        <f t="shared" si="32"/>
        <v>6.7592335452634503E-2</v>
      </c>
      <c r="S64" s="125">
        <f t="shared" si="32"/>
        <v>5.9192608765022081E-2</v>
      </c>
      <c r="T64" s="125">
        <f t="shared" si="32"/>
        <v>5.072073813424928E-2</v>
      </c>
      <c r="U64" s="125">
        <f t="shared" si="32"/>
        <v>5.6986309029070113E-2</v>
      </c>
      <c r="V64" s="125">
        <f t="shared" si="32"/>
        <v>5.8811356353082135E-2</v>
      </c>
      <c r="W64" s="125">
        <f t="shared" ref="W64:Y64" si="33">IF(W18=0,0,W18/W$10)</f>
        <v>8.7275348963382876E-2</v>
      </c>
      <c r="X64" s="125">
        <f t="shared" si="33"/>
        <v>5.424552108562835E-2</v>
      </c>
      <c r="Y64" s="125">
        <f t="shared" si="33"/>
        <v>5.1020017722751512E-2</v>
      </c>
      <c r="DA64" s="171"/>
    </row>
    <row r="65" spans="1:105" ht="11.45" customHeight="1" x14ac:dyDescent="0.25">
      <c r="A65" s="85" t="s">
        <v>93</v>
      </c>
      <c r="B65" s="127">
        <f t="shared" si="15"/>
        <v>0.17862262947709215</v>
      </c>
      <c r="C65" s="127">
        <f t="shared" ref="C65:V65" si="34">IF(C19=0,0,C19/C$10)</f>
        <v>0.21285592656774427</v>
      </c>
      <c r="D65" s="127">
        <f t="shared" si="34"/>
        <v>0.22790394361403149</v>
      </c>
      <c r="E65" s="127">
        <f t="shared" si="34"/>
        <v>0.18961804939736626</v>
      </c>
      <c r="F65" s="127">
        <f t="shared" si="34"/>
        <v>0.18819710808479273</v>
      </c>
      <c r="G65" s="127">
        <f t="shared" si="34"/>
        <v>0.1759492059599119</v>
      </c>
      <c r="H65" s="127">
        <f t="shared" si="34"/>
        <v>0.19637933182369532</v>
      </c>
      <c r="I65" s="127">
        <f t="shared" si="34"/>
        <v>0.20315477073333849</v>
      </c>
      <c r="J65" s="127">
        <f t="shared" si="34"/>
        <v>0.17579890682719398</v>
      </c>
      <c r="K65" s="127">
        <f t="shared" si="34"/>
        <v>0.18827492371905225</v>
      </c>
      <c r="L65" s="127">
        <f t="shared" si="34"/>
        <v>0.19097344880250711</v>
      </c>
      <c r="M65" s="127">
        <f t="shared" si="34"/>
        <v>0.21787421038657123</v>
      </c>
      <c r="N65" s="127">
        <f t="shared" si="34"/>
        <v>0.22220228113844259</v>
      </c>
      <c r="O65" s="127">
        <f t="shared" si="34"/>
        <v>0.22806218066900516</v>
      </c>
      <c r="P65" s="127">
        <f t="shared" si="34"/>
        <v>0.23003000600341023</v>
      </c>
      <c r="Q65" s="127">
        <f t="shared" si="34"/>
        <v>0.21818859782682717</v>
      </c>
      <c r="R65" s="127">
        <f t="shared" si="34"/>
        <v>0.2306124213602804</v>
      </c>
      <c r="S65" s="127">
        <f t="shared" si="34"/>
        <v>0.24715458788311984</v>
      </c>
      <c r="T65" s="127">
        <f t="shared" si="34"/>
        <v>0.26933602551832964</v>
      </c>
      <c r="U65" s="127">
        <f t="shared" si="34"/>
        <v>0.24367944780586026</v>
      </c>
      <c r="V65" s="127">
        <f t="shared" si="34"/>
        <v>0.26613456289380394</v>
      </c>
      <c r="W65" s="127">
        <f t="shared" ref="W65:Y65" si="35">IF(W19=0,0,W19/W$10)</f>
        <v>0.22407090838940966</v>
      </c>
      <c r="X65" s="127">
        <f t="shared" si="35"/>
        <v>0.24057885521760358</v>
      </c>
      <c r="Y65" s="127">
        <f t="shared" si="35"/>
        <v>0.22110633120868339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1829.2862014404898</v>
      </c>
      <c r="C4" s="26">
        <f t="shared" ref="C4:W4" si="0">SUM(C5:C6)</f>
        <v>1835.4780212003927</v>
      </c>
      <c r="D4" s="26">
        <f t="shared" si="0"/>
        <v>1722.7577947052223</v>
      </c>
      <c r="E4" s="26">
        <f t="shared" si="0"/>
        <v>1598.16156084</v>
      </c>
      <c r="F4" s="26">
        <f t="shared" si="0"/>
        <v>1506.0210562799998</v>
      </c>
      <c r="G4" s="26">
        <f t="shared" si="0"/>
        <v>1356.6583976400002</v>
      </c>
      <c r="H4" s="26">
        <f t="shared" si="0"/>
        <v>1267.8153134400002</v>
      </c>
      <c r="I4" s="26">
        <f t="shared" si="0"/>
        <v>1230.1445332800001</v>
      </c>
      <c r="J4" s="26">
        <f t="shared" si="0"/>
        <v>1204.3499083200002</v>
      </c>
      <c r="K4" s="26">
        <f t="shared" si="0"/>
        <v>1064.7792089999998</v>
      </c>
      <c r="L4" s="26">
        <f t="shared" si="0"/>
        <v>1080.6965114399998</v>
      </c>
      <c r="M4" s="26">
        <f t="shared" si="0"/>
        <v>1064.9528697600001</v>
      </c>
      <c r="N4" s="26">
        <f t="shared" si="0"/>
        <v>1048.9848829199998</v>
      </c>
      <c r="O4" s="26">
        <f t="shared" si="0"/>
        <v>1020.3762067200001</v>
      </c>
      <c r="P4" s="26">
        <f t="shared" si="0"/>
        <v>1024.7660092799999</v>
      </c>
      <c r="Q4" s="26">
        <f t="shared" si="0"/>
        <v>989.82551771999988</v>
      </c>
      <c r="R4" s="26">
        <f t="shared" si="0"/>
        <v>1032.8128246799997</v>
      </c>
      <c r="S4" s="26">
        <f t="shared" si="0"/>
        <v>846.49136832000011</v>
      </c>
      <c r="T4" s="26">
        <f t="shared" si="0"/>
        <v>731.69013528000005</v>
      </c>
      <c r="U4" s="26">
        <f t="shared" si="0"/>
        <v>801.58445639999991</v>
      </c>
      <c r="V4" s="26">
        <f t="shared" si="0"/>
        <v>725.27695812000002</v>
      </c>
      <c r="W4" s="26">
        <f t="shared" si="0"/>
        <v>1203.441057</v>
      </c>
      <c r="X4" s="26">
        <f t="shared" ref="X4:Y4" si="1">SUM(X5:X6)</f>
        <v>780.64352963999988</v>
      </c>
      <c r="Y4" s="26">
        <f t="shared" si="1"/>
        <v>742.65103692000002</v>
      </c>
      <c r="DA4" s="202" t="s">
        <v>1137</v>
      </c>
    </row>
    <row r="5" spans="1:105" ht="11.45" customHeight="1" x14ac:dyDescent="0.25">
      <c r="A5" s="107" t="s">
        <v>92</v>
      </c>
      <c r="B5" s="129">
        <v>1829.2862014404898</v>
      </c>
      <c r="C5" s="129">
        <v>1835.4780212003927</v>
      </c>
      <c r="D5" s="129">
        <v>1722.7577947052223</v>
      </c>
      <c r="E5" s="129">
        <v>1598.16156084</v>
      </c>
      <c r="F5" s="129">
        <v>1506.0210562799998</v>
      </c>
      <c r="G5" s="129">
        <v>1356.6583976400002</v>
      </c>
      <c r="H5" s="129">
        <v>1267.8153134400002</v>
      </c>
      <c r="I5" s="129">
        <v>1230.1445332800001</v>
      </c>
      <c r="J5" s="129">
        <v>1204.3499083200002</v>
      </c>
      <c r="K5" s="129">
        <v>1064.7792089999998</v>
      </c>
      <c r="L5" s="129">
        <v>1080.6965114399998</v>
      </c>
      <c r="M5" s="129">
        <v>1064.9528697600001</v>
      </c>
      <c r="N5" s="129">
        <v>1048.9848829199998</v>
      </c>
      <c r="O5" s="129">
        <v>1020.3762067200001</v>
      </c>
      <c r="P5" s="129">
        <v>1024.7660092799999</v>
      </c>
      <c r="Q5" s="129">
        <v>989.82551771999988</v>
      </c>
      <c r="R5" s="129">
        <v>1032.8128246799997</v>
      </c>
      <c r="S5" s="129">
        <v>846.49136832000011</v>
      </c>
      <c r="T5" s="129">
        <v>731.69013528000005</v>
      </c>
      <c r="U5" s="129">
        <v>801.58445639999991</v>
      </c>
      <c r="V5" s="129">
        <v>725.27695812000002</v>
      </c>
      <c r="W5" s="129">
        <v>1203.441057</v>
      </c>
      <c r="X5" s="129">
        <v>780.64352963999988</v>
      </c>
      <c r="Y5" s="129">
        <v>742.65103692000002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1829.28620144049</v>
      </c>
      <c r="C8" s="79">
        <f t="shared" si="2"/>
        <v>1835.478021200393</v>
      </c>
      <c r="D8" s="79">
        <f t="shared" si="2"/>
        <v>1722.7577947052221</v>
      </c>
      <c r="E8" s="79">
        <f t="shared" si="2"/>
        <v>1598.1615608399998</v>
      </c>
      <c r="F8" s="79">
        <f t="shared" si="2"/>
        <v>1506.0210562799998</v>
      </c>
      <c r="G8" s="79">
        <f t="shared" si="2"/>
        <v>1356.6583976400002</v>
      </c>
      <c r="H8" s="79">
        <f t="shared" si="2"/>
        <v>1267.81531344</v>
      </c>
      <c r="I8" s="79">
        <f t="shared" si="2"/>
        <v>1230.1445332800001</v>
      </c>
      <c r="J8" s="79">
        <f t="shared" si="2"/>
        <v>1204.3499083200002</v>
      </c>
      <c r="K8" s="79">
        <f t="shared" si="2"/>
        <v>1064.7792089999998</v>
      </c>
      <c r="L8" s="79">
        <f t="shared" si="2"/>
        <v>1080.6965114399998</v>
      </c>
      <c r="M8" s="79">
        <f t="shared" si="2"/>
        <v>1064.9528697600001</v>
      </c>
      <c r="N8" s="79">
        <f t="shared" si="2"/>
        <v>1048.98488292</v>
      </c>
      <c r="O8" s="79">
        <f t="shared" si="2"/>
        <v>1020.37620672</v>
      </c>
      <c r="P8" s="79">
        <f t="shared" si="2"/>
        <v>1024.7660092799997</v>
      </c>
      <c r="Q8" s="79">
        <f t="shared" si="2"/>
        <v>989.82551771999988</v>
      </c>
      <c r="R8" s="79">
        <f t="shared" si="2"/>
        <v>1032.8128246799997</v>
      </c>
      <c r="S8" s="79">
        <f t="shared" si="2"/>
        <v>846.49136832000011</v>
      </c>
      <c r="T8" s="79">
        <f t="shared" si="2"/>
        <v>731.69013527999994</v>
      </c>
      <c r="U8" s="79">
        <f t="shared" si="2"/>
        <v>801.58445639999991</v>
      </c>
      <c r="V8" s="79">
        <f t="shared" si="2"/>
        <v>725.2769581199999</v>
      </c>
      <c r="W8" s="79">
        <f t="shared" si="2"/>
        <v>1203.441057</v>
      </c>
      <c r="X8" s="79">
        <f t="shared" ref="X8:Y8" si="3">SUM(X9,X15)</f>
        <v>780.64352964</v>
      </c>
      <c r="Y8" s="79">
        <f t="shared" si="3"/>
        <v>742.65103692000002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1387.0883180709902</v>
      </c>
      <c r="C9" s="32">
        <f t="shared" si="4"/>
        <v>1403.8851563513063</v>
      </c>
      <c r="D9" s="32">
        <f t="shared" si="4"/>
        <v>1336.9267429034064</v>
      </c>
      <c r="E9" s="32">
        <f t="shared" si="4"/>
        <v>1229.5363995676144</v>
      </c>
      <c r="F9" s="32">
        <f t="shared" si="4"/>
        <v>1147.8735282761688</v>
      </c>
      <c r="G9" s="32">
        <f t="shared" si="4"/>
        <v>1019.1822827749457</v>
      </c>
      <c r="H9" s="32">
        <f t="shared" si="4"/>
        <v>904.86941238081158</v>
      </c>
      <c r="I9" s="32">
        <f t="shared" si="4"/>
        <v>868.3968048813291</v>
      </c>
      <c r="J9" s="32">
        <f t="shared" si="4"/>
        <v>887.20110020641437</v>
      </c>
      <c r="K9" s="32">
        <f t="shared" si="4"/>
        <v>789.67965202619666</v>
      </c>
      <c r="L9" s="32">
        <f t="shared" si="4"/>
        <v>792.19434231196988</v>
      </c>
      <c r="M9" s="32">
        <f t="shared" si="4"/>
        <v>780.77959412903022</v>
      </c>
      <c r="N9" s="32">
        <f t="shared" si="4"/>
        <v>781.5541424400526</v>
      </c>
      <c r="O9" s="32">
        <f t="shared" si="4"/>
        <v>764.8213067642796</v>
      </c>
      <c r="P9" s="32">
        <f t="shared" si="4"/>
        <v>777.59364879238285</v>
      </c>
      <c r="Q9" s="32">
        <f t="shared" si="4"/>
        <v>732.23455728831232</v>
      </c>
      <c r="R9" s="32">
        <f t="shared" si="4"/>
        <v>763.50528871131678</v>
      </c>
      <c r="S9" s="32">
        <f t="shared" si="4"/>
        <v>619.25944538302906</v>
      </c>
      <c r="T9" s="32">
        <f t="shared" si="4"/>
        <v>542.12032411114421</v>
      </c>
      <c r="U9" s="32">
        <f t="shared" si="4"/>
        <v>593.51057971904333</v>
      </c>
      <c r="V9" s="32">
        <f t="shared" si="4"/>
        <v>525.03767799657567</v>
      </c>
      <c r="W9" s="32">
        <f t="shared" si="4"/>
        <v>846.95786810187178</v>
      </c>
      <c r="X9" s="32">
        <f t="shared" ref="X9:Y9" si="5">SUM(X10,X11,X14)</f>
        <v>580.15430190192501</v>
      </c>
      <c r="Y9" s="32">
        <f t="shared" si="5"/>
        <v>570.49096892921978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1387.0883180709902</v>
      </c>
      <c r="C11" s="130">
        <f t="shared" si="6"/>
        <v>1403.8851563513063</v>
      </c>
      <c r="D11" s="130">
        <f t="shared" si="6"/>
        <v>1336.9267429034064</v>
      </c>
      <c r="E11" s="130">
        <f t="shared" si="6"/>
        <v>1229.5363995676144</v>
      </c>
      <c r="F11" s="130">
        <f t="shared" si="6"/>
        <v>1147.8735282761688</v>
      </c>
      <c r="G11" s="130">
        <f t="shared" si="6"/>
        <v>1019.1822827749457</v>
      </c>
      <c r="H11" s="130">
        <f t="shared" si="6"/>
        <v>904.86941238081158</v>
      </c>
      <c r="I11" s="130">
        <f t="shared" si="6"/>
        <v>868.3968048813291</v>
      </c>
      <c r="J11" s="130">
        <f t="shared" si="6"/>
        <v>887.20110020641437</v>
      </c>
      <c r="K11" s="130">
        <f t="shared" si="6"/>
        <v>789.67965202619666</v>
      </c>
      <c r="L11" s="130">
        <f t="shared" si="6"/>
        <v>792.19434231196988</v>
      </c>
      <c r="M11" s="130">
        <f t="shared" si="6"/>
        <v>780.77959412903022</v>
      </c>
      <c r="N11" s="130">
        <f t="shared" si="6"/>
        <v>781.5541424400526</v>
      </c>
      <c r="O11" s="130">
        <f t="shared" si="6"/>
        <v>764.8213067642796</v>
      </c>
      <c r="P11" s="130">
        <f t="shared" si="6"/>
        <v>777.59364879238285</v>
      </c>
      <c r="Q11" s="130">
        <f t="shared" si="6"/>
        <v>732.23455728831232</v>
      </c>
      <c r="R11" s="130">
        <f t="shared" si="6"/>
        <v>763.50528871131678</v>
      </c>
      <c r="S11" s="130">
        <f t="shared" si="6"/>
        <v>619.25944538302906</v>
      </c>
      <c r="T11" s="130">
        <f t="shared" si="6"/>
        <v>542.12032411114421</v>
      </c>
      <c r="U11" s="130">
        <f t="shared" si="6"/>
        <v>593.51057971904333</v>
      </c>
      <c r="V11" s="130">
        <f t="shared" si="6"/>
        <v>525.03767799657567</v>
      </c>
      <c r="W11" s="130">
        <f t="shared" si="6"/>
        <v>846.95786810187178</v>
      </c>
      <c r="X11" s="130">
        <f t="shared" ref="X11:Y11" si="7">SUM(X12:X13)</f>
        <v>580.15430190192501</v>
      </c>
      <c r="Y11" s="130">
        <f t="shared" si="7"/>
        <v>570.49096892921978</v>
      </c>
      <c r="DA11" s="176" t="s">
        <v>409</v>
      </c>
    </row>
    <row r="12" spans="1:105" ht="11.45" customHeight="1" x14ac:dyDescent="0.25">
      <c r="A12" s="111" t="s">
        <v>92</v>
      </c>
      <c r="B12" s="96">
        <v>1387.0883180709902</v>
      </c>
      <c r="C12" s="96">
        <v>1403.8851563513063</v>
      </c>
      <c r="D12" s="96">
        <v>1336.9267429034064</v>
      </c>
      <c r="E12" s="96">
        <v>1229.5363995676144</v>
      </c>
      <c r="F12" s="96">
        <v>1147.8735282761688</v>
      </c>
      <c r="G12" s="96">
        <v>1019.1822827749457</v>
      </c>
      <c r="H12" s="96">
        <v>904.86941238081158</v>
      </c>
      <c r="I12" s="96">
        <v>868.3968048813291</v>
      </c>
      <c r="J12" s="96">
        <v>887.20110020641437</v>
      </c>
      <c r="K12" s="96">
        <v>789.67965202619666</v>
      </c>
      <c r="L12" s="96">
        <v>792.19434231196988</v>
      </c>
      <c r="M12" s="96">
        <v>780.77959412903022</v>
      </c>
      <c r="N12" s="96">
        <v>781.5541424400526</v>
      </c>
      <c r="O12" s="96">
        <v>764.8213067642796</v>
      </c>
      <c r="P12" s="96">
        <v>777.59364879238285</v>
      </c>
      <c r="Q12" s="96">
        <v>732.23455728831232</v>
      </c>
      <c r="R12" s="96">
        <v>763.50528871131678</v>
      </c>
      <c r="S12" s="96">
        <v>619.25944538302906</v>
      </c>
      <c r="T12" s="96">
        <v>542.12032411114421</v>
      </c>
      <c r="U12" s="96">
        <v>593.51057971904333</v>
      </c>
      <c r="V12" s="96">
        <v>525.03767799657567</v>
      </c>
      <c r="W12" s="96">
        <v>846.95786810187178</v>
      </c>
      <c r="X12" s="96">
        <v>580.15430190192501</v>
      </c>
      <c r="Y12" s="96">
        <v>570.49096892921978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442.19788336949972</v>
      </c>
      <c r="C15" s="32">
        <f t="shared" si="8"/>
        <v>431.59286484908682</v>
      </c>
      <c r="D15" s="32">
        <f t="shared" si="8"/>
        <v>385.83105180181559</v>
      </c>
      <c r="E15" s="32">
        <f t="shared" si="8"/>
        <v>368.62516127238547</v>
      </c>
      <c r="F15" s="32">
        <f t="shared" si="8"/>
        <v>358.14752800383098</v>
      </c>
      <c r="G15" s="32">
        <f t="shared" si="8"/>
        <v>337.47611486505457</v>
      </c>
      <c r="H15" s="32">
        <f t="shared" si="8"/>
        <v>362.94590105918849</v>
      </c>
      <c r="I15" s="32">
        <f t="shared" si="8"/>
        <v>361.74772839867109</v>
      </c>
      <c r="J15" s="32">
        <f t="shared" si="8"/>
        <v>317.14880811358586</v>
      </c>
      <c r="K15" s="32">
        <f t="shared" si="8"/>
        <v>275.09955697380326</v>
      </c>
      <c r="L15" s="32">
        <f t="shared" si="8"/>
        <v>288.50216912802995</v>
      </c>
      <c r="M15" s="32">
        <f t="shared" si="8"/>
        <v>284.17327563096984</v>
      </c>
      <c r="N15" s="32">
        <f t="shared" si="8"/>
        <v>267.4307404799473</v>
      </c>
      <c r="O15" s="32">
        <f t="shared" si="8"/>
        <v>255.55489995572043</v>
      </c>
      <c r="P15" s="32">
        <f t="shared" si="8"/>
        <v>247.17236048761697</v>
      </c>
      <c r="Q15" s="32">
        <f t="shared" si="8"/>
        <v>257.59096043168762</v>
      </c>
      <c r="R15" s="32">
        <f t="shared" si="8"/>
        <v>269.30753596868294</v>
      </c>
      <c r="S15" s="32">
        <f t="shared" si="8"/>
        <v>227.23192293697102</v>
      </c>
      <c r="T15" s="32">
        <f t="shared" si="8"/>
        <v>189.56981116885575</v>
      </c>
      <c r="U15" s="32">
        <f t="shared" si="8"/>
        <v>208.07387668095654</v>
      </c>
      <c r="V15" s="32">
        <f t="shared" si="8"/>
        <v>200.23928012342424</v>
      </c>
      <c r="W15" s="32">
        <f t="shared" si="8"/>
        <v>356.48318889812828</v>
      </c>
      <c r="X15" s="32">
        <f t="shared" ref="X15:Y15" si="9">SUM(X16:X17)</f>
        <v>200.48922773807493</v>
      </c>
      <c r="Y15" s="32">
        <f t="shared" si="9"/>
        <v>172.16006799078022</v>
      </c>
      <c r="DA15" s="173" t="s">
        <v>414</v>
      </c>
    </row>
    <row r="16" spans="1:105" ht="11.45" customHeight="1" x14ac:dyDescent="0.25">
      <c r="A16" s="83" t="s">
        <v>92</v>
      </c>
      <c r="B16" s="96">
        <v>442.19788336949972</v>
      </c>
      <c r="C16" s="96">
        <v>431.59286484908682</v>
      </c>
      <c r="D16" s="96">
        <v>385.83105180181559</v>
      </c>
      <c r="E16" s="96">
        <v>368.62516127238547</v>
      </c>
      <c r="F16" s="96">
        <v>358.14752800383098</v>
      </c>
      <c r="G16" s="96">
        <v>337.47611486505457</v>
      </c>
      <c r="H16" s="96">
        <v>362.94590105918849</v>
      </c>
      <c r="I16" s="96">
        <v>361.74772839867109</v>
      </c>
      <c r="J16" s="96">
        <v>317.14880811358586</v>
      </c>
      <c r="K16" s="96">
        <v>275.09955697380326</v>
      </c>
      <c r="L16" s="96">
        <v>288.50216912802995</v>
      </c>
      <c r="M16" s="96">
        <v>284.17327563096984</v>
      </c>
      <c r="N16" s="96">
        <v>267.4307404799473</v>
      </c>
      <c r="O16" s="96">
        <v>255.55489995572043</v>
      </c>
      <c r="P16" s="96">
        <v>247.17236048761697</v>
      </c>
      <c r="Q16" s="96">
        <v>257.59096043168762</v>
      </c>
      <c r="R16" s="96">
        <v>269.30753596868294</v>
      </c>
      <c r="S16" s="96">
        <v>227.23192293697102</v>
      </c>
      <c r="T16" s="96">
        <v>189.56981116885575</v>
      </c>
      <c r="U16" s="96">
        <v>208.07387668095654</v>
      </c>
      <c r="V16" s="96">
        <v>200.23928012342424</v>
      </c>
      <c r="W16" s="96">
        <v>356.48318889812828</v>
      </c>
      <c r="X16" s="96">
        <v>200.48922773807493</v>
      </c>
      <c r="Y16" s="96">
        <v>172.16006799078022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0.93543044848846291</v>
      </c>
      <c r="C22" s="134">
        <f>IF(C4=0,0,C4/TrRail_ene!C4)</f>
        <v>0.92005516839837209</v>
      </c>
      <c r="D22" s="134">
        <f>IF(D4=0,0,D4/TrRail_ene!D4)</f>
        <v>0.88753783492615546</v>
      </c>
      <c r="E22" s="134">
        <f>IF(E4=0,0,E4/TrRail_ene!E4)</f>
        <v>0.97644392774225675</v>
      </c>
      <c r="F22" s="134">
        <f>IF(F4=0,0,F4/TrRail_ene!F4)</f>
        <v>0.94287488439699596</v>
      </c>
      <c r="G22" s="134">
        <f>IF(G4=0,0,G4/TrRail_ene!G4)</f>
        <v>0.86088857960856868</v>
      </c>
      <c r="H22" s="134">
        <f>IF(H4=0,0,H4/TrRail_ene!H4)</f>
        <v>0.83908190488528878</v>
      </c>
      <c r="I22" s="134">
        <f>IF(I4=0,0,I4/TrRail_ene!I4)</f>
        <v>0.83848491366003841</v>
      </c>
      <c r="J22" s="134">
        <f>IF(J4=0,0,J4/TrRail_ene!J4)</f>
        <v>0.88378799557491117</v>
      </c>
      <c r="K22" s="134">
        <f>IF(K4=0,0,K4/TrRail_ene!K4)</f>
        <v>0.78229927994868298</v>
      </c>
      <c r="L22" s="134">
        <f>IF(L4=0,0,L4/TrRail_ene!L4)</f>
        <v>0.76728635808717416</v>
      </c>
      <c r="M22" s="134">
        <f>IF(M4=0,0,M4/TrRail_ene!M4)</f>
        <v>0.7583075220384996</v>
      </c>
      <c r="N22" s="134">
        <f>IF(N4=0,0,N4/TrRail_ene!N4)</f>
        <v>0.75334893226844168</v>
      </c>
      <c r="O22" s="134">
        <f>IF(O4=0,0,O4/TrRail_ene!O4)</f>
        <v>0.74475116486639914</v>
      </c>
      <c r="P22" s="134">
        <f>IF(P4=0,0,P4/TrRail_ene!P4)</f>
        <v>0.76678898638926452</v>
      </c>
      <c r="Q22" s="134">
        <f>IF(Q4=0,0,Q4/TrRail_ene!Q4)</f>
        <v>0.76859135389340172</v>
      </c>
      <c r="R22" s="134">
        <f>IF(R4=0,0,R4/TrRail_ene!R4)</f>
        <v>0.76508581320300895</v>
      </c>
      <c r="S22" s="134">
        <f>IF(S4=0,0,S4/TrRail_ene!S4)</f>
        <v>0.65032873592000218</v>
      </c>
      <c r="T22" s="134">
        <f>IF(T4=0,0,T4/TrRail_ene!T4)</f>
        <v>0.57703627620270515</v>
      </c>
      <c r="U22" s="134">
        <f>IF(U4=0,0,U4/TrRail_ene!U4)</f>
        <v>0.64565048264573532</v>
      </c>
      <c r="V22" s="134">
        <f>IF(V4=0,0,V4/TrRail_ene!V4)</f>
        <v>0.61074362349503675</v>
      </c>
      <c r="W22" s="134">
        <f>IF(W4=0,0,W4/TrRail_ene!W4)</f>
        <v>0.85981261891273064</v>
      </c>
      <c r="X22" s="134">
        <f>IF(X4=0,0,X4/TrRail_ene!X4)</f>
        <v>0.61554787372674735</v>
      </c>
      <c r="Y22" s="134">
        <f>IF(Y4=0,0,Y4/TrRail_ene!Y4)</f>
        <v>0.58570032226485158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1.5567285913219395</v>
      </c>
      <c r="C23" s="129">
        <f>IF(C5=0,0,C5/SUM(TrRail_ene!C5:C7))</f>
        <v>1.5690394693790666</v>
      </c>
      <c r="D23" s="129">
        <f>IF(D5=0,0,D5/SUM(TrRail_ene!D5:D7))</f>
        <v>1.5691008608127612</v>
      </c>
      <c r="E23" s="129">
        <f>IF(E5=0,0,E5/SUM(TrRail_ene!E5:E7))</f>
        <v>1.5512094000000001</v>
      </c>
      <c r="F23" s="129">
        <f>IF(F5=0,0,F5/SUM(TrRail_ene!F5:F7))</f>
        <v>1.5371629466355003</v>
      </c>
      <c r="G23" s="129">
        <f>IF(G5=0,0,G5/SUM(TrRail_ene!G5:G7))</f>
        <v>1.5143421736428166</v>
      </c>
      <c r="H23" s="129">
        <f>IF(H5=0,0,H5/SUM(TrRail_ene!H5:H7))</f>
        <v>1.5022882835070468</v>
      </c>
      <c r="I23" s="129">
        <f>IF(I5=0,0,I5/SUM(TrRail_ene!I5:I7))</f>
        <v>1.4784355098273221</v>
      </c>
      <c r="J23" s="129">
        <f>IF(J5=0,0,J5/SUM(TrRail_ene!J5:J7))</f>
        <v>1.4705516146264488</v>
      </c>
      <c r="K23" s="129">
        <f>IF(K5=0,0,K5/SUM(TrRail_ene!K5:K7))</f>
        <v>1.457050539805091</v>
      </c>
      <c r="L23" s="129">
        <f>IF(L5=0,0,L5/SUM(TrRail_ene!L5:L7))</f>
        <v>1.4548707554894875</v>
      </c>
      <c r="M23" s="129">
        <f>IF(M5=0,0,M5/SUM(TrRail_ene!M5:M7))</f>
        <v>1.4574648107874077</v>
      </c>
      <c r="N23" s="129">
        <f>IF(N5=0,0,N5/SUM(TrRail_ene!N5:N7))</f>
        <v>1.4530541209957055</v>
      </c>
      <c r="O23" s="129">
        <f>IF(O5=0,0,O5/SUM(TrRail_ene!O5:O7))</f>
        <v>1.4653669468433359</v>
      </c>
      <c r="P23" s="129">
        <f>IF(P5=0,0,P5/SUM(TrRail_ene!P5:P7))</f>
        <v>1.462774538103651</v>
      </c>
      <c r="Q23" s="129">
        <f>IF(Q5=0,0,Q5/SUM(TrRail_ene!Q5:Q7))</f>
        <v>1.4725996490685977</v>
      </c>
      <c r="R23" s="129">
        <f>IF(R5=0,0,R5/SUM(TrRail_ene!R5:R7))</f>
        <v>1.4757391036068559</v>
      </c>
      <c r="S23" s="129">
        <f>IF(S5=0,0,S5/SUM(TrRail_ene!S5:S7))</f>
        <v>1.4746273269070245</v>
      </c>
      <c r="T23" s="129">
        <f>IF(T5=0,0,T5/SUM(TrRail_ene!T5:T7))</f>
        <v>1.4737693943801951</v>
      </c>
      <c r="U23" s="129">
        <f>IF(U5=0,0,U5/SUM(TrRail_ene!U5:U7))</f>
        <v>1.4705006710065638</v>
      </c>
      <c r="V23" s="129">
        <f>IF(V5=0,0,V5/SUM(TrRail_ene!V5:V7))</f>
        <v>1.4335509907317001</v>
      </c>
      <c r="W23" s="129">
        <f>IF(W5=0,0,W5/SUM(TrRail_ene!W5:W7))</f>
        <v>1.4591382936018606</v>
      </c>
      <c r="X23" s="129">
        <f>IF(X5=0,0,X5/SUM(TrRail_ene!X5:X7))</f>
        <v>1.4571566176383202</v>
      </c>
      <c r="Y23" s="129">
        <f>IF(Y5=0,0,Y5/SUM(TrRail_ene!Y5:Y7))</f>
        <v>1.3306152481417519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1870.8239607332032</v>
      </c>
      <c r="C26" s="54">
        <f>IF(C8=0,0,C8/TrRail_act!C14*1000)</f>
        <v>1888.7377977685501</v>
      </c>
      <c r="D26" s="54">
        <f>IF(D8=0,0,D8/TrRail_act!D14*1000)</f>
        <v>1724.6767042123379</v>
      </c>
      <c r="E26" s="54">
        <f>IF(E8=0,0,E8/TrRail_act!E14*1000)</f>
        <v>1633.2836401317429</v>
      </c>
      <c r="F26" s="54">
        <f>IF(F8=0,0,F8/TrRail_act!F14*1000)</f>
        <v>1518.8160590067764</v>
      </c>
      <c r="G26" s="54">
        <f>IF(G8=0,0,G8/TrRail_act!G14*1000)</f>
        <v>1306.0822019387913</v>
      </c>
      <c r="H26" s="54">
        <f>IF(H8=0,0,H8/TrRail_act!H14*1000)</f>
        <v>1220.971425016666</v>
      </c>
      <c r="I26" s="54">
        <f>IF(I8=0,0,I8/TrRail_act!I14*1000)</f>
        <v>1154.1661059469254</v>
      </c>
      <c r="J26" s="54">
        <f>IF(J8=0,0,J8/TrRail_act!J14*1000)</f>
        <v>1165.9959391521772</v>
      </c>
      <c r="K26" s="54">
        <f>IF(K8=0,0,K8/TrRail_act!K14*1000)</f>
        <v>981.80474029795232</v>
      </c>
      <c r="L26" s="54">
        <f>IF(L8=0,0,L8/TrRail_act!L14*1000)</f>
        <v>970.57346555867946</v>
      </c>
      <c r="M26" s="54">
        <f>IF(M8=0,0,M8/TrRail_act!M14*1000)</f>
        <v>956.84338280451766</v>
      </c>
      <c r="N26" s="54">
        <f>IF(N8=0,0,N8/TrRail_act!N14*1000)</f>
        <v>931.59985689740392</v>
      </c>
      <c r="O26" s="54">
        <f>IF(O8=0,0,O8/TrRail_act!O14*1000)</f>
        <v>896.72086538275664</v>
      </c>
      <c r="P26" s="54">
        <f>IF(P8=0,0,P8/TrRail_act!P14*1000)</f>
        <v>892.36733037336728</v>
      </c>
      <c r="Q26" s="54">
        <f>IF(Q8=0,0,Q8/TrRail_act!Q14*1000)</f>
        <v>854.77579691493497</v>
      </c>
      <c r="R26" s="54">
        <f>IF(R8=0,0,R8/TrRail_act!R14*1000)</f>
        <v>838.15659628870674</v>
      </c>
      <c r="S26" s="54">
        <f>IF(S8=0,0,S8/TrRail_act!S14*1000)</f>
        <v>694.312334451825</v>
      </c>
      <c r="T26" s="54">
        <f>IF(T8=0,0,T8/TrRail_act!T14*1000)</f>
        <v>607.15063382263065</v>
      </c>
      <c r="U26" s="54">
        <f>IF(U8=0,0,U8/TrRail_act!U14*1000)</f>
        <v>679.98515020457876</v>
      </c>
      <c r="V26" s="54">
        <f>IF(V8=0,0,V8/TrRail_act!V14*1000)</f>
        <v>657.33834081562986</v>
      </c>
      <c r="W26" s="54">
        <f>IF(W8=0,0,W8/TrRail_act!W14*1000)</f>
        <v>955.88831369097011</v>
      </c>
      <c r="X26" s="54">
        <f>IF(X8=0,0,X8/TrRail_act!X14*1000)</f>
        <v>670.71900853505917</v>
      </c>
      <c r="Y26" s="54">
        <f>IF(Y8=0,0,Y8/TrRail_act!Y14*1000)</f>
        <v>635.66202948164755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1752.6498482087236</v>
      </c>
      <c r="C27" s="28">
        <f>IF(C9=0,0,C9/TrRail_act!C15*1000)</f>
        <v>1816.5717439413195</v>
      </c>
      <c r="D27" s="28">
        <f>IF(D9=0,0,D9/TrRail_act!D15*1000)</f>
        <v>1692.8527961857073</v>
      </c>
      <c r="E27" s="28">
        <f>IF(E9=0,0,E9/TrRail_act!E15*1000)</f>
        <v>1548.7182293937765</v>
      </c>
      <c r="F27" s="28">
        <f>IF(F9=0,0,F9/TrRail_act!F15*1000)</f>
        <v>1424.0496015256533</v>
      </c>
      <c r="G27" s="28">
        <f>IF(G9=0,0,G9/TrRail_act!G15*1000)</f>
        <v>1198.4714515281869</v>
      </c>
      <c r="H27" s="28">
        <f>IF(H9=0,0,H9/TrRail_act!H15*1000)</f>
        <v>1097.4972426938293</v>
      </c>
      <c r="I27" s="28">
        <f>IF(I9=0,0,I9/TrRail_act!I15*1000)</f>
        <v>1035.6354947664399</v>
      </c>
      <c r="J27" s="28">
        <f>IF(J9=0,0,J9/TrRail_act!J15*1000)</f>
        <v>1058.2618292899783</v>
      </c>
      <c r="K27" s="28">
        <f>IF(K9=0,0,K9/TrRail_act!K15*1000)</f>
        <v>896.67514166515605</v>
      </c>
      <c r="L27" s="28">
        <f>IF(L9=0,0,L9/TrRail_act!L15*1000)</f>
        <v>880.68014345859103</v>
      </c>
      <c r="M27" s="28">
        <f>IF(M9=0,0,M9/TrRail_act!M15*1000)</f>
        <v>894.60154654574012</v>
      </c>
      <c r="N27" s="28">
        <f>IF(N9=0,0,N9/TrRail_act!N15*1000)</f>
        <v>885.18150577995925</v>
      </c>
      <c r="O27" s="28">
        <f>IF(O9=0,0,O9/TrRail_act!O15*1000)</f>
        <v>859.7771778639783</v>
      </c>
      <c r="P27" s="28">
        <f>IF(P9=0,0,P9/TrRail_act!P15*1000)</f>
        <v>866.06096443789806</v>
      </c>
      <c r="Q27" s="28">
        <f>IF(Q9=0,0,Q9/TrRail_act!Q15*1000)</f>
        <v>801.73742338182649</v>
      </c>
      <c r="R27" s="28">
        <f>IF(R9=0,0,R9/TrRail_act!R15*1000)</f>
        <v>796.79775512355559</v>
      </c>
      <c r="S27" s="28">
        <f>IF(S9=0,0,S9/TrRail_act!S15*1000)</f>
        <v>659.02937387788916</v>
      </c>
      <c r="T27" s="28">
        <f>IF(T9=0,0,T9/TrRail_act!T15*1000)</f>
        <v>594.28060536143005</v>
      </c>
      <c r="U27" s="28">
        <f>IF(U9=0,0,U9/TrRail_act!U15*1000)</f>
        <v>649.32736293337393</v>
      </c>
      <c r="V27" s="28">
        <f>IF(V9=0,0,V9/TrRail_act!V15*1000)</f>
        <v>634.97023490943786</v>
      </c>
      <c r="W27" s="28">
        <f>IF(W9=0,0,W9/TrRail_act!W15*1000)</f>
        <v>876.08483845772685</v>
      </c>
      <c r="X27" s="28">
        <f>IF(X9=0,0,X9/TrRail_act!X15*1000)</f>
        <v>648.15892962582359</v>
      </c>
      <c r="Y27" s="28">
        <f>IF(Y9=0,0,Y9/TrRail_act!Y15*1000)</f>
        <v>619.8422579225504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2544.5053911191872</v>
      </c>
      <c r="C29" s="110">
        <f>IF(C11=0,0,C11/TrRail_act!C17*1000)</f>
        <v>2688.6019158529348</v>
      </c>
      <c r="D29" s="110">
        <f>IF(D11=0,0,D11/TrRail_act!D17*1000)</f>
        <v>2502.2139030055491</v>
      </c>
      <c r="E29" s="110">
        <f>IF(E11=0,0,E11/TrRail_act!E17*1000)</f>
        <v>2309.015857184871</v>
      </c>
      <c r="F29" s="110">
        <f>IF(F11=0,0,F11/TrRail_act!F17*1000)</f>
        <v>2153.6228763145459</v>
      </c>
      <c r="G29" s="110">
        <f>IF(G11=0,0,G11/TrRail_act!G17*1000)</f>
        <v>1813.1632508038797</v>
      </c>
      <c r="H29" s="110">
        <f>IF(H11=0,0,H11/TrRail_act!H17*1000)</f>
        <v>1679.6212802711209</v>
      </c>
      <c r="I29" s="110">
        <f>IF(I11=0,0,I11/TrRail_act!I17*1000)</f>
        <v>1585.2426119507159</v>
      </c>
      <c r="J29" s="110">
        <f>IF(J11=0,0,J11/TrRail_act!J17*1000)</f>
        <v>1626.9990897689102</v>
      </c>
      <c r="K29" s="110">
        <f>IF(K11=0,0,K11/TrRail_act!K17*1000)</f>
        <v>1349.4986333453708</v>
      </c>
      <c r="L29" s="110">
        <f>IF(L11=0,0,L11/TrRail_act!L17*1000)</f>
        <v>1311.3292693146736</v>
      </c>
      <c r="M29" s="110">
        <f>IF(M11=0,0,M11/TrRail_act!M17*1000)</f>
        <v>1350.3994523141168</v>
      </c>
      <c r="N29" s="110">
        <f>IF(N11=0,0,N11/TrRail_act!N17*1000)</f>
        <v>1328.2133278205722</v>
      </c>
      <c r="O29" s="110">
        <f>IF(O11=0,0,O11/TrRail_act!O17*1000)</f>
        <v>1285.8551630760317</v>
      </c>
      <c r="P29" s="110">
        <f>IF(P11=0,0,P11/TrRail_act!P17*1000)</f>
        <v>1277.1329745672845</v>
      </c>
      <c r="Q29" s="110">
        <f>IF(Q11=0,0,Q11/TrRail_act!Q17*1000)</f>
        <v>1180.3447287877636</v>
      </c>
      <c r="R29" s="110">
        <f>IF(R11=0,0,R11/TrRail_act!R17*1000)</f>
        <v>1159.343003964186</v>
      </c>
      <c r="S29" s="110">
        <f>IF(S11=0,0,S11/TrRail_act!S17*1000)</f>
        <v>968.49645601193629</v>
      </c>
      <c r="T29" s="110">
        <f>IF(T11=0,0,T11/TrRail_act!T17*1000)</f>
        <v>896.1558360842472</v>
      </c>
      <c r="U29" s="110">
        <f>IF(U11=0,0,U11/TrRail_act!U17*1000)</f>
        <v>985.08585125876084</v>
      </c>
      <c r="V29" s="110">
        <f>IF(V11=0,0,V11/TrRail_act!V17*1000)</f>
        <v>940.06369378464444</v>
      </c>
      <c r="W29" s="110">
        <f>IF(W11=0,0,W11/TrRail_act!W17*1000)</f>
        <v>1225.5366254328817</v>
      </c>
      <c r="X29" s="110">
        <f>IF(X11=0,0,X11/TrRail_act!X17*1000)</f>
        <v>885.5225827967945</v>
      </c>
      <c r="Y29" s="110">
        <f>IF(Y11=0,0,Y11/TrRail_act!Y17*1000)</f>
        <v>843.47059663811103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8868.2106683909024</v>
      </c>
      <c r="C30" s="84">
        <f>IF(C12=0,0,C12/TrRail_act!C18*1000)</f>
        <v>8726.5902701849336</v>
      </c>
      <c r="D30" s="84">
        <f>IF(D12=0,0,D12/TrRail_act!D18*1000)</f>
        <v>8014.5028878105668</v>
      </c>
      <c r="E30" s="84">
        <f>IF(E12=0,0,E12/TrRail_act!E18*1000)</f>
        <v>6914.7805577018735</v>
      </c>
      <c r="F30" s="84">
        <f>IF(F12=0,0,F12/TrRail_act!F18*1000)</f>
        <v>6398.2735965172233</v>
      </c>
      <c r="G30" s="84">
        <f>IF(G12=0,0,G12/TrRail_act!G18*1000)</f>
        <v>6000.7308536135179</v>
      </c>
      <c r="H30" s="84">
        <f>IF(H12=0,0,H12/TrRail_act!H18*1000)</f>
        <v>5612.7742062396574</v>
      </c>
      <c r="I30" s="84">
        <f>IF(I12=0,0,I12/TrRail_act!I18*1000)</f>
        <v>5282.6073074212009</v>
      </c>
      <c r="J30" s="84">
        <f>IF(J12=0,0,J12/TrRail_act!J18*1000)</f>
        <v>5241.4600308899562</v>
      </c>
      <c r="K30" s="84">
        <f>IF(K12=0,0,K12/TrRail_act!K18*1000)</f>
        <v>4938.8762661826213</v>
      </c>
      <c r="L30" s="84">
        <f>IF(L12=0,0,L12/TrRail_act!L18*1000)</f>
        <v>4896.7416451716617</v>
      </c>
      <c r="M30" s="84">
        <f>IF(M12=0,0,M12/TrRail_act!M18*1000)</f>
        <v>4859.6989045097234</v>
      </c>
      <c r="N30" s="84">
        <f>IF(N12=0,0,N12/TrRail_act!N18*1000)</f>
        <v>4809.3410693450569</v>
      </c>
      <c r="O30" s="84">
        <f>IF(O12=0,0,O12/TrRail_act!O18*1000)</f>
        <v>4639.2377429908047</v>
      </c>
      <c r="P30" s="84">
        <f>IF(P12=0,0,P12/TrRail_act!P18*1000)</f>
        <v>4392.1921467052116</v>
      </c>
      <c r="Q30" s="84">
        <f>IF(Q12=0,0,Q12/TrRail_act!Q18*1000)</f>
        <v>4276.0227379461703</v>
      </c>
      <c r="R30" s="84">
        <f>IF(R12=0,0,R12/TrRail_act!R18*1000)</f>
        <v>4178.8177355388771</v>
      </c>
      <c r="S30" s="84">
        <f>IF(S12=0,0,S12/TrRail_act!S18*1000)</f>
        <v>4097.7222681886715</v>
      </c>
      <c r="T30" s="84">
        <f>IF(T12=0,0,T12/TrRail_act!T18*1000)</f>
        <v>4037.8675952157287</v>
      </c>
      <c r="U30" s="84">
        <f>IF(U12=0,0,U12/TrRail_act!U18*1000)</f>
        <v>3986.4332046017935</v>
      </c>
      <c r="V30" s="84">
        <f>IF(V12=0,0,V12/TrRail_act!V18*1000)</f>
        <v>3855.4932996771286</v>
      </c>
      <c r="W30" s="84">
        <f>IF(W12=0,0,W12/TrRail_act!W18*1000)</f>
        <v>3900.9817624403627</v>
      </c>
      <c r="X30" s="84">
        <f>IF(X12=0,0,X12/TrRail_act!X18*1000)</f>
        <v>3878.3025929490173</v>
      </c>
      <c r="Y30" s="84">
        <f>IF(Y12=0,0,Y12/TrRail_act!Y18*1000)</f>
        <v>3529.6484177521993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2372.6428636274973</v>
      </c>
      <c r="C33" s="28">
        <f>IF(C15=0,0,C15/TrRail_act!C21*1000)</f>
        <v>2169.0242724248728</v>
      </c>
      <c r="D33" s="28">
        <f>IF(D15=0,0,D15/TrRail_act!D21*1000)</f>
        <v>1844.8493600183656</v>
      </c>
      <c r="E33" s="28">
        <f>IF(E15=0,0,E15/TrRail_act!E21*1000)</f>
        <v>1996.9918040103103</v>
      </c>
      <c r="F33" s="28">
        <f>IF(F15=0,0,F15/TrRail_act!F21*1000)</f>
        <v>1930.5813294836496</v>
      </c>
      <c r="G33" s="28">
        <f>IF(G15=0,0,G15/TrRail_act!G21*1000)</f>
        <v>1792.0184067514756</v>
      </c>
      <c r="H33" s="28">
        <f>IF(H15=0,0,H15/TrRail_act!H21*1000)</f>
        <v>1696.9475240763702</v>
      </c>
      <c r="I33" s="28">
        <f>IF(I15=0,0,I15/TrRail_act!I21*1000)</f>
        <v>1591.402129689631</v>
      </c>
      <c r="J33" s="28">
        <f>IF(J15=0,0,J15/TrRail_act!J21*1000)</f>
        <v>1630.2762788481839</v>
      </c>
      <c r="K33" s="28">
        <f>IF(K15=0,0,K15/TrRail_act!K21*1000)</f>
        <v>1349.6063495503258</v>
      </c>
      <c r="L33" s="28">
        <f>IF(L15=0,0,L15/TrRail_act!L21*1000)</f>
        <v>1348.542858528117</v>
      </c>
      <c r="M33" s="28">
        <f>IF(M15=0,0,M15/TrRail_act!M21*1000)</f>
        <v>1182.9828867880976</v>
      </c>
      <c r="N33" s="28">
        <f>IF(N15=0,0,N15/TrRail_act!N21*1000)</f>
        <v>1100.2086296257121</v>
      </c>
      <c r="O33" s="28">
        <f>IF(O15=0,0,O15/TrRail_act!O21*1000)</f>
        <v>1029.0538812131888</v>
      </c>
      <c r="P33" s="28">
        <f>IF(P15=0,0,P15/TrRail_act!P21*1000)</f>
        <v>986.64914585595341</v>
      </c>
      <c r="Q33" s="28">
        <f>IF(Q15=0,0,Q15/TrRail_act!Q21*1000)</f>
        <v>1052.7467948661558</v>
      </c>
      <c r="R33" s="28">
        <f>IF(R15=0,0,R15/TrRail_act!R21*1000)</f>
        <v>982.78059923083299</v>
      </c>
      <c r="S33" s="28">
        <f>IF(S15=0,0,S15/TrRail_act!S21*1000)</f>
        <v>812.91955022388117</v>
      </c>
      <c r="T33" s="28">
        <f>IF(T15=0,0,T15/TrRail_act!T21*1000)</f>
        <v>647.2351412369859</v>
      </c>
      <c r="U33" s="28">
        <f>IF(U15=0,0,U15/TrRail_act!U21*1000)</f>
        <v>785.81504023242212</v>
      </c>
      <c r="V33" s="28">
        <f>IF(V15=0,0,V15/TrRail_act!V21*1000)</f>
        <v>724.23366224729</v>
      </c>
      <c r="W33" s="28">
        <f>IF(W15=0,0,W15/TrRail_act!W21*1000)</f>
        <v>1219.8995908989477</v>
      </c>
      <c r="X33" s="28">
        <f>IF(X15=0,0,X15/TrRail_act!X21*1000)</f>
        <v>745.83921901404517</v>
      </c>
      <c r="Y33" s="28">
        <f>IF(Y15=0,0,Y15/TrRail_act!Y21*1000)</f>
        <v>694.38909004798904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15329.405067891224</v>
      </c>
      <c r="C34" s="84">
        <f>IF(C16=0,0,C16/TrRail_act!C22*1000)</f>
        <v>15406.042667244612</v>
      </c>
      <c r="D34" s="84">
        <f>IF(D16=0,0,D16/TrRail_act!D22*1000)</f>
        <v>14301.437818229924</v>
      </c>
      <c r="E34" s="84">
        <f>IF(E16=0,0,E16/TrRail_act!E22*1000)</f>
        <v>13384.83137386518</v>
      </c>
      <c r="F34" s="84">
        <f>IF(F16=0,0,F16/TrRail_act!F22*1000)</f>
        <v>13199.248750257488</v>
      </c>
      <c r="G34" s="84">
        <f>IF(G16=0,0,G16/TrRail_act!G22*1000)</f>
        <v>12739.318718446355</v>
      </c>
      <c r="H34" s="84">
        <f>IF(H16=0,0,H16/TrRail_act!H22*1000)</f>
        <v>12260.563260309928</v>
      </c>
      <c r="I34" s="84">
        <f>IF(I16=0,0,I16/TrRail_act!I22*1000)</f>
        <v>11972.465219129119</v>
      </c>
      <c r="J34" s="84">
        <f>IF(J16=0,0,J16/TrRail_act!J22*1000)</f>
        <v>11559.926674577944</v>
      </c>
      <c r="K34" s="84">
        <f>IF(K16=0,0,K16/TrRail_act!K22*1000)</f>
        <v>11217.242643362984</v>
      </c>
      <c r="L34" s="84">
        <f>IF(L16=0,0,L16/TrRail_act!L22*1000)</f>
        <v>11068.804236233142</v>
      </c>
      <c r="M34" s="84">
        <f>IF(M16=0,0,M16/TrRail_act!M22*1000)</f>
        <v>11000.309841619486</v>
      </c>
      <c r="N34" s="84">
        <f>IF(N16=0,0,N16/TrRail_act!N22*1000)</f>
        <v>10710.534268896899</v>
      </c>
      <c r="O34" s="84">
        <f>IF(O16=0,0,O16/TrRail_act!O22*1000)</f>
        <v>10539.086106358673</v>
      </c>
      <c r="P34" s="84">
        <f>IF(P16=0,0,P16/TrRail_act!P22*1000)</f>
        <v>10148.714339144221</v>
      </c>
      <c r="Q34" s="84">
        <f>IF(Q16=0,0,Q16/TrRail_act!Q22*1000)</f>
        <v>10210.560430509138</v>
      </c>
      <c r="R34" s="84">
        <f>IF(R16=0,0,R16/TrRail_act!R22*1000)</f>
        <v>9920.7531870811454</v>
      </c>
      <c r="S34" s="84">
        <f>IF(S16=0,0,S16/TrRail_act!S22*1000)</f>
        <v>9879.731430528087</v>
      </c>
      <c r="T34" s="84">
        <f>IF(T16=0,0,T16/TrRail_act!T22*1000)</f>
        <v>9750.4226199231525</v>
      </c>
      <c r="U34" s="84">
        <f>IF(U16=0,0,U16/TrRail_act!U22*1000)</f>
        <v>9540.9718057865048</v>
      </c>
      <c r="V34" s="84">
        <f>IF(V16=0,0,V16/TrRail_act!V22*1000)</f>
        <v>9074.5653872478288</v>
      </c>
      <c r="W34" s="84">
        <f>IF(W16=0,0,W16/TrRail_act!W22*1000)</f>
        <v>9067.1984712994308</v>
      </c>
      <c r="X34" s="84">
        <f>IF(X16=0,0,X16/TrRail_act!X22*1000)</f>
        <v>8930.0909721343505</v>
      </c>
      <c r="Y34" s="84">
        <f>IF(Y16=0,0,Y16/TrRail_act!Y22*1000)</f>
        <v>8070.1551383066853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15.411407471567822</v>
      </c>
      <c r="C38" s="29">
        <f>IF(C9=0,0,C9/TrRail_act!C4*1000)</f>
        <v>15.520432002468729</v>
      </c>
      <c r="D38" s="29">
        <f>IF(D9=0,0,D9/TrRail_act!D4*1000)</f>
        <v>15.625787385352874</v>
      </c>
      <c r="E38" s="29">
        <f>IF(E9=0,0,E9/TrRail_act!E4*1000)</f>
        <v>14.28978998370134</v>
      </c>
      <c r="F38" s="29">
        <f>IF(F9=0,0,F9/TrRail_act!F4*1000)</f>
        <v>13.060937217260642</v>
      </c>
      <c r="G38" s="29">
        <f>IF(G9=0,0,G9/TrRail_act!G4*1000)</f>
        <v>11.043856344746663</v>
      </c>
      <c r="H38" s="29">
        <f>IF(H9=0,0,H9/TrRail_act!H4*1000)</f>
        <v>9.5684524615177615</v>
      </c>
      <c r="I38" s="29">
        <f>IF(I9=0,0,I9/TrRail_act!I4*1000)</f>
        <v>9.1384217630918485</v>
      </c>
      <c r="J38" s="29">
        <f>IF(J9=0,0,J9/TrRail_act!J4*1000)</f>
        <v>9.0043913120358656</v>
      </c>
      <c r="K38" s="29">
        <f>IF(K9=0,0,K9/TrRail_act!K4*1000)</f>
        <v>7.9967559698855357</v>
      </c>
      <c r="L38" s="29">
        <f>IF(L9=0,0,L9/TrRail_act!L4*1000)</f>
        <v>7.9028974402886032</v>
      </c>
      <c r="M38" s="29">
        <f>IF(M9=0,0,M9/TrRail_act!M4*1000)</f>
        <v>7.6537264282888477</v>
      </c>
      <c r="N38" s="29">
        <f>IF(N9=0,0,N9/TrRail_act!N4*1000)</f>
        <v>7.415476468903198</v>
      </c>
      <c r="O38" s="29">
        <f>IF(O9=0,0,O9/TrRail_act!O4*1000)</f>
        <v>7.1939171966729019</v>
      </c>
      <c r="P38" s="29">
        <f>IF(P9=0,0,P9/TrRail_act!P4*1000)</f>
        <v>7.2281846547842754</v>
      </c>
      <c r="Q38" s="29">
        <f>IF(Q9=0,0,Q9/TrRail_act!Q4*1000)</f>
        <v>6.7956803460632234</v>
      </c>
      <c r="R38" s="29">
        <f>IF(R9=0,0,R9/TrRail_act!R4*1000)</f>
        <v>6.7888257565581895</v>
      </c>
      <c r="S38" s="29">
        <f>IF(S9=0,0,S9/TrRail_act!S4*1000)</f>
        <v>5.493346391638612</v>
      </c>
      <c r="T38" s="29">
        <f>IF(T9=0,0,T9/TrRail_act!T4*1000)</f>
        <v>4.6830998705189506</v>
      </c>
      <c r="U38" s="29">
        <f>IF(U9=0,0,U9/TrRail_act!U4*1000)</f>
        <v>5.036067098725888</v>
      </c>
      <c r="V38" s="29">
        <f>IF(V9=0,0,V9/TrRail_act!V4*1000)</f>
        <v>7.5559123000931923</v>
      </c>
      <c r="W38" s="29">
        <f>IF(W9=0,0,W9/TrRail_act!W4*1000)</f>
        <v>12.325123957360107</v>
      </c>
      <c r="X38" s="29">
        <f>IF(X9=0,0,X9/TrRail_act!X4*1000)</f>
        <v>5.4314952477874883</v>
      </c>
      <c r="Y38" s="29">
        <f>IF(Y9=0,0,Y9/TrRail_act!Y4*1000)</f>
        <v>4.8756578091174942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22.561985687323968</v>
      </c>
      <c r="C40" s="116">
        <f>IF(C11=0,0,C11/TrRail_act!C6*1000)</f>
        <v>23.305253346690794</v>
      </c>
      <c r="D40" s="116">
        <f>IF(D11=0,0,D11/TrRail_act!D6*1000)</f>
        <v>24.061024096598633</v>
      </c>
      <c r="E40" s="116">
        <f>IF(E11=0,0,E11/TrRail_act!E6*1000)</f>
        <v>22.838554119318196</v>
      </c>
      <c r="F40" s="116">
        <f>IF(F11=0,0,F11/TrRail_act!F6*1000)</f>
        <v>21.537705048712265</v>
      </c>
      <c r="G40" s="116">
        <f>IF(G11=0,0,G11/TrRail_act!G6*1000)</f>
        <v>18.216924638943031</v>
      </c>
      <c r="H40" s="116">
        <f>IF(H11=0,0,H11/TrRail_act!H6*1000)</f>
        <v>15.773893704886456</v>
      </c>
      <c r="I40" s="116">
        <f>IF(I11=0,0,I11/TrRail_act!I6*1000)</f>
        <v>15.184947976521807</v>
      </c>
      <c r="J40" s="116">
        <f>IF(J11=0,0,J11/TrRail_act!J6*1000)</f>
        <v>14.985030614916935</v>
      </c>
      <c r="K40" s="116">
        <f>IF(K11=0,0,K11/TrRail_act!K6*1000)</f>
        <v>13.229015998964647</v>
      </c>
      <c r="L40" s="116">
        <f>IF(L11=0,0,L11/TrRail_act!L6*1000)</f>
        <v>13.205689772890558</v>
      </c>
      <c r="M40" s="116">
        <f>IF(M11=0,0,M11/TrRail_act!M6*1000)</f>
        <v>12.571523244224165</v>
      </c>
      <c r="N40" s="116">
        <f>IF(N11=0,0,N11/TrRail_act!N6*1000)</f>
        <v>12.203774748447154</v>
      </c>
      <c r="O40" s="116">
        <f>IF(O11=0,0,O11/TrRail_act!O6*1000)</f>
        <v>11.86928793650045</v>
      </c>
      <c r="P40" s="116">
        <f>IF(P11=0,0,P11/TrRail_act!P6*1000)</f>
        <v>11.66472126237411</v>
      </c>
      <c r="Q40" s="116">
        <f>IF(Q11=0,0,Q11/TrRail_act!Q6*1000)</f>
        <v>11.133260715954268</v>
      </c>
      <c r="R40" s="116">
        <f>IF(R11=0,0,R11/TrRail_act!R6*1000)</f>
        <v>11.186562865722863</v>
      </c>
      <c r="S40" s="116">
        <f>IF(S11=0,0,S11/TrRail_act!S6*1000)</f>
        <v>9.2389551282770981</v>
      </c>
      <c r="T40" s="116">
        <f>IF(T11=0,0,T11/TrRail_act!T6*1000)</f>
        <v>8.0800119848443117</v>
      </c>
      <c r="U40" s="116">
        <f>IF(U11=0,0,U11/TrRail_act!U6*1000)</f>
        <v>8.8520251121441866</v>
      </c>
      <c r="V40" s="116">
        <f>IF(V11=0,0,V11/TrRail_act!V6*1000)</f>
        <v>13.247153403556938</v>
      </c>
      <c r="W40" s="116">
        <f>IF(W11=0,0,W11/TrRail_act!W6*1000)</f>
        <v>22.318906611728465</v>
      </c>
      <c r="X40" s="116">
        <f>IF(X11=0,0,X11/TrRail_act!X6*1000)</f>
        <v>9.9469233073626224</v>
      </c>
      <c r="Y40" s="116">
        <f>IF(Y11=0,0,Y11/TrRail_act!Y6*1000)</f>
        <v>8.9910477207486057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81.921449516538445</v>
      </c>
      <c r="C41" s="87">
        <f>IF(C12=0,0,C12/TrRail_act!C7*1000)</f>
        <v>81.130723970106146</v>
      </c>
      <c r="D41" s="87">
        <f>IF(D12=0,0,D12/TrRail_act!D7*1000)</f>
        <v>76.990870987461889</v>
      </c>
      <c r="E41" s="87">
        <f>IF(E12=0,0,E12/TrRail_act!E7*1000)</f>
        <v>63.735399695313028</v>
      </c>
      <c r="F41" s="87">
        <f>IF(F12=0,0,F12/TrRail_act!F7*1000)</f>
        <v>61.133848515386326</v>
      </c>
      <c r="G41" s="87">
        <f>IF(G12=0,0,G12/TrRail_act!G7*1000)</f>
        <v>57.530492502385592</v>
      </c>
      <c r="H41" s="87">
        <f>IF(H12=0,0,H12/TrRail_act!H7*1000)</f>
        <v>50.233083901952824</v>
      </c>
      <c r="I41" s="87">
        <f>IF(I12=0,0,I12/TrRail_act!I7*1000)</f>
        <v>47.388814079212587</v>
      </c>
      <c r="J41" s="87">
        <f>IF(J12=0,0,J12/TrRail_act!J7*1000)</f>
        <v>44.075502694121674</v>
      </c>
      <c r="K41" s="87">
        <f>IF(K12=0,0,K12/TrRail_act!K7*1000)</f>
        <v>43.43272412148545</v>
      </c>
      <c r="L41" s="87">
        <f>IF(L12=0,0,L12/TrRail_act!L7*1000)</f>
        <v>44.485808213848337</v>
      </c>
      <c r="M41" s="87">
        <f>IF(M12=0,0,M12/TrRail_act!M7*1000)</f>
        <v>42.943895749157946</v>
      </c>
      <c r="N41" s="87">
        <f>IF(N12=0,0,N12/TrRail_act!N7*1000)</f>
        <v>41.529900799963116</v>
      </c>
      <c r="O41" s="87">
        <f>IF(O12=0,0,O12/TrRail_act!O7*1000)</f>
        <v>41.100764051028193</v>
      </c>
      <c r="P41" s="87">
        <f>IF(P12=0,0,P12/TrRail_act!P7*1000)</f>
        <v>39.221408446124869</v>
      </c>
      <c r="Q41" s="87">
        <f>IF(Q12=0,0,Q12/TrRail_act!Q7*1000)</f>
        <v>37.755497415160818</v>
      </c>
      <c r="R41" s="87">
        <f>IF(R12=0,0,R12/TrRail_act!R7*1000)</f>
        <v>38.856905019201029</v>
      </c>
      <c r="S41" s="87">
        <f>IF(S12=0,0,S12/TrRail_act!S7*1000)</f>
        <v>37.146223389640383</v>
      </c>
      <c r="T41" s="87">
        <f>IF(T12=0,0,T12/TrRail_act!T7*1000)</f>
        <v>36.310627514244018</v>
      </c>
      <c r="U41" s="87">
        <f>IF(U12=0,0,U12/TrRail_act!U7*1000)</f>
        <v>35.329790211755657</v>
      </c>
      <c r="V41" s="87">
        <f>IF(V12=0,0,V12/TrRail_act!V7*1000)</f>
        <v>56.056896856462799</v>
      </c>
      <c r="W41" s="87">
        <f>IF(W12=0,0,W12/TrRail_act!W7*1000)</f>
        <v>68.06836745401742</v>
      </c>
      <c r="X41" s="87">
        <f>IF(X12=0,0,X12/TrRail_act!X7*1000)</f>
        <v>44.320630663493809</v>
      </c>
      <c r="Y41" s="87">
        <f>IF(Y12=0,0,Y12/TrRail_act!Y7*1000)</f>
        <v>38.710344152516925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5.3486287676988171</v>
      </c>
      <c r="C44" s="29">
        <f>IF(C15=0,0,C15/TrRail_act!C10*1000)</f>
        <v>5.3255455794413615</v>
      </c>
      <c r="D44" s="29">
        <f>IF(D15=0,0,D15/TrRail_act!D10*1000)</f>
        <v>4.7598792460037211</v>
      </c>
      <c r="E44" s="29">
        <f>IF(E15=0,0,E15/TrRail_act!E10*1000)</f>
        <v>4.3302457625268476</v>
      </c>
      <c r="F44" s="29">
        <f>IF(F15=0,0,F15/TrRail_act!F10*1000)</f>
        <v>4.1447942691598216</v>
      </c>
      <c r="G44" s="29">
        <f>IF(G15=0,0,G15/TrRail_act!G10*1000)</f>
        <v>3.5367440249953317</v>
      </c>
      <c r="H44" s="29">
        <f>IF(H15=0,0,H15/TrRail_act!H10*1000)</f>
        <v>3.3917958737203029</v>
      </c>
      <c r="I44" s="29">
        <f>IF(I15=0,0,I15/TrRail_act!I10*1000)</f>
        <v>3.1561988256220483</v>
      </c>
      <c r="J44" s="29">
        <f>IF(J15=0,0,J15/TrRail_act!J10*1000)</f>
        <v>2.7347722935748853</v>
      </c>
      <c r="K44" s="29">
        <f>IF(K15=0,0,K15/TrRail_act!K10*1000)</f>
        <v>2.8760460520825832</v>
      </c>
      <c r="L44" s="29">
        <f>IF(L15=0,0,L15/TrRail_act!L10*1000)</f>
        <v>2.6883174998185746</v>
      </c>
      <c r="M44" s="29">
        <f>IF(M15=0,0,M15/TrRail_act!M10*1000)</f>
        <v>2.5112519939110096</v>
      </c>
      <c r="N44" s="29">
        <f>IF(N15=0,0,N15/TrRail_act!N10*1000)</f>
        <v>2.4297527868073168</v>
      </c>
      <c r="O44" s="29">
        <f>IF(O15=0,0,O15/TrRail_act!O10*1000)</f>
        <v>2.3094744923927562</v>
      </c>
      <c r="P44" s="29">
        <f>IF(P15=0,0,P15/TrRail_act!P10*1000)</f>
        <v>2.1945712071279773</v>
      </c>
      <c r="Q44" s="29">
        <f>IF(Q15=0,0,Q15/TrRail_act!Q10*1000)</f>
        <v>2.2528310967342215</v>
      </c>
      <c r="R44" s="29">
        <f>IF(R15=0,0,R15/TrRail_act!R10*1000)</f>
        <v>1.9820241837621559</v>
      </c>
      <c r="S44" s="29">
        <f>IF(S15=0,0,S15/TrRail_act!S10*1000)</f>
        <v>1.7906800234597431</v>
      </c>
      <c r="T44" s="29">
        <f>IF(T15=0,0,T15/TrRail_act!T10*1000)</f>
        <v>1.4854240022634051</v>
      </c>
      <c r="U44" s="29">
        <f>IF(U15=0,0,U15/TrRail_act!U10*1000)</f>
        <v>1.6186851039010197</v>
      </c>
      <c r="V44" s="29">
        <f>IF(V15=0,0,V15/TrRail_act!V10*1000)</f>
        <v>1.8333740477702987</v>
      </c>
      <c r="W44" s="29">
        <f>IF(W15=0,0,W15/TrRail_act!W10*1000)</f>
        <v>2.8763722023490401</v>
      </c>
      <c r="X44" s="29">
        <f>IF(X15=0,0,X15/TrRail_act!X10*1000)</f>
        <v>1.5585657916312954</v>
      </c>
      <c r="Y44" s="29">
        <f>IF(Y15=0,0,Y15/TrRail_act!Y10*1000)</f>
        <v>1.3336437213632368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27.011987694940348</v>
      </c>
      <c r="C45" s="87">
        <f>IF(C16=0,0,C16/TrRail_act!C11*1000)</f>
        <v>27.254240317359518</v>
      </c>
      <c r="D45" s="87">
        <f>IF(D16=0,0,D16/TrRail_act!D11*1000)</f>
        <v>24.680820411135784</v>
      </c>
      <c r="E45" s="87">
        <f>IF(E16=0,0,E16/TrRail_act!E11*1000)</f>
        <v>20.220371194585496</v>
      </c>
      <c r="F45" s="87">
        <f>IF(F16=0,0,F16/TrRail_act!F11*1000)</f>
        <v>19.850988369893965</v>
      </c>
      <c r="G45" s="87">
        <f>IF(G16=0,0,G16/TrRail_act!G11*1000)</f>
        <v>18.248328010373417</v>
      </c>
      <c r="H45" s="87">
        <f>IF(H16=0,0,H16/TrRail_act!H11*1000)</f>
        <v>17.806235512986671</v>
      </c>
      <c r="I45" s="87">
        <f>IF(I16=0,0,I16/TrRail_act!I11*1000)</f>
        <v>16.322764820949956</v>
      </c>
      <c r="J45" s="87">
        <f>IF(J16=0,0,J16/TrRail_act!J11*1000)</f>
        <v>13.362309393904328</v>
      </c>
      <c r="K45" s="87">
        <f>IF(K16=0,0,K16/TrRail_act!K11*1000)</f>
        <v>15.695215463144972</v>
      </c>
      <c r="L45" s="87">
        <f>IF(L16=0,0,L16/TrRail_act!L11*1000)</f>
        <v>14.930514741102039</v>
      </c>
      <c r="M45" s="87">
        <f>IF(M16=0,0,M16/TrRail_act!M11*1000)</f>
        <v>14.133963150497122</v>
      </c>
      <c r="N45" s="87">
        <f>IF(N16=0,0,N16/TrRail_act!N11*1000)</f>
        <v>13.722751068219958</v>
      </c>
      <c r="O45" s="87">
        <f>IF(O16=0,0,O16/TrRail_act!O11*1000)</f>
        <v>13.301133720317722</v>
      </c>
      <c r="P45" s="87">
        <f>IF(P16=0,0,P16/TrRail_act!P11*1000)</f>
        <v>12.261136093198138</v>
      </c>
      <c r="Q45" s="87">
        <f>IF(Q16=0,0,Q16/TrRail_act!Q11*1000)</f>
        <v>12.640471832166952</v>
      </c>
      <c r="R45" s="87">
        <f>IF(R16=0,0,R16/TrRail_act!R11*1000)</f>
        <v>11.194420621917974</v>
      </c>
      <c r="S45" s="87">
        <f>IF(S16=0,0,S16/TrRail_act!S11*1000)</f>
        <v>11.857659731054099</v>
      </c>
      <c r="T45" s="87">
        <f>IF(T16=0,0,T16/TrRail_act!T11*1000)</f>
        <v>11.060243533543856</v>
      </c>
      <c r="U45" s="87">
        <f>IF(U16=0,0,U16/TrRail_act!U11*1000)</f>
        <v>10.765459682978861</v>
      </c>
      <c r="V45" s="87">
        <f>IF(V16=0,0,V16/TrRail_act!V11*1000)</f>
        <v>12.560644124966863</v>
      </c>
      <c r="W45" s="87">
        <f>IF(W16=0,0,W16/TrRail_act!W11*1000)</f>
        <v>14.32816677543704</v>
      </c>
      <c r="X45" s="87">
        <f>IF(X16=0,0,X16/TrRail_act!X11*1000)</f>
        <v>10.767676159004573</v>
      </c>
      <c r="Y45" s="87">
        <f>IF(Y16=0,0,Y16/TrRail_act!Y11*1000)</f>
        <v>8.847812393725409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284.82613653383612</v>
      </c>
      <c r="C48" s="62">
        <f>IF(C8=0,0,1000000*C8/TrRail_act!C25/1000)</f>
        <v>290.03917436096117</v>
      </c>
      <c r="D48" s="62">
        <f>IF(D8=0,0,1000000*D8/TrRail_act!D25/1000)</f>
        <v>264.60087122656535</v>
      </c>
      <c r="E48" s="62">
        <f>IF(E8=0,0,1000000*E8/TrRail_act!E25/1000)</f>
        <v>249.07091397703846</v>
      </c>
      <c r="F48" s="62">
        <f>IF(F8=0,0,1000000*F8/TrRail_act!F25/1000)</f>
        <v>234.41417394119318</v>
      </c>
      <c r="G48" s="62">
        <f>IF(G8=0,0,1000000*G8/TrRail_act!G25/1000)</f>
        <v>201.3783304256545</v>
      </c>
      <c r="H48" s="62">
        <f>IF(H8=0,0,1000000*H8/TrRail_act!H25/1000)</f>
        <v>189.49452799622975</v>
      </c>
      <c r="I48" s="62">
        <f>IF(I8=0,0,1000000*I8/TrRail_act!I25/1000)</f>
        <v>179.18395728905287</v>
      </c>
      <c r="J48" s="62">
        <f>IF(J8=0,0,1000000*J8/TrRail_act!J25/1000)</f>
        <v>178.4103825690278</v>
      </c>
      <c r="K48" s="62">
        <f>IF(K8=0,0,1000000*K8/TrRail_act!K25/1000)</f>
        <v>151.14085154242161</v>
      </c>
      <c r="L48" s="62">
        <f>IF(L8=0,0,1000000*L8/TrRail_act!L25/1000)</f>
        <v>150.02245070802672</v>
      </c>
      <c r="M48" s="62">
        <f>IF(M8=0,0,1000000*M8/TrRail_act!M25/1000)</f>
        <v>148.44854095711273</v>
      </c>
      <c r="N48" s="62">
        <f>IF(N8=0,0,1000000*N8/TrRail_act!N25/1000)</f>
        <v>144.88549913751316</v>
      </c>
      <c r="O48" s="62">
        <f>IF(O8=0,0,1000000*O8/TrRail_act!O25/1000)</f>
        <v>139.53279951764091</v>
      </c>
      <c r="P48" s="62">
        <f>IF(P8=0,0,1000000*P8/TrRail_act!P25/1000)</f>
        <v>138.66038216764636</v>
      </c>
      <c r="Q48" s="62">
        <f>IF(Q8=0,0,1000000*Q8/TrRail_act!Q25/1000)</f>
        <v>132.67282283665784</v>
      </c>
      <c r="R48" s="62">
        <f>IF(R8=0,0,1000000*R8/TrRail_act!R25/1000)</f>
        <v>130.66219113735431</v>
      </c>
      <c r="S48" s="62">
        <f>IF(S8=0,0,1000000*S8/TrRail_act!S25/1000)</f>
        <v>106.79704721076259</v>
      </c>
      <c r="T48" s="62">
        <f>IF(T8=0,0,1000000*T8/TrRail_act!T25/1000)</f>
        <v>93.637678733381733</v>
      </c>
      <c r="U48" s="62">
        <f>IF(U8=0,0,1000000*U8/TrRail_act!U25/1000)</f>
        <v>105.34466716968834</v>
      </c>
      <c r="V48" s="62">
        <f>IF(V8=0,0,1000000*V8/TrRail_act!V25/1000)</f>
        <v>101.82431346694931</v>
      </c>
      <c r="W48" s="62">
        <f>IF(W8=0,0,1000000*W8/TrRail_act!W25/1000)</f>
        <v>151.53037611598077</v>
      </c>
      <c r="X48" s="62">
        <f>IF(X8=0,0,1000000*X8/TrRail_act!X25/1000)</f>
        <v>99.729743688670709</v>
      </c>
      <c r="Y48" s="62">
        <f>IF(Y8=0,0,1000000*Y8/TrRail_act!Y25/1000)</f>
        <v>98.2519382499529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252.62972075230186</v>
      </c>
      <c r="C49" s="29">
        <f>IF(C9=0,0,1000000*C9/TrRail_act!C26/1000)</f>
        <v>263.22129066317655</v>
      </c>
      <c r="D49" s="29">
        <f>IF(D9=0,0,1000000*D9/TrRail_act!D26/1000)</f>
        <v>244.63072746803385</v>
      </c>
      <c r="E49" s="29">
        <f>IF(E9=0,0,1000000*E9/TrRail_act!E26/1000)</f>
        <v>225.73772464719124</v>
      </c>
      <c r="F49" s="29">
        <f>IF(F9=0,0,1000000*F9/TrRail_act!F26/1000)</f>
        <v>208.81620080826656</v>
      </c>
      <c r="G49" s="29">
        <f>IF(G9=0,0,1000000*G9/TrRail_act!G26/1000)</f>
        <v>175.86496160655526</v>
      </c>
      <c r="H49" s="29">
        <f>IF(H9=0,0,1000000*H9/TrRail_act!H26/1000)</f>
        <v>160.97718897914663</v>
      </c>
      <c r="I49" s="29">
        <f>IF(I9=0,0,1000000*I9/TrRail_act!I26/1000)</f>
        <v>151.58729428771397</v>
      </c>
      <c r="J49" s="29">
        <f>IF(J9=0,0,1000000*J9/TrRail_act!J26/1000)</f>
        <v>155.47091360693713</v>
      </c>
      <c r="K49" s="29">
        <f>IF(K9=0,0,1000000*K9/TrRail_act!K26/1000)</f>
        <v>131.05339800972232</v>
      </c>
      <c r="L49" s="29">
        <f>IF(L9=0,0,1000000*L9/TrRail_act!L26/1000)</f>
        <v>129.15052317878212</v>
      </c>
      <c r="M49" s="29">
        <f>IF(M9=0,0,1000000*M9/TrRail_act!M26/1000)</f>
        <v>130.72258771673739</v>
      </c>
      <c r="N49" s="29">
        <f>IF(N9=0,0,1000000*N9/TrRail_act!N26/1000)</f>
        <v>129.72430105749916</v>
      </c>
      <c r="O49" s="29">
        <f>IF(O9=0,0,1000000*O9/TrRail_act!O26/1000)</f>
        <v>125.9772398149223</v>
      </c>
      <c r="P49" s="29">
        <f>IF(P9=0,0,1000000*P9/TrRail_act!P26/1000)</f>
        <v>126.68746192503502</v>
      </c>
      <c r="Q49" s="29">
        <f>IF(Q9=0,0,1000000*Q9/TrRail_act!Q26/1000)</f>
        <v>117.3974517461278</v>
      </c>
      <c r="R49" s="29">
        <f>IF(R9=0,0,1000000*R9/TrRail_act!R26/1000)</f>
        <v>116.84540813874618</v>
      </c>
      <c r="S49" s="29">
        <f>IF(S9=0,0,1000000*S9/TrRail_act!S26/1000)</f>
        <v>94.945931876791732</v>
      </c>
      <c r="T49" s="29">
        <f>IF(T9=0,0,1000000*T9/TrRail_act!T26/1000)</f>
        <v>85.508932346841689</v>
      </c>
      <c r="U49" s="29">
        <f>IF(U9=0,0,1000000*U9/TrRail_act!U26/1000)</f>
        <v>95.548220244207741</v>
      </c>
      <c r="V49" s="29">
        <f>IF(V9=0,0,1000000*V9/TrRail_act!V26/1000)</f>
        <v>91.463523826362064</v>
      </c>
      <c r="W49" s="29">
        <f>IF(W9=0,0,1000000*W9/TrRail_act!W26/1000)</f>
        <v>130.68732065711924</v>
      </c>
      <c r="X49" s="29">
        <f>IF(X9=0,0,1000000*X9/TrRail_act!X26/1000)</f>
        <v>90.456350214502876</v>
      </c>
      <c r="Y49" s="29">
        <f>IF(Y9=0,0,1000000*Y9/TrRail_act!Y26/1000)</f>
        <v>91.455977063410799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381.67580865550275</v>
      </c>
      <c r="C51" s="116">
        <f>IF(C11=0,0,1000000*C11/TrRail_act!C28/1000)</f>
        <v>403.2902872731828</v>
      </c>
      <c r="D51" s="116">
        <f>IF(D11=0,0,1000000*D11/TrRail_act!D28/1000)</f>
        <v>375.33208530047921</v>
      </c>
      <c r="E51" s="116">
        <f>IF(E11=0,0,1000000*E11/TrRail_act!E28/1000)</f>
        <v>346.35237847794127</v>
      </c>
      <c r="F51" s="116">
        <f>IF(F11=0,0,1000000*F11/TrRail_act!F28/1000)</f>
        <v>323.04343132046176</v>
      </c>
      <c r="G51" s="116">
        <f>IF(G11=0,0,1000000*G11/TrRail_act!G28/1000)</f>
        <v>271.97448760850909</v>
      </c>
      <c r="H51" s="116">
        <f>IF(H11=0,0,1000000*H11/TrRail_act!H28/1000)</f>
        <v>251.94319199716986</v>
      </c>
      <c r="I51" s="116">
        <f>IF(I11=0,0,1000000*I11/TrRail_act!I28/1000)</f>
        <v>237.78639169824004</v>
      </c>
      <c r="J51" s="116">
        <f>IF(J11=0,0,1000000*J11/TrRail_act!J28/1000)</f>
        <v>244.04986339378496</v>
      </c>
      <c r="K51" s="116">
        <f>IF(K11=0,0,1000000*K11/TrRail_act!K28/1000)</f>
        <v>202.42479496023171</v>
      </c>
      <c r="L51" s="116">
        <f>IF(L11=0,0,1000000*L11/TrRail_act!L28/1000)</f>
        <v>196.69939038119847</v>
      </c>
      <c r="M51" s="116">
        <f>IF(M11=0,0,1000000*M11/TrRail_act!M28/1000)</f>
        <v>202.55991779316096</v>
      </c>
      <c r="N51" s="116">
        <f>IF(N11=0,0,1000000*N11/TrRail_act!N28/1000)</f>
        <v>199.23199910014162</v>
      </c>
      <c r="O51" s="116">
        <f>IF(O11=0,0,1000000*O11/TrRail_act!O28/1000)</f>
        <v>192.8782743898897</v>
      </c>
      <c r="P51" s="116">
        <f>IF(P11=0,0,1000000*P11/TrRail_act!P28/1000)</f>
        <v>191.56994611957219</v>
      </c>
      <c r="Q51" s="116">
        <f>IF(Q11=0,0,1000000*Q11/TrRail_act!Q28/1000)</f>
        <v>177.05170926727118</v>
      </c>
      <c r="R51" s="116">
        <f>IF(R11=0,0,1000000*R11/TrRail_act!R28/1000)</f>
        <v>173.90145052821671</v>
      </c>
      <c r="S51" s="116">
        <f>IF(S11=0,0,1000000*S11/TrRail_act!S28/1000)</f>
        <v>141.73996958300674</v>
      </c>
      <c r="T51" s="116">
        <f>IF(T11=0,0,1000000*T11/TrRail_act!T28/1000)</f>
        <v>130.71394472075048</v>
      </c>
      <c r="U51" s="116">
        <f>IF(U11=0,0,1000000*U11/TrRail_act!U28/1000)</f>
        <v>147.7628776619519</v>
      </c>
      <c r="V51" s="116">
        <f>IF(V11=0,0,1000000*V11/TrRail_act!V28/1000)</f>
        <v>141.00955401872739</v>
      </c>
      <c r="W51" s="116">
        <f>IF(W11=0,0,1000000*W11/TrRail_act!W28/1000)</f>
        <v>183.83049375822452</v>
      </c>
      <c r="X51" s="116">
        <f>IF(X11=0,0,1000000*X11/TrRail_act!X28/1000)</f>
        <v>123.08130618981285</v>
      </c>
      <c r="Y51" s="116">
        <f>IF(Y11=0,0,1000000*Y11/TrRail_act!Y28/1000)</f>
        <v>122.14948693253098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1330.2316002502725</v>
      </c>
      <c r="C52" s="87">
        <f>IF(C12=0,0,1000000*C12/TrRail_act!C29/1000)</f>
        <v>1308.9885399040279</v>
      </c>
      <c r="D52" s="87">
        <f>IF(D12=0,0,1000000*D12/TrRail_act!D29/1000)</f>
        <v>1202.1754324463832</v>
      </c>
      <c r="E52" s="87">
        <f>IF(E12=0,0,1000000*E12/TrRail_act!E29/1000)</f>
        <v>1037.2170829666331</v>
      </c>
      <c r="F52" s="87">
        <f>IF(F12=0,0,1000000*F12/TrRail_act!F29/1000)</f>
        <v>959.74103878634469</v>
      </c>
      <c r="G52" s="87">
        <f>IF(G12=0,0,1000000*G12/TrRail_act!G29/1000)</f>
        <v>900.10962802975268</v>
      </c>
      <c r="H52" s="87">
        <f>IF(H12=0,0,1000000*H12/TrRail_act!H29/1000)</f>
        <v>841.91613054779839</v>
      </c>
      <c r="I52" s="87">
        <f>IF(I12=0,0,1000000*I12/TrRail_act!I29/1000)</f>
        <v>792.39109552954017</v>
      </c>
      <c r="J52" s="87">
        <f>IF(J12=0,0,1000000*J12/TrRail_act!J29/1000)</f>
        <v>786.21900396913929</v>
      </c>
      <c r="K52" s="87">
        <f>IF(K12=0,0,1000000*K12/TrRail_act!K29/1000)</f>
        <v>740.83143975243172</v>
      </c>
      <c r="L52" s="87">
        <f>IF(L12=0,0,1000000*L12/TrRail_act!L29/1000)</f>
        <v>734.51124674738605</v>
      </c>
      <c r="M52" s="87">
        <f>IF(M12=0,0,1000000*M12/TrRail_act!M29/1000)</f>
        <v>728.95483514568787</v>
      </c>
      <c r="N52" s="87">
        <f>IF(N12=0,0,1000000*N12/TrRail_act!N29/1000)</f>
        <v>721.40115996229054</v>
      </c>
      <c r="O52" s="87">
        <f>IF(O12=0,0,1000000*O12/TrRail_act!O29/1000)</f>
        <v>695.88566095705244</v>
      </c>
      <c r="P52" s="87">
        <f>IF(P12=0,0,1000000*P12/TrRail_act!P29/1000)</f>
        <v>658.82882172907762</v>
      </c>
      <c r="Q52" s="87">
        <f>IF(Q12=0,0,1000000*Q12/TrRail_act!Q29/1000)</f>
        <v>641.40341021016332</v>
      </c>
      <c r="R52" s="87">
        <f>IF(R12=0,0,1000000*R12/TrRail_act!R29/1000)</f>
        <v>626.82265997471711</v>
      </c>
      <c r="S52" s="87">
        <f>IF(S12=0,0,1000000*S12/TrRail_act!S29/1000)</f>
        <v>555.99694434937965</v>
      </c>
      <c r="T52" s="87">
        <f>IF(T12=0,0,1000000*T12/TrRail_act!T29/1000)</f>
        <v>537.0144412827849</v>
      </c>
      <c r="U52" s="87">
        <f>IF(U12=0,0,1000000*U12/TrRail_act!U29/1000)</f>
        <v>597.96498051555352</v>
      </c>
      <c r="V52" s="87">
        <f>IF(V12=0,0,1000000*V12/TrRail_act!V29/1000)</f>
        <v>578.32399455746918</v>
      </c>
      <c r="W52" s="87">
        <f>IF(W12=0,0,1000000*W12/TrRail_act!W29/1000)</f>
        <v>585.14726397406855</v>
      </c>
      <c r="X52" s="87">
        <f>IF(X12=0,0,1000000*X12/TrRail_act!X29/1000)</f>
        <v>431.93474322592374</v>
      </c>
      <c r="Y52" s="87">
        <f>IF(Y12=0,0,1000000*Y12/TrRail_act!Y29/1000)</f>
        <v>460.48985654680047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474.52857224629906</v>
      </c>
      <c r="C55" s="29">
        <f>IF(C15=0,0,1000000*C15/TrRail_act!C32/1000)</f>
        <v>433.80485401953632</v>
      </c>
      <c r="D55" s="29">
        <f>IF(D15=0,0,1000000*D15/TrRail_act!D32/1000)</f>
        <v>368.96987141452303</v>
      </c>
      <c r="E55" s="29">
        <f>IF(E15=0,0,1000000*E15/TrRail_act!E32/1000)</f>
        <v>380.12603330263875</v>
      </c>
      <c r="F55" s="29">
        <f>IF(F15=0,0,1000000*F15/TrRail_act!F32/1000)</f>
        <v>386.11626550379333</v>
      </c>
      <c r="G55" s="29">
        <f>IF(G15=0,0,1000000*G15/TrRail_act!G32/1000)</f>
        <v>358.40368105023168</v>
      </c>
      <c r="H55" s="29">
        <f>IF(H15=0,0,1000000*H15/TrRail_act!H32/1000)</f>
        <v>339.38950476181287</v>
      </c>
      <c r="I55" s="29">
        <f>IF(I15=0,0,1000000*I15/TrRail_act!I32/1000)</f>
        <v>318.28042561504526</v>
      </c>
      <c r="J55" s="29">
        <f>IF(J15=0,0,1000000*J15/TrRail_act!J32/1000)</f>
        <v>303.80953317203279</v>
      </c>
      <c r="K55" s="29">
        <f>IF(K15=0,0,1000000*K15/TrRail_act!K32/1000)</f>
        <v>269.88704362759853</v>
      </c>
      <c r="L55" s="29">
        <f>IF(L15=0,0,1000000*L15/TrRail_act!L32/1000)</f>
        <v>269.70857137373127</v>
      </c>
      <c r="M55" s="29">
        <f>IF(M15=0,0,1000000*M15/TrRail_act!M32/1000)</f>
        <v>236.59657718741417</v>
      </c>
      <c r="N55" s="29">
        <f>IF(N15=0,0,1000000*N15/TrRail_act!N32/1000)</f>
        <v>220.04172574612309</v>
      </c>
      <c r="O55" s="29">
        <f>IF(O15=0,0,1000000*O15/TrRail_act!O32/1000)</f>
        <v>205.81077617650462</v>
      </c>
      <c r="P55" s="29">
        <f>IF(P15=0,0,1000000*P15/TrRail_act!P32/1000)</f>
        <v>197.32982893179843</v>
      </c>
      <c r="Q55" s="29">
        <f>IF(Q15=0,0,1000000*Q15/TrRail_act!Q32/1000)</f>
        <v>210.54935882163053</v>
      </c>
      <c r="R55" s="29">
        <f>IF(R15=0,0,1000000*R15/TrRail_act!R32/1000)</f>
        <v>196.55611957856129</v>
      </c>
      <c r="S55" s="29">
        <f>IF(S15=0,0,1000000*S15/TrRail_act!S32/1000)</f>
        <v>161.85350525446552</v>
      </c>
      <c r="T55" s="29">
        <f>IF(T15=0,0,1000000*T15/TrRail_act!T32/1000)</f>
        <v>128.59771270309324</v>
      </c>
      <c r="U55" s="29">
        <f>IF(U15=0,0,1000000*U15/TrRail_act!U32/1000)</f>
        <v>148.88728060329623</v>
      </c>
      <c r="V55" s="29">
        <f>IF(V15=0,0,1000000*V15/TrRail_act!V32/1000)</f>
        <v>144.84673231651706</v>
      </c>
      <c r="W55" s="29">
        <f>IF(W15=0,0,1000000*W15/TrRail_act!W32/1000)</f>
        <v>243.97991808782081</v>
      </c>
      <c r="X55" s="29">
        <f>IF(X15=0,0,1000000*X15/TrRail_act!X32/1000)</f>
        <v>141.79355105203072</v>
      </c>
      <c r="Y55" s="29">
        <f>IF(Y15=0,0,1000000*Y15/TrRail_act!Y32/1000)</f>
        <v>130.34876176242102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3065.88101184999</v>
      </c>
      <c r="C56" s="87">
        <f>IF(C16=0,0,1000000*C16/TrRail_act!C33/1000)</f>
        <v>3081.2085268550386</v>
      </c>
      <c r="D56" s="87">
        <f>IF(D16=0,0,1000000*D16/TrRail_act!D33/1000)</f>
        <v>2860.287546235485</v>
      </c>
      <c r="E56" s="87">
        <f>IF(E16=0,0,1000000*E16/TrRail_act!E33/1000)</f>
        <v>2676.9662650647906</v>
      </c>
      <c r="F56" s="87">
        <f>IF(F16=0,0,1000000*F16/TrRail_act!F33/1000)</f>
        <v>2639.8497456574446</v>
      </c>
      <c r="G56" s="87">
        <f>IF(G16=0,0,1000000*G16/TrRail_act!G33/1000)</f>
        <v>2547.8637422377678</v>
      </c>
      <c r="H56" s="87">
        <f>IF(H16=0,0,1000000*H16/TrRail_act!H33/1000)</f>
        <v>2452.1126518962342</v>
      </c>
      <c r="I56" s="87">
        <f>IF(I16=0,0,1000000*I16/TrRail_act!I33/1000)</f>
        <v>2394.4930325585256</v>
      </c>
      <c r="J56" s="87">
        <f>IF(J16=0,0,1000000*J16/TrRail_act!J33/1000)</f>
        <v>2311.985320180012</v>
      </c>
      <c r="K56" s="87">
        <f>IF(K16=0,0,1000000*K16/TrRail_act!K33/1000)</f>
        <v>2241.0863475732831</v>
      </c>
      <c r="L56" s="87">
        <f>IF(L16=0,0,1000000*L16/TrRail_act!L33/1000)</f>
        <v>2213.7608359174028</v>
      </c>
      <c r="M56" s="87">
        <f>IF(M16=0,0,1000000*M16/TrRail_act!M33/1000)</f>
        <v>2200.061959253404</v>
      </c>
      <c r="N56" s="87">
        <f>IF(N16=0,0,1000000*N16/TrRail_act!N33/1000)</f>
        <v>2142.1068489673657</v>
      </c>
      <c r="O56" s="87">
        <f>IF(O16=0,0,1000000*O16/TrRail_act!O33/1000)</f>
        <v>2107.8172163318054</v>
      </c>
      <c r="P56" s="87">
        <f>IF(P16=0,0,1000000*P16/TrRail_act!P33/1000)</f>
        <v>2029.7428558518586</v>
      </c>
      <c r="Q56" s="87">
        <f>IF(Q16=0,0,1000000*Q16/TrRail_act!Q33/1000)</f>
        <v>2042.112083762066</v>
      </c>
      <c r="R56" s="87">
        <f>IF(R16=0,0,1000000*R16/TrRail_act!R33/1000)</f>
        <v>1984.1506237229723</v>
      </c>
      <c r="S56" s="87">
        <f>IF(S16=0,0,1000000*S16/TrRail_act!S33/1000)</f>
        <v>1873.2096271177177</v>
      </c>
      <c r="T56" s="87">
        <f>IF(T16=0,0,1000000*T16/TrRail_act!T33/1000)</f>
        <v>1773.6198735297066</v>
      </c>
      <c r="U56" s="87">
        <f>IF(U16=0,0,1000000*U16/TrRail_act!U33/1000)</f>
        <v>1908.1943565706442</v>
      </c>
      <c r="V56" s="87">
        <f>IF(V16=0,0,1000000*V16/TrRail_act!V33/1000)</f>
        <v>1814.9130623102142</v>
      </c>
      <c r="W56" s="87">
        <f>IF(W16=0,0,1000000*W16/TrRail_act!W33/1000)</f>
        <v>1813.4396904135351</v>
      </c>
      <c r="X56" s="87">
        <f>IF(X16=0,0,1000000*X16/TrRail_act!X33/1000)</f>
        <v>1100.6501455386083</v>
      </c>
      <c r="Y56" s="87">
        <f>IF(Y16=0,0,1000000*Y16/TrRail_act!Y33/1000)</f>
        <v>1026.3991595285884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0.75826752368148487</v>
      </c>
      <c r="C60" s="31">
        <f t="shared" ref="C60:V60" si="13">IF(C9=0,0,C9/C$8)</f>
        <v>0.76486078293281479</v>
      </c>
      <c r="D60" s="31">
        <f t="shared" si="13"/>
        <v>0.77603871363250199</v>
      </c>
      <c r="E60" s="31">
        <f t="shared" si="13"/>
        <v>0.769344245097076</v>
      </c>
      <c r="F60" s="31">
        <f t="shared" si="13"/>
        <v>0.76218956135415139</v>
      </c>
      <c r="G60" s="31">
        <f t="shared" si="13"/>
        <v>0.75124459078857497</v>
      </c>
      <c r="H60" s="31">
        <f t="shared" si="13"/>
        <v>0.71372336553153248</v>
      </c>
      <c r="I60" s="31">
        <f t="shared" si="13"/>
        <v>0.70593071089449655</v>
      </c>
      <c r="J60" s="31">
        <f t="shared" si="13"/>
        <v>0.73666389981629976</v>
      </c>
      <c r="K60" s="31">
        <f t="shared" si="13"/>
        <v>0.74163699417819573</v>
      </c>
      <c r="L60" s="31">
        <f t="shared" si="13"/>
        <v>0.73304052888668225</v>
      </c>
      <c r="M60" s="31">
        <f t="shared" si="13"/>
        <v>0.73315882448862568</v>
      </c>
      <c r="N60" s="31">
        <f t="shared" si="13"/>
        <v>0.74505758392292976</v>
      </c>
      <c r="O60" s="31">
        <f t="shared" si="13"/>
        <v>0.74954835454542612</v>
      </c>
      <c r="P60" s="31">
        <f t="shared" si="13"/>
        <v>0.75880117192676977</v>
      </c>
      <c r="Q60" s="31">
        <f t="shared" si="13"/>
        <v>0.73976124496665641</v>
      </c>
      <c r="R60" s="31">
        <f t="shared" si="13"/>
        <v>0.739248458642907</v>
      </c>
      <c r="S60" s="31">
        <f t="shared" si="13"/>
        <v>0.73156025986661888</v>
      </c>
      <c r="T60" s="31">
        <f t="shared" si="13"/>
        <v>0.74091517429531562</v>
      </c>
      <c r="U60" s="31">
        <f t="shared" si="13"/>
        <v>0.74042176713925034</v>
      </c>
      <c r="V60" s="31">
        <f t="shared" si="13"/>
        <v>0.72391335767447085</v>
      </c>
      <c r="W60" s="31">
        <f t="shared" ref="W60:Y60" si="14">IF(W9=0,0,W9/W$8)</f>
        <v>0.70378010055034357</v>
      </c>
      <c r="X60" s="31">
        <f t="shared" si="14"/>
        <v>0.74317441940429307</v>
      </c>
      <c r="Y60" s="31">
        <f t="shared" si="14"/>
        <v>0.76818174427550723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0.75826752368148487</v>
      </c>
      <c r="C62" s="124">
        <f t="shared" ref="C62:V62" si="17">IF(C11=0,0,C11/C$8)</f>
        <v>0.76486078293281479</v>
      </c>
      <c r="D62" s="124">
        <f t="shared" si="17"/>
        <v>0.77603871363250199</v>
      </c>
      <c r="E62" s="124">
        <f t="shared" si="17"/>
        <v>0.769344245097076</v>
      </c>
      <c r="F62" s="124">
        <f t="shared" si="17"/>
        <v>0.76218956135415139</v>
      </c>
      <c r="G62" s="124">
        <f t="shared" si="17"/>
        <v>0.75124459078857497</v>
      </c>
      <c r="H62" s="124">
        <f t="shared" si="17"/>
        <v>0.71372336553153248</v>
      </c>
      <c r="I62" s="124">
        <f t="shared" si="17"/>
        <v>0.70593071089449655</v>
      </c>
      <c r="J62" s="124">
        <f t="shared" si="17"/>
        <v>0.73666389981629976</v>
      </c>
      <c r="K62" s="124">
        <f t="shared" si="17"/>
        <v>0.74163699417819573</v>
      </c>
      <c r="L62" s="124">
        <f t="shared" si="17"/>
        <v>0.73304052888668225</v>
      </c>
      <c r="M62" s="124">
        <f t="shared" si="17"/>
        <v>0.73315882448862568</v>
      </c>
      <c r="N62" s="124">
        <f t="shared" si="17"/>
        <v>0.74505758392292976</v>
      </c>
      <c r="O62" s="124">
        <f t="shared" si="17"/>
        <v>0.74954835454542612</v>
      </c>
      <c r="P62" s="124">
        <f t="shared" si="17"/>
        <v>0.75880117192676977</v>
      </c>
      <c r="Q62" s="124">
        <f t="shared" si="17"/>
        <v>0.73976124496665641</v>
      </c>
      <c r="R62" s="124">
        <f t="shared" si="17"/>
        <v>0.739248458642907</v>
      </c>
      <c r="S62" s="124">
        <f t="shared" si="17"/>
        <v>0.73156025986661888</v>
      </c>
      <c r="T62" s="124">
        <f t="shared" si="17"/>
        <v>0.74091517429531562</v>
      </c>
      <c r="U62" s="124">
        <f t="shared" si="17"/>
        <v>0.74042176713925034</v>
      </c>
      <c r="V62" s="124">
        <f t="shared" si="17"/>
        <v>0.72391335767447085</v>
      </c>
      <c r="W62" s="124">
        <f t="shared" ref="W62:Y62" si="18">IF(W11=0,0,W11/W$8)</f>
        <v>0.70378010055034357</v>
      </c>
      <c r="X62" s="124">
        <f t="shared" si="18"/>
        <v>0.74317441940429307</v>
      </c>
      <c r="Y62" s="124">
        <f t="shared" si="18"/>
        <v>0.76818174427550723</v>
      </c>
      <c r="DA62" s="176"/>
    </row>
    <row r="63" spans="1:105" ht="11.45" customHeight="1" x14ac:dyDescent="0.25">
      <c r="A63" s="111" t="s">
        <v>92</v>
      </c>
      <c r="B63" s="125">
        <f t="shared" si="10"/>
        <v>0.75826752368148487</v>
      </c>
      <c r="C63" s="125">
        <f t="shared" ref="C63:V63" si="19">IF(C12=0,0,C12/C$8)</f>
        <v>0.76486078293281479</v>
      </c>
      <c r="D63" s="125">
        <f t="shared" si="19"/>
        <v>0.77603871363250199</v>
      </c>
      <c r="E63" s="125">
        <f t="shared" si="19"/>
        <v>0.769344245097076</v>
      </c>
      <c r="F63" s="125">
        <f t="shared" si="19"/>
        <v>0.76218956135415139</v>
      </c>
      <c r="G63" s="125">
        <f t="shared" si="19"/>
        <v>0.75124459078857497</v>
      </c>
      <c r="H63" s="125">
        <f t="shared" si="19"/>
        <v>0.71372336553153248</v>
      </c>
      <c r="I63" s="125">
        <f t="shared" si="19"/>
        <v>0.70593071089449655</v>
      </c>
      <c r="J63" s="125">
        <f t="shared" si="19"/>
        <v>0.73666389981629976</v>
      </c>
      <c r="K63" s="125">
        <f t="shared" si="19"/>
        <v>0.74163699417819573</v>
      </c>
      <c r="L63" s="125">
        <f t="shared" si="19"/>
        <v>0.73304052888668225</v>
      </c>
      <c r="M63" s="125">
        <f t="shared" si="19"/>
        <v>0.73315882448862568</v>
      </c>
      <c r="N63" s="125">
        <f t="shared" si="19"/>
        <v>0.74505758392292976</v>
      </c>
      <c r="O63" s="125">
        <f t="shared" si="19"/>
        <v>0.74954835454542612</v>
      </c>
      <c r="P63" s="125">
        <f t="shared" si="19"/>
        <v>0.75880117192676977</v>
      </c>
      <c r="Q63" s="125">
        <f t="shared" si="19"/>
        <v>0.73976124496665641</v>
      </c>
      <c r="R63" s="125">
        <f t="shared" si="19"/>
        <v>0.739248458642907</v>
      </c>
      <c r="S63" s="125">
        <f t="shared" si="19"/>
        <v>0.73156025986661888</v>
      </c>
      <c r="T63" s="125">
        <f t="shared" si="19"/>
        <v>0.74091517429531562</v>
      </c>
      <c r="U63" s="125">
        <f t="shared" si="19"/>
        <v>0.74042176713925034</v>
      </c>
      <c r="V63" s="125">
        <f t="shared" si="19"/>
        <v>0.72391335767447085</v>
      </c>
      <c r="W63" s="125">
        <f t="shared" ref="W63:Y63" si="20">IF(W12=0,0,W12/W$8)</f>
        <v>0.70378010055034357</v>
      </c>
      <c r="X63" s="125">
        <f t="shared" si="20"/>
        <v>0.74317441940429307</v>
      </c>
      <c r="Y63" s="125">
        <f t="shared" si="20"/>
        <v>0.76818174427550723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0.2417324763185151</v>
      </c>
      <c r="C66" s="31">
        <f t="shared" ref="C66:V66" si="25">IF(C15=0,0,C15/C$8)</f>
        <v>0.23513921706718524</v>
      </c>
      <c r="D66" s="31">
        <f t="shared" si="25"/>
        <v>0.22396128636749801</v>
      </c>
      <c r="E66" s="31">
        <f t="shared" si="25"/>
        <v>0.230655754902924</v>
      </c>
      <c r="F66" s="31">
        <f t="shared" si="25"/>
        <v>0.23781043864584858</v>
      </c>
      <c r="G66" s="31">
        <f t="shared" si="25"/>
        <v>0.24875540921142514</v>
      </c>
      <c r="H66" s="31">
        <f t="shared" si="25"/>
        <v>0.28627663446846757</v>
      </c>
      <c r="I66" s="31">
        <f t="shared" si="25"/>
        <v>0.29406928910550356</v>
      </c>
      <c r="J66" s="31">
        <f t="shared" si="25"/>
        <v>0.26333610018370029</v>
      </c>
      <c r="K66" s="31">
        <f t="shared" si="25"/>
        <v>0.25836300582180444</v>
      </c>
      <c r="L66" s="31">
        <f t="shared" si="25"/>
        <v>0.2669594711133178</v>
      </c>
      <c r="M66" s="31">
        <f t="shared" si="25"/>
        <v>0.26684117551137421</v>
      </c>
      <c r="N66" s="31">
        <f t="shared" si="25"/>
        <v>0.25494241607707008</v>
      </c>
      <c r="O66" s="31">
        <f t="shared" si="25"/>
        <v>0.25045164545457388</v>
      </c>
      <c r="P66" s="31">
        <f t="shared" si="25"/>
        <v>0.24119882807323029</v>
      </c>
      <c r="Q66" s="31">
        <f t="shared" si="25"/>
        <v>0.26023875503334365</v>
      </c>
      <c r="R66" s="31">
        <f t="shared" si="25"/>
        <v>0.26075154135709294</v>
      </c>
      <c r="S66" s="31">
        <f t="shared" si="25"/>
        <v>0.26843974013338112</v>
      </c>
      <c r="T66" s="31">
        <f t="shared" si="25"/>
        <v>0.25908482570468444</v>
      </c>
      <c r="U66" s="31">
        <f t="shared" si="25"/>
        <v>0.2595782328607496</v>
      </c>
      <c r="V66" s="31">
        <f t="shared" si="25"/>
        <v>0.27608664232552921</v>
      </c>
      <c r="W66" s="31">
        <f t="shared" ref="W66:Y66" si="26">IF(W15=0,0,W15/W$8)</f>
        <v>0.29621989944965643</v>
      </c>
      <c r="X66" s="31">
        <f t="shared" si="26"/>
        <v>0.25682558059570693</v>
      </c>
      <c r="Y66" s="31">
        <f t="shared" si="26"/>
        <v>0.23181825572449269</v>
      </c>
      <c r="DA66" s="173"/>
    </row>
    <row r="67" spans="1:105" ht="11.45" customHeight="1" x14ac:dyDescent="0.25">
      <c r="A67" s="83" t="s">
        <v>92</v>
      </c>
      <c r="B67" s="125">
        <f t="shared" si="10"/>
        <v>0.2417324763185151</v>
      </c>
      <c r="C67" s="125">
        <f t="shared" ref="C67:V67" si="27">IF(C16=0,0,C16/C$8)</f>
        <v>0.23513921706718524</v>
      </c>
      <c r="D67" s="125">
        <f t="shared" si="27"/>
        <v>0.22396128636749801</v>
      </c>
      <c r="E67" s="125">
        <f t="shared" si="27"/>
        <v>0.230655754902924</v>
      </c>
      <c r="F67" s="125">
        <f t="shared" si="27"/>
        <v>0.23781043864584858</v>
      </c>
      <c r="G67" s="125">
        <f t="shared" si="27"/>
        <v>0.24875540921142514</v>
      </c>
      <c r="H67" s="125">
        <f t="shared" si="27"/>
        <v>0.28627663446846757</v>
      </c>
      <c r="I67" s="125">
        <f t="shared" si="27"/>
        <v>0.29406928910550356</v>
      </c>
      <c r="J67" s="125">
        <f t="shared" si="27"/>
        <v>0.26333610018370029</v>
      </c>
      <c r="K67" s="125">
        <f t="shared" si="27"/>
        <v>0.25836300582180444</v>
      </c>
      <c r="L67" s="125">
        <f t="shared" si="27"/>
        <v>0.2669594711133178</v>
      </c>
      <c r="M67" s="125">
        <f t="shared" si="27"/>
        <v>0.26684117551137421</v>
      </c>
      <c r="N67" s="125">
        <f t="shared" si="27"/>
        <v>0.25494241607707008</v>
      </c>
      <c r="O67" s="125">
        <f t="shared" si="27"/>
        <v>0.25045164545457388</v>
      </c>
      <c r="P67" s="125">
        <f t="shared" si="27"/>
        <v>0.24119882807323029</v>
      </c>
      <c r="Q67" s="125">
        <f t="shared" si="27"/>
        <v>0.26023875503334365</v>
      </c>
      <c r="R67" s="125">
        <f t="shared" si="27"/>
        <v>0.26075154135709294</v>
      </c>
      <c r="S67" s="125">
        <f t="shared" si="27"/>
        <v>0.26843974013338112</v>
      </c>
      <c r="T67" s="125">
        <f t="shared" si="27"/>
        <v>0.25908482570468444</v>
      </c>
      <c r="U67" s="125">
        <f t="shared" si="27"/>
        <v>0.2595782328607496</v>
      </c>
      <c r="V67" s="125">
        <f t="shared" si="27"/>
        <v>0.27608664232552921</v>
      </c>
      <c r="W67" s="125">
        <f t="shared" ref="W67:Y67" si="28">IF(W16=0,0,W16/W$8)</f>
        <v>0.29621989944965643</v>
      </c>
      <c r="X67" s="125">
        <f t="shared" si="28"/>
        <v>0.25682558059570693</v>
      </c>
      <c r="Y67" s="125">
        <f t="shared" si="28"/>
        <v>0.23181825572449269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150064.92277329779</v>
      </c>
      <c r="C4" s="11">
        <f t="shared" si="0"/>
        <v>148561.66151862423</v>
      </c>
      <c r="D4" s="11">
        <f t="shared" ref="D4:V4" si="1">SUM(D5:D7)</f>
        <v>146437.52743883018</v>
      </c>
      <c r="E4" s="11">
        <f t="shared" si="1"/>
        <v>150321.69393572531</v>
      </c>
      <c r="F4" s="11">
        <f t="shared" si="1"/>
        <v>170751.15919249062</v>
      </c>
      <c r="G4" s="11">
        <f t="shared" si="1"/>
        <v>181983.87635706089</v>
      </c>
      <c r="H4" s="11">
        <f t="shared" si="1"/>
        <v>185698.38154917548</v>
      </c>
      <c r="I4" s="11">
        <f t="shared" si="1"/>
        <v>193273.72583793438</v>
      </c>
      <c r="J4" s="11">
        <f t="shared" si="1"/>
        <v>192174.74702737445</v>
      </c>
      <c r="K4" s="11">
        <f t="shared" si="1"/>
        <v>184495.071997369</v>
      </c>
      <c r="L4" s="11">
        <f t="shared" si="1"/>
        <v>197407.49143722665</v>
      </c>
      <c r="M4" s="11">
        <f t="shared" si="1"/>
        <v>205410.51284382655</v>
      </c>
      <c r="N4" s="11">
        <f t="shared" si="1"/>
        <v>209731.50746421461</v>
      </c>
      <c r="O4" s="11">
        <f t="shared" si="1"/>
        <v>211530.01245525575</v>
      </c>
      <c r="P4" s="11">
        <f t="shared" si="1"/>
        <v>216129.87522061387</v>
      </c>
      <c r="Q4" s="11">
        <f t="shared" si="1"/>
        <v>223968.97879779845</v>
      </c>
      <c r="R4" s="11">
        <f t="shared" si="1"/>
        <v>231372.20182996488</v>
      </c>
      <c r="S4" s="11">
        <f t="shared" si="1"/>
        <v>244371.11175100465</v>
      </c>
      <c r="T4" s="11">
        <f t="shared" si="1"/>
        <v>253860.58938675988</v>
      </c>
      <c r="U4" s="11">
        <f t="shared" si="1"/>
        <v>260388.93757774463</v>
      </c>
      <c r="V4" s="11">
        <f t="shared" si="1"/>
        <v>70064.322402894744</v>
      </c>
      <c r="W4" s="11">
        <f t="shared" ref="W4:Y4" si="2">SUM(W5:W7)</f>
        <v>87915.169578255111</v>
      </c>
      <c r="X4" s="11">
        <f t="shared" si="2"/>
        <v>186068.31402969401</v>
      </c>
      <c r="Y4" s="11">
        <f t="shared" si="2"/>
        <v>231400.05161514156</v>
      </c>
      <c r="DA4" s="189" t="s">
        <v>190</v>
      </c>
    </row>
    <row r="5" spans="1:105" ht="11.45" customHeight="1" x14ac:dyDescent="0.25">
      <c r="A5" s="83" t="s">
        <v>27</v>
      </c>
      <c r="B5" s="84">
        <v>11007.601563742004</v>
      </c>
      <c r="C5" s="84">
        <v>10361.357548621389</v>
      </c>
      <c r="D5" s="84">
        <v>10618.64763313446</v>
      </c>
      <c r="E5" s="84">
        <v>10945.953433932835</v>
      </c>
      <c r="F5" s="84">
        <v>10969.881426458805</v>
      </c>
      <c r="G5" s="84">
        <v>11107.983699129652</v>
      </c>
      <c r="H5" s="84">
        <v>11680.762406783477</v>
      </c>
      <c r="I5" s="84">
        <v>12537.120205288798</v>
      </c>
      <c r="J5" s="84">
        <v>12606.366217246254</v>
      </c>
      <c r="K5" s="84">
        <v>12136.35517676708</v>
      </c>
      <c r="L5" s="84">
        <v>12327.634271063176</v>
      </c>
      <c r="M5" s="84">
        <v>12083.123746852973</v>
      </c>
      <c r="N5" s="84">
        <v>11643.636069213308</v>
      </c>
      <c r="O5" s="84">
        <v>11156.583974094332</v>
      </c>
      <c r="P5" s="84">
        <v>11151.778440244321</v>
      </c>
      <c r="Q5" s="84">
        <v>11236.999416912791</v>
      </c>
      <c r="R5" s="84">
        <v>11672.564912846152</v>
      </c>
      <c r="S5" s="84">
        <v>11615.794848200698</v>
      </c>
      <c r="T5" s="84">
        <v>11574.395852048583</v>
      </c>
      <c r="U5" s="84">
        <v>11389.754467599598</v>
      </c>
      <c r="V5" s="84">
        <v>2831.4812568147559</v>
      </c>
      <c r="W5" s="84">
        <v>2329.9324459381273</v>
      </c>
      <c r="X5" s="84">
        <v>4569.4777274729877</v>
      </c>
      <c r="Y5" s="84">
        <v>5538.1275981350709</v>
      </c>
      <c r="DA5" s="171" t="s">
        <v>191</v>
      </c>
    </row>
    <row r="6" spans="1:105" ht="11.45" customHeight="1" x14ac:dyDescent="0.25">
      <c r="A6" s="83" t="s">
        <v>181</v>
      </c>
      <c r="B6" s="84">
        <v>47667.58154958269</v>
      </c>
      <c r="C6" s="84">
        <v>46870.383452849062</v>
      </c>
      <c r="D6" s="84">
        <v>44310.495849729705</v>
      </c>
      <c r="E6" s="84">
        <v>47408.71491925764</v>
      </c>
      <c r="F6" s="84">
        <v>52252.202251383555</v>
      </c>
      <c r="G6" s="84">
        <v>56492.161226608943</v>
      </c>
      <c r="H6" s="84">
        <v>57986.243463553219</v>
      </c>
      <c r="I6" s="84">
        <v>57878.953879758323</v>
      </c>
      <c r="J6" s="84">
        <v>54959.669555697226</v>
      </c>
      <c r="K6" s="84">
        <v>51907.327233716293</v>
      </c>
      <c r="L6" s="84">
        <v>54185.238132514016</v>
      </c>
      <c r="M6" s="84">
        <v>58082.052039852977</v>
      </c>
      <c r="N6" s="84">
        <v>58443.391498312994</v>
      </c>
      <c r="O6" s="84">
        <v>59974.38890513769</v>
      </c>
      <c r="P6" s="84">
        <v>62923.686367691676</v>
      </c>
      <c r="Q6" s="84">
        <v>64873.617000892162</v>
      </c>
      <c r="R6" s="84">
        <v>70867.773812043131</v>
      </c>
      <c r="S6" s="84">
        <v>76257.176479883376</v>
      </c>
      <c r="T6" s="84">
        <v>80190.517349669375</v>
      </c>
      <c r="U6" s="84">
        <v>79095.883540116207</v>
      </c>
      <c r="V6" s="84">
        <v>21980.821840656456</v>
      </c>
      <c r="W6" s="84">
        <v>31428.695147633291</v>
      </c>
      <c r="X6" s="84">
        <v>60999.134111487729</v>
      </c>
      <c r="Y6" s="84">
        <v>69131.845569212237</v>
      </c>
      <c r="DA6" s="171" t="s">
        <v>192</v>
      </c>
    </row>
    <row r="7" spans="1:105" ht="11.45" customHeight="1" x14ac:dyDescent="0.25">
      <c r="A7" s="83" t="s">
        <v>182</v>
      </c>
      <c r="B7" s="84">
        <v>91389.739659973086</v>
      </c>
      <c r="C7" s="84">
        <v>91329.920517153791</v>
      </c>
      <c r="D7" s="84">
        <v>91508.383955966012</v>
      </c>
      <c r="E7" s="84">
        <v>91967.025582534829</v>
      </c>
      <c r="F7" s="84">
        <v>107529.07551464827</v>
      </c>
      <c r="G7" s="84">
        <v>114383.73143132229</v>
      </c>
      <c r="H7" s="84">
        <v>116031.37567883877</v>
      </c>
      <c r="I7" s="84">
        <v>122857.65175288726</v>
      </c>
      <c r="J7" s="84">
        <v>124608.71125443096</v>
      </c>
      <c r="K7" s="84">
        <v>120451.38958688562</v>
      </c>
      <c r="L7" s="84">
        <v>130894.61903364945</v>
      </c>
      <c r="M7" s="84">
        <v>135245.3370571206</v>
      </c>
      <c r="N7" s="84">
        <v>139644.47989668831</v>
      </c>
      <c r="O7" s="84">
        <v>140399.03957602373</v>
      </c>
      <c r="P7" s="84">
        <v>142054.41041267788</v>
      </c>
      <c r="Q7" s="84">
        <v>147858.36237999352</v>
      </c>
      <c r="R7" s="84">
        <v>148831.86310507561</v>
      </c>
      <c r="S7" s="84">
        <v>156498.14042292058</v>
      </c>
      <c r="T7" s="84">
        <v>162095.67618504193</v>
      </c>
      <c r="U7" s="84">
        <v>169903.29957002882</v>
      </c>
      <c r="V7" s="84">
        <v>45252.019305423528</v>
      </c>
      <c r="W7" s="84">
        <v>54156.541984683696</v>
      </c>
      <c r="X7" s="84">
        <v>120499.70219073328</v>
      </c>
      <c r="Y7" s="84">
        <v>156730.07844779425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7408.3103656865887</v>
      </c>
      <c r="C8" s="13">
        <f t="shared" si="3"/>
        <v>7347.385149389238</v>
      </c>
      <c r="D8" s="13">
        <f t="shared" ref="D8:V8" si="4">SUM(D9:D11)</f>
        <v>7477.4177760491721</v>
      </c>
      <c r="E8" s="13">
        <f t="shared" si="4"/>
        <v>7460.7043190726426</v>
      </c>
      <c r="F8" s="13">
        <f t="shared" si="4"/>
        <v>8249.6828671444491</v>
      </c>
      <c r="G8" s="13">
        <f t="shared" si="4"/>
        <v>9156.6604794801842</v>
      </c>
      <c r="H8" s="13">
        <f t="shared" si="4"/>
        <v>9758.1180253178645</v>
      </c>
      <c r="I8" s="13">
        <f t="shared" si="4"/>
        <v>10262.879097640942</v>
      </c>
      <c r="J8" s="13">
        <f t="shared" si="4"/>
        <v>10349.218355324592</v>
      </c>
      <c r="K8" s="13">
        <f t="shared" si="4"/>
        <v>10038.646160368828</v>
      </c>
      <c r="L8" s="13">
        <f t="shared" si="4"/>
        <v>12637.001291822195</v>
      </c>
      <c r="M8" s="13">
        <f t="shared" si="4"/>
        <v>13789.878232076451</v>
      </c>
      <c r="N8" s="13">
        <f t="shared" si="4"/>
        <v>13436.459576469719</v>
      </c>
      <c r="O8" s="13">
        <f t="shared" si="4"/>
        <v>13536.951035056869</v>
      </c>
      <c r="P8" s="13">
        <f t="shared" si="4"/>
        <v>13994.490580986638</v>
      </c>
      <c r="Q8" s="13">
        <f t="shared" si="4"/>
        <v>14243.751374473901</v>
      </c>
      <c r="R8" s="13">
        <f t="shared" si="4"/>
        <v>14921.660447715234</v>
      </c>
      <c r="S8" s="13">
        <f t="shared" si="4"/>
        <v>15840.482996890334</v>
      </c>
      <c r="T8" s="13">
        <f t="shared" si="4"/>
        <v>16033.699349668988</v>
      </c>
      <c r="U8" s="13">
        <f t="shared" si="4"/>
        <v>15789.653575885361</v>
      </c>
      <c r="V8" s="13">
        <f t="shared" si="4"/>
        <v>14520.130896870289</v>
      </c>
      <c r="W8" s="13">
        <f t="shared" ref="W8:Y8" si="5">SUM(W9:W11)</f>
        <v>15401.285872385401</v>
      </c>
      <c r="X8" s="13">
        <f t="shared" si="5"/>
        <v>16546.382535443881</v>
      </c>
      <c r="Y8" s="13">
        <f t="shared" si="5"/>
        <v>16298.690653116095</v>
      </c>
      <c r="DA8" s="193" t="s">
        <v>194</v>
      </c>
    </row>
    <row r="9" spans="1:105" ht="11.45" customHeight="1" x14ac:dyDescent="0.25">
      <c r="A9" s="92" t="s">
        <v>27</v>
      </c>
      <c r="B9" s="102">
        <v>86.582794014615018</v>
      </c>
      <c r="C9" s="102">
        <v>80.304809241764872</v>
      </c>
      <c r="D9" s="102">
        <v>74.954457841221242</v>
      </c>
      <c r="E9" s="102">
        <v>62.465560473464599</v>
      </c>
      <c r="F9" s="102">
        <v>57.573486452881234</v>
      </c>
      <c r="G9" s="102">
        <v>49.598743331660501</v>
      </c>
      <c r="H9" s="102">
        <v>51.752379959872435</v>
      </c>
      <c r="I9" s="102">
        <v>51.143001309110772</v>
      </c>
      <c r="J9" s="102">
        <v>60.687283775261541</v>
      </c>
      <c r="K9" s="102">
        <v>51.491377578549894</v>
      </c>
      <c r="L9" s="102">
        <v>50.612636460500951</v>
      </c>
      <c r="M9" s="102">
        <v>51.481167639422381</v>
      </c>
      <c r="N9" s="102">
        <v>47.832579495179367</v>
      </c>
      <c r="O9" s="102">
        <v>45.598075177314314</v>
      </c>
      <c r="P9" s="102">
        <v>47.369081641037525</v>
      </c>
      <c r="Q9" s="102">
        <v>48.273850529901594</v>
      </c>
      <c r="R9" s="102">
        <v>52.712529190149283</v>
      </c>
      <c r="S9" s="102">
        <v>55.349153459068859</v>
      </c>
      <c r="T9" s="102">
        <v>56.818991805763304</v>
      </c>
      <c r="U9" s="102">
        <v>55.678271978573257</v>
      </c>
      <c r="V9" s="102">
        <v>50.186139763815738</v>
      </c>
      <c r="W9" s="102">
        <v>54.965755697479835</v>
      </c>
      <c r="X9" s="102">
        <v>55.492243585569582</v>
      </c>
      <c r="Y9" s="102">
        <v>52.760138304882744</v>
      </c>
      <c r="DA9" s="175" t="s">
        <v>195</v>
      </c>
    </row>
    <row r="10" spans="1:105" ht="11.45" customHeight="1" x14ac:dyDescent="0.25">
      <c r="A10" s="92" t="s">
        <v>181</v>
      </c>
      <c r="B10" s="102">
        <v>433.93256338514414</v>
      </c>
      <c r="C10" s="102">
        <v>444.64467211067898</v>
      </c>
      <c r="D10" s="102">
        <v>428.04078575006776</v>
      </c>
      <c r="E10" s="102">
        <v>435.47547697486846</v>
      </c>
      <c r="F10" s="102">
        <v>471.16500946791155</v>
      </c>
      <c r="G10" s="102">
        <v>505.57368913971209</v>
      </c>
      <c r="H10" s="102">
        <v>500.33383226280245</v>
      </c>
      <c r="I10" s="102">
        <v>547.3456919095388</v>
      </c>
      <c r="J10" s="102">
        <v>618.09787814738877</v>
      </c>
      <c r="K10" s="102">
        <v>639.42326110953707</v>
      </c>
      <c r="L10" s="102">
        <v>682.65236698060301</v>
      </c>
      <c r="M10" s="102">
        <v>691.29306565843206</v>
      </c>
      <c r="N10" s="102">
        <v>713.42766985079743</v>
      </c>
      <c r="O10" s="102">
        <v>702.29270035435025</v>
      </c>
      <c r="P10" s="102">
        <v>758.03090643261055</v>
      </c>
      <c r="Q10" s="102">
        <v>756.9603063925839</v>
      </c>
      <c r="R10" s="102">
        <v>788.34333177435917</v>
      </c>
      <c r="S10" s="102">
        <v>825.89132154289791</v>
      </c>
      <c r="T10" s="102">
        <v>856.33824594189639</v>
      </c>
      <c r="U10" s="102">
        <v>867.64712275445368</v>
      </c>
      <c r="V10" s="102">
        <v>817.80336911622317</v>
      </c>
      <c r="W10" s="102">
        <v>969.18263795514338</v>
      </c>
      <c r="X10" s="102">
        <v>922.54244144394579</v>
      </c>
      <c r="Y10" s="102">
        <v>859.92352862928999</v>
      </c>
      <c r="DA10" s="175" t="s">
        <v>196</v>
      </c>
    </row>
    <row r="11" spans="1:105" ht="11.45" customHeight="1" x14ac:dyDescent="0.25">
      <c r="A11" s="85" t="s">
        <v>182</v>
      </c>
      <c r="B11" s="86">
        <v>6887.7950082868292</v>
      </c>
      <c r="C11" s="86">
        <v>6822.4356680367937</v>
      </c>
      <c r="D11" s="86">
        <v>6974.4225324578829</v>
      </c>
      <c r="E11" s="86">
        <v>6962.7632816243095</v>
      </c>
      <c r="F11" s="86">
        <v>7720.9443712236562</v>
      </c>
      <c r="G11" s="86">
        <v>8601.4880470088119</v>
      </c>
      <c r="H11" s="86">
        <v>9206.0318130951891</v>
      </c>
      <c r="I11" s="86">
        <v>9664.3904044222927</v>
      </c>
      <c r="J11" s="86">
        <v>9670.4331934019428</v>
      </c>
      <c r="K11" s="86">
        <v>9347.7315216807401</v>
      </c>
      <c r="L11" s="86">
        <v>11903.736288381091</v>
      </c>
      <c r="M11" s="86">
        <v>13047.103998778597</v>
      </c>
      <c r="N11" s="86">
        <v>12675.199327123742</v>
      </c>
      <c r="O11" s="86">
        <v>12789.060259525204</v>
      </c>
      <c r="P11" s="86">
        <v>13189.090592912989</v>
      </c>
      <c r="Q11" s="86">
        <v>13438.517217551416</v>
      </c>
      <c r="R11" s="86">
        <v>14080.604586750726</v>
      </c>
      <c r="S11" s="86">
        <v>14959.242521888367</v>
      </c>
      <c r="T11" s="86">
        <v>15120.542111921328</v>
      </c>
      <c r="U11" s="86">
        <v>14866.328181152334</v>
      </c>
      <c r="V11" s="86">
        <v>13652.14138799025</v>
      </c>
      <c r="W11" s="86">
        <v>14377.137478732777</v>
      </c>
      <c r="X11" s="86">
        <v>15568.347850414366</v>
      </c>
      <c r="Y11" s="86">
        <v>15386.006986181923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1170.0390627904258</v>
      </c>
      <c r="C13" s="54">
        <f t="shared" si="6"/>
        <v>1144.4210964642853</v>
      </c>
      <c r="D13" s="54">
        <f t="shared" ref="D13:V13" si="7">SUM(D14,D18)</f>
        <v>1147.3572720089339</v>
      </c>
      <c r="E13" s="54">
        <f t="shared" si="7"/>
        <v>1183.8688427954769</v>
      </c>
      <c r="F13" s="54">
        <f t="shared" si="7"/>
        <v>1309.5462813968459</v>
      </c>
      <c r="G13" s="54">
        <f t="shared" si="7"/>
        <v>1397.863595194347</v>
      </c>
      <c r="H13" s="54">
        <f t="shared" si="7"/>
        <v>1464.6557120552129</v>
      </c>
      <c r="I13" s="54">
        <f t="shared" si="7"/>
        <v>1540.9415310721051</v>
      </c>
      <c r="J13" s="54">
        <f t="shared" si="7"/>
        <v>1556.891278405596</v>
      </c>
      <c r="K13" s="54">
        <f t="shared" si="7"/>
        <v>1461.0450139259467</v>
      </c>
      <c r="L13" s="54">
        <f t="shared" si="7"/>
        <v>1526.884164575677</v>
      </c>
      <c r="M13" s="54">
        <f t="shared" si="7"/>
        <v>1609.8458853322149</v>
      </c>
      <c r="N13" s="54">
        <f t="shared" si="7"/>
        <v>1581.8094016117172</v>
      </c>
      <c r="O13" s="54">
        <f t="shared" si="7"/>
        <v>1536.2642050494801</v>
      </c>
      <c r="P13" s="54">
        <f t="shared" si="7"/>
        <v>1512.3708754875902</v>
      </c>
      <c r="Q13" s="54">
        <f t="shared" si="7"/>
        <v>1535.9253431586808</v>
      </c>
      <c r="R13" s="54">
        <f t="shared" si="7"/>
        <v>1562.6343183651757</v>
      </c>
      <c r="S13" s="54">
        <f t="shared" si="7"/>
        <v>1624.4912367167901</v>
      </c>
      <c r="T13" s="54">
        <f t="shared" si="7"/>
        <v>1688.4376197551539</v>
      </c>
      <c r="U13" s="54">
        <f t="shared" si="7"/>
        <v>1684.7750002373593</v>
      </c>
      <c r="V13" s="54">
        <f t="shared" si="7"/>
        <v>764.78662658550195</v>
      </c>
      <c r="W13" s="54">
        <f t="shared" ref="W13:Y13" si="8">SUM(W14,W18)</f>
        <v>936.41520356920103</v>
      </c>
      <c r="X13" s="54">
        <f t="shared" si="8"/>
        <v>1366.6487042149834</v>
      </c>
      <c r="Y13" s="54">
        <f t="shared" si="8"/>
        <v>1496.4969328776629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1055.4934719305897</v>
      </c>
      <c r="C14" s="11">
        <f t="shared" si="9"/>
        <v>1035.8213161530705</v>
      </c>
      <c r="D14" s="11">
        <f t="shared" ref="D14:V14" si="10">SUM(D15:D17)</f>
        <v>1032.1090058622171</v>
      </c>
      <c r="E14" s="11">
        <f t="shared" si="10"/>
        <v>1061.1838361882544</v>
      </c>
      <c r="F14" s="11">
        <f t="shared" si="10"/>
        <v>1169.2116279078539</v>
      </c>
      <c r="G14" s="11">
        <f t="shared" si="10"/>
        <v>1234.9224545618777</v>
      </c>
      <c r="H14" s="11">
        <f t="shared" si="10"/>
        <v>1283.3153869597118</v>
      </c>
      <c r="I14" s="11">
        <f t="shared" si="10"/>
        <v>1346.4528445038786</v>
      </c>
      <c r="J14" s="11">
        <f t="shared" si="10"/>
        <v>1353.5119684350029</v>
      </c>
      <c r="K14" s="11">
        <f t="shared" si="10"/>
        <v>1281.9240857893694</v>
      </c>
      <c r="L14" s="11">
        <f t="shared" si="10"/>
        <v>1310.6808305062909</v>
      </c>
      <c r="M14" s="11">
        <f t="shared" si="10"/>
        <v>1384.8058584193891</v>
      </c>
      <c r="N14" s="11">
        <f t="shared" si="10"/>
        <v>1378.4812978187956</v>
      </c>
      <c r="O14" s="11">
        <f t="shared" si="10"/>
        <v>1335.6505993854757</v>
      </c>
      <c r="P14" s="11">
        <f t="shared" si="10"/>
        <v>1330.7770600555182</v>
      </c>
      <c r="Q14" s="11">
        <f t="shared" si="10"/>
        <v>1351.0234437098859</v>
      </c>
      <c r="R14" s="11">
        <f t="shared" si="10"/>
        <v>1386.1530026243468</v>
      </c>
      <c r="S14" s="11">
        <f t="shared" si="10"/>
        <v>1432.3025604696643</v>
      </c>
      <c r="T14" s="11">
        <f t="shared" si="10"/>
        <v>1495.5594300819012</v>
      </c>
      <c r="U14" s="11">
        <f t="shared" si="10"/>
        <v>1502.073384625734</v>
      </c>
      <c r="V14" s="11">
        <f t="shared" si="10"/>
        <v>528.13742576982281</v>
      </c>
      <c r="W14" s="11">
        <f t="shared" ref="W14:Y14" si="11">SUM(W15:W17)</f>
        <v>665.7655589112278</v>
      </c>
      <c r="X14" s="11">
        <f t="shared" si="11"/>
        <v>1112.0424386436753</v>
      </c>
      <c r="Y14" s="11">
        <f t="shared" si="11"/>
        <v>1261.1120067844795</v>
      </c>
      <c r="DA14" s="189" t="s">
        <v>199</v>
      </c>
    </row>
    <row r="15" spans="1:105" ht="11.45" customHeight="1" x14ac:dyDescent="0.25">
      <c r="A15" s="83" t="s">
        <v>27</v>
      </c>
      <c r="B15" s="84">
        <v>155.67054349930061</v>
      </c>
      <c r="C15" s="84">
        <v>145.16903417317863</v>
      </c>
      <c r="D15" s="84">
        <v>148.53983071827525</v>
      </c>
      <c r="E15" s="84">
        <v>152.6997279956297</v>
      </c>
      <c r="F15" s="84">
        <v>154.45360000018124</v>
      </c>
      <c r="G15" s="84">
        <v>155.01198039514483</v>
      </c>
      <c r="H15" s="84">
        <v>158.82428811422076</v>
      </c>
      <c r="I15" s="84">
        <v>162.54805966126833</v>
      </c>
      <c r="J15" s="84">
        <v>157.62874345872294</v>
      </c>
      <c r="K15" s="84">
        <v>146.5625217272532</v>
      </c>
      <c r="L15" s="84">
        <v>143.28908594447901</v>
      </c>
      <c r="M15" s="84">
        <v>163.67684898438145</v>
      </c>
      <c r="N15" s="84">
        <v>153.6599030882771</v>
      </c>
      <c r="O15" s="84">
        <v>140.0778044745457</v>
      </c>
      <c r="P15" s="84">
        <v>116.49821215119866</v>
      </c>
      <c r="Q15" s="84">
        <v>113.24063679829167</v>
      </c>
      <c r="R15" s="84">
        <v>115.83929530213997</v>
      </c>
      <c r="S15" s="84">
        <v>110.704167659663</v>
      </c>
      <c r="T15" s="84">
        <v>114.36559527884064</v>
      </c>
      <c r="U15" s="84">
        <v>115.31548699653237</v>
      </c>
      <c r="V15" s="84">
        <v>41.186098575602529</v>
      </c>
      <c r="W15" s="84">
        <v>32.272956620661844</v>
      </c>
      <c r="X15" s="84">
        <v>53.378774425449038</v>
      </c>
      <c r="Y15" s="84">
        <v>57.308407299682784</v>
      </c>
      <c r="DA15" s="171" t="s">
        <v>200</v>
      </c>
    </row>
    <row r="16" spans="1:105" ht="11.45" customHeight="1" x14ac:dyDescent="0.25">
      <c r="A16" s="83" t="s">
        <v>181</v>
      </c>
      <c r="B16" s="84">
        <v>457.35089009742126</v>
      </c>
      <c r="C16" s="84">
        <v>440.67631091340951</v>
      </c>
      <c r="D16" s="84">
        <v>413.66788687526673</v>
      </c>
      <c r="E16" s="84">
        <v>446.59329052919571</v>
      </c>
      <c r="F16" s="84">
        <v>488.21415062507009</v>
      </c>
      <c r="G16" s="84">
        <v>517.56427560113707</v>
      </c>
      <c r="H16" s="84">
        <v>538.69594937265151</v>
      </c>
      <c r="I16" s="84">
        <v>560.96688303211567</v>
      </c>
      <c r="J16" s="84">
        <v>554.55191496674774</v>
      </c>
      <c r="K16" s="84">
        <v>508.76065563114275</v>
      </c>
      <c r="L16" s="84">
        <v>507.31898233577891</v>
      </c>
      <c r="M16" s="84">
        <v>528.66180733247961</v>
      </c>
      <c r="N16" s="84">
        <v>514.77796507453616</v>
      </c>
      <c r="O16" s="84">
        <v>507.40173271080346</v>
      </c>
      <c r="P16" s="84">
        <v>519.22788308389045</v>
      </c>
      <c r="Q16" s="84">
        <v>528.44967805914894</v>
      </c>
      <c r="R16" s="84">
        <v>571.78116960250145</v>
      </c>
      <c r="S16" s="84">
        <v>603.63255494790758</v>
      </c>
      <c r="T16" s="84">
        <v>631.60598007893122</v>
      </c>
      <c r="U16" s="84">
        <v>609.02616020864195</v>
      </c>
      <c r="V16" s="84">
        <v>216.99448080369066</v>
      </c>
      <c r="W16" s="84">
        <v>275.87132449369898</v>
      </c>
      <c r="X16" s="84">
        <v>471.04066699229179</v>
      </c>
      <c r="Y16" s="84">
        <v>509.66870507710559</v>
      </c>
      <c r="DA16" s="171" t="s">
        <v>201</v>
      </c>
    </row>
    <row r="17" spans="1:105" ht="11.45" customHeight="1" x14ac:dyDescent="0.25">
      <c r="A17" s="83" t="s">
        <v>182</v>
      </c>
      <c r="B17" s="84">
        <v>442.472038333868</v>
      </c>
      <c r="C17" s="84">
        <v>449.97597106648232</v>
      </c>
      <c r="D17" s="84">
        <v>469.9012882686751</v>
      </c>
      <c r="E17" s="84">
        <v>461.89081766342906</v>
      </c>
      <c r="F17" s="84">
        <v>526.54387728260258</v>
      </c>
      <c r="G17" s="84">
        <v>562.34619856559573</v>
      </c>
      <c r="H17" s="84">
        <v>585.7951494728394</v>
      </c>
      <c r="I17" s="84">
        <v>622.93790181049462</v>
      </c>
      <c r="J17" s="84">
        <v>641.33131000953222</v>
      </c>
      <c r="K17" s="84">
        <v>626.6009084309735</v>
      </c>
      <c r="L17" s="84">
        <v>660.07276222603309</v>
      </c>
      <c r="M17" s="84">
        <v>692.46720210252806</v>
      </c>
      <c r="N17" s="84">
        <v>710.04342965598232</v>
      </c>
      <c r="O17" s="84">
        <v>688.1710622001267</v>
      </c>
      <c r="P17" s="84">
        <v>695.05096482042893</v>
      </c>
      <c r="Q17" s="84">
        <v>709.33312885244527</v>
      </c>
      <c r="R17" s="84">
        <v>698.53253771970526</v>
      </c>
      <c r="S17" s="84">
        <v>717.96583786209374</v>
      </c>
      <c r="T17" s="84">
        <v>749.58785472412944</v>
      </c>
      <c r="U17" s="84">
        <v>777.73173742055951</v>
      </c>
      <c r="V17" s="84">
        <v>269.95684639052968</v>
      </c>
      <c r="W17" s="84">
        <v>357.62127779686693</v>
      </c>
      <c r="X17" s="84">
        <v>587.62299722593434</v>
      </c>
      <c r="Y17" s="84">
        <v>694.13489440769126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114.54559085983605</v>
      </c>
      <c r="C18" s="13">
        <f t="shared" si="12"/>
        <v>108.59978031121487</v>
      </c>
      <c r="D18" s="13">
        <f t="shared" ref="D18:V18" si="13">SUM(D19:D21)</f>
        <v>115.24826614671679</v>
      </c>
      <c r="E18" s="13">
        <f t="shared" si="13"/>
        <v>122.68500660722248</v>
      </c>
      <c r="F18" s="13">
        <f t="shared" si="13"/>
        <v>140.33465348899207</v>
      </c>
      <c r="G18" s="13">
        <f t="shared" si="13"/>
        <v>162.94114063246928</v>
      </c>
      <c r="H18" s="13">
        <f t="shared" si="13"/>
        <v>181.34032509550119</v>
      </c>
      <c r="I18" s="13">
        <f t="shared" si="13"/>
        <v>194.48868656822643</v>
      </c>
      <c r="J18" s="13">
        <f t="shared" si="13"/>
        <v>203.379309970593</v>
      </c>
      <c r="K18" s="13">
        <f t="shared" si="13"/>
        <v>179.12092813657731</v>
      </c>
      <c r="L18" s="13">
        <f t="shared" si="13"/>
        <v>216.20333406938613</v>
      </c>
      <c r="M18" s="13">
        <f t="shared" si="13"/>
        <v>225.04002691282588</v>
      </c>
      <c r="N18" s="13">
        <f t="shared" si="13"/>
        <v>203.32810379292164</v>
      </c>
      <c r="O18" s="13">
        <f t="shared" si="13"/>
        <v>200.61360566400444</v>
      </c>
      <c r="P18" s="13">
        <f t="shared" si="13"/>
        <v>181.59381543207201</v>
      </c>
      <c r="Q18" s="13">
        <f t="shared" si="13"/>
        <v>184.90189944879478</v>
      </c>
      <c r="R18" s="13">
        <f t="shared" si="13"/>
        <v>176.48131574082879</v>
      </c>
      <c r="S18" s="13">
        <f t="shared" si="13"/>
        <v>192.18867624712578</v>
      </c>
      <c r="T18" s="13">
        <f t="shared" si="13"/>
        <v>192.87818967325285</v>
      </c>
      <c r="U18" s="13">
        <f t="shared" si="13"/>
        <v>182.70161561162544</v>
      </c>
      <c r="V18" s="13">
        <f t="shared" si="13"/>
        <v>236.64920081567917</v>
      </c>
      <c r="W18" s="13">
        <f t="shared" ref="W18:Y18" si="14">SUM(W19:W21)</f>
        <v>270.64964465797323</v>
      </c>
      <c r="X18" s="13">
        <f t="shared" si="14"/>
        <v>254.60626557130797</v>
      </c>
      <c r="Y18" s="13">
        <f t="shared" si="14"/>
        <v>235.38492609318331</v>
      </c>
      <c r="DA18" s="193" t="s">
        <v>203</v>
      </c>
    </row>
    <row r="19" spans="1:105" ht="11.45" customHeight="1" x14ac:dyDescent="0.25">
      <c r="A19" s="92" t="s">
        <v>27</v>
      </c>
      <c r="B19" s="102">
        <v>8.3441019380266894</v>
      </c>
      <c r="C19" s="102">
        <v>7.7985577855998205</v>
      </c>
      <c r="D19" s="102">
        <v>7.0784560110272894</v>
      </c>
      <c r="E19" s="102">
        <v>5.5458153286419716</v>
      </c>
      <c r="F19" s="102">
        <v>5.4282055832246821</v>
      </c>
      <c r="G19" s="102">
        <v>4.77841971423641</v>
      </c>
      <c r="H19" s="102">
        <v>5.183437681535171</v>
      </c>
      <c r="I19" s="102">
        <v>5.1414934784746089</v>
      </c>
      <c r="J19" s="102">
        <v>6.3413815625903949</v>
      </c>
      <c r="K19" s="102">
        <v>5.334401017507294</v>
      </c>
      <c r="L19" s="102">
        <v>4.902352830286306</v>
      </c>
      <c r="M19" s="102">
        <v>4.5612211749430456</v>
      </c>
      <c r="N19" s="102">
        <v>4.1254837482269506</v>
      </c>
      <c r="O19" s="102">
        <v>3.8270136748183878</v>
      </c>
      <c r="P19" s="102">
        <v>3.5820495536643557</v>
      </c>
      <c r="Q19" s="102">
        <v>3.5567696860056004</v>
      </c>
      <c r="R19" s="102">
        <v>3.3708622360515132</v>
      </c>
      <c r="S19" s="102">
        <v>3.8447099375247187</v>
      </c>
      <c r="T19" s="102">
        <v>3.8716807201800445</v>
      </c>
      <c r="U19" s="102">
        <v>3.4405855896747242</v>
      </c>
      <c r="V19" s="102">
        <v>3.4641151342894392</v>
      </c>
      <c r="W19" s="102">
        <v>3.6941290401818452</v>
      </c>
      <c r="X19" s="102">
        <v>3.661520625560911</v>
      </c>
      <c r="Y19" s="102">
        <v>3.4833385634101948</v>
      </c>
      <c r="DA19" s="175" t="s">
        <v>204</v>
      </c>
    </row>
    <row r="20" spans="1:105" ht="11.45" customHeight="1" x14ac:dyDescent="0.25">
      <c r="A20" s="92" t="s">
        <v>181</v>
      </c>
      <c r="B20" s="102">
        <v>16.496008040081282</v>
      </c>
      <c r="C20" s="102">
        <v>16.010204790091453</v>
      </c>
      <c r="D20" s="102">
        <v>16.365214389943578</v>
      </c>
      <c r="E20" s="102">
        <v>16.271488049083036</v>
      </c>
      <c r="F20" s="102">
        <v>19.664490922405019</v>
      </c>
      <c r="G20" s="102">
        <v>21.644656854712323</v>
      </c>
      <c r="H20" s="102">
        <v>25.012027155138682</v>
      </c>
      <c r="I20" s="102">
        <v>27.985144470112491</v>
      </c>
      <c r="J20" s="102">
        <v>32.254924245573939</v>
      </c>
      <c r="K20" s="102">
        <v>32.552256434509957</v>
      </c>
      <c r="L20" s="102">
        <v>34.382539131744416</v>
      </c>
      <c r="M20" s="102">
        <v>33.374563634588348</v>
      </c>
      <c r="N20" s="102">
        <v>31.676456034536841</v>
      </c>
      <c r="O20" s="102">
        <v>31.311358317676611</v>
      </c>
      <c r="P20" s="102">
        <v>29.32885429218647</v>
      </c>
      <c r="Q20" s="102">
        <v>29.784875273137079</v>
      </c>
      <c r="R20" s="102">
        <v>28.478967138192466</v>
      </c>
      <c r="S20" s="102">
        <v>32.775463671492169</v>
      </c>
      <c r="T20" s="102">
        <v>33.709975785519916</v>
      </c>
      <c r="U20" s="102">
        <v>32.51753227256922</v>
      </c>
      <c r="V20" s="102">
        <v>36.057566424014553</v>
      </c>
      <c r="W20" s="102">
        <v>43.625468666691475</v>
      </c>
      <c r="X20" s="102">
        <v>41.397964238620077</v>
      </c>
      <c r="Y20" s="102">
        <v>38.62901673481263</v>
      </c>
      <c r="DA20" s="175" t="s">
        <v>205</v>
      </c>
    </row>
    <row r="21" spans="1:105" ht="11.45" customHeight="1" x14ac:dyDescent="0.25">
      <c r="A21" s="85" t="s">
        <v>182</v>
      </c>
      <c r="B21" s="86">
        <v>89.705480881728079</v>
      </c>
      <c r="C21" s="86">
        <v>84.791017735523596</v>
      </c>
      <c r="D21" s="86">
        <v>91.804595745745914</v>
      </c>
      <c r="E21" s="86">
        <v>100.86770322949747</v>
      </c>
      <c r="F21" s="86">
        <v>115.24195698336237</v>
      </c>
      <c r="G21" s="86">
        <v>136.51806406352054</v>
      </c>
      <c r="H21" s="86">
        <v>151.14486025882732</v>
      </c>
      <c r="I21" s="86">
        <v>161.36204861963932</v>
      </c>
      <c r="J21" s="86">
        <v>164.78300416242865</v>
      </c>
      <c r="K21" s="86">
        <v>141.23427068456004</v>
      </c>
      <c r="L21" s="86">
        <v>176.91844210735542</v>
      </c>
      <c r="M21" s="86">
        <v>187.1042421032945</v>
      </c>
      <c r="N21" s="86">
        <v>167.52616401015786</v>
      </c>
      <c r="O21" s="86">
        <v>165.47523367150944</v>
      </c>
      <c r="P21" s="86">
        <v>148.68291158622119</v>
      </c>
      <c r="Q21" s="86">
        <v>151.5602544896521</v>
      </c>
      <c r="R21" s="86">
        <v>144.6314863665848</v>
      </c>
      <c r="S21" s="86">
        <v>155.5685026381089</v>
      </c>
      <c r="T21" s="86">
        <v>155.29653316755289</v>
      </c>
      <c r="U21" s="86">
        <v>146.7434977493815</v>
      </c>
      <c r="V21" s="86">
        <v>197.12751925737518</v>
      </c>
      <c r="W21" s="86">
        <v>223.33004695109992</v>
      </c>
      <c r="X21" s="86">
        <v>209.546780707127</v>
      </c>
      <c r="Y21" s="86">
        <v>193.27257079496047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948643</v>
      </c>
      <c r="C23" s="54">
        <f t="shared" si="15"/>
        <v>907170</v>
      </c>
      <c r="D23" s="54">
        <f t="shared" ref="D23:V23" si="16">SUM(D24,D28)</f>
        <v>889900</v>
      </c>
      <c r="E23" s="54">
        <f t="shared" si="16"/>
        <v>927995</v>
      </c>
      <c r="F23" s="54">
        <f t="shared" si="16"/>
        <v>991803</v>
      </c>
      <c r="G23" s="54">
        <f t="shared" si="16"/>
        <v>1033574</v>
      </c>
      <c r="H23" s="54">
        <f t="shared" si="16"/>
        <v>1068909</v>
      </c>
      <c r="I23" s="54">
        <f t="shared" si="16"/>
        <v>1105696</v>
      </c>
      <c r="J23" s="54">
        <f t="shared" si="16"/>
        <v>1112987</v>
      </c>
      <c r="K23" s="54">
        <f t="shared" si="16"/>
        <v>1036453</v>
      </c>
      <c r="L23" s="54">
        <f t="shared" si="16"/>
        <v>1039150</v>
      </c>
      <c r="M23" s="54">
        <f t="shared" si="16"/>
        <v>1116706</v>
      </c>
      <c r="N23" s="54">
        <f t="shared" si="16"/>
        <v>1083955</v>
      </c>
      <c r="O23" s="54">
        <f t="shared" si="16"/>
        <v>1039723</v>
      </c>
      <c r="P23" s="54">
        <f t="shared" si="16"/>
        <v>983315</v>
      </c>
      <c r="Q23" s="54">
        <f t="shared" si="16"/>
        <v>988930</v>
      </c>
      <c r="R23" s="54">
        <f t="shared" si="16"/>
        <v>1005833</v>
      </c>
      <c r="S23" s="54">
        <f t="shared" si="16"/>
        <v>1024384</v>
      </c>
      <c r="T23" s="54">
        <f t="shared" si="16"/>
        <v>1061886</v>
      </c>
      <c r="U23" s="54">
        <f t="shared" si="16"/>
        <v>1056300</v>
      </c>
      <c r="V23" s="54">
        <f t="shared" si="16"/>
        <v>421127</v>
      </c>
      <c r="W23" s="54">
        <f t="shared" ref="W23:Y23" si="17">SUM(W24,W28)</f>
        <v>470250</v>
      </c>
      <c r="X23" s="54">
        <f t="shared" si="17"/>
        <v>731741</v>
      </c>
      <c r="Y23" s="54">
        <f t="shared" si="17"/>
        <v>798679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891515</v>
      </c>
      <c r="C24" s="11">
        <f t="shared" si="18"/>
        <v>853005</v>
      </c>
      <c r="D24" s="11">
        <f t="shared" ref="D24:V24" si="19">SUM(D25:D27)</f>
        <v>835651</v>
      </c>
      <c r="E24" s="11">
        <f t="shared" si="19"/>
        <v>875912</v>
      </c>
      <c r="F24" s="11">
        <f t="shared" si="19"/>
        <v>933199</v>
      </c>
      <c r="G24" s="11">
        <f t="shared" si="19"/>
        <v>970418</v>
      </c>
      <c r="H24" s="11">
        <f t="shared" si="19"/>
        <v>998937</v>
      </c>
      <c r="I24" s="11">
        <f t="shared" si="19"/>
        <v>1031192</v>
      </c>
      <c r="J24" s="11">
        <f t="shared" si="19"/>
        <v>1030276</v>
      </c>
      <c r="K24" s="11">
        <f t="shared" si="19"/>
        <v>960942</v>
      </c>
      <c r="L24" s="11">
        <f t="shared" si="19"/>
        <v>957846</v>
      </c>
      <c r="M24" s="11">
        <f t="shared" si="19"/>
        <v>1035535</v>
      </c>
      <c r="N24" s="11">
        <f t="shared" si="19"/>
        <v>1008626</v>
      </c>
      <c r="O24" s="11">
        <f t="shared" si="19"/>
        <v>965891</v>
      </c>
      <c r="P24" s="11">
        <f t="shared" si="19"/>
        <v>915728</v>
      </c>
      <c r="Q24" s="11">
        <f t="shared" si="19"/>
        <v>920240</v>
      </c>
      <c r="R24" s="11">
        <f t="shared" si="19"/>
        <v>941790</v>
      </c>
      <c r="S24" s="11">
        <f t="shared" si="19"/>
        <v>953186</v>
      </c>
      <c r="T24" s="11">
        <f t="shared" si="19"/>
        <v>989501</v>
      </c>
      <c r="U24" s="11">
        <f t="shared" si="19"/>
        <v>988570</v>
      </c>
      <c r="V24" s="11">
        <f t="shared" si="19"/>
        <v>339573</v>
      </c>
      <c r="W24" s="11">
        <f t="shared" ref="W24:Y24" si="20">SUM(W25:W27)</f>
        <v>377250</v>
      </c>
      <c r="X24" s="11">
        <f t="shared" si="20"/>
        <v>648517</v>
      </c>
      <c r="Y24" s="11">
        <f t="shared" si="20"/>
        <v>722564</v>
      </c>
      <c r="DA24" s="189" t="s">
        <v>208</v>
      </c>
    </row>
    <row r="25" spans="1:105" ht="11.45" customHeight="1" x14ac:dyDescent="0.25">
      <c r="A25" s="83" t="s">
        <v>27</v>
      </c>
      <c r="B25" s="84">
        <v>329648</v>
      </c>
      <c r="C25" s="84">
        <v>307410</v>
      </c>
      <c r="D25" s="84">
        <v>314548</v>
      </c>
      <c r="E25" s="84">
        <v>323357</v>
      </c>
      <c r="F25" s="84">
        <v>327071</v>
      </c>
      <c r="G25" s="84">
        <v>328739</v>
      </c>
      <c r="H25" s="84">
        <v>328926</v>
      </c>
      <c r="I25" s="84">
        <v>332381</v>
      </c>
      <c r="J25" s="84">
        <v>326849</v>
      </c>
      <c r="K25" s="84">
        <v>302636</v>
      </c>
      <c r="L25" s="84">
        <v>298079</v>
      </c>
      <c r="M25" s="84">
        <v>346715</v>
      </c>
      <c r="N25" s="84">
        <v>325341</v>
      </c>
      <c r="O25" s="84">
        <v>298228</v>
      </c>
      <c r="P25" s="84">
        <v>246941</v>
      </c>
      <c r="Q25" s="84">
        <v>240330</v>
      </c>
      <c r="R25" s="84">
        <v>243258</v>
      </c>
      <c r="S25" s="84">
        <v>233517</v>
      </c>
      <c r="T25" s="84">
        <v>240422</v>
      </c>
      <c r="U25" s="84">
        <v>240786</v>
      </c>
      <c r="V25" s="84">
        <v>85458</v>
      </c>
      <c r="W25" s="84">
        <v>66879</v>
      </c>
      <c r="X25" s="84">
        <v>112336</v>
      </c>
      <c r="Y25" s="84">
        <v>122480</v>
      </c>
      <c r="DA25" s="171" t="s">
        <v>209</v>
      </c>
    </row>
    <row r="26" spans="1:105" ht="11.45" customHeight="1" x14ac:dyDescent="0.25">
      <c r="A26" s="83" t="s">
        <v>181</v>
      </c>
      <c r="B26" s="84">
        <v>463159</v>
      </c>
      <c r="C26" s="84">
        <v>445213</v>
      </c>
      <c r="D26" s="84">
        <v>416276</v>
      </c>
      <c r="E26" s="84">
        <v>449515</v>
      </c>
      <c r="F26" s="84">
        <v>488665</v>
      </c>
      <c r="G26" s="84">
        <v>517085</v>
      </c>
      <c r="H26" s="84">
        <v>540613</v>
      </c>
      <c r="I26" s="84">
        <v>558353</v>
      </c>
      <c r="J26" s="84">
        <v>556809</v>
      </c>
      <c r="K26" s="84">
        <v>512677</v>
      </c>
      <c r="L26" s="84">
        <v>505128</v>
      </c>
      <c r="M26" s="84">
        <v>527712</v>
      </c>
      <c r="N26" s="84">
        <v>515440</v>
      </c>
      <c r="O26" s="84">
        <v>502820</v>
      </c>
      <c r="P26" s="84">
        <v>502051</v>
      </c>
      <c r="Q26" s="84">
        <v>510448</v>
      </c>
      <c r="R26" s="84">
        <v>537059</v>
      </c>
      <c r="S26" s="84">
        <v>552797</v>
      </c>
      <c r="T26" s="84">
        <v>568824</v>
      </c>
      <c r="U26" s="84">
        <v>559231</v>
      </c>
      <c r="V26" s="84">
        <v>191414</v>
      </c>
      <c r="W26" s="84">
        <v>220798</v>
      </c>
      <c r="X26" s="84">
        <v>394885</v>
      </c>
      <c r="Y26" s="84">
        <v>435997</v>
      </c>
      <c r="DA26" s="171" t="s">
        <v>210</v>
      </c>
    </row>
    <row r="27" spans="1:105" ht="11.45" customHeight="1" x14ac:dyDescent="0.25">
      <c r="A27" s="83" t="s">
        <v>182</v>
      </c>
      <c r="B27" s="84">
        <v>98708</v>
      </c>
      <c r="C27" s="84">
        <v>100382</v>
      </c>
      <c r="D27" s="84">
        <v>104827</v>
      </c>
      <c r="E27" s="84">
        <v>103040</v>
      </c>
      <c r="F27" s="84">
        <v>117463</v>
      </c>
      <c r="G27" s="84">
        <v>124594</v>
      </c>
      <c r="H27" s="84">
        <v>129398</v>
      </c>
      <c r="I27" s="84">
        <v>140458</v>
      </c>
      <c r="J27" s="84">
        <v>146618</v>
      </c>
      <c r="K27" s="84">
        <v>145629</v>
      </c>
      <c r="L27" s="84">
        <v>154639</v>
      </c>
      <c r="M27" s="84">
        <v>161108</v>
      </c>
      <c r="N27" s="84">
        <v>167845</v>
      </c>
      <c r="O27" s="84">
        <v>164843</v>
      </c>
      <c r="P27" s="84">
        <v>166736</v>
      </c>
      <c r="Q27" s="84">
        <v>169462</v>
      </c>
      <c r="R27" s="84">
        <v>161473</v>
      </c>
      <c r="S27" s="84">
        <v>166872</v>
      </c>
      <c r="T27" s="84">
        <v>180255</v>
      </c>
      <c r="U27" s="84">
        <v>188553</v>
      </c>
      <c r="V27" s="84">
        <v>62701</v>
      </c>
      <c r="W27" s="84">
        <v>89573</v>
      </c>
      <c r="X27" s="84">
        <v>141296</v>
      </c>
      <c r="Y27" s="84">
        <v>164087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57128</v>
      </c>
      <c r="C28" s="13">
        <f t="shared" si="21"/>
        <v>54165</v>
      </c>
      <c r="D28" s="13">
        <f t="shared" ref="D28:V28" si="22">SUM(D29:D31)</f>
        <v>54249</v>
      </c>
      <c r="E28" s="13">
        <f t="shared" si="22"/>
        <v>52083</v>
      </c>
      <c r="F28" s="13">
        <f t="shared" si="22"/>
        <v>58604</v>
      </c>
      <c r="G28" s="13">
        <f t="shared" si="22"/>
        <v>63156</v>
      </c>
      <c r="H28" s="13">
        <f t="shared" si="22"/>
        <v>69972</v>
      </c>
      <c r="I28" s="13">
        <f t="shared" si="22"/>
        <v>74504</v>
      </c>
      <c r="J28" s="13">
        <f t="shared" si="22"/>
        <v>82711</v>
      </c>
      <c r="K28" s="13">
        <f t="shared" si="22"/>
        <v>75511</v>
      </c>
      <c r="L28" s="13">
        <f t="shared" si="22"/>
        <v>81304</v>
      </c>
      <c r="M28" s="13">
        <f t="shared" si="22"/>
        <v>81171</v>
      </c>
      <c r="N28" s="13">
        <f t="shared" si="22"/>
        <v>75329</v>
      </c>
      <c r="O28" s="13">
        <f t="shared" si="22"/>
        <v>73832</v>
      </c>
      <c r="P28" s="13">
        <f t="shared" si="22"/>
        <v>67587</v>
      </c>
      <c r="Q28" s="13">
        <f t="shared" si="22"/>
        <v>68690</v>
      </c>
      <c r="R28" s="13">
        <f t="shared" si="22"/>
        <v>64043</v>
      </c>
      <c r="S28" s="13">
        <f t="shared" si="22"/>
        <v>71198</v>
      </c>
      <c r="T28" s="13">
        <f t="shared" si="22"/>
        <v>72385</v>
      </c>
      <c r="U28" s="13">
        <f t="shared" si="22"/>
        <v>67730</v>
      </c>
      <c r="V28" s="13">
        <f t="shared" si="22"/>
        <v>81554</v>
      </c>
      <c r="W28" s="13">
        <f t="shared" ref="W28:Y28" si="23">SUM(W29:W31)</f>
        <v>93000</v>
      </c>
      <c r="X28" s="13">
        <f t="shared" si="23"/>
        <v>83224</v>
      </c>
      <c r="Y28" s="13">
        <f t="shared" si="23"/>
        <v>76115</v>
      </c>
      <c r="DA28" s="193" t="s">
        <v>212</v>
      </c>
    </row>
    <row r="29" spans="1:105" ht="11.45" customHeight="1" x14ac:dyDescent="0.25">
      <c r="A29" s="92" t="s">
        <v>27</v>
      </c>
      <c r="B29" s="102">
        <v>20220</v>
      </c>
      <c r="C29" s="102">
        <v>18898</v>
      </c>
      <c r="D29" s="102">
        <v>17153</v>
      </c>
      <c r="E29" s="102">
        <v>13439</v>
      </c>
      <c r="F29" s="102">
        <v>13154</v>
      </c>
      <c r="G29" s="102">
        <v>11599</v>
      </c>
      <c r="H29" s="102">
        <v>12317</v>
      </c>
      <c r="I29" s="102">
        <v>12110</v>
      </c>
      <c r="J29" s="102">
        <v>15268</v>
      </c>
      <c r="K29" s="102">
        <v>12857</v>
      </c>
      <c r="L29" s="102">
        <v>11990</v>
      </c>
      <c r="M29" s="102">
        <v>11676</v>
      </c>
      <c r="N29" s="102">
        <v>10820</v>
      </c>
      <c r="O29" s="102">
        <v>10024</v>
      </c>
      <c r="P29" s="102">
        <v>9257</v>
      </c>
      <c r="Q29" s="102">
        <v>9132</v>
      </c>
      <c r="R29" s="102">
        <v>8478</v>
      </c>
      <c r="S29" s="102">
        <v>9646</v>
      </c>
      <c r="T29" s="102">
        <v>9600</v>
      </c>
      <c r="U29" s="102">
        <v>8498</v>
      </c>
      <c r="V29" s="102">
        <v>8681</v>
      </c>
      <c r="W29" s="102">
        <v>9325</v>
      </c>
      <c r="X29" s="102">
        <v>8964</v>
      </c>
      <c r="Y29" s="102">
        <v>8410</v>
      </c>
      <c r="DA29" s="175" t="s">
        <v>213</v>
      </c>
    </row>
    <row r="30" spans="1:105" ht="11.45" customHeight="1" x14ac:dyDescent="0.25">
      <c r="A30" s="92" t="s">
        <v>181</v>
      </c>
      <c r="B30" s="102">
        <v>20626</v>
      </c>
      <c r="C30" s="102">
        <v>19877</v>
      </c>
      <c r="D30" s="102">
        <v>20433</v>
      </c>
      <c r="E30" s="102">
        <v>20336</v>
      </c>
      <c r="F30" s="102">
        <v>24533</v>
      </c>
      <c r="G30" s="102">
        <v>26916</v>
      </c>
      <c r="H30" s="102">
        <v>30762</v>
      </c>
      <c r="I30" s="102">
        <v>33551</v>
      </c>
      <c r="J30" s="102">
        <v>38017</v>
      </c>
      <c r="K30" s="102">
        <v>37410</v>
      </c>
      <c r="L30" s="102">
        <v>37872</v>
      </c>
      <c r="M30" s="102">
        <v>36939</v>
      </c>
      <c r="N30" s="102">
        <v>35475</v>
      </c>
      <c r="O30" s="102">
        <v>35302</v>
      </c>
      <c r="P30" s="102">
        <v>33084</v>
      </c>
      <c r="Q30" s="102">
        <v>34286</v>
      </c>
      <c r="R30" s="102">
        <v>32342</v>
      </c>
      <c r="S30" s="102">
        <v>36839</v>
      </c>
      <c r="T30" s="102">
        <v>37904</v>
      </c>
      <c r="U30" s="102">
        <v>36206</v>
      </c>
      <c r="V30" s="102">
        <v>41045</v>
      </c>
      <c r="W30" s="102">
        <v>48363</v>
      </c>
      <c r="X30" s="102">
        <v>44327</v>
      </c>
      <c r="Y30" s="102">
        <v>40622</v>
      </c>
      <c r="DA30" s="175" t="s">
        <v>214</v>
      </c>
    </row>
    <row r="31" spans="1:105" ht="11.45" customHeight="1" x14ac:dyDescent="0.25">
      <c r="A31" s="85" t="s">
        <v>182</v>
      </c>
      <c r="B31" s="86">
        <v>16282</v>
      </c>
      <c r="C31" s="86">
        <v>15390</v>
      </c>
      <c r="D31" s="86">
        <v>16663</v>
      </c>
      <c r="E31" s="86">
        <v>18308</v>
      </c>
      <c r="F31" s="86">
        <v>20917</v>
      </c>
      <c r="G31" s="86">
        <v>24641</v>
      </c>
      <c r="H31" s="86">
        <v>26893</v>
      </c>
      <c r="I31" s="86">
        <v>28843</v>
      </c>
      <c r="J31" s="86">
        <v>29426</v>
      </c>
      <c r="K31" s="86">
        <v>25244</v>
      </c>
      <c r="L31" s="86">
        <v>31442</v>
      </c>
      <c r="M31" s="86">
        <v>32556</v>
      </c>
      <c r="N31" s="86">
        <v>29034</v>
      </c>
      <c r="O31" s="86">
        <v>28506</v>
      </c>
      <c r="P31" s="86">
        <v>25246</v>
      </c>
      <c r="Q31" s="86">
        <v>25272</v>
      </c>
      <c r="R31" s="86">
        <v>23223</v>
      </c>
      <c r="S31" s="86">
        <v>24713</v>
      </c>
      <c r="T31" s="86">
        <v>24881</v>
      </c>
      <c r="U31" s="86">
        <v>23026</v>
      </c>
      <c r="V31" s="86">
        <v>31828</v>
      </c>
      <c r="W31" s="86">
        <v>35312</v>
      </c>
      <c r="X31" s="86">
        <v>29933</v>
      </c>
      <c r="Y31" s="86">
        <v>27083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72209054</v>
      </c>
      <c r="C34" s="11">
        <f t="shared" si="24"/>
        <v>70046037</v>
      </c>
      <c r="D34" s="11">
        <f t="shared" ref="D34:V34" si="25">SUM(D35:D37)</f>
        <v>69056049</v>
      </c>
      <c r="E34" s="11">
        <f t="shared" si="25"/>
        <v>72661749</v>
      </c>
      <c r="F34" s="11">
        <f t="shared" si="25"/>
        <v>80016917</v>
      </c>
      <c r="G34" s="11">
        <f t="shared" si="25"/>
        <v>85196021</v>
      </c>
      <c r="H34" s="11">
        <f t="shared" si="25"/>
        <v>89646485</v>
      </c>
      <c r="I34" s="11">
        <f t="shared" si="25"/>
        <v>95114290</v>
      </c>
      <c r="J34" s="11">
        <f t="shared" si="25"/>
        <v>96318735</v>
      </c>
      <c r="K34" s="11">
        <f t="shared" si="25"/>
        <v>92281135</v>
      </c>
      <c r="L34" s="11">
        <f t="shared" si="25"/>
        <v>96654160</v>
      </c>
      <c r="M34" s="11">
        <f t="shared" si="25"/>
        <v>100655086</v>
      </c>
      <c r="N34" s="11">
        <f t="shared" si="25"/>
        <v>101775558</v>
      </c>
      <c r="O34" s="11">
        <f t="shared" si="25"/>
        <v>102133859</v>
      </c>
      <c r="P34" s="11">
        <f t="shared" si="25"/>
        <v>104890974</v>
      </c>
      <c r="Q34" s="11">
        <f t="shared" si="25"/>
        <v>108693068</v>
      </c>
      <c r="R34" s="11">
        <f t="shared" si="25"/>
        <v>112373232</v>
      </c>
      <c r="S34" s="11">
        <f t="shared" si="25"/>
        <v>118034112</v>
      </c>
      <c r="T34" s="11">
        <f t="shared" si="25"/>
        <v>122941638</v>
      </c>
      <c r="U34" s="11">
        <f t="shared" si="25"/>
        <v>124817426</v>
      </c>
      <c r="V34" s="11">
        <f t="shared" si="25"/>
        <v>31466494</v>
      </c>
      <c r="W34" s="11">
        <f t="shared" ref="W34:Y34" si="26">SUM(W35:W37)</f>
        <v>39399249</v>
      </c>
      <c r="X34" s="11">
        <f t="shared" si="26"/>
        <v>82254878</v>
      </c>
      <c r="Y34" s="11">
        <f t="shared" si="26"/>
        <v>98322956</v>
      </c>
      <c r="DA34" s="189" t="s">
        <v>216</v>
      </c>
    </row>
    <row r="35" spans="1:105" ht="11.45" customHeight="1" x14ac:dyDescent="0.25">
      <c r="A35" s="83" t="s">
        <v>27</v>
      </c>
      <c r="B35" s="84">
        <v>22516183</v>
      </c>
      <c r="C35" s="84">
        <v>21194283</v>
      </c>
      <c r="D35" s="84">
        <v>21720573</v>
      </c>
      <c r="E35" s="84">
        <v>22390081</v>
      </c>
      <c r="F35" s="84">
        <v>22439026</v>
      </c>
      <c r="G35" s="84">
        <v>22755127</v>
      </c>
      <c r="H35" s="84">
        <v>23367408</v>
      </c>
      <c r="I35" s="84">
        <v>24763399</v>
      </c>
      <c r="J35" s="84">
        <v>25249904</v>
      </c>
      <c r="K35" s="84">
        <v>24207169</v>
      </c>
      <c r="L35" s="84">
        <v>24771715</v>
      </c>
      <c r="M35" s="84">
        <v>24708251</v>
      </c>
      <c r="N35" s="84">
        <v>23795766</v>
      </c>
      <c r="O35" s="84">
        <v>22871041</v>
      </c>
      <c r="P35" s="84">
        <v>23000394</v>
      </c>
      <c r="Q35" s="84">
        <v>23264709</v>
      </c>
      <c r="R35" s="84">
        <v>23921812</v>
      </c>
      <c r="S35" s="84">
        <v>23891475</v>
      </c>
      <c r="T35" s="84">
        <v>23689049</v>
      </c>
      <c r="U35" s="84">
        <v>23224980</v>
      </c>
      <c r="V35" s="84">
        <v>5906785</v>
      </c>
      <c r="W35" s="84">
        <v>4781141</v>
      </c>
      <c r="X35" s="84">
        <v>9456354</v>
      </c>
      <c r="Y35" s="84">
        <v>11558652</v>
      </c>
      <c r="DA35" s="171" t="s">
        <v>217</v>
      </c>
    </row>
    <row r="36" spans="1:105" ht="11.45" customHeight="1" x14ac:dyDescent="0.25">
      <c r="A36" s="83" t="s">
        <v>181</v>
      </c>
      <c r="B36" s="84">
        <v>32407710</v>
      </c>
      <c r="C36" s="84">
        <v>31577907</v>
      </c>
      <c r="D36" s="84">
        <v>30027875</v>
      </c>
      <c r="E36" s="84">
        <v>32877321</v>
      </c>
      <c r="F36" s="84">
        <v>37240188</v>
      </c>
      <c r="G36" s="84">
        <v>40954324</v>
      </c>
      <c r="H36" s="84">
        <v>44548728</v>
      </c>
      <c r="I36" s="84">
        <v>46864656</v>
      </c>
      <c r="J36" s="84">
        <v>46916296</v>
      </c>
      <c r="K36" s="84">
        <v>44339573</v>
      </c>
      <c r="L36" s="84">
        <v>45883335</v>
      </c>
      <c r="M36" s="84">
        <v>49103144</v>
      </c>
      <c r="N36" s="84">
        <v>49679397</v>
      </c>
      <c r="O36" s="84">
        <v>50777066</v>
      </c>
      <c r="P36" s="84">
        <v>53000763</v>
      </c>
      <c r="Q36" s="84">
        <v>55533136</v>
      </c>
      <c r="R36" s="84">
        <v>59589134</v>
      </c>
      <c r="S36" s="84">
        <v>63407305</v>
      </c>
      <c r="T36" s="84">
        <v>66134938</v>
      </c>
      <c r="U36" s="84">
        <v>66518230</v>
      </c>
      <c r="V36" s="84">
        <v>16985424</v>
      </c>
      <c r="W36" s="84">
        <v>22278914</v>
      </c>
      <c r="X36" s="84">
        <v>47311898</v>
      </c>
      <c r="Y36" s="84">
        <v>55216787</v>
      </c>
      <c r="DA36" s="171" t="s">
        <v>218</v>
      </c>
    </row>
    <row r="37" spans="1:105" ht="11.45" customHeight="1" x14ac:dyDescent="0.25">
      <c r="A37" s="83" t="s">
        <v>182</v>
      </c>
      <c r="B37" s="84">
        <v>17285161</v>
      </c>
      <c r="C37" s="84">
        <v>17273847</v>
      </c>
      <c r="D37" s="84">
        <v>17307601</v>
      </c>
      <c r="E37" s="84">
        <v>17394347</v>
      </c>
      <c r="F37" s="84">
        <v>20337703</v>
      </c>
      <c r="G37" s="84">
        <v>21486570</v>
      </c>
      <c r="H37" s="84">
        <v>21730349</v>
      </c>
      <c r="I37" s="84">
        <v>23486235</v>
      </c>
      <c r="J37" s="84">
        <v>24152535</v>
      </c>
      <c r="K37" s="84">
        <v>23734393</v>
      </c>
      <c r="L37" s="84">
        <v>25999110</v>
      </c>
      <c r="M37" s="84">
        <v>26843691</v>
      </c>
      <c r="N37" s="84">
        <v>28300395</v>
      </c>
      <c r="O37" s="84">
        <v>28485752</v>
      </c>
      <c r="P37" s="84">
        <v>28889817</v>
      </c>
      <c r="Q37" s="84">
        <v>29895223</v>
      </c>
      <c r="R37" s="84">
        <v>28862286</v>
      </c>
      <c r="S37" s="84">
        <v>30735332</v>
      </c>
      <c r="T37" s="84">
        <v>33117651</v>
      </c>
      <c r="U37" s="84">
        <v>35074216</v>
      </c>
      <c r="V37" s="84">
        <v>8574285</v>
      </c>
      <c r="W37" s="84">
        <v>12339194</v>
      </c>
      <c r="X37" s="84">
        <v>25486626</v>
      </c>
      <c r="Y37" s="84">
        <v>31547517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1385064.1879162746</v>
      </c>
      <c r="C38" s="13">
        <f t="shared" si="27"/>
        <v>1341934.3643823978</v>
      </c>
      <c r="D38" s="13">
        <f t="shared" ref="D38:V38" si="28">SUM(D39:D41)</f>
        <v>1391366.3136228223</v>
      </c>
      <c r="E38" s="13">
        <f t="shared" si="28"/>
        <v>1388524.911987039</v>
      </c>
      <c r="F38" s="13">
        <f t="shared" si="28"/>
        <v>1534175.9142695076</v>
      </c>
      <c r="G38" s="13">
        <f t="shared" si="28"/>
        <v>1615001.0520627291</v>
      </c>
      <c r="H38" s="13">
        <f t="shared" si="28"/>
        <v>1764604.8440455482</v>
      </c>
      <c r="I38" s="13">
        <f t="shared" si="28"/>
        <v>1882215.8351673998</v>
      </c>
      <c r="J38" s="13">
        <f t="shared" si="28"/>
        <v>1983817.6197271761</v>
      </c>
      <c r="K38" s="13">
        <f t="shared" si="28"/>
        <v>1892029.505809783</v>
      </c>
      <c r="L38" s="13">
        <f t="shared" si="28"/>
        <v>2320480.4473582981</v>
      </c>
      <c r="M38" s="13">
        <f t="shared" si="28"/>
        <v>2495983.716828825</v>
      </c>
      <c r="N38" s="13">
        <f t="shared" si="28"/>
        <v>2427785.5824239836</v>
      </c>
      <c r="O38" s="13">
        <f t="shared" si="28"/>
        <v>2407358.9386220137</v>
      </c>
      <c r="P38" s="13">
        <f t="shared" si="28"/>
        <v>2407385.8897560947</v>
      </c>
      <c r="Q38" s="13">
        <f t="shared" si="28"/>
        <v>2429068.2796479804</v>
      </c>
      <c r="R38" s="13">
        <f t="shared" si="28"/>
        <v>2509198.9997651745</v>
      </c>
      <c r="S38" s="13">
        <f t="shared" si="28"/>
        <v>2661357.2117659724</v>
      </c>
      <c r="T38" s="13">
        <f t="shared" si="28"/>
        <v>2696945.463887474</v>
      </c>
      <c r="U38" s="13">
        <f t="shared" si="28"/>
        <v>2583845.1248958269</v>
      </c>
      <c r="V38" s="13">
        <f t="shared" si="28"/>
        <v>2458710.7809558706</v>
      </c>
      <c r="W38" s="13">
        <f t="shared" ref="W38:Y38" si="29">SUM(W39:W41)</f>
        <v>2888990.9934154637</v>
      </c>
      <c r="X38" s="13">
        <f t="shared" si="29"/>
        <v>2737619.3471863894</v>
      </c>
      <c r="Y38" s="13">
        <f t="shared" si="29"/>
        <v>2562429.5533180055</v>
      </c>
      <c r="DA38" s="193" t="s">
        <v>220</v>
      </c>
    </row>
    <row r="39" spans="1:105" ht="11.45" customHeight="1" x14ac:dyDescent="0.25">
      <c r="A39" s="92" t="s">
        <v>27</v>
      </c>
      <c r="B39" s="102">
        <v>202670.8138318847</v>
      </c>
      <c r="C39" s="102">
        <v>187975.46589794135</v>
      </c>
      <c r="D39" s="102">
        <v>175451.49869434541</v>
      </c>
      <c r="E39" s="102">
        <v>146217.80368377702</v>
      </c>
      <c r="F39" s="102">
        <v>134766.56057755326</v>
      </c>
      <c r="G39" s="102">
        <v>116296.05771103629</v>
      </c>
      <c r="H39" s="102">
        <v>118788.7880756862</v>
      </c>
      <c r="I39" s="102">
        <v>116358.77212144736</v>
      </c>
      <c r="J39" s="102">
        <v>141141.27312842046</v>
      </c>
      <c r="K39" s="102">
        <v>119879.95156440139</v>
      </c>
      <c r="L39" s="102">
        <v>119572.59206223564</v>
      </c>
      <c r="M39" s="102">
        <v>127215.12497138805</v>
      </c>
      <c r="N39" s="102">
        <v>121090.202821723</v>
      </c>
      <c r="O39" s="102">
        <v>115001.40813315639</v>
      </c>
      <c r="P39" s="102">
        <v>119110.71738969345</v>
      </c>
      <c r="Q39" s="102">
        <v>120910.40700396504</v>
      </c>
      <c r="R39" s="102">
        <v>129384.66728102035</v>
      </c>
      <c r="S39" s="102">
        <v>135404.83064996087</v>
      </c>
      <c r="T39" s="102">
        <v>137162.59866937334</v>
      </c>
      <c r="U39" s="102">
        <v>134297.36784514558</v>
      </c>
      <c r="V39" s="102">
        <v>126443.53593819536</v>
      </c>
      <c r="W39" s="102">
        <v>137393.50023898558</v>
      </c>
      <c r="X39" s="102">
        <v>133591.69073685896</v>
      </c>
      <c r="Y39" s="102">
        <v>124395.20075013435</v>
      </c>
      <c r="DA39" s="175" t="s">
        <v>221</v>
      </c>
    </row>
    <row r="40" spans="1:105" ht="11.45" customHeight="1" x14ac:dyDescent="0.25">
      <c r="A40" s="92" t="s">
        <v>181</v>
      </c>
      <c r="B40" s="102">
        <v>333477.20296979166</v>
      </c>
      <c r="C40" s="102">
        <v>324939.88919593481</v>
      </c>
      <c r="D40" s="102">
        <v>334388.98602541507</v>
      </c>
      <c r="E40" s="102">
        <v>350220.42362974974</v>
      </c>
      <c r="F40" s="102">
        <v>394145.88330328243</v>
      </c>
      <c r="G40" s="102">
        <v>409189.8411640703</v>
      </c>
      <c r="H40" s="102">
        <v>431217.03532379179</v>
      </c>
      <c r="I40" s="102">
        <v>462562.39506914956</v>
      </c>
      <c r="J40" s="102">
        <v>521062.88443651429</v>
      </c>
      <c r="K40" s="102">
        <v>512475.63405349071</v>
      </c>
      <c r="L40" s="102">
        <v>549324.81753775466</v>
      </c>
      <c r="M40" s="102">
        <v>576026.43269820337</v>
      </c>
      <c r="N40" s="102">
        <v>591306.96497571364</v>
      </c>
      <c r="O40" s="102">
        <v>591555.84646546748</v>
      </c>
      <c r="P40" s="102">
        <v>610380.3690609365</v>
      </c>
      <c r="Q40" s="102">
        <v>633523.21846451133</v>
      </c>
      <c r="R40" s="102">
        <v>674263.40933257155</v>
      </c>
      <c r="S40" s="102">
        <v>713848.6502930508</v>
      </c>
      <c r="T40" s="102">
        <v>728721.88118487271</v>
      </c>
      <c r="U40" s="102">
        <v>713352.28554998268</v>
      </c>
      <c r="V40" s="102">
        <v>724054.57346919016</v>
      </c>
      <c r="W40" s="102">
        <v>859332.9239217859</v>
      </c>
      <c r="X40" s="102">
        <v>793031.04676676122</v>
      </c>
      <c r="Y40" s="102">
        <v>729978.85289906722</v>
      </c>
      <c r="DA40" s="175" t="s">
        <v>222</v>
      </c>
    </row>
    <row r="41" spans="1:105" ht="11.45" customHeight="1" x14ac:dyDescent="0.25">
      <c r="A41" s="85" t="s">
        <v>182</v>
      </c>
      <c r="B41" s="86">
        <v>848916.17111459817</v>
      </c>
      <c r="C41" s="86">
        <v>829019.00928852183</v>
      </c>
      <c r="D41" s="86">
        <v>881525.8289030618</v>
      </c>
      <c r="E41" s="86">
        <v>892086.68467351224</v>
      </c>
      <c r="F41" s="86">
        <v>1005263.470388672</v>
      </c>
      <c r="G41" s="86">
        <v>1089515.1531876225</v>
      </c>
      <c r="H41" s="86">
        <v>1214599.0206460701</v>
      </c>
      <c r="I41" s="86">
        <v>1303294.6679768029</v>
      </c>
      <c r="J41" s="86">
        <v>1321613.4621622413</v>
      </c>
      <c r="K41" s="86">
        <v>1259673.920191891</v>
      </c>
      <c r="L41" s="86">
        <v>1651583.0377583078</v>
      </c>
      <c r="M41" s="86">
        <v>1792742.1591592338</v>
      </c>
      <c r="N41" s="86">
        <v>1715388.4146265469</v>
      </c>
      <c r="O41" s="86">
        <v>1700801.6840233896</v>
      </c>
      <c r="P41" s="86">
        <v>1677894.8033054646</v>
      </c>
      <c r="Q41" s="86">
        <v>1674634.6541795041</v>
      </c>
      <c r="R41" s="86">
        <v>1705550.9231515825</v>
      </c>
      <c r="S41" s="86">
        <v>1812103.7308229606</v>
      </c>
      <c r="T41" s="86">
        <v>1831060.9840332279</v>
      </c>
      <c r="U41" s="86">
        <v>1736195.4715006987</v>
      </c>
      <c r="V41" s="86">
        <v>1608212.6715484848</v>
      </c>
      <c r="W41" s="86">
        <v>1892264.5692546919</v>
      </c>
      <c r="X41" s="86">
        <v>1810996.6096827693</v>
      </c>
      <c r="Y41" s="86">
        <v>1708055.499668804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810.54938581174963</v>
      </c>
      <c r="C43" s="54">
        <f t="shared" si="30"/>
        <v>787.87542220371211</v>
      </c>
      <c r="D43" s="54">
        <f t="shared" ref="D43:V43" si="31">SUM(D44,D48)</f>
        <v>786.4652080796277</v>
      </c>
      <c r="E43" s="54">
        <f t="shared" si="31"/>
        <v>812.11398935773502</v>
      </c>
      <c r="F43" s="54">
        <f t="shared" si="31"/>
        <v>888.52920488241512</v>
      </c>
      <c r="G43" s="54">
        <f t="shared" si="31"/>
        <v>942.59236098369797</v>
      </c>
      <c r="H43" s="54">
        <f t="shared" si="31"/>
        <v>984.75508466478266</v>
      </c>
      <c r="I43" s="54">
        <f t="shared" si="31"/>
        <v>1031.3922303770637</v>
      </c>
      <c r="J43" s="54">
        <f t="shared" si="31"/>
        <v>1044.1826224417448</v>
      </c>
      <c r="K43" s="54">
        <f t="shared" si="31"/>
        <v>990.31338003478186</v>
      </c>
      <c r="L43" s="54">
        <f t="shared" si="31"/>
        <v>1012.4223253654649</v>
      </c>
      <c r="M43" s="54">
        <f t="shared" si="31"/>
        <v>1071.4412630224288</v>
      </c>
      <c r="N43" s="54">
        <f t="shared" si="31"/>
        <v>1056.930511846859</v>
      </c>
      <c r="O43" s="54">
        <f t="shared" si="31"/>
        <v>1019.0044900835383</v>
      </c>
      <c r="P43" s="54">
        <f t="shared" si="31"/>
        <v>1005.0476921476179</v>
      </c>
      <c r="Q43" s="54">
        <f t="shared" si="31"/>
        <v>1003.2406906725054</v>
      </c>
      <c r="R43" s="54">
        <f t="shared" si="31"/>
        <v>1014.2854498741818</v>
      </c>
      <c r="S43" s="54">
        <f t="shared" si="31"/>
        <v>1047.1742149807428</v>
      </c>
      <c r="T43" s="54">
        <f t="shared" si="31"/>
        <v>1086.5178230425488</v>
      </c>
      <c r="U43" s="54">
        <f t="shared" si="31"/>
        <v>1085.3152519177365</v>
      </c>
      <c r="V43" s="54">
        <f t="shared" si="31"/>
        <v>1080.5363157207257</v>
      </c>
      <c r="W43" s="54">
        <f t="shared" ref="W43:Y43" si="32">SUM(W44,W48)</f>
        <v>1065.044274135771</v>
      </c>
      <c r="X43" s="54">
        <f t="shared" si="32"/>
        <v>1025.3468062134973</v>
      </c>
      <c r="Y43" s="54">
        <f t="shared" si="32"/>
        <v>985.8495707242314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728.33811717677304</v>
      </c>
      <c r="C44" s="11">
        <f t="shared" si="33"/>
        <v>709.8068082012619</v>
      </c>
      <c r="D44" s="11">
        <f t="shared" ref="D44:V44" si="34">SUM(D45:D47)</f>
        <v>705.22464265457654</v>
      </c>
      <c r="E44" s="11">
        <f t="shared" si="34"/>
        <v>727.48127645110799</v>
      </c>
      <c r="F44" s="11">
        <f t="shared" si="34"/>
        <v>793.9362976819649</v>
      </c>
      <c r="G44" s="11">
        <f t="shared" si="34"/>
        <v>835.4573924940853</v>
      </c>
      <c r="H44" s="11">
        <f t="shared" si="34"/>
        <v>865.71803495366976</v>
      </c>
      <c r="I44" s="11">
        <f t="shared" si="34"/>
        <v>903.95380078951553</v>
      </c>
      <c r="J44" s="11">
        <f t="shared" si="34"/>
        <v>908.66703387527696</v>
      </c>
      <c r="K44" s="11">
        <f t="shared" si="34"/>
        <v>861.39499303256275</v>
      </c>
      <c r="L44" s="11">
        <f t="shared" si="34"/>
        <v>872.13504399631984</v>
      </c>
      <c r="M44" s="11">
        <f t="shared" si="34"/>
        <v>927.01987358282918</v>
      </c>
      <c r="N44" s="11">
        <f t="shared" si="34"/>
        <v>919.28091080374611</v>
      </c>
      <c r="O44" s="11">
        <f t="shared" si="34"/>
        <v>887.21206117660745</v>
      </c>
      <c r="P44" s="11">
        <f t="shared" si="34"/>
        <v>879.97740690915884</v>
      </c>
      <c r="Q44" s="11">
        <f t="shared" si="34"/>
        <v>882.70524730491354</v>
      </c>
      <c r="R44" s="11">
        <f t="shared" si="34"/>
        <v>900.49832738786358</v>
      </c>
      <c r="S44" s="11">
        <f t="shared" si="34"/>
        <v>922.89710510401756</v>
      </c>
      <c r="T44" s="11">
        <f t="shared" si="34"/>
        <v>961.41495740145274</v>
      </c>
      <c r="U44" s="11">
        <f t="shared" si="34"/>
        <v>967.41788797886716</v>
      </c>
      <c r="V44" s="11">
        <f t="shared" si="34"/>
        <v>931.00098212002854</v>
      </c>
      <c r="W44" s="11">
        <f t="shared" ref="W44:Y44" si="35">SUM(W45:W47)</f>
        <v>894.58407626118981</v>
      </c>
      <c r="X44" s="11">
        <f t="shared" si="35"/>
        <v>858.1671704023513</v>
      </c>
      <c r="Y44" s="11">
        <f t="shared" si="35"/>
        <v>822.43368969001722</v>
      </c>
      <c r="DA44" s="189" t="s">
        <v>225</v>
      </c>
    </row>
    <row r="45" spans="1:105" ht="11.45" customHeight="1" x14ac:dyDescent="0.25">
      <c r="A45" s="83" t="s">
        <v>27</v>
      </c>
      <c r="B45" s="84">
        <v>153.96917328351239</v>
      </c>
      <c r="C45" s="84">
        <v>143.58243811303129</v>
      </c>
      <c r="D45" s="84">
        <v>146.91639420831387</v>
      </c>
      <c r="E45" s="84">
        <v>151.03082671648761</v>
      </c>
      <c r="F45" s="84">
        <v>152.7655301261093</v>
      </c>
      <c r="G45" s="84">
        <v>153.47292250233426</v>
      </c>
      <c r="H45" s="84">
        <v>154.86158192090394</v>
      </c>
      <c r="I45" s="84">
        <v>157.15413711583923</v>
      </c>
      <c r="J45" s="84">
        <v>153.81129411764707</v>
      </c>
      <c r="K45" s="84">
        <v>142.61828463713479</v>
      </c>
      <c r="L45" s="84">
        <v>140.07471804511277</v>
      </c>
      <c r="M45" s="84">
        <v>161.94068192433443</v>
      </c>
      <c r="N45" s="84">
        <v>151.95749649696404</v>
      </c>
      <c r="O45" s="84">
        <v>139.03403263403263</v>
      </c>
      <c r="P45" s="84">
        <v>123.63711530568139</v>
      </c>
      <c r="Q45" s="84">
        <v>112.19887955182072</v>
      </c>
      <c r="R45" s="84">
        <v>113.93817330210773</v>
      </c>
      <c r="S45" s="84">
        <v>109.2221702525725</v>
      </c>
      <c r="T45" s="84">
        <v>112.60983606557377</v>
      </c>
      <c r="U45" s="84">
        <v>113.04507042253522</v>
      </c>
      <c r="V45" s="84">
        <v>105.3466117583596</v>
      </c>
      <c r="W45" s="84">
        <v>97.648153094183982</v>
      </c>
      <c r="X45" s="84">
        <v>89.949694430008364</v>
      </c>
      <c r="Y45" s="84">
        <v>82.251235765832746</v>
      </c>
      <c r="DA45" s="171" t="s">
        <v>226</v>
      </c>
    </row>
    <row r="46" spans="1:105" ht="11.45" customHeight="1" x14ac:dyDescent="0.25">
      <c r="A46" s="83" t="s">
        <v>181</v>
      </c>
      <c r="B46" s="84">
        <v>326.98047271531578</v>
      </c>
      <c r="C46" s="84">
        <v>314.64041018848121</v>
      </c>
      <c r="D46" s="84">
        <v>295.58393766932033</v>
      </c>
      <c r="E46" s="84">
        <v>318.20483569953262</v>
      </c>
      <c r="F46" s="84">
        <v>346.77728384658241</v>
      </c>
      <c r="G46" s="84">
        <v>367.35315686043799</v>
      </c>
      <c r="H46" s="84">
        <v>383.26657961504429</v>
      </c>
      <c r="I46" s="84">
        <v>397.40165372342761</v>
      </c>
      <c r="J46" s="84">
        <v>394.61495351684363</v>
      </c>
      <c r="K46" s="84">
        <v>365.30826179348617</v>
      </c>
      <c r="L46" s="84">
        <v>359.43622956566497</v>
      </c>
      <c r="M46" s="84">
        <v>374.9871819732648</v>
      </c>
      <c r="N46" s="84">
        <v>365.7803521058251</v>
      </c>
      <c r="O46" s="84">
        <v>358.47826494919411</v>
      </c>
      <c r="P46" s="84">
        <v>362.16535070513225</v>
      </c>
      <c r="Q46" s="84">
        <v>368.93764737394594</v>
      </c>
      <c r="R46" s="84">
        <v>392.72356871990218</v>
      </c>
      <c r="S46" s="84">
        <v>408.64580863785278</v>
      </c>
      <c r="T46" s="84">
        <v>423.67540435474695</v>
      </c>
      <c r="U46" s="84">
        <v>412.79670514415398</v>
      </c>
      <c r="V46" s="84">
        <v>396.44768150838826</v>
      </c>
      <c r="W46" s="84">
        <v>380.09865787262243</v>
      </c>
      <c r="X46" s="84">
        <v>363.74963423685671</v>
      </c>
      <c r="Y46" s="84">
        <v>347.62982234523713</v>
      </c>
      <c r="DA46" s="171" t="s">
        <v>227</v>
      </c>
    </row>
    <row r="47" spans="1:105" ht="11.45" customHeight="1" x14ac:dyDescent="0.25">
      <c r="A47" s="83" t="s">
        <v>182</v>
      </c>
      <c r="B47" s="84">
        <v>247.38847117794487</v>
      </c>
      <c r="C47" s="84">
        <v>251.58395989974937</v>
      </c>
      <c r="D47" s="84">
        <v>262.72431077694233</v>
      </c>
      <c r="E47" s="84">
        <v>258.24561403508773</v>
      </c>
      <c r="F47" s="84">
        <v>294.3934837092732</v>
      </c>
      <c r="G47" s="84">
        <v>314.63131313131311</v>
      </c>
      <c r="H47" s="84">
        <v>327.58987341772149</v>
      </c>
      <c r="I47" s="84">
        <v>349.39800995024876</v>
      </c>
      <c r="J47" s="84">
        <v>360.24078624078624</v>
      </c>
      <c r="K47" s="84">
        <v>353.46844660194176</v>
      </c>
      <c r="L47" s="84">
        <v>372.62409638554215</v>
      </c>
      <c r="M47" s="84">
        <v>390.09200968523004</v>
      </c>
      <c r="N47" s="84">
        <v>401.54306220095691</v>
      </c>
      <c r="O47" s="84">
        <v>389.69976359338062</v>
      </c>
      <c r="P47" s="84">
        <v>394.17494089834514</v>
      </c>
      <c r="Q47" s="84">
        <v>401.5687203791469</v>
      </c>
      <c r="R47" s="84">
        <v>393.83658536585364</v>
      </c>
      <c r="S47" s="84">
        <v>405.02912621359224</v>
      </c>
      <c r="T47" s="84">
        <v>425.12971698113205</v>
      </c>
      <c r="U47" s="84">
        <v>441.57611241217796</v>
      </c>
      <c r="V47" s="84">
        <v>429.2066888532807</v>
      </c>
      <c r="W47" s="84">
        <v>416.83726529438343</v>
      </c>
      <c r="X47" s="84">
        <v>404.46784173548616</v>
      </c>
      <c r="Y47" s="84">
        <v>392.55263157894734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82.211268634976562</v>
      </c>
      <c r="C48" s="13">
        <f t="shared" si="36"/>
        <v>78.068614002450204</v>
      </c>
      <c r="D48" s="13">
        <f t="shared" ref="D48:V48" si="37">SUM(D49:D51)</f>
        <v>81.240565425051102</v>
      </c>
      <c r="E48" s="13">
        <f t="shared" si="37"/>
        <v>84.632712906627006</v>
      </c>
      <c r="F48" s="13">
        <f t="shared" si="37"/>
        <v>94.592907200450213</v>
      </c>
      <c r="G48" s="13">
        <f t="shared" si="37"/>
        <v>107.13496848961262</v>
      </c>
      <c r="H48" s="13">
        <f t="shared" si="37"/>
        <v>119.03704971111287</v>
      </c>
      <c r="I48" s="13">
        <f t="shared" si="37"/>
        <v>127.43842958754807</v>
      </c>
      <c r="J48" s="13">
        <f t="shared" si="37"/>
        <v>135.51558856646778</v>
      </c>
      <c r="K48" s="13">
        <f t="shared" si="37"/>
        <v>128.91838700221911</v>
      </c>
      <c r="L48" s="13">
        <f t="shared" si="37"/>
        <v>140.28728136914501</v>
      </c>
      <c r="M48" s="13">
        <f t="shared" si="37"/>
        <v>144.42138943959964</v>
      </c>
      <c r="N48" s="13">
        <f t="shared" si="37"/>
        <v>137.6496010431128</v>
      </c>
      <c r="O48" s="13">
        <f t="shared" si="37"/>
        <v>131.79242890693087</v>
      </c>
      <c r="P48" s="13">
        <f t="shared" si="37"/>
        <v>125.07028523845911</v>
      </c>
      <c r="Q48" s="13">
        <f t="shared" si="37"/>
        <v>120.53544336759187</v>
      </c>
      <c r="R48" s="13">
        <f t="shared" si="37"/>
        <v>113.78712248631828</v>
      </c>
      <c r="S48" s="13">
        <f t="shared" si="37"/>
        <v>124.27710987672526</v>
      </c>
      <c r="T48" s="13">
        <f t="shared" si="37"/>
        <v>125.10286564109602</v>
      </c>
      <c r="U48" s="13">
        <f t="shared" si="37"/>
        <v>117.8973639388694</v>
      </c>
      <c r="V48" s="13">
        <f t="shared" si="37"/>
        <v>149.53533360069713</v>
      </c>
      <c r="W48" s="13">
        <f t="shared" ref="W48:Y48" si="38">SUM(W49:W51)</f>
        <v>170.4601978745813</v>
      </c>
      <c r="X48" s="13">
        <f t="shared" si="38"/>
        <v>167.17963581114591</v>
      </c>
      <c r="Y48" s="13">
        <f t="shared" si="38"/>
        <v>163.41588103421418</v>
      </c>
      <c r="DA48" s="193" t="s">
        <v>229</v>
      </c>
    </row>
    <row r="49" spans="1:105" ht="11.45" customHeight="1" x14ac:dyDescent="0.25">
      <c r="A49" s="92" t="s">
        <v>27</v>
      </c>
      <c r="B49" s="102">
        <v>14.726875455207574</v>
      </c>
      <c r="C49" s="102">
        <v>13.764020393299344</v>
      </c>
      <c r="D49" s="102">
        <v>12.493080844865258</v>
      </c>
      <c r="E49" s="102">
        <v>11.0203932993445</v>
      </c>
      <c r="F49" s="102">
        <v>9.5804806991988354</v>
      </c>
      <c r="G49" s="102">
        <v>8.4479242534595773</v>
      </c>
      <c r="H49" s="102">
        <v>9.0102414045354795</v>
      </c>
      <c r="I49" s="102">
        <v>8.8717948717948723</v>
      </c>
      <c r="J49" s="102">
        <v>11.136396790663749</v>
      </c>
      <c r="K49" s="102">
        <v>9.6637092451429911</v>
      </c>
      <c r="L49" s="102">
        <v>8.7200000000000006</v>
      </c>
      <c r="M49" s="102">
        <v>8.4181687094448456</v>
      </c>
      <c r="N49" s="102">
        <v>7.7618364418938306</v>
      </c>
      <c r="O49" s="102">
        <v>7.1908177905308461</v>
      </c>
      <c r="P49" s="102">
        <v>6.6597122302158276</v>
      </c>
      <c r="Q49" s="102">
        <v>6.5792507204610953</v>
      </c>
      <c r="R49" s="102">
        <v>6.1301518438177878</v>
      </c>
      <c r="S49" s="102">
        <v>6.9797395079594793</v>
      </c>
      <c r="T49" s="102">
        <v>6.9615663524292968</v>
      </c>
      <c r="U49" s="102">
        <v>6.166908563134978</v>
      </c>
      <c r="V49" s="102">
        <v>6.2814761215629522</v>
      </c>
      <c r="W49" s="102">
        <v>6.7377167630057802</v>
      </c>
      <c r="X49" s="102">
        <v>6.5192727272727273</v>
      </c>
      <c r="Y49" s="102">
        <v>6.129737609329446</v>
      </c>
      <c r="DA49" s="175" t="s">
        <v>230</v>
      </c>
    </row>
    <row r="50" spans="1:105" ht="11.45" customHeight="1" x14ac:dyDescent="0.25">
      <c r="A50" s="92" t="s">
        <v>181</v>
      </c>
      <c r="B50" s="102">
        <v>17.844149277329969</v>
      </c>
      <c r="C50" s="102">
        <v>17.383861901833793</v>
      </c>
      <c r="D50" s="102">
        <v>17.945655311893159</v>
      </c>
      <c r="E50" s="102">
        <v>17.795246436550794</v>
      </c>
      <c r="F50" s="102">
        <v>21.241085037836751</v>
      </c>
      <c r="G50" s="102">
        <v>23.332304174990973</v>
      </c>
      <c r="H50" s="102">
        <v>26.76674638707275</v>
      </c>
      <c r="I50" s="102">
        <v>29.545029777481588</v>
      </c>
      <c r="J50" s="102">
        <v>33.558204121483037</v>
      </c>
      <c r="K50" s="102">
        <v>33.397714492999036</v>
      </c>
      <c r="L50" s="102">
        <v>34.22362811837101</v>
      </c>
      <c r="M50" s="102">
        <v>33.302905272741548</v>
      </c>
      <c r="N50" s="102">
        <v>32.151473534049607</v>
      </c>
      <c r="O50" s="102">
        <v>31.829344439474568</v>
      </c>
      <c r="P50" s="102">
        <v>30.602330721561749</v>
      </c>
      <c r="Q50" s="102">
        <v>31.111974750693143</v>
      </c>
      <c r="R50" s="102">
        <v>29.465051450581296</v>
      </c>
      <c r="S50" s="102">
        <v>33.524489012833584</v>
      </c>
      <c r="T50" s="102">
        <v>34.366888514255955</v>
      </c>
      <c r="U50" s="102">
        <v>32.874290992172782</v>
      </c>
      <c r="V50" s="102">
        <v>36.805696944017114</v>
      </c>
      <c r="W50" s="102">
        <v>43.613637574160556</v>
      </c>
      <c r="X50" s="102">
        <v>43.03353174158017</v>
      </c>
      <c r="Y50" s="102">
        <v>42.141324277713672</v>
      </c>
      <c r="DA50" s="175" t="s">
        <v>231</v>
      </c>
    </row>
    <row r="51" spans="1:105" ht="11.45" customHeight="1" x14ac:dyDescent="0.25">
      <c r="A51" s="85" t="s">
        <v>182</v>
      </c>
      <c r="B51" s="86">
        <v>49.640243902439025</v>
      </c>
      <c r="C51" s="86">
        <v>46.920731707317074</v>
      </c>
      <c r="D51" s="86">
        <v>50.801829268292686</v>
      </c>
      <c r="E51" s="86">
        <v>55.81707317073171</v>
      </c>
      <c r="F51" s="86">
        <v>63.771341463414636</v>
      </c>
      <c r="G51" s="86">
        <v>75.354740061162076</v>
      </c>
      <c r="H51" s="86">
        <v>83.260061919504651</v>
      </c>
      <c r="I51" s="86">
        <v>89.021604938271608</v>
      </c>
      <c r="J51" s="86">
        <v>90.820987654320987</v>
      </c>
      <c r="K51" s="86">
        <v>85.856963264077081</v>
      </c>
      <c r="L51" s="86">
        <v>97.343653250773997</v>
      </c>
      <c r="M51" s="86">
        <v>102.70031545741325</v>
      </c>
      <c r="N51" s="86">
        <v>97.736291067169347</v>
      </c>
      <c r="O51" s="86">
        <v>92.77226667692544</v>
      </c>
      <c r="P51" s="86">
        <v>87.808242286681534</v>
      </c>
      <c r="Q51" s="86">
        <v>82.844217896437627</v>
      </c>
      <c r="R51" s="86">
        <v>78.191919191919197</v>
      </c>
      <c r="S51" s="86">
        <v>83.772881355932199</v>
      </c>
      <c r="T51" s="86">
        <v>83.774410774410768</v>
      </c>
      <c r="U51" s="86">
        <v>78.856164383561648</v>
      </c>
      <c r="V51" s="86">
        <v>106.44816053511705</v>
      </c>
      <c r="W51" s="86">
        <v>120.10884353741497</v>
      </c>
      <c r="X51" s="86">
        <v>117.62683134229302</v>
      </c>
      <c r="Y51" s="86">
        <v>115.14481914717106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82.476653374605817</v>
      </c>
      <c r="C53" s="54">
        <f t="shared" si="39"/>
        <v>13.311165009427823</v>
      </c>
      <c r="D53" s="54">
        <f t="shared" ref="D53:V53" si="40">SUM(D54,D58)</f>
        <v>34.411151659836129</v>
      </c>
      <c r="E53" s="54">
        <f t="shared" si="40"/>
        <v>52.991091513946934</v>
      </c>
      <c r="F53" s="54">
        <f t="shared" si="40"/>
        <v>103.70641964350582</v>
      </c>
      <c r="G53" s="54">
        <f t="shared" si="40"/>
        <v>81.127760142864801</v>
      </c>
      <c r="H53" s="54">
        <f t="shared" si="40"/>
        <v>68.425806342622764</v>
      </c>
      <c r="I53" s="54">
        <f t="shared" si="40"/>
        <v>72.917990957376944</v>
      </c>
      <c r="J53" s="54">
        <f t="shared" si="40"/>
        <v>39.203614659964757</v>
      </c>
      <c r="K53" s="54">
        <f t="shared" si="40"/>
        <v>2.5466340892206398</v>
      </c>
      <c r="L53" s="54">
        <f t="shared" si="40"/>
        <v>48.894826416664742</v>
      </c>
      <c r="M53" s="54">
        <f t="shared" si="40"/>
        <v>85.982242192364794</v>
      </c>
      <c r="N53" s="54">
        <f t="shared" si="40"/>
        <v>21.537030190388752</v>
      </c>
      <c r="O53" s="54">
        <f t="shared" si="40"/>
        <v>4.6063305134886301</v>
      </c>
      <c r="P53" s="54">
        <f t="shared" si="40"/>
        <v>27.266047157536569</v>
      </c>
      <c r="Q53" s="54">
        <f t="shared" si="40"/>
        <v>34.755636680435948</v>
      </c>
      <c r="R53" s="54">
        <f t="shared" si="40"/>
        <v>41.692647253151598</v>
      </c>
      <c r="S53" s="54">
        <f t="shared" si="40"/>
        <v>59.169610351656814</v>
      </c>
      <c r="T53" s="54">
        <f t="shared" si="40"/>
        <v>65.624453306901884</v>
      </c>
      <c r="U53" s="54">
        <f t="shared" si="40"/>
        <v>32.181303539713113</v>
      </c>
      <c r="V53" s="54">
        <f t="shared" si="40"/>
        <v>34.243737123820672</v>
      </c>
      <c r="W53" s="54">
        <f t="shared" ref="W53:Y53" si="41">SUM(W54,W58)</f>
        <v>23.530631735877137</v>
      </c>
      <c r="X53" s="54">
        <f t="shared" si="41"/>
        <v>0.32603093969018637</v>
      </c>
      <c r="Y53" s="54">
        <f t="shared" si="41"/>
        <v>0.23451583857393032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73.085649332120582</v>
      </c>
      <c r="C54" s="11">
        <f t="shared" si="42"/>
        <v>12.938913914742699</v>
      </c>
      <c r="D54" s="11">
        <f t="shared" ref="D54:V54" si="43">SUM(D55:D57)</f>
        <v>27.758864938524233</v>
      </c>
      <c r="E54" s="11">
        <f t="shared" si="43"/>
        <v>45.916860736573348</v>
      </c>
      <c r="F54" s="11">
        <f t="shared" si="43"/>
        <v>90.115248170898951</v>
      </c>
      <c r="G54" s="11">
        <f t="shared" si="43"/>
        <v>65.309655954325137</v>
      </c>
      <c r="H54" s="11">
        <f t="shared" si="43"/>
        <v>53.920869399626419</v>
      </c>
      <c r="I54" s="11">
        <f t="shared" si="43"/>
        <v>61.895992775887834</v>
      </c>
      <c r="J54" s="11">
        <f t="shared" si="43"/>
        <v>28.373460025803301</v>
      </c>
      <c r="K54" s="11">
        <f t="shared" si="43"/>
        <v>1.8819571869563259</v>
      </c>
      <c r="L54" s="11">
        <f t="shared" si="43"/>
        <v>34.40027790379915</v>
      </c>
      <c r="M54" s="11">
        <f t="shared" si="43"/>
        <v>78.545056526551377</v>
      </c>
      <c r="N54" s="11">
        <f t="shared" si="43"/>
        <v>21.152144478718853</v>
      </c>
      <c r="O54" s="11">
        <f t="shared" si="43"/>
        <v>4.1032930773153584</v>
      </c>
      <c r="P54" s="11">
        <f t="shared" si="43"/>
        <v>27.266047157536569</v>
      </c>
      <c r="Q54" s="11">
        <f t="shared" si="43"/>
        <v>33.269860246249365</v>
      </c>
      <c r="R54" s="11">
        <f t="shared" si="43"/>
        <v>41.682945450017904</v>
      </c>
      <c r="S54" s="11">
        <f t="shared" si="43"/>
        <v>46.05900465619591</v>
      </c>
      <c r="T54" s="11">
        <f t="shared" si="43"/>
        <v>62.178079237477213</v>
      </c>
      <c r="U54" s="11">
        <f t="shared" si="43"/>
        <v>32.181303539713113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</v>
      </c>
      <c r="Y54" s="11">
        <f t="shared" si="44"/>
        <v>0.16525027674021153</v>
      </c>
      <c r="DA54" s="189" t="s">
        <v>234</v>
      </c>
    </row>
    <row r="55" spans="1:105" ht="11.45" customHeight="1" x14ac:dyDescent="0.25">
      <c r="A55" s="83" t="s">
        <v>27</v>
      </c>
      <c r="B55" s="84">
        <v>12.219990658570396</v>
      </c>
      <c r="C55" s="84">
        <v>0</v>
      </c>
      <c r="D55" s="84">
        <v>8.1200373657165983</v>
      </c>
      <c r="E55" s="84">
        <v>8.9005137786077455</v>
      </c>
      <c r="F55" s="84">
        <v>6.5207846800556979</v>
      </c>
      <c r="G55" s="84">
        <v>5.4934736466589698</v>
      </c>
      <c r="H55" s="84">
        <v>6.1747406890036984</v>
      </c>
      <c r="I55" s="84">
        <v>7.0786364653692999</v>
      </c>
      <c r="J55" s="84">
        <v>1.4432382722418424</v>
      </c>
      <c r="K55" s="84">
        <v>0</v>
      </c>
      <c r="L55" s="84">
        <v>2.2425146784119931</v>
      </c>
      <c r="M55" s="84">
        <v>26.652045149655663</v>
      </c>
      <c r="N55" s="84">
        <v>0</v>
      </c>
      <c r="O55" s="84">
        <v>0</v>
      </c>
      <c r="P55" s="84">
        <v>0</v>
      </c>
      <c r="Q55" s="84">
        <v>0</v>
      </c>
      <c r="R55" s="84">
        <v>6.5253750207210004</v>
      </c>
      <c r="S55" s="84">
        <v>7.0078220898764698E-2</v>
      </c>
      <c r="T55" s="84">
        <v>8.1737470834352735</v>
      </c>
      <c r="U55" s="84">
        <v>5.2213156273954411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21.504589333533787</v>
      </c>
      <c r="C56" s="84">
        <v>0.35729319628018175</v>
      </c>
      <c r="D56" s="84">
        <v>0.11234469895669674</v>
      </c>
      <c r="E56" s="84">
        <v>33.108911703162228</v>
      </c>
      <c r="F56" s="84">
        <v>39.060461819999801</v>
      </c>
      <c r="G56" s="84">
        <v>31.192220888968286</v>
      </c>
      <c r="H56" s="84">
        <v>26.401436427556355</v>
      </c>
      <c r="I56" s="84">
        <v>24.623087781333282</v>
      </c>
      <c r="J56" s="84">
        <v>7.7013134663660061</v>
      </c>
      <c r="K56" s="84">
        <v>0.26816482914281714</v>
      </c>
      <c r="L56" s="84">
        <v>4.6159814451287957</v>
      </c>
      <c r="M56" s="84">
        <v>26.038966080549834</v>
      </c>
      <c r="N56" s="84">
        <v>1.3149599663340013</v>
      </c>
      <c r="O56" s="84">
        <v>4.1032930773153584</v>
      </c>
      <c r="P56" s="84">
        <v>14.404737855914071</v>
      </c>
      <c r="Q56" s="84">
        <v>17.489948768789628</v>
      </c>
      <c r="R56" s="84">
        <v>34.503573445932183</v>
      </c>
      <c r="S56" s="84">
        <v>26.410253590900567</v>
      </c>
      <c r="T56" s="84">
        <v>25.517609389844147</v>
      </c>
      <c r="U56" s="84">
        <v>2.1274604846137777</v>
      </c>
      <c r="V56" s="84">
        <v>0</v>
      </c>
      <c r="W56" s="84">
        <v>0</v>
      </c>
      <c r="X56" s="84">
        <v>0</v>
      </c>
      <c r="Y56" s="84">
        <v>0.16525027674021153</v>
      </c>
      <c r="DA56" s="171" t="s">
        <v>236</v>
      </c>
    </row>
    <row r="57" spans="1:105" ht="11.45" customHeight="1" x14ac:dyDescent="0.25">
      <c r="A57" s="83" t="s">
        <v>182</v>
      </c>
      <c r="B57" s="84">
        <v>39.3610693400164</v>
      </c>
      <c r="C57" s="84">
        <v>12.581620718462517</v>
      </c>
      <c r="D57" s="84">
        <v>19.526482873850938</v>
      </c>
      <c r="E57" s="84">
        <v>3.9074352548033744</v>
      </c>
      <c r="F57" s="84">
        <v>44.534001670843452</v>
      </c>
      <c r="G57" s="84">
        <v>28.623961418697888</v>
      </c>
      <c r="H57" s="84">
        <v>21.344692283066365</v>
      </c>
      <c r="I57" s="84">
        <v>30.194268529185251</v>
      </c>
      <c r="J57" s="84">
        <v>19.228908287195452</v>
      </c>
      <c r="K57" s="84">
        <v>1.6137923578135087</v>
      </c>
      <c r="L57" s="84">
        <v>27.541781780258361</v>
      </c>
      <c r="M57" s="84">
        <v>25.854045296345873</v>
      </c>
      <c r="N57" s="84">
        <v>19.837184512384852</v>
      </c>
      <c r="O57" s="84">
        <v>0</v>
      </c>
      <c r="P57" s="84">
        <v>12.861309301622498</v>
      </c>
      <c r="Q57" s="84">
        <v>15.779911477459734</v>
      </c>
      <c r="R57" s="84">
        <v>0.65399698336472056</v>
      </c>
      <c r="S57" s="84">
        <v>19.578672844396579</v>
      </c>
      <c r="T57" s="84">
        <v>28.486722764197793</v>
      </c>
      <c r="U57" s="84">
        <v>24.832527427703894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9.3910040424852372</v>
      </c>
      <c r="C58" s="13">
        <f t="shared" si="45"/>
        <v>0.37225109468512457</v>
      </c>
      <c r="D58" s="13">
        <f t="shared" ref="D58:V58" si="46">SUM(D59:D61)</f>
        <v>6.6522867213118975</v>
      </c>
      <c r="E58" s="13">
        <f t="shared" si="46"/>
        <v>7.0742307773735833</v>
      </c>
      <c r="F58" s="13">
        <f t="shared" si="46"/>
        <v>13.591171472606874</v>
      </c>
      <c r="G58" s="13">
        <f t="shared" si="46"/>
        <v>15.818104188539662</v>
      </c>
      <c r="H58" s="13">
        <f t="shared" si="46"/>
        <v>14.504936942996352</v>
      </c>
      <c r="I58" s="13">
        <f t="shared" si="46"/>
        <v>11.021998181489108</v>
      </c>
      <c r="J58" s="13">
        <f t="shared" si="46"/>
        <v>10.83015463416146</v>
      </c>
      <c r="K58" s="13">
        <f t="shared" si="46"/>
        <v>0.6646769022643142</v>
      </c>
      <c r="L58" s="13">
        <f t="shared" si="46"/>
        <v>14.494548512865592</v>
      </c>
      <c r="M58" s="13">
        <f t="shared" si="46"/>
        <v>7.4371856658134154</v>
      </c>
      <c r="N58" s="13">
        <f t="shared" si="46"/>
        <v>0.3848857116698996</v>
      </c>
      <c r="O58" s="13">
        <f t="shared" si="46"/>
        <v>0.5030374361732719</v>
      </c>
      <c r="P58" s="13">
        <f t="shared" si="46"/>
        <v>0</v>
      </c>
      <c r="Q58" s="13">
        <f t="shared" si="46"/>
        <v>1.4857764341865807</v>
      </c>
      <c r="R58" s="13">
        <f t="shared" si="46"/>
        <v>9.7018031336926214E-3</v>
      </c>
      <c r="S58" s="13">
        <f t="shared" si="46"/>
        <v>13.110605695460903</v>
      </c>
      <c r="T58" s="13">
        <f t="shared" si="46"/>
        <v>3.4463740694246701</v>
      </c>
      <c r="U58" s="13">
        <f t="shared" si="46"/>
        <v>0</v>
      </c>
      <c r="V58" s="13">
        <f t="shared" si="46"/>
        <v>34.243737123820672</v>
      </c>
      <c r="W58" s="13">
        <f t="shared" ref="W58:Y58" si="47">SUM(W59:W61)</f>
        <v>23.530631735877137</v>
      </c>
      <c r="X58" s="13">
        <f t="shared" si="47"/>
        <v>0.32603093969018637</v>
      </c>
      <c r="Y58" s="13">
        <f t="shared" si="47"/>
        <v>6.9265561833718792E-2</v>
      </c>
      <c r="DA58" s="193" t="s">
        <v>238</v>
      </c>
    </row>
    <row r="59" spans="1:105" ht="11.45" customHeight="1" x14ac:dyDescent="0.25">
      <c r="A59" s="92" t="s">
        <v>27</v>
      </c>
      <c r="B59" s="102">
        <v>1.4988589463465551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1.0211178308529014</v>
      </c>
      <c r="I59" s="102">
        <v>0.32035414703639198</v>
      </c>
      <c r="J59" s="102">
        <v>2.7234025986458761</v>
      </c>
      <c r="K59" s="102">
        <v>0</v>
      </c>
      <c r="L59" s="102">
        <v>0</v>
      </c>
      <c r="M59" s="102">
        <v>0.15696938922184422</v>
      </c>
      <c r="N59" s="102">
        <v>0</v>
      </c>
      <c r="O59" s="102">
        <v>0</v>
      </c>
      <c r="P59" s="102">
        <v>0</v>
      </c>
      <c r="Q59" s="102">
        <v>0.3783391700222678</v>
      </c>
      <c r="R59" s="102">
        <v>9.7018031336926214E-3</v>
      </c>
      <c r="S59" s="102">
        <v>1.3083883439186916</v>
      </c>
      <c r="T59" s="102">
        <v>0.44062752424681761</v>
      </c>
      <c r="U59" s="102">
        <v>0</v>
      </c>
      <c r="V59" s="102">
        <v>0.57336823820497429</v>
      </c>
      <c r="W59" s="102">
        <v>0.91504132121982806</v>
      </c>
      <c r="X59" s="102">
        <v>0.2403566440439473</v>
      </c>
      <c r="Y59" s="102">
        <v>6.9265561833718792E-2</v>
      </c>
      <c r="DA59" s="175" t="s">
        <v>239</v>
      </c>
    </row>
    <row r="60" spans="1:105" ht="11.45" customHeight="1" x14ac:dyDescent="0.25">
      <c r="A60" s="92" t="s">
        <v>181</v>
      </c>
      <c r="B60" s="102">
        <v>2.6634865595532182</v>
      </c>
      <c r="C60" s="102">
        <v>0.37225109468512457</v>
      </c>
      <c r="D60" s="102">
        <v>1.2071647700922856</v>
      </c>
      <c r="E60" s="102">
        <v>0.49496248469055804</v>
      </c>
      <c r="F60" s="102">
        <v>4.0728787896799545</v>
      </c>
      <c r="G60" s="102">
        <v>2.6706812005482221</v>
      </c>
      <c r="H60" s="102">
        <v>4.0144728635568763</v>
      </c>
      <c r="I60" s="102">
        <v>3.3760766254417587</v>
      </c>
      <c r="J60" s="102">
        <v>4.7433449292222027</v>
      </c>
      <c r="K60" s="102">
        <v>0.6646769022643142</v>
      </c>
      <c r="L60" s="102">
        <v>1.4438341359246756</v>
      </c>
      <c r="M60" s="102">
        <v>0.35952967970831373</v>
      </c>
      <c r="N60" s="102">
        <v>0.3848857116698996</v>
      </c>
      <c r="O60" s="102">
        <v>0.5030374361732719</v>
      </c>
      <c r="P60" s="102">
        <v>0</v>
      </c>
      <c r="Q60" s="102">
        <v>1.1074372641643129</v>
      </c>
      <c r="R60" s="102">
        <v>0</v>
      </c>
      <c r="S60" s="102">
        <v>4.6572307972852087</v>
      </c>
      <c r="T60" s="102">
        <v>1.4401927364552831</v>
      </c>
      <c r="U60" s="102">
        <v>0</v>
      </c>
      <c r="V60" s="102">
        <v>4.5143483438162884</v>
      </c>
      <c r="W60" s="102">
        <v>7.3908830221153936</v>
      </c>
      <c r="X60" s="102">
        <v>8.5674295646239074E-2</v>
      </c>
      <c r="Y60" s="102">
        <v>0</v>
      </c>
      <c r="DA60" s="175" t="s">
        <v>240</v>
      </c>
    </row>
    <row r="61" spans="1:105" ht="11.45" customHeight="1" x14ac:dyDescent="0.25">
      <c r="A61" s="85" t="s">
        <v>182</v>
      </c>
      <c r="B61" s="86">
        <v>5.2286585365854634</v>
      </c>
      <c r="C61" s="86">
        <v>0</v>
      </c>
      <c r="D61" s="86">
        <v>5.4451219512196118</v>
      </c>
      <c r="E61" s="86">
        <v>6.5792682926830253</v>
      </c>
      <c r="F61" s="86">
        <v>9.5182926829269192</v>
      </c>
      <c r="G61" s="86">
        <v>13.14742298799144</v>
      </c>
      <c r="H61" s="86">
        <v>9.4693462485865751</v>
      </c>
      <c r="I61" s="86">
        <v>7.3255674090109579</v>
      </c>
      <c r="J61" s="86">
        <v>3.3634071062933799</v>
      </c>
      <c r="K61" s="86">
        <v>0</v>
      </c>
      <c r="L61" s="86">
        <v>13.050714376940917</v>
      </c>
      <c r="M61" s="86">
        <v>6.9206865968832574</v>
      </c>
      <c r="N61" s="86">
        <v>0</v>
      </c>
      <c r="O61" s="86">
        <v>0</v>
      </c>
      <c r="P61" s="86">
        <v>0</v>
      </c>
      <c r="Q61" s="86">
        <v>0</v>
      </c>
      <c r="R61" s="86">
        <v>0</v>
      </c>
      <c r="S61" s="86">
        <v>7.1449865542570024</v>
      </c>
      <c r="T61" s="86">
        <v>1.5655538087225693</v>
      </c>
      <c r="U61" s="86">
        <v>0</v>
      </c>
      <c r="V61" s="86">
        <v>29.156020541799407</v>
      </c>
      <c r="W61" s="86">
        <v>15.224707392541916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80.995893507119902</v>
      </c>
      <c r="C66" s="14">
        <f t="shared" si="48"/>
        <v>82.116795329452941</v>
      </c>
      <c r="D66" s="14">
        <f t="shared" ref="D66:V66" si="49">IF(D34=0,0,D34/D24)</f>
        <v>82.637427586396711</v>
      </c>
      <c r="E66" s="14">
        <f t="shared" si="49"/>
        <v>82.955535487583234</v>
      </c>
      <c r="F66" s="14">
        <f t="shared" si="49"/>
        <v>85.744752191118934</v>
      </c>
      <c r="G66" s="14">
        <f t="shared" si="49"/>
        <v>87.793116986700582</v>
      </c>
      <c r="H66" s="14">
        <f t="shared" si="49"/>
        <v>89.741880619098097</v>
      </c>
      <c r="I66" s="14">
        <f t="shared" si="49"/>
        <v>92.237226433098783</v>
      </c>
      <c r="J66" s="14">
        <f t="shared" si="49"/>
        <v>93.488283722031767</v>
      </c>
      <c r="K66" s="14">
        <f t="shared" si="49"/>
        <v>96.031950939806975</v>
      </c>
      <c r="L66" s="14">
        <f t="shared" si="49"/>
        <v>100.90782860710385</v>
      </c>
      <c r="M66" s="14">
        <f t="shared" si="49"/>
        <v>97.201046801894677</v>
      </c>
      <c r="N66" s="14">
        <f t="shared" si="49"/>
        <v>100.90515017459396</v>
      </c>
      <c r="O66" s="14">
        <f t="shared" si="49"/>
        <v>105.74056389385552</v>
      </c>
      <c r="P66" s="14">
        <f t="shared" si="49"/>
        <v>114.54380995230025</v>
      </c>
      <c r="Q66" s="14">
        <f t="shared" si="49"/>
        <v>118.11382682778405</v>
      </c>
      <c r="R66" s="14">
        <f t="shared" si="49"/>
        <v>119.31877807154461</v>
      </c>
      <c r="S66" s="14">
        <f t="shared" si="49"/>
        <v>123.83114313470823</v>
      </c>
      <c r="T66" s="14">
        <f t="shared" si="49"/>
        <v>124.2460977805985</v>
      </c>
      <c r="U66" s="14">
        <f t="shared" si="49"/>
        <v>126.26058448061342</v>
      </c>
      <c r="V66" s="14">
        <f t="shared" si="49"/>
        <v>92.664887962234928</v>
      </c>
      <c r="W66" s="14">
        <f t="shared" ref="W66:Y66" si="50">IF(W34=0,0,W34/W24)</f>
        <v>104.43803578528826</v>
      </c>
      <c r="X66" s="14">
        <f t="shared" si="50"/>
        <v>126.83534587373963</v>
      </c>
      <c r="Y66" s="14">
        <f t="shared" si="50"/>
        <v>136.07508262243897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68.303714871620642</v>
      </c>
      <c r="C67" s="87">
        <f t="shared" si="48"/>
        <v>68.944676490680195</v>
      </c>
      <c r="D67" s="87">
        <f t="shared" ref="D67:V67" si="51">IF(D35=0,0,D35/D25)</f>
        <v>69.053285984968909</v>
      </c>
      <c r="E67" s="87">
        <f t="shared" si="51"/>
        <v>69.242604922732454</v>
      </c>
      <c r="F67" s="87">
        <f t="shared" si="51"/>
        <v>68.605978518425658</v>
      </c>
      <c r="G67" s="87">
        <f t="shared" si="51"/>
        <v>69.219432437283075</v>
      </c>
      <c r="H67" s="87">
        <f t="shared" si="51"/>
        <v>71.041535178125173</v>
      </c>
      <c r="I67" s="87">
        <f t="shared" si="51"/>
        <v>74.503052220193098</v>
      </c>
      <c r="J67" s="87">
        <f t="shared" si="51"/>
        <v>77.252504979363565</v>
      </c>
      <c r="K67" s="87">
        <f t="shared" si="51"/>
        <v>79.987737744352955</v>
      </c>
      <c r="L67" s="87">
        <f t="shared" si="51"/>
        <v>83.104529336182694</v>
      </c>
      <c r="M67" s="87">
        <f t="shared" si="51"/>
        <v>71.263865134188023</v>
      </c>
      <c r="N67" s="87">
        <f t="shared" si="51"/>
        <v>73.140999751030463</v>
      </c>
      <c r="O67" s="87">
        <f t="shared" si="51"/>
        <v>76.689784326086084</v>
      </c>
      <c r="P67" s="87">
        <f t="shared" si="51"/>
        <v>93.141252363924991</v>
      </c>
      <c r="Q67" s="87">
        <f t="shared" si="51"/>
        <v>96.803183123205599</v>
      </c>
      <c r="R67" s="87">
        <f t="shared" si="51"/>
        <v>98.339261195931897</v>
      </c>
      <c r="S67" s="87">
        <f t="shared" si="51"/>
        <v>102.31150194632511</v>
      </c>
      <c r="T67" s="87">
        <f t="shared" si="51"/>
        <v>98.531120280174022</v>
      </c>
      <c r="U67" s="87">
        <f t="shared" si="51"/>
        <v>96.454860332411357</v>
      </c>
      <c r="V67" s="87">
        <f t="shared" si="51"/>
        <v>69.119157948933974</v>
      </c>
      <c r="W67" s="87">
        <f t="shared" ref="W67:Y67" si="52">IF(W35=0,0,W35/W25)</f>
        <v>71.4894211934987</v>
      </c>
      <c r="X67" s="87">
        <f t="shared" si="52"/>
        <v>84.179194559179606</v>
      </c>
      <c r="Y67" s="87">
        <f t="shared" si="52"/>
        <v>94.371750489875893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69.971025069144716</v>
      </c>
      <c r="C68" s="87">
        <f t="shared" si="48"/>
        <v>70.927639130034393</v>
      </c>
      <c r="D68" s="87">
        <f t="shared" ref="D68:V68" si="53">IF(D36=0,0,D36/D26)</f>
        <v>72.134533338458141</v>
      </c>
      <c r="E68" s="87">
        <f t="shared" si="53"/>
        <v>73.139541505845187</v>
      </c>
      <c r="F68" s="87">
        <f t="shared" si="53"/>
        <v>76.208011623504859</v>
      </c>
      <c r="G68" s="87">
        <f t="shared" si="53"/>
        <v>79.202305230281283</v>
      </c>
      <c r="H68" s="87">
        <f t="shared" si="53"/>
        <v>82.404100530323916</v>
      </c>
      <c r="I68" s="87">
        <f t="shared" si="53"/>
        <v>83.933740841367381</v>
      </c>
      <c r="J68" s="87">
        <f t="shared" si="53"/>
        <v>84.259227131745362</v>
      </c>
      <c r="K68" s="87">
        <f t="shared" si="53"/>
        <v>86.486370560801447</v>
      </c>
      <c r="L68" s="87">
        <f t="shared" si="53"/>
        <v>90.835065567539317</v>
      </c>
      <c r="M68" s="87">
        <f t="shared" si="53"/>
        <v>93.049132860348067</v>
      </c>
      <c r="N68" s="87">
        <f t="shared" si="53"/>
        <v>96.382502328108018</v>
      </c>
      <c r="O68" s="87">
        <f t="shared" si="53"/>
        <v>100.98457897458334</v>
      </c>
      <c r="P68" s="87">
        <f t="shared" si="53"/>
        <v>105.56848407831077</v>
      </c>
      <c r="Q68" s="87">
        <f t="shared" si="53"/>
        <v>108.7929348337147</v>
      </c>
      <c r="R68" s="87">
        <f t="shared" si="53"/>
        <v>110.95453944538681</v>
      </c>
      <c r="S68" s="87">
        <f t="shared" si="53"/>
        <v>114.70269375557393</v>
      </c>
      <c r="T68" s="87">
        <f t="shared" si="53"/>
        <v>116.26608230313771</v>
      </c>
      <c r="U68" s="87">
        <f t="shared" si="53"/>
        <v>118.94589176923311</v>
      </c>
      <c r="V68" s="87">
        <f t="shared" si="53"/>
        <v>88.736581441273884</v>
      </c>
      <c r="W68" s="87">
        <f t="shared" ref="W68:Y68" si="54">IF(W36=0,0,W36/W26)</f>
        <v>100.90179258870099</v>
      </c>
      <c r="X68" s="87">
        <f t="shared" si="54"/>
        <v>119.81183888980335</v>
      </c>
      <c r="Y68" s="87">
        <f t="shared" si="54"/>
        <v>126.64487829044695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175.11408396482554</v>
      </c>
      <c r="C69" s="87">
        <f t="shared" si="48"/>
        <v>172.08112012113725</v>
      </c>
      <c r="D69" s="87">
        <f t="shared" ref="D69:V69" si="55">IF(D37=0,0,D37/D27)</f>
        <v>165.10632756827917</v>
      </c>
      <c r="E69" s="87">
        <f t="shared" si="55"/>
        <v>168.8115974378882</v>
      </c>
      <c r="F69" s="87">
        <f t="shared" si="55"/>
        <v>173.14135515013237</v>
      </c>
      <c r="G69" s="87">
        <f t="shared" si="55"/>
        <v>172.4526863251842</v>
      </c>
      <c r="H69" s="87">
        <f t="shared" si="55"/>
        <v>167.93419527349727</v>
      </c>
      <c r="I69" s="87">
        <f t="shared" si="55"/>
        <v>167.21179996867392</v>
      </c>
      <c r="J69" s="87">
        <f t="shared" si="55"/>
        <v>164.7310357527725</v>
      </c>
      <c r="K69" s="87">
        <f t="shared" si="55"/>
        <v>162.97847956107643</v>
      </c>
      <c r="L69" s="87">
        <f t="shared" si="55"/>
        <v>168.12776854480435</v>
      </c>
      <c r="M69" s="87">
        <f t="shared" si="55"/>
        <v>166.61923057824566</v>
      </c>
      <c r="N69" s="87">
        <f t="shared" si="55"/>
        <v>168.61029521284519</v>
      </c>
      <c r="O69" s="87">
        <f t="shared" si="55"/>
        <v>172.8053481191194</v>
      </c>
      <c r="P69" s="87">
        <f t="shared" si="55"/>
        <v>173.26682300163131</v>
      </c>
      <c r="Q69" s="87">
        <f t="shared" si="55"/>
        <v>176.41254676564657</v>
      </c>
      <c r="R69" s="87">
        <f t="shared" si="55"/>
        <v>178.74372805360647</v>
      </c>
      <c r="S69" s="87">
        <f t="shared" si="55"/>
        <v>184.18507598638476</v>
      </c>
      <c r="T69" s="87">
        <f t="shared" si="55"/>
        <v>183.72667055005408</v>
      </c>
      <c r="U69" s="87">
        <f t="shared" si="55"/>
        <v>186.01780931621349</v>
      </c>
      <c r="V69" s="87">
        <f t="shared" si="55"/>
        <v>136.74877593658795</v>
      </c>
      <c r="W69" s="87">
        <f t="shared" ref="W69:Y69" si="56">IF(W37=0,0,W37/W27)</f>
        <v>137.75572996327017</v>
      </c>
      <c r="X69" s="87">
        <f t="shared" si="56"/>
        <v>180.3775478428264</v>
      </c>
      <c r="Y69" s="87">
        <f t="shared" si="56"/>
        <v>192.26091646504599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24.244926969546889</v>
      </c>
      <c r="C70" s="15">
        <f t="shared" si="48"/>
        <v>24.774935186603855</v>
      </c>
      <c r="D70" s="15">
        <f t="shared" ref="D70:V70" si="57">IF(D38=0,0,D38/D28)</f>
        <v>25.647778090339404</v>
      </c>
      <c r="E70" s="15">
        <f t="shared" si="57"/>
        <v>26.659848933184321</v>
      </c>
      <c r="F70" s="15">
        <f t="shared" si="57"/>
        <v>26.178689411465218</v>
      </c>
      <c r="G70" s="15">
        <f t="shared" si="57"/>
        <v>25.571617139507396</v>
      </c>
      <c r="H70" s="15">
        <f t="shared" si="57"/>
        <v>25.218728120470306</v>
      </c>
      <c r="I70" s="15">
        <f t="shared" si="57"/>
        <v>25.263285664761622</v>
      </c>
      <c r="J70" s="15">
        <f t="shared" si="57"/>
        <v>23.984930900692486</v>
      </c>
      <c r="K70" s="15">
        <f t="shared" si="57"/>
        <v>25.056342861434533</v>
      </c>
      <c r="L70" s="15">
        <f t="shared" si="57"/>
        <v>28.54079070351149</v>
      </c>
      <c r="M70" s="15">
        <f t="shared" si="57"/>
        <v>30.749697759406992</v>
      </c>
      <c r="N70" s="15">
        <f t="shared" si="57"/>
        <v>32.229096130626765</v>
      </c>
      <c r="O70" s="15">
        <f t="shared" si="57"/>
        <v>32.60590175834345</v>
      </c>
      <c r="P70" s="15">
        <f t="shared" si="57"/>
        <v>35.619067124685145</v>
      </c>
      <c r="Q70" s="15">
        <f t="shared" si="57"/>
        <v>35.362764298267294</v>
      </c>
      <c r="R70" s="15">
        <f t="shared" si="57"/>
        <v>39.179910369051647</v>
      </c>
      <c r="S70" s="15">
        <f t="shared" si="57"/>
        <v>37.379662515323076</v>
      </c>
      <c r="T70" s="15">
        <f t="shared" si="57"/>
        <v>37.258347225080804</v>
      </c>
      <c r="U70" s="15">
        <f t="shared" si="57"/>
        <v>38.149197178441263</v>
      </c>
      <c r="V70" s="15">
        <f t="shared" si="57"/>
        <v>30.148254910315504</v>
      </c>
      <c r="W70" s="15">
        <f t="shared" ref="W70:Y70" si="58">IF(W38=0,0,W38/W28)</f>
        <v>31.064419284037243</v>
      </c>
      <c r="X70" s="15">
        <f t="shared" si="58"/>
        <v>32.894589868143676</v>
      </c>
      <c r="Y70" s="15">
        <f t="shared" si="58"/>
        <v>33.665237513210343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10.023284561418631</v>
      </c>
      <c r="C71" s="41">
        <f t="shared" si="48"/>
        <v>9.9468444225812966</v>
      </c>
      <c r="D71" s="41">
        <f t="shared" ref="D71:V71" si="59">IF(D39=0,0,D39/D29)</f>
        <v>10.228618824365732</v>
      </c>
      <c r="E71" s="41">
        <f t="shared" si="59"/>
        <v>10.880110401352557</v>
      </c>
      <c r="F71" s="41">
        <f t="shared" si="59"/>
        <v>10.245291210092235</v>
      </c>
      <c r="G71" s="41">
        <f t="shared" si="59"/>
        <v>10.026386560137624</v>
      </c>
      <c r="H71" s="41">
        <f t="shared" si="59"/>
        <v>9.6442955326529347</v>
      </c>
      <c r="I71" s="41">
        <f t="shared" si="59"/>
        <v>9.6084865500782293</v>
      </c>
      <c r="J71" s="41">
        <f t="shared" si="59"/>
        <v>9.2442542001847308</v>
      </c>
      <c r="K71" s="41">
        <f t="shared" si="59"/>
        <v>9.3240998338960406</v>
      </c>
      <c r="L71" s="41">
        <f t="shared" si="59"/>
        <v>9.9726932495609368</v>
      </c>
      <c r="M71" s="41">
        <f t="shared" si="59"/>
        <v>10.895437219200758</v>
      </c>
      <c r="N71" s="41">
        <f t="shared" si="59"/>
        <v>11.19133112954926</v>
      </c>
      <c r="O71" s="41">
        <f t="shared" si="59"/>
        <v>11.472606557577453</v>
      </c>
      <c r="P71" s="41">
        <f t="shared" si="59"/>
        <v>12.867097049767036</v>
      </c>
      <c r="Q71" s="41">
        <f t="shared" si="59"/>
        <v>13.240298620670723</v>
      </c>
      <c r="R71" s="41">
        <f t="shared" si="59"/>
        <v>15.261225204177913</v>
      </c>
      <c r="S71" s="41">
        <f t="shared" si="59"/>
        <v>14.037407282807472</v>
      </c>
      <c r="T71" s="41">
        <f t="shared" si="59"/>
        <v>14.28777069472639</v>
      </c>
      <c r="U71" s="41">
        <f t="shared" si="59"/>
        <v>15.803408783848621</v>
      </c>
      <c r="V71" s="41">
        <f t="shared" si="59"/>
        <v>14.565549583941408</v>
      </c>
      <c r="W71" s="41">
        <f t="shared" ref="W71:Y71" si="60">IF(W39=0,0,W39/W29)</f>
        <v>14.733887425092288</v>
      </c>
      <c r="X71" s="41">
        <f t="shared" si="60"/>
        <v>14.903133727895913</v>
      </c>
      <c r="Y71" s="41">
        <f t="shared" si="60"/>
        <v>14.791343727721088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16.167807765431576</v>
      </c>
      <c r="C72" s="41">
        <f t="shared" si="48"/>
        <v>16.347531780245248</v>
      </c>
      <c r="D72" s="41">
        <f t="shared" ref="D72:V72" si="61">IF(D40=0,0,D40/D30)</f>
        <v>16.36514393507635</v>
      </c>
      <c r="E72" s="41">
        <f t="shared" si="61"/>
        <v>17.221696677308699</v>
      </c>
      <c r="F72" s="41">
        <f t="shared" si="61"/>
        <v>16.065947226318936</v>
      </c>
      <c r="G72" s="41">
        <f t="shared" si="61"/>
        <v>15.202475894043332</v>
      </c>
      <c r="H72" s="41">
        <f t="shared" si="61"/>
        <v>14.017847842266166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13.698894254303413</v>
      </c>
      <c r="L72" s="41">
        <f t="shared" si="61"/>
        <v>14.504774438576115</v>
      </c>
      <c r="M72" s="41">
        <f t="shared" si="61"/>
        <v>15.593990976967524</v>
      </c>
      <c r="N72" s="41">
        <f t="shared" si="61"/>
        <v>16.668272444699468</v>
      </c>
      <c r="O72" s="41">
        <f t="shared" si="61"/>
        <v>16.757006585050917</v>
      </c>
      <c r="P72" s="41">
        <f t="shared" si="61"/>
        <v>18.449412678664505</v>
      </c>
      <c r="Q72" s="41">
        <f t="shared" si="61"/>
        <v>18.477606558493594</v>
      </c>
      <c r="R72" s="41">
        <f t="shared" si="61"/>
        <v>20.847919403023052</v>
      </c>
      <c r="S72" s="41">
        <f t="shared" si="61"/>
        <v>19.37752518507698</v>
      </c>
      <c r="T72" s="41">
        <f t="shared" si="61"/>
        <v>19.225461196308377</v>
      </c>
      <c r="U72" s="41">
        <f t="shared" si="61"/>
        <v>19.70259861763196</v>
      </c>
      <c r="V72" s="41">
        <f t="shared" si="61"/>
        <v>17.640506114488737</v>
      </c>
      <c r="W72" s="41">
        <f t="shared" ref="W72:Y72" si="62">IF(W40=0,0,W40/W30)</f>
        <v>17.7683957554698</v>
      </c>
      <c r="X72" s="41">
        <f t="shared" si="62"/>
        <v>17.890474130141026</v>
      </c>
      <c r="Y72" s="41">
        <f t="shared" si="62"/>
        <v>17.970037243342702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59.664691083399617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1233.3818547023757</v>
      </c>
      <c r="C75" s="62">
        <f t="shared" si="65"/>
        <v>1261.5288164999783</v>
      </c>
      <c r="D75" s="62">
        <f t="shared" ref="D75:V75" si="66">IF(D13=0,0,D13*1000000/D23)</f>
        <v>1289.3103404977346</v>
      </c>
      <c r="E75" s="62">
        <f t="shared" si="66"/>
        <v>1275.7276093033659</v>
      </c>
      <c r="F75" s="62">
        <f t="shared" si="66"/>
        <v>1320.3693489501904</v>
      </c>
      <c r="G75" s="62">
        <f t="shared" si="66"/>
        <v>1352.4562297371517</v>
      </c>
      <c r="H75" s="62">
        <f t="shared" si="66"/>
        <v>1370.2342407587671</v>
      </c>
      <c r="I75" s="62">
        <f t="shared" si="66"/>
        <v>1393.6394190375158</v>
      </c>
      <c r="J75" s="62">
        <f t="shared" si="66"/>
        <v>1398.8404881688609</v>
      </c>
      <c r="K75" s="62">
        <f t="shared" si="66"/>
        <v>1409.6587244437969</v>
      </c>
      <c r="L75" s="62">
        <f t="shared" si="66"/>
        <v>1469.3587687780175</v>
      </c>
      <c r="M75" s="62">
        <f t="shared" si="66"/>
        <v>1441.602252815168</v>
      </c>
      <c r="N75" s="62">
        <f t="shared" si="66"/>
        <v>1459.2943448867502</v>
      </c>
      <c r="O75" s="62">
        <f t="shared" si="66"/>
        <v>1477.5706655036777</v>
      </c>
      <c r="P75" s="62">
        <f t="shared" si="66"/>
        <v>1538.0329553475642</v>
      </c>
      <c r="Q75" s="62">
        <f t="shared" si="66"/>
        <v>1553.1183634419835</v>
      </c>
      <c r="R75" s="62">
        <f t="shared" si="66"/>
        <v>1553.5723309586936</v>
      </c>
      <c r="S75" s="62">
        <f t="shared" si="66"/>
        <v>1585.8225399037765</v>
      </c>
      <c r="T75" s="62">
        <f t="shared" si="66"/>
        <v>1590.036613869242</v>
      </c>
      <c r="U75" s="62">
        <f t="shared" si="66"/>
        <v>1594.9777527571327</v>
      </c>
      <c r="V75" s="62">
        <f t="shared" si="66"/>
        <v>1816.047478754632</v>
      </c>
      <c r="W75" s="62">
        <f t="shared" ref="W75:Y75" si="67">IF(W13=0,0,W13*1000000/W23)</f>
        <v>1991.3135642088273</v>
      </c>
      <c r="X75" s="62">
        <f t="shared" si="67"/>
        <v>1867.667254144545</v>
      </c>
      <c r="Y75" s="62">
        <f t="shared" si="67"/>
        <v>1873.7151382190627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1183.9323757094269</v>
      </c>
      <c r="C76" s="14">
        <f t="shared" si="65"/>
        <v>1214.320333588983</v>
      </c>
      <c r="D76" s="14">
        <f t="shared" ref="D76:V76" si="68">IF(D14=0,0,D14*1000000/D24)</f>
        <v>1235.0957587105349</v>
      </c>
      <c r="E76" s="14">
        <f t="shared" si="68"/>
        <v>1211.5187783570204</v>
      </c>
      <c r="F76" s="14">
        <f t="shared" si="68"/>
        <v>1252.9070733121807</v>
      </c>
      <c r="G76" s="14">
        <f t="shared" si="68"/>
        <v>1272.5675477597053</v>
      </c>
      <c r="H76" s="14">
        <f t="shared" si="68"/>
        <v>1284.681002865758</v>
      </c>
      <c r="I76" s="14">
        <f t="shared" si="68"/>
        <v>1305.7246802766881</v>
      </c>
      <c r="J76" s="14">
        <f t="shared" si="68"/>
        <v>1313.7372591761848</v>
      </c>
      <c r="K76" s="14">
        <f t="shared" si="68"/>
        <v>1334.0285738258597</v>
      </c>
      <c r="L76" s="14">
        <f t="shared" si="68"/>
        <v>1368.3627958004636</v>
      </c>
      <c r="M76" s="14">
        <f t="shared" si="68"/>
        <v>1337.2854209846978</v>
      </c>
      <c r="N76" s="14">
        <f t="shared" si="68"/>
        <v>1366.6922108083627</v>
      </c>
      <c r="O76" s="14">
        <f t="shared" si="68"/>
        <v>1382.8171081265646</v>
      </c>
      <c r="P76" s="14">
        <f t="shared" si="68"/>
        <v>1453.2449155813933</v>
      </c>
      <c r="Q76" s="14">
        <f t="shared" si="68"/>
        <v>1468.1207551398395</v>
      </c>
      <c r="R76" s="14">
        <f t="shared" si="68"/>
        <v>1471.828117334381</v>
      </c>
      <c r="S76" s="14">
        <f t="shared" si="68"/>
        <v>1502.6475005609234</v>
      </c>
      <c r="T76" s="14">
        <f t="shared" si="68"/>
        <v>1511.4279117271242</v>
      </c>
      <c r="U76" s="14">
        <f t="shared" si="68"/>
        <v>1519.4405905760179</v>
      </c>
      <c r="V76" s="14">
        <f t="shared" si="68"/>
        <v>1555.2986420293216</v>
      </c>
      <c r="W76" s="14">
        <f t="shared" ref="W76:Y76" si="69">IF(W14=0,0,W14*1000000/W24)</f>
        <v>1764.7861071205509</v>
      </c>
      <c r="X76" s="14">
        <f t="shared" si="69"/>
        <v>1714.7467817245736</v>
      </c>
      <c r="Y76" s="14">
        <f t="shared" si="69"/>
        <v>1745.329142864133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472.23263450498894</v>
      </c>
      <c r="C77" s="39">
        <f t="shared" si="65"/>
        <v>472.23263450498894</v>
      </c>
      <c r="D77" s="39">
        <f t="shared" ref="D77:V77" si="70">IF(D15=0,0,D15*1000000/D25)</f>
        <v>472.23263450498888</v>
      </c>
      <c r="E77" s="39">
        <f t="shared" si="70"/>
        <v>472.23263450498888</v>
      </c>
      <c r="F77" s="39">
        <f t="shared" si="70"/>
        <v>472.23263450498894</v>
      </c>
      <c r="G77" s="39">
        <f t="shared" si="70"/>
        <v>471.53510960106593</v>
      </c>
      <c r="H77" s="39">
        <f t="shared" si="70"/>
        <v>482.85720227109067</v>
      </c>
      <c r="I77" s="39">
        <f t="shared" si="70"/>
        <v>489.04137017840469</v>
      </c>
      <c r="J77" s="39">
        <f t="shared" si="70"/>
        <v>482.26778560963305</v>
      </c>
      <c r="K77" s="39">
        <f t="shared" si="70"/>
        <v>484.28647526154589</v>
      </c>
      <c r="L77" s="39">
        <f t="shared" si="70"/>
        <v>480.70842274859689</v>
      </c>
      <c r="M77" s="39">
        <f t="shared" si="70"/>
        <v>472.07893798763087</v>
      </c>
      <c r="N77" s="39">
        <f t="shared" si="70"/>
        <v>472.30414576790844</v>
      </c>
      <c r="O77" s="39">
        <f t="shared" si="70"/>
        <v>469.70037848406486</v>
      </c>
      <c r="P77" s="39">
        <f t="shared" si="70"/>
        <v>471.76536966805293</v>
      </c>
      <c r="Q77" s="39">
        <f t="shared" si="70"/>
        <v>471.18810301789898</v>
      </c>
      <c r="R77" s="39">
        <f t="shared" si="70"/>
        <v>476.19932459421671</v>
      </c>
      <c r="S77" s="39">
        <f t="shared" si="70"/>
        <v>474.07326943932566</v>
      </c>
      <c r="T77" s="39">
        <f t="shared" si="70"/>
        <v>475.68689753367266</v>
      </c>
      <c r="U77" s="39">
        <f t="shared" si="70"/>
        <v>478.91275654121239</v>
      </c>
      <c r="V77" s="39">
        <f t="shared" si="70"/>
        <v>481.9455004283102</v>
      </c>
      <c r="W77" s="39">
        <f t="shared" ref="W77:Y77" si="71">IF(W15=0,0,W15*1000000/W25)</f>
        <v>482.5574039782569</v>
      </c>
      <c r="X77" s="39">
        <f t="shared" si="71"/>
        <v>475.1706881627353</v>
      </c>
      <c r="Y77" s="39">
        <f t="shared" si="71"/>
        <v>467.90012491576402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987.45979263583615</v>
      </c>
      <c r="C78" s="39">
        <f t="shared" si="65"/>
        <v>989.81007049077527</v>
      </c>
      <c r="D78" s="39">
        <f t="shared" ref="D78:V78" si="72">IF(D16=0,0,D16*1000000/D26)</f>
        <v>993.73465411233587</v>
      </c>
      <c r="E78" s="39">
        <f t="shared" si="72"/>
        <v>993.50030706249117</v>
      </c>
      <c r="F78" s="39">
        <f t="shared" si="72"/>
        <v>999.07738558126755</v>
      </c>
      <c r="G78" s="39">
        <f t="shared" si="72"/>
        <v>1000.9268797221677</v>
      </c>
      <c r="H78" s="39">
        <f t="shared" si="72"/>
        <v>996.4539316898622</v>
      </c>
      <c r="I78" s="39">
        <f t="shared" si="72"/>
        <v>1004.6814166523968</v>
      </c>
      <c r="J78" s="39">
        <f t="shared" si="72"/>
        <v>995.94639268896117</v>
      </c>
      <c r="K78" s="39">
        <f t="shared" si="72"/>
        <v>992.36099070397688</v>
      </c>
      <c r="L78" s="39">
        <f t="shared" si="72"/>
        <v>1004.3374794819905</v>
      </c>
      <c r="M78" s="39">
        <f t="shared" si="72"/>
        <v>1001.7998592650529</v>
      </c>
      <c r="N78" s="39">
        <f t="shared" si="72"/>
        <v>998.715592648099</v>
      </c>
      <c r="O78" s="39">
        <f t="shared" si="72"/>
        <v>1009.1120733280368</v>
      </c>
      <c r="P78" s="39">
        <f t="shared" si="72"/>
        <v>1034.2134227078334</v>
      </c>
      <c r="Q78" s="39">
        <f t="shared" si="72"/>
        <v>1035.2664288216408</v>
      </c>
      <c r="R78" s="39">
        <f t="shared" si="72"/>
        <v>1064.6524303707813</v>
      </c>
      <c r="S78" s="39">
        <f t="shared" si="72"/>
        <v>1091.9606201696238</v>
      </c>
      <c r="T78" s="39">
        <f t="shared" si="72"/>
        <v>1110.3715386111191</v>
      </c>
      <c r="U78" s="39">
        <f t="shared" si="72"/>
        <v>1089.0422029691522</v>
      </c>
      <c r="V78" s="39">
        <f t="shared" si="72"/>
        <v>1133.6395498954657</v>
      </c>
      <c r="W78" s="39">
        <f t="shared" ref="W78:Y78" si="73">IF(W16=0,0,W16*1000000/W26)</f>
        <v>1249.4285477843955</v>
      </c>
      <c r="X78" s="39">
        <f t="shared" si="73"/>
        <v>1192.8553046894458</v>
      </c>
      <c r="Y78" s="39">
        <f t="shared" si="73"/>
        <v>1168.9729632935675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4482.6360409882482</v>
      </c>
      <c r="C79" s="39">
        <f t="shared" si="65"/>
        <v>4482.6360409882482</v>
      </c>
      <c r="D79" s="39">
        <f t="shared" ref="D79:V79" si="74">IF(D17=0,0,D17*1000000/D27)</f>
        <v>4482.6360409882482</v>
      </c>
      <c r="E79" s="39">
        <f t="shared" si="74"/>
        <v>4482.6360409882482</v>
      </c>
      <c r="F79" s="39">
        <f t="shared" si="74"/>
        <v>4482.6360409882482</v>
      </c>
      <c r="G79" s="39">
        <f t="shared" si="74"/>
        <v>4513.4292065877635</v>
      </c>
      <c r="H79" s="39">
        <f t="shared" si="74"/>
        <v>4527.0803990234726</v>
      </c>
      <c r="I79" s="39">
        <f t="shared" si="74"/>
        <v>4435.0475003950978</v>
      </c>
      <c r="J79" s="39">
        <f t="shared" si="74"/>
        <v>4374.164904783398</v>
      </c>
      <c r="K79" s="39">
        <f t="shared" si="74"/>
        <v>4302.7206698595301</v>
      </c>
      <c r="L79" s="39">
        <f t="shared" si="74"/>
        <v>4268.4753666670958</v>
      </c>
      <c r="M79" s="39">
        <f t="shared" si="74"/>
        <v>4298.1552877729728</v>
      </c>
      <c r="N79" s="39">
        <f t="shared" si="74"/>
        <v>4230.3519893710409</v>
      </c>
      <c r="O79" s="39">
        <f t="shared" si="74"/>
        <v>4174.7060063219342</v>
      </c>
      <c r="P79" s="39">
        <f t="shared" si="74"/>
        <v>4168.5716631107198</v>
      </c>
      <c r="Q79" s="39">
        <f t="shared" si="74"/>
        <v>4185.7946256532159</v>
      </c>
      <c r="R79" s="39">
        <f t="shared" si="74"/>
        <v>4326.0021038793184</v>
      </c>
      <c r="S79" s="39">
        <f t="shared" si="74"/>
        <v>4302.4943541282764</v>
      </c>
      <c r="T79" s="39">
        <f t="shared" si="74"/>
        <v>4158.4857824977362</v>
      </c>
      <c r="U79" s="39">
        <f t="shared" si="74"/>
        <v>4124.7380705719852</v>
      </c>
      <c r="V79" s="39">
        <f t="shared" si="74"/>
        <v>4305.4631726851194</v>
      </c>
      <c r="W79" s="39">
        <f t="shared" ref="W79:Y79" si="75">IF(W17=0,0,W17*1000000/W27)</f>
        <v>3992.5120046985917</v>
      </c>
      <c r="X79" s="39">
        <f t="shared" si="75"/>
        <v>4158.8084392051751</v>
      </c>
      <c r="Y79" s="39">
        <f t="shared" si="75"/>
        <v>4230.2857289589747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2005.0691580282182</v>
      </c>
      <c r="C80" s="15">
        <f t="shared" si="65"/>
        <v>2004.980712844362</v>
      </c>
      <c r="D80" s="15">
        <f t="shared" ref="D80:V80" si="76">IF(D18=0,0,D18*1000000/D28)</f>
        <v>2124.4311627258899</v>
      </c>
      <c r="E80" s="15">
        <f t="shared" si="76"/>
        <v>2355.5672024887676</v>
      </c>
      <c r="F80" s="15">
        <f t="shared" si="76"/>
        <v>2394.625852996247</v>
      </c>
      <c r="G80" s="15">
        <f t="shared" si="76"/>
        <v>2579.978792711212</v>
      </c>
      <c r="H80" s="15">
        <f t="shared" si="76"/>
        <v>2591.6127178800261</v>
      </c>
      <c r="I80" s="15">
        <f t="shared" si="76"/>
        <v>2610.4462387016324</v>
      </c>
      <c r="J80" s="15">
        <f t="shared" si="76"/>
        <v>2458.9148960911248</v>
      </c>
      <c r="K80" s="15">
        <f t="shared" si="76"/>
        <v>2372.117017872592</v>
      </c>
      <c r="L80" s="15">
        <f t="shared" si="76"/>
        <v>2659.1967685401228</v>
      </c>
      <c r="M80" s="15">
        <f t="shared" si="76"/>
        <v>2772.4190525289314</v>
      </c>
      <c r="N80" s="15">
        <f t="shared" si="76"/>
        <v>2699.2008893377269</v>
      </c>
      <c r="O80" s="15">
        <f t="shared" si="76"/>
        <v>2717.1633663452762</v>
      </c>
      <c r="P80" s="15">
        <f t="shared" si="76"/>
        <v>2686.8157401877879</v>
      </c>
      <c r="Q80" s="15">
        <f t="shared" si="76"/>
        <v>2691.8314084844196</v>
      </c>
      <c r="R80" s="15">
        <f t="shared" si="76"/>
        <v>2755.6690932784031</v>
      </c>
      <c r="S80" s="15">
        <f t="shared" si="76"/>
        <v>2699.3549853524787</v>
      </c>
      <c r="T80" s="15">
        <f t="shared" si="76"/>
        <v>2664.61545448992</v>
      </c>
      <c r="U80" s="15">
        <f t="shared" si="76"/>
        <v>2697.4991231599797</v>
      </c>
      <c r="V80" s="15">
        <f t="shared" si="76"/>
        <v>2901.7485447149024</v>
      </c>
      <c r="W80" s="15">
        <f t="shared" ref="W80:Y80" si="77">IF(W18=0,0,W18*1000000/W28)</f>
        <v>2910.2112328814328</v>
      </c>
      <c r="X80" s="15">
        <f t="shared" si="77"/>
        <v>3059.28897398957</v>
      </c>
      <c r="Y80" s="15">
        <f t="shared" si="77"/>
        <v>3092.4906535266809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412.66577339400044</v>
      </c>
      <c r="C81" s="41">
        <f t="shared" si="65"/>
        <v>412.66577339400044</v>
      </c>
      <c r="D81" s="41">
        <f t="shared" ref="D81:V81" si="78">IF(D19=0,0,D19*1000000/D29)</f>
        <v>412.66577339400044</v>
      </c>
      <c r="E81" s="41">
        <f t="shared" si="78"/>
        <v>412.66577339400044</v>
      </c>
      <c r="F81" s="41">
        <f t="shared" si="78"/>
        <v>412.66577339400044</v>
      </c>
      <c r="G81" s="41">
        <f t="shared" si="78"/>
        <v>411.9682484900776</v>
      </c>
      <c r="H81" s="41">
        <f t="shared" si="78"/>
        <v>420.83605435862398</v>
      </c>
      <c r="I81" s="41">
        <f t="shared" si="78"/>
        <v>424.56593546445981</v>
      </c>
      <c r="J81" s="41">
        <f t="shared" si="78"/>
        <v>415.33806409420981</v>
      </c>
      <c r="K81" s="41">
        <f t="shared" si="78"/>
        <v>414.90246694464452</v>
      </c>
      <c r="L81" s="41">
        <f t="shared" si="78"/>
        <v>408.87012763021738</v>
      </c>
      <c r="M81" s="41">
        <f t="shared" si="78"/>
        <v>390.64929555867127</v>
      </c>
      <c r="N81" s="41">
        <f t="shared" si="78"/>
        <v>381.28315602836881</v>
      </c>
      <c r="O81" s="41">
        <f t="shared" si="78"/>
        <v>381.78508328196205</v>
      </c>
      <c r="P81" s="41">
        <f t="shared" si="78"/>
        <v>386.95576900338722</v>
      </c>
      <c r="Q81" s="41">
        <f t="shared" si="78"/>
        <v>389.4841968906702</v>
      </c>
      <c r="R81" s="41">
        <f t="shared" si="78"/>
        <v>397.6011130044248</v>
      </c>
      <c r="S81" s="41">
        <f t="shared" si="78"/>
        <v>398.58075238697063</v>
      </c>
      <c r="T81" s="41">
        <f t="shared" si="78"/>
        <v>403.30007501875463</v>
      </c>
      <c r="U81" s="41">
        <f t="shared" si="78"/>
        <v>404.87003879438976</v>
      </c>
      <c r="V81" s="41">
        <f t="shared" si="78"/>
        <v>399.04563233376791</v>
      </c>
      <c r="W81" s="41">
        <f t="shared" ref="W81:Y81" si="79">IF(W19=0,0,W19*1000000/W29)</f>
        <v>396.15324827687346</v>
      </c>
      <c r="X81" s="41">
        <f t="shared" si="79"/>
        <v>408.46950307462191</v>
      </c>
      <c r="Y81" s="41">
        <f t="shared" si="79"/>
        <v>414.19007888349518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799.76767381369541</v>
      </c>
      <c r="C82" s="41">
        <f t="shared" si="65"/>
        <v>805.46384213369492</v>
      </c>
      <c r="D82" s="41">
        <f t="shared" ref="D82:V82" si="80">IF(D20=0,0,D20*1000000/D30)</f>
        <v>800.92078451248358</v>
      </c>
      <c r="E82" s="41">
        <f t="shared" si="80"/>
        <v>800.13218179991327</v>
      </c>
      <c r="F82" s="41">
        <f t="shared" si="80"/>
        <v>801.55264021542496</v>
      </c>
      <c r="G82" s="41">
        <f t="shared" si="80"/>
        <v>804.15577555031666</v>
      </c>
      <c r="H82" s="41">
        <f t="shared" si="80"/>
        <v>813.08195680185565</v>
      </c>
      <c r="I82" s="41">
        <f t="shared" si="80"/>
        <v>834.10761140092666</v>
      </c>
      <c r="J82" s="41">
        <f t="shared" si="80"/>
        <v>848.43423325285892</v>
      </c>
      <c r="K82" s="41">
        <f t="shared" si="80"/>
        <v>870.14852805426233</v>
      </c>
      <c r="L82" s="41">
        <f t="shared" si="80"/>
        <v>907.86172189861679</v>
      </c>
      <c r="M82" s="41">
        <f t="shared" si="80"/>
        <v>903.50479532711631</v>
      </c>
      <c r="N82" s="41">
        <f t="shared" si="80"/>
        <v>892.92335544853677</v>
      </c>
      <c r="O82" s="41">
        <f t="shared" si="80"/>
        <v>886.95706525626338</v>
      </c>
      <c r="P82" s="41">
        <f t="shared" si="80"/>
        <v>886.4966235094447</v>
      </c>
      <c r="Q82" s="41">
        <f t="shared" si="80"/>
        <v>868.71828948075245</v>
      </c>
      <c r="R82" s="41">
        <f t="shared" si="80"/>
        <v>880.55677256176079</v>
      </c>
      <c r="S82" s="41">
        <f t="shared" si="80"/>
        <v>889.69471678091611</v>
      </c>
      <c r="T82" s="41">
        <f t="shared" si="80"/>
        <v>889.35140844026785</v>
      </c>
      <c r="U82" s="41">
        <f t="shared" si="80"/>
        <v>898.12551158838926</v>
      </c>
      <c r="V82" s="41">
        <f t="shared" si="80"/>
        <v>878.48864475611049</v>
      </c>
      <c r="W82" s="41">
        <f t="shared" ref="W82:Y82" si="81">IF(W20=0,0,W20*1000000/W30)</f>
        <v>902.04223614522414</v>
      </c>
      <c r="X82" s="41">
        <f t="shared" si="81"/>
        <v>933.92208447718281</v>
      </c>
      <c r="Y82" s="41">
        <f t="shared" si="81"/>
        <v>950.93832737956359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5509.4878320678099</v>
      </c>
      <c r="C83" s="40">
        <f t="shared" si="65"/>
        <v>5509.4878320678099</v>
      </c>
      <c r="D83" s="40">
        <f t="shared" ref="D83:V83" si="82">IF(D21=0,0,D21*1000000/D31)</f>
        <v>5509.4878320678099</v>
      </c>
      <c r="E83" s="40">
        <f t="shared" si="82"/>
        <v>5509.4878320678099</v>
      </c>
      <c r="F83" s="40">
        <f t="shared" si="82"/>
        <v>5509.4878320678099</v>
      </c>
      <c r="G83" s="40">
        <f t="shared" si="82"/>
        <v>5540.2809976673252</v>
      </c>
      <c r="H83" s="40">
        <f t="shared" si="82"/>
        <v>5620.2305528883844</v>
      </c>
      <c r="I83" s="40">
        <f t="shared" si="82"/>
        <v>5594.4960170453605</v>
      </c>
      <c r="J83" s="40">
        <f t="shared" si="82"/>
        <v>5599.9117842190117</v>
      </c>
      <c r="K83" s="40">
        <f t="shared" si="82"/>
        <v>5594.7659120804956</v>
      </c>
      <c r="L83" s="40">
        <f t="shared" si="82"/>
        <v>5626.8189716734123</v>
      </c>
      <c r="M83" s="40">
        <f t="shared" si="82"/>
        <v>5747.1508202265168</v>
      </c>
      <c r="N83" s="40">
        <f t="shared" si="82"/>
        <v>5769.9994492718142</v>
      </c>
      <c r="O83" s="40">
        <f t="shared" si="82"/>
        <v>5804.9264600964516</v>
      </c>
      <c r="P83" s="40">
        <f t="shared" si="82"/>
        <v>5889.3651107589794</v>
      </c>
      <c r="Q83" s="40">
        <f t="shared" si="82"/>
        <v>5997.1610671752178</v>
      </c>
      <c r="R83" s="40">
        <f t="shared" si="82"/>
        <v>6227.9415392750634</v>
      </c>
      <c r="S83" s="40">
        <f t="shared" si="82"/>
        <v>6295.0067833977628</v>
      </c>
      <c r="T83" s="40">
        <f t="shared" si="82"/>
        <v>6241.5712056409666</v>
      </c>
      <c r="U83" s="40">
        <f t="shared" si="82"/>
        <v>6372.9478741154135</v>
      </c>
      <c r="V83" s="40">
        <f t="shared" si="82"/>
        <v>6193.5251746064841</v>
      </c>
      <c r="W83" s="40">
        <f t="shared" ref="W83:Y83" si="83">IF(W21=0,0,W21*1000000/W31)</f>
        <v>6324.4802602826203</v>
      </c>
      <c r="X83" s="40">
        <f t="shared" si="83"/>
        <v>7000.5272009864366</v>
      </c>
      <c r="Y83" s="40">
        <f t="shared" si="83"/>
        <v>7136.3058300395251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168325.74075960336</v>
      </c>
      <c r="C86" s="11">
        <f t="shared" si="84"/>
        <v>174162.70891568542</v>
      </c>
      <c r="D86" s="11">
        <f t="shared" ref="D86:V86" si="85">IF(D4=0,0,D4*1000000/D24)</f>
        <v>175237.66194120533</v>
      </c>
      <c r="E86" s="11">
        <f t="shared" si="85"/>
        <v>171617.34733138181</v>
      </c>
      <c r="F86" s="11">
        <f t="shared" si="85"/>
        <v>182974.00575063907</v>
      </c>
      <c r="G86" s="11">
        <f t="shared" si="85"/>
        <v>187531.43115344201</v>
      </c>
      <c r="H86" s="11">
        <f t="shared" si="85"/>
        <v>185895.98898546703</v>
      </c>
      <c r="I86" s="11">
        <f t="shared" si="85"/>
        <v>187427.48764336263</v>
      </c>
      <c r="J86" s="11">
        <f t="shared" si="85"/>
        <v>186527.44218769966</v>
      </c>
      <c r="K86" s="11">
        <f t="shared" si="85"/>
        <v>191993.97257833355</v>
      </c>
      <c r="L86" s="11">
        <f t="shared" si="85"/>
        <v>206095.22975220095</v>
      </c>
      <c r="M86" s="11">
        <f t="shared" si="85"/>
        <v>198361.72881054386</v>
      </c>
      <c r="N86" s="11">
        <f t="shared" si="85"/>
        <v>207937.83569352227</v>
      </c>
      <c r="O86" s="11">
        <f t="shared" si="85"/>
        <v>218999.87933965196</v>
      </c>
      <c r="P86" s="11">
        <f t="shared" si="85"/>
        <v>236019.72989863131</v>
      </c>
      <c r="Q86" s="11">
        <f t="shared" si="85"/>
        <v>243381.05146244291</v>
      </c>
      <c r="R86" s="11">
        <f t="shared" si="85"/>
        <v>245672.81647709667</v>
      </c>
      <c r="S86" s="11">
        <f t="shared" si="85"/>
        <v>256372.95527945715</v>
      </c>
      <c r="T86" s="11">
        <f t="shared" si="85"/>
        <v>256554.1514225452</v>
      </c>
      <c r="U86" s="11">
        <f t="shared" si="85"/>
        <v>263399.59494800027</v>
      </c>
      <c r="V86" s="11">
        <f t="shared" si="85"/>
        <v>206330.66351828544</v>
      </c>
      <c r="W86" s="11">
        <f t="shared" ref="W86:Y86" si="86">IF(W4=0,0,W4*1000000/W24)</f>
        <v>233042.19901459274</v>
      </c>
      <c r="X86" s="11">
        <f t="shared" si="86"/>
        <v>286913.54895815224</v>
      </c>
      <c r="Y86" s="11">
        <f t="shared" si="86"/>
        <v>320248.52001364803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33391.986493902601</v>
      </c>
      <c r="C87" s="36">
        <f t="shared" si="84"/>
        <v>33705.336679422886</v>
      </c>
      <c r="D87" s="36">
        <f t="shared" ref="D87:V87" si="87">IF(D5=0,0,D5*1000000/D25)</f>
        <v>33758.43315848284</v>
      </c>
      <c r="E87" s="36">
        <f t="shared" si="87"/>
        <v>33850.9864760399</v>
      </c>
      <c r="F87" s="36">
        <f t="shared" si="87"/>
        <v>33539.755669132406</v>
      </c>
      <c r="G87" s="36">
        <f t="shared" si="87"/>
        <v>33789.674176564542</v>
      </c>
      <c r="H87" s="36">
        <f t="shared" si="87"/>
        <v>35511.82456474549</v>
      </c>
      <c r="I87" s="36">
        <f t="shared" si="87"/>
        <v>37719.124153573153</v>
      </c>
      <c r="J87" s="36">
        <f t="shared" si="87"/>
        <v>38569.388975478752</v>
      </c>
      <c r="K87" s="36">
        <f t="shared" si="87"/>
        <v>40102.153004821237</v>
      </c>
      <c r="L87" s="36">
        <f t="shared" si="87"/>
        <v>41356.936486848033</v>
      </c>
      <c r="M87" s="36">
        <f t="shared" si="87"/>
        <v>34850.305717528725</v>
      </c>
      <c r="N87" s="36">
        <f t="shared" si="87"/>
        <v>35789.021578016014</v>
      </c>
      <c r="O87" s="36">
        <f t="shared" si="87"/>
        <v>37409.579161226749</v>
      </c>
      <c r="P87" s="36">
        <f t="shared" si="87"/>
        <v>45159.687699670452</v>
      </c>
      <c r="Q87" s="36">
        <f t="shared" si="87"/>
        <v>46756.540660395258</v>
      </c>
      <c r="R87" s="36">
        <f t="shared" si="87"/>
        <v>47984.300260818352</v>
      </c>
      <c r="S87" s="36">
        <f t="shared" si="87"/>
        <v>49742.823212873998</v>
      </c>
      <c r="T87" s="36">
        <f t="shared" si="87"/>
        <v>48141.999700728651</v>
      </c>
      <c r="U87" s="36">
        <f t="shared" si="87"/>
        <v>47302.394938242251</v>
      </c>
      <c r="V87" s="36">
        <f t="shared" si="87"/>
        <v>33133.015713154484</v>
      </c>
      <c r="W87" s="36">
        <f t="shared" ref="W87:Y87" si="88">IF(W5=0,0,W5*1000000/W25)</f>
        <v>34838.027571257458</v>
      </c>
      <c r="X87" s="36">
        <f t="shared" si="88"/>
        <v>40676.877648064627</v>
      </c>
      <c r="Y87" s="36">
        <f t="shared" si="88"/>
        <v>45216.587182683463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102918.3963813349</v>
      </c>
      <c r="C88" s="36">
        <f t="shared" si="84"/>
        <v>105276.31370343872</v>
      </c>
      <c r="D88" s="36">
        <f t="shared" ref="D88:V88" si="89">IF(D6=0,0,D6*1000000/D26)</f>
        <v>106444.9928646612</v>
      </c>
      <c r="E88" s="36">
        <f t="shared" si="89"/>
        <v>105466.36912952324</v>
      </c>
      <c r="F88" s="36">
        <f t="shared" si="89"/>
        <v>106928.47298534487</v>
      </c>
      <c r="G88" s="36">
        <f t="shared" si="89"/>
        <v>109251.20865352686</v>
      </c>
      <c r="H88" s="36">
        <f t="shared" si="89"/>
        <v>107260.17218149253</v>
      </c>
      <c r="I88" s="36">
        <f t="shared" si="89"/>
        <v>103660.14668096763</v>
      </c>
      <c r="J88" s="36">
        <f t="shared" si="89"/>
        <v>98704.707638880165</v>
      </c>
      <c r="K88" s="36">
        <f t="shared" si="89"/>
        <v>101247.62225283423</v>
      </c>
      <c r="L88" s="36">
        <f t="shared" si="89"/>
        <v>107270.31194571281</v>
      </c>
      <c r="M88" s="36">
        <f t="shared" si="89"/>
        <v>110063.921305282</v>
      </c>
      <c r="N88" s="36">
        <f t="shared" si="89"/>
        <v>113385.44059117064</v>
      </c>
      <c r="O88" s="36">
        <f t="shared" si="89"/>
        <v>119276.06082720991</v>
      </c>
      <c r="P88" s="36">
        <f t="shared" si="89"/>
        <v>125333.25572041819</v>
      </c>
      <c r="Q88" s="36">
        <f t="shared" si="89"/>
        <v>127091.52940337146</v>
      </c>
      <c r="R88" s="36">
        <f t="shared" si="89"/>
        <v>131955.28575453188</v>
      </c>
      <c r="S88" s="36">
        <f t="shared" si="89"/>
        <v>137947.88408743785</v>
      </c>
      <c r="T88" s="36">
        <f t="shared" si="89"/>
        <v>140975.97385073305</v>
      </c>
      <c r="U88" s="36">
        <f t="shared" si="89"/>
        <v>141436.87231236504</v>
      </c>
      <c r="V88" s="36">
        <f t="shared" si="89"/>
        <v>114833.92981002673</v>
      </c>
      <c r="W88" s="36">
        <f t="shared" ref="W88:Y88" si="90">IF(W6=0,0,W6*1000000/W26)</f>
        <v>142341.39415951815</v>
      </c>
      <c r="X88" s="36">
        <f t="shared" si="90"/>
        <v>154473.16082274012</v>
      </c>
      <c r="Y88" s="36">
        <f t="shared" si="90"/>
        <v>158560.36984018752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925859.50135726668</v>
      </c>
      <c r="C89" s="36">
        <f t="shared" si="84"/>
        <v>909823.67871883197</v>
      </c>
      <c r="D89" s="36">
        <f t="shared" ref="D89:V89" si="91">IF(D7=0,0,D7*1000000/D27)</f>
        <v>872946.70224241866</v>
      </c>
      <c r="E89" s="36">
        <f t="shared" si="91"/>
        <v>892537.12715969363</v>
      </c>
      <c r="F89" s="36">
        <f t="shared" si="91"/>
        <v>915429.33106295834</v>
      </c>
      <c r="G89" s="36">
        <f t="shared" si="91"/>
        <v>918051.68331799516</v>
      </c>
      <c r="H89" s="36">
        <f t="shared" si="91"/>
        <v>896701.46121917479</v>
      </c>
      <c r="I89" s="36">
        <f t="shared" si="91"/>
        <v>874693.15918557334</v>
      </c>
      <c r="J89" s="36">
        <f t="shared" si="91"/>
        <v>849886.85737379431</v>
      </c>
      <c r="K89" s="36">
        <f t="shared" si="91"/>
        <v>827111.28681022068</v>
      </c>
      <c r="L89" s="36">
        <f t="shared" si="91"/>
        <v>846452.8290641394</v>
      </c>
      <c r="M89" s="36">
        <f t="shared" si="91"/>
        <v>839470.02667229809</v>
      </c>
      <c r="N89" s="36">
        <f t="shared" si="91"/>
        <v>831984.74721730361</v>
      </c>
      <c r="O89" s="36">
        <f t="shared" si="91"/>
        <v>851713.68863721087</v>
      </c>
      <c r="P89" s="36">
        <f t="shared" si="91"/>
        <v>851972.042106551</v>
      </c>
      <c r="Q89" s="36">
        <f t="shared" si="91"/>
        <v>872516.33038671524</v>
      </c>
      <c r="R89" s="36">
        <f t="shared" si="91"/>
        <v>921713.61840726074</v>
      </c>
      <c r="S89" s="36">
        <f t="shared" si="91"/>
        <v>937833.43174960802</v>
      </c>
      <c r="T89" s="36">
        <f t="shared" si="91"/>
        <v>899257.58611434873</v>
      </c>
      <c r="U89" s="36">
        <f t="shared" si="91"/>
        <v>901090.40731268562</v>
      </c>
      <c r="V89" s="36">
        <f t="shared" si="91"/>
        <v>721711.28539295273</v>
      </c>
      <c r="W89" s="36">
        <f t="shared" ref="W89:Y89" si="92">IF(W7=0,0,W7*1000000/W27)</f>
        <v>604607.88390121679</v>
      </c>
      <c r="X89" s="36">
        <f t="shared" si="92"/>
        <v>852817.50503010186</v>
      </c>
      <c r="Y89" s="36">
        <f t="shared" si="92"/>
        <v>955164.50692494982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129679.14797798957</v>
      </c>
      <c r="C90" s="13">
        <f t="shared" si="84"/>
        <v>135648.20731818036</v>
      </c>
      <c r="D90" s="13">
        <f t="shared" ref="D90:V90" si="93">IF(D8=0,0,D8*1000000/D28)</f>
        <v>137835.1264732838</v>
      </c>
      <c r="E90" s="13">
        <f t="shared" si="93"/>
        <v>143246.43970340883</v>
      </c>
      <c r="F90" s="13">
        <f t="shared" si="93"/>
        <v>140769.96224053731</v>
      </c>
      <c r="G90" s="13">
        <f t="shared" si="93"/>
        <v>144984.80713598366</v>
      </c>
      <c r="H90" s="13">
        <f t="shared" si="93"/>
        <v>139457.46906359494</v>
      </c>
      <c r="I90" s="13">
        <f t="shared" si="93"/>
        <v>137749.37047193359</v>
      </c>
      <c r="J90" s="13">
        <f t="shared" si="93"/>
        <v>125125.0541684249</v>
      </c>
      <c r="K90" s="13">
        <f t="shared" si="93"/>
        <v>132942.83164530768</v>
      </c>
      <c r="L90" s="13">
        <f t="shared" si="93"/>
        <v>155429.02307170859</v>
      </c>
      <c r="M90" s="13">
        <f t="shared" si="93"/>
        <v>169886.76044494277</v>
      </c>
      <c r="N90" s="13">
        <f t="shared" si="93"/>
        <v>178370.34311446745</v>
      </c>
      <c r="O90" s="13">
        <f t="shared" si="93"/>
        <v>183348.02030361997</v>
      </c>
      <c r="P90" s="13">
        <f t="shared" si="93"/>
        <v>207058.91045595511</v>
      </c>
      <c r="Q90" s="13">
        <f t="shared" si="93"/>
        <v>207362.80935323777</v>
      </c>
      <c r="R90" s="13">
        <f t="shared" si="93"/>
        <v>232994.40138212193</v>
      </c>
      <c r="S90" s="13">
        <f t="shared" si="93"/>
        <v>222484.94335361011</v>
      </c>
      <c r="T90" s="13">
        <f t="shared" si="93"/>
        <v>221505.8278603162</v>
      </c>
      <c r="U90" s="13">
        <f t="shared" si="93"/>
        <v>233126.43696863076</v>
      </c>
      <c r="V90" s="13">
        <f t="shared" si="93"/>
        <v>178043.14805981668</v>
      </c>
      <c r="W90" s="13">
        <f t="shared" ref="W90:Y90" si="94">IF(W8=0,0,W8*1000000/W28)</f>
        <v>165605.22443425164</v>
      </c>
      <c r="X90" s="13">
        <f t="shared" si="94"/>
        <v>198817.43890517016</v>
      </c>
      <c r="Y90" s="13">
        <f t="shared" si="94"/>
        <v>214132.43977029619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4282.0372905348668</v>
      </c>
      <c r="C91" s="34">
        <f t="shared" si="84"/>
        <v>4249.3813759003533</v>
      </c>
      <c r="D91" s="34">
        <f t="shared" ref="D91:V91" si="95">IF(D9=0,0,D9*1000000/D29)</f>
        <v>4369.7579339603126</v>
      </c>
      <c r="E91" s="34">
        <f t="shared" si="95"/>
        <v>4648.0809936352853</v>
      </c>
      <c r="F91" s="34">
        <f t="shared" si="95"/>
        <v>4376.8805270549819</v>
      </c>
      <c r="G91" s="34">
        <f t="shared" si="95"/>
        <v>4276.1223667264849</v>
      </c>
      <c r="H91" s="34">
        <f t="shared" si="95"/>
        <v>4201.7033335936048</v>
      </c>
      <c r="I91" s="34">
        <f t="shared" si="95"/>
        <v>4223.2040717680247</v>
      </c>
      <c r="J91" s="34">
        <f t="shared" si="95"/>
        <v>3974.802447947442</v>
      </c>
      <c r="K91" s="34">
        <f t="shared" si="95"/>
        <v>4004.9294219919025</v>
      </c>
      <c r="L91" s="34">
        <f t="shared" si="95"/>
        <v>4221.2374028774766</v>
      </c>
      <c r="M91" s="34">
        <f t="shared" si="95"/>
        <v>4409.1441965932154</v>
      </c>
      <c r="N91" s="34">
        <f t="shared" si="95"/>
        <v>4420.7559607374651</v>
      </c>
      <c r="O91" s="34">
        <f t="shared" si="95"/>
        <v>4548.8901812963204</v>
      </c>
      <c r="P91" s="34">
        <f t="shared" si="95"/>
        <v>5117.1093919236819</v>
      </c>
      <c r="Q91" s="34">
        <f t="shared" si="95"/>
        <v>5286.2297995950057</v>
      </c>
      <c r="R91" s="34">
        <f t="shared" si="95"/>
        <v>6217.5665475524047</v>
      </c>
      <c r="S91" s="34">
        <f t="shared" si="95"/>
        <v>5738.0420339072007</v>
      </c>
      <c r="T91" s="34">
        <f t="shared" si="95"/>
        <v>5918.6449797670111</v>
      </c>
      <c r="U91" s="34">
        <f t="shared" si="95"/>
        <v>6551.9265684364855</v>
      </c>
      <c r="V91" s="34">
        <f t="shared" si="95"/>
        <v>5781.1473060495036</v>
      </c>
      <c r="W91" s="34">
        <f t="shared" ref="W91:Y91" si="96">IF(W9=0,0,W9*1000000/W29)</f>
        <v>5894.4510131345669</v>
      </c>
      <c r="X91" s="34">
        <f t="shared" si="96"/>
        <v>6190.5671112862092</v>
      </c>
      <c r="Y91" s="34">
        <f t="shared" si="96"/>
        <v>6273.5003929705999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21038.134557604193</v>
      </c>
      <c r="C92" s="34">
        <f t="shared" si="84"/>
        <v>22369.8079242682</v>
      </c>
      <c r="D92" s="34">
        <f t="shared" ref="D92:V92" si="97">IF(D10=0,0,D10*1000000/D30)</f>
        <v>20948.504172175784</v>
      </c>
      <c r="E92" s="34">
        <f t="shared" si="97"/>
        <v>21414.018340620991</v>
      </c>
      <c r="F92" s="34">
        <f t="shared" si="97"/>
        <v>19205.356436958853</v>
      </c>
      <c r="G92" s="34">
        <f t="shared" si="97"/>
        <v>18783.388658779615</v>
      </c>
      <c r="H92" s="34">
        <f t="shared" si="97"/>
        <v>16264.671746401484</v>
      </c>
      <c r="I92" s="34">
        <f t="shared" si="97"/>
        <v>16313.841373119691</v>
      </c>
      <c r="J92" s="34">
        <f t="shared" si="97"/>
        <v>16258.46011382773</v>
      </c>
      <c r="K92" s="34">
        <f t="shared" si="97"/>
        <v>17092.308503328979</v>
      </c>
      <c r="L92" s="34">
        <f t="shared" si="97"/>
        <v>18025.252613556269</v>
      </c>
      <c r="M92" s="34">
        <f t="shared" si="97"/>
        <v>18714.449921720457</v>
      </c>
      <c r="N92" s="34">
        <f t="shared" si="97"/>
        <v>20110.71655675257</v>
      </c>
      <c r="O92" s="34">
        <f t="shared" si="97"/>
        <v>19893.850216824831</v>
      </c>
      <c r="P92" s="34">
        <f t="shared" si="97"/>
        <v>22912.311281362909</v>
      </c>
      <c r="Q92" s="34">
        <f t="shared" si="97"/>
        <v>22077.824954575739</v>
      </c>
      <c r="R92" s="34">
        <f t="shared" si="97"/>
        <v>24375.218965257536</v>
      </c>
      <c r="S92" s="34">
        <f t="shared" si="97"/>
        <v>22418.939752514943</v>
      </c>
      <c r="T92" s="34">
        <f t="shared" si="97"/>
        <v>22592.292263135721</v>
      </c>
      <c r="U92" s="34">
        <f t="shared" si="97"/>
        <v>23964.18059864259</v>
      </c>
      <c r="V92" s="34">
        <f t="shared" si="97"/>
        <v>19924.555222712224</v>
      </c>
      <c r="W92" s="34">
        <f t="shared" ref="W92:Y92" si="98">IF(W10=0,0,W10*1000000/W30)</f>
        <v>20039.754315388691</v>
      </c>
      <c r="X92" s="34">
        <f t="shared" si="98"/>
        <v>20812.201174091315</v>
      </c>
      <c r="Y92" s="34">
        <f t="shared" si="98"/>
        <v>21168.911639734379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423031.26202474075</v>
      </c>
      <c r="C93" s="35">
        <f t="shared" si="84"/>
        <v>443303.16231558111</v>
      </c>
      <c r="D93" s="35">
        <f t="shared" ref="D93:V93" si="99">IF(D11=0,0,D11*1000000/D31)</f>
        <v>418557.43458308122</v>
      </c>
      <c r="E93" s="35">
        <f t="shared" si="99"/>
        <v>380312.61096921068</v>
      </c>
      <c r="F93" s="35">
        <f t="shared" si="99"/>
        <v>369122.93212332821</v>
      </c>
      <c r="G93" s="35">
        <f t="shared" si="99"/>
        <v>349072.19865300972</v>
      </c>
      <c r="H93" s="35">
        <f t="shared" si="99"/>
        <v>342320.74566226121</v>
      </c>
      <c r="I93" s="35">
        <f t="shared" si="99"/>
        <v>335068.83487925294</v>
      </c>
      <c r="J93" s="35">
        <f t="shared" si="99"/>
        <v>328635.66891191271</v>
      </c>
      <c r="K93" s="35">
        <f t="shared" si="99"/>
        <v>370295.17991129536</v>
      </c>
      <c r="L93" s="35">
        <f t="shared" si="99"/>
        <v>378593.482869445</v>
      </c>
      <c r="M93" s="35">
        <f t="shared" si="99"/>
        <v>400758.81554179249</v>
      </c>
      <c r="N93" s="35">
        <f t="shared" si="99"/>
        <v>436564.00520506105</v>
      </c>
      <c r="O93" s="35">
        <f t="shared" si="99"/>
        <v>448644.50499983173</v>
      </c>
      <c r="P93" s="35">
        <f t="shared" si="99"/>
        <v>522422.98157779407</v>
      </c>
      <c r="Q93" s="35">
        <f t="shared" si="99"/>
        <v>531755.19221080316</v>
      </c>
      <c r="R93" s="35">
        <f t="shared" si="99"/>
        <v>606321.51689061383</v>
      </c>
      <c r="S93" s="35">
        <f t="shared" si="99"/>
        <v>605318.76024312573</v>
      </c>
      <c r="T93" s="35">
        <f t="shared" si="99"/>
        <v>607714.40504486673</v>
      </c>
      <c r="U93" s="35">
        <f t="shared" si="99"/>
        <v>645632.24968089699</v>
      </c>
      <c r="V93" s="35">
        <f t="shared" si="99"/>
        <v>428934.94369706704</v>
      </c>
      <c r="W93" s="35">
        <f t="shared" ref="W93:Y93" si="100">IF(W11=0,0,W11*1000000/W31)</f>
        <v>407145.94128717651</v>
      </c>
      <c r="X93" s="35">
        <f t="shared" si="100"/>
        <v>520106.49952942791</v>
      </c>
      <c r="Y93" s="35">
        <f t="shared" si="100"/>
        <v>568105.71156009019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1170.3703890293523</v>
      </c>
      <c r="C95" s="62">
        <f t="shared" si="101"/>
        <v>1151.4129955502574</v>
      </c>
      <c r="D95" s="62">
        <f t="shared" ref="D95:V95" si="102">IF(D23=0,0,D23/D43)</f>
        <v>1131.5185857654619</v>
      </c>
      <c r="E95" s="62">
        <f t="shared" si="102"/>
        <v>1142.6905731963934</v>
      </c>
      <c r="F95" s="62">
        <f t="shared" si="102"/>
        <v>1116.2300513591467</v>
      </c>
      <c r="G95" s="62">
        <f t="shared" si="102"/>
        <v>1096.5227841665858</v>
      </c>
      <c r="H95" s="62">
        <f t="shared" si="102"/>
        <v>1085.4566954217494</v>
      </c>
      <c r="I95" s="62">
        <f t="shared" si="102"/>
        <v>1072.042204153285</v>
      </c>
      <c r="J95" s="62">
        <f t="shared" si="102"/>
        <v>1065.8930498166701</v>
      </c>
      <c r="K95" s="62">
        <f t="shared" si="102"/>
        <v>1046.5909285842404</v>
      </c>
      <c r="L95" s="62">
        <f t="shared" si="102"/>
        <v>1026.3997286161059</v>
      </c>
      <c r="M95" s="62">
        <f t="shared" si="102"/>
        <v>1042.2465874143058</v>
      </c>
      <c r="N95" s="62">
        <f t="shared" si="102"/>
        <v>1025.5688409504983</v>
      </c>
      <c r="O95" s="62">
        <f t="shared" si="102"/>
        <v>1020.332108560938</v>
      </c>
      <c r="P95" s="62">
        <f t="shared" si="102"/>
        <v>978.37645684138749</v>
      </c>
      <c r="Q95" s="62">
        <f t="shared" si="102"/>
        <v>985.73553604278902</v>
      </c>
      <c r="R95" s="62">
        <f t="shared" si="102"/>
        <v>991.66659654318187</v>
      </c>
      <c r="S95" s="62">
        <f t="shared" si="102"/>
        <v>978.23646280178707</v>
      </c>
      <c r="T95" s="62">
        <f t="shared" si="102"/>
        <v>977.32957295300241</v>
      </c>
      <c r="U95" s="62">
        <f t="shared" si="102"/>
        <v>973.26560014109543</v>
      </c>
      <c r="V95" s="62">
        <f t="shared" si="102"/>
        <v>389.73886751701184</v>
      </c>
      <c r="W95" s="62">
        <f t="shared" ref="W95:Y95" si="103">IF(W23=0,0,W23/W43)</f>
        <v>441.53094046872729</v>
      </c>
      <c r="X95" s="62">
        <f t="shared" si="103"/>
        <v>713.65219608207099</v>
      </c>
      <c r="Y95" s="62">
        <f t="shared" si="103"/>
        <v>810.14286937637871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1224.0400151728195</v>
      </c>
      <c r="C96" s="11">
        <f t="shared" si="104"/>
        <v>1201.7424884407915</v>
      </c>
      <c r="D96" s="11">
        <f t="shared" ref="D96:V96" si="105">IF(D24=0,0,D24/D44)</f>
        <v>1184.942994695248</v>
      </c>
      <c r="E96" s="11">
        <f t="shared" si="105"/>
        <v>1204.0337371608871</v>
      </c>
      <c r="F96" s="11">
        <f t="shared" si="105"/>
        <v>1175.4079045442775</v>
      </c>
      <c r="G96" s="11">
        <f t="shared" si="105"/>
        <v>1161.5409818842081</v>
      </c>
      <c r="H96" s="11">
        <f t="shared" si="105"/>
        <v>1153.8826265222251</v>
      </c>
      <c r="I96" s="11">
        <f t="shared" si="105"/>
        <v>1140.7574138184432</v>
      </c>
      <c r="J96" s="11">
        <f t="shared" si="105"/>
        <v>1133.8322637348094</v>
      </c>
      <c r="K96" s="11">
        <f t="shared" si="105"/>
        <v>1115.5648776375858</v>
      </c>
      <c r="L96" s="11">
        <f t="shared" si="105"/>
        <v>1098.2771608522153</v>
      </c>
      <c r="M96" s="11">
        <f t="shared" si="105"/>
        <v>1117.0580367363343</v>
      </c>
      <c r="N96" s="11">
        <f t="shared" si="105"/>
        <v>1097.1901930587655</v>
      </c>
      <c r="O96" s="11">
        <f t="shared" si="105"/>
        <v>1088.6810969623764</v>
      </c>
      <c r="P96" s="11">
        <f t="shared" si="105"/>
        <v>1040.6267170158515</v>
      </c>
      <c r="Q96" s="11">
        <f t="shared" si="105"/>
        <v>1042.5224080288274</v>
      </c>
      <c r="R96" s="11">
        <f t="shared" si="105"/>
        <v>1045.8542468723001</v>
      </c>
      <c r="S96" s="11">
        <f t="shared" si="105"/>
        <v>1032.8193627745411</v>
      </c>
      <c r="T96" s="11">
        <f t="shared" si="105"/>
        <v>1029.2132365762845</v>
      </c>
      <c r="U96" s="11">
        <f t="shared" si="105"/>
        <v>1021.8645037309822</v>
      </c>
      <c r="V96" s="11">
        <f t="shared" si="105"/>
        <v>364.73967967975875</v>
      </c>
      <c r="W96" s="11">
        <f t="shared" ref="W96:Y96" si="106">IF(W24=0,0,W24/W44)</f>
        <v>421.7043540241321</v>
      </c>
      <c r="X96" s="11">
        <f t="shared" si="106"/>
        <v>755.70008078489309</v>
      </c>
      <c r="Y96" s="11">
        <f t="shared" si="106"/>
        <v>878.56809498202949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2141</v>
      </c>
      <c r="C97" s="36">
        <f t="shared" si="104"/>
        <v>2141</v>
      </c>
      <c r="D97" s="36">
        <f t="shared" ref="D97:V97" si="107">IF(D25=0,0,D25/D45)</f>
        <v>2141</v>
      </c>
      <c r="E97" s="36">
        <f t="shared" si="107"/>
        <v>2141</v>
      </c>
      <c r="F97" s="36">
        <f t="shared" si="107"/>
        <v>2141</v>
      </c>
      <c r="G97" s="36">
        <f t="shared" si="107"/>
        <v>2142</v>
      </c>
      <c r="H97" s="36">
        <f t="shared" si="107"/>
        <v>2124</v>
      </c>
      <c r="I97" s="36">
        <f t="shared" si="107"/>
        <v>2115</v>
      </c>
      <c r="J97" s="36">
        <f t="shared" si="107"/>
        <v>2125</v>
      </c>
      <c r="K97" s="36">
        <f t="shared" si="107"/>
        <v>2122</v>
      </c>
      <c r="L97" s="36">
        <f t="shared" si="107"/>
        <v>2128</v>
      </c>
      <c r="M97" s="36">
        <f t="shared" si="107"/>
        <v>2141</v>
      </c>
      <c r="N97" s="36">
        <f t="shared" si="107"/>
        <v>2141</v>
      </c>
      <c r="O97" s="36">
        <f t="shared" si="107"/>
        <v>2145</v>
      </c>
      <c r="P97" s="36">
        <f t="shared" si="107"/>
        <v>1997.3047687942337</v>
      </c>
      <c r="Q97" s="36">
        <f t="shared" si="107"/>
        <v>2142</v>
      </c>
      <c r="R97" s="36">
        <f t="shared" si="107"/>
        <v>2135</v>
      </c>
      <c r="S97" s="36">
        <f t="shared" si="107"/>
        <v>2138</v>
      </c>
      <c r="T97" s="36">
        <f t="shared" si="107"/>
        <v>2135</v>
      </c>
      <c r="U97" s="36">
        <f t="shared" si="107"/>
        <v>2130</v>
      </c>
      <c r="V97" s="36">
        <f t="shared" si="107"/>
        <v>811.20786490998489</v>
      </c>
      <c r="W97" s="36">
        <f t="shared" ref="W97:Y97" si="108">IF(W25=0,0,W25/W45)</f>
        <v>684.8977464580779</v>
      </c>
      <c r="X97" s="36">
        <f t="shared" si="108"/>
        <v>1248.8758378986031</v>
      </c>
      <c r="Y97" s="36">
        <f t="shared" si="108"/>
        <v>1489.0961680952437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1416.472965965914</v>
      </c>
      <c r="C98" s="36">
        <f t="shared" si="104"/>
        <v>1414.9898919000932</v>
      </c>
      <c r="D98" s="36">
        <f t="shared" ref="D98:V98" si="109">IF(D26=0,0,D26/D46)</f>
        <v>1408.317391270773</v>
      </c>
      <c r="E98" s="36">
        <f t="shared" si="109"/>
        <v>1412.6592357146262</v>
      </c>
      <c r="F98" s="36">
        <f t="shared" si="109"/>
        <v>1409.1609305533118</v>
      </c>
      <c r="G98" s="36">
        <f t="shared" si="109"/>
        <v>1407.5964513800191</v>
      </c>
      <c r="H98" s="36">
        <f t="shared" si="109"/>
        <v>1410.5404143063963</v>
      </c>
      <c r="I98" s="36">
        <f t="shared" si="109"/>
        <v>1405.0092513922621</v>
      </c>
      <c r="J98" s="36">
        <f t="shared" si="109"/>
        <v>1411.0185005349356</v>
      </c>
      <c r="K98" s="36">
        <f t="shared" si="109"/>
        <v>1403.4092672391391</v>
      </c>
      <c r="L98" s="36">
        <f t="shared" si="109"/>
        <v>1405.3341273092749</v>
      </c>
      <c r="M98" s="36">
        <f t="shared" si="109"/>
        <v>1407.280102810618</v>
      </c>
      <c r="N98" s="36">
        <f t="shared" si="109"/>
        <v>1409.1516863401027</v>
      </c>
      <c r="O98" s="36">
        <f t="shared" si="109"/>
        <v>1402.6512878577532</v>
      </c>
      <c r="P98" s="36">
        <f t="shared" si="109"/>
        <v>1386.2480190954541</v>
      </c>
      <c r="Q98" s="36">
        <f t="shared" si="109"/>
        <v>1383.5617038090525</v>
      </c>
      <c r="R98" s="36">
        <f t="shared" si="109"/>
        <v>1367.5242403978066</v>
      </c>
      <c r="S98" s="36">
        <f t="shared" si="109"/>
        <v>1352.7533827953582</v>
      </c>
      <c r="T98" s="36">
        <f t="shared" si="109"/>
        <v>1342.5938682145422</v>
      </c>
      <c r="U98" s="36">
        <f t="shared" si="109"/>
        <v>1354.7370728279172</v>
      </c>
      <c r="V98" s="36">
        <f t="shared" si="109"/>
        <v>482.82285135762601</v>
      </c>
      <c r="W98" s="36">
        <f t="shared" ref="W98:Y98" si="110">IF(W26=0,0,W26/W46)</f>
        <v>580.89655258396942</v>
      </c>
      <c r="X98" s="36">
        <f t="shared" si="110"/>
        <v>1085.5955933219425</v>
      </c>
      <c r="Y98" s="36">
        <f t="shared" si="110"/>
        <v>1254.1990703174019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399</v>
      </c>
      <c r="C99" s="36">
        <f t="shared" si="104"/>
        <v>399</v>
      </c>
      <c r="D99" s="36">
        <f t="shared" ref="D99:V99" si="111">IF(D27=0,0,D27/D47)</f>
        <v>399.00000000000006</v>
      </c>
      <c r="E99" s="36">
        <f t="shared" si="111"/>
        <v>399</v>
      </c>
      <c r="F99" s="36">
        <f t="shared" si="111"/>
        <v>399</v>
      </c>
      <c r="G99" s="36">
        <f t="shared" si="111"/>
        <v>396.00000000000006</v>
      </c>
      <c r="H99" s="36">
        <f t="shared" si="111"/>
        <v>395.00000000000006</v>
      </c>
      <c r="I99" s="36">
        <f t="shared" si="111"/>
        <v>402</v>
      </c>
      <c r="J99" s="36">
        <f t="shared" si="111"/>
        <v>407</v>
      </c>
      <c r="K99" s="36">
        <f t="shared" si="111"/>
        <v>412</v>
      </c>
      <c r="L99" s="36">
        <f t="shared" si="111"/>
        <v>415</v>
      </c>
      <c r="M99" s="36">
        <f t="shared" si="111"/>
        <v>413</v>
      </c>
      <c r="N99" s="36">
        <f t="shared" si="111"/>
        <v>418</v>
      </c>
      <c r="O99" s="36">
        <f t="shared" si="111"/>
        <v>423</v>
      </c>
      <c r="P99" s="36">
        <f t="shared" si="111"/>
        <v>423</v>
      </c>
      <c r="Q99" s="36">
        <f t="shared" si="111"/>
        <v>422</v>
      </c>
      <c r="R99" s="36">
        <f t="shared" si="111"/>
        <v>410</v>
      </c>
      <c r="S99" s="36">
        <f t="shared" si="111"/>
        <v>412</v>
      </c>
      <c r="T99" s="36">
        <f t="shared" si="111"/>
        <v>424</v>
      </c>
      <c r="U99" s="36">
        <f t="shared" si="111"/>
        <v>427</v>
      </c>
      <c r="V99" s="36">
        <f t="shared" si="111"/>
        <v>146.0857941601968</v>
      </c>
      <c r="W99" s="36">
        <f t="shared" ref="W99:Y99" si="112">IF(W27=0,0,W27/W47)</f>
        <v>214.88721728548134</v>
      </c>
      <c r="X99" s="36">
        <f t="shared" si="112"/>
        <v>349.33803239765285</v>
      </c>
      <c r="Y99" s="36">
        <f t="shared" si="112"/>
        <v>418.00000000000006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694.89257310517951</v>
      </c>
      <c r="C100" s="13">
        <f t="shared" si="104"/>
        <v>693.81275294960426</v>
      </c>
      <c r="D100" s="13">
        <f t="shared" ref="D100:V100" si="113">IF(D28=0,0,D28/D48)</f>
        <v>667.75753856671133</v>
      </c>
      <c r="E100" s="13">
        <f t="shared" si="113"/>
        <v>615.40033648054941</v>
      </c>
      <c r="F100" s="13">
        <f t="shared" si="113"/>
        <v>619.53905144085763</v>
      </c>
      <c r="G100" s="13">
        <f t="shared" si="113"/>
        <v>589.49940332621986</v>
      </c>
      <c r="H100" s="13">
        <f t="shared" si="113"/>
        <v>587.81698781860575</v>
      </c>
      <c r="I100" s="13">
        <f t="shared" si="113"/>
        <v>584.62741765675162</v>
      </c>
      <c r="J100" s="13">
        <f t="shared" si="113"/>
        <v>610.34306735443829</v>
      </c>
      <c r="K100" s="13">
        <f t="shared" si="113"/>
        <v>585.72715464319458</v>
      </c>
      <c r="L100" s="13">
        <f t="shared" si="113"/>
        <v>579.55360747251689</v>
      </c>
      <c r="M100" s="13">
        <f t="shared" si="113"/>
        <v>562.04278545559612</v>
      </c>
      <c r="N100" s="13">
        <f t="shared" si="113"/>
        <v>547.25185855356347</v>
      </c>
      <c r="O100" s="13">
        <f t="shared" si="113"/>
        <v>560.21427491968188</v>
      </c>
      <c r="P100" s="13">
        <f t="shared" si="113"/>
        <v>540.39214727254011</v>
      </c>
      <c r="Q100" s="13">
        <f t="shared" si="113"/>
        <v>569.87387345080731</v>
      </c>
      <c r="R100" s="13">
        <f t="shared" si="113"/>
        <v>562.83170362885755</v>
      </c>
      <c r="S100" s="13">
        <f t="shared" si="113"/>
        <v>572.89713343530229</v>
      </c>
      <c r="T100" s="13">
        <f t="shared" si="113"/>
        <v>578.60385235029889</v>
      </c>
      <c r="U100" s="13">
        <f t="shared" si="113"/>
        <v>574.48273427994934</v>
      </c>
      <c r="V100" s="13">
        <f t="shared" si="113"/>
        <v>545.38280710145011</v>
      </c>
      <c r="W100" s="13">
        <f t="shared" ref="W100:Y100" si="114">IF(W28=0,0,W28/W48)</f>
        <v>545.58190803243212</v>
      </c>
      <c r="X100" s="13">
        <f t="shared" si="114"/>
        <v>497.81182735685462</v>
      </c>
      <c r="Y100" s="13">
        <f t="shared" si="114"/>
        <v>465.77480424967933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1373</v>
      </c>
      <c r="C101" s="34">
        <f t="shared" si="104"/>
        <v>1373</v>
      </c>
      <c r="D101" s="34">
        <f t="shared" ref="D101:V101" si="115">IF(D29=0,0,D29/D49)</f>
        <v>1373</v>
      </c>
      <c r="E101" s="34">
        <f t="shared" si="115"/>
        <v>1219.4664595862801</v>
      </c>
      <c r="F101" s="34">
        <f t="shared" si="115"/>
        <v>1373</v>
      </c>
      <c r="G101" s="34">
        <f t="shared" si="115"/>
        <v>1373</v>
      </c>
      <c r="H101" s="34">
        <f t="shared" si="115"/>
        <v>1367</v>
      </c>
      <c r="I101" s="34">
        <f t="shared" si="115"/>
        <v>1365</v>
      </c>
      <c r="J101" s="34">
        <f t="shared" si="115"/>
        <v>1371</v>
      </c>
      <c r="K101" s="34">
        <f t="shared" si="115"/>
        <v>1330.4415182464193</v>
      </c>
      <c r="L101" s="34">
        <f t="shared" si="115"/>
        <v>1375</v>
      </c>
      <c r="M101" s="34">
        <f t="shared" si="115"/>
        <v>1387</v>
      </c>
      <c r="N101" s="34">
        <f t="shared" si="115"/>
        <v>1394</v>
      </c>
      <c r="O101" s="34">
        <f t="shared" si="115"/>
        <v>1394</v>
      </c>
      <c r="P101" s="34">
        <f t="shared" si="115"/>
        <v>1390</v>
      </c>
      <c r="Q101" s="34">
        <f t="shared" si="115"/>
        <v>1388</v>
      </c>
      <c r="R101" s="34">
        <f t="shared" si="115"/>
        <v>1383</v>
      </c>
      <c r="S101" s="34">
        <f t="shared" si="115"/>
        <v>1382</v>
      </c>
      <c r="T101" s="34">
        <f t="shared" si="115"/>
        <v>1379</v>
      </c>
      <c r="U101" s="34">
        <f t="shared" si="115"/>
        <v>1378</v>
      </c>
      <c r="V101" s="34">
        <f t="shared" si="115"/>
        <v>1382</v>
      </c>
      <c r="W101" s="34">
        <f t="shared" ref="W101:Y101" si="116">IF(W29=0,0,W29/W49)</f>
        <v>1384</v>
      </c>
      <c r="X101" s="34">
        <f t="shared" si="116"/>
        <v>1375</v>
      </c>
      <c r="Y101" s="34">
        <f t="shared" si="116"/>
        <v>1372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1155.8970774921852</v>
      </c>
      <c r="C102" s="34">
        <f t="shared" si="104"/>
        <v>1143.4168145286067</v>
      </c>
      <c r="D102" s="34">
        <f t="shared" ref="D102:V102" si="117">IF(D30=0,0,D30/D50)</f>
        <v>1138.604283035482</v>
      </c>
      <c r="E102" s="34">
        <f t="shared" si="117"/>
        <v>1142.777093450675</v>
      </c>
      <c r="F102" s="34">
        <f t="shared" si="117"/>
        <v>1154.9786631096933</v>
      </c>
      <c r="G102" s="34">
        <f t="shared" si="117"/>
        <v>1153.5937384551269</v>
      </c>
      <c r="H102" s="34">
        <f t="shared" si="117"/>
        <v>1149.2618323927779</v>
      </c>
      <c r="I102" s="34">
        <f t="shared" si="117"/>
        <v>1135.5886337800091</v>
      </c>
      <c r="J102" s="34">
        <f t="shared" si="117"/>
        <v>1132.8675355324681</v>
      </c>
      <c r="K102" s="34">
        <f t="shared" si="117"/>
        <v>1120.1365293377196</v>
      </c>
      <c r="L102" s="34">
        <f t="shared" si="117"/>
        <v>1106.6038898333684</v>
      </c>
      <c r="M102" s="34">
        <f t="shared" si="117"/>
        <v>1109.1825081769848</v>
      </c>
      <c r="N102" s="34">
        <f t="shared" si="117"/>
        <v>1103.3708909929323</v>
      </c>
      <c r="O102" s="34">
        <f t="shared" si="117"/>
        <v>1109.1023274805077</v>
      </c>
      <c r="P102" s="34">
        <f t="shared" si="117"/>
        <v>1081.0941264904936</v>
      </c>
      <c r="Q102" s="34">
        <f t="shared" si="117"/>
        <v>1102.0194081134673</v>
      </c>
      <c r="R102" s="34">
        <f t="shared" si="117"/>
        <v>1097.639352649491</v>
      </c>
      <c r="S102" s="34">
        <f t="shared" si="117"/>
        <v>1098.868352203596</v>
      </c>
      <c r="T102" s="34">
        <f t="shared" si="117"/>
        <v>1102.9220752491688</v>
      </c>
      <c r="U102" s="34">
        <f t="shared" si="117"/>
        <v>1101.34694642146</v>
      </c>
      <c r="V102" s="34">
        <f t="shared" si="117"/>
        <v>1115.1806216964462</v>
      </c>
      <c r="W102" s="34">
        <f t="shared" ref="W102:Y102" si="118">IF(W30=0,0,W30/W50)</f>
        <v>1108.8962693782107</v>
      </c>
      <c r="X102" s="34">
        <f t="shared" si="118"/>
        <v>1030.0572183149459</v>
      </c>
      <c r="Y102" s="34">
        <f t="shared" si="118"/>
        <v>963.94692611695734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328</v>
      </c>
      <c r="C103" s="35">
        <f t="shared" si="104"/>
        <v>328</v>
      </c>
      <c r="D103" s="35">
        <f t="shared" ref="D103:V103" si="119">IF(D31=0,0,D31/D51)</f>
        <v>328</v>
      </c>
      <c r="E103" s="35">
        <f t="shared" si="119"/>
        <v>328</v>
      </c>
      <c r="F103" s="35">
        <f t="shared" si="119"/>
        <v>328</v>
      </c>
      <c r="G103" s="35">
        <f t="shared" si="119"/>
        <v>327</v>
      </c>
      <c r="H103" s="35">
        <f t="shared" si="119"/>
        <v>323</v>
      </c>
      <c r="I103" s="35">
        <f t="shared" si="119"/>
        <v>324</v>
      </c>
      <c r="J103" s="35">
        <f t="shared" si="119"/>
        <v>324</v>
      </c>
      <c r="K103" s="35">
        <f t="shared" si="119"/>
        <v>294.02390953841478</v>
      </c>
      <c r="L103" s="35">
        <f t="shared" si="119"/>
        <v>323</v>
      </c>
      <c r="M103" s="35">
        <f t="shared" si="119"/>
        <v>317</v>
      </c>
      <c r="N103" s="35">
        <f t="shared" si="119"/>
        <v>297.06467969043717</v>
      </c>
      <c r="O103" s="35">
        <f t="shared" si="119"/>
        <v>307.26855148716646</v>
      </c>
      <c r="P103" s="35">
        <f t="shared" si="119"/>
        <v>287.51287285281683</v>
      </c>
      <c r="Q103" s="35">
        <f t="shared" si="119"/>
        <v>305.054482276508</v>
      </c>
      <c r="R103" s="35">
        <f t="shared" si="119"/>
        <v>297</v>
      </c>
      <c r="S103" s="35">
        <f t="shared" si="119"/>
        <v>295</v>
      </c>
      <c r="T103" s="35">
        <f t="shared" si="119"/>
        <v>297</v>
      </c>
      <c r="U103" s="35">
        <f t="shared" si="119"/>
        <v>292</v>
      </c>
      <c r="V103" s="35">
        <f t="shared" si="119"/>
        <v>299</v>
      </c>
      <c r="W103" s="35">
        <f t="shared" ref="W103:Y103" si="120">IF(W31=0,0,W31/W51)</f>
        <v>294</v>
      </c>
      <c r="X103" s="35">
        <f t="shared" si="120"/>
        <v>254.47425267195408</v>
      </c>
      <c r="Y103" s="35">
        <f t="shared" si="120"/>
        <v>235.20815092326617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7.3352262209677901E-2</v>
      </c>
      <c r="C107" s="43">
        <f t="shared" si="124"/>
        <v>6.9744491564685762E-2</v>
      </c>
      <c r="D107" s="43">
        <f t="shared" ref="D107:V107" si="125">IF(D5=0,0,D5/D$4)</f>
        <v>7.2513158470051867E-2</v>
      </c>
      <c r="E107" s="43">
        <f t="shared" si="125"/>
        <v>7.2816857948747676E-2</v>
      </c>
      <c r="F107" s="43">
        <f t="shared" si="125"/>
        <v>6.4244843070683205E-2</v>
      </c>
      <c r="G107" s="43">
        <f t="shared" si="125"/>
        <v>6.1038284937591218E-2</v>
      </c>
      <c r="H107" s="43">
        <f t="shared" si="125"/>
        <v>6.290179973211156E-2</v>
      </c>
      <c r="I107" s="43">
        <f t="shared" si="125"/>
        <v>6.4867172974155507E-2</v>
      </c>
      <c r="J107" s="43">
        <f t="shared" si="125"/>
        <v>6.5598453554620947E-2</v>
      </c>
      <c r="K107" s="43">
        <f t="shared" si="125"/>
        <v>6.5781459880620285E-2</v>
      </c>
      <c r="L107" s="43">
        <f t="shared" si="125"/>
        <v>6.2447651714287775E-2</v>
      </c>
      <c r="M107" s="43">
        <f t="shared" si="125"/>
        <v>5.8824271355769224E-2</v>
      </c>
      <c r="N107" s="43">
        <f t="shared" si="125"/>
        <v>5.5516866349706664E-2</v>
      </c>
      <c r="O107" s="43">
        <f t="shared" si="125"/>
        <v>5.2742321737697849E-2</v>
      </c>
      <c r="P107" s="43">
        <f t="shared" si="125"/>
        <v>5.159757959819844E-2</v>
      </c>
      <c r="Q107" s="43">
        <f t="shared" si="125"/>
        <v>5.0172124180901286E-2</v>
      </c>
      <c r="R107" s="43">
        <f t="shared" si="125"/>
        <v>5.0449296935957344E-2</v>
      </c>
      <c r="S107" s="43">
        <f t="shared" si="125"/>
        <v>4.7533420644402101E-2</v>
      </c>
      <c r="T107" s="43">
        <f t="shared" si="125"/>
        <v>4.5593512092634597E-2</v>
      </c>
      <c r="U107" s="43">
        <f t="shared" si="125"/>
        <v>4.3741314717715092E-2</v>
      </c>
      <c r="V107" s="43">
        <f t="shared" si="125"/>
        <v>4.0412597449137277E-2</v>
      </c>
      <c r="W107" s="43">
        <f t="shared" ref="W107:Y107" si="126">IF(W5=0,0,W5/W$4)</f>
        <v>2.6502052570850202E-2</v>
      </c>
      <c r="X107" s="43">
        <f t="shared" si="126"/>
        <v>2.4558064876880437E-2</v>
      </c>
      <c r="Y107" s="43">
        <f t="shared" si="126"/>
        <v>2.3933130349278995E-2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0.31764639376514275</v>
      </c>
      <c r="C108" s="43">
        <f t="shared" si="127"/>
        <v>0.31549447531571406</v>
      </c>
      <c r="D108" s="43">
        <f t="shared" ref="D108:V108" si="128">IF(D6=0,0,D6/D$4)</f>
        <v>0.30258975704324881</v>
      </c>
      <c r="E108" s="43">
        <f t="shared" si="128"/>
        <v>0.31538172354236976</v>
      </c>
      <c r="F108" s="43">
        <f t="shared" si="128"/>
        <v>0.30601374830187111</v>
      </c>
      <c r="G108" s="43">
        <f t="shared" si="128"/>
        <v>0.31042399116594638</v>
      </c>
      <c r="H108" s="43">
        <f t="shared" si="128"/>
        <v>0.31226035994394313</v>
      </c>
      <c r="I108" s="43">
        <f t="shared" si="128"/>
        <v>0.29946622919812443</v>
      </c>
      <c r="J108" s="43">
        <f t="shared" si="128"/>
        <v>0.28598798960754435</v>
      </c>
      <c r="K108" s="43">
        <f t="shared" si="128"/>
        <v>0.28134804182984635</v>
      </c>
      <c r="L108" s="43">
        <f t="shared" si="128"/>
        <v>0.27448420390745054</v>
      </c>
      <c r="M108" s="43">
        <f t="shared" si="128"/>
        <v>0.28276085403677814</v>
      </c>
      <c r="N108" s="43">
        <f t="shared" si="128"/>
        <v>0.27865813870758016</v>
      </c>
      <c r="O108" s="43">
        <f t="shared" si="128"/>
        <v>0.28352661737692603</v>
      </c>
      <c r="P108" s="43">
        <f t="shared" si="128"/>
        <v>0.29113830886851033</v>
      </c>
      <c r="Q108" s="43">
        <f t="shared" si="128"/>
        <v>0.28965447513809822</v>
      </c>
      <c r="R108" s="43">
        <f t="shared" si="128"/>
        <v>0.30629338032631837</v>
      </c>
      <c r="S108" s="43">
        <f t="shared" si="128"/>
        <v>0.31205479212937237</v>
      </c>
      <c r="T108" s="43">
        <f t="shared" si="128"/>
        <v>0.31588407457566442</v>
      </c>
      <c r="U108" s="43">
        <f t="shared" si="128"/>
        <v>0.30376053712535489</v>
      </c>
      <c r="V108" s="43">
        <f t="shared" si="128"/>
        <v>0.31372346276695462</v>
      </c>
      <c r="W108" s="43">
        <f t="shared" ref="W108:Y108" si="129">IF(W6=0,0,W6/W$4)</f>
        <v>0.3574888759061991</v>
      </c>
      <c r="X108" s="43">
        <f t="shared" si="129"/>
        <v>0.32783192791091276</v>
      </c>
      <c r="Y108" s="43">
        <f t="shared" si="129"/>
        <v>0.29875466788655042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0.60900134402517925</v>
      </c>
      <c r="C109" s="43">
        <f t="shared" si="130"/>
        <v>0.61476103311960029</v>
      </c>
      <c r="D109" s="43">
        <f t="shared" ref="D109:V109" si="131">IF(D7=0,0,D7/D$4)</f>
        <v>0.62489708448669934</v>
      </c>
      <c r="E109" s="43">
        <f t="shared" si="131"/>
        <v>0.61180141850888248</v>
      </c>
      <c r="F109" s="43">
        <f t="shared" si="131"/>
        <v>0.62974140862744565</v>
      </c>
      <c r="G109" s="43">
        <f t="shared" si="131"/>
        <v>0.62853772389646245</v>
      </c>
      <c r="H109" s="43">
        <f t="shared" si="131"/>
        <v>0.62483784032394529</v>
      </c>
      <c r="I109" s="43">
        <f t="shared" si="131"/>
        <v>0.63566659782772006</v>
      </c>
      <c r="J109" s="43">
        <f t="shared" si="131"/>
        <v>0.64841355683783464</v>
      </c>
      <c r="K109" s="43">
        <f t="shared" si="131"/>
        <v>0.65287049828953325</v>
      </c>
      <c r="L109" s="43">
        <f t="shared" si="131"/>
        <v>0.66306814437826167</v>
      </c>
      <c r="M109" s="43">
        <f t="shared" si="131"/>
        <v>0.65841487460745263</v>
      </c>
      <c r="N109" s="43">
        <f t="shared" si="131"/>
        <v>0.66582499494271319</v>
      </c>
      <c r="O109" s="43">
        <f t="shared" si="131"/>
        <v>0.66373106088537615</v>
      </c>
      <c r="P109" s="43">
        <f t="shared" si="131"/>
        <v>0.65726411153329123</v>
      </c>
      <c r="Q109" s="43">
        <f t="shared" si="131"/>
        <v>0.66017340068100061</v>
      </c>
      <c r="R109" s="43">
        <f t="shared" si="131"/>
        <v>0.64325732273772429</v>
      </c>
      <c r="S109" s="43">
        <f t="shared" si="131"/>
        <v>0.6404117872262256</v>
      </c>
      <c r="T109" s="43">
        <f t="shared" si="131"/>
        <v>0.63852241333170101</v>
      </c>
      <c r="U109" s="43">
        <f t="shared" si="131"/>
        <v>0.65249814815692997</v>
      </c>
      <c r="V109" s="43">
        <f t="shared" si="131"/>
        <v>0.64586393978390799</v>
      </c>
      <c r="W109" s="43">
        <f t="shared" ref="W109:Y109" si="132">IF(W7=0,0,W7/W$4)</f>
        <v>0.6160090715229507</v>
      </c>
      <c r="X109" s="43">
        <f t="shared" si="132"/>
        <v>0.64761000721220674</v>
      </c>
      <c r="Y109" s="43">
        <f t="shared" si="132"/>
        <v>0.67731220176417062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1.1687252523280412E-2</v>
      </c>
      <c r="C111" s="44">
        <f t="shared" si="136"/>
        <v>1.0929712762973958E-2</v>
      </c>
      <c r="D111" s="44">
        <f t="shared" ref="D111:V111" si="137">IF(D9=0,0,D9/D$8)</f>
        <v>1.0024109938233888E-2</v>
      </c>
      <c r="E111" s="44">
        <f t="shared" si="137"/>
        <v>8.3726090462768795E-3</v>
      </c>
      <c r="F111" s="44">
        <f t="shared" si="137"/>
        <v>6.9788726888127955E-3</v>
      </c>
      <c r="G111" s="44">
        <f t="shared" si="137"/>
        <v>5.4166847665488823E-3</v>
      </c>
      <c r="H111" s="44">
        <f t="shared" si="137"/>
        <v>5.3035205995253E-3</v>
      </c>
      <c r="I111" s="44">
        <f t="shared" si="137"/>
        <v>4.9832996006809304E-3</v>
      </c>
      <c r="J111" s="44">
        <f t="shared" si="137"/>
        <v>5.8639485313437614E-3</v>
      </c>
      <c r="K111" s="44">
        <f t="shared" si="137"/>
        <v>5.1293149251370827E-3</v>
      </c>
      <c r="L111" s="44">
        <f t="shared" si="137"/>
        <v>4.0051144485720672E-3</v>
      </c>
      <c r="M111" s="44">
        <f t="shared" si="137"/>
        <v>3.7332575946662622E-3</v>
      </c>
      <c r="N111" s="44">
        <f t="shared" si="137"/>
        <v>3.5599094555343312E-3</v>
      </c>
      <c r="O111" s="44">
        <f t="shared" si="137"/>
        <v>3.3684154621840779E-3</v>
      </c>
      <c r="P111" s="44">
        <f t="shared" si="137"/>
        <v>3.3848378665097445E-3</v>
      </c>
      <c r="Q111" s="44">
        <f t="shared" si="137"/>
        <v>3.3891247650118866E-3</v>
      </c>
      <c r="R111" s="44">
        <f t="shared" si="137"/>
        <v>3.5326181945267683E-3</v>
      </c>
      <c r="S111" s="44">
        <f t="shared" si="137"/>
        <v>3.4941581939095241E-3</v>
      </c>
      <c r="T111" s="44">
        <f t="shared" si="137"/>
        <v>3.5437231649810322E-3</v>
      </c>
      <c r="U111" s="44">
        <f t="shared" si="137"/>
        <v>3.5262503835807716E-3</v>
      </c>
      <c r="V111" s="44">
        <f t="shared" si="137"/>
        <v>3.4563145553070051E-3</v>
      </c>
      <c r="W111" s="44">
        <f t="shared" ref="W111:Y111" si="138">IF(W9=0,0,W9/W$8)</f>
        <v>3.568906918092714E-3</v>
      </c>
      <c r="X111" s="44">
        <f t="shared" si="138"/>
        <v>3.3537387079441722E-3</v>
      </c>
      <c r="Y111" s="44">
        <f t="shared" si="138"/>
        <v>3.2370783290371673E-3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5.8573755953180567E-2</v>
      </c>
      <c r="C112" s="44">
        <f t="shared" si="139"/>
        <v>6.0517403548341377E-2</v>
      </c>
      <c r="D112" s="44">
        <f t="shared" ref="D112:V112" si="140">IF(D10=0,0,D10/D$8)</f>
        <v>5.7244465746065454E-2</v>
      </c>
      <c r="E112" s="44">
        <f t="shared" si="140"/>
        <v>5.8369218018949391E-2</v>
      </c>
      <c r="F112" s="44">
        <f t="shared" si="140"/>
        <v>5.7113105686085713E-2</v>
      </c>
      <c r="G112" s="44">
        <f t="shared" si="140"/>
        <v>5.5213763824998027E-2</v>
      </c>
      <c r="H112" s="44">
        <f t="shared" si="140"/>
        <v>5.1273599167858432E-2</v>
      </c>
      <c r="I112" s="44">
        <f t="shared" si="140"/>
        <v>5.3332567469819792E-2</v>
      </c>
      <c r="J112" s="44">
        <f t="shared" si="140"/>
        <v>5.9724112191466346E-2</v>
      </c>
      <c r="K112" s="44">
        <f t="shared" si="140"/>
        <v>6.3696164890629445E-2</v>
      </c>
      <c r="L112" s="44">
        <f t="shared" si="140"/>
        <v>5.4020123225149076E-2</v>
      </c>
      <c r="M112" s="44">
        <f t="shared" si="140"/>
        <v>5.0130469176328511E-2</v>
      </c>
      <c r="N112" s="44">
        <f t="shared" si="140"/>
        <v>5.3096402797964036E-2</v>
      </c>
      <c r="O112" s="44">
        <f t="shared" si="140"/>
        <v>5.1879680921915951E-2</v>
      </c>
      <c r="P112" s="44">
        <f t="shared" si="140"/>
        <v>5.4166380837220009E-2</v>
      </c>
      <c r="Q112" s="44">
        <f t="shared" si="140"/>
        <v>5.3143324851143196E-2</v>
      </c>
      <c r="R112" s="44">
        <f t="shared" si="140"/>
        <v>5.2832145225169512E-2</v>
      </c>
      <c r="S112" s="44">
        <f t="shared" si="140"/>
        <v>5.2138013828557483E-2</v>
      </c>
      <c r="T112" s="44">
        <f t="shared" si="140"/>
        <v>5.3408650571932753E-2</v>
      </c>
      <c r="U112" s="44">
        <f t="shared" si="140"/>
        <v>5.4950358384021909E-2</v>
      </c>
      <c r="V112" s="44">
        <f t="shared" si="140"/>
        <v>5.6322038342815135E-2</v>
      </c>
      <c r="W112" s="44">
        <f t="shared" ref="W112:Y112" si="141">IF(W10=0,0,W10/W$8)</f>
        <v>6.2928683097357066E-2</v>
      </c>
      <c r="X112" s="44">
        <f t="shared" si="141"/>
        <v>5.5754932503692248E-2</v>
      </c>
      <c r="Y112" s="44">
        <f t="shared" si="141"/>
        <v>5.2760282830748982E-2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0.929738991523539</v>
      </c>
      <c r="C113" s="45">
        <f t="shared" si="142"/>
        <v>0.9285528836886846</v>
      </c>
      <c r="D113" s="45">
        <f t="shared" ref="D113:V113" si="143">IF(D11=0,0,D11/D$8)</f>
        <v>0.93273142431570066</v>
      </c>
      <c r="E113" s="45">
        <f t="shared" si="143"/>
        <v>0.93325817293477376</v>
      </c>
      <c r="F113" s="45">
        <f t="shared" si="143"/>
        <v>0.93590802162510145</v>
      </c>
      <c r="G113" s="45">
        <f t="shared" si="143"/>
        <v>0.93936955140845313</v>
      </c>
      <c r="H113" s="45">
        <f t="shared" si="143"/>
        <v>0.94342288023261622</v>
      </c>
      <c r="I113" s="45">
        <f t="shared" si="143"/>
        <v>0.94168413292949937</v>
      </c>
      <c r="J113" s="45">
        <f t="shared" si="143"/>
        <v>0.93441193927719002</v>
      </c>
      <c r="K113" s="45">
        <f t="shared" si="143"/>
        <v>0.93117452018423341</v>
      </c>
      <c r="L113" s="45">
        <f t="shared" si="143"/>
        <v>0.94197476232627886</v>
      </c>
      <c r="M113" s="45">
        <f t="shared" si="143"/>
        <v>0.94613627322900529</v>
      </c>
      <c r="N113" s="45">
        <f t="shared" si="143"/>
        <v>0.94334368774650168</v>
      </c>
      <c r="O113" s="45">
        <f t="shared" si="143"/>
        <v>0.94475190361589989</v>
      </c>
      <c r="P113" s="45">
        <f t="shared" si="143"/>
        <v>0.94244878129627019</v>
      </c>
      <c r="Q113" s="45">
        <f t="shared" si="143"/>
        <v>0.943467550383845</v>
      </c>
      <c r="R113" s="45">
        <f t="shared" si="143"/>
        <v>0.94363523658030368</v>
      </c>
      <c r="S113" s="45">
        <f t="shared" si="143"/>
        <v>0.94436782797753294</v>
      </c>
      <c r="T113" s="45">
        <f t="shared" si="143"/>
        <v>0.94304762626308614</v>
      </c>
      <c r="U113" s="45">
        <f t="shared" si="143"/>
        <v>0.94152339123239737</v>
      </c>
      <c r="V113" s="45">
        <f t="shared" si="143"/>
        <v>0.94022164710187783</v>
      </c>
      <c r="W113" s="45">
        <f t="shared" ref="W113:Y113" si="144">IF(W11=0,0,W11/W$8)</f>
        <v>0.93350240998455014</v>
      </c>
      <c r="X113" s="45">
        <f t="shared" si="144"/>
        <v>0.94089132878836357</v>
      </c>
      <c r="Y113" s="45">
        <f t="shared" si="144"/>
        <v>0.94400263884021385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0.14748603154746717</v>
      </c>
      <c r="C117" s="43">
        <f t="shared" si="148"/>
        <v>0.1401487224768852</v>
      </c>
      <c r="D117" s="43">
        <f t="shared" ref="D117:V117" si="149">IF(D15=0,0,D15/D$14)</f>
        <v>0.14391874295698645</v>
      </c>
      <c r="E117" s="43">
        <f t="shared" si="149"/>
        <v>0.14389564068759592</v>
      </c>
      <c r="F117" s="43">
        <f t="shared" si="149"/>
        <v>0.13210063628648228</v>
      </c>
      <c r="G117" s="43">
        <f t="shared" si="149"/>
        <v>0.12552365520808312</v>
      </c>
      <c r="H117" s="43">
        <f t="shared" si="149"/>
        <v>0.12376091623937403</v>
      </c>
      <c r="I117" s="43">
        <f t="shared" si="149"/>
        <v>0.12072317298357498</v>
      </c>
      <c r="J117" s="43">
        <f t="shared" si="149"/>
        <v>0.1164590688037883</v>
      </c>
      <c r="K117" s="43">
        <f t="shared" si="149"/>
        <v>0.11433010999009703</v>
      </c>
      <c r="L117" s="43">
        <f t="shared" si="149"/>
        <v>0.10932416390734057</v>
      </c>
      <c r="M117" s="43">
        <f t="shared" si="149"/>
        <v>0.11819479820167821</v>
      </c>
      <c r="N117" s="43">
        <f t="shared" si="149"/>
        <v>0.11147043005328901</v>
      </c>
      <c r="O117" s="43">
        <f t="shared" si="149"/>
        <v>0.10487608401403375</v>
      </c>
      <c r="P117" s="43">
        <f t="shared" si="149"/>
        <v>8.7541494099949782E-2</v>
      </c>
      <c r="Q117" s="43">
        <f t="shared" si="149"/>
        <v>8.3818409906592686E-2</v>
      </c>
      <c r="R117" s="43">
        <f t="shared" si="149"/>
        <v>8.3568909840996033E-2</v>
      </c>
      <c r="S117" s="43">
        <f t="shared" si="149"/>
        <v>7.7291049192401193E-2</v>
      </c>
      <c r="T117" s="43">
        <f t="shared" si="149"/>
        <v>7.6470110768234498E-2</v>
      </c>
      <c r="U117" s="43">
        <f t="shared" si="149"/>
        <v>7.6770874297373365E-2</v>
      </c>
      <c r="V117" s="43">
        <f t="shared" si="149"/>
        <v>7.798367728923758E-2</v>
      </c>
      <c r="W117" s="43">
        <f t="shared" ref="W117:Y117" si="150">IF(W15=0,0,W15/W$14)</f>
        <v>4.8474956670092745E-2</v>
      </c>
      <c r="X117" s="43">
        <f t="shared" si="150"/>
        <v>4.8000663077709088E-2</v>
      </c>
      <c r="Y117" s="43">
        <f t="shared" si="150"/>
        <v>4.5442757654655039E-2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0.43330527593021162</v>
      </c>
      <c r="C118" s="43">
        <f t="shared" si="151"/>
        <v>0.42543661154805557</v>
      </c>
      <c r="D118" s="43">
        <f t="shared" ref="D118:V118" si="152">IF(D16=0,0,D16/D$14)</f>
        <v>0.40079864096301659</v>
      </c>
      <c r="E118" s="43">
        <f t="shared" si="152"/>
        <v>0.42084441479371526</v>
      </c>
      <c r="F118" s="43">
        <f t="shared" si="152"/>
        <v>0.41755841198625721</v>
      </c>
      <c r="G118" s="43">
        <f t="shared" si="152"/>
        <v>0.41910670073997242</v>
      </c>
      <c r="H118" s="43">
        <f t="shared" si="152"/>
        <v>0.41976894756079414</v>
      </c>
      <c r="I118" s="43">
        <f t="shared" si="152"/>
        <v>0.41662571795361508</v>
      </c>
      <c r="J118" s="43">
        <f t="shared" si="152"/>
        <v>0.40971334417378513</v>
      </c>
      <c r="K118" s="43">
        <f t="shared" si="152"/>
        <v>0.39687268635557588</v>
      </c>
      <c r="L118" s="43">
        <f t="shared" si="152"/>
        <v>0.38706523398210629</v>
      </c>
      <c r="M118" s="43">
        <f t="shared" si="152"/>
        <v>0.38175878887159803</v>
      </c>
      <c r="N118" s="43">
        <f t="shared" si="152"/>
        <v>0.3734384832707428</v>
      </c>
      <c r="O118" s="43">
        <f t="shared" si="152"/>
        <v>0.37989106802651512</v>
      </c>
      <c r="P118" s="43">
        <f t="shared" si="152"/>
        <v>0.39016894615107733</v>
      </c>
      <c r="Q118" s="43">
        <f t="shared" si="152"/>
        <v>0.39114767439418791</v>
      </c>
      <c r="R118" s="43">
        <f t="shared" si="152"/>
        <v>0.41249499046639987</v>
      </c>
      <c r="S118" s="43">
        <f t="shared" si="152"/>
        <v>0.42144206929991895</v>
      </c>
      <c r="T118" s="43">
        <f t="shared" si="152"/>
        <v>0.42232088366046588</v>
      </c>
      <c r="U118" s="43">
        <f t="shared" si="152"/>
        <v>0.40545699460641915</v>
      </c>
      <c r="V118" s="43">
        <f t="shared" si="152"/>
        <v>0.41086745649088496</v>
      </c>
      <c r="W118" s="43">
        <f t="shared" ref="W118:Y118" si="153">IF(W16=0,0,W16/W$14)</f>
        <v>0.41436707081220953</v>
      </c>
      <c r="X118" s="43">
        <f t="shared" si="153"/>
        <v>0.42358155644384032</v>
      </c>
      <c r="Y118" s="43">
        <f t="shared" si="153"/>
        <v>0.40414229849149835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0.41920869252232135</v>
      </c>
      <c r="C119" s="43">
        <f t="shared" si="154"/>
        <v>0.43441466597505923</v>
      </c>
      <c r="D119" s="43">
        <f t="shared" ref="D119:V119" si="155">IF(D17=0,0,D17/D$14)</f>
        <v>0.45528261607999693</v>
      </c>
      <c r="E119" s="43">
        <f t="shared" si="155"/>
        <v>0.43525994451868888</v>
      </c>
      <c r="F119" s="43">
        <f t="shared" si="155"/>
        <v>0.45034095172726057</v>
      </c>
      <c r="G119" s="43">
        <f t="shared" si="155"/>
        <v>0.45536964405194441</v>
      </c>
      <c r="H119" s="43">
        <f t="shared" si="155"/>
        <v>0.45647013619983173</v>
      </c>
      <c r="I119" s="43">
        <f t="shared" si="155"/>
        <v>0.46265110906280993</v>
      </c>
      <c r="J119" s="43">
        <f t="shared" si="155"/>
        <v>0.47382758702242656</v>
      </c>
      <c r="K119" s="43">
        <f t="shared" si="155"/>
        <v>0.48879720365432711</v>
      </c>
      <c r="L119" s="43">
        <f t="shared" si="155"/>
        <v>0.5036106021105532</v>
      </c>
      <c r="M119" s="43">
        <f t="shared" si="155"/>
        <v>0.5000464129267238</v>
      </c>
      <c r="N119" s="43">
        <f t="shared" si="155"/>
        <v>0.51509108667596815</v>
      </c>
      <c r="O119" s="43">
        <f t="shared" si="155"/>
        <v>0.51523284795945123</v>
      </c>
      <c r="P119" s="43">
        <f t="shared" si="155"/>
        <v>0.52228955974897284</v>
      </c>
      <c r="Q119" s="43">
        <f t="shared" si="155"/>
        <v>0.52503391569921931</v>
      </c>
      <c r="R119" s="43">
        <f t="shared" si="155"/>
        <v>0.50393609969260411</v>
      </c>
      <c r="S119" s="43">
        <f t="shared" si="155"/>
        <v>0.50126688150767995</v>
      </c>
      <c r="T119" s="43">
        <f t="shared" si="155"/>
        <v>0.50120900557129977</v>
      </c>
      <c r="U119" s="43">
        <f t="shared" si="155"/>
        <v>0.51777213109620746</v>
      </c>
      <c r="V119" s="43">
        <f t="shared" si="155"/>
        <v>0.51114886621987754</v>
      </c>
      <c r="W119" s="43">
        <f t="shared" ref="W119:Y119" si="156">IF(W17=0,0,W17/W$14)</f>
        <v>0.5371579725176977</v>
      </c>
      <c r="X119" s="43">
        <f t="shared" si="156"/>
        <v>0.52841778047845045</v>
      </c>
      <c r="Y119" s="43">
        <f t="shared" si="156"/>
        <v>0.55041494385384671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7.2845247690388776E-2</v>
      </c>
      <c r="C121" s="44">
        <f t="shared" si="160"/>
        <v>7.1810069626765907E-2</v>
      </c>
      <c r="D121" s="44">
        <f t="shared" ref="D121:V121" si="161">IF(D19=0,0,D19/D$18)</f>
        <v>6.1419197422163924E-2</v>
      </c>
      <c r="E121" s="44">
        <f t="shared" si="161"/>
        <v>4.520369262722515E-2</v>
      </c>
      <c r="F121" s="44">
        <f t="shared" si="161"/>
        <v>3.868043600257632E-2</v>
      </c>
      <c r="G121" s="44">
        <f t="shared" si="161"/>
        <v>2.9326048017637444E-2</v>
      </c>
      <c r="H121" s="44">
        <f t="shared" si="161"/>
        <v>2.8584032144010781E-2</v>
      </c>
      <c r="I121" s="44">
        <f t="shared" si="161"/>
        <v>2.6435951464307814E-2</v>
      </c>
      <c r="J121" s="44">
        <f t="shared" si="161"/>
        <v>3.1180072169127267E-2</v>
      </c>
      <c r="K121" s="44">
        <f t="shared" si="161"/>
        <v>2.9781003666081302E-2</v>
      </c>
      <c r="L121" s="44">
        <f t="shared" si="161"/>
        <v>2.2674732799046447E-2</v>
      </c>
      <c r="M121" s="44">
        <f t="shared" si="161"/>
        <v>2.02684883996656E-2</v>
      </c>
      <c r="N121" s="44">
        <f t="shared" si="161"/>
        <v>2.0289786169591817E-2</v>
      </c>
      <c r="O121" s="44">
        <f t="shared" si="161"/>
        <v>1.9076541006037354E-2</v>
      </c>
      <c r="P121" s="44">
        <f t="shared" si="161"/>
        <v>1.9725614251462638E-2</v>
      </c>
      <c r="Q121" s="44">
        <f t="shared" si="161"/>
        <v>1.9235982413423412E-2</v>
      </c>
      <c r="R121" s="44">
        <f t="shared" si="161"/>
        <v>1.9100391573472767E-2</v>
      </c>
      <c r="S121" s="44">
        <f t="shared" si="161"/>
        <v>2.0004872360851265E-2</v>
      </c>
      <c r="T121" s="44">
        <f t="shared" si="161"/>
        <v>2.0073190891820906E-2</v>
      </c>
      <c r="U121" s="44">
        <f t="shared" si="161"/>
        <v>1.8831719567212173E-2</v>
      </c>
      <c r="V121" s="44">
        <f t="shared" si="161"/>
        <v>1.4638186490169312E-2</v>
      </c>
      <c r="W121" s="44">
        <f t="shared" ref="W121:Y121" si="162">IF(W19=0,0,W19/W$18)</f>
        <v>1.3649118382735026E-2</v>
      </c>
      <c r="X121" s="44">
        <f t="shared" si="162"/>
        <v>1.4381109661008806E-2</v>
      </c>
      <c r="Y121" s="44">
        <f t="shared" si="162"/>
        <v>1.4798477630769032E-2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0.14401259722224188</v>
      </c>
      <c r="C122" s="44">
        <f t="shared" si="163"/>
        <v>0.14742391507801342</v>
      </c>
      <c r="D122" s="44">
        <f t="shared" ref="D122:V122" si="164">IF(D20=0,0,D20/D$18)</f>
        <v>0.14199965810426896</v>
      </c>
      <c r="E122" s="44">
        <f t="shared" si="164"/>
        <v>0.13262817111121331</v>
      </c>
      <c r="F122" s="44">
        <f t="shared" si="164"/>
        <v>0.14012569549649767</v>
      </c>
      <c r="G122" s="44">
        <f t="shared" si="164"/>
        <v>0.13283727345160853</v>
      </c>
      <c r="H122" s="44">
        <f t="shared" si="164"/>
        <v>0.13792865509624697</v>
      </c>
      <c r="I122" s="44">
        <f t="shared" si="164"/>
        <v>0.14389086051180325</v>
      </c>
      <c r="J122" s="44">
        <f t="shared" si="164"/>
        <v>0.15859491435110945</v>
      </c>
      <c r="K122" s="44">
        <f t="shared" si="164"/>
        <v>0.18173340643751745</v>
      </c>
      <c r="L122" s="44">
        <f t="shared" si="164"/>
        <v>0.15902871840408359</v>
      </c>
      <c r="M122" s="44">
        <f t="shared" si="164"/>
        <v>0.14830501085709835</v>
      </c>
      <c r="N122" s="44">
        <f t="shared" si="164"/>
        <v>0.1557898561174679</v>
      </c>
      <c r="O122" s="44">
        <f t="shared" si="164"/>
        <v>0.15607794004818451</v>
      </c>
      <c r="P122" s="44">
        <f t="shared" si="164"/>
        <v>0.16150800192398285</v>
      </c>
      <c r="Q122" s="44">
        <f t="shared" si="164"/>
        <v>0.16108474473181633</v>
      </c>
      <c r="R122" s="44">
        <f t="shared" si="164"/>
        <v>0.16137100416916195</v>
      </c>
      <c r="S122" s="44">
        <f t="shared" si="164"/>
        <v>0.17053795422029883</v>
      </c>
      <c r="T122" s="44">
        <f t="shared" si="164"/>
        <v>0.17477339372910242</v>
      </c>
      <c r="U122" s="44">
        <f t="shared" si="164"/>
        <v>0.17798163504855238</v>
      </c>
      <c r="V122" s="44">
        <f t="shared" si="164"/>
        <v>0.15236715906807138</v>
      </c>
      <c r="W122" s="44">
        <f t="shared" ref="W122:Y122" si="165">IF(W20=0,0,W20/W$18)</f>
        <v>0.16118797688362782</v>
      </c>
      <c r="X122" s="44">
        <f t="shared" si="165"/>
        <v>0.16259601524623787</v>
      </c>
      <c r="Y122" s="44">
        <f t="shared" si="165"/>
        <v>0.16410998518877254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0.78314215508736928</v>
      </c>
      <c r="C123" s="45">
        <f t="shared" si="166"/>
        <v>0.78076601529522072</v>
      </c>
      <c r="D123" s="45">
        <f t="shared" ref="D123:V123" si="167">IF(D21=0,0,D21/D$18)</f>
        <v>0.79658114447356709</v>
      </c>
      <c r="E123" s="45">
        <f t="shared" si="167"/>
        <v>0.82216813626156149</v>
      </c>
      <c r="F123" s="45">
        <f t="shared" si="167"/>
        <v>0.82119386850092602</v>
      </c>
      <c r="G123" s="45">
        <f t="shared" si="167"/>
        <v>0.83783667853075394</v>
      </c>
      <c r="H123" s="45">
        <f t="shared" si="167"/>
        <v>0.83348731275974219</v>
      </c>
      <c r="I123" s="45">
        <f t="shared" si="167"/>
        <v>0.8296731880238889</v>
      </c>
      <c r="J123" s="45">
        <f t="shared" si="167"/>
        <v>0.81022501347976317</v>
      </c>
      <c r="K123" s="45">
        <f t="shared" si="167"/>
        <v>0.78848558989640116</v>
      </c>
      <c r="L123" s="45">
        <f t="shared" si="167"/>
        <v>0.81829654879686997</v>
      </c>
      <c r="M123" s="45">
        <f t="shared" si="167"/>
        <v>0.8314265007432361</v>
      </c>
      <c r="N123" s="45">
        <f t="shared" si="167"/>
        <v>0.82392035771294037</v>
      </c>
      <c r="O123" s="45">
        <f t="shared" si="167"/>
        <v>0.82484551894577818</v>
      </c>
      <c r="P123" s="45">
        <f t="shared" si="167"/>
        <v>0.81876638382455458</v>
      </c>
      <c r="Q123" s="45">
        <f t="shared" si="167"/>
        <v>0.81967927285476028</v>
      </c>
      <c r="R123" s="45">
        <f t="shared" si="167"/>
        <v>0.81952860425736518</v>
      </c>
      <c r="S123" s="45">
        <f t="shared" si="167"/>
        <v>0.80945717341884993</v>
      </c>
      <c r="T123" s="45">
        <f t="shared" si="167"/>
        <v>0.8051534153790767</v>
      </c>
      <c r="U123" s="45">
        <f t="shared" si="167"/>
        <v>0.80318664538423545</v>
      </c>
      <c r="V123" s="45">
        <f t="shared" si="167"/>
        <v>0.83299465444175935</v>
      </c>
      <c r="W123" s="45">
        <f t="shared" ref="W123:Y123" si="168">IF(W21=0,0,W21/W$18)</f>
        <v>0.82516290473363718</v>
      </c>
      <c r="X123" s="45">
        <f t="shared" si="168"/>
        <v>0.8230228750927534</v>
      </c>
      <c r="Y123" s="45">
        <f t="shared" si="168"/>
        <v>0.82109153718045835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7550.2531384350805</v>
      </c>
      <c r="C3" s="79">
        <f t="shared" si="0"/>
        <v>7200.5398108340496</v>
      </c>
      <c r="D3" s="79">
        <f t="shared" ref="D3" si="1">SUM(D4:D5)</f>
        <v>7169.9747205502981</v>
      </c>
      <c r="E3" s="79">
        <f t="shared" ref="E3" si="2">SUM(E4:E5)</f>
        <v>7123.4184866723999</v>
      </c>
      <c r="F3" s="79">
        <f t="shared" ref="F3" si="3">SUM(F4:F5)</f>
        <v>7694.8109200343933</v>
      </c>
      <c r="G3" s="79">
        <f t="shared" ref="G3" si="4">SUM(G4:G5)</f>
        <v>8281.6054170249354</v>
      </c>
      <c r="H3" s="79">
        <f t="shared" ref="H3" si="5">SUM(H4:H5)</f>
        <v>8701.7374032674106</v>
      </c>
      <c r="I3" s="79">
        <f t="shared" ref="I3" si="6">SUM(I4:I5)</f>
        <v>9018.6209802235571</v>
      </c>
      <c r="J3" s="79">
        <f t="shared" ref="J3" si="7">SUM(J4:J5)</f>
        <v>9138.2425623387771</v>
      </c>
      <c r="K3" s="79">
        <f t="shared" ref="K3" si="8">SUM(K4:K5)</f>
        <v>8891.8778159931207</v>
      </c>
      <c r="L3" s="79">
        <f t="shared" ref="L3" si="9">SUM(L4:L5)</f>
        <v>8732.3709372312987</v>
      </c>
      <c r="M3" s="79">
        <f t="shared" ref="M3" si="10">SUM(M4:M5)</f>
        <v>8380.7476354256196</v>
      </c>
      <c r="N3" s="79">
        <f t="shared" ref="N3" si="11">SUM(N4:N5)</f>
        <v>8892.8829750644891</v>
      </c>
      <c r="O3" s="79">
        <f t="shared" ref="O3" si="12">SUM(O4:O5)</f>
        <v>9010.408684436803</v>
      </c>
      <c r="P3" s="79">
        <f t="shared" ref="P3" si="13">SUM(P4:P5)</f>
        <v>8728.2647463456578</v>
      </c>
      <c r="Q3" s="79">
        <f t="shared" ref="Q3" si="14">SUM(Q4:Q5)</f>
        <v>8740.5490111779854</v>
      </c>
      <c r="R3" s="79">
        <f t="shared" ref="R3" si="15">SUM(R4:R5)</f>
        <v>9393.7221840068796</v>
      </c>
      <c r="S3" s="79">
        <f t="shared" ref="S3" si="16">SUM(S4:S5)</f>
        <v>10200.285726569216</v>
      </c>
      <c r="T3" s="79">
        <f t="shared" ref="T3" si="17">SUM(T4:T5)</f>
        <v>10476.278847807396</v>
      </c>
      <c r="U3" s="79">
        <f t="shared" ref="U3" si="18">SUM(U4:U5)</f>
        <v>10475.239466895957</v>
      </c>
      <c r="V3" s="79">
        <f t="shared" ref="V3:W3" si="19">SUM(V4:V5)</f>
        <v>4849.6889939810817</v>
      </c>
      <c r="W3" s="79">
        <f t="shared" si="19"/>
        <v>6269.5916595012895</v>
      </c>
      <c r="X3" s="79">
        <f t="shared" ref="X3:Y3" si="20">SUM(X4:X5)</f>
        <v>9284.237661220981</v>
      </c>
      <c r="Y3" s="79">
        <f t="shared" si="20"/>
        <v>9693.1246775580385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929.14393809114347</v>
      </c>
      <c r="C4" s="96">
        <f t="shared" si="21"/>
        <v>864.87773000859841</v>
      </c>
      <c r="D4" s="96">
        <f t="shared" ref="D4:V4" si="22">SUM(D7,D11)</f>
        <v>844.84574376612204</v>
      </c>
      <c r="E4" s="96">
        <f t="shared" si="22"/>
        <v>816.0716251074806</v>
      </c>
      <c r="F4" s="96">
        <f t="shared" si="22"/>
        <v>808.86457437661215</v>
      </c>
      <c r="G4" s="96">
        <f t="shared" si="22"/>
        <v>837.50490111779868</v>
      </c>
      <c r="H4" s="96">
        <f t="shared" si="22"/>
        <v>862.02209802235586</v>
      </c>
      <c r="I4" s="96">
        <f t="shared" si="22"/>
        <v>871.2053310404126</v>
      </c>
      <c r="J4" s="96">
        <f t="shared" si="22"/>
        <v>870.20017196904553</v>
      </c>
      <c r="K4" s="96">
        <f t="shared" si="22"/>
        <v>841.57687016337047</v>
      </c>
      <c r="L4" s="96">
        <f t="shared" si="22"/>
        <v>786.34058469475497</v>
      </c>
      <c r="M4" s="96">
        <f t="shared" si="22"/>
        <v>725.03920894239025</v>
      </c>
      <c r="N4" s="96">
        <f t="shared" si="22"/>
        <v>725.02209802235598</v>
      </c>
      <c r="O4" s="96">
        <f t="shared" si="22"/>
        <v>678.98615649183137</v>
      </c>
      <c r="P4" s="96">
        <f t="shared" si="22"/>
        <v>728.05460017196901</v>
      </c>
      <c r="Q4" s="96">
        <f t="shared" si="22"/>
        <v>730.11625107480654</v>
      </c>
      <c r="R4" s="96">
        <f t="shared" si="22"/>
        <v>777.08899398108326</v>
      </c>
      <c r="S4" s="96">
        <f t="shared" si="22"/>
        <v>673.84067067927765</v>
      </c>
      <c r="T4" s="96">
        <f t="shared" si="22"/>
        <v>651.33379191745473</v>
      </c>
      <c r="U4" s="96">
        <f t="shared" si="22"/>
        <v>731.05296646603597</v>
      </c>
      <c r="V4" s="96">
        <f t="shared" si="22"/>
        <v>296.541014617369</v>
      </c>
      <c r="W4" s="96">
        <f t="shared" ref="W4:Y4" si="23">SUM(W7,W11)</f>
        <v>251.54445399828026</v>
      </c>
      <c r="X4" s="96">
        <f t="shared" si="23"/>
        <v>340.48108340498709</v>
      </c>
      <c r="Y4" s="96">
        <f t="shared" si="23"/>
        <v>367.0427343078245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6621.1092003439371</v>
      </c>
      <c r="C5" s="96">
        <f t="shared" si="24"/>
        <v>6335.6620808254511</v>
      </c>
      <c r="D5" s="96">
        <f t="shared" ref="D5:V5" si="25">SUM(D8:D9,D12:D13)</f>
        <v>6325.1289767841763</v>
      </c>
      <c r="E5" s="96">
        <f t="shared" si="25"/>
        <v>6307.346861564919</v>
      </c>
      <c r="F5" s="96">
        <f t="shared" si="25"/>
        <v>6885.9463456577814</v>
      </c>
      <c r="G5" s="96">
        <f t="shared" si="25"/>
        <v>7444.1005159071374</v>
      </c>
      <c r="H5" s="96">
        <f t="shared" si="25"/>
        <v>7839.7153052450549</v>
      </c>
      <c r="I5" s="96">
        <f t="shared" si="25"/>
        <v>8147.4156491831454</v>
      </c>
      <c r="J5" s="96">
        <f t="shared" si="25"/>
        <v>8268.0423903697319</v>
      </c>
      <c r="K5" s="96">
        <f t="shared" si="25"/>
        <v>8050.3009458297511</v>
      </c>
      <c r="L5" s="96">
        <f t="shared" si="25"/>
        <v>7946.0303525365434</v>
      </c>
      <c r="M5" s="96">
        <f t="shared" si="25"/>
        <v>7655.7084264832301</v>
      </c>
      <c r="N5" s="96">
        <f t="shared" si="25"/>
        <v>8167.8608770421333</v>
      </c>
      <c r="O5" s="96">
        <f t="shared" si="25"/>
        <v>8331.4225279449711</v>
      </c>
      <c r="P5" s="96">
        <f t="shared" si="25"/>
        <v>8000.2101461736884</v>
      </c>
      <c r="Q5" s="96">
        <f t="shared" si="25"/>
        <v>8010.4327601031782</v>
      </c>
      <c r="R5" s="96">
        <f t="shared" si="25"/>
        <v>8616.6331900257956</v>
      </c>
      <c r="S5" s="96">
        <f t="shared" si="25"/>
        <v>9526.4450558899389</v>
      </c>
      <c r="T5" s="96">
        <f t="shared" si="25"/>
        <v>9824.9450558899407</v>
      </c>
      <c r="U5" s="96">
        <f t="shared" si="25"/>
        <v>9744.1865004299216</v>
      </c>
      <c r="V5" s="96">
        <f t="shared" si="25"/>
        <v>4553.1479793637127</v>
      </c>
      <c r="W5" s="96">
        <f t="shared" ref="W5:Y5" si="26">SUM(W8:W9,W12:W13)</f>
        <v>6018.0472055030095</v>
      </c>
      <c r="X5" s="96">
        <f t="shared" si="26"/>
        <v>8943.7565778159933</v>
      </c>
      <c r="Y5" s="96">
        <f t="shared" si="26"/>
        <v>9326.081943250214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6659.7438799975507</v>
      </c>
      <c r="C6" s="21">
        <f t="shared" si="27"/>
        <v>6386.4246261842854</v>
      </c>
      <c r="D6" s="21">
        <f t="shared" ref="D6:V6" si="28">SUM(D7:D9)</f>
        <v>6319.6063651004515</v>
      </c>
      <c r="E6" s="21">
        <f t="shared" si="28"/>
        <v>6231.8155000336392</v>
      </c>
      <c r="F6" s="21">
        <f t="shared" si="28"/>
        <v>6709.7062168118582</v>
      </c>
      <c r="G6" s="21">
        <f t="shared" si="28"/>
        <v>7133.511550302298</v>
      </c>
      <c r="H6" s="21">
        <f t="shared" si="28"/>
        <v>7441.3975245276451</v>
      </c>
      <c r="I6" s="21">
        <f t="shared" si="28"/>
        <v>7703.8766278339845</v>
      </c>
      <c r="J6" s="21">
        <f t="shared" si="28"/>
        <v>7769.0914769205756</v>
      </c>
      <c r="K6" s="21">
        <f t="shared" si="28"/>
        <v>7648.9311907815409</v>
      </c>
      <c r="L6" s="21">
        <f t="shared" si="28"/>
        <v>7330.8064513069166</v>
      </c>
      <c r="M6" s="21">
        <f t="shared" si="28"/>
        <v>7045.1636789279273</v>
      </c>
      <c r="N6" s="21">
        <f t="shared" si="28"/>
        <v>7580.5063284626785</v>
      </c>
      <c r="O6" s="21">
        <f t="shared" si="28"/>
        <v>7643.9627082246716</v>
      </c>
      <c r="P6" s="21">
        <f t="shared" si="28"/>
        <v>7523.3610535579992</v>
      </c>
      <c r="Q6" s="21">
        <f t="shared" si="28"/>
        <v>7535.728117014467</v>
      </c>
      <c r="R6" s="21">
        <f t="shared" si="28"/>
        <v>8197.4574038611208</v>
      </c>
      <c r="S6" s="21">
        <f t="shared" si="28"/>
        <v>8817.1789820050271</v>
      </c>
      <c r="T6" s="21">
        <f t="shared" si="28"/>
        <v>9044.7485811123333</v>
      </c>
      <c r="U6" s="21">
        <f t="shared" si="28"/>
        <v>9131.0730050962356</v>
      </c>
      <c r="V6" s="21">
        <f t="shared" si="28"/>
        <v>3118.123226699598</v>
      </c>
      <c r="W6" s="21">
        <f t="shared" ref="W6:Y6" si="29">SUM(W7:W9)</f>
        <v>4164.3745131526757</v>
      </c>
      <c r="X6" s="21">
        <f t="shared" si="29"/>
        <v>7222.5905936047584</v>
      </c>
      <c r="Y6" s="21">
        <f t="shared" si="29"/>
        <v>7898.9561787610646</v>
      </c>
      <c r="DA6" s="189" t="s">
        <v>280</v>
      </c>
    </row>
    <row r="7" spans="1:105" ht="11.45" customHeight="1" x14ac:dyDescent="0.25">
      <c r="A7" s="83" t="s">
        <v>27</v>
      </c>
      <c r="B7" s="96">
        <v>877.40375567571436</v>
      </c>
      <c r="C7" s="96">
        <v>816.61488638704736</v>
      </c>
      <c r="D7" s="96">
        <v>802.75984922315592</v>
      </c>
      <c r="E7" s="96">
        <v>784.7174237448279</v>
      </c>
      <c r="F7" s="96">
        <v>778.75434646736699</v>
      </c>
      <c r="G7" s="96">
        <v>810.02803918941231</v>
      </c>
      <c r="H7" s="96">
        <v>832.1133341368901</v>
      </c>
      <c r="I7" s="96">
        <v>841.8123276544876</v>
      </c>
      <c r="J7" s="96">
        <v>832.96987488850698</v>
      </c>
      <c r="K7" s="96">
        <v>808.75380791822192</v>
      </c>
      <c r="L7" s="96">
        <v>757.28675720311719</v>
      </c>
      <c r="M7" s="96">
        <v>702.61294626857011</v>
      </c>
      <c r="N7" s="96">
        <v>703.0015480598671</v>
      </c>
      <c r="O7" s="96">
        <v>658.10819358567596</v>
      </c>
      <c r="P7" s="96">
        <v>703.12459912959673</v>
      </c>
      <c r="Q7" s="96">
        <v>704.73508841031912</v>
      </c>
      <c r="R7" s="96">
        <v>752.18919587013681</v>
      </c>
      <c r="S7" s="96">
        <v>648.34919739522468</v>
      </c>
      <c r="T7" s="96">
        <v>627.43702648481758</v>
      </c>
      <c r="U7" s="96">
        <v>707.28161063657785</v>
      </c>
      <c r="V7" s="96">
        <v>270.5382227616218</v>
      </c>
      <c r="W7" s="96">
        <v>222.26450866997845</v>
      </c>
      <c r="X7" s="96">
        <v>316.34392990452017</v>
      </c>
      <c r="Y7" s="96">
        <v>344.25528348968425</v>
      </c>
      <c r="DA7" s="171" t="s">
        <v>281</v>
      </c>
    </row>
    <row r="8" spans="1:105" ht="11.45" customHeight="1" x14ac:dyDescent="0.25">
      <c r="A8" s="83" t="s">
        <v>181</v>
      </c>
      <c r="B8" s="96">
        <v>1888.1435297592604</v>
      </c>
      <c r="C8" s="96">
        <v>1753.6244367780132</v>
      </c>
      <c r="D8" s="96">
        <v>1614.1770483270757</v>
      </c>
      <c r="E8" s="96">
        <v>1701.764237606561</v>
      </c>
      <c r="F8" s="96">
        <v>1800.7818541079732</v>
      </c>
      <c r="G8" s="96">
        <v>1934.2546866002958</v>
      </c>
      <c r="H8" s="96">
        <v>2068.6180904703338</v>
      </c>
      <c r="I8" s="96">
        <v>2189.1618724704736</v>
      </c>
      <c r="J8" s="96">
        <v>2172.3769998369044</v>
      </c>
      <c r="K8" s="96">
        <v>2063.64776653124</v>
      </c>
      <c r="L8" s="96">
        <v>1980.3653246005597</v>
      </c>
      <c r="M8" s="96">
        <v>1920.4376150438709</v>
      </c>
      <c r="N8" s="96">
        <v>2050.8434205182325</v>
      </c>
      <c r="O8" s="96">
        <v>2070.1326976366645</v>
      </c>
      <c r="P8" s="96">
        <v>2026.6955641111026</v>
      </c>
      <c r="Q8" s="96">
        <v>2041.928267757253</v>
      </c>
      <c r="R8" s="96">
        <v>2327.3943139552971</v>
      </c>
      <c r="S8" s="96">
        <v>2620.6001184761694</v>
      </c>
      <c r="T8" s="96">
        <v>2670.8733911534277</v>
      </c>
      <c r="U8" s="96">
        <v>2574.9357296325461</v>
      </c>
      <c r="V8" s="96">
        <v>725.10554711341229</v>
      </c>
      <c r="W8" s="96">
        <v>1123.3337164861484</v>
      </c>
      <c r="X8" s="96">
        <v>2241.3142019413021</v>
      </c>
      <c r="Y8" s="96">
        <v>2375.3761656671295</v>
      </c>
      <c r="DA8" s="171" t="s">
        <v>282</v>
      </c>
    </row>
    <row r="9" spans="1:105" ht="11.45" customHeight="1" x14ac:dyDescent="0.25">
      <c r="A9" s="83" t="s">
        <v>182</v>
      </c>
      <c r="B9" s="96">
        <v>3894.1965945625761</v>
      </c>
      <c r="C9" s="96">
        <v>3816.1853030192246</v>
      </c>
      <c r="D9" s="96">
        <v>3902.6694675502195</v>
      </c>
      <c r="E9" s="96">
        <v>3745.3338386822506</v>
      </c>
      <c r="F9" s="96">
        <v>4130.1700162365178</v>
      </c>
      <c r="G9" s="96">
        <v>4389.2288245125901</v>
      </c>
      <c r="H9" s="96">
        <v>4540.6660999204214</v>
      </c>
      <c r="I9" s="96">
        <v>4672.902427709023</v>
      </c>
      <c r="J9" s="96">
        <v>4763.7446021951637</v>
      </c>
      <c r="K9" s="96">
        <v>4776.5296163320791</v>
      </c>
      <c r="L9" s="96">
        <v>4593.1543695032396</v>
      </c>
      <c r="M9" s="96">
        <v>4422.1131176154859</v>
      </c>
      <c r="N9" s="96">
        <v>4826.6613598845788</v>
      </c>
      <c r="O9" s="96">
        <v>4915.7218170023307</v>
      </c>
      <c r="P9" s="96">
        <v>4793.5408903173002</v>
      </c>
      <c r="Q9" s="96">
        <v>4789.0647608468944</v>
      </c>
      <c r="R9" s="96">
        <v>5117.873894035688</v>
      </c>
      <c r="S9" s="96">
        <v>5548.2296661336331</v>
      </c>
      <c r="T9" s="96">
        <v>5746.4381634740876</v>
      </c>
      <c r="U9" s="96">
        <v>5848.8556648271115</v>
      </c>
      <c r="V9" s="96">
        <v>2122.4794568245638</v>
      </c>
      <c r="W9" s="96">
        <v>2818.7762879965489</v>
      </c>
      <c r="X9" s="96">
        <v>4664.9324617589355</v>
      </c>
      <c r="Y9" s="96">
        <v>5179.3247296042509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890.50925843752884</v>
      </c>
      <c r="C10" s="22">
        <f t="shared" si="30"/>
        <v>814.11518464976393</v>
      </c>
      <c r="D10" s="22">
        <f t="shared" ref="D10:V10" si="31">SUM(D11:D13)</f>
        <v>850.36835544984797</v>
      </c>
      <c r="E10" s="22">
        <f t="shared" si="31"/>
        <v>891.60298663875949</v>
      </c>
      <c r="F10" s="22">
        <f t="shared" si="31"/>
        <v>985.10470322253582</v>
      </c>
      <c r="G10" s="22">
        <f t="shared" si="31"/>
        <v>1148.0938667226376</v>
      </c>
      <c r="H10" s="22">
        <f t="shared" si="31"/>
        <v>1260.339878739765</v>
      </c>
      <c r="I10" s="22">
        <f t="shared" si="31"/>
        <v>1314.7443523895745</v>
      </c>
      <c r="J10" s="22">
        <f t="shared" si="31"/>
        <v>1369.1510854182029</v>
      </c>
      <c r="K10" s="22">
        <f t="shared" si="31"/>
        <v>1242.9466252115803</v>
      </c>
      <c r="L10" s="22">
        <f t="shared" si="31"/>
        <v>1401.5644859243814</v>
      </c>
      <c r="M10" s="22">
        <f t="shared" si="31"/>
        <v>1335.5839564976936</v>
      </c>
      <c r="N10" s="22">
        <f t="shared" si="31"/>
        <v>1312.3766466018114</v>
      </c>
      <c r="O10" s="22">
        <f t="shared" si="31"/>
        <v>1366.4459762121303</v>
      </c>
      <c r="P10" s="22">
        <f t="shared" si="31"/>
        <v>1204.9036927876575</v>
      </c>
      <c r="Q10" s="22">
        <f t="shared" si="31"/>
        <v>1204.8208941635191</v>
      </c>
      <c r="R10" s="22">
        <f t="shared" si="31"/>
        <v>1196.2647801457574</v>
      </c>
      <c r="S10" s="22">
        <f t="shared" si="31"/>
        <v>1383.1067445641888</v>
      </c>
      <c r="T10" s="22">
        <f t="shared" si="31"/>
        <v>1431.5302666950615</v>
      </c>
      <c r="U10" s="22">
        <f t="shared" si="31"/>
        <v>1344.1664617997212</v>
      </c>
      <c r="V10" s="22">
        <f t="shared" si="31"/>
        <v>1731.5657672814839</v>
      </c>
      <c r="W10" s="22">
        <f t="shared" ref="W10:Y10" si="32">SUM(W11:W13)</f>
        <v>2105.2171463486143</v>
      </c>
      <c r="X10" s="22">
        <f t="shared" si="32"/>
        <v>2061.6470676162212</v>
      </c>
      <c r="Y10" s="22">
        <f t="shared" si="32"/>
        <v>1794.1684987969729</v>
      </c>
      <c r="DA10" s="193" t="s">
        <v>284</v>
      </c>
    </row>
    <row r="11" spans="1:105" ht="11.45" customHeight="1" x14ac:dyDescent="0.25">
      <c r="A11" s="92" t="s">
        <v>27</v>
      </c>
      <c r="B11" s="97">
        <v>51.740182415429118</v>
      </c>
      <c r="C11" s="97">
        <v>48.26284362155107</v>
      </c>
      <c r="D11" s="97">
        <v>42.085894542966166</v>
      </c>
      <c r="E11" s="97">
        <v>31.354201362652674</v>
      </c>
      <c r="F11" s="97">
        <v>30.110227909245111</v>
      </c>
      <c r="G11" s="97">
        <v>27.476861928386338</v>
      </c>
      <c r="H11" s="97">
        <v>29.908763885465724</v>
      </c>
      <c r="I11" s="97">
        <v>29.39300338592502</v>
      </c>
      <c r="J11" s="97">
        <v>37.230297080538563</v>
      </c>
      <c r="K11" s="97">
        <v>32.823062245148535</v>
      </c>
      <c r="L11" s="97">
        <v>29.053827491637801</v>
      </c>
      <c r="M11" s="97">
        <v>22.426262673820119</v>
      </c>
      <c r="N11" s="97">
        <v>22.020549962488911</v>
      </c>
      <c r="O11" s="97">
        <v>20.8779629061554</v>
      </c>
      <c r="P11" s="97">
        <v>24.930001042372229</v>
      </c>
      <c r="Q11" s="97">
        <v>25.381162664487434</v>
      </c>
      <c r="R11" s="97">
        <v>24.899798110946445</v>
      </c>
      <c r="S11" s="97">
        <v>25.491473284052951</v>
      </c>
      <c r="T11" s="97">
        <v>23.896765432637114</v>
      </c>
      <c r="U11" s="97">
        <v>23.771355829458155</v>
      </c>
      <c r="V11" s="97">
        <v>26.002791855747176</v>
      </c>
      <c r="W11" s="97">
        <v>29.2799453283018</v>
      </c>
      <c r="X11" s="97">
        <v>24.13715350046694</v>
      </c>
      <c r="Y11" s="97">
        <v>22.787450818140272</v>
      </c>
      <c r="DA11" s="175" t="s">
        <v>285</v>
      </c>
    </row>
    <row r="12" spans="1:105" ht="11.45" customHeight="1" x14ac:dyDescent="0.25">
      <c r="A12" s="92" t="s">
        <v>181</v>
      </c>
      <c r="B12" s="97">
        <v>71.183750352394441</v>
      </c>
      <c r="C12" s="97">
        <v>66.709969949813058</v>
      </c>
      <c r="D12" s="97">
        <v>66.980411408629493</v>
      </c>
      <c r="E12" s="97">
        <v>65.044007001014393</v>
      </c>
      <c r="F12" s="97">
        <v>76.134613678246708</v>
      </c>
      <c r="G12" s="97">
        <v>85.200340472935139</v>
      </c>
      <c r="H12" s="97">
        <v>99.896578502785829</v>
      </c>
      <c r="I12" s="97">
        <v>112.18376241019003</v>
      </c>
      <c r="J12" s="97">
        <v>128.25729822351022</v>
      </c>
      <c r="K12" s="97">
        <v>132.10011846230225</v>
      </c>
      <c r="L12" s="97">
        <v>133.16517186609397</v>
      </c>
      <c r="M12" s="97">
        <v>120.92678356999049</v>
      </c>
      <c r="N12" s="97">
        <v>126.24716185265069</v>
      </c>
      <c r="O12" s="97">
        <v>128.17081221063796</v>
      </c>
      <c r="P12" s="97">
        <v>114.77503097518064</v>
      </c>
      <c r="Q12" s="97">
        <v>116.0797542423535</v>
      </c>
      <c r="R12" s="97">
        <v>116.8766814851012</v>
      </c>
      <c r="S12" s="97">
        <v>143.81678843916268</v>
      </c>
      <c r="T12" s="97">
        <v>145.36070484863322</v>
      </c>
      <c r="U12" s="97">
        <v>140.68312626020165</v>
      </c>
      <c r="V12" s="97">
        <v>113.33165842167269</v>
      </c>
      <c r="W12" s="97">
        <v>169.02423742499278</v>
      </c>
      <c r="X12" s="97">
        <v>197.61296767521773</v>
      </c>
      <c r="Y12" s="97">
        <v>182.3217356245548</v>
      </c>
      <c r="DA12" s="175" t="s">
        <v>286</v>
      </c>
    </row>
    <row r="13" spans="1:105" ht="11.45" customHeight="1" x14ac:dyDescent="0.25">
      <c r="A13" s="85" t="s">
        <v>182</v>
      </c>
      <c r="B13" s="98">
        <v>767.5853256697053</v>
      </c>
      <c r="C13" s="98">
        <v>699.14237107839983</v>
      </c>
      <c r="D13" s="98">
        <v>741.30204949825236</v>
      </c>
      <c r="E13" s="98">
        <v>795.20477827509239</v>
      </c>
      <c r="F13" s="98">
        <v>878.85986163504401</v>
      </c>
      <c r="G13" s="98">
        <v>1035.4166643213161</v>
      </c>
      <c r="H13" s="98">
        <v>1130.5345363515135</v>
      </c>
      <c r="I13" s="98">
        <v>1173.1675865934594</v>
      </c>
      <c r="J13" s="98">
        <v>1203.663490114154</v>
      </c>
      <c r="K13" s="98">
        <v>1078.0234445041294</v>
      </c>
      <c r="L13" s="98">
        <v>1239.3454865666497</v>
      </c>
      <c r="M13" s="98">
        <v>1192.2309102538829</v>
      </c>
      <c r="N13" s="98">
        <v>1164.1089347866719</v>
      </c>
      <c r="O13" s="98">
        <v>1217.3972010953369</v>
      </c>
      <c r="P13" s="98">
        <v>1065.1986607701047</v>
      </c>
      <c r="Q13" s="98">
        <v>1063.3599772566781</v>
      </c>
      <c r="R13" s="98">
        <v>1054.4883005497097</v>
      </c>
      <c r="S13" s="98">
        <v>1213.7984828409733</v>
      </c>
      <c r="T13" s="98">
        <v>1262.2727964137912</v>
      </c>
      <c r="U13" s="98">
        <v>1179.7119797100615</v>
      </c>
      <c r="V13" s="98">
        <v>1592.2313170040641</v>
      </c>
      <c r="W13" s="98">
        <v>1906.9129635953198</v>
      </c>
      <c r="X13" s="98">
        <v>1839.8969464405366</v>
      </c>
      <c r="Y13" s="98">
        <v>1589.0593123542778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645.299236456985</v>
      </c>
      <c r="C17" s="62">
        <f>IF(C3=0,0,C3/TrAvia_act!C13*100)</f>
        <v>629.18621765015337</v>
      </c>
      <c r="D17" s="62">
        <f>IF(D3=0,0,D3/TrAvia_act!D13*100)</f>
        <v>624.91212593233718</v>
      </c>
      <c r="E17" s="62">
        <f>IF(E3=0,0,E3/TrAvia_act!E13*100)</f>
        <v>601.70672874976822</v>
      </c>
      <c r="F17" s="62">
        <f>IF(F3=0,0,F3/TrAvia_act!F13*100)</f>
        <v>587.59365967780957</v>
      </c>
      <c r="G17" s="62">
        <f>IF(G3=0,0,G3/TrAvia_act!G13*100)</f>
        <v>592.44732071826593</v>
      </c>
      <c r="H17" s="62">
        <f>IF(H3=0,0,H3/TrAvia_act!H13*100)</f>
        <v>594.11487161423656</v>
      </c>
      <c r="I17" s="62">
        <f>IF(I3=0,0,I3/TrAvia_act!I13*100)</f>
        <v>585.26691625663955</v>
      </c>
      <c r="J17" s="62">
        <f>IF(J3=0,0,J3/TrAvia_act!J13*100)</f>
        <v>586.95444499484915</v>
      </c>
      <c r="K17" s="62">
        <f>IF(K3=0,0,K3/TrAvia_act!K13*100)</f>
        <v>608.59711584791785</v>
      </c>
      <c r="L17" s="62">
        <f>IF(L3=0,0,L3/TrAvia_act!L13*100)</f>
        <v>571.9078853409967</v>
      </c>
      <c r="M17" s="62">
        <f>IF(M3=0,0,M3/TrAvia_act!M13*100)</f>
        <v>520.59316433859328</v>
      </c>
      <c r="N17" s="62">
        <f>IF(N3=0,0,N3/TrAvia_act!N13*100)</f>
        <v>562.19687188630087</v>
      </c>
      <c r="O17" s="62">
        <f>IF(O3=0,0,O3/TrAvia_act!O13*100)</f>
        <v>586.51426329018682</v>
      </c>
      <c r="P17" s="62">
        <f>IF(P3=0,0,P3/TrAvia_act!P13*100)</f>
        <v>577.12462517050619</v>
      </c>
      <c r="Q17" s="62">
        <f>IF(Q3=0,0,Q3/TrAvia_act!Q13*100)</f>
        <v>569.07381925235768</v>
      </c>
      <c r="R17" s="62">
        <f>IF(R3=0,0,R3/TrAvia_act!R13*100)</f>
        <v>601.14654296307594</v>
      </c>
      <c r="S17" s="62">
        <f>IF(S3=0,0,S3/TrAvia_act!S13*100)</f>
        <v>627.90647902691705</v>
      </c>
      <c r="T17" s="62">
        <f>IF(T3=0,0,T3/TrAvia_act!T13*100)</f>
        <v>620.47177374113448</v>
      </c>
      <c r="U17" s="62">
        <f>IF(U3=0,0,U3/TrAvia_act!U13*100)</f>
        <v>621.75895685893693</v>
      </c>
      <c r="V17" s="62">
        <f>IF(V3=0,0,V3/TrAvia_act!V13*100)</f>
        <v>634.12314303052131</v>
      </c>
      <c r="W17" s="62">
        <f>IF(W3=0,0,W3/TrAvia_act!W13*100)</f>
        <v>669.53116903745013</v>
      </c>
      <c r="X17" s="62">
        <f>IF(X3=0,0,X3/TrAvia_act!X13*100)</f>
        <v>679.34339180118263</v>
      </c>
      <c r="Y17" s="62">
        <f>IF(Y3=0,0,Y3/TrAvia_act!Y13*100)</f>
        <v>647.72098522907174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630.96021501831729</v>
      </c>
      <c r="C18" s="14">
        <f>IF(C6=0,0,C6/TrAvia_act!C14*100)</f>
        <v>616.55659394062127</v>
      </c>
      <c r="D18" s="14">
        <f>IF(D6=0,0,D6/TrAvia_act!D14*100)</f>
        <v>612.30028312959962</v>
      </c>
      <c r="E18" s="14">
        <f>IF(E6=0,0,E6/TrAvia_act!E14*100)</f>
        <v>587.25126481554446</v>
      </c>
      <c r="F18" s="14">
        <f>IF(F6=0,0,F6/TrAvia_act!F14*100)</f>
        <v>573.86584743584615</v>
      </c>
      <c r="G18" s="14">
        <f>IF(G6=0,0,G6/TrAvia_act!G14*100)</f>
        <v>577.64854173237177</v>
      </c>
      <c r="H18" s="14">
        <f>IF(H6=0,0,H6/TrAvia_act!H14*100)</f>
        <v>579.85726658798797</v>
      </c>
      <c r="I18" s="14">
        <f>IF(I6=0,0,I6/TrAvia_act!I14*100)</f>
        <v>572.16089366075039</v>
      </c>
      <c r="J18" s="14">
        <f>IF(J6=0,0,J6/TrAvia_act!J14*100)</f>
        <v>573.9950335203597</v>
      </c>
      <c r="K18" s="14">
        <f>IF(K6=0,0,K6/TrAvia_act!K14*100)</f>
        <v>596.67583093046915</v>
      </c>
      <c r="L18" s="14">
        <f>IF(L6=0,0,L6/TrAvia_act!L14*100)</f>
        <v>559.31286097128361</v>
      </c>
      <c r="M18" s="14">
        <f>IF(M6=0,0,M6/TrAvia_act!M14*100)</f>
        <v>508.74739127470502</v>
      </c>
      <c r="N18" s="14">
        <f>IF(N6=0,0,N6/TrAvia_act!N14*100)</f>
        <v>549.91724156559087</v>
      </c>
      <c r="O18" s="14">
        <f>IF(O6=0,0,O6/TrAvia_act!O14*100)</f>
        <v>572.30257012886523</v>
      </c>
      <c r="P18" s="14">
        <f>IF(P6=0,0,P6/TrAvia_act!P14*100)</f>
        <v>565.33594389161885</v>
      </c>
      <c r="Q18" s="14">
        <f>IF(Q6=0,0,Q6/TrAvia_act!Q14*100)</f>
        <v>557.77922671138072</v>
      </c>
      <c r="R18" s="14">
        <f>IF(R6=0,0,R6/TrAvia_act!R14*100)</f>
        <v>591.38185960288729</v>
      </c>
      <c r="S18" s="14">
        <f>IF(S6=0,0,S6/TrAvia_act!S14*100)</f>
        <v>615.59472316476194</v>
      </c>
      <c r="T18" s="14">
        <f>IF(T6=0,0,T6/TrAvia_act!T14*100)</f>
        <v>604.77359837295251</v>
      </c>
      <c r="U18" s="14">
        <f>IF(U6=0,0,U6/TrAvia_act!U14*100)</f>
        <v>607.89792952568632</v>
      </c>
      <c r="V18" s="14">
        <f>IF(V6=0,0,V6/TrAvia_act!V14*100)</f>
        <v>590.39997442986817</v>
      </c>
      <c r="W18" s="14">
        <f>IF(W6=0,0,W6/TrAvia_act!W14*100)</f>
        <v>625.50164354595984</v>
      </c>
      <c r="X18" s="14">
        <f>IF(X6=0,0,X6/TrAvia_act!X14*100)</f>
        <v>649.48875534048284</v>
      </c>
      <c r="Y18" s="14">
        <f>IF(Y6=0,0,Y6/TrAvia_act!Y14*100)</f>
        <v>626.34850324686295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563.62863259333085</v>
      </c>
      <c r="C19" s="87">
        <f>IF(C7=0,0,C7/TrAvia_act!C15*100)</f>
        <v>562.52691287652362</v>
      </c>
      <c r="D19" s="87">
        <f>IF(D7=0,0,D7/TrAvia_act!D15*100)</f>
        <v>540.43406764458507</v>
      </c>
      <c r="E19" s="87">
        <f>IF(E7=0,0,E7/TrAvia_act!E15*100)</f>
        <v>513.89575740913347</v>
      </c>
      <c r="F19" s="87">
        <f>IF(F7=0,0,F7/TrAvia_act!F15*100)</f>
        <v>504.19954372475172</v>
      </c>
      <c r="G19" s="87">
        <f>IF(G7=0,0,G7/TrAvia_act!G15*100)</f>
        <v>522.55834492569545</v>
      </c>
      <c r="H19" s="87">
        <f>IF(H7=0,0,H7/TrAvia_act!H15*100)</f>
        <v>523.92070760516413</v>
      </c>
      <c r="I19" s="87">
        <f>IF(I7=0,0,I7/TrAvia_act!I15*100)</f>
        <v>517.88519002240253</v>
      </c>
      <c r="J19" s="87">
        <f>IF(J7=0,0,J7/TrAvia_act!J15*100)</f>
        <v>528.43780684366777</v>
      </c>
      <c r="K19" s="87">
        <f>IF(K7=0,0,K7/TrAvia_act!K15*100)</f>
        <v>551.81488308674125</v>
      </c>
      <c r="L19" s="87">
        <f>IF(L7=0,0,L7/TrAvia_act!L15*100)</f>
        <v>528.50274828087538</v>
      </c>
      <c r="M19" s="87">
        <f>IF(M7=0,0,M7/TrAvia_act!M15*100)</f>
        <v>429.26837278961523</v>
      </c>
      <c r="N19" s="87">
        <f>IF(N7=0,0,N7/TrAvia_act!N15*100)</f>
        <v>457.50487533237288</v>
      </c>
      <c r="O19" s="87">
        <f>IF(O7=0,0,O7/TrAvia_act!O15*100)</f>
        <v>469.81618255250737</v>
      </c>
      <c r="P19" s="87">
        <f>IF(P7=0,0,P7/TrAvia_act!P15*100)</f>
        <v>603.54969071717392</v>
      </c>
      <c r="Q19" s="87">
        <f>IF(Q7=0,0,Q7/TrAvia_act!Q15*100)</f>
        <v>622.33409166147555</v>
      </c>
      <c r="R19" s="87">
        <f>IF(R7=0,0,R7/TrAvia_act!R15*100)</f>
        <v>649.33854605056558</v>
      </c>
      <c r="S19" s="87">
        <f>IF(S7=0,0,S7/TrAvia_act!S15*100)</f>
        <v>585.65924942269544</v>
      </c>
      <c r="T19" s="87">
        <f>IF(T7=0,0,T7/TrAvia_act!T15*100)</f>
        <v>548.62393270898565</v>
      </c>
      <c r="U19" s="87">
        <f>IF(U7=0,0,U7/TrAvia_act!U15*100)</f>
        <v>613.34485857727532</v>
      </c>
      <c r="V19" s="87">
        <f>IF(V7=0,0,V7/TrAvia_act!V15*100)</f>
        <v>656.86780762934643</v>
      </c>
      <c r="W19" s="87">
        <f>IF(W7=0,0,W7/TrAvia_act!W15*100)</f>
        <v>688.7020339737943</v>
      </c>
      <c r="X19" s="87">
        <f>IF(X7=0,0,X7/TrAvia_act!X15*100)</f>
        <v>592.63992721739783</v>
      </c>
      <c r="Y19" s="87">
        <f>IF(Y7=0,0,Y7/TrAvia_act!Y15*100)</f>
        <v>600.70642286300244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412.84352357050471</v>
      </c>
      <c r="C20" s="87">
        <f>IF(C8=0,0,C8/TrAvia_act!C16*100)</f>
        <v>397.93934762302001</v>
      </c>
      <c r="D20" s="87">
        <f>IF(D8=0,0,D8/TrAvia_act!D16*100)</f>
        <v>390.21086710890819</v>
      </c>
      <c r="E20" s="87">
        <f>IF(E8=0,0,E8/TrAvia_act!E16*100)</f>
        <v>381.05459121207048</v>
      </c>
      <c r="F20" s="87">
        <f>IF(F8=0,0,F8/TrAvia_act!F16*100)</f>
        <v>368.8508110226623</v>
      </c>
      <c r="G20" s="87">
        <f>IF(G8=0,0,G8/TrAvia_act!G16*100)</f>
        <v>373.72260370051833</v>
      </c>
      <c r="H20" s="87">
        <f>IF(H8=0,0,H8/TrAvia_act!H16*100)</f>
        <v>384.00476054802004</v>
      </c>
      <c r="I20" s="87">
        <f>IF(I8=0,0,I8/TrAvia_act!I16*100)</f>
        <v>390.24796983338905</v>
      </c>
      <c r="J20" s="87">
        <f>IF(J8=0,0,J8/TrAvia_act!J16*100)</f>
        <v>391.73555102900781</v>
      </c>
      <c r="K20" s="87">
        <f>IF(K8=0,0,K8/TrAvia_act!K16*100)</f>
        <v>405.6225149665284</v>
      </c>
      <c r="L20" s="87">
        <f>IF(L8=0,0,L8/TrAvia_act!L16*100)</f>
        <v>390.35900361595702</v>
      </c>
      <c r="M20" s="87">
        <f>IF(M8=0,0,M8/TrAvia_act!M16*100)</f>
        <v>363.26392192657346</v>
      </c>
      <c r="N20" s="87">
        <f>IF(N8=0,0,N8/TrAvia_act!N16*100)</f>
        <v>398.39378521597848</v>
      </c>
      <c r="O20" s="87">
        <f>IF(O8=0,0,O8/TrAvia_act!O16*100)</f>
        <v>407.98691927537203</v>
      </c>
      <c r="P20" s="87">
        <f>IF(P8=0,0,P8/TrAvia_act!P16*100)</f>
        <v>390.32872273226013</v>
      </c>
      <c r="Q20" s="87">
        <f>IF(Q8=0,0,Q8/TrAvia_act!Q16*100)</f>
        <v>386.39975621835873</v>
      </c>
      <c r="R20" s="87">
        <f>IF(R8=0,0,R8/TrAvia_act!R16*100)</f>
        <v>407.04284045822749</v>
      </c>
      <c r="S20" s="87">
        <f>IF(S8=0,0,S8/TrAvia_act!S16*100)</f>
        <v>434.13830102359583</v>
      </c>
      <c r="T20" s="87">
        <f>IF(T8=0,0,T8/TrAvia_act!T16*100)</f>
        <v>422.87018733097671</v>
      </c>
      <c r="U20" s="87">
        <f>IF(U8=0,0,U8/TrAvia_act!U16*100)</f>
        <v>422.79558709767366</v>
      </c>
      <c r="V20" s="87">
        <f>IF(V8=0,0,V8/TrAvia_act!V16*100)</f>
        <v>334.15852072726062</v>
      </c>
      <c r="W20" s="87">
        <f>IF(W8=0,0,W8/TrAvia_act!W16*100)</f>
        <v>407.19481031520036</v>
      </c>
      <c r="X20" s="87">
        <f>IF(X8=0,0,X8/TrAvia_act!X16*100)</f>
        <v>475.82180457000317</v>
      </c>
      <c r="Y20" s="87">
        <f>IF(Y8=0,0,Y8/TrAvia_act!Y16*100)</f>
        <v>466.06278588515045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880.10004185263426</v>
      </c>
      <c r="C21" s="87">
        <f>IF(C9=0,0,C9/TrAvia_act!C17*100)</f>
        <v>848.08646425597624</v>
      </c>
      <c r="D21" s="87">
        <f>IF(D9=0,0,D9/TrAvia_act!D17*100)</f>
        <v>830.52963781593064</v>
      </c>
      <c r="E21" s="87">
        <f>IF(E9=0,0,E9/TrAvia_act!E17*100)</f>
        <v>810.86994922930091</v>
      </c>
      <c r="F21" s="87">
        <f>IF(F9=0,0,F9/TrAvia_act!F17*100)</f>
        <v>784.39237344313563</v>
      </c>
      <c r="G21" s="87">
        <f>IF(G9=0,0,G9/TrAvia_act!G17*100)</f>
        <v>780.52076029115392</v>
      </c>
      <c r="H21" s="87">
        <f>IF(H9=0,0,H9/TrAvia_act!H17*100)</f>
        <v>775.12866127461018</v>
      </c>
      <c r="I21" s="87">
        <f>IF(I9=0,0,I9/TrAvia_act!I17*100)</f>
        <v>750.13936607931385</v>
      </c>
      <c r="J21" s="87">
        <f>IF(J9=0,0,J9/TrAvia_act!J17*100)</f>
        <v>742.78996329126039</v>
      </c>
      <c r="K21" s="87">
        <f>IF(K9=0,0,K9/TrAvia_act!K17*100)</f>
        <v>762.29216269294045</v>
      </c>
      <c r="L21" s="87">
        <f>IF(L9=0,0,L9/TrAvia_act!L17*100)</f>
        <v>695.85576505433437</v>
      </c>
      <c r="M21" s="87">
        <f>IF(M9=0,0,M9/TrAvia_act!M17*100)</f>
        <v>638.60253658060458</v>
      </c>
      <c r="N21" s="87">
        <f>IF(N9=0,0,N9/TrAvia_act!N17*100)</f>
        <v>679.76987861476402</v>
      </c>
      <c r="O21" s="87">
        <f>IF(O9=0,0,O9/TrAvia_act!O17*100)</f>
        <v>714.31684460640565</v>
      </c>
      <c r="P21" s="87">
        <f>IF(P9=0,0,P9/TrAvia_act!P17*100)</f>
        <v>689.66753992719714</v>
      </c>
      <c r="Q21" s="87">
        <f>IF(Q9=0,0,Q9/TrAvia_act!Q17*100)</f>
        <v>675.15030188912976</v>
      </c>
      <c r="R21" s="87">
        <f>IF(R9=0,0,R9/TrAvia_act!R17*100)</f>
        <v>732.66077350419675</v>
      </c>
      <c r="S21" s="87">
        <f>IF(S9=0,0,S9/TrAvia_act!S17*100)</f>
        <v>772.77070489241476</v>
      </c>
      <c r="T21" s="87">
        <f>IF(T9=0,0,T9/TrAvia_act!T17*100)</f>
        <v>766.61302971470195</v>
      </c>
      <c r="U21" s="87">
        <f>IF(U9=0,0,U9/TrAvia_act!U17*100)</f>
        <v>752.0402451654528</v>
      </c>
      <c r="V21" s="87">
        <f>IF(V9=0,0,V9/TrAvia_act!V17*100)</f>
        <v>786.2291641065126</v>
      </c>
      <c r="W21" s="87">
        <f>IF(W9=0,0,W9/TrAvia_act!W17*100)</f>
        <v>788.20150337856762</v>
      </c>
      <c r="X21" s="87">
        <f>IF(X9=0,0,X9/TrAvia_act!X17*100)</f>
        <v>793.86485617160463</v>
      </c>
      <c r="Y21" s="87">
        <f>IF(Y9=0,0,Y9/TrAvia_act!Y17*100)</f>
        <v>746.15536134713329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777.42779250857609</v>
      </c>
      <c r="C22" s="15">
        <f>IF(C10=0,0,C10/TrAvia_act!C18*100)</f>
        <v>749.64717453087883</v>
      </c>
      <c r="D22" s="15">
        <f>IF(D10=0,0,D10/TrAvia_act!D18*100)</f>
        <v>737.85782978052498</v>
      </c>
      <c r="E22" s="15">
        <f>IF(E10=0,0,E10/TrAvia_act!E18*100)</f>
        <v>726.74160542961636</v>
      </c>
      <c r="F22" s="15">
        <f>IF(F10=0,0,F10/TrAvia_act!F18*100)</f>
        <v>701.96824428672414</v>
      </c>
      <c r="G22" s="15">
        <f>IF(G10=0,0,G10/TrAvia_act!G18*100)</f>
        <v>704.60649917277976</v>
      </c>
      <c r="H22" s="15">
        <f>IF(H10=0,0,H10/TrAvia_act!H18*100)</f>
        <v>695.01357631073995</v>
      </c>
      <c r="I22" s="15">
        <f>IF(I10=0,0,I10/TrAvia_act!I18*100)</f>
        <v>676.00042737106128</v>
      </c>
      <c r="J22" s="15">
        <f>IF(J10=0,0,J10/TrAvia_act!J18*100)</f>
        <v>673.20077229889853</v>
      </c>
      <c r="K22" s="15">
        <f>IF(K10=0,0,K10/TrAvia_act!K18*100)</f>
        <v>693.91479719435699</v>
      </c>
      <c r="L22" s="15">
        <f>IF(L10=0,0,L10/TrAvia_act!L18*100)</f>
        <v>648.26219815582374</v>
      </c>
      <c r="M22" s="15">
        <f>IF(M10=0,0,M10/TrAvia_act!M18*100)</f>
        <v>593.48728971449191</v>
      </c>
      <c r="N22" s="15">
        <f>IF(N10=0,0,N10/TrAvia_act!N18*100)</f>
        <v>645.4477379764453</v>
      </c>
      <c r="O22" s="15">
        <f>IF(O10=0,0,O10/TrAvia_act!O18*100)</f>
        <v>681.13325199922269</v>
      </c>
      <c r="P22" s="15">
        <f>IF(P10=0,0,P10/TrAvia_act!P18*100)</f>
        <v>663.51581958933536</v>
      </c>
      <c r="Q22" s="15">
        <f>IF(Q10=0,0,Q10/TrAvia_act!Q18*100)</f>
        <v>651.60006346888417</v>
      </c>
      <c r="R22" s="15">
        <f>IF(R10=0,0,R10/TrAvia_act!R18*100)</f>
        <v>677.84216993402811</v>
      </c>
      <c r="S22" s="15">
        <f>IF(S10=0,0,S10/TrAvia_act!S18*100)</f>
        <v>719.66089343667738</v>
      </c>
      <c r="T22" s="15">
        <f>IF(T10=0,0,T10/TrAvia_act!T18*100)</f>
        <v>742.19395625817469</v>
      </c>
      <c r="U22" s="15">
        <f>IF(U10=0,0,U10/TrAvia_act!U18*100)</f>
        <v>735.71679007867021</v>
      </c>
      <c r="V22" s="15">
        <f>IF(V10=0,0,V10/TrAvia_act!V18*100)</f>
        <v>731.70150641250734</v>
      </c>
      <c r="W22" s="15">
        <f>IF(W10=0,0,W10/TrAvia_act!W18*100)</f>
        <v>777.8385037264801</v>
      </c>
      <c r="X22" s="15">
        <f>IF(X10=0,0,X10/TrAvia_act!X18*100)</f>
        <v>809.73932946627053</v>
      </c>
      <c r="Y22" s="15">
        <f>IF(Y10=0,0,Y10/TrAvia_act!Y18*100)</f>
        <v>762.22744105827076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620.08090025402112</v>
      </c>
      <c r="C23" s="101">
        <f>IF(C11=0,0,C11/TrAvia_act!C19*100)</f>
        <v>618.86883380757013</v>
      </c>
      <c r="D23" s="101">
        <f>IF(D11=0,0,D11/TrAvia_act!D19*100)</f>
        <v>594.56319962152713</v>
      </c>
      <c r="E23" s="101">
        <f>IF(E11=0,0,E11/TrAvia_act!E19*100)</f>
        <v>565.36684877912296</v>
      </c>
      <c r="F23" s="101">
        <f>IF(F11=0,0,F11/TrAvia_act!F19*100)</f>
        <v>554.69947568488772</v>
      </c>
      <c r="G23" s="101">
        <f>IF(G11=0,0,G11/TrAvia_act!G19*100)</f>
        <v>575.01985115548041</v>
      </c>
      <c r="H23" s="101">
        <f>IF(H11=0,0,H11/TrAvia_act!H19*100)</f>
        <v>577.00633677933388</v>
      </c>
      <c r="I23" s="101">
        <f>IF(I11=0,0,I11/TrAvia_act!I19*100)</f>
        <v>571.68220691092677</v>
      </c>
      <c r="J23" s="101">
        <f>IF(J11=0,0,J11/TrAvia_act!J19*100)</f>
        <v>587.10072423603435</v>
      </c>
      <c r="K23" s="101">
        <f>IF(K11=0,0,K11/TrAvia_act!K19*100)</f>
        <v>615.30923785865616</v>
      </c>
      <c r="L23" s="101">
        <f>IF(L11=0,0,L11/TrAvia_act!L19*100)</f>
        <v>592.65068218153954</v>
      </c>
      <c r="M23" s="101">
        <f>IF(M11=0,0,M11/TrAvia_act!M19*100)</f>
        <v>491.67233540478657</v>
      </c>
      <c r="N23" s="101">
        <f>IF(N11=0,0,N11/TrAvia_act!N19*100)</f>
        <v>533.76891793484572</v>
      </c>
      <c r="O23" s="101">
        <f>IF(O11=0,0,O11/TrAvia_act!O19*100)</f>
        <v>545.54189454643563</v>
      </c>
      <c r="P23" s="101">
        <f>IF(P11=0,0,P11/TrAvia_act!P19*100)</f>
        <v>695.9703004909411</v>
      </c>
      <c r="Q23" s="101">
        <f>IF(Q11=0,0,Q11/TrAvia_act!Q19*100)</f>
        <v>713.60152343717061</v>
      </c>
      <c r="R23" s="101">
        <f>IF(R11=0,0,R11/TrAvia_act!R19*100)</f>
        <v>738.67741744655291</v>
      </c>
      <c r="S23" s="101">
        <f>IF(S11=0,0,S11/TrAvia_act!S19*100)</f>
        <v>663.02721657240909</v>
      </c>
      <c r="T23" s="101">
        <f>IF(T11=0,0,T11/TrAvia_act!T19*100)</f>
        <v>617.21942380429152</v>
      </c>
      <c r="U23" s="101">
        <f>IF(U11=0,0,U11/TrAvia_act!U19*100)</f>
        <v>690.91017240775921</v>
      </c>
      <c r="V23" s="101">
        <f>IF(V11=0,0,V11/TrAvia_act!V19*100)</f>
        <v>750.63301442724367</v>
      </c>
      <c r="W23" s="101">
        <f>IF(W11=0,0,W11/TrAvia_act!W19*100)</f>
        <v>792.60754050054732</v>
      </c>
      <c r="X23" s="101">
        <f>IF(X11=0,0,X11/TrAvia_act!X19*100)</f>
        <v>659.21118488221953</v>
      </c>
      <c r="Y23" s="101">
        <f>IF(Y11=0,0,Y11/TrAvia_act!Y19*100)</f>
        <v>654.18420872162699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431.52106970022845</v>
      </c>
      <c r="C24" s="101">
        <f>IF(C12=0,0,C12/TrAvia_act!C20*100)</f>
        <v>416.67155932383298</v>
      </c>
      <c r="D24" s="101">
        <f>IF(D12=0,0,D12/TrAvia_act!D20*100)</f>
        <v>409.28526698549666</v>
      </c>
      <c r="E24" s="101">
        <f>IF(E12=0,0,E12/TrAvia_act!E20*100)</f>
        <v>399.74221659880629</v>
      </c>
      <c r="F24" s="101">
        <f>IF(F12=0,0,F12/TrAvia_act!F20*100)</f>
        <v>387.16798710258831</v>
      </c>
      <c r="G24" s="101">
        <f>IF(G12=0,0,G12/TrAvia_act!G20*100)</f>
        <v>393.63220699147246</v>
      </c>
      <c r="H24" s="101">
        <f>IF(H12=0,0,H12/TrAvia_act!H20*100)</f>
        <v>399.39417098490651</v>
      </c>
      <c r="I24" s="101">
        <f>IF(I12=0,0,I12/TrAvia_act!I20*100)</f>
        <v>400.86897721753684</v>
      </c>
      <c r="J24" s="101">
        <f>IF(J12=0,0,J12/TrAvia_act!J20*100)</f>
        <v>397.63633374866737</v>
      </c>
      <c r="K24" s="101">
        <f>IF(K12=0,0,K12/TrAvia_act!K20*100)</f>
        <v>405.8094059564412</v>
      </c>
      <c r="L24" s="101">
        <f>IF(L12=0,0,L12/TrAvia_act!L20*100)</f>
        <v>387.30464715197945</v>
      </c>
      <c r="M24" s="101">
        <f>IF(M12=0,0,M12/TrAvia_act!M20*100)</f>
        <v>362.33217876342741</v>
      </c>
      <c r="N24" s="101">
        <f>IF(N12=0,0,N12/TrAvia_act!N20*100)</f>
        <v>398.55204040187891</v>
      </c>
      <c r="O24" s="101">
        <f>IF(O12=0,0,O12/TrAvia_act!O20*100)</f>
        <v>409.34286820217574</v>
      </c>
      <c r="P24" s="101">
        <f>IF(P12=0,0,P12/TrAvia_act!P20*100)</f>
        <v>391.33826992266103</v>
      </c>
      <c r="Q24" s="101">
        <f>IF(Q12=0,0,Q12/TrAvia_act!Q20*100)</f>
        <v>389.7271792406853</v>
      </c>
      <c r="R24" s="101">
        <f>IF(R12=0,0,R12/TrAvia_act!R20*100)</f>
        <v>410.39648986553539</v>
      </c>
      <c r="S24" s="101">
        <f>IF(S12=0,0,S12/TrAvia_act!S20*100)</f>
        <v>438.79406216990714</v>
      </c>
      <c r="T24" s="101">
        <f>IF(T12=0,0,T12/TrAvia_act!T20*100)</f>
        <v>431.20975753139749</v>
      </c>
      <c r="U24" s="101">
        <f>IF(U12=0,0,U12/TrAvia_act!U20*100)</f>
        <v>432.63776931460927</v>
      </c>
      <c r="V24" s="101">
        <f>IF(V12=0,0,V12/TrAvia_act!V20*100)</f>
        <v>314.30756332516421</v>
      </c>
      <c r="W24" s="101">
        <f>IF(W12=0,0,W12/TrAvia_act!W20*100)</f>
        <v>387.4439463708149</v>
      </c>
      <c r="X24" s="101">
        <f>IF(X12=0,0,X12/TrAvia_act!X20*100)</f>
        <v>477.34948157393927</v>
      </c>
      <c r="Y24" s="101">
        <f>IF(Y12=0,0,Y12/TrAvia_act!Y20*100)</f>
        <v>471.98130067920079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855.67271712385752</v>
      </c>
      <c r="C25" s="88">
        <f>IF(C13=0,0,C13/TrAvia_act!C21*100)</f>
        <v>824.54768175932736</v>
      </c>
      <c r="D25" s="88">
        <f>IF(D13=0,0,D13/TrAvia_act!D21*100)</f>
        <v>807.47814799086814</v>
      </c>
      <c r="E25" s="88">
        <f>IF(E13=0,0,E13/TrAvia_act!E21*100)</f>
        <v>788.36411736848686</v>
      </c>
      <c r="F25" s="88">
        <f>IF(F13=0,0,F13/TrAvia_act!F21*100)</f>
        <v>762.62143115282754</v>
      </c>
      <c r="G25" s="88">
        <f>IF(G13=0,0,G13/TrAvia_act!G21*100)</f>
        <v>758.44663592617803</v>
      </c>
      <c r="H25" s="88">
        <f>IF(H13=0,0,H13/TrAvia_act!H21*100)</f>
        <v>747.9808009452222</v>
      </c>
      <c r="I25" s="88">
        <f>IF(I13=0,0,I13/TrAvia_act!I21*100)</f>
        <v>727.04058769037806</v>
      </c>
      <c r="J25" s="88">
        <f>IF(J13=0,0,J13/TrAvia_act!J21*100)</f>
        <v>730.45366312637918</v>
      </c>
      <c r="K25" s="88">
        <f>IF(K13=0,0,K13/TrAvia_act!K21*100)</f>
        <v>763.28743673824249</v>
      </c>
      <c r="L25" s="88">
        <f>IF(L13=0,0,L13/TrAvia_act!L21*100)</f>
        <v>700.51797416043587</v>
      </c>
      <c r="M25" s="88">
        <f>IF(M13=0,0,M13/TrAvia_act!M21*100)</f>
        <v>637.20143212770608</v>
      </c>
      <c r="N25" s="88">
        <f>IF(N13=0,0,N13/TrAvia_act!N21*100)</f>
        <v>694.88186616395444</v>
      </c>
      <c r="O25" s="88">
        <f>IF(O13=0,0,O13/TrAvia_act!O21*100)</f>
        <v>735.69752650238513</v>
      </c>
      <c r="P25" s="88">
        <f>IF(P13=0,0,P13/TrAvia_act!P21*100)</f>
        <v>716.42305723371328</v>
      </c>
      <c r="Q25" s="88">
        <f>IF(Q13=0,0,Q13/TrAvia_act!Q21*100)</f>
        <v>701.60873036095359</v>
      </c>
      <c r="R25" s="88">
        <f>IF(R13=0,0,R13/TrAvia_act!R21*100)</f>
        <v>729.08626402206119</v>
      </c>
      <c r="S25" s="88">
        <f>IF(S13=0,0,S13/TrAvia_act!S21*100)</f>
        <v>780.23408482922218</v>
      </c>
      <c r="T25" s="88">
        <f>IF(T13=0,0,T13/TrAvia_act!T21*100)</f>
        <v>812.81453659490057</v>
      </c>
      <c r="U25" s="88">
        <f>IF(U13=0,0,U13/TrAvia_act!U21*100)</f>
        <v>803.9279407969774</v>
      </c>
      <c r="V25" s="88">
        <f>IF(V13=0,0,V13/TrAvia_act!V21*100)</f>
        <v>807.7164076341885</v>
      </c>
      <c r="W25" s="88">
        <f>IF(W13=0,0,W13/TrAvia_act!W21*100)</f>
        <v>853.85419007808446</v>
      </c>
      <c r="X25" s="88">
        <f>IF(X13=0,0,X13/TrAvia_act!X21*100)</f>
        <v>878.03636984147624</v>
      </c>
      <c r="Y25" s="88">
        <f>IF(Y13=0,0,Y13/TrAvia_act!Y21*100)</f>
        <v>822.18563442201196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44.379084445059739</v>
      </c>
      <c r="C28" s="14">
        <f>IF(C6=0,0,C6/TrAvia_act!C4*1000)</f>
        <v>42.98837641489127</v>
      </c>
      <c r="D28" s="14">
        <f>IF(D6=0,0,D6/TrAvia_act!D4*1000)</f>
        <v>43.155647842662972</v>
      </c>
      <c r="E28" s="14">
        <f>IF(E6=0,0,E6/TrAvia_act!E4*1000)</f>
        <v>41.456527909393067</v>
      </c>
      <c r="F28" s="14">
        <f>IF(F6=0,0,F6/TrAvia_act!F4*1000)</f>
        <v>39.295230840851247</v>
      </c>
      <c r="G28" s="14">
        <f>IF(G6=0,0,G6/TrAvia_act!G4*1000)</f>
        <v>39.198591068068112</v>
      </c>
      <c r="H28" s="14">
        <f>IF(H6=0,0,H6/TrAvia_act!H4*1000)</f>
        <v>40.072495314435798</v>
      </c>
      <c r="I28" s="14">
        <f>IF(I6=0,0,I6/TrAvia_act!I4*1000)</f>
        <v>39.859927128915125</v>
      </c>
      <c r="J28" s="14">
        <f>IF(J6=0,0,J6/TrAvia_act!J4*1000)</f>
        <v>40.427223644602492</v>
      </c>
      <c r="K28" s="14">
        <f>IF(K6=0,0,K6/TrAvia_act!K4*1000)</f>
        <v>41.458728994618447</v>
      </c>
      <c r="L28" s="14">
        <f>IF(L6=0,0,L6/TrAvia_act!L4*1000)</f>
        <v>37.135401488235971</v>
      </c>
      <c r="M28" s="14">
        <f>IF(M6=0,0,M6/TrAvia_act!M4*1000)</f>
        <v>34.297970349182464</v>
      </c>
      <c r="N28" s="14">
        <f>IF(N6=0,0,N6/TrAvia_act!N4*1000)</f>
        <v>36.143860405695605</v>
      </c>
      <c r="O28" s="14">
        <f>IF(O6=0,0,O6/TrAvia_act!O4*1000)</f>
        <v>36.13653977277373</v>
      </c>
      <c r="P28" s="14">
        <f>IF(P6=0,0,P6/TrAvia_act!P4*1000)</f>
        <v>34.809445227683369</v>
      </c>
      <c r="Q28" s="14">
        <f>IF(Q6=0,0,Q6/TrAvia_act!Q4*1000)</f>
        <v>33.646302972242431</v>
      </c>
      <c r="R28" s="14">
        <f>IF(R6=0,0,R6/TrAvia_act!R4*1000)</f>
        <v>35.429741944044864</v>
      </c>
      <c r="S28" s="14">
        <f>IF(S6=0,0,S6/TrAvia_act!S4*1000)</f>
        <v>36.08110188977269</v>
      </c>
      <c r="T28" s="14">
        <f>IF(T6=0,0,T6/TrAvia_act!T4*1000)</f>
        <v>35.628801630695591</v>
      </c>
      <c r="U28" s="14">
        <f>IF(U6=0,0,U6/TrAvia_act!U4*1000)</f>
        <v>35.067054269039218</v>
      </c>
      <c r="V28" s="14">
        <f>IF(V6=0,0,V6/TrAvia_act!V4*1000)</f>
        <v>44.503723432438001</v>
      </c>
      <c r="W28" s="14">
        <f>IF(W6=0,0,W6/TrAvia_act!W4*1000)</f>
        <v>47.368099647989418</v>
      </c>
      <c r="X28" s="14">
        <f>IF(X6=0,0,X6/TrAvia_act!X4*1000)</f>
        <v>38.816875572119876</v>
      </c>
      <c r="Y28" s="14">
        <f>IF(Y6=0,0,Y6/TrAvia_act!Y4*1000)</f>
        <v>34.135498776371925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79.70889485733197</v>
      </c>
      <c r="C29" s="87">
        <f>IF(C7=0,0,C7/TrAvia_act!C5*1000)</f>
        <v>78.813503206990532</v>
      </c>
      <c r="D29" s="87">
        <f>IF(D7=0,0,D7/TrAvia_act!D5*1000)</f>
        <v>75.599066562696891</v>
      </c>
      <c r="E29" s="87">
        <f>IF(E7=0,0,E7/TrAvia_act!E5*1000)</f>
        <v>71.690184731845889</v>
      </c>
      <c r="F29" s="87">
        <f>IF(F7=0,0,F7/TrAvia_act!F5*1000)</f>
        <v>70.990224615286209</v>
      </c>
      <c r="G29" s="87">
        <f>IF(G7=0,0,G7/TrAvia_act!G5*1000)</f>
        <v>72.923048964582179</v>
      </c>
      <c r="H29" s="87">
        <f>IF(H7=0,0,H7/TrAvia_act!H5*1000)</f>
        <v>71.237929953412049</v>
      </c>
      <c r="I29" s="87">
        <f>IF(I7=0,0,I7/TrAvia_act!I5*1000)</f>
        <v>67.145589566842318</v>
      </c>
      <c r="J29" s="87">
        <f>IF(J7=0,0,J7/TrAvia_act!J5*1000)</f>
        <v>66.075335313435119</v>
      </c>
      <c r="K29" s="87">
        <f>IF(K7=0,0,K7/TrAvia_act!K5*1000)</f>
        <v>66.638936990443312</v>
      </c>
      <c r="L29" s="87">
        <f>IF(L7=0,0,L7/TrAvia_act!L5*1000)</f>
        <v>61.430014920276044</v>
      </c>
      <c r="M29" s="87">
        <f>IF(M7=0,0,M7/TrAvia_act!M5*1000)</f>
        <v>58.148286899036712</v>
      </c>
      <c r="N29" s="87">
        <f>IF(N7=0,0,N7/TrAvia_act!N5*1000)</f>
        <v>60.376461775429298</v>
      </c>
      <c r="O29" s="87">
        <f>IF(O7=0,0,O7/TrAvia_act!O5*1000)</f>
        <v>58.988324303730238</v>
      </c>
      <c r="P29" s="87">
        <f>IF(P7=0,0,P7/TrAvia_act!P5*1000)</f>
        <v>63.050445531824259</v>
      </c>
      <c r="Q29" s="87">
        <f>IF(Q7=0,0,Q7/TrAvia_act!Q5*1000)</f>
        <v>62.715593572926899</v>
      </c>
      <c r="R29" s="87">
        <f>IF(R7=0,0,R7/TrAvia_act!R5*1000)</f>
        <v>64.440780709843878</v>
      </c>
      <c r="S29" s="87">
        <f>IF(S7=0,0,S7/TrAvia_act!S5*1000)</f>
        <v>55.816171503377987</v>
      </c>
      <c r="T29" s="87">
        <f>IF(T7=0,0,T7/TrAvia_act!T5*1000)</f>
        <v>54.209051988987042</v>
      </c>
      <c r="U29" s="87">
        <f>IF(U7=0,0,U7/TrAvia_act!U5*1000)</f>
        <v>62.0980559895808</v>
      </c>
      <c r="V29" s="87">
        <f>IF(V7=0,0,V7/TrAvia_act!V5*1000)</f>
        <v>95.546534913658888</v>
      </c>
      <c r="W29" s="87">
        <f>IF(W7=0,0,W7/TrAvia_act!W5*1000)</f>
        <v>95.395258801370758</v>
      </c>
      <c r="X29" s="87">
        <f>IF(X7=0,0,X7/TrAvia_act!X5*1000)</f>
        <v>69.229778274784294</v>
      </c>
      <c r="Y29" s="87">
        <f>IF(Y7=0,0,Y7/TrAvia_act!Y5*1000)</f>
        <v>62.160951944409874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39.610642461381396</v>
      </c>
      <c r="C30" s="87">
        <f>IF(C8=0,0,C8/TrAvia_act!C6*1000)</f>
        <v>37.4143394525913</v>
      </c>
      <c r="D30" s="87">
        <f>IF(D8=0,0,D8/TrAvia_act!D6*1000)</f>
        <v>36.428774207385054</v>
      </c>
      <c r="E30" s="87">
        <f>IF(E8=0,0,E8/TrAvia_act!E6*1000)</f>
        <v>35.895599374605624</v>
      </c>
      <c r="F30" s="87">
        <f>IF(F8=0,0,F8/TrAvia_act!F6*1000)</f>
        <v>34.463271910425391</v>
      </c>
      <c r="G30" s="87">
        <f>IF(G8=0,0,G8/TrAvia_act!G6*1000)</f>
        <v>34.239346567771655</v>
      </c>
      <c r="H30" s="87">
        <f>IF(H8=0,0,H8/TrAvia_act!H6*1000)</f>
        <v>35.674290433567172</v>
      </c>
      <c r="I30" s="87">
        <f>IF(I8=0,0,I8/TrAvia_act!I6*1000)</f>
        <v>37.823107117975688</v>
      </c>
      <c r="J30" s="87">
        <f>IF(J8=0,0,J8/TrAvia_act!J6*1000)</f>
        <v>39.526747838892554</v>
      </c>
      <c r="K30" s="87">
        <f>IF(K8=0,0,K8/TrAvia_act!K6*1000)</f>
        <v>39.756386554821532</v>
      </c>
      <c r="L30" s="87">
        <f>IF(L8=0,0,L8/TrAvia_act!L6*1000)</f>
        <v>36.548059819492345</v>
      </c>
      <c r="M30" s="87">
        <f>IF(M8=0,0,M8/TrAvia_act!M6*1000)</f>
        <v>33.064217733322565</v>
      </c>
      <c r="N30" s="87">
        <f>IF(N8=0,0,N8/TrAvia_act!N6*1000)</f>
        <v>35.091108984964215</v>
      </c>
      <c r="O30" s="87">
        <f>IF(O8=0,0,O8/TrAvia_act!O6*1000)</f>
        <v>34.516945239926024</v>
      </c>
      <c r="P30" s="87">
        <f>IF(P8=0,0,P8/TrAvia_act!P6*1000)</f>
        <v>32.20878624733141</v>
      </c>
      <c r="Q30" s="87">
        <f>IF(Q8=0,0,Q8/TrAvia_act!Q6*1000)</f>
        <v>31.475480513583385</v>
      </c>
      <c r="R30" s="87">
        <f>IF(R8=0,0,R8/TrAvia_act!R6*1000)</f>
        <v>32.84136341192341</v>
      </c>
      <c r="S30" s="87">
        <f>IF(S8=0,0,S8/TrAvia_act!S6*1000)</f>
        <v>34.365291759359636</v>
      </c>
      <c r="T30" s="87">
        <f>IF(T8=0,0,T8/TrAvia_act!T6*1000)</f>
        <v>33.306598827728351</v>
      </c>
      <c r="U30" s="87">
        <f>IF(U8=0,0,U8/TrAvia_act!U6*1000)</f>
        <v>32.554611117360849</v>
      </c>
      <c r="V30" s="87">
        <f>IF(V8=0,0,V8/TrAvia_act!V6*1000)</f>
        <v>32.988099915910922</v>
      </c>
      <c r="W30" s="87">
        <f>IF(W8=0,0,W8/TrAvia_act!W6*1000)</f>
        <v>35.742295733545276</v>
      </c>
      <c r="X30" s="87">
        <f>IF(X8=0,0,X8/TrAvia_act!X6*1000)</f>
        <v>36.743377337862967</v>
      </c>
      <c r="Y30" s="87">
        <f>IF(Y8=0,0,Y8/TrAvia_act!Y6*1000)</f>
        <v>34.360086095039819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42.610873048237359</v>
      </c>
      <c r="C31" s="87">
        <f>IF(C9=0,0,C9/TrAvia_act!C7*1000)</f>
        <v>41.784612111892294</v>
      </c>
      <c r="D31" s="87">
        <f>IF(D9=0,0,D9/TrAvia_act!D7*1000)</f>
        <v>42.648217560351526</v>
      </c>
      <c r="E31" s="87">
        <f>IF(E9=0,0,E9/TrAvia_act!E7*1000)</f>
        <v>40.724746885730696</v>
      </c>
      <c r="F31" s="87">
        <f>IF(F9=0,0,F9/TrAvia_act!F7*1000)</f>
        <v>38.409797503316959</v>
      </c>
      <c r="G31" s="87">
        <f>IF(G9=0,0,G9/TrAvia_act!G7*1000)</f>
        <v>38.372841745838208</v>
      </c>
      <c r="H31" s="87">
        <f>IF(H9=0,0,H9/TrAvia_act!H7*1000)</f>
        <v>39.133088557774684</v>
      </c>
      <c r="I31" s="87">
        <f>IF(I9=0,0,I9/TrAvia_act!I7*1000)</f>
        <v>38.035094770555922</v>
      </c>
      <c r="J31" s="87">
        <f>IF(J9=0,0,J9/TrAvia_act!J7*1000)</f>
        <v>38.229627401156272</v>
      </c>
      <c r="K31" s="87">
        <f>IF(K9=0,0,K9/TrAvia_act!K7*1000)</f>
        <v>39.655247089421145</v>
      </c>
      <c r="L31" s="87">
        <f>IF(L9=0,0,L9/TrAvia_act!L7*1000)</f>
        <v>35.0904750967835</v>
      </c>
      <c r="M31" s="87">
        <f>IF(M9=0,0,M9/TrAvia_act!M7*1000)</f>
        <v>32.696972877873158</v>
      </c>
      <c r="N31" s="87">
        <f>IF(N9=0,0,N9/TrAvia_act!N7*1000)</f>
        <v>34.56392521534282</v>
      </c>
      <c r="O31" s="87">
        <f>IF(O9=0,0,O9/TrAvia_act!O7*1000)</f>
        <v>35.012503161323622</v>
      </c>
      <c r="P31" s="87">
        <f>IF(P9=0,0,P9/TrAvia_act!P7*1000)</f>
        <v>33.744400306838294</v>
      </c>
      <c r="Q31" s="87">
        <f>IF(Q9=0,0,Q9/TrAvia_act!Q7*1000)</f>
        <v>32.389542828420339</v>
      </c>
      <c r="R31" s="87">
        <f>IF(R9=0,0,R9/TrAvia_act!R7*1000)</f>
        <v>34.38695039665302</v>
      </c>
      <c r="S31" s="87">
        <f>IF(S9=0,0,S9/TrAvia_act!S7*1000)</f>
        <v>35.452368003479769</v>
      </c>
      <c r="T31" s="87">
        <f>IF(T9=0,0,T9/TrAvia_act!T7*1000)</f>
        <v>35.45090343381019</v>
      </c>
      <c r="U31" s="87">
        <f>IF(U9=0,0,U9/TrAvia_act!U7*1000)</f>
        <v>34.424614940549738</v>
      </c>
      <c r="V31" s="87">
        <f>IF(V9=0,0,V9/TrAvia_act!V7*1000)</f>
        <v>46.903530260144237</v>
      </c>
      <c r="W31" s="87">
        <f>IF(W9=0,0,W9/TrAvia_act!W7*1000)</f>
        <v>52.04867564834074</v>
      </c>
      <c r="X31" s="87">
        <f>IF(X9=0,0,X9/TrAvia_act!X7*1000)</f>
        <v>38.713228140390207</v>
      </c>
      <c r="Y31" s="87">
        <f>IF(Y9=0,0,Y9/TrAvia_act!Y7*1000)</f>
        <v>33.046143923991274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120.20409708563797</v>
      </c>
      <c r="C32" s="15">
        <f>IF(C10=0,0,C10/TrAvia_act!C8*1000)</f>
        <v>110.80339033505525</v>
      </c>
      <c r="D32" s="15">
        <f>IF(D10=0,0,D10/TrAvia_act!D8*1000)</f>
        <v>113.72486878741117</v>
      </c>
      <c r="E32" s="15">
        <f>IF(E10=0,0,E10/TrAvia_act!E8*1000)</f>
        <v>119.50654368642567</v>
      </c>
      <c r="F32" s="15">
        <f>IF(F10=0,0,F10/TrAvia_act!F8*1000)</f>
        <v>119.41122090230368</v>
      </c>
      <c r="G32" s="15">
        <f>IF(G10=0,0,G10/TrAvia_act!G8*1000)</f>
        <v>125.38347023955768</v>
      </c>
      <c r="H32" s="15">
        <f>IF(H10=0,0,H10/TrAvia_act!H8*1000)</f>
        <v>129.15808924115879</v>
      </c>
      <c r="I32" s="15">
        <f>IF(I10=0,0,I10/TrAvia_act!I8*1000)</f>
        <v>128.10677587459702</v>
      </c>
      <c r="J32" s="15">
        <f>IF(J10=0,0,J10/TrAvia_act!J8*1000)</f>
        <v>132.29512011540322</v>
      </c>
      <c r="K32" s="15">
        <f>IF(K10=0,0,K10/TrAvia_act!K8*1000)</f>
        <v>123.81616060127311</v>
      </c>
      <c r="L32" s="15">
        <f>IF(L10=0,0,L10/TrAvia_act!L8*1000)</f>
        <v>110.90957843229616</v>
      </c>
      <c r="M32" s="15">
        <f>IF(M10=0,0,M10/TrAvia_act!M8*1000)</f>
        <v>96.852483685534636</v>
      </c>
      <c r="N32" s="15">
        <f>IF(N10=0,0,N10/TrAvia_act!N8*1000)</f>
        <v>97.67280131591211</v>
      </c>
      <c r="O32" s="15">
        <f>IF(O10=0,0,O10/TrAvia_act!O8*1000)</f>
        <v>100.94193091734041</v>
      </c>
      <c r="P32" s="15">
        <f>IF(P10=0,0,P10/TrAvia_act!P8*1000)</f>
        <v>86.098431794629121</v>
      </c>
      <c r="Q32" s="15">
        <f>IF(Q10=0,0,Q10/TrAvia_act!Q8*1000)</f>
        <v>84.585925609644363</v>
      </c>
      <c r="R32" s="15">
        <f>IF(R10=0,0,R10/TrAvia_act!R8*1000)</f>
        <v>80.169682478529154</v>
      </c>
      <c r="S32" s="15">
        <f>IF(S10=0,0,S10/TrAvia_act!S8*1000)</f>
        <v>87.314682565910914</v>
      </c>
      <c r="T32" s="15">
        <f>IF(T10=0,0,T10/TrAvia_act!T8*1000)</f>
        <v>89.28259383413068</v>
      </c>
      <c r="U32" s="15">
        <f>IF(U10=0,0,U10/TrAvia_act!U8*1000)</f>
        <v>85.129572687559786</v>
      </c>
      <c r="V32" s="15">
        <f>IF(V10=0,0,V10/TrAvia_act!V8*1000)</f>
        <v>119.25276566581852</v>
      </c>
      <c r="W32" s="15">
        <f>IF(W10=0,0,W10/TrAvia_act!W8*1000)</f>
        <v>136.69099864728057</v>
      </c>
      <c r="X32" s="15">
        <f>IF(X10=0,0,X10/TrAvia_act!X8*1000)</f>
        <v>124.59805417891086</v>
      </c>
      <c r="Y32" s="15">
        <f>IF(Y10=0,0,Y10/TrAvia_act!Y8*1000)</f>
        <v>110.08052959480838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597.58042003929177</v>
      </c>
      <c r="C33" s="101">
        <f>IF(C11=0,0,C11/TrAvia_act!C9*1000)</f>
        <v>600.99568229159763</v>
      </c>
      <c r="D33" s="101">
        <f>IF(D11=0,0,D11/TrAvia_act!D9*1000)</f>
        <v>561.48621116195989</v>
      </c>
      <c r="E33" s="101">
        <f>IF(E11=0,0,E11/TrAvia_act!E9*1000)</f>
        <v>501.94380911657646</v>
      </c>
      <c r="F33" s="101">
        <f>IF(F11=0,0,F11/TrAvia_act!F9*1000)</f>
        <v>522.98774599811065</v>
      </c>
      <c r="G33" s="101">
        <f>IF(G11=0,0,G11/TrAvia_act!G9*1000)</f>
        <v>553.98302623621032</v>
      </c>
      <c r="H33" s="101">
        <f>IF(H11=0,0,H11/TrAvia_act!H9*1000)</f>
        <v>577.92054990816405</v>
      </c>
      <c r="I33" s="101">
        <f>IF(I11=0,0,I11/TrAvia_act!I9*1000)</f>
        <v>574.72190981268943</v>
      </c>
      <c r="J33" s="101">
        <f>IF(J11=0,0,J11/TrAvia_act!J9*1000)</f>
        <v>613.47772983893299</v>
      </c>
      <c r="K33" s="101">
        <f>IF(K11=0,0,K11/TrAvia_act!K9*1000)</f>
        <v>637.44773957692394</v>
      </c>
      <c r="L33" s="101">
        <f>IF(L11=0,0,L11/TrAvia_act!L9*1000)</f>
        <v>574.0429569266156</v>
      </c>
      <c r="M33" s="101">
        <f>IF(M11=0,0,M11/TrAvia_act!M9*1000)</f>
        <v>435.62070757398504</v>
      </c>
      <c r="N33" s="101">
        <f>IF(N11=0,0,N11/TrAvia_act!N9*1000)</f>
        <v>460.36718477012454</v>
      </c>
      <c r="O33" s="101">
        <f>IF(O11=0,0,O11/TrAvia_act!O9*1000)</f>
        <v>457.86939086723731</v>
      </c>
      <c r="P33" s="101">
        <f>IF(P11=0,0,P11/TrAvia_act!P9*1000)</f>
        <v>526.29268245670357</v>
      </c>
      <c r="Q33" s="101">
        <f>IF(Q11=0,0,Q11/TrAvia_act!Q9*1000)</f>
        <v>525.77456295444961</v>
      </c>
      <c r="R33" s="101">
        <f>IF(R11=0,0,R11/TrAvia_act!R9*1000)</f>
        <v>472.36963381373141</v>
      </c>
      <c r="S33" s="101">
        <f>IF(S11=0,0,S11/TrAvia_act!S9*1000)</f>
        <v>460.55760008875473</v>
      </c>
      <c r="T33" s="101">
        <f>IF(T11=0,0,T11/TrAvia_act!T9*1000)</f>
        <v>420.57707595954213</v>
      </c>
      <c r="U33" s="101">
        <f>IF(U11=0,0,U11/TrAvia_act!U9*1000)</f>
        <v>426.94133608539642</v>
      </c>
      <c r="V33" s="101">
        <f>IF(V11=0,0,V11/TrAvia_act!V9*1000)</f>
        <v>518.12695652864738</v>
      </c>
      <c r="W33" s="101">
        <f>IF(W11=0,0,W11/TrAvia_act!W9*1000)</f>
        <v>532.69431042579617</v>
      </c>
      <c r="X33" s="101">
        <f>IF(X11=0,0,X11/TrAvia_act!X9*1000)</f>
        <v>434.96445522602119</v>
      </c>
      <c r="Y33" s="101">
        <f>IF(Y11=0,0,Y11/TrAvia_act!Y9*1000)</f>
        <v>431.90657853206159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164.0433476508056</v>
      </c>
      <c r="C34" s="101">
        <f>IF(C12=0,0,C12/TrAvia_act!C10*1000)</f>
        <v>150.02984210549116</v>
      </c>
      <c r="D34" s="101">
        <f>IF(D12=0,0,D12/TrAvia_act!D10*1000)</f>
        <v>156.48137663156993</v>
      </c>
      <c r="E34" s="101">
        <f>IF(E12=0,0,E12/TrAvia_act!E10*1000)</f>
        <v>149.36319136236486</v>
      </c>
      <c r="F34" s="101">
        <f>IF(F12=0,0,F12/TrAvia_act!F10*1000)</f>
        <v>161.58800451719839</v>
      </c>
      <c r="G34" s="101">
        <f>IF(G12=0,0,G12/TrAvia_act!G10*1000)</f>
        <v>168.5221013338583</v>
      </c>
      <c r="H34" s="101">
        <f>IF(H12=0,0,H12/TrAvia_act!H10*1000)</f>
        <v>199.65985120573404</v>
      </c>
      <c r="I34" s="101">
        <f>IF(I12=0,0,I12/TrAvia_act!I10*1000)</f>
        <v>204.95961522746563</v>
      </c>
      <c r="J34" s="101">
        <f>IF(J12=0,0,J12/TrAvia_act!J10*1000)</f>
        <v>207.50321714084023</v>
      </c>
      <c r="K34" s="101">
        <f>IF(K12=0,0,K12/TrAvia_act!K10*1000)</f>
        <v>206.59260695815178</v>
      </c>
      <c r="L34" s="101">
        <f>IF(L12=0,0,L12/TrAvia_act!L10*1000)</f>
        <v>195.07025582448136</v>
      </c>
      <c r="M34" s="101">
        <f>IF(M12=0,0,M12/TrAvia_act!M10*1000)</f>
        <v>174.92839083350566</v>
      </c>
      <c r="N34" s="101">
        <f>IF(N12=0,0,N12/TrAvia_act!N10*1000)</f>
        <v>176.95860027275558</v>
      </c>
      <c r="O34" s="101">
        <f>IF(O12=0,0,O12/TrAvia_act!O10*1000)</f>
        <v>182.50340939891277</v>
      </c>
      <c r="P34" s="101">
        <f>IF(P12=0,0,P12/TrAvia_act!P10*1000)</f>
        <v>151.41207304505099</v>
      </c>
      <c r="Q34" s="101">
        <f>IF(Q12=0,0,Q12/TrAvia_act!Q10*1000)</f>
        <v>153.34985634260036</v>
      </c>
      <c r="R34" s="101">
        <f>IF(R12=0,0,R12/TrAvia_act!R10*1000)</f>
        <v>148.25606658210921</v>
      </c>
      <c r="S34" s="101">
        <f>IF(S12=0,0,S12/TrAvia_act!S10*1000)</f>
        <v>174.13524599155463</v>
      </c>
      <c r="T34" s="101">
        <f>IF(T12=0,0,T12/TrAvia_act!T10*1000)</f>
        <v>169.74683256001171</v>
      </c>
      <c r="U34" s="101">
        <f>IF(U12=0,0,U12/TrAvia_act!U10*1000)</f>
        <v>162.14325221708287</v>
      </c>
      <c r="V34" s="101">
        <f>IF(V12=0,0,V12/TrAvia_act!V10*1000)</f>
        <v>138.58057168943554</v>
      </c>
      <c r="W34" s="101">
        <f>IF(W12=0,0,W12/TrAvia_act!W10*1000)</f>
        <v>174.39874674355826</v>
      </c>
      <c r="X34" s="101">
        <f>IF(X12=0,0,X12/TrAvia_act!X10*1000)</f>
        <v>214.20474419140837</v>
      </c>
      <c r="Y34" s="101">
        <f>IF(Y12=0,0,Y12/TrAvia_act!Y10*1000)</f>
        <v>212.02087110603188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111.4413719842431</v>
      </c>
      <c r="C35" s="88">
        <f>IF(C13=0,0,C13/TrAvia_act!C11*1000)</f>
        <v>102.47694593206523</v>
      </c>
      <c r="D35" s="88">
        <f>IF(D13=0,0,D13/TrAvia_act!D11*1000)</f>
        <v>106.28866347691832</v>
      </c>
      <c r="E35" s="88">
        <f>IF(E13=0,0,E13/TrAvia_act!E11*1000)</f>
        <v>114.20821678280335</v>
      </c>
      <c r="F35" s="88">
        <f>IF(F13=0,0,F13/TrAvia_act!F11*1000)</f>
        <v>113.82802664795753</v>
      </c>
      <c r="G35" s="88">
        <f>IF(G13=0,0,G13/TrAvia_act!G11*1000)</f>
        <v>120.37645796431524</v>
      </c>
      <c r="H35" s="88">
        <f>IF(H13=0,0,H13/TrAvia_act!H11*1000)</f>
        <v>122.80367473240491</v>
      </c>
      <c r="I35" s="88">
        <f>IF(I13=0,0,I13/TrAvia_act!I11*1000)</f>
        <v>121.39074866601352</v>
      </c>
      <c r="J35" s="88">
        <f>IF(J13=0,0,J13/TrAvia_act!J11*1000)</f>
        <v>124.46841481055922</v>
      </c>
      <c r="K35" s="88">
        <f>IF(K13=0,0,K13/TrAvia_act!K11*1000)</f>
        <v>115.32460490588618</v>
      </c>
      <c r="L35" s="88">
        <f>IF(L13=0,0,L13/TrAvia_act!L11*1000)</f>
        <v>104.11399047678339</v>
      </c>
      <c r="M35" s="88">
        <f>IF(M13=0,0,M13/TrAvia_act!M11*1000)</f>
        <v>91.378968878112232</v>
      </c>
      <c r="N35" s="88">
        <f>IF(N13=0,0,N13/TrAvia_act!N11*1000)</f>
        <v>91.841469687627523</v>
      </c>
      <c r="O35" s="88">
        <f>IF(O13=0,0,O13/TrAvia_act!O11*1000)</f>
        <v>95.190512546739143</v>
      </c>
      <c r="P35" s="88">
        <f>IF(P13=0,0,P13/TrAvia_act!P11*1000)</f>
        <v>80.763616965560715</v>
      </c>
      <c r="Q35" s="88">
        <f>IF(Q13=0,0,Q13/TrAvia_act!Q11*1000)</f>
        <v>79.127775783765316</v>
      </c>
      <c r="R35" s="88">
        <f>IF(R13=0,0,R13/TrAvia_act!R11*1000)</f>
        <v>74.889419275500444</v>
      </c>
      <c r="S35" s="88">
        <f>IF(S13=0,0,S13/TrAvia_act!S11*1000)</f>
        <v>81.140370648108885</v>
      </c>
      <c r="T35" s="88">
        <f>IF(T13=0,0,T13/TrAvia_act!T11*1000)</f>
        <v>83.480657444060213</v>
      </c>
      <c r="U35" s="88">
        <f>IF(U13=0,0,U13/TrAvia_act!U11*1000)</f>
        <v>79.354630500200514</v>
      </c>
      <c r="V35" s="88">
        <f>IF(V13=0,0,V13/TrAvia_act!V11*1000)</f>
        <v>116.62868642751864</v>
      </c>
      <c r="W35" s="88">
        <f>IF(W13=0,0,W13/TrAvia_act!W11*1000)</f>
        <v>132.63509279340897</v>
      </c>
      <c r="X35" s="88">
        <f>IF(X13=0,0,X13/TrAvia_act!X11*1000)</f>
        <v>118.18190113163267</v>
      </c>
      <c r="Y35" s="88">
        <f>IF(Y13=0,0,Y13/TrAvia_act!Y11*1000)</f>
        <v>103.27951324742034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7959.0036909934297</v>
      </c>
      <c r="C37" s="62">
        <f>IF(C3=0,0,C3/TrAvia_act!C23*1000000)</f>
        <v>7937.3654451029561</v>
      </c>
      <c r="D37" s="62">
        <f>IF(D3=0,0,D3/TrAvia_act!D23*1000000)</f>
        <v>8057.0566586698478</v>
      </c>
      <c r="E37" s="62">
        <f>IF(E3=0,0,E3/TrAvia_act!E23*1000000)</f>
        <v>7676.1388656969057</v>
      </c>
      <c r="F37" s="62">
        <f>IF(F3=0,0,F3/TrAvia_act!F23*1000000)</f>
        <v>7758.4065787604932</v>
      </c>
      <c r="G37" s="62">
        <f>IF(G3=0,0,G3/TrAvia_act!G23*1000000)</f>
        <v>8012.5906969650305</v>
      </c>
      <c r="H37" s="62">
        <f>IF(H3=0,0,H3/TrAvia_act!H23*1000000)</f>
        <v>8140.7654002982572</v>
      </c>
      <c r="I37" s="62">
        <f>IF(I3=0,0,I3/TrAvia_act!I23*1000000)</f>
        <v>8156.5104515378162</v>
      </c>
      <c r="J37" s="62">
        <f>IF(J3=0,0,J3/TrAvia_act!J23*1000000)</f>
        <v>8210.5564236947757</v>
      </c>
      <c r="K37" s="62">
        <f>IF(K3=0,0,K3/TrAvia_act!K23*1000000)</f>
        <v>8579.1423402634955</v>
      </c>
      <c r="L37" s="62">
        <f>IF(L3=0,0,L3/TrAvia_act!L23*1000000)</f>
        <v>8403.378662590867</v>
      </c>
      <c r="M37" s="62">
        <f>IF(M3=0,0,M3/TrAvia_act!M23*1000000)</f>
        <v>7504.88278510693</v>
      </c>
      <c r="N37" s="62">
        <f>IF(N3=0,0,N3/TrAvia_act!N23*1000000)</f>
        <v>8204.1071585669961</v>
      </c>
      <c r="O37" s="62">
        <f>IF(O3=0,0,O3/TrAvia_act!O23*1000000)</f>
        <v>8666.1627033708046</v>
      </c>
      <c r="P37" s="62">
        <f>IF(P3=0,0,P3/TrAvia_act!P23*1000000)</f>
        <v>8876.3669285484903</v>
      </c>
      <c r="Q37" s="62">
        <f>IF(Q3=0,0,Q3/TrAvia_act!Q23*1000000)</f>
        <v>8838.3899883490085</v>
      </c>
      <c r="R37" s="62">
        <f>IF(R3=0,0,R3/TrAvia_act!R23*1000000)</f>
        <v>9339.2463599890634</v>
      </c>
      <c r="S37" s="62">
        <f>IF(S3=0,0,S3/TrAvia_act!S23*1000000)</f>
        <v>9957.4824739250271</v>
      </c>
      <c r="T37" s="62">
        <f>IF(T3=0,0,T3/TrAvia_act!T23*1000000)</f>
        <v>9865.7283812079604</v>
      </c>
      <c r="U37" s="62">
        <f>IF(U3=0,0,U3/TrAvia_act!U23*1000000)</f>
        <v>9916.9170376748625</v>
      </c>
      <c r="V37" s="62">
        <f>IF(V3=0,0,V3/TrAvia_act!V23*1000000)</f>
        <v>11515.977351205413</v>
      </c>
      <c r="W37" s="62">
        <f>IF(W3=0,0,W3/TrAvia_act!W23*1000000)</f>
        <v>13332.464985648676</v>
      </c>
      <c r="X37" s="62">
        <f>IF(X3=0,0,X3/TrAvia_act!X23*1000000)</f>
        <v>12687.874071865566</v>
      </c>
      <c r="Y37" s="62">
        <f>IF(Y3=0,0,Y3/TrAvia_act!Y23*1000000)</f>
        <v>12136.446153658777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7470.1422634476712</v>
      </c>
      <c r="C38" s="14">
        <f>IF(C6=0,0,C6/TrAvia_act!C24*1000000)</f>
        <v>7486.9720883046239</v>
      </c>
      <c r="D38" s="14">
        <f>IF(D6=0,0,D6/TrAvia_act!D24*1000000)</f>
        <v>7562.4948275062816</v>
      </c>
      <c r="E38" s="14">
        <f>IF(E6=0,0,E6/TrAvia_act!E24*1000000)</f>
        <v>7114.6593493794353</v>
      </c>
      <c r="F38" s="14">
        <f>IF(F6=0,0,F6/TrAvia_act!F24*1000000)</f>
        <v>7190.0057938466052</v>
      </c>
      <c r="G38" s="14">
        <f>IF(G6=0,0,G6/TrAvia_act!G24*1000000)</f>
        <v>7350.9678821933421</v>
      </c>
      <c r="H38" s="14">
        <f>IF(H6=0,0,H6/TrAvia_act!H24*1000000)</f>
        <v>7449.3161475925363</v>
      </c>
      <c r="I38" s="14">
        <f>IF(I6=0,0,I6/TrAvia_act!I24*1000000)</f>
        <v>7470.8459994200739</v>
      </c>
      <c r="J38" s="14">
        <f>IF(J6=0,0,J6/TrAvia_act!J24*1000000)</f>
        <v>7540.7866211777964</v>
      </c>
      <c r="K38" s="14">
        <f>IF(K6=0,0,K6/TrAvia_act!K24*1000000)</f>
        <v>7959.8260777253363</v>
      </c>
      <c r="L38" s="14">
        <f>IF(L6=0,0,L6/TrAvia_act!L24*1000000)</f>
        <v>7653.4291016582174</v>
      </c>
      <c r="M38" s="14">
        <f>IF(M6=0,0,M6/TrAvia_act!M24*1000000)</f>
        <v>6803.4046931566072</v>
      </c>
      <c r="N38" s="14">
        <f>IF(N6=0,0,N6/TrAvia_act!N24*1000000)</f>
        <v>7515.6761063691383</v>
      </c>
      <c r="O38" s="14">
        <f>IF(O6=0,0,O6/TrAvia_act!O24*1000000)</f>
        <v>7913.8978499899795</v>
      </c>
      <c r="P38" s="14">
        <f>IF(P6=0,0,P6/TrAvia_act!P24*1000000)</f>
        <v>8215.7158605590303</v>
      </c>
      <c r="Q38" s="14">
        <f>IF(Q6=0,0,Q6/TrAvia_act!Q24*1000000)</f>
        <v>8188.8725952082805</v>
      </c>
      <c r="R38" s="14">
        <f>IF(R6=0,0,R6/TrAvia_act!R24*1000000)</f>
        <v>8704.1244904502273</v>
      </c>
      <c r="S38" s="14">
        <f>IF(S6=0,0,S6/TrAvia_act!S24*1000000)</f>
        <v>9250.2187212202298</v>
      </c>
      <c r="T38" s="14">
        <f>IF(T6=0,0,T6/TrAvia_act!T24*1000000)</f>
        <v>9140.7169685653007</v>
      </c>
      <c r="U38" s="14">
        <f>IF(U6=0,0,U6/TrAvia_act!U24*1000000)</f>
        <v>9236.6478904844735</v>
      </c>
      <c r="V38" s="14">
        <f>IF(V6=0,0,V6/TrAvia_act!V24*1000000)</f>
        <v>9182.4827848492023</v>
      </c>
      <c r="W38" s="14">
        <f>IF(W6=0,0,W6/TrAvia_act!W24*1000000)</f>
        <v>11038.766105109809</v>
      </c>
      <c r="X38" s="14">
        <f>IF(X6=0,0,X6/TrAvia_act!X24*1000000)</f>
        <v>11137.087529863917</v>
      </c>
      <c r="Y38" s="14">
        <f>IF(Y6=0,0,Y6/TrAvia_act!Y24*1000000)</f>
        <v>10931.842963060801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2661.6383405199313</v>
      </c>
      <c r="C39" s="87">
        <f>IF(C7=0,0,C7/TrAvia_act!C25*1000000)</f>
        <v>2656.4356604763911</v>
      </c>
      <c r="D39" s="87">
        <f>IF(D7=0,0,D7/TrAvia_act!D25*1000000)</f>
        <v>2552.1060354004981</v>
      </c>
      <c r="E39" s="87">
        <f>IF(E7=0,0,E7/TrAvia_act!E25*1000000)</f>
        <v>2426.7834738225179</v>
      </c>
      <c r="F39" s="87">
        <f>IF(F7=0,0,F7/TrAvia_act!F25*1000000)</f>
        <v>2380.9947884935286</v>
      </c>
      <c r="G39" s="87">
        <f>IF(G7=0,0,G7/TrAvia_act!G25*1000000)</f>
        <v>2464.0460644748941</v>
      </c>
      <c r="H39" s="87">
        <f>IF(H7=0,0,H7/TrAvia_act!H25*1000000)</f>
        <v>2529.7888708611972</v>
      </c>
      <c r="I39" s="87">
        <f>IF(I7=0,0,I7/TrAvia_act!I25*1000000)</f>
        <v>2532.672829236592</v>
      </c>
      <c r="J39" s="87">
        <f>IF(J7=0,0,J7/TrAvia_act!J25*1000000)</f>
        <v>2548.4853093890665</v>
      </c>
      <c r="K39" s="87">
        <f>IF(K7=0,0,K7/TrAvia_act!K25*1000000)</f>
        <v>2672.364847269399</v>
      </c>
      <c r="L39" s="87">
        <f>IF(L7=0,0,L7/TrAvia_act!L25*1000000)</f>
        <v>2540.5572254439835</v>
      </c>
      <c r="M39" s="87">
        <f>IF(M7=0,0,M7/TrAvia_act!M25*1000000)</f>
        <v>2026.485575382</v>
      </c>
      <c r="N39" s="87">
        <f>IF(N7=0,0,N7/TrAvia_act!N25*1000000)</f>
        <v>2160.8144932850983</v>
      </c>
      <c r="O39" s="87">
        <f>IF(O7=0,0,O7/TrAvia_act!O25*1000000)</f>
        <v>2206.7283876285123</v>
      </c>
      <c r="P39" s="87">
        <f>IF(P7=0,0,P7/TrAvia_act!P25*1000000)</f>
        <v>2847.3384295422661</v>
      </c>
      <c r="Q39" s="87">
        <f>IF(Q7=0,0,Q7/TrAvia_act!Q25*1000000)</f>
        <v>2932.3642009333794</v>
      </c>
      <c r="R39" s="87">
        <f>IF(R7=0,0,R7/TrAvia_act!R25*1000000)</f>
        <v>3092.1457706227002</v>
      </c>
      <c r="S39" s="87">
        <f>IF(S7=0,0,S7/TrAvia_act!S25*1000000)</f>
        <v>2776.4539515119873</v>
      </c>
      <c r="T39" s="87">
        <f>IF(T7=0,0,T7/TrAvia_act!T25*1000000)</f>
        <v>2609.7321646305977</v>
      </c>
      <c r="U39" s="87">
        <f>IF(U7=0,0,U7/TrAvia_act!U25*1000000)</f>
        <v>2937.3867693162301</v>
      </c>
      <c r="V39" s="87">
        <f>IF(V7=0,0,V7/TrAvia_act!V25*1000000)</f>
        <v>3165.7448426317228</v>
      </c>
      <c r="W39" s="87">
        <f>IF(W7=0,0,W7/TrAvia_act!W25*1000000)</f>
        <v>3323.3826562893951</v>
      </c>
      <c r="X39" s="87">
        <f>IF(X7=0,0,X7/TrAvia_act!X25*1000000)</f>
        <v>2816.0512204860433</v>
      </c>
      <c r="Y39" s="87">
        <f>IF(Y7=0,0,Y7/TrAvia_act!Y25*1000000)</f>
        <v>2810.7061029530064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4076.6638017597857</v>
      </c>
      <c r="C40" s="87">
        <f>IF(C8=0,0,C8/TrAvia_act!C26*1000000)</f>
        <v>3938.8437372179455</v>
      </c>
      <c r="D40" s="87">
        <f>IF(D8=0,0,D8/TrAvia_act!D26*1000000)</f>
        <v>3877.6606105734554</v>
      </c>
      <c r="E40" s="87">
        <f>IF(E8=0,0,E8/TrAvia_act!E26*1000000)</f>
        <v>3785.778533767641</v>
      </c>
      <c r="F40" s="87">
        <f>IF(F8=0,0,F8/TrAvia_act!F26*1000000)</f>
        <v>3685.1050394605163</v>
      </c>
      <c r="G40" s="87">
        <f>IF(G8=0,0,G8/TrAvia_act!G26*1000000)</f>
        <v>3740.6899960360402</v>
      </c>
      <c r="H40" s="87">
        <f>IF(H8=0,0,H8/TrAvia_act!H26*1000000)</f>
        <v>3826.4305343569872</v>
      </c>
      <c r="I40" s="87">
        <f>IF(I8=0,0,I8/TrAvia_act!I26*1000000)</f>
        <v>3920.7488317793113</v>
      </c>
      <c r="J40" s="87">
        <f>IF(J8=0,0,J8/TrAvia_act!J26*1000000)</f>
        <v>3901.4760893536281</v>
      </c>
      <c r="K40" s="87">
        <f>IF(K8=0,0,K8/TrAvia_act!K26*1000000)</f>
        <v>4025.2396080402282</v>
      </c>
      <c r="L40" s="87">
        <f>IF(L8=0,0,L8/TrAvia_act!L26*1000000)</f>
        <v>3920.5217778475153</v>
      </c>
      <c r="M40" s="87">
        <f>IF(M8=0,0,M8/TrAvia_act!M26*1000000)</f>
        <v>3639.1774586211245</v>
      </c>
      <c r="N40" s="87">
        <f>IF(N8=0,0,N8/TrAvia_act!N26*1000000)</f>
        <v>3978.8208530929551</v>
      </c>
      <c r="O40" s="87">
        <f>IF(O8=0,0,O8/TrAvia_act!O26*1000000)</f>
        <v>4117.0452600068902</v>
      </c>
      <c r="P40" s="87">
        <f>IF(P8=0,0,P8/TrAvia_act!P26*1000000)</f>
        <v>4036.8320431810766</v>
      </c>
      <c r="Q40" s="87">
        <f>IF(Q8=0,0,Q8/TrAvia_act!Q26*1000000)</f>
        <v>4000.2669571773285</v>
      </c>
      <c r="R40" s="87">
        <f>IF(R8=0,0,R8/TrAvia_act!R26*1000000)</f>
        <v>4333.5914935887813</v>
      </c>
      <c r="S40" s="87">
        <f>IF(S8=0,0,S8/TrAvia_act!S26*1000000)</f>
        <v>4740.6192842511255</v>
      </c>
      <c r="T40" s="87">
        <f>IF(T8=0,0,T8/TrAvia_act!T26*1000000)</f>
        <v>4695.4302053946876</v>
      </c>
      <c r="U40" s="87">
        <f>IF(U8=0,0,U8/TrAvia_act!U26*1000000)</f>
        <v>4604.4223757848658</v>
      </c>
      <c r="V40" s="87">
        <f>IF(V8=0,0,V8/TrAvia_act!V26*1000000)</f>
        <v>3788.1531503098636</v>
      </c>
      <c r="W40" s="87">
        <f>IF(W8=0,0,W8/TrAvia_act!W26*1000000)</f>
        <v>5087.6082051746316</v>
      </c>
      <c r="X40" s="87">
        <f>IF(X8=0,0,X8/TrAvia_act!X26*1000000)</f>
        <v>5675.8656366823307</v>
      </c>
      <c r="Y40" s="87">
        <f>IF(Y8=0,0,Y8/TrAvia_act!Y26*1000000)</f>
        <v>5448.1479589701976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39451.681672838844</v>
      </c>
      <c r="C41" s="87">
        <f>IF(C9=0,0,C9/TrAvia_act!C27*1000000)</f>
        <v>38016.629505481309</v>
      </c>
      <c r="D41" s="87">
        <f>IF(D9=0,0,D9/TrAvia_act!D27*1000000)</f>
        <v>37229.620875826069</v>
      </c>
      <c r="E41" s="87">
        <f>IF(E9=0,0,E9/TrAvia_act!E27*1000000)</f>
        <v>36348.34858969575</v>
      </c>
      <c r="F41" s="87">
        <f>IF(F9=0,0,F9/TrAvia_act!F27*1000000)</f>
        <v>35161.45523472513</v>
      </c>
      <c r="G41" s="87">
        <f>IF(G9=0,0,G9/TrAvia_act!G27*1000000)</f>
        <v>35228.251958461806</v>
      </c>
      <c r="H41" s="87">
        <f>IF(H9=0,0,H9/TrAvia_act!H27*1000000)</f>
        <v>35090.697691775924</v>
      </c>
      <c r="I41" s="87">
        <f>IF(I9=0,0,I9/TrAvia_act!I27*1000000)</f>
        <v>33269.037204780245</v>
      </c>
      <c r="J41" s="87">
        <f>IF(J9=0,0,J9/TrAvia_act!J27*1000000)</f>
        <v>32490.857890539792</v>
      </c>
      <c r="K41" s="87">
        <f>IF(K9=0,0,K9/TrAvia_act!K27*1000000)</f>
        <v>32799.302448908384</v>
      </c>
      <c r="L41" s="87">
        <f>IF(L9=0,0,L9/TrAvia_act!L27*1000000)</f>
        <v>29702.431918877126</v>
      </c>
      <c r="M41" s="87">
        <f>IF(M9=0,0,M9/TrAvia_act!M27*1000000)</f>
        <v>27448.128693891587</v>
      </c>
      <c r="N41" s="87">
        <f>IF(N9=0,0,N9/TrAvia_act!N27*1000000)</f>
        <v>28756.658583124783</v>
      </c>
      <c r="O41" s="87">
        <f>IF(O9=0,0,O9/TrAvia_act!O27*1000000)</f>
        <v>29820.62821595294</v>
      </c>
      <c r="P41" s="87">
        <f>IF(P9=0,0,P9/TrAvia_act!P27*1000000)</f>
        <v>28749.285639077945</v>
      </c>
      <c r="Q41" s="87">
        <f>IF(Q9=0,0,Q9/TrAvia_act!Q27*1000000)</f>
        <v>28260.405051556656</v>
      </c>
      <c r="R41" s="87">
        <f>IF(R9=0,0,R9/TrAvia_act!R27*1000000)</f>
        <v>31694.920476090043</v>
      </c>
      <c r="S41" s="87">
        <f>IF(S9=0,0,S9/TrAvia_act!S27*1000000)</f>
        <v>33248.415948353424</v>
      </c>
      <c r="T41" s="87">
        <f>IF(T9=0,0,T9/TrAvia_act!T27*1000000)</f>
        <v>31879.493847461028</v>
      </c>
      <c r="U41" s="87">
        <f>IF(U9=0,0,U9/TrAvia_act!U27*1000000)</f>
        <v>31019.690298362322</v>
      </c>
      <c r="V41" s="87">
        <f>IF(V9=0,0,V9/TrAvia_act!V27*1000000)</f>
        <v>33850.807113515955</v>
      </c>
      <c r="W41" s="87">
        <f>IF(W9=0,0,W9/TrAvia_act!W27*1000000)</f>
        <v>31469.03964360409</v>
      </c>
      <c r="X41" s="87">
        <f>IF(X9=0,0,X9/TrAvia_act!X27*1000000)</f>
        <v>33015.318634348718</v>
      </c>
      <c r="Y41" s="87">
        <f>IF(Y9=0,0,Y9/TrAvia_act!Y27*1000000)</f>
        <v>31564.503766930047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15587.964893529073</v>
      </c>
      <c r="C42" s="15">
        <f>IF(C10=0,0,C10/TrAvia_act!C28*1000000)</f>
        <v>15030.281263726833</v>
      </c>
      <c r="D42" s="15">
        <f>IF(D10=0,0,D10/TrAvia_act!D28*1000000)</f>
        <v>15675.281672470423</v>
      </c>
      <c r="E42" s="15">
        <f>IF(E10=0,0,E10/TrAvia_act!E28*1000000)</f>
        <v>17118.886904340368</v>
      </c>
      <c r="F42" s="15">
        <f>IF(F10=0,0,F10/TrAvia_act!F28*1000000)</f>
        <v>16809.513057513748</v>
      </c>
      <c r="G42" s="15">
        <f>IF(G10=0,0,G10/TrAvia_act!G28*1000000)</f>
        <v>18178.698250722617</v>
      </c>
      <c r="H42" s="15">
        <f>IF(H10=0,0,H10/TrAvia_act!H28*1000000)</f>
        <v>18012.060234661934</v>
      </c>
      <c r="I42" s="15">
        <f>IF(I10=0,0,I10/TrAvia_act!I28*1000000)</f>
        <v>17646.627729914831</v>
      </c>
      <c r="J42" s="15">
        <f>IF(J10=0,0,J10/TrAvia_act!J28*1000000)</f>
        <v>16553.43407065811</v>
      </c>
      <c r="K42" s="15">
        <f>IF(K10=0,0,K10/TrAvia_act!K28*1000000)</f>
        <v>16460.470993783427</v>
      </c>
      <c r="L42" s="15">
        <f>IF(L10=0,0,L10/TrAvia_act!L28*1000000)</f>
        <v>17238.567425026831</v>
      </c>
      <c r="M42" s="15">
        <f>IF(M10=0,0,M10/TrAvia_act!M28*1000000)</f>
        <v>16453.954694382152</v>
      </c>
      <c r="N42" s="15">
        <f>IF(N10=0,0,N10/TrAvia_act!N28*1000000)</f>
        <v>17421.93108367045</v>
      </c>
      <c r="O42" s="15">
        <f>IF(O10=0,0,O10/TrAvia_act!O28*1000000)</f>
        <v>18507.503199319133</v>
      </c>
      <c r="P42" s="15">
        <f>IF(P10=0,0,P10/TrAvia_act!P28*1000000)</f>
        <v>17827.447479362268</v>
      </c>
      <c r="Q42" s="15">
        <f>IF(Q10=0,0,Q10/TrAvia_act!Q28*1000000)</f>
        <v>17539.975166159835</v>
      </c>
      <c r="R42" s="15">
        <f>IF(R10=0,0,R10/TrAvia_act!R28*1000000)</f>
        <v>18679.087178079688</v>
      </c>
      <c r="S42" s="15">
        <f>IF(S10=0,0,S10/TrAvia_act!S28*1000000)</f>
        <v>19426.20220461514</v>
      </c>
      <c r="T42" s="15">
        <f>IF(T10=0,0,T10/TrAvia_act!T28*1000000)</f>
        <v>19776.614860745482</v>
      </c>
      <c r="U42" s="15">
        <f>IF(U10=0,0,U10/TrAvia_act!U28*1000000)</f>
        <v>19845.95396131288</v>
      </c>
      <c r="V42" s="15">
        <f>IF(V10=0,0,V10/TrAvia_act!V28*1000000)</f>
        <v>21232.13781398195</v>
      </c>
      <c r="W42" s="15">
        <f>IF(W10=0,0,W10/TrAvia_act!W28*1000000)</f>
        <v>22636.743509124884</v>
      </c>
      <c r="X42" s="15">
        <f>IF(X10=0,0,X10/TrAvia_act!X28*1000000)</f>
        <v>24772.266024418692</v>
      </c>
      <c r="Y42" s="15">
        <f>IF(Y10=0,0,Y10/TrAvia_act!Y28*1000000)</f>
        <v>23571.812373342611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2558.8616427017369</v>
      </c>
      <c r="C43" s="101">
        <f>IF(C11=0,0,C11/TrAvia_act!C29*1000000)</f>
        <v>2553.8598593264401</v>
      </c>
      <c r="D43" s="101">
        <f>IF(D11=0,0,D11/TrAvia_act!D29*1000000)</f>
        <v>2453.5588260342893</v>
      </c>
      <c r="E43" s="101">
        <f>IF(E11=0,0,E11/TrAvia_act!E29*1000000)</f>
        <v>2333.0754790276565</v>
      </c>
      <c r="F43" s="101">
        <f>IF(F11=0,0,F11/TrAvia_act!F29*1000000)</f>
        <v>2289.054881347507</v>
      </c>
      <c r="G43" s="101">
        <f>IF(G11=0,0,G11/TrAvia_act!G29*1000000)</f>
        <v>2368.8992092754838</v>
      </c>
      <c r="H43" s="101">
        <f>IF(H11=0,0,H11/TrAvia_act!H29*1000000)</f>
        <v>2428.2507011013822</v>
      </c>
      <c r="I43" s="101">
        <f>IF(I11=0,0,I11/TrAvia_act!I29*1000000)</f>
        <v>2427.1679096552452</v>
      </c>
      <c r="J43" s="101">
        <f>IF(J11=0,0,J11/TrAvia_act!J29*1000000)</f>
        <v>2438.4527823250305</v>
      </c>
      <c r="K43" s="101">
        <f>IF(K11=0,0,K11/TrAvia_act!K29*1000000)</f>
        <v>2552.933207213855</v>
      </c>
      <c r="L43" s="101">
        <f>IF(L11=0,0,L11/TrAvia_act!L29*1000000)</f>
        <v>2423.1716006370143</v>
      </c>
      <c r="M43" s="101">
        <f>IF(M11=0,0,M11/TrAvia_act!M29*1000000)</f>
        <v>1920.7145147156662</v>
      </c>
      <c r="N43" s="101">
        <f>IF(N11=0,0,N11/TrAvia_act!N29*1000000)</f>
        <v>2035.1709762004541</v>
      </c>
      <c r="O43" s="101">
        <f>IF(O11=0,0,O11/TrAvia_act!O29*1000000)</f>
        <v>2082.7975764321031</v>
      </c>
      <c r="P43" s="101">
        <f>IF(P11=0,0,P11/TrAvia_act!P29*1000000)</f>
        <v>2693.097228299906</v>
      </c>
      <c r="Q43" s="101">
        <f>IF(Q11=0,0,Q11/TrAvia_act!Q29*1000000)</f>
        <v>2779.3651625588518</v>
      </c>
      <c r="R43" s="101">
        <f>IF(R11=0,0,R11/TrAvia_act!R29*1000000)</f>
        <v>2936.9896332798353</v>
      </c>
      <c r="S43" s="101">
        <f>IF(S11=0,0,S11/TrAvia_act!S29*1000000)</f>
        <v>2642.6988683446975</v>
      </c>
      <c r="T43" s="101">
        <f>IF(T11=0,0,T11/TrAvia_act!T29*1000000)</f>
        <v>2489.2463992330327</v>
      </c>
      <c r="U43" s="101">
        <f>IF(U11=0,0,U11/TrAvia_act!U29*1000000)</f>
        <v>2797.28828306168</v>
      </c>
      <c r="V43" s="101">
        <f>IF(V11=0,0,V11/TrAvia_act!V29*1000000)</f>
        <v>2995.3682589272175</v>
      </c>
      <c r="W43" s="101">
        <f>IF(W11=0,0,W11/TrAvia_act!W29*1000000)</f>
        <v>3139.9405177803537</v>
      </c>
      <c r="X43" s="101">
        <f>IF(X11=0,0,X11/TrAvia_act!X29*1000000)</f>
        <v>2692.6766511007295</v>
      </c>
      <c r="Y43" s="101">
        <f>IF(Y11=0,0,Y11/TrAvia_act!Y29*1000000)</f>
        <v>2709.5660901474757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3451.1660211574927</v>
      </c>
      <c r="C44" s="101">
        <f>IF(C12=0,0,C12/TrAvia_act!C30*1000000)</f>
        <v>3356.1387508081229</v>
      </c>
      <c r="D44" s="101">
        <f>IF(D12=0,0,D12/TrAvia_act!D30*1000000)</f>
        <v>3278.0507712342528</v>
      </c>
      <c r="E44" s="101">
        <f>IF(E12=0,0,E12/TrAvia_act!E30*1000000)</f>
        <v>3198.4661192473636</v>
      </c>
      <c r="F44" s="101">
        <f>IF(F12=0,0,F12/TrAvia_act!F30*1000000)</f>
        <v>3103.3552226897123</v>
      </c>
      <c r="G44" s="101">
        <f>IF(G12=0,0,G12/TrAvia_act!G30*1000000)</f>
        <v>3165.4161269481028</v>
      </c>
      <c r="H44" s="101">
        <f>IF(H12=0,0,H12/TrAvia_act!H30*1000000)</f>
        <v>3247.4019407966266</v>
      </c>
      <c r="I44" s="101">
        <f>IF(I12=0,0,I12/TrAvia_act!I30*1000000)</f>
        <v>3343.678650716522</v>
      </c>
      <c r="J44" s="101">
        <f>IF(J12=0,0,J12/TrAvia_act!J30*1000000)</f>
        <v>3373.682779375285</v>
      </c>
      <c r="K44" s="101">
        <f>IF(K12=0,0,K12/TrAvia_act!K30*1000000)</f>
        <v>3531.1445726357192</v>
      </c>
      <c r="L44" s="101">
        <f>IF(L12=0,0,L12/TrAvia_act!L30*1000000)</f>
        <v>3516.1906386273226</v>
      </c>
      <c r="M44" s="101">
        <f>IF(M12=0,0,M12/TrAvia_act!M30*1000000)</f>
        <v>3273.6886101407858</v>
      </c>
      <c r="N44" s="101">
        <f>IF(N12=0,0,N12/TrAvia_act!N30*1000000)</f>
        <v>3558.7642523650652</v>
      </c>
      <c r="O44" s="101">
        <f>IF(O12=0,0,O12/TrAvia_act!O30*1000000)</f>
        <v>3630.6954906418318</v>
      </c>
      <c r="P44" s="101">
        <f>IF(P12=0,0,P12/TrAvia_act!P30*1000000)</f>
        <v>3469.200549364667</v>
      </c>
      <c r="Q44" s="101">
        <f>IF(Q12=0,0,Q12/TrAvia_act!Q30*1000000)</f>
        <v>3385.6312851412672</v>
      </c>
      <c r="R44" s="101">
        <f>IF(R12=0,0,R12/TrAvia_act!R30*1000000)</f>
        <v>3613.7740858667121</v>
      </c>
      <c r="S44" s="101">
        <f>IF(S12=0,0,S12/TrAvia_act!S30*1000000)</f>
        <v>3903.9275886740324</v>
      </c>
      <c r="T44" s="101">
        <f>IF(T12=0,0,T12/TrAvia_act!T30*1000000)</f>
        <v>3834.9700519373478</v>
      </c>
      <c r="U44" s="101">
        <f>IF(U12=0,0,U12/TrAvia_act!U30*1000000)</f>
        <v>3885.6301789814297</v>
      </c>
      <c r="V44" s="101">
        <f>IF(V12=0,0,V12/TrAvia_act!V30*1000000)</f>
        <v>2761.1562534211885</v>
      </c>
      <c r="W44" s="101">
        <f>IF(W12=0,0,W12/TrAvia_act!W30*1000000)</f>
        <v>3494.9080376526017</v>
      </c>
      <c r="X44" s="101">
        <f>IF(X12=0,0,X12/TrAvia_act!X30*1000000)</f>
        <v>4458.0722285563588</v>
      </c>
      <c r="Y44" s="101">
        <f>IF(Y12=0,0,Y12/TrAvia_act!Y30*1000000)</f>
        <v>4488.2510862231011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47143.184232262953</v>
      </c>
      <c r="C45" s="88">
        <f>IF(C13=0,0,C13/TrAvia_act!C31*1000000)</f>
        <v>45428.354196127344</v>
      </c>
      <c r="D45" s="88">
        <f>IF(D13=0,0,D13/TrAvia_act!D31*1000000)</f>
        <v>44487.910310163381</v>
      </c>
      <c r="E45" s="88">
        <f>IF(E13=0,0,E13/TrAvia_act!E31*1000000)</f>
        <v>43434.825118805573</v>
      </c>
      <c r="F45" s="88">
        <f>IF(F13=0,0,F13/TrAvia_act!F31*1000000)</f>
        <v>42016.534954106421</v>
      </c>
      <c r="G45" s="88">
        <f>IF(G13=0,0,G13/TrAvia_act!G31*1000000)</f>
        <v>42020.074847665113</v>
      </c>
      <c r="H45" s="88">
        <f>IF(H13=0,0,H13/TrAvia_act!H31*1000000)</f>
        <v>42038.245504462626</v>
      </c>
      <c r="I45" s="88">
        <f>IF(I13=0,0,I13/TrAvia_act!I31*1000000)</f>
        <v>40674.256720641388</v>
      </c>
      <c r="J45" s="88">
        <f>IF(J13=0,0,J13/TrAvia_act!J31*1000000)</f>
        <v>40904.760759673554</v>
      </c>
      <c r="K45" s="88">
        <f>IF(K13=0,0,K13/TrAvia_act!K31*1000000)</f>
        <v>42704.145321824173</v>
      </c>
      <c r="L45" s="88">
        <f>IF(L13=0,0,L13/TrAvia_act!L31*1000000)</f>
        <v>39416.878270041649</v>
      </c>
      <c r="M45" s="88">
        <f>IF(M13=0,0,M13/TrAvia_act!M31*1000000)</f>
        <v>36620.92733302257</v>
      </c>
      <c r="N45" s="88">
        <f>IF(N13=0,0,N13/TrAvia_act!N31*1000000)</f>
        <v>40094.679850749875</v>
      </c>
      <c r="O45" s="88">
        <f>IF(O13=0,0,O13/TrAvia_act!O31*1000000)</f>
        <v>42706.700382212053</v>
      </c>
      <c r="P45" s="88">
        <f>IF(P13=0,0,P13/TrAvia_act!P31*1000000)</f>
        <v>42192.769578155137</v>
      </c>
      <c r="Q45" s="88">
        <f>IF(Q13=0,0,Q13/TrAvia_act!Q31*1000000)</f>
        <v>42076.605621109455</v>
      </c>
      <c r="R45" s="88">
        <f>IF(R13=0,0,R13/TrAvia_act!R31*1000000)</f>
        <v>45407.066294178599</v>
      </c>
      <c r="S45" s="88">
        <f>IF(S13=0,0,S13/TrAvia_act!S31*1000000)</f>
        <v>49115.788566380987</v>
      </c>
      <c r="T45" s="88">
        <f>IF(T13=0,0,T13/TrAvia_act!T31*1000000)</f>
        <v>50732.398071371375</v>
      </c>
      <c r="U45" s="88">
        <f>IF(U13=0,0,U13/TrAvia_act!U31*1000000)</f>
        <v>51233.908612440784</v>
      </c>
      <c r="V45" s="88">
        <f>IF(V13=0,0,V13/TrAvia_act!V31*1000000)</f>
        <v>50026.119046250598</v>
      </c>
      <c r="W45" s="88">
        <f>IF(W13=0,0,W13/TrAvia_act!W31*1000000)</f>
        <v>54001.839703084494</v>
      </c>
      <c r="X45" s="88">
        <f>IF(X13=0,0,X13/TrAvia_act!X31*1000000)</f>
        <v>61467.174905306405</v>
      </c>
      <c r="Y45" s="88">
        <f>IF(Y13=0,0,Y13/TrAvia_act!Y31*1000000)</f>
        <v>58673.681363005489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0.88205570831733693</v>
      </c>
      <c r="C48" s="16">
        <f t="shared" si="36"/>
        <v>0.88693692333665963</v>
      </c>
      <c r="D48" s="16">
        <f t="shared" ref="D48:V48" si="37">IF(D6=0,0,D6/D$3)</f>
        <v>0.88139869544971272</v>
      </c>
      <c r="E48" s="16">
        <f t="shared" si="37"/>
        <v>0.87483495623528085</v>
      </c>
      <c r="F48" s="16">
        <f t="shared" si="37"/>
        <v>0.87197804943358737</v>
      </c>
      <c r="G48" s="16">
        <f t="shared" si="37"/>
        <v>0.86136819989486102</v>
      </c>
      <c r="H48" s="16">
        <f t="shared" si="37"/>
        <v>0.85516227158653157</v>
      </c>
      <c r="I48" s="16">
        <f t="shared" si="37"/>
        <v>0.85421891492362256</v>
      </c>
      <c r="J48" s="16">
        <f t="shared" si="37"/>
        <v>0.85017347962934897</v>
      </c>
      <c r="K48" s="16">
        <f t="shared" si="37"/>
        <v>0.86021550780016465</v>
      </c>
      <c r="L48" s="16">
        <f t="shared" si="37"/>
        <v>0.83949782985641641</v>
      </c>
      <c r="M48" s="16">
        <f t="shared" si="37"/>
        <v>0.84063665742037774</v>
      </c>
      <c r="N48" s="16">
        <f t="shared" si="37"/>
        <v>0.85242393830193253</v>
      </c>
      <c r="O48" s="16">
        <f t="shared" si="37"/>
        <v>0.84834805788861489</v>
      </c>
      <c r="P48" s="16">
        <f t="shared" si="37"/>
        <v>0.86195381008669258</v>
      </c>
      <c r="Q48" s="16">
        <f t="shared" si="37"/>
        <v>0.86215729782846429</v>
      </c>
      <c r="R48" s="16">
        <f t="shared" si="37"/>
        <v>0.87265274012654548</v>
      </c>
      <c r="S48" s="16">
        <f t="shared" si="37"/>
        <v>0.86440509789235231</v>
      </c>
      <c r="T48" s="16">
        <f t="shared" si="37"/>
        <v>0.86335508175265196</v>
      </c>
      <c r="U48" s="16">
        <f t="shared" si="37"/>
        <v>0.87168155286114646</v>
      </c>
      <c r="V48" s="16">
        <f t="shared" si="37"/>
        <v>0.64295323485062261</v>
      </c>
      <c r="W48" s="16">
        <f t="shared" ref="W48:Y48" si="38">IF(W6=0,0,W6/W$3)</f>
        <v>0.66421782140177343</v>
      </c>
      <c r="X48" s="16">
        <f t="shared" si="38"/>
        <v>0.77794115760010685</v>
      </c>
      <c r="Y48" s="16">
        <f t="shared" si="38"/>
        <v>0.81490297933019329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0.11620852169965408</v>
      </c>
      <c r="C49" s="103">
        <f t="shared" si="39"/>
        <v>0.11341023143269832</v>
      </c>
      <c r="D49" s="103">
        <f t="shared" ref="D49:V49" si="40">IF(D7=0,0,D7/D$3)</f>
        <v>0.11196132211210137</v>
      </c>
      <c r="E49" s="103">
        <f t="shared" si="40"/>
        <v>0.11016023068320349</v>
      </c>
      <c r="F49" s="103">
        <f t="shared" si="40"/>
        <v>0.10120513090708748</v>
      </c>
      <c r="G49" s="103">
        <f t="shared" si="40"/>
        <v>9.7810508760076242E-2</v>
      </c>
      <c r="H49" s="103">
        <f t="shared" si="40"/>
        <v>9.5626114139509694E-2</v>
      </c>
      <c r="I49" s="103">
        <f t="shared" si="40"/>
        <v>9.3341579549739595E-2</v>
      </c>
      <c r="J49" s="103">
        <f t="shared" si="40"/>
        <v>9.1152086323622664E-2</v>
      </c>
      <c r="K49" s="103">
        <f t="shared" si="40"/>
        <v>9.0954219643412118E-2</v>
      </c>
      <c r="L49" s="103">
        <f t="shared" si="40"/>
        <v>8.6721780676351334E-2</v>
      </c>
      <c r="M49" s="103">
        <f t="shared" si="40"/>
        <v>8.3836547386131582E-2</v>
      </c>
      <c r="N49" s="103">
        <f t="shared" si="40"/>
        <v>7.9052153281570545E-2</v>
      </c>
      <c r="O49" s="103">
        <f t="shared" si="40"/>
        <v>7.3038661911350486E-2</v>
      </c>
      <c r="P49" s="103">
        <f t="shared" si="40"/>
        <v>8.0557203472085365E-2</v>
      </c>
      <c r="Q49" s="103">
        <f t="shared" si="40"/>
        <v>8.0628240572652568E-2</v>
      </c>
      <c r="R49" s="103">
        <f t="shared" si="40"/>
        <v>8.0073604598479994E-2</v>
      </c>
      <c r="S49" s="103">
        <f t="shared" si="40"/>
        <v>6.3561866282474386E-2</v>
      </c>
      <c r="T49" s="103">
        <f t="shared" si="40"/>
        <v>5.9891210953795418E-2</v>
      </c>
      <c r="U49" s="103">
        <f t="shared" si="40"/>
        <v>6.7519373936198987E-2</v>
      </c>
      <c r="V49" s="103">
        <f t="shared" si="40"/>
        <v>5.5784654046349171E-2</v>
      </c>
      <c r="W49" s="103">
        <f t="shared" ref="W49:Y49" si="41">IF(W7=0,0,W7/W$3)</f>
        <v>3.5451193752490465E-2</v>
      </c>
      <c r="X49" s="103">
        <f t="shared" si="41"/>
        <v>3.407322619775735E-2</v>
      </c>
      <c r="Y49" s="103">
        <f t="shared" si="41"/>
        <v>3.5515408595405737E-2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0.25007685108563271</v>
      </c>
      <c r="C50" s="103">
        <f t="shared" si="42"/>
        <v>0.24354069039927831</v>
      </c>
      <c r="D50" s="103">
        <f t="shared" ref="D50:V50" si="43">IF(D8=0,0,D8/D$3)</f>
        <v>0.2251300891899361</v>
      </c>
      <c r="E50" s="103">
        <f t="shared" si="43"/>
        <v>0.2388971307512659</v>
      </c>
      <c r="F50" s="103">
        <f t="shared" si="43"/>
        <v>0.23402548455341698</v>
      </c>
      <c r="G50" s="103">
        <f t="shared" si="43"/>
        <v>0.23356035324068278</v>
      </c>
      <c r="H50" s="103">
        <f t="shared" si="43"/>
        <v>0.23772472031775971</v>
      </c>
      <c r="I50" s="103">
        <f t="shared" si="43"/>
        <v>0.24273798369739313</v>
      </c>
      <c r="J50" s="103">
        <f t="shared" si="43"/>
        <v>0.23772371821140645</v>
      </c>
      <c r="K50" s="103">
        <f t="shared" si="43"/>
        <v>0.2320823350518289</v>
      </c>
      <c r="L50" s="103">
        <f t="shared" si="43"/>
        <v>0.22678437950420574</v>
      </c>
      <c r="M50" s="103">
        <f t="shared" si="43"/>
        <v>0.22914872259440619</v>
      </c>
      <c r="N50" s="103">
        <f t="shared" si="43"/>
        <v>0.23061626092109463</v>
      </c>
      <c r="O50" s="103">
        <f t="shared" si="43"/>
        <v>0.2297490347149618</v>
      </c>
      <c r="P50" s="103">
        <f t="shared" si="43"/>
        <v>0.23219913957807453</v>
      </c>
      <c r="Q50" s="103">
        <f t="shared" si="43"/>
        <v>0.23361556180806281</v>
      </c>
      <c r="R50" s="103">
        <f t="shared" si="43"/>
        <v>0.24776060738923728</v>
      </c>
      <c r="S50" s="103">
        <f t="shared" si="43"/>
        <v>0.25691438345203954</v>
      </c>
      <c r="T50" s="103">
        <f t="shared" si="43"/>
        <v>0.25494485493887181</v>
      </c>
      <c r="U50" s="103">
        <f t="shared" si="43"/>
        <v>0.24581163397456499</v>
      </c>
      <c r="V50" s="103">
        <f t="shared" si="43"/>
        <v>0.14951588607297009</v>
      </c>
      <c r="W50" s="103">
        <f t="shared" ref="W50:Y50" si="44">IF(W8=0,0,W8/W$3)</f>
        <v>0.17917175112732991</v>
      </c>
      <c r="X50" s="103">
        <f t="shared" si="44"/>
        <v>0.24141068806359534</v>
      </c>
      <c r="Y50" s="103">
        <f t="shared" si="44"/>
        <v>0.24505783683632049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0.51577033553205009</v>
      </c>
      <c r="C51" s="103">
        <f t="shared" si="45"/>
        <v>0.529986001504683</v>
      </c>
      <c r="D51" s="103">
        <f t="shared" ref="D51:V51" si="46">IF(D9=0,0,D9/D$3)</f>
        <v>0.54430728414767526</v>
      </c>
      <c r="E51" s="103">
        <f t="shared" si="46"/>
        <v>0.52577759480081143</v>
      </c>
      <c r="F51" s="103">
        <f t="shared" si="46"/>
        <v>0.53674743397308289</v>
      </c>
      <c r="G51" s="103">
        <f t="shared" si="46"/>
        <v>0.52999733789410197</v>
      </c>
      <c r="H51" s="103">
        <f t="shared" si="46"/>
        <v>0.52181143712926215</v>
      </c>
      <c r="I51" s="103">
        <f t="shared" si="46"/>
        <v>0.51813935167648983</v>
      </c>
      <c r="J51" s="103">
        <f t="shared" si="46"/>
        <v>0.52129767509431968</v>
      </c>
      <c r="K51" s="103">
        <f t="shared" si="46"/>
        <v>0.53717895310492358</v>
      </c>
      <c r="L51" s="103">
        <f t="shared" si="46"/>
        <v>0.52599166967585931</v>
      </c>
      <c r="M51" s="103">
        <f t="shared" si="46"/>
        <v>0.52765138743983997</v>
      </c>
      <c r="N51" s="103">
        <f t="shared" si="46"/>
        <v>0.54275552409926742</v>
      </c>
      <c r="O51" s="103">
        <f t="shared" si="46"/>
        <v>0.54556036126230256</v>
      </c>
      <c r="P51" s="103">
        <f t="shared" si="46"/>
        <v>0.54919746703653272</v>
      </c>
      <c r="Q51" s="103">
        <f t="shared" si="46"/>
        <v>0.54791349544774881</v>
      </c>
      <c r="R51" s="103">
        <f t="shared" si="46"/>
        <v>0.54481852813882836</v>
      </c>
      <c r="S51" s="103">
        <f t="shared" si="46"/>
        <v>0.54392884815783837</v>
      </c>
      <c r="T51" s="103">
        <f t="shared" si="46"/>
        <v>0.54851901585998475</v>
      </c>
      <c r="U51" s="103">
        <f t="shared" si="46"/>
        <v>0.5583505449503825</v>
      </c>
      <c r="V51" s="103">
        <f t="shared" si="46"/>
        <v>0.4376526947313033</v>
      </c>
      <c r="W51" s="103">
        <f t="shared" ref="W51:Y51" si="47">IF(W9=0,0,W9/W$3)</f>
        <v>0.44959487652195307</v>
      </c>
      <c r="X51" s="103">
        <f t="shared" si="47"/>
        <v>0.50245724333875408</v>
      </c>
      <c r="Y51" s="103">
        <f t="shared" si="47"/>
        <v>0.53432973389846705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0.117944291682663</v>
      </c>
      <c r="C52" s="17">
        <f t="shared" si="48"/>
        <v>0.11306307666334028</v>
      </c>
      <c r="D52" s="17">
        <f t="shared" ref="D52:V52" si="49">IF(D10=0,0,D10/D$3)</f>
        <v>0.11860130455028743</v>
      </c>
      <c r="E52" s="17">
        <f t="shared" si="49"/>
        <v>0.12516504376471901</v>
      </c>
      <c r="F52" s="17">
        <f t="shared" si="49"/>
        <v>0.12802195056641272</v>
      </c>
      <c r="G52" s="17">
        <f t="shared" si="49"/>
        <v>0.13863180010513906</v>
      </c>
      <c r="H52" s="17">
        <f t="shared" si="49"/>
        <v>0.1448377284134684</v>
      </c>
      <c r="I52" s="17">
        <f t="shared" si="49"/>
        <v>0.14578108507637763</v>
      </c>
      <c r="J52" s="17">
        <f t="shared" si="49"/>
        <v>0.14982652037065122</v>
      </c>
      <c r="K52" s="17">
        <f t="shared" si="49"/>
        <v>0.13978449219983546</v>
      </c>
      <c r="L52" s="17">
        <f t="shared" si="49"/>
        <v>0.16050217014358348</v>
      </c>
      <c r="M52" s="17">
        <f t="shared" si="49"/>
        <v>0.15936334257962242</v>
      </c>
      <c r="N52" s="17">
        <f t="shared" si="49"/>
        <v>0.14757606169806753</v>
      </c>
      <c r="O52" s="17">
        <f t="shared" si="49"/>
        <v>0.15165194211138494</v>
      </c>
      <c r="P52" s="17">
        <f t="shared" si="49"/>
        <v>0.13804618991330728</v>
      </c>
      <c r="Q52" s="17">
        <f t="shared" si="49"/>
        <v>0.13784270217153585</v>
      </c>
      <c r="R52" s="17">
        <f t="shared" si="49"/>
        <v>0.12734725987345435</v>
      </c>
      <c r="S52" s="17">
        <f t="shared" si="49"/>
        <v>0.13559490210764769</v>
      </c>
      <c r="T52" s="17">
        <f t="shared" si="49"/>
        <v>0.1366449182473479</v>
      </c>
      <c r="U52" s="17">
        <f t="shared" si="49"/>
        <v>0.12831844713885354</v>
      </c>
      <c r="V52" s="17">
        <f t="shared" si="49"/>
        <v>0.35704676514937744</v>
      </c>
      <c r="W52" s="17">
        <f t="shared" ref="W52:Y52" si="50">IF(W10=0,0,W10/W$3)</f>
        <v>0.33578217859822668</v>
      </c>
      <c r="X52" s="17">
        <f t="shared" si="50"/>
        <v>0.22205884239989301</v>
      </c>
      <c r="Y52" s="17">
        <f t="shared" si="50"/>
        <v>0.18509702066980663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6.8527745317626737E-3</v>
      </c>
      <c r="C53" s="104">
        <f t="shared" si="51"/>
        <v>6.7026702010499284E-3</v>
      </c>
      <c r="D53" s="104">
        <f t="shared" ref="D53:V53" si="52">IF(D11=0,0,D11/D$3)</f>
        <v>5.8697409939732752E-3</v>
      </c>
      <c r="E53" s="104">
        <f t="shared" si="52"/>
        <v>4.4015666665260496E-3</v>
      </c>
      <c r="F53" s="104">
        <f t="shared" si="52"/>
        <v>3.9130562429869984E-3</v>
      </c>
      <c r="G53" s="104">
        <f t="shared" si="52"/>
        <v>3.3178182906300627E-3</v>
      </c>
      <c r="H53" s="104">
        <f t="shared" si="52"/>
        <v>3.4371025577300575E-3</v>
      </c>
      <c r="I53" s="104">
        <f t="shared" si="52"/>
        <v>3.2591460989855694E-3</v>
      </c>
      <c r="J53" s="104">
        <f t="shared" si="52"/>
        <v>4.0741200320042834E-3</v>
      </c>
      <c r="K53" s="104">
        <f t="shared" si="52"/>
        <v>3.6913532691724886E-3</v>
      </c>
      <c r="L53" s="104">
        <f t="shared" si="52"/>
        <v>3.3271407846137213E-3</v>
      </c>
      <c r="M53" s="104">
        <f t="shared" si="52"/>
        <v>2.6759262597317421E-3</v>
      </c>
      <c r="N53" s="104">
        <f t="shared" si="52"/>
        <v>2.4761992285554867E-3</v>
      </c>
      <c r="O53" s="104">
        <f t="shared" si="52"/>
        <v>2.3170938896719291E-3</v>
      </c>
      <c r="P53" s="104">
        <f t="shared" si="52"/>
        <v>2.8562379541488929E-3</v>
      </c>
      <c r="Q53" s="104">
        <f t="shared" si="52"/>
        <v>2.9038407807139279E-3</v>
      </c>
      <c r="R53" s="104">
        <f t="shared" si="52"/>
        <v>2.6506849599341109E-3</v>
      </c>
      <c r="S53" s="104">
        <f t="shared" si="52"/>
        <v>2.4990940418123759E-3</v>
      </c>
      <c r="T53" s="104">
        <f t="shared" si="52"/>
        <v>2.281035640592797E-3</v>
      </c>
      <c r="U53" s="104">
        <f t="shared" si="52"/>
        <v>2.2692899675067885E-3</v>
      </c>
      <c r="V53" s="104">
        <f t="shared" si="52"/>
        <v>5.3617442042199152E-3</v>
      </c>
      <c r="W53" s="104">
        <f t="shared" ref="W53:Y53" si="53">IF(W11=0,0,W11/W$3)</f>
        <v>4.6701518884295018E-3</v>
      </c>
      <c r="X53" s="104">
        <f t="shared" si="53"/>
        <v>2.5997991845129733E-3</v>
      </c>
      <c r="Y53" s="104">
        <f t="shared" si="53"/>
        <v>2.3508880341649593E-3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9.4279952005885317E-3</v>
      </c>
      <c r="C54" s="104">
        <f t="shared" si="54"/>
        <v>9.2645790041241283E-3</v>
      </c>
      <c r="D54" s="104">
        <f t="shared" ref="D54:V54" si="55">IF(D12=0,0,D12/D$3)</f>
        <v>9.3417918499284092E-3</v>
      </c>
      <c r="E54" s="104">
        <f t="shared" si="55"/>
        <v>9.1310102197012348E-3</v>
      </c>
      <c r="F54" s="104">
        <f t="shared" si="55"/>
        <v>9.8942799854926673E-3</v>
      </c>
      <c r="G54" s="104">
        <f t="shared" si="55"/>
        <v>1.0287901461446628E-2</v>
      </c>
      <c r="H54" s="104">
        <f t="shared" si="55"/>
        <v>1.1480072757111208E-2</v>
      </c>
      <c r="I54" s="104">
        <f t="shared" si="55"/>
        <v>1.2439125965731533E-2</v>
      </c>
      <c r="J54" s="104">
        <f t="shared" si="55"/>
        <v>1.4035225848796571E-2</v>
      </c>
      <c r="K54" s="104">
        <f t="shared" si="55"/>
        <v>1.4856267843076315E-2</v>
      </c>
      <c r="L54" s="104">
        <f t="shared" si="55"/>
        <v>1.5249600918615529E-2</v>
      </c>
      <c r="M54" s="104">
        <f t="shared" si="55"/>
        <v>1.4429116450044396E-2</v>
      </c>
      <c r="N54" s="104">
        <f t="shared" si="55"/>
        <v>1.4196426761337784E-2</v>
      </c>
      <c r="O54" s="104">
        <f t="shared" si="55"/>
        <v>1.4224750141691191E-2</v>
      </c>
      <c r="P54" s="104">
        <f t="shared" si="55"/>
        <v>1.3149810908661375E-2</v>
      </c>
      <c r="Q54" s="104">
        <f t="shared" si="55"/>
        <v>1.3280602178868069E-2</v>
      </c>
      <c r="R54" s="104">
        <f t="shared" si="55"/>
        <v>1.2441998943090693E-2</v>
      </c>
      <c r="S54" s="104">
        <f t="shared" si="55"/>
        <v>1.409929018601465E-2</v>
      </c>
      <c r="T54" s="104">
        <f t="shared" si="55"/>
        <v>1.3875222964216545E-2</v>
      </c>
      <c r="U54" s="104">
        <f t="shared" si="55"/>
        <v>1.3430063026701302E-2</v>
      </c>
      <c r="V54" s="104">
        <f t="shared" si="55"/>
        <v>2.3368850778334012E-2</v>
      </c>
      <c r="W54" s="104">
        <f t="shared" ref="W54:Y54" si="56">IF(W12=0,0,W12/W$3)</f>
        <v>2.6959369382349486E-2</v>
      </c>
      <c r="X54" s="104">
        <f t="shared" si="56"/>
        <v>2.1284781248181599E-2</v>
      </c>
      <c r="Y54" s="104">
        <f t="shared" si="56"/>
        <v>1.8809387239872643E-2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0.10166352195031179</v>
      </c>
      <c r="C55" s="105">
        <f t="shared" si="57"/>
        <v>9.7095827458166237E-2</v>
      </c>
      <c r="D55" s="105">
        <f t="shared" ref="D55:V55" si="58">IF(D13=0,0,D13/D$3)</f>
        <v>0.10338977170638576</v>
      </c>
      <c r="E55" s="105">
        <f t="shared" si="58"/>
        <v>0.11163246687849174</v>
      </c>
      <c r="F55" s="105">
        <f t="shared" si="58"/>
        <v>0.11421461433793305</v>
      </c>
      <c r="G55" s="105">
        <f t="shared" si="58"/>
        <v>0.12502608035306237</v>
      </c>
      <c r="H55" s="105">
        <f t="shared" si="58"/>
        <v>0.12992055309862713</v>
      </c>
      <c r="I55" s="105">
        <f t="shared" si="58"/>
        <v>0.13008281301166053</v>
      </c>
      <c r="J55" s="105">
        <f t="shared" si="58"/>
        <v>0.13171717448985037</v>
      </c>
      <c r="K55" s="105">
        <f t="shared" si="58"/>
        <v>0.12123687108758664</v>
      </c>
      <c r="L55" s="105">
        <f t="shared" si="58"/>
        <v>0.14192542844035422</v>
      </c>
      <c r="M55" s="105">
        <f t="shared" si="58"/>
        <v>0.14225829986984628</v>
      </c>
      <c r="N55" s="105">
        <f t="shared" si="58"/>
        <v>0.13090343570817425</v>
      </c>
      <c r="O55" s="105">
        <f t="shared" si="58"/>
        <v>0.13511009808002183</v>
      </c>
      <c r="P55" s="105">
        <f t="shared" si="58"/>
        <v>0.12204014105049701</v>
      </c>
      <c r="Q55" s="105">
        <f t="shared" si="58"/>
        <v>0.12165825921195383</v>
      </c>
      <c r="R55" s="105">
        <f t="shared" si="58"/>
        <v>0.11225457597042955</v>
      </c>
      <c r="S55" s="105">
        <f t="shared" si="58"/>
        <v>0.11899651787982067</v>
      </c>
      <c r="T55" s="105">
        <f t="shared" si="58"/>
        <v>0.12048865964253853</v>
      </c>
      <c r="U55" s="105">
        <f t="shared" si="58"/>
        <v>0.11261909414464547</v>
      </c>
      <c r="V55" s="105">
        <f t="shared" si="58"/>
        <v>0.32831617016682352</v>
      </c>
      <c r="W55" s="105">
        <f t="shared" ref="W55:Y55" si="59">IF(W13=0,0,W13/W$3)</f>
        <v>0.30415265732744767</v>
      </c>
      <c r="X55" s="105">
        <f t="shared" si="59"/>
        <v>0.19817426196719845</v>
      </c>
      <c r="Y55" s="105">
        <f t="shared" si="59"/>
        <v>0.16393674539576902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542.65911531973904</v>
      </c>
      <c r="C57" s="62">
        <v>546.14418459363526</v>
      </c>
      <c r="D57" s="62">
        <v>554.73836108675027</v>
      </c>
      <c r="E57" s="62">
        <v>549.49365706146625</v>
      </c>
      <c r="F57" s="62">
        <v>553.38289903620387</v>
      </c>
      <c r="G57" s="62">
        <v>557.60261361001301</v>
      </c>
      <c r="H57" s="62">
        <v>562.12751240980822</v>
      </c>
      <c r="I57" s="62">
        <v>560.8583527642943</v>
      </c>
      <c r="J57" s="62">
        <v>560.29300657476733</v>
      </c>
      <c r="K57" s="62">
        <v>556.26182764120574</v>
      </c>
      <c r="L57" s="62">
        <v>563.39178537306555</v>
      </c>
      <c r="M57" s="62">
        <v>571.34152319916791</v>
      </c>
      <c r="N57" s="62">
        <v>566.76708067189531</v>
      </c>
      <c r="O57" s="62">
        <v>556.85575081881495</v>
      </c>
      <c r="P57" s="62">
        <v>552.3691059885814</v>
      </c>
      <c r="Q57" s="62">
        <v>554.52429153113474</v>
      </c>
      <c r="R57" s="62">
        <v>563.84254323033053</v>
      </c>
      <c r="S57" s="62">
        <v>558.06384568204044</v>
      </c>
      <c r="T57" s="62">
        <v>536.59849318603949</v>
      </c>
      <c r="U57" s="62">
        <v>539.73008845605932</v>
      </c>
      <c r="V57" s="62">
        <v>584.65917049705456</v>
      </c>
      <c r="W57" s="62">
        <v>572.18992412287571</v>
      </c>
      <c r="X57" s="62">
        <v>558.07215820250349</v>
      </c>
      <c r="Y57" s="62">
        <v>561.84136284983765</v>
      </c>
      <c r="DA57" s="172" t="s">
        <v>314</v>
      </c>
    </row>
    <row r="58" spans="1:105" ht="11.45" customHeight="1" x14ac:dyDescent="0.25">
      <c r="A58" s="10" t="s">
        <v>33</v>
      </c>
      <c r="B58" s="14">
        <v>525.85131398952467</v>
      </c>
      <c r="C58" s="14">
        <v>530.36478815591079</v>
      </c>
      <c r="D58" s="14">
        <v>538.3157411899914</v>
      </c>
      <c r="E58" s="14">
        <v>531.06056174819412</v>
      </c>
      <c r="F58" s="14">
        <v>534.89130522561595</v>
      </c>
      <c r="G58" s="14">
        <v>536.94833913295065</v>
      </c>
      <c r="H58" s="14">
        <v>540.40150260703217</v>
      </c>
      <c r="I58" s="14">
        <v>539.05258346930452</v>
      </c>
      <c r="J58" s="14">
        <v>538.63882126636258</v>
      </c>
      <c r="K58" s="14">
        <v>537.03373236481821</v>
      </c>
      <c r="L58" s="14">
        <v>539.90858070193985</v>
      </c>
      <c r="M58" s="14">
        <v>547.5959021515838</v>
      </c>
      <c r="N58" s="14">
        <v>544.78010351695048</v>
      </c>
      <c r="O58" s="14">
        <v>534.76211203763012</v>
      </c>
      <c r="P58" s="14">
        <v>531.80272999362592</v>
      </c>
      <c r="Q58" s="14">
        <v>533.72585167172622</v>
      </c>
      <c r="R58" s="14">
        <v>544.7909248261235</v>
      </c>
      <c r="S58" s="14">
        <v>537.70708529641149</v>
      </c>
      <c r="T58" s="14">
        <v>515.67941033750174</v>
      </c>
      <c r="U58" s="14">
        <v>519.9809322639959</v>
      </c>
      <c r="V58" s="14">
        <v>528.96836896884986</v>
      </c>
      <c r="W58" s="14">
        <v>515.6378066223441</v>
      </c>
      <c r="X58" s="14">
        <v>518.06851500566995</v>
      </c>
      <c r="Y58" s="14">
        <v>529.22080844942161</v>
      </c>
      <c r="DA58" s="189" t="s">
        <v>315</v>
      </c>
    </row>
    <row r="59" spans="1:105" ht="11.45" customHeight="1" x14ac:dyDescent="0.25">
      <c r="A59" s="83" t="s">
        <v>27</v>
      </c>
      <c r="B59" s="87">
        <v>486.67909018918493</v>
      </c>
      <c r="C59" s="87">
        <v>486.67909018918493</v>
      </c>
      <c r="D59" s="87">
        <v>486.67909018918488</v>
      </c>
      <c r="E59" s="87">
        <v>486.67909018918493</v>
      </c>
      <c r="F59" s="87">
        <v>486.67909018918493</v>
      </c>
      <c r="G59" s="87">
        <v>487.17878196015471</v>
      </c>
      <c r="H59" s="87">
        <v>479.20290416437098</v>
      </c>
      <c r="I59" s="87">
        <v>474.98783927584452</v>
      </c>
      <c r="J59" s="87">
        <v>479.49430280744343</v>
      </c>
      <c r="K59" s="87">
        <v>478.06518850326148</v>
      </c>
      <c r="L59" s="87">
        <v>480.45260841484185</v>
      </c>
      <c r="M59" s="87">
        <v>486.5407345082844</v>
      </c>
      <c r="N59" s="87">
        <v>486.41317343645983</v>
      </c>
      <c r="O59" s="87">
        <v>488.2859432842418</v>
      </c>
      <c r="P59" s="87">
        <v>486.80038208159419</v>
      </c>
      <c r="Q59" s="87">
        <v>487.21534263352322</v>
      </c>
      <c r="R59" s="87">
        <v>483.65691755243307</v>
      </c>
      <c r="S59" s="87">
        <v>485.15798639381632</v>
      </c>
      <c r="T59" s="87">
        <v>484.01886229693582</v>
      </c>
      <c r="U59" s="87">
        <v>481.64513025297765</v>
      </c>
      <c r="V59" s="87">
        <v>479.86649544445015</v>
      </c>
      <c r="W59" s="87">
        <v>479.78165629100329</v>
      </c>
      <c r="X59" s="87">
        <v>484.3485765395323</v>
      </c>
      <c r="Y59" s="87">
        <v>489.85811550512278</v>
      </c>
      <c r="DA59" s="171" t="s">
        <v>316</v>
      </c>
    </row>
    <row r="60" spans="1:105" ht="11.45" customHeight="1" x14ac:dyDescent="0.25">
      <c r="A60" s="83" t="s">
        <v>181</v>
      </c>
      <c r="B60" s="87">
        <v>355.71862363770038</v>
      </c>
      <c r="C60" s="87">
        <v>355.72743747210882</v>
      </c>
      <c r="D60" s="87">
        <v>355.6022548418407</v>
      </c>
      <c r="E60" s="87">
        <v>355.49222414142758</v>
      </c>
      <c r="F60" s="87">
        <v>355.37012337745261</v>
      </c>
      <c r="G60" s="87">
        <v>355.60104765958067</v>
      </c>
      <c r="H60" s="87">
        <v>355.63613069637768</v>
      </c>
      <c r="I60" s="87">
        <v>354.215216951446</v>
      </c>
      <c r="J60" s="87">
        <v>354.96546097458975</v>
      </c>
      <c r="K60" s="87">
        <v>354.67832745732221</v>
      </c>
      <c r="L60" s="87">
        <v>352.65139927061836</v>
      </c>
      <c r="M60" s="87">
        <v>354.1354882106441</v>
      </c>
      <c r="N60" s="87">
        <v>355.90184774086794</v>
      </c>
      <c r="O60" s="87">
        <v>355.36883389635625</v>
      </c>
      <c r="P60" s="87">
        <v>353.40749206002675</v>
      </c>
      <c r="Q60" s="87">
        <v>353.84670997422722</v>
      </c>
      <c r="R60" s="87">
        <v>351.59146703530621</v>
      </c>
      <c r="S60" s="87">
        <v>349.77015969402794</v>
      </c>
      <c r="T60" s="87">
        <v>348.78066675895218</v>
      </c>
      <c r="U60" s="87">
        <v>347.70469250110659</v>
      </c>
      <c r="V60" s="87">
        <v>349.58765459544043</v>
      </c>
      <c r="W60" s="87">
        <v>342.92200261724537</v>
      </c>
      <c r="X60" s="87">
        <v>344.72961991231898</v>
      </c>
      <c r="Y60" s="87">
        <v>345.55243019154494</v>
      </c>
      <c r="DA60" s="171" t="s">
        <v>317</v>
      </c>
    </row>
    <row r="61" spans="1:105" ht="11.45" customHeight="1" x14ac:dyDescent="0.25">
      <c r="A61" s="83" t="s">
        <v>182</v>
      </c>
      <c r="B61" s="87">
        <v>715.48657106047585</v>
      </c>
      <c r="C61" s="87">
        <v>715.48657106047574</v>
      </c>
      <c r="D61" s="87">
        <v>715.48657106047574</v>
      </c>
      <c r="E61" s="87">
        <v>715.48657106047585</v>
      </c>
      <c r="F61" s="87">
        <v>715.48657106047585</v>
      </c>
      <c r="G61" s="87">
        <v>717.57329476255518</v>
      </c>
      <c r="H61" s="87">
        <v>726.90386842921691</v>
      </c>
      <c r="I61" s="87">
        <v>722.21890051809635</v>
      </c>
      <c r="J61" s="87">
        <v>711.99584917082939</v>
      </c>
      <c r="K61" s="87">
        <v>698.88768515193931</v>
      </c>
      <c r="L61" s="87">
        <v>696.73752527565091</v>
      </c>
      <c r="M61" s="87">
        <v>709.72408554351375</v>
      </c>
      <c r="N61" s="87">
        <v>694.34704060757554</v>
      </c>
      <c r="O61" s="87">
        <v>676.49248287463047</v>
      </c>
      <c r="P61" s="87">
        <v>672.61323134175814</v>
      </c>
      <c r="Q61" s="87">
        <v>675.16003837494941</v>
      </c>
      <c r="R61" s="87">
        <v>713.07160742326118</v>
      </c>
      <c r="S61" s="87">
        <v>703.81840220924551</v>
      </c>
      <c r="T61" s="87">
        <v>661.13950717366754</v>
      </c>
      <c r="U61" s="87">
        <v>660.5711167907624</v>
      </c>
      <c r="V61" s="87">
        <v>680.64794343550534</v>
      </c>
      <c r="W61" s="87">
        <v>652.10765510778447</v>
      </c>
      <c r="X61" s="87">
        <v>660.08065228323358</v>
      </c>
      <c r="Y61" s="87">
        <v>667.3291768981378</v>
      </c>
      <c r="DA61" s="171" t="s">
        <v>318</v>
      </c>
    </row>
    <row r="62" spans="1:105" ht="11.45" customHeight="1" x14ac:dyDescent="0.25">
      <c r="A62" s="12" t="s">
        <v>34</v>
      </c>
      <c r="B62" s="15">
        <v>709.70502740303357</v>
      </c>
      <c r="C62" s="15">
        <v>708.29137662864582</v>
      </c>
      <c r="D62" s="15">
        <v>711.43581552468027</v>
      </c>
      <c r="E62" s="15">
        <v>716.48219935763325</v>
      </c>
      <c r="F62" s="15">
        <v>713.64645083463461</v>
      </c>
      <c r="G62" s="15">
        <v>718.86961247250099</v>
      </c>
      <c r="H62" s="15">
        <v>720.40303082095829</v>
      </c>
      <c r="I62" s="15">
        <v>715.91974878888357</v>
      </c>
      <c r="J62" s="15">
        <v>709.04202773248585</v>
      </c>
      <c r="K62" s="15">
        <v>698.09651912891684</v>
      </c>
      <c r="L62" s="15">
        <v>709.05597500818999</v>
      </c>
      <c r="M62" s="15">
        <v>720.48545124454461</v>
      </c>
      <c r="N62" s="15">
        <v>718.91687065387487</v>
      </c>
      <c r="O62" s="15">
        <v>706.8120135011693</v>
      </c>
      <c r="P62" s="15">
        <v>706.11883847119759</v>
      </c>
      <c r="Q62" s="15">
        <v>709.47292389532663</v>
      </c>
      <c r="R62" s="15">
        <v>716.39519109868286</v>
      </c>
      <c r="S62" s="15">
        <v>712.8712472383778</v>
      </c>
      <c r="T62" s="15">
        <v>702.12576415723765</v>
      </c>
      <c r="U62" s="15">
        <v>705.21324941570811</v>
      </c>
      <c r="V62" s="15">
        <v>710.79243700600898</v>
      </c>
      <c r="W62" s="15">
        <v>713.2263512153213</v>
      </c>
      <c r="X62" s="15">
        <v>735.34524254167047</v>
      </c>
      <c r="Y62" s="15">
        <v>739.23632275734178</v>
      </c>
      <c r="DA62" s="193" t="s">
        <v>319</v>
      </c>
    </row>
    <row r="63" spans="1:105" ht="11.45" customHeight="1" x14ac:dyDescent="0.25">
      <c r="A63" s="92" t="s">
        <v>27</v>
      </c>
      <c r="B63" s="101">
        <v>535.42419765082843</v>
      </c>
      <c r="C63" s="101">
        <v>535.42419765082843</v>
      </c>
      <c r="D63" s="101">
        <v>535.42419765082843</v>
      </c>
      <c r="E63" s="101">
        <v>535.42419765082843</v>
      </c>
      <c r="F63" s="101">
        <v>535.42419765082843</v>
      </c>
      <c r="G63" s="101">
        <v>536.08840698672634</v>
      </c>
      <c r="H63" s="101">
        <v>527.75755623364182</v>
      </c>
      <c r="I63" s="101">
        <v>524.32875364001256</v>
      </c>
      <c r="J63" s="101">
        <v>532.72390582111461</v>
      </c>
      <c r="K63" s="101">
        <v>533.07356470567902</v>
      </c>
      <c r="L63" s="101">
        <v>538.76837359723481</v>
      </c>
      <c r="M63" s="101">
        <v>557.27054301876024</v>
      </c>
      <c r="N63" s="101">
        <v>567.49610168812592</v>
      </c>
      <c r="O63" s="101">
        <v>566.98864039215505</v>
      </c>
      <c r="P63" s="101">
        <v>561.34335483438201</v>
      </c>
      <c r="Q63" s="101">
        <v>558.66714583646456</v>
      </c>
      <c r="R63" s="101">
        <v>550.20057712694359</v>
      </c>
      <c r="S63" s="101">
        <v>549.24932822908693</v>
      </c>
      <c r="T63" s="101">
        <v>544.53665887702243</v>
      </c>
      <c r="U63" s="101">
        <v>542.55532646731444</v>
      </c>
      <c r="V63" s="101">
        <v>548.36548513176399</v>
      </c>
      <c r="W63" s="101">
        <v>552.16703278178636</v>
      </c>
      <c r="X63" s="101">
        <v>538.75546410749553</v>
      </c>
      <c r="Y63" s="101">
        <v>533.46764988838788</v>
      </c>
      <c r="DA63" s="175" t="s">
        <v>320</v>
      </c>
    </row>
    <row r="64" spans="1:105" ht="11.45" customHeight="1" x14ac:dyDescent="0.25">
      <c r="A64" s="92" t="s">
        <v>181</v>
      </c>
      <c r="B64" s="101">
        <v>365.94055098028207</v>
      </c>
      <c r="C64" s="101">
        <v>366.01354737172454</v>
      </c>
      <c r="D64" s="101">
        <v>366.52478049359183</v>
      </c>
      <c r="E64" s="101">
        <v>366.62084311704444</v>
      </c>
      <c r="F64" s="101">
        <v>366.27843037717781</v>
      </c>
      <c r="G64" s="101">
        <v>366.38767762668971</v>
      </c>
      <c r="H64" s="101">
        <v>363.99159164758623</v>
      </c>
      <c r="I64" s="101">
        <v>359.37598806381686</v>
      </c>
      <c r="J64" s="101">
        <v>356.91630838316252</v>
      </c>
      <c r="K64" s="101">
        <v>353.34724707927262</v>
      </c>
      <c r="L64" s="101">
        <v>347.40526000268721</v>
      </c>
      <c r="M64" s="101">
        <v>348.4209086236782</v>
      </c>
      <c r="N64" s="101">
        <v>350.13291378025082</v>
      </c>
      <c r="O64" s="101">
        <v>350.90679733054623</v>
      </c>
      <c r="P64" s="101">
        <v>350.12561281138113</v>
      </c>
      <c r="Q64" s="101">
        <v>352.7510820287672</v>
      </c>
      <c r="R64" s="101">
        <v>350.53176083509226</v>
      </c>
      <c r="S64" s="101">
        <v>348.80616809459536</v>
      </c>
      <c r="T64" s="101">
        <v>348.56984347825437</v>
      </c>
      <c r="U64" s="101">
        <v>346.92148356343301</v>
      </c>
      <c r="V64" s="101">
        <v>349.13972478681222</v>
      </c>
      <c r="W64" s="101">
        <v>346.22794005992131</v>
      </c>
      <c r="X64" s="101">
        <v>351.45734978294621</v>
      </c>
      <c r="Y64" s="101">
        <v>350.00911372511547</v>
      </c>
      <c r="DA64" s="175" t="s">
        <v>321</v>
      </c>
    </row>
    <row r="65" spans="1:105" ht="11.45" customHeight="1" x14ac:dyDescent="0.25">
      <c r="A65" s="85" t="s">
        <v>182</v>
      </c>
      <c r="B65" s="88">
        <v>772.92013434215824</v>
      </c>
      <c r="C65" s="88">
        <v>772.92013434215801</v>
      </c>
      <c r="D65" s="88">
        <v>772.92013434215801</v>
      </c>
      <c r="E65" s="88">
        <v>772.92013434215801</v>
      </c>
      <c r="F65" s="88">
        <v>772.92013434215812</v>
      </c>
      <c r="G65" s="88">
        <v>774.75489461122822</v>
      </c>
      <c r="H65" s="88">
        <v>779.3833532728147</v>
      </c>
      <c r="I65" s="88">
        <v>777.75540803567503</v>
      </c>
      <c r="J65" s="88">
        <v>777.96775499580917</v>
      </c>
      <c r="K65" s="88">
        <v>777.55575133209277</v>
      </c>
      <c r="L65" s="88">
        <v>779.33960238240525</v>
      </c>
      <c r="M65" s="88">
        <v>786.85215471575088</v>
      </c>
      <c r="N65" s="88">
        <v>788.64788171816178</v>
      </c>
      <c r="O65" s="88">
        <v>774.15668800859817</v>
      </c>
      <c r="P65" s="88">
        <v>776.34125564741453</v>
      </c>
      <c r="Q65" s="88">
        <v>779.5764982326516</v>
      </c>
      <c r="R65" s="88">
        <v>788.43629963803642</v>
      </c>
      <c r="S65" s="88">
        <v>789.57316037110024</v>
      </c>
      <c r="T65" s="88">
        <v>778.87159538617254</v>
      </c>
      <c r="U65" s="88">
        <v>784.60868592762188</v>
      </c>
      <c r="V65" s="88">
        <v>776.94411761556887</v>
      </c>
      <c r="W65" s="88">
        <v>784.91611219983884</v>
      </c>
      <c r="X65" s="88">
        <v>811.18595554349224</v>
      </c>
      <c r="Y65" s="88">
        <v>817.03041588450969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1.1891429043383333</v>
      </c>
      <c r="C67" s="59">
        <f t="shared" ref="C67:W67" si="61">IF(C3=0,0,C17/C57)</f>
        <v>1.1520514827385857</v>
      </c>
      <c r="D67" s="59">
        <f t="shared" si="61"/>
        <v>1.1264988502113218</v>
      </c>
      <c r="E67" s="59">
        <f t="shared" si="61"/>
        <v>1.0950203355713375</v>
      </c>
      <c r="F67" s="59">
        <f t="shared" si="61"/>
        <v>1.0618211381327263</v>
      </c>
      <c r="G67" s="59">
        <f t="shared" si="61"/>
        <v>1.0624902148192283</v>
      </c>
      <c r="H67" s="59">
        <f t="shared" si="61"/>
        <v>1.0569040982664242</v>
      </c>
      <c r="I67" s="59">
        <f t="shared" si="61"/>
        <v>1.0435200142282683</v>
      </c>
      <c r="J67" s="59">
        <f t="shared" si="61"/>
        <v>1.0475848138513648</v>
      </c>
      <c r="K67" s="59">
        <f t="shared" si="61"/>
        <v>1.094083910860173</v>
      </c>
      <c r="L67" s="59">
        <f t="shared" si="61"/>
        <v>1.0151157687936325</v>
      </c>
      <c r="M67" s="59">
        <f t="shared" si="61"/>
        <v>0.91117684117125874</v>
      </c>
      <c r="N67" s="59">
        <f t="shared" si="61"/>
        <v>0.99193635456001339</v>
      </c>
      <c r="O67" s="59">
        <f t="shared" si="61"/>
        <v>1.0532606737521544</v>
      </c>
      <c r="P67" s="59">
        <f t="shared" si="61"/>
        <v>1.0448169872527893</v>
      </c>
      <c r="Q67" s="59">
        <f t="shared" si="61"/>
        <v>1.0262378545781092</v>
      </c>
      <c r="R67" s="59">
        <f t="shared" si="61"/>
        <v>1.066160314046233</v>
      </c>
      <c r="S67" s="59">
        <f t="shared" si="61"/>
        <v>1.1251516898743334</v>
      </c>
      <c r="T67" s="59">
        <f t="shared" si="61"/>
        <v>1.1563054716331751</v>
      </c>
      <c r="U67" s="59">
        <f t="shared" si="61"/>
        <v>1.1519812776003051</v>
      </c>
      <c r="V67" s="59">
        <f t="shared" si="61"/>
        <v>1.0846030901925552</v>
      </c>
      <c r="W67" s="59">
        <f t="shared" si="61"/>
        <v>1.1701205156029115</v>
      </c>
      <c r="X67" s="59">
        <f t="shared" ref="X67:Y67" si="62">IF(X3=0,0,X17/X57)</f>
        <v>1.2173038590373009</v>
      </c>
      <c r="Y67" s="59">
        <f t="shared" si="62"/>
        <v>1.1528538624205691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1.1998833096590618</v>
      </c>
      <c r="C68" s="23">
        <f t="shared" ref="C68:W68" si="64">IF(C6=0,0,C18/C58)</f>
        <v>1.1625141934561702</v>
      </c>
      <c r="D68" s="23">
        <f t="shared" si="64"/>
        <v>1.13743707693938</v>
      </c>
      <c r="E68" s="23">
        <f t="shared" si="64"/>
        <v>1.1058084653892892</v>
      </c>
      <c r="F68" s="23">
        <f t="shared" si="64"/>
        <v>1.0728644153110525</v>
      </c>
      <c r="G68" s="23">
        <f t="shared" si="64"/>
        <v>1.0757991032529175</v>
      </c>
      <c r="H68" s="23">
        <f t="shared" si="64"/>
        <v>1.0730119435098002</v>
      </c>
      <c r="I68" s="23">
        <f t="shared" si="64"/>
        <v>1.0614194444229599</v>
      </c>
      <c r="J68" s="23">
        <f t="shared" si="64"/>
        <v>1.065639925787141</v>
      </c>
      <c r="K68" s="23">
        <f t="shared" si="64"/>
        <v>1.1110583841782491</v>
      </c>
      <c r="L68" s="23">
        <f t="shared" si="64"/>
        <v>1.0359399368021085</v>
      </c>
      <c r="M68" s="23">
        <f t="shared" si="64"/>
        <v>0.9290562425243919</v>
      </c>
      <c r="N68" s="23">
        <f t="shared" si="64"/>
        <v>1.0094297460855792</v>
      </c>
      <c r="O68" s="23">
        <f t="shared" si="64"/>
        <v>1.0702002951334619</v>
      </c>
      <c r="P68" s="23">
        <f t="shared" si="64"/>
        <v>1.0630557385412347</v>
      </c>
      <c r="Q68" s="23">
        <f t="shared" si="64"/>
        <v>1.0450669102205092</v>
      </c>
      <c r="R68" s="23">
        <f t="shared" si="64"/>
        <v>1.0855207615501925</v>
      </c>
      <c r="S68" s="23">
        <f t="shared" si="64"/>
        <v>1.1448514256147746</v>
      </c>
      <c r="T68" s="23">
        <f t="shared" si="64"/>
        <v>1.1727704970364057</v>
      </c>
      <c r="U68" s="23">
        <f t="shared" si="64"/>
        <v>1.1690773484306434</v>
      </c>
      <c r="V68" s="23">
        <f t="shared" si="64"/>
        <v>1.1161347427649988</v>
      </c>
      <c r="W68" s="23">
        <f t="shared" si="64"/>
        <v>1.2130639676001891</v>
      </c>
      <c r="X68" s="23">
        <f t="shared" ref="X68:Y68" si="65">IF(X6=0,0,X18/X58)</f>
        <v>1.2536734747012652</v>
      </c>
      <c r="Y68" s="23">
        <f t="shared" si="65"/>
        <v>1.1835296217509255</v>
      </c>
      <c r="DA68" s="189"/>
    </row>
    <row r="69" spans="1:105" ht="11.45" customHeight="1" x14ac:dyDescent="0.25">
      <c r="A69" s="83" t="s">
        <v>27</v>
      </c>
      <c r="B69" s="91">
        <f t="shared" si="63"/>
        <v>1.1581114618551489</v>
      </c>
      <c r="C69" s="91">
        <f t="shared" ref="C69:W69" si="66">IF(C7=0,0,C19/C59)</f>
        <v>1.1558477120063955</v>
      </c>
      <c r="D69" s="91">
        <f t="shared" si="66"/>
        <v>1.110452613516854</v>
      </c>
      <c r="E69" s="91">
        <f t="shared" si="66"/>
        <v>1.0559232310748521</v>
      </c>
      <c r="F69" s="91">
        <f t="shared" si="66"/>
        <v>1.0360000129217717</v>
      </c>
      <c r="G69" s="91">
        <f t="shared" si="66"/>
        <v>1.0726213133158051</v>
      </c>
      <c r="H69" s="91">
        <f t="shared" si="66"/>
        <v>1.0933170543253938</v>
      </c>
      <c r="I69" s="91">
        <f t="shared" si="66"/>
        <v>1.0903125242363221</v>
      </c>
      <c r="J69" s="91">
        <f t="shared" si="66"/>
        <v>1.1020731711506471</v>
      </c>
      <c r="K69" s="91">
        <f t="shared" si="66"/>
        <v>1.1542670254121141</v>
      </c>
      <c r="L69" s="91">
        <f t="shared" si="66"/>
        <v>1.1000101550589254</v>
      </c>
      <c r="M69" s="91">
        <f t="shared" si="66"/>
        <v>0.88228660488920685</v>
      </c>
      <c r="N69" s="91">
        <f t="shared" si="66"/>
        <v>0.94056843094965381</v>
      </c>
      <c r="O69" s="91">
        <f t="shared" si="66"/>
        <v>0.96217429359627749</v>
      </c>
      <c r="P69" s="91">
        <f t="shared" si="66"/>
        <v>1.2398299445377408</v>
      </c>
      <c r="Q69" s="91">
        <f t="shared" si="66"/>
        <v>1.277328600321987</v>
      </c>
      <c r="R69" s="91">
        <f t="shared" si="66"/>
        <v>1.3425602374025201</v>
      </c>
      <c r="S69" s="91">
        <f t="shared" si="66"/>
        <v>1.2071516203946386</v>
      </c>
      <c r="T69" s="91">
        <f t="shared" si="66"/>
        <v>1.1334763486395205</v>
      </c>
      <c r="U69" s="91">
        <f t="shared" si="66"/>
        <v>1.2734372675067309</v>
      </c>
      <c r="V69" s="91">
        <f t="shared" si="66"/>
        <v>1.368855325106535</v>
      </c>
      <c r="W69" s="91">
        <f t="shared" si="66"/>
        <v>1.4354488650063644</v>
      </c>
      <c r="X69" s="91">
        <f t="shared" ref="X69:Y69" si="67">IF(X7=0,0,X19/X59)</f>
        <v>1.2235814368477387</v>
      </c>
      <c r="Y69" s="91">
        <f t="shared" si="67"/>
        <v>1.2262865590040846</v>
      </c>
      <c r="DA69" s="171"/>
    </row>
    <row r="70" spans="1:105" ht="11.45" customHeight="1" x14ac:dyDescent="0.25">
      <c r="A70" s="83" t="s">
        <v>181</v>
      </c>
      <c r="B70" s="91">
        <f t="shared" si="63"/>
        <v>1.1605901297734305</v>
      </c>
      <c r="C70" s="91">
        <f t="shared" ref="C70:W70" si="68">IF(C8=0,0,C20/C60)</f>
        <v>1.1186636331762316</v>
      </c>
      <c r="D70" s="91">
        <f t="shared" si="68"/>
        <v>1.0973239393053347</v>
      </c>
      <c r="E70" s="91">
        <f t="shared" si="68"/>
        <v>1.0719069654262627</v>
      </c>
      <c r="F70" s="91">
        <f t="shared" si="68"/>
        <v>1.0379342177589064</v>
      </c>
      <c r="G70" s="91">
        <f t="shared" si="68"/>
        <v>1.0509603561637579</v>
      </c>
      <c r="H70" s="91">
        <f t="shared" si="68"/>
        <v>1.0797686944689597</v>
      </c>
      <c r="I70" s="91">
        <f t="shared" si="68"/>
        <v>1.1017255926836205</v>
      </c>
      <c r="J70" s="91">
        <f t="shared" si="68"/>
        <v>1.1035877968337044</v>
      </c>
      <c r="K70" s="91">
        <f t="shared" si="68"/>
        <v>1.143634903983064</v>
      </c>
      <c r="L70" s="91">
        <f t="shared" si="68"/>
        <v>1.1069260023448895</v>
      </c>
      <c r="M70" s="91">
        <f t="shared" si="68"/>
        <v>1.0257766702852995</v>
      </c>
      <c r="N70" s="91">
        <f t="shared" si="68"/>
        <v>1.1193922924110495</v>
      </c>
      <c r="O70" s="91">
        <f t="shared" si="68"/>
        <v>1.1480661227437912</v>
      </c>
      <c r="P70" s="91">
        <f t="shared" si="68"/>
        <v>1.1044721221302298</v>
      </c>
      <c r="Q70" s="91">
        <f t="shared" si="68"/>
        <v>1.0919975947960701</v>
      </c>
      <c r="R70" s="91">
        <f t="shared" si="68"/>
        <v>1.1577153560935338</v>
      </c>
      <c r="S70" s="91">
        <f t="shared" si="68"/>
        <v>1.241210231894486</v>
      </c>
      <c r="T70" s="91">
        <f t="shared" si="68"/>
        <v>1.2124243905503769</v>
      </c>
      <c r="U70" s="91">
        <f t="shared" si="68"/>
        <v>1.2159616945529952</v>
      </c>
      <c r="V70" s="91">
        <f t="shared" si="68"/>
        <v>0.95586476334230075</v>
      </c>
      <c r="W70" s="91">
        <f t="shared" si="68"/>
        <v>1.1874268994331445</v>
      </c>
      <c r="X70" s="91">
        <f t="shared" ref="X70:Y70" si="69">IF(X8=0,0,X20/X60)</f>
        <v>1.3802753725978845</v>
      </c>
      <c r="Y70" s="91">
        <f t="shared" si="69"/>
        <v>1.3487469488401653</v>
      </c>
      <c r="DA70" s="171"/>
    </row>
    <row r="71" spans="1:105" ht="11.45" customHeight="1" x14ac:dyDescent="0.25">
      <c r="A71" s="83" t="s">
        <v>182</v>
      </c>
      <c r="B71" s="91">
        <f t="shared" si="63"/>
        <v>1.2300720620768222</v>
      </c>
      <c r="C71" s="91">
        <f t="shared" ref="C71:W71" si="70">IF(C9=0,0,C21/C61)</f>
        <v>1.1853282766704683</v>
      </c>
      <c r="D71" s="91">
        <f t="shared" si="70"/>
        <v>1.160789973437155</v>
      </c>
      <c r="E71" s="91">
        <f t="shared" si="70"/>
        <v>1.1333126043546147</v>
      </c>
      <c r="F71" s="91">
        <f t="shared" si="70"/>
        <v>1.0963062133794201</v>
      </c>
      <c r="G71" s="91">
        <f t="shared" si="70"/>
        <v>1.0877226981383525</v>
      </c>
      <c r="H71" s="91">
        <f t="shared" si="70"/>
        <v>1.0663427379326007</v>
      </c>
      <c r="I71" s="91">
        <f t="shared" si="70"/>
        <v>1.0386592839666593</v>
      </c>
      <c r="J71" s="91">
        <f t="shared" si="70"/>
        <v>1.0432504124234614</v>
      </c>
      <c r="K71" s="91">
        <f t="shared" si="70"/>
        <v>1.0907219842158429</v>
      </c>
      <c r="L71" s="91">
        <f t="shared" si="70"/>
        <v>0.99873444419264246</v>
      </c>
      <c r="M71" s="91">
        <f t="shared" si="70"/>
        <v>0.89978986142418493</v>
      </c>
      <c r="N71" s="91">
        <f t="shared" si="70"/>
        <v>0.97900594207176861</v>
      </c>
      <c r="O71" s="91">
        <f t="shared" si="70"/>
        <v>1.0559124642021853</v>
      </c>
      <c r="P71" s="91">
        <f t="shared" si="70"/>
        <v>1.0253552975034677</v>
      </c>
      <c r="Q71" s="91">
        <f t="shared" si="70"/>
        <v>0.99998557899569551</v>
      </c>
      <c r="R71" s="91">
        <f t="shared" si="70"/>
        <v>1.0274715272309363</v>
      </c>
      <c r="S71" s="91">
        <f t="shared" si="70"/>
        <v>1.097968882977103</v>
      </c>
      <c r="T71" s="91">
        <f t="shared" si="70"/>
        <v>1.1595329297320736</v>
      </c>
      <c r="U71" s="91">
        <f t="shared" si="70"/>
        <v>1.1384697666150962</v>
      </c>
      <c r="V71" s="91">
        <f t="shared" si="70"/>
        <v>1.1551186948984171</v>
      </c>
      <c r="W71" s="91">
        <f t="shared" si="70"/>
        <v>1.2086984368375322</v>
      </c>
      <c r="X71" s="91">
        <f t="shared" ref="X71:Y71" si="71">IF(X9=0,0,X21/X61)</f>
        <v>1.2026785718163508</v>
      </c>
      <c r="Y71" s="91">
        <f t="shared" si="71"/>
        <v>1.1181218912312412</v>
      </c>
      <c r="DA71" s="171"/>
    </row>
    <row r="72" spans="1:105" ht="11.45" customHeight="1" x14ac:dyDescent="0.25">
      <c r="A72" s="12" t="s">
        <v>34</v>
      </c>
      <c r="B72" s="24">
        <f t="shared" si="63"/>
        <v>1.0954238204474258</v>
      </c>
      <c r="C72" s="24">
        <f t="shared" ref="C72:W72" si="72">IF(C10=0,0,C22/C62)</f>
        <v>1.0583881143648537</v>
      </c>
      <c r="D72" s="24">
        <f t="shared" si="72"/>
        <v>1.0371389993015163</v>
      </c>
      <c r="E72" s="24">
        <f t="shared" si="72"/>
        <v>1.0143191360248465</v>
      </c>
      <c r="F72" s="24">
        <f t="shared" si="72"/>
        <v>0.98363586544254178</v>
      </c>
      <c r="G72" s="24">
        <f t="shared" si="72"/>
        <v>0.98015897034419874</v>
      </c>
      <c r="H72" s="24">
        <f t="shared" si="72"/>
        <v>0.96475659676044812</v>
      </c>
      <c r="I72" s="24">
        <f t="shared" si="72"/>
        <v>0.94424050812209959</v>
      </c>
      <c r="J72" s="24">
        <f t="shared" si="72"/>
        <v>0.94945115517593848</v>
      </c>
      <c r="K72" s="24">
        <f t="shared" si="72"/>
        <v>0.99400982268214455</v>
      </c>
      <c r="L72" s="24">
        <f t="shared" si="72"/>
        <v>0.91426096246962163</v>
      </c>
      <c r="M72" s="24">
        <f t="shared" si="72"/>
        <v>0.82373251075274323</v>
      </c>
      <c r="N72" s="24">
        <f t="shared" si="72"/>
        <v>0.89780580248366215</v>
      </c>
      <c r="O72" s="24">
        <f t="shared" si="72"/>
        <v>0.96366960236747001</v>
      </c>
      <c r="P72" s="24">
        <f t="shared" si="72"/>
        <v>0.93966593643911123</v>
      </c>
      <c r="Q72" s="24">
        <f t="shared" si="72"/>
        <v>0.9184283734061417</v>
      </c>
      <c r="R72" s="24">
        <f t="shared" si="72"/>
        <v>0.94618470134406008</v>
      </c>
      <c r="S72" s="24">
        <f t="shared" si="72"/>
        <v>1.0095243653389057</v>
      </c>
      <c r="T72" s="24">
        <f t="shared" si="72"/>
        <v>1.0570669731070628</v>
      </c>
      <c r="U72" s="24">
        <f t="shared" si="72"/>
        <v>1.043254349926402</v>
      </c>
      <c r="V72" s="24">
        <f t="shared" si="72"/>
        <v>1.0294165614571973</v>
      </c>
      <c r="W72" s="24">
        <f t="shared" si="72"/>
        <v>1.090591370328734</v>
      </c>
      <c r="X72" s="24">
        <f t="shared" ref="X72:Y72" si="73">IF(X10=0,0,X22/X62)</f>
        <v>1.1011689239566738</v>
      </c>
      <c r="Y72" s="24">
        <f t="shared" si="73"/>
        <v>1.0311011750818364</v>
      </c>
      <c r="DA72" s="193"/>
    </row>
    <row r="73" spans="1:105" ht="11.45" customHeight="1" x14ac:dyDescent="0.25">
      <c r="A73" s="92" t="s">
        <v>27</v>
      </c>
      <c r="B73" s="93">
        <f t="shared" si="63"/>
        <v>1.1581114618551489</v>
      </c>
      <c r="C73" s="93">
        <f t="shared" ref="C73:W73" si="74">IF(C11=0,0,C23/C63)</f>
        <v>1.1558477120063955</v>
      </c>
      <c r="D73" s="93">
        <f t="shared" si="74"/>
        <v>1.1104526135168542</v>
      </c>
      <c r="E73" s="93">
        <f t="shared" si="74"/>
        <v>1.0559232310748521</v>
      </c>
      <c r="F73" s="93">
        <f t="shared" si="74"/>
        <v>1.0360000129217721</v>
      </c>
      <c r="G73" s="93">
        <f t="shared" si="74"/>
        <v>1.0726213133158053</v>
      </c>
      <c r="H73" s="93">
        <f t="shared" si="74"/>
        <v>1.0933170543253943</v>
      </c>
      <c r="I73" s="93">
        <f t="shared" si="74"/>
        <v>1.0903125242363221</v>
      </c>
      <c r="J73" s="93">
        <f t="shared" si="74"/>
        <v>1.1020731711506468</v>
      </c>
      <c r="K73" s="93">
        <f t="shared" si="74"/>
        <v>1.1542670254121139</v>
      </c>
      <c r="L73" s="93">
        <f t="shared" si="74"/>
        <v>1.1000101550589259</v>
      </c>
      <c r="M73" s="93">
        <f t="shared" si="74"/>
        <v>0.88228660488920663</v>
      </c>
      <c r="N73" s="93">
        <f t="shared" si="74"/>
        <v>0.9405684309496537</v>
      </c>
      <c r="O73" s="93">
        <f t="shared" si="74"/>
        <v>0.9621742935962776</v>
      </c>
      <c r="P73" s="93">
        <f t="shared" si="74"/>
        <v>1.2398299445377405</v>
      </c>
      <c r="Q73" s="93">
        <f t="shared" si="74"/>
        <v>1.277328600321987</v>
      </c>
      <c r="R73" s="93">
        <f t="shared" si="74"/>
        <v>1.3425602374025201</v>
      </c>
      <c r="S73" s="93">
        <f t="shared" si="74"/>
        <v>1.2071516203946389</v>
      </c>
      <c r="T73" s="93">
        <f t="shared" si="74"/>
        <v>1.1334763486395205</v>
      </c>
      <c r="U73" s="93">
        <f t="shared" si="74"/>
        <v>1.2734372675067309</v>
      </c>
      <c r="V73" s="93">
        <f t="shared" si="74"/>
        <v>1.3688553251065352</v>
      </c>
      <c r="W73" s="93">
        <f t="shared" si="74"/>
        <v>1.4354488650063646</v>
      </c>
      <c r="X73" s="93">
        <f t="shared" ref="X73:Y73" si="75">IF(X11=0,0,X23/X63)</f>
        <v>1.2235814368477385</v>
      </c>
      <c r="Y73" s="93">
        <f t="shared" si="75"/>
        <v>1.2262865590040848</v>
      </c>
      <c r="DA73" s="175"/>
    </row>
    <row r="74" spans="1:105" ht="11.45" customHeight="1" x14ac:dyDescent="0.25">
      <c r="A74" s="92" t="s">
        <v>181</v>
      </c>
      <c r="B74" s="93">
        <f t="shared" si="63"/>
        <v>1.1792108541790987</v>
      </c>
      <c r="C74" s="93">
        <f t="shared" ref="C74:W74" si="76">IF(C12=0,0,C24/C64)</f>
        <v>1.1384047457146715</v>
      </c>
      <c r="D74" s="93">
        <f t="shared" si="76"/>
        <v>1.1166646534357654</v>
      </c>
      <c r="E74" s="93">
        <f t="shared" si="76"/>
        <v>1.0903423089646536</v>
      </c>
      <c r="F74" s="93">
        <f t="shared" si="76"/>
        <v>1.0570319052200243</v>
      </c>
      <c r="G74" s="93">
        <f t="shared" si="76"/>
        <v>1.0743598407600981</v>
      </c>
      <c r="H74" s="93">
        <f t="shared" si="76"/>
        <v>1.0972620800856212</v>
      </c>
      <c r="I74" s="93">
        <f t="shared" si="76"/>
        <v>1.1154584349869023</v>
      </c>
      <c r="J74" s="93">
        <f t="shared" si="76"/>
        <v>1.1140884414891752</v>
      </c>
      <c r="K74" s="93">
        <f t="shared" si="76"/>
        <v>1.1484719615358963</v>
      </c>
      <c r="L74" s="93">
        <f t="shared" si="76"/>
        <v>1.1148496921116957</v>
      </c>
      <c r="M74" s="93">
        <f t="shared" si="76"/>
        <v>1.0399266226435753</v>
      </c>
      <c r="N74" s="93">
        <f t="shared" si="76"/>
        <v>1.1382878464605493</v>
      </c>
      <c r="O74" s="93">
        <f t="shared" si="76"/>
        <v>1.1665287515550291</v>
      </c>
      <c r="P74" s="93">
        <f t="shared" si="76"/>
        <v>1.1177082041509538</v>
      </c>
      <c r="Q74" s="93">
        <f t="shared" si="76"/>
        <v>1.1048220660281425</v>
      </c>
      <c r="R74" s="93">
        <f t="shared" si="76"/>
        <v>1.1707826100773975</v>
      </c>
      <c r="S74" s="93">
        <f t="shared" si="76"/>
        <v>1.2579882533811939</v>
      </c>
      <c r="T74" s="93">
        <f t="shared" si="76"/>
        <v>1.2370827987542148</v>
      </c>
      <c r="U74" s="93">
        <f t="shared" si="76"/>
        <v>1.2470769030235149</v>
      </c>
      <c r="V74" s="93">
        <f t="shared" si="76"/>
        <v>0.90023432170911855</v>
      </c>
      <c r="W74" s="93">
        <f t="shared" si="76"/>
        <v>1.1190429816373582</v>
      </c>
      <c r="X74" s="93">
        <f t="shared" ref="X74:Y74" si="77">IF(X12=0,0,X24/X64)</f>
        <v>1.3582003104181539</v>
      </c>
      <c r="Y74" s="93">
        <f t="shared" si="77"/>
        <v>1.3484828885052345</v>
      </c>
      <c r="DA74" s="175"/>
    </row>
    <row r="75" spans="1:105" ht="11.45" customHeight="1" x14ac:dyDescent="0.25">
      <c r="A75" s="85" t="s">
        <v>182</v>
      </c>
      <c r="B75" s="94">
        <f t="shared" si="63"/>
        <v>1.1070648558691398</v>
      </c>
      <c r="C75" s="94">
        <f t="shared" ref="C75:W75" si="78">IF(C13=0,0,C25/C65)</f>
        <v>1.0667954490034215</v>
      </c>
      <c r="D75" s="94">
        <f t="shared" si="78"/>
        <v>1.0447109760934392</v>
      </c>
      <c r="E75" s="94">
        <f t="shared" si="78"/>
        <v>1.0199813439191534</v>
      </c>
      <c r="F75" s="94">
        <f t="shared" si="78"/>
        <v>0.98667559204147792</v>
      </c>
      <c r="G75" s="94">
        <f t="shared" si="78"/>
        <v>0.97895042832451717</v>
      </c>
      <c r="H75" s="94">
        <f t="shared" si="78"/>
        <v>0.95970846413934074</v>
      </c>
      <c r="I75" s="94">
        <f t="shared" si="78"/>
        <v>0.93479335556999343</v>
      </c>
      <c r="J75" s="94">
        <f t="shared" si="78"/>
        <v>0.93892537118111541</v>
      </c>
      <c r="K75" s="94">
        <f t="shared" si="78"/>
        <v>0.98164978579425832</v>
      </c>
      <c r="L75" s="94">
        <f t="shared" si="78"/>
        <v>0.8988609997733783</v>
      </c>
      <c r="M75" s="94">
        <f t="shared" si="78"/>
        <v>0.80981087528176643</v>
      </c>
      <c r="N75" s="94">
        <f t="shared" si="78"/>
        <v>0.88110534786459183</v>
      </c>
      <c r="O75" s="94">
        <f t="shared" si="78"/>
        <v>0.95032121778196676</v>
      </c>
      <c r="P75" s="94">
        <f t="shared" si="78"/>
        <v>0.9228197677531208</v>
      </c>
      <c r="Q75" s="94">
        <f t="shared" si="78"/>
        <v>0.89998702109612616</v>
      </c>
      <c r="R75" s="94">
        <f t="shared" si="78"/>
        <v>0.92472437450784262</v>
      </c>
      <c r="S75" s="94">
        <f t="shared" si="78"/>
        <v>0.98817199467939276</v>
      </c>
      <c r="T75" s="94">
        <f t="shared" si="78"/>
        <v>1.0435796367588663</v>
      </c>
      <c r="U75" s="94">
        <f t="shared" si="78"/>
        <v>1.0246227899535867</v>
      </c>
      <c r="V75" s="94">
        <f t="shared" si="78"/>
        <v>1.0396068254085755</v>
      </c>
      <c r="W75" s="94">
        <f t="shared" si="78"/>
        <v>1.087828593153779</v>
      </c>
      <c r="X75" s="94">
        <f t="shared" ref="X75:Y75" si="79">IF(X13=0,0,X25/X65)</f>
        <v>1.0824107146347157</v>
      </c>
      <c r="Y75" s="94">
        <f t="shared" si="79"/>
        <v>1.0063097021081171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22726.408068000004</v>
      </c>
      <c r="C3" s="79">
        <f t="shared" si="0"/>
        <v>21673.915326000009</v>
      </c>
      <c r="D3" s="79">
        <f t="shared" ref="D3" si="1">SUM(D4:D5)</f>
        <v>21582.241632000005</v>
      </c>
      <c r="E3" s="79">
        <f t="shared" ref="E3" si="2">SUM(E4:E5)</f>
        <v>21442.203958680002</v>
      </c>
      <c r="F3" s="79">
        <f t="shared" ref="F3" si="3">SUM(F4:F5)</f>
        <v>23162.519896559999</v>
      </c>
      <c r="G3" s="79">
        <f t="shared" ref="G3" si="4">SUM(G4:G5)</f>
        <v>24928.870094279999</v>
      </c>
      <c r="H3" s="79">
        <f t="shared" ref="H3" si="5">SUM(H4:H5)</f>
        <v>26193.679952759998</v>
      </c>
      <c r="I3" s="79">
        <f t="shared" ref="I3" si="6">SUM(I4:I5)</f>
        <v>27147.680181719999</v>
      </c>
      <c r="J3" s="79">
        <f t="shared" ref="J3" si="7">SUM(J4:J5)</f>
        <v>27507.695448959999</v>
      </c>
      <c r="K3" s="79">
        <f t="shared" ref="K3" si="8">SUM(K4:K5)</f>
        <v>26766.06138648</v>
      </c>
      <c r="L3" s="79">
        <f t="shared" ref="L3" si="9">SUM(L4:L5)</f>
        <v>26286.061725720003</v>
      </c>
      <c r="M3" s="79">
        <f t="shared" ref="M3" si="10">SUM(M4:M5)</f>
        <v>25227.401501519998</v>
      </c>
      <c r="N3" s="79">
        <f t="shared" ref="N3" si="11">SUM(N4:N5)</f>
        <v>26769.169908</v>
      </c>
      <c r="O3" s="79">
        <f t="shared" ref="O3" si="12">SUM(O4:O5)</f>
        <v>27123.123996000006</v>
      </c>
      <c r="P3" s="79">
        <f t="shared" ref="P3" si="13">SUM(P4:P5)</f>
        <v>26273.783503440009</v>
      </c>
      <c r="Q3" s="79">
        <f t="shared" ref="Q3" si="14">SUM(Q4:Q5)</f>
        <v>26310.680256960004</v>
      </c>
      <c r="R3" s="79">
        <f t="shared" ref="R3" si="15">SUM(R4:R5)</f>
        <v>28277.18150724001</v>
      </c>
      <c r="S3" s="79">
        <f t="shared" ref="S3" si="16">SUM(S4:S5)</f>
        <v>30705.1871598</v>
      </c>
      <c r="T3" s="79">
        <f t="shared" ref="T3" si="17">SUM(T4:T5)</f>
        <v>31536.094473720012</v>
      </c>
      <c r="U3" s="79">
        <f t="shared" ref="U3" si="18">SUM(U4:U5)</f>
        <v>31533.048297720001</v>
      </c>
      <c r="V3" s="79">
        <f t="shared" ref="V3:W3" si="19">SUM(V4:V5)</f>
        <v>14598.649992959996</v>
      </c>
      <c r="W3" s="79">
        <f t="shared" si="19"/>
        <v>18873.078731999998</v>
      </c>
      <c r="X3" s="79">
        <f t="shared" ref="X3:Y3" si="20">SUM(X4:X5)</f>
        <v>27948.095325720002</v>
      </c>
      <c r="Y3" s="79">
        <f t="shared" si="20"/>
        <v>29179.05435468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2794.8221280000002</v>
      </c>
      <c r="C4" s="96">
        <f t="shared" si="21"/>
        <v>2601.6134760000004</v>
      </c>
      <c r="D4" s="96">
        <f t="shared" ref="D4:V4" si="22">SUM(D7,D11)</f>
        <v>2541.6476820000007</v>
      </c>
      <c r="E4" s="96">
        <f t="shared" si="22"/>
        <v>2455.1396737200002</v>
      </c>
      <c r="F4" s="96">
        <f t="shared" si="22"/>
        <v>2433.6922615200001</v>
      </c>
      <c r="G4" s="96">
        <f t="shared" si="22"/>
        <v>2519.8258255199999</v>
      </c>
      <c r="H4" s="96">
        <f t="shared" si="22"/>
        <v>2593.7128440000001</v>
      </c>
      <c r="I4" s="96">
        <f t="shared" si="22"/>
        <v>2621.43989676</v>
      </c>
      <c r="J4" s="96">
        <f t="shared" si="22"/>
        <v>2618.3313752400004</v>
      </c>
      <c r="K4" s="96">
        <f t="shared" si="22"/>
        <v>2532.1663864799998</v>
      </c>
      <c r="L4" s="96">
        <f t="shared" si="22"/>
        <v>2366.053452000001</v>
      </c>
      <c r="M4" s="96">
        <f t="shared" si="22"/>
        <v>2181.35199276</v>
      </c>
      <c r="N4" s="96">
        <f t="shared" si="22"/>
        <v>2181.3831655200001</v>
      </c>
      <c r="O4" s="96">
        <f t="shared" si="22"/>
        <v>2042.9661110399995</v>
      </c>
      <c r="P4" s="96">
        <f t="shared" si="22"/>
        <v>2190.67729848</v>
      </c>
      <c r="Q4" s="96">
        <f t="shared" si="22"/>
        <v>2196.8008232400007</v>
      </c>
      <c r="R4" s="96">
        <f t="shared" si="22"/>
        <v>2338.4513422800001</v>
      </c>
      <c r="S4" s="96">
        <f t="shared" si="22"/>
        <v>2027.6419647599998</v>
      </c>
      <c r="T4" s="96">
        <f t="shared" si="22"/>
        <v>1959.9719824799997</v>
      </c>
      <c r="U4" s="96">
        <f t="shared" si="22"/>
        <v>2200.0340289600003</v>
      </c>
      <c r="V4" s="96">
        <f t="shared" si="22"/>
        <v>892.26674172000037</v>
      </c>
      <c r="W4" s="96">
        <f t="shared" ref="W4:Y4" si="23">SUM(W7,W11)</f>
        <v>756.89586323999993</v>
      </c>
      <c r="X4" s="96">
        <f t="shared" si="23"/>
        <v>1024.6226169600002</v>
      </c>
      <c r="Y4" s="96">
        <f t="shared" si="23"/>
        <v>1104.6640809600001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19931.585940000004</v>
      </c>
      <c r="C5" s="96">
        <f t="shared" si="24"/>
        <v>19072.301850000007</v>
      </c>
      <c r="D5" s="96">
        <f t="shared" ref="D5:V5" si="25">SUM(D8:D9,D12:D13)</f>
        <v>19040.593950000002</v>
      </c>
      <c r="E5" s="96">
        <f t="shared" si="25"/>
        <v>18987.064284960001</v>
      </c>
      <c r="F5" s="96">
        <f t="shared" si="25"/>
        <v>20728.827635040001</v>
      </c>
      <c r="G5" s="96">
        <f t="shared" si="25"/>
        <v>22409.044268760001</v>
      </c>
      <c r="H5" s="96">
        <f t="shared" si="25"/>
        <v>23599.967108759996</v>
      </c>
      <c r="I5" s="96">
        <f t="shared" si="25"/>
        <v>24526.24028496</v>
      </c>
      <c r="J5" s="96">
        <f t="shared" si="25"/>
        <v>24889.36407372</v>
      </c>
      <c r="K5" s="96">
        <f t="shared" si="25"/>
        <v>24233.895</v>
      </c>
      <c r="L5" s="96">
        <f t="shared" si="25"/>
        <v>23920.008273720003</v>
      </c>
      <c r="M5" s="96">
        <f t="shared" si="25"/>
        <v>23046.049508759999</v>
      </c>
      <c r="N5" s="96">
        <f t="shared" si="25"/>
        <v>24587.786742479999</v>
      </c>
      <c r="O5" s="96">
        <f t="shared" si="25"/>
        <v>25080.157884960005</v>
      </c>
      <c r="P5" s="96">
        <f t="shared" si="25"/>
        <v>24083.106204960008</v>
      </c>
      <c r="Q5" s="96">
        <f t="shared" si="25"/>
        <v>24113.879433720005</v>
      </c>
      <c r="R5" s="96">
        <f t="shared" si="25"/>
        <v>25938.730164960009</v>
      </c>
      <c r="S5" s="96">
        <f t="shared" si="25"/>
        <v>28677.545195039998</v>
      </c>
      <c r="T5" s="96">
        <f t="shared" si="25"/>
        <v>29576.12249124001</v>
      </c>
      <c r="U5" s="96">
        <f t="shared" si="25"/>
        <v>29333.014268760002</v>
      </c>
      <c r="V5" s="96">
        <f t="shared" si="25"/>
        <v>13706.383251239995</v>
      </c>
      <c r="W5" s="96">
        <f t="shared" ref="W5:Y5" si="26">SUM(W8:W9,W12:W13)</f>
        <v>18116.182868759999</v>
      </c>
      <c r="X5" s="96">
        <f t="shared" si="26"/>
        <v>26923.47270876</v>
      </c>
      <c r="Y5" s="96">
        <f t="shared" si="26"/>
        <v>28074.390273720001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20045.821718528226</v>
      </c>
      <c r="C6" s="21">
        <f t="shared" si="27"/>
        <v>19223.284925620061</v>
      </c>
      <c r="D6" s="21">
        <f t="shared" ref="D6:V6" si="28">SUM(D7:D9)</f>
        <v>19022.449613812274</v>
      </c>
      <c r="E6" s="21">
        <f t="shared" si="28"/>
        <v>18758.260465041705</v>
      </c>
      <c r="F6" s="21">
        <f t="shared" si="28"/>
        <v>20197.09631261347</v>
      </c>
      <c r="G6" s="21">
        <f t="shared" si="28"/>
        <v>21472.795965980335</v>
      </c>
      <c r="H6" s="21">
        <f t="shared" si="28"/>
        <v>22399.710250994271</v>
      </c>
      <c r="I6" s="21">
        <f t="shared" si="28"/>
        <v>23189.932215067223</v>
      </c>
      <c r="J6" s="21">
        <f t="shared" si="28"/>
        <v>23386.180400911995</v>
      </c>
      <c r="K6" s="21">
        <f t="shared" si="28"/>
        <v>23024.456095924827</v>
      </c>
      <c r="L6" s="21">
        <f t="shared" si="28"/>
        <v>22066.958972858909</v>
      </c>
      <c r="M6" s="21">
        <f t="shared" si="28"/>
        <v>21206.919190913024</v>
      </c>
      <c r="N6" s="21">
        <f t="shared" si="28"/>
        <v>22818.545571545488</v>
      </c>
      <c r="O6" s="21">
        <f t="shared" si="28"/>
        <v>23009.729610244416</v>
      </c>
      <c r="P6" s="21">
        <f t="shared" si="28"/>
        <v>22646.684805495606</v>
      </c>
      <c r="Q6" s="21">
        <f t="shared" si="28"/>
        <v>22683.834199918085</v>
      </c>
      <c r="R6" s="21">
        <f t="shared" si="28"/>
        <v>24676.08112676629</v>
      </c>
      <c r="S6" s="21">
        <f t="shared" si="28"/>
        <v>26541.639480208229</v>
      </c>
      <c r="T6" s="21">
        <f t="shared" si="28"/>
        <v>27226.773042937253</v>
      </c>
      <c r="U6" s="21">
        <f t="shared" si="28"/>
        <v>27486.713139266423</v>
      </c>
      <c r="V6" s="21">
        <f t="shared" si="28"/>
        <v>9386.1378833551717</v>
      </c>
      <c r="W6" s="21">
        <f t="shared" ref="W6:Y6" si="29">SUM(W7:W9)</f>
        <v>12535.762684479467</v>
      </c>
      <c r="X6" s="21">
        <f t="shared" si="29"/>
        <v>21741.923636158826</v>
      </c>
      <c r="Y6" s="21">
        <f t="shared" si="29"/>
        <v>23778.067815629118</v>
      </c>
      <c r="DA6" s="189" t="s">
        <v>327</v>
      </c>
    </row>
    <row r="7" spans="1:105" ht="11.45" customHeight="1" x14ac:dyDescent="0.25">
      <c r="A7" s="83" t="s">
        <v>27</v>
      </c>
      <c r="B7" s="96">
        <v>2639.1900447530525</v>
      </c>
      <c r="C7" s="96">
        <v>2456.4354236588219</v>
      </c>
      <c r="D7" s="96">
        <v>2415.0357920789002</v>
      </c>
      <c r="E7" s="96">
        <v>2360.8110126871948</v>
      </c>
      <c r="F7" s="96">
        <v>2343.0973325582399</v>
      </c>
      <c r="G7" s="96">
        <v>2437.1553764289124</v>
      </c>
      <c r="H7" s="96">
        <v>2503.7212472464284</v>
      </c>
      <c r="I7" s="96">
        <v>2532.9969212453202</v>
      </c>
      <c r="J7" s="96">
        <v>2506.3097299961196</v>
      </c>
      <c r="K7" s="96">
        <v>2433.4071906594545</v>
      </c>
      <c r="L7" s="96">
        <v>2278.6321613170494</v>
      </c>
      <c r="M7" s="96">
        <v>2113.8803689218144</v>
      </c>
      <c r="N7" s="96">
        <v>2115.1296580549297</v>
      </c>
      <c r="O7" s="96">
        <v>1980.1474949651094</v>
      </c>
      <c r="P7" s="96">
        <v>2115.6642605543998</v>
      </c>
      <c r="Q7" s="96">
        <v>2120.4330407751481</v>
      </c>
      <c r="R7" s="96">
        <v>2263.5217437835104</v>
      </c>
      <c r="S7" s="96">
        <v>1950.9360263633168</v>
      </c>
      <c r="T7" s="96">
        <v>1888.0626307757341</v>
      </c>
      <c r="U7" s="96">
        <v>2128.4964056436816</v>
      </c>
      <c r="V7" s="96">
        <v>814.02654821864598</v>
      </c>
      <c r="W7" s="96">
        <v>668.79267057316213</v>
      </c>
      <c r="X7" s="96">
        <v>951.98576695269253</v>
      </c>
      <c r="Y7" s="96">
        <v>1036.082207345439</v>
      </c>
      <c r="DA7" s="171" t="s">
        <v>328</v>
      </c>
    </row>
    <row r="8" spans="1:105" ht="11.45" customHeight="1" x14ac:dyDescent="0.25">
      <c r="A8" s="83" t="s">
        <v>181</v>
      </c>
      <c r="B8" s="96">
        <v>5683.8958385547776</v>
      </c>
      <c r="C8" s="96">
        <v>5278.9517753776727</v>
      </c>
      <c r="D8" s="96">
        <v>4859.1720190078431</v>
      </c>
      <c r="E8" s="96">
        <v>5122.8365406980165</v>
      </c>
      <c r="F8" s="96">
        <v>5420.9101826142905</v>
      </c>
      <c r="G8" s="96">
        <v>5822.7046782159869</v>
      </c>
      <c r="H8" s="96">
        <v>6227.1800690292775</v>
      </c>
      <c r="I8" s="96">
        <v>6590.0541249870957</v>
      </c>
      <c r="J8" s="96">
        <v>6539.526468477432</v>
      </c>
      <c r="K8" s="96">
        <v>6212.2178571484437</v>
      </c>
      <c r="L8" s="96">
        <v>5961.511956006053</v>
      </c>
      <c r="M8" s="96">
        <v>5781.1110205926261</v>
      </c>
      <c r="N8" s="96">
        <v>6173.6728165455015</v>
      </c>
      <c r="O8" s="96">
        <v>6231.7395049164707</v>
      </c>
      <c r="P8" s="96">
        <v>6100.9803022428441</v>
      </c>
      <c r="Q8" s="96">
        <v>6146.8354501697249</v>
      </c>
      <c r="R8" s="96">
        <v>7006.1765153273218</v>
      </c>
      <c r="S8" s="96">
        <v>7888.8166461699038</v>
      </c>
      <c r="T8" s="96">
        <v>8040.1547414243651</v>
      </c>
      <c r="U8" s="96">
        <v>7751.3527163215686</v>
      </c>
      <c r="V8" s="96">
        <v>2182.7918994465385</v>
      </c>
      <c r="W8" s="96">
        <v>3381.5818214084447</v>
      </c>
      <c r="X8" s="96">
        <v>6747.0487621945595</v>
      </c>
      <c r="Y8" s="96">
        <v>7150.6167249684859</v>
      </c>
      <c r="DA8" s="171" t="s">
        <v>329</v>
      </c>
    </row>
    <row r="9" spans="1:105" ht="11.45" customHeight="1" x14ac:dyDescent="0.25">
      <c r="A9" s="83" t="s">
        <v>182</v>
      </c>
      <c r="B9" s="96">
        <v>11722.735835220397</v>
      </c>
      <c r="C9" s="96">
        <v>11487.897726583566</v>
      </c>
      <c r="D9" s="96">
        <v>11748.241802725532</v>
      </c>
      <c r="E9" s="96">
        <v>11274.612911656495</v>
      </c>
      <c r="F9" s="96">
        <v>12433.08879744094</v>
      </c>
      <c r="G9" s="96">
        <v>13212.935911335435</v>
      </c>
      <c r="H9" s="96">
        <v>13668.808934718565</v>
      </c>
      <c r="I9" s="96">
        <v>14066.881168834809</v>
      </c>
      <c r="J9" s="96">
        <v>14340.344202438444</v>
      </c>
      <c r="K9" s="96">
        <v>14378.831048116928</v>
      </c>
      <c r="L9" s="96">
        <v>13826.814855535806</v>
      </c>
      <c r="M9" s="96">
        <v>13311.927801398584</v>
      </c>
      <c r="N9" s="96">
        <v>14529.743096945056</v>
      </c>
      <c r="O9" s="96">
        <v>14797.842610362835</v>
      </c>
      <c r="P9" s="96">
        <v>14430.040242698364</v>
      </c>
      <c r="Q9" s="96">
        <v>14416.565708973214</v>
      </c>
      <c r="R9" s="96">
        <v>15406.382867655459</v>
      </c>
      <c r="S9" s="96">
        <v>16701.886807675008</v>
      </c>
      <c r="T9" s="96">
        <v>17298.555670737154</v>
      </c>
      <c r="U9" s="96">
        <v>17606.864017301174</v>
      </c>
      <c r="V9" s="96">
        <v>6389.3194356899876</v>
      </c>
      <c r="W9" s="96">
        <v>8485.3881924978596</v>
      </c>
      <c r="X9" s="96">
        <v>14042.889107011575</v>
      </c>
      <c r="Y9" s="96">
        <v>15591.368883315194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2680.5863494717751</v>
      </c>
      <c r="C10" s="22">
        <f t="shared" si="30"/>
        <v>2450.630400379946</v>
      </c>
      <c r="D10" s="22">
        <f t="shared" ref="D10:V10" si="31">SUM(D11:D13)</f>
        <v>2559.792018187728</v>
      </c>
      <c r="E10" s="22">
        <f t="shared" si="31"/>
        <v>2683.9434936382941</v>
      </c>
      <c r="F10" s="22">
        <f t="shared" si="31"/>
        <v>2965.4235839465318</v>
      </c>
      <c r="G10" s="22">
        <f t="shared" si="31"/>
        <v>3456.074128299666</v>
      </c>
      <c r="H10" s="22">
        <f t="shared" si="31"/>
        <v>3793.9697017657263</v>
      </c>
      <c r="I10" s="22">
        <f t="shared" si="31"/>
        <v>3957.747966652777</v>
      </c>
      <c r="J10" s="22">
        <f t="shared" si="31"/>
        <v>4121.5150480480052</v>
      </c>
      <c r="K10" s="22">
        <f t="shared" si="31"/>
        <v>3741.6052905551742</v>
      </c>
      <c r="L10" s="22">
        <f t="shared" si="31"/>
        <v>4219.1027528610975</v>
      </c>
      <c r="M10" s="22">
        <f t="shared" si="31"/>
        <v>4020.4823106069771</v>
      </c>
      <c r="N10" s="22">
        <f t="shared" si="31"/>
        <v>3950.6243364545116</v>
      </c>
      <c r="O10" s="22">
        <f t="shared" si="31"/>
        <v>4113.3943857555896</v>
      </c>
      <c r="P10" s="22">
        <f t="shared" si="31"/>
        <v>3627.0986979443974</v>
      </c>
      <c r="Q10" s="22">
        <f t="shared" si="31"/>
        <v>3626.8460570419184</v>
      </c>
      <c r="R10" s="22">
        <f t="shared" si="31"/>
        <v>3601.1003804737165</v>
      </c>
      <c r="S10" s="22">
        <f t="shared" si="31"/>
        <v>4163.547679591773</v>
      </c>
      <c r="T10" s="22">
        <f t="shared" si="31"/>
        <v>4309.3214307827557</v>
      </c>
      <c r="U10" s="22">
        <f t="shared" si="31"/>
        <v>4046.3351584535776</v>
      </c>
      <c r="V10" s="22">
        <f t="shared" si="31"/>
        <v>5212.5121096048242</v>
      </c>
      <c r="W10" s="22">
        <f t="shared" ref="W10:Y10" si="32">SUM(W11:W13)</f>
        <v>6337.3160475205341</v>
      </c>
      <c r="X10" s="22">
        <f t="shared" si="32"/>
        <v>6206.1716895611735</v>
      </c>
      <c r="Y10" s="22">
        <f t="shared" si="32"/>
        <v>5400.9865390508849</v>
      </c>
      <c r="DA10" s="193" t="s">
        <v>331</v>
      </c>
    </row>
    <row r="11" spans="1:105" ht="11.45" customHeight="1" x14ac:dyDescent="0.25">
      <c r="A11" s="92" t="s">
        <v>27</v>
      </c>
      <c r="B11" s="97">
        <v>155.63208324694787</v>
      </c>
      <c r="C11" s="97">
        <v>145.17805234117847</v>
      </c>
      <c r="D11" s="97">
        <v>126.61188992110037</v>
      </c>
      <c r="E11" s="97">
        <v>94.328661032805513</v>
      </c>
      <c r="F11" s="97">
        <v>90.594928961759933</v>
      </c>
      <c r="G11" s="97">
        <v>82.670449091087406</v>
      </c>
      <c r="H11" s="97">
        <v>89.991596753571812</v>
      </c>
      <c r="I11" s="97">
        <v>88.442975514679674</v>
      </c>
      <c r="J11" s="97">
        <v>112.0216452438806</v>
      </c>
      <c r="K11" s="97">
        <v>98.75919582054523</v>
      </c>
      <c r="L11" s="97">
        <v>87.421290682951408</v>
      </c>
      <c r="M11" s="97">
        <v>67.471623838185764</v>
      </c>
      <c r="N11" s="97">
        <v>66.253507465070697</v>
      </c>
      <c r="O11" s="97">
        <v>62.818616074890194</v>
      </c>
      <c r="P11" s="97">
        <v>75.013037925600173</v>
      </c>
      <c r="Q11" s="97">
        <v>76.367782464852354</v>
      </c>
      <c r="R11" s="97">
        <v>74.929598496489774</v>
      </c>
      <c r="S11" s="97">
        <v>76.705938396682924</v>
      </c>
      <c r="T11" s="97">
        <v>71.909351704265745</v>
      </c>
      <c r="U11" s="97">
        <v>71.537623316318644</v>
      </c>
      <c r="V11" s="97">
        <v>78.240193501354341</v>
      </c>
      <c r="W11" s="97">
        <v>88.103192666837771</v>
      </c>
      <c r="X11" s="97">
        <v>72.636850007307686</v>
      </c>
      <c r="Y11" s="97">
        <v>68.581873614561019</v>
      </c>
      <c r="DA11" s="175" t="s">
        <v>332</v>
      </c>
    </row>
    <row r="12" spans="1:105" ht="11.45" customHeight="1" x14ac:dyDescent="0.25">
      <c r="A12" s="92" t="s">
        <v>181</v>
      </c>
      <c r="B12" s="97">
        <v>214.2850985763163</v>
      </c>
      <c r="C12" s="97">
        <v>200.81763627164585</v>
      </c>
      <c r="D12" s="97">
        <v>201.63174868318237</v>
      </c>
      <c r="E12" s="97">
        <v>195.80257268001807</v>
      </c>
      <c r="F12" s="97">
        <v>229.18872799407191</v>
      </c>
      <c r="G12" s="97">
        <v>256.47936876880902</v>
      </c>
      <c r="H12" s="97">
        <v>300.71958931545845</v>
      </c>
      <c r="I12" s="97">
        <v>337.70781207400921</v>
      </c>
      <c r="J12" s="97">
        <v>386.09412480937652</v>
      </c>
      <c r="K12" s="97">
        <v>397.66220192815837</v>
      </c>
      <c r="L12" s="97">
        <v>400.86834198808396</v>
      </c>
      <c r="M12" s="97">
        <v>364.02700910715134</v>
      </c>
      <c r="N12" s="97">
        <v>380.04299279892336</v>
      </c>
      <c r="O12" s="97">
        <v>385.83377516915584</v>
      </c>
      <c r="P12" s="97">
        <v>345.50833167487133</v>
      </c>
      <c r="Q12" s="97">
        <v>349.43595212949594</v>
      </c>
      <c r="R12" s="97">
        <v>351.83494954006989</v>
      </c>
      <c r="S12" s="97">
        <v>432.93300135286512</v>
      </c>
      <c r="T12" s="97">
        <v>437.58066712432532</v>
      </c>
      <c r="U12" s="97">
        <v>423.49970926584672</v>
      </c>
      <c r="V12" s="97">
        <v>341.1633339980188</v>
      </c>
      <c r="W12" s="97">
        <v>508.81521694344008</v>
      </c>
      <c r="X12" s="97">
        <v>594.87613463201058</v>
      </c>
      <c r="Y12" s="97">
        <v>548.84479811056531</v>
      </c>
      <c r="DA12" s="175" t="s">
        <v>333</v>
      </c>
    </row>
    <row r="13" spans="1:105" ht="11.45" customHeight="1" x14ac:dyDescent="0.25">
      <c r="A13" s="85" t="s">
        <v>182</v>
      </c>
      <c r="B13" s="98">
        <v>2310.6691676485107</v>
      </c>
      <c r="C13" s="98">
        <v>2104.6347117671216</v>
      </c>
      <c r="D13" s="98">
        <v>2231.5483795834452</v>
      </c>
      <c r="E13" s="98">
        <v>2393.8122599254707</v>
      </c>
      <c r="F13" s="98">
        <v>2645.6399269907001</v>
      </c>
      <c r="G13" s="98">
        <v>3116.9243104397697</v>
      </c>
      <c r="H13" s="98">
        <v>3403.2585156966961</v>
      </c>
      <c r="I13" s="98">
        <v>3531.5971790640883</v>
      </c>
      <c r="J13" s="98">
        <v>3623.399277994748</v>
      </c>
      <c r="K13" s="98">
        <v>3245.1838928064703</v>
      </c>
      <c r="L13" s="98">
        <v>3730.8131201900624</v>
      </c>
      <c r="M13" s="98">
        <v>3588.9836776616398</v>
      </c>
      <c r="N13" s="98">
        <v>3504.3278361905177</v>
      </c>
      <c r="O13" s="98">
        <v>3664.7419945115435</v>
      </c>
      <c r="P13" s="98">
        <v>3206.5773283439257</v>
      </c>
      <c r="Q13" s="98">
        <v>3201.0423224475699</v>
      </c>
      <c r="R13" s="98">
        <v>3174.335832437157</v>
      </c>
      <c r="S13" s="98">
        <v>3653.9087398422248</v>
      </c>
      <c r="T13" s="98">
        <v>3799.8314119541642</v>
      </c>
      <c r="U13" s="98">
        <v>3551.2978258714124</v>
      </c>
      <c r="V13" s="98">
        <v>4793.1085821054512</v>
      </c>
      <c r="W13" s="98">
        <v>5740.397637910256</v>
      </c>
      <c r="X13" s="98">
        <v>5538.6587049218551</v>
      </c>
      <c r="Y13" s="98">
        <v>4783.5598673257582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3.0079538954338472</v>
      </c>
      <c r="C18" s="97">
        <f>IF(C4=0,0,C4/TrAvia_ene!C4)</f>
        <v>3.008070835601393</v>
      </c>
      <c r="D18" s="97">
        <f>IF(D4=0,0,D4/TrAvia_ene!D4)</f>
        <v>3.0084162709631914</v>
      </c>
      <c r="E18" s="97">
        <f>IF(E4=0,0,E4/TrAvia_ene!E4)</f>
        <v>3.0084855277214748</v>
      </c>
      <c r="F18" s="97">
        <f>IF(F4=0,0,F4/TrAvia_ene!F4)</f>
        <v>3.0087759293892113</v>
      </c>
      <c r="G18" s="97">
        <f>IF(G4=0,0,G4/TrAvia_ene!G4)</f>
        <v>3.0087296470227765</v>
      </c>
      <c r="H18" s="97">
        <f>IF(H4=0,0,H4/TrAvia_ene!H4)</f>
        <v>3.0088704801773356</v>
      </c>
      <c r="I18" s="97">
        <f>IF(I4=0,0,I4/TrAvia_ene!I4)</f>
        <v>3.0089805506922445</v>
      </c>
      <c r="J18" s="97">
        <f>IF(J4=0,0,J4/TrAvia_ene!J4)</f>
        <v>3.0088840011550109</v>
      </c>
      <c r="K18" s="97">
        <f>IF(K4=0,0,K4/TrAvia_ene!K4)</f>
        <v>3.0088355279874137</v>
      </c>
      <c r="L18" s="97">
        <f>IF(L4=0,0,L4/TrAvia_ene!L4)</f>
        <v>3.0089423057293496</v>
      </c>
      <c r="M18" s="97">
        <f>IF(M4=0,0,M4/TrAvia_ene!M4)</f>
        <v>3.0085986603978609</v>
      </c>
      <c r="N18" s="97">
        <f>IF(N4=0,0,N4/TrAvia_ene!N4)</f>
        <v>3.0087126605798122</v>
      </c>
      <c r="O18" s="97">
        <f>IF(O4=0,0,O4/TrAvia_ene!O4)</f>
        <v>3.0088479588384329</v>
      </c>
      <c r="P18" s="97">
        <f>IF(P4=0,0,P4/TrAvia_ene!P4)</f>
        <v>3.0089464416028062</v>
      </c>
      <c r="Q18" s="97">
        <f>IF(Q4=0,0,Q4/TrAvia_ene!Q4)</f>
        <v>3.0088370447940078</v>
      </c>
      <c r="R18" s="97">
        <f>IF(R4=0,0,R4/TrAvia_ene!R4)</f>
        <v>3.0092452220947621</v>
      </c>
      <c r="S18" s="97">
        <f>IF(S4=0,0,S4/TrAvia_ene!S4)</f>
        <v>3.0090821955225668</v>
      </c>
      <c r="T18" s="97">
        <f>IF(T4=0,0,T4/TrAvia_ene!T4)</f>
        <v>3.0091667387777603</v>
      </c>
      <c r="U18" s="97">
        <f>IF(U4=0,0,U4/TrAvia_ene!U4)</f>
        <v>3.0094044205786172</v>
      </c>
      <c r="V18" s="97">
        <f>IF(V4=0,0,V4/TrAvia_ene!V4)</f>
        <v>3.0089151170919965</v>
      </c>
      <c r="W18" s="97">
        <f>IF(W4=0,0,W4/TrAvia_ene!W4)</f>
        <v>3.0089944389915853</v>
      </c>
      <c r="X18" s="97">
        <f>IF(X4=0,0,X4/TrAvia_ene!X4)</f>
        <v>3.0093378660372072</v>
      </c>
      <c r="Y18" s="97">
        <f>IF(Y4=0,0,Y4/TrAvia_ene!Y4)</f>
        <v>3.0096334233211142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3.0103092000000009</v>
      </c>
      <c r="C19" s="98">
        <f>IF(C5=0,0,C5/TrAvia_ene!C5)</f>
        <v>3.0103092000000014</v>
      </c>
      <c r="D19" s="98">
        <f>IF(D5=0,0,D5/TrAvia_ene!D5)</f>
        <v>3.0103092000000014</v>
      </c>
      <c r="E19" s="98">
        <f>IF(E5=0,0,E5/TrAvia_ene!E5)</f>
        <v>3.0103092</v>
      </c>
      <c r="F19" s="98">
        <f>IF(F5=0,0,F5/TrAvia_ene!F5)</f>
        <v>3.0103092</v>
      </c>
      <c r="G19" s="98">
        <f>IF(G5=0,0,G5/TrAvia_ene!G5)</f>
        <v>3.0103092</v>
      </c>
      <c r="H19" s="98">
        <f>IF(H5=0,0,H5/TrAvia_ene!H5)</f>
        <v>3.0103092</v>
      </c>
      <c r="I19" s="98">
        <f>IF(I5=0,0,I5/TrAvia_ene!I5)</f>
        <v>3.0103092000000005</v>
      </c>
      <c r="J19" s="98">
        <f>IF(J5=0,0,J5/TrAvia_ene!J5)</f>
        <v>3.0103092000000005</v>
      </c>
      <c r="K19" s="98">
        <f>IF(K5=0,0,K5/TrAvia_ene!K5)</f>
        <v>3.0103092</v>
      </c>
      <c r="L19" s="98">
        <f>IF(L5=0,0,L5/TrAvia_ene!L5)</f>
        <v>3.0103092000000005</v>
      </c>
      <c r="M19" s="98">
        <f>IF(M5=0,0,M5/TrAvia_ene!M5)</f>
        <v>3.0103092000000009</v>
      </c>
      <c r="N19" s="98">
        <f>IF(N5=0,0,N5/TrAvia_ene!N5)</f>
        <v>3.0103091999999996</v>
      </c>
      <c r="O19" s="98">
        <f>IF(O5=0,0,O5/TrAvia_ene!O5)</f>
        <v>3.0103092</v>
      </c>
      <c r="P19" s="98">
        <f>IF(P5=0,0,P5/TrAvia_ene!P5)</f>
        <v>3.0103092000000009</v>
      </c>
      <c r="Q19" s="98">
        <f>IF(Q5=0,0,Q5/TrAvia_ene!Q5)</f>
        <v>3.0103092000000018</v>
      </c>
      <c r="R19" s="98">
        <f>IF(R5=0,0,R5/TrAvia_ene!R5)</f>
        <v>3.0103092000000009</v>
      </c>
      <c r="S19" s="98">
        <f>IF(S5=0,0,S5/TrAvia_ene!S5)</f>
        <v>3.0103092</v>
      </c>
      <c r="T19" s="98">
        <f>IF(T5=0,0,T5/TrAvia_ene!T5)</f>
        <v>3.0103092000000009</v>
      </c>
      <c r="U19" s="98">
        <f>IF(U5=0,0,U5/TrAvia_ene!U5)</f>
        <v>3.0103092000000005</v>
      </c>
      <c r="V19" s="98">
        <f>IF(V5=0,0,V5/TrAvia_ene!V5)</f>
        <v>3.0103092</v>
      </c>
      <c r="W19" s="98">
        <f>IF(W5=0,0,W5/TrAvia_ene!W5)</f>
        <v>3.0103092</v>
      </c>
      <c r="X19" s="98">
        <f>IF(X5=0,0,X5/TrAvia_ene!X5)</f>
        <v>3.0103092</v>
      </c>
      <c r="Y19" s="98">
        <f>IF(Y5=0,0,Y5/TrAvia_ene!Y5)</f>
        <v>3.0103092000000005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19423.631903194582</v>
      </c>
      <c r="C21" s="54">
        <f>IF(C3=0,0,C3/TrAvia_act!C13*1000)</f>
        <v>18938.758987371046</v>
      </c>
      <c r="D21" s="54">
        <f>IF(D3=0,0,D3/TrAvia_act!D13*1000)</f>
        <v>18810.393378351251</v>
      </c>
      <c r="E21" s="54">
        <f>IF(E3=0,0,E3/TrAvia_act!E13*1000)</f>
        <v>18111.975907777414</v>
      </c>
      <c r="F21" s="54">
        <f>IF(F3=0,0,F3/TrAvia_act!F13*1000)</f>
        <v>17687.438944008434</v>
      </c>
      <c r="G21" s="54">
        <f>IF(G3=0,0,G3/TrAvia_act!G13*1000)</f>
        <v>17833.549839899868</v>
      </c>
      <c r="H21" s="54">
        <f>IF(H3=0,0,H3/TrAvia_act!H13*1000)</f>
        <v>17883.847881223148</v>
      </c>
      <c r="I21" s="54">
        <f>IF(I3=0,0,I3/TrAvia_act!I13*1000)</f>
        <v>17617.59264339646</v>
      </c>
      <c r="J21" s="54">
        <f>IF(J3=0,0,J3/TrAvia_act!J13*1000)</f>
        <v>17668.347064754889</v>
      </c>
      <c r="K21" s="54">
        <f>IF(K3=0,0,K3/TrAvia_act!K13*1000)</f>
        <v>18319.806119154</v>
      </c>
      <c r="L21" s="54">
        <f>IF(L3=0,0,L3/TrAvia_act!L13*1000)</f>
        <v>17215.491741657384</v>
      </c>
      <c r="M21" s="54">
        <f>IF(M3=0,0,M3/TrAvia_act!M13*1000)</f>
        <v>15670.693531209641</v>
      </c>
      <c r="N21" s="54">
        <f>IF(N3=0,0,N3/TrAvia_act!N13*1000)</f>
        <v>16923.132382905736</v>
      </c>
      <c r="O21" s="54">
        <f>IF(O3=0,0,O3/TrAvia_act!O13*1000)</f>
        <v>17655.246999084004</v>
      </c>
      <c r="P21" s="54">
        <f>IF(P3=0,0,P3/TrAvia_act!P13*1000)</f>
        <v>17372.579655747013</v>
      </c>
      <c r="Q21" s="54">
        <f>IF(Q3=0,0,Q3/TrAvia_act!Q13*1000)</f>
        <v>17130.181733215773</v>
      </c>
      <c r="R21" s="54">
        <f>IF(R3=0,0,R3/TrAvia_act!R13*1000)</f>
        <v>18095.840578250918</v>
      </c>
      <c r="S21" s="54">
        <f>IF(S3=0,0,S3/TrAvia_act!S13*1000)</f>
        <v>18901.417542797779</v>
      </c>
      <c r="T21" s="54">
        <f>IF(T3=0,0,T3/TrAvia_act!T13*1000)</f>
        <v>18677.678171073425</v>
      </c>
      <c r="U21" s="54">
        <f>IF(U3=0,0,U3/TrAvia_act!U13*1000)</f>
        <v>18716.474480733315</v>
      </c>
      <c r="V21" s="54">
        <f>IF(V3=0,0,V3/TrAvia_act!V13*1000)</f>
        <v>19088.526767443269</v>
      </c>
      <c r="W21" s="54">
        <f>IF(W3=0,0,W3/TrAvia_act!W13*1000)</f>
        <v>20154.605200838432</v>
      </c>
      <c r="X21" s="54">
        <f>IF(X3=0,0,X3/TrAvia_act!X13*1000)</f>
        <v>20450.094628943923</v>
      </c>
      <c r="Y21" s="54">
        <f>IF(Y3=0,0,Y3/TrAvia_act!Y13*1000)</f>
        <v>19498.238662320971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18991.895498759142</v>
      </c>
      <c r="C22" s="11">
        <f>IF(C6=0,0,C6/TrAvia_act!C14*1000)</f>
        <v>18558.495201675596</v>
      </c>
      <c r="D22" s="11">
        <f>IF(D6=0,0,D6/TrAvia_act!D14*1000)</f>
        <v>18430.659461130312</v>
      </c>
      <c r="E22" s="11">
        <f>IF(E6=0,0,E6/TrAvia_act!E14*1000)</f>
        <v>17676.730294367189</v>
      </c>
      <c r="F22" s="11">
        <f>IF(F6=0,0,F6/TrAvia_act!F14*1000)</f>
        <v>17274.11516489401</v>
      </c>
      <c r="G22" s="11">
        <f>IF(G6=0,0,G6/TrAvia_act!G14*1000)</f>
        <v>17387.971112403484</v>
      </c>
      <c r="H22" s="11">
        <f>IF(H6=0,0,H6/TrAvia_act!H14*1000)</f>
        <v>17454.563763987255</v>
      </c>
      <c r="I22" s="11">
        <f>IF(I6=0,0,I6/TrAvia_act!I14*1000)</f>
        <v>17222.981339247654</v>
      </c>
      <c r="J22" s="11">
        <f>IF(J6=0,0,J6/TrAvia_act!J14*1000)</f>
        <v>17278.148214642126</v>
      </c>
      <c r="K22" s="11">
        <f>IF(K6=0,0,K6/TrAvia_act!K14*1000)</f>
        <v>17960.857706910992</v>
      </c>
      <c r="L22" s="11">
        <f>IF(L6=0,0,L6/TrAvia_act!L14*1000)</f>
        <v>16836.256744775052</v>
      </c>
      <c r="M22" s="11">
        <f>IF(M6=0,0,M6/TrAvia_act!M14*1000)</f>
        <v>15314.001642886247</v>
      </c>
      <c r="N22" s="11">
        <f>IF(N6=0,0,N6/TrAvia_act!N14*1000)</f>
        <v>16553.395107827597</v>
      </c>
      <c r="O22" s="11">
        <f>IF(O6=0,0,O6/TrAvia_act!O14*1000)</f>
        <v>17227.35693064567</v>
      </c>
      <c r="P22" s="11">
        <f>IF(P6=0,0,P6/TrAvia_act!P14*1000)</f>
        <v>17017.639907732417</v>
      </c>
      <c r="Q22" s="11">
        <f>IF(Q6=0,0,Q6/TrAvia_act!Q14*1000)</f>
        <v>16790.111456266583</v>
      </c>
      <c r="R22" s="11">
        <f>IF(R6=0,0,R6/TrAvia_act!R14*1000)</f>
        <v>17801.845164313087</v>
      </c>
      <c r="S22" s="11">
        <f>IF(S6=0,0,S6/TrAvia_act!S14*1000)</f>
        <v>18530.749167623493</v>
      </c>
      <c r="T22" s="11">
        <f>IF(T6=0,0,T6/TrAvia_act!T14*1000)</f>
        <v>18205.075970432172</v>
      </c>
      <c r="U22" s="11">
        <f>IF(U6=0,0,U6/TrAvia_act!U14*1000)</f>
        <v>18299.181265444757</v>
      </c>
      <c r="V22" s="11">
        <f>IF(V6=0,0,V6/TrAvia_act!V14*1000)</f>
        <v>17772.150628548556</v>
      </c>
      <c r="W22" s="11">
        <f>IF(W6=0,0,W6/TrAvia_act!W14*1000)</f>
        <v>18829.094591465593</v>
      </c>
      <c r="X22" s="11">
        <f>IF(X6=0,0,X6/TrAvia_act!X14*1000)</f>
        <v>19551.343438544303</v>
      </c>
      <c r="Y22" s="11">
        <f>IF(Y6=0,0,Y6/TrAvia_act!Y14*1000)</f>
        <v>18854.842145431041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16953.689409871622</v>
      </c>
      <c r="C23" s="84">
        <f>IF(C7=0,0,C7/TrAvia_act!C15*1000)</f>
        <v>16921.208008647562</v>
      </c>
      <c r="D23" s="84">
        <f>IF(D7=0,0,D7/TrAvia_act!D15*1000)</f>
        <v>16258.506424847916</v>
      </c>
      <c r="E23" s="84">
        <f>IF(E7=0,0,E7/TrAvia_act!E15*1000)</f>
        <v>15460.479489228441</v>
      </c>
      <c r="F23" s="84">
        <f>IF(F7=0,0,F7/TrAvia_act!F15*1000)</f>
        <v>15170.234507680563</v>
      </c>
      <c r="G23" s="84">
        <f>IF(G7=0,0,G7/TrAvia_act!G15*1000)</f>
        <v>15722.36784677094</v>
      </c>
      <c r="H23" s="84">
        <f>IF(H7=0,0,H7/TrAvia_act!H15*1000)</f>
        <v>15764.095510667999</v>
      </c>
      <c r="I23" s="84">
        <f>IF(I7=0,0,I7/TrAvia_act!I15*1000)</f>
        <v>15583.064642689662</v>
      </c>
      <c r="J23" s="84">
        <f>IF(J7=0,0,J7/TrAvia_act!J15*1000)</f>
        <v>15900.080626173538</v>
      </c>
      <c r="K23" s="84">
        <f>IF(K7=0,0,K7/TrAvia_act!K15*1000)</f>
        <v>16603.20225103608</v>
      </c>
      <c r="L23" s="84">
        <f>IF(L7=0,0,L7/TrAvia_act!L15*1000)</f>
        <v>15902.342779965553</v>
      </c>
      <c r="M23" s="84">
        <f>IF(M7=0,0,M7/TrAvia_act!M15*1000)</f>
        <v>12914.962513260059</v>
      </c>
      <c r="N23" s="84">
        <f>IF(N7=0,0,N7/TrAvia_act!N15*1000)</f>
        <v>13765.007106894989</v>
      </c>
      <c r="O23" s="84">
        <f>IF(O7=0,0,O7/TrAvia_act!O15*1000)</f>
        <v>14136.054619023764</v>
      </c>
      <c r="P23" s="84">
        <f>IF(P7=0,0,P7/TrAvia_act!P15*1000)</f>
        <v>18160.486942139152</v>
      </c>
      <c r="Q23" s="84">
        <f>IF(Q7=0,0,Q7/TrAvia_act!Q15*1000)</f>
        <v>18725.018692292771</v>
      </c>
      <c r="R23" s="84">
        <f>IF(R7=0,0,R7/TrAvia_act!R15*1000)</f>
        <v>19540.189172246239</v>
      </c>
      <c r="S23" s="84">
        <f>IF(S7=0,0,S7/TrAvia_act!S15*1000)</f>
        <v>17622.968200809431</v>
      </c>
      <c r="T23" s="84">
        <f>IF(T7=0,0,T7/TrAvia_act!T15*1000)</f>
        <v>16509.00890405328</v>
      </c>
      <c r="U23" s="84">
        <f>IF(U7=0,0,U7/TrAvia_act!U15*1000)</f>
        <v>18458.027287416193</v>
      </c>
      <c r="V23" s="84">
        <f>IF(V7=0,0,V7/TrAvia_act!V15*1000)</f>
        <v>19764.594763070181</v>
      </c>
      <c r="W23" s="84">
        <f>IF(W7=0,0,W7/TrAvia_act!W15*1000)</f>
        <v>20723.005903493409</v>
      </c>
      <c r="X23" s="84">
        <f>IF(X7=0,0,X7/TrAvia_act!X15*1000)</f>
        <v>17834.537739008501</v>
      </c>
      <c r="Y23" s="84">
        <f>IF(Y7=0,0,Y7/TrAvia_act!Y15*1000)</f>
        <v>18079.061278521589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12427.866571647077</v>
      </c>
      <c r="C24" s="84">
        <f>IF(C8=0,0,C8/TrAvia_act!C16*1000)</f>
        <v>11979.204791915756</v>
      </c>
      <c r="D24" s="84">
        <f>IF(D8=0,0,D8/TrAvia_act!D16*1000)</f>
        <v>11746.553631979243</v>
      </c>
      <c r="E24" s="84">
        <f>IF(E8=0,0,E8/TrAvia_act!E16*1000)</f>
        <v>11470.921416279349</v>
      </c>
      <c r="F24" s="84">
        <f>IF(F8=0,0,F8/TrAvia_act!F16*1000)</f>
        <v>11103.54989848982</v>
      </c>
      <c r="G24" s="84">
        <f>IF(G8=0,0,G8/TrAvia_act!G16*1000)</f>
        <v>11250.205921676243</v>
      </c>
      <c r="H24" s="84">
        <f>IF(H8=0,0,H8/TrAvia_act!H16*1000)</f>
        <v>11559.730635215017</v>
      </c>
      <c r="I24" s="84">
        <f>IF(I8=0,0,I8/TrAvia_act!I16*1000)</f>
        <v>11747.67053870774</v>
      </c>
      <c r="J24" s="84">
        <f>IF(J8=0,0,J8/TrAvia_act!J16*1000)</f>
        <v>11792.451332296918</v>
      </c>
      <c r="K24" s="84">
        <f>IF(K8=0,0,K8/TrAvia_act!K16*1000)</f>
        <v>12210.49188530878</v>
      </c>
      <c r="L24" s="84">
        <f>IF(L8=0,0,L8/TrAvia_act!L16*1000)</f>
        <v>11751.012998879491</v>
      </c>
      <c r="M24" s="84">
        <f>IF(M8=0,0,M8/TrAvia_act!M16*1000)</f>
        <v>10935.367262036463</v>
      </c>
      <c r="N24" s="84">
        <f>IF(N8=0,0,N8/TrAvia_act!N16*1000)</f>
        <v>11992.884768584836</v>
      </c>
      <c r="O24" s="84">
        <f>IF(O8=0,0,O8/TrAvia_act!O16*1000)</f>
        <v>12281.667765743099</v>
      </c>
      <c r="P24" s="84">
        <f>IF(P8=0,0,P8/TrAvia_act!P16*1000)</f>
        <v>11750.101450651722</v>
      </c>
      <c r="Q24" s="84">
        <f>IF(Q8=0,0,Q8/TrAvia_act!Q16*1000)</f>
        <v>11631.827410218832</v>
      </c>
      <c r="R24" s="84">
        <f>IF(R8=0,0,R8/TrAvia_act!R16*1000)</f>
        <v>12253.248074255347</v>
      </c>
      <c r="S24" s="84">
        <f>IF(S8=0,0,S8/TrAvia_act!S16*1000)</f>
        <v>13068.905216437</v>
      </c>
      <c r="T24" s="84">
        <f>IF(T8=0,0,T8/TrAvia_act!T16*1000)</f>
        <v>12729.70015328163</v>
      </c>
      <c r="U24" s="84">
        <f>IF(U8=0,0,U8/TrAvia_act!U16*1000)</f>
        <v>12727.454455595285</v>
      </c>
      <c r="V24" s="84">
        <f>IF(V8=0,0,V8/TrAvia_act!V16*1000)</f>
        <v>10059.204692036636</v>
      </c>
      <c r="W24" s="84">
        <f>IF(W8=0,0,W8/TrAvia_act!W16*1000)</f>
        <v>12257.822836841027</v>
      </c>
      <c r="X24" s="84">
        <f>IF(X8=0,0,X8/TrAvia_act!X16*1000)</f>
        <v>14323.707558576827</v>
      </c>
      <c r="Y24" s="84">
        <f>IF(Y8=0,0,Y8/TrAvia_act!Y16*1000)</f>
        <v>14029.930921276989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26493.732529093708</v>
      </c>
      <c r="C25" s="84">
        <f>IF(C9=0,0,C9/TrAvia_act!C17*1000)</f>
        <v>25530.024857452379</v>
      </c>
      <c r="D25" s="84">
        <f>IF(D9=0,0,D9/TrAvia_act!D17*1000)</f>
        <v>25001.510095899648</v>
      </c>
      <c r="E25" s="84">
        <f>IF(E9=0,0,E9/TrAvia_act!E17*1000)</f>
        <v>24409.692681684981</v>
      </c>
      <c r="F25" s="84">
        <f>IF(F9=0,0,F9/TrAvia_act!F17*1000)</f>
        <v>23612.635781857069</v>
      </c>
      <c r="G25" s="84">
        <f>IF(G9=0,0,G9/TrAvia_act!G17*1000)</f>
        <v>23496.088254954553</v>
      </c>
      <c r="H25" s="84">
        <f>IF(H9=0,0,H9/TrAvia_act!H17*1000)</f>
        <v>23333.769402186426</v>
      </c>
      <c r="I25" s="84">
        <f>IF(I9=0,0,I9/TrAvia_act!I17*1000)</f>
        <v>22581.514349907266</v>
      </c>
      <c r="J25" s="84">
        <f>IF(J9=0,0,J9/TrAvia_act!J17*1000)</f>
        <v>22360.274601633439</v>
      </c>
      <c r="K25" s="84">
        <f>IF(K9=0,0,K9/TrAvia_act!K17*1000)</f>
        <v>22947.351104424553</v>
      </c>
      <c r="L25" s="84">
        <f>IF(L9=0,0,L9/TrAvia_act!L17*1000)</f>
        <v>20947.410114161015</v>
      </c>
      <c r="M25" s="84">
        <f>IF(M9=0,0,M9/TrAvia_act!M17*1000)</f>
        <v>19223.91091011931</v>
      </c>
      <c r="N25" s="84">
        <f>IF(N9=0,0,N9/TrAvia_act!N17*1000)</f>
        <v>20463.175194769072</v>
      </c>
      <c r="O25" s="84">
        <f>IF(O9=0,0,O9/TrAvia_act!O17*1000)</f>
        <v>21503.14569033634</v>
      </c>
      <c r="P25" s="84">
        <f>IF(P9=0,0,P9/TrAvia_act!P17*1000)</f>
        <v>20761.125403842092</v>
      </c>
      <c r="Q25" s="84">
        <f>IF(Q9=0,0,Q9/TrAvia_act!Q17*1000)</f>
        <v>20324.111651596257</v>
      </c>
      <c r="R25" s="84">
        <f>IF(R9=0,0,R9/TrAvia_act!R17*1000)</f>
        <v>22055.354669588003</v>
      </c>
      <c r="S25" s="84">
        <f>IF(S9=0,0,S9/TrAvia_act!S17*1000)</f>
        <v>23262.787624281216</v>
      </c>
      <c r="T25" s="84">
        <f>IF(T9=0,0,T9/TrAvia_act!T17*1000)</f>
        <v>23077.422561900414</v>
      </c>
      <c r="U25" s="84">
        <f>IF(U9=0,0,U9/TrAvia_act!U17*1000)</f>
        <v>22638.736687918186</v>
      </c>
      <c r="V25" s="84">
        <f>IF(V9=0,0,V9/TrAvia_act!V17*1000)</f>
        <v>23667.928860181448</v>
      </c>
      <c r="W25" s="84">
        <f>IF(W9=0,0,W9/TrAvia_act!W17*1000)</f>
        <v>23727.302370743331</v>
      </c>
      <c r="X25" s="84">
        <f>IF(X9=0,0,X9/TrAvia_act!X17*1000)</f>
        <v>23897.786800900587</v>
      </c>
      <c r="Y25" s="84">
        <f>IF(Y9=0,0,Y9/TrAvia_act!Y17*1000)</f>
        <v>22461.583488926004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23401.916471423854</v>
      </c>
      <c r="C26" s="13">
        <f>IF(C10=0,0,C10/TrAvia_act!C18*1000)</f>
        <v>22565.703110606337</v>
      </c>
      <c r="D26" s="13">
        <f>IF(D10=0,0,D10/TrAvia_act!D18*1000)</f>
        <v>22211.110880652948</v>
      </c>
      <c r="E26" s="13">
        <f>IF(E10=0,0,E10/TrAvia_act!E18*1000)</f>
        <v>21876.703338582942</v>
      </c>
      <c r="F26" s="13">
        <f>IF(F10=0,0,F10/TrAvia_act!F18*1000)</f>
        <v>21131.085660030087</v>
      </c>
      <c r="G26" s="13">
        <f>IF(G10=0,0,G10/TrAvia_act!G18*1000)</f>
        <v>21210.567907433524</v>
      </c>
      <c r="H26" s="13">
        <f>IF(H10=0,0,H10/TrAvia_act!H18*1000)</f>
        <v>20921.820338458463</v>
      </c>
      <c r="I26" s="13">
        <f>IF(I10=0,0,I10/TrAvia_act!I18*1000)</f>
        <v>20349.502258911103</v>
      </c>
      <c r="J26" s="13">
        <f>IF(J10=0,0,J10/TrAvia_act!J18*1000)</f>
        <v>20265.16388832248</v>
      </c>
      <c r="K26" s="13">
        <f>IF(K10=0,0,K10/TrAvia_act!K18*1000)</f>
        <v>20888.710936682121</v>
      </c>
      <c r="L26" s="13">
        <f>IF(L10=0,0,L10/TrAvia_act!L18*1000)</f>
        <v>19514.512905277679</v>
      </c>
      <c r="M26" s="13">
        <f>IF(M10=0,0,M10/TrAvia_act!M18*1000)</f>
        <v>17865.632020051253</v>
      </c>
      <c r="N26" s="13">
        <f>IF(N10=0,0,N10/TrAvia_act!N18*1000)</f>
        <v>19429.799731364252</v>
      </c>
      <c r="O26" s="13">
        <f>IF(O10=0,0,O10/TrAvia_act!O18*1000)</f>
        <v>20504.064877059554</v>
      </c>
      <c r="P26" s="13">
        <f>IF(P10=0,0,P10/TrAvia_act!P18*1000)</f>
        <v>19973.6906750614</v>
      </c>
      <c r="Q26" s="13">
        <f>IF(Q10=0,0,Q10/TrAvia_act!Q18*1000)</f>
        <v>19614.974577620858</v>
      </c>
      <c r="R26" s="13">
        <f>IF(R10=0,0,R10/TrAvia_act!R18*1000)</f>
        <v>20404.995086063976</v>
      </c>
      <c r="S26" s="13">
        <f>IF(S10=0,0,S10/TrAvia_act!S18*1000)</f>
        <v>21663.855336815348</v>
      </c>
      <c r="T26" s="13">
        <f>IF(T10=0,0,T10/TrAvia_act!T18*1000)</f>
        <v>22342.191401127329</v>
      </c>
      <c r="U26" s="13">
        <f>IF(U10=0,0,U10/TrAvia_act!U18*1000)</f>
        <v>22147.232496591594</v>
      </c>
      <c r="V26" s="13">
        <f>IF(V10=0,0,V10/TrAvia_act!V18*1000)</f>
        <v>22026.324583554095</v>
      </c>
      <c r="W26" s="13">
        <f>IF(W10=0,0,W10/TrAvia_act!W18*1000)</f>
        <v>23415.201802792537</v>
      </c>
      <c r="X26" s="13">
        <f>IF(X10=0,0,X10/TrAvia_act!X18*1000)</f>
        <v>24375.565446652377</v>
      </c>
      <c r="Y26" s="13">
        <f>IF(Y10=0,0,Y10/TrAvia_act!Y18*1000)</f>
        <v>22945.337361631911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18651.747594032098</v>
      </c>
      <c r="C27" s="102">
        <f>IF(C11=0,0,C11/TrAvia_act!C19*1000)</f>
        <v>18616.012900391968</v>
      </c>
      <c r="D27" s="102">
        <f>IF(D11=0,0,D11/TrAvia_act!D19*1000)</f>
        <v>17886.936038573378</v>
      </c>
      <c r="E27" s="102">
        <f>IF(E11=0,0,E11/TrAvia_act!E19*1000)</f>
        <v>17008.97982405487</v>
      </c>
      <c r="F27" s="102">
        <f>IF(F11=0,0,F11/TrAvia_act!F19*1000)</f>
        <v>16689.664304855065</v>
      </c>
      <c r="G27" s="102">
        <f>IF(G11=0,0,G11/TrAvia_act!G19*1000)</f>
        <v>17300.792737981184</v>
      </c>
      <c r="H27" s="102">
        <f>IF(H11=0,0,H11/TrAvia_act!H19*1000)</f>
        <v>17361.373336106</v>
      </c>
      <c r="I27" s="102">
        <f>IF(I11=0,0,I11/TrAvia_act!I19*1000)</f>
        <v>17201.806417717984</v>
      </c>
      <c r="J27" s="102">
        <f>IF(J11=0,0,J11/TrAvia_act!J19*1000)</f>
        <v>17665.179762203243</v>
      </c>
      <c r="K27" s="102">
        <f>IF(K11=0,0,K11/TrAvia_act!K19*1000)</f>
        <v>18513.642955679832</v>
      </c>
      <c r="L27" s="102">
        <f>IF(L11=0,0,L11/TrAvia_act!L19*1000)</f>
        <v>17832.517101353933</v>
      </c>
      <c r="M27" s="102">
        <f>IF(M11=0,0,M11/TrAvia_act!M19*1000)</f>
        <v>14792.447296535289</v>
      </c>
      <c r="N27" s="102">
        <f>IF(N11=0,0,N11/TrAvia_act!N19*1000)</f>
        <v>16059.573012145574</v>
      </c>
      <c r="O27" s="102">
        <f>IF(O11=0,0,O11/TrAvia_act!O19*1000)</f>
        <v>16414.526158668945</v>
      </c>
      <c r="P27" s="102">
        <f>IF(P11=0,0,P11/TrAvia_act!P19*1000)</f>
        <v>20941.373591234529</v>
      </c>
      <c r="Q27" s="102">
        <f>IF(Q11=0,0,Q11/TrAvia_act!Q19*1000)</f>
        <v>21471.106989391978</v>
      </c>
      <c r="R27" s="102">
        <f>IF(R11=0,0,R11/TrAvia_act!R19*1000)</f>
        <v>22228.614891203375</v>
      </c>
      <c r="S27" s="102">
        <f>IF(S11=0,0,S11/TrAvia_act!S19*1000)</f>
        <v>19951.033925349217</v>
      </c>
      <c r="T27" s="102">
        <f>IF(T11=0,0,T11/TrAvia_act!T19*1000)</f>
        <v>18573.161606394482</v>
      </c>
      <c r="U27" s="102">
        <f>IF(U11=0,0,U11/TrAvia_act!U19*1000)</f>
        <v>20792.281270666448</v>
      </c>
      <c r="V27" s="102">
        <f>IF(V11=0,0,V11/TrAvia_act!V19*1000)</f>
        <v>22585.910244984687</v>
      </c>
      <c r="W27" s="102">
        <f>IF(W11=0,0,W11/TrAvia_act!W19*1000)</f>
        <v>23849.516816689447</v>
      </c>
      <c r="X27" s="102">
        <f>IF(X11=0,0,X11/TrAvia_act!X19*1000)</f>
        <v>19837.891803813174</v>
      </c>
      <c r="Y27" s="102">
        <f>IF(Y11=0,0,Y11/TrAvia_act!Y19*1000)</f>
        <v>19688.546595774842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12990.118461124395</v>
      </c>
      <c r="C28" s="102">
        <f>IF(C12=0,0,C12/TrAvia_act!C20*1000)</f>
        <v>12543.102284108805</v>
      </c>
      <c r="D28" s="102">
        <f>IF(D12=0,0,D12/TrAvia_act!D20*1000)</f>
        <v>12320.752046308971</v>
      </c>
      <c r="E28" s="102">
        <f>IF(E12=0,0,E12/TrAvia_act!E20*1000)</f>
        <v>12033.476722557794</v>
      </c>
      <c r="F28" s="102">
        <f>IF(F12=0,0,F12/TrAvia_act!F20*1000)</f>
        <v>11654.953535204029</v>
      </c>
      <c r="G28" s="102">
        <f>IF(G12=0,0,G12/TrAvia_act!G20*1000)</f>
        <v>11849.546541227339</v>
      </c>
      <c r="H28" s="102">
        <f>IF(H12=0,0,H12/TrAvia_act!H20*1000)</f>
        <v>12022.999473422373</v>
      </c>
      <c r="I28" s="102">
        <f>IF(I12=0,0,I12/TrAvia_act!I20*1000)</f>
        <v>12067.395701125417</v>
      </c>
      <c r="J28" s="102">
        <f>IF(J12=0,0,J12/TrAvia_act!J20*1000)</f>
        <v>11970.083137378841</v>
      </c>
      <c r="K28" s="102">
        <f>IF(K12=0,0,K12/TrAvia_act!K20*1000)</f>
        <v>12216.117881972097</v>
      </c>
      <c r="L28" s="102">
        <f>IF(L12=0,0,L12/TrAvia_act!L20*1000)</f>
        <v>11659.06742524358</v>
      </c>
      <c r="M28" s="102">
        <f>IF(M12=0,0,M12/TrAvia_act!M20*1000)</f>
        <v>10907.318911875904</v>
      </c>
      <c r="N28" s="102">
        <f>IF(N12=0,0,N12/TrAvia_act!N20*1000)</f>
        <v>11997.648739005477</v>
      </c>
      <c r="O28" s="102">
        <f>IF(O12=0,0,O12/TrAvia_act!O20*1000)</f>
        <v>12322.486021033972</v>
      </c>
      <c r="P28" s="102">
        <f>IF(P12=0,0,P12/TrAvia_act!P20*1000)</f>
        <v>11780.491942602699</v>
      </c>
      <c r="Q28" s="102">
        <f>IF(Q12=0,0,Q12/TrAvia_act!Q20*1000)</f>
        <v>11731.993131582845</v>
      </c>
      <c r="R28" s="102">
        <f>IF(R12=0,0,R12/TrAvia_act!R20*1000)</f>
        <v>12354.203290899282</v>
      </c>
      <c r="S28" s="102">
        <f>IF(S12=0,0,S12/TrAvia_act!S20*1000)</f>
        <v>13209.058022554436</v>
      </c>
      <c r="T28" s="102">
        <f>IF(T12=0,0,T12/TrAvia_act!T20*1000)</f>
        <v>12980.747002265352</v>
      </c>
      <c r="U28" s="102">
        <f>IF(U12=0,0,U12/TrAvia_act!U20*1000)</f>
        <v>13023.734572352463</v>
      </c>
      <c r="V28" s="102">
        <f>IF(V12=0,0,V12/TrAvia_act!V20*1000)</f>
        <v>9461.6294950732445</v>
      </c>
      <c r="W28" s="102">
        <f>IF(W12=0,0,W12/TrAvia_act!W20*1000)</f>
        <v>11663.260762443708</v>
      </c>
      <c r="X28" s="102">
        <f>IF(X12=0,0,X12/TrAvia_act!X20*1000)</f>
        <v>14369.6953599726</v>
      </c>
      <c r="Y28" s="102">
        <f>IF(Y12=0,0,Y12/TrAvia_act!Y20*1000)</f>
        <v>14208.09651662565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25758.39452546947</v>
      </c>
      <c r="C29" s="86">
        <f>IF(C13=0,0,C13/TrAvia_act!C21*1000)</f>
        <v>24821.434722387759</v>
      </c>
      <c r="D29" s="86">
        <f>IF(D13=0,0,D13/TrAvia_act!D21*1000)</f>
        <v>24307.588976958727</v>
      </c>
      <c r="E29" s="86">
        <f>IF(E13=0,0,E13/TrAvia_act!E21*1000)</f>
        <v>23732.197554642356</v>
      </c>
      <c r="F29" s="86">
        <f>IF(F13=0,0,F13/TrAvia_act!F21*1000)</f>
        <v>22957.263103165234</v>
      </c>
      <c r="G29" s="86">
        <f>IF(G13=0,0,G13/TrAvia_act!G21*1000)</f>
        <v>22831.588858376243</v>
      </c>
      <c r="H29" s="86">
        <f>IF(H13=0,0,H13/TrAvia_act!H21*1000)</f>
        <v>22516.534865087717</v>
      </c>
      <c r="I29" s="86">
        <f>IF(I13=0,0,I13/TrAvia_act!I21*1000)</f>
        <v>21886.169698977526</v>
      </c>
      <c r="J29" s="86">
        <f>IF(J13=0,0,J13/TrAvia_act!J21*1000)</f>
        <v>21988.913822830407</v>
      </c>
      <c r="K29" s="86">
        <f>IF(K13=0,0,K13/TrAvia_act!K21*1000)</f>
        <v>22977.311930575495</v>
      </c>
      <c r="L29" s="86">
        <f>IF(L13=0,0,L13/TrAvia_act!L21*1000)</f>
        <v>21087.757023805225</v>
      </c>
      <c r="M29" s="86">
        <f>IF(M13=0,0,M13/TrAvia_act!M21*1000)</f>
        <v>19181.7333338721</v>
      </c>
      <c r="N29" s="86">
        <f>IF(N13=0,0,N13/TrAvia_act!N21*1000)</f>
        <v>20918.092746265203</v>
      </c>
      <c r="O29" s="86">
        <f>IF(O13=0,0,O13/TrAvia_act!O21*1000)</f>
        <v>22146.770324473742</v>
      </c>
      <c r="P29" s="86">
        <f>IF(P13=0,0,P13/TrAvia_act!P21*1000)</f>
        <v>21566.549202827737</v>
      </c>
      <c r="Q29" s="86">
        <f>IF(Q13=0,0,Q13/TrAvia_act!Q21*1000)</f>
        <v>21120.592158058982</v>
      </c>
      <c r="R29" s="86">
        <f>IF(R13=0,0,R13/TrAvia_act!R21*1000)</f>
        <v>21947.750881792403</v>
      </c>
      <c r="S29" s="86">
        <f>IF(S13=0,0,S13/TrAvia_act!S21*1000)</f>
        <v>23487.458437149882</v>
      </c>
      <c r="T29" s="86">
        <f>IF(T13=0,0,T13/TrAvia_act!T21*1000)</f>
        <v>24468.230774053671</v>
      </c>
      <c r="U29" s="86">
        <f>IF(U13=0,0,U13/TrAvia_act!U21*1000)</f>
        <v>24200.716763181968</v>
      </c>
      <c r="V29" s="86">
        <f>IF(V13=0,0,V13/TrAvia_act!V21*1000)</f>
        <v>24314.761328921486</v>
      </c>
      <c r="W29" s="86">
        <f>IF(W13=0,0,W13/TrAvia_act!W21*1000)</f>
        <v>25703.651238506063</v>
      </c>
      <c r="X29" s="86">
        <f>IF(X13=0,0,X13/TrAvia_act!X21*1000)</f>
        <v>26431.609620683987</v>
      </c>
      <c r="Y29" s="86">
        <f>IF(Y13=0,0,Y13/TrAvia_act!Y21*1000)</f>
        <v>24750.329794084202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133.580995132429</v>
      </c>
      <c r="C32" s="14">
        <f>IF(C6=0,0,C6/TrAvia_act!C4*1000)</f>
        <v>129.39600115612708</v>
      </c>
      <c r="D32" s="14">
        <f>IF(D6=0,0,D6/TrAvia_act!D4*1000)</f>
        <v>129.90146683375491</v>
      </c>
      <c r="E32" s="14">
        <f>IF(E6=0,0,E6/TrAvia_act!E4*1000)</f>
        <v>124.78744733319982</v>
      </c>
      <c r="F32" s="14">
        <f>IF(F6=0,0,F6/TrAvia_act!F4*1000)</f>
        <v>118.28380204344585</v>
      </c>
      <c r="G32" s="14">
        <f>IF(G6=0,0,G6/TrAvia_act!G4*1000)</f>
        <v>117.99284857439625</v>
      </c>
      <c r="H32" s="14">
        <f>IF(H6=0,0,H6/TrAvia_act!H4*1000)</f>
        <v>120.62415441710525</v>
      </c>
      <c r="I32" s="14">
        <f>IF(I6=0,0,I6/TrAvia_act!I4*1000)</f>
        <v>119.98491835622113</v>
      </c>
      <c r="J32" s="14">
        <f>IF(J6=0,0,J6/TrAvia_act!J4*1000)</f>
        <v>121.69226582918689</v>
      </c>
      <c r="K32" s="14">
        <f>IF(K6=0,0,K6/TrAvia_act!K4*1000)</f>
        <v>124.79713331450483</v>
      </c>
      <c r="L32" s="14">
        <f>IF(L6=0,0,L6/TrAvia_act!L4*1000)</f>
        <v>111.78379712036386</v>
      </c>
      <c r="M32" s="14">
        <f>IF(M6=0,0,M6/TrAvia_act!M4*1000)</f>
        <v>103.24164473040689</v>
      </c>
      <c r="N32" s="14">
        <f>IF(N6=0,0,N6/TrAvia_act!N4*1000)</f>
        <v>108.79884404320556</v>
      </c>
      <c r="O32" s="14">
        <f>IF(O6=0,0,O6/TrAvia_act!O4*1000)</f>
        <v>108.77761194814654</v>
      </c>
      <c r="P32" s="14">
        <f>IF(P6=0,0,P6/TrAvia_act!P4*1000)</f>
        <v>104.78275982151509</v>
      </c>
      <c r="Q32" s="14">
        <f>IF(Q6=0,0,Q6/TrAvia_act!Q4*1000)</f>
        <v>101.28114313722567</v>
      </c>
      <c r="R32" s="14">
        <f>IF(R6=0,0,R6/TrAvia_act!R4*1000)</f>
        <v>106.65101914404009</v>
      </c>
      <c r="S32" s="14">
        <f>IF(S6=0,0,S6/TrAvia_act!S4*1000)</f>
        <v>108.61201755816423</v>
      </c>
      <c r="T32" s="14">
        <f>IF(T6=0,0,T6/TrAvia_act!T4*1000)</f>
        <v>107.25088564833084</v>
      </c>
      <c r="U32" s="14">
        <f>IF(U6=0,0,U6/TrAvia_act!U4*1000)</f>
        <v>105.56021847533243</v>
      </c>
      <c r="V32" s="14">
        <f>IF(V6=0,0,V6/TrAvia_act!V4*1000)</f>
        <v>133.96458513337996</v>
      </c>
      <c r="W32" s="14">
        <f>IF(W6=0,0,W6/TrAvia_act!W4*1000)</f>
        <v>142.58930221730535</v>
      </c>
      <c r="X32" s="14">
        <f>IF(X6=0,0,X6/TrAvia_act!X4*1000)</f>
        <v>116.84914623716699</v>
      </c>
      <c r="Y32" s="14">
        <f>IF(Y6=0,0,Y6/TrAvia_act!Y4*1000)</f>
        <v>102.75740065596948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239.76068078683863</v>
      </c>
      <c r="C33" s="87">
        <f>IF(C7=0,0,C7/TrAvia_act!C5*1000)</f>
        <v>237.07660044852506</v>
      </c>
      <c r="D33" s="87">
        <f>IF(D7=0,0,D7/TrAvia_act!D5*1000)</f>
        <v>227.43346191684665</v>
      </c>
      <c r="E33" s="87">
        <f>IF(E7=0,0,E7/TrAvia_act!E5*1000)</f>
        <v>215.67888324543745</v>
      </c>
      <c r="F33" s="87">
        <f>IF(F7=0,0,F7/TrAvia_act!F5*1000)</f>
        <v>213.59367904440666</v>
      </c>
      <c r="G33" s="87">
        <f>IF(G7=0,0,G7/TrAvia_act!G5*1000)</f>
        <v>219.40573937103201</v>
      </c>
      <c r="H33" s="87">
        <f>IF(H7=0,0,H7/TrAvia_act!H5*1000)</f>
        <v>214.34570450576234</v>
      </c>
      <c r="I33" s="87">
        <f>IF(I7=0,0,I7/TrAvia_act!I5*1000)</f>
        <v>202.03977307139263</v>
      </c>
      <c r="J33" s="87">
        <f>IF(J7=0,0,J7/TrAvia_act!J5*1000)</f>
        <v>198.81301929554766</v>
      </c>
      <c r="K33" s="87">
        <f>IF(K7=0,0,K7/TrAvia_act!K5*1000)</f>
        <v>200.50560116416051</v>
      </c>
      <c r="L33" s="87">
        <f>IF(L7=0,0,L7/TrAvia_act!L5*1000)</f>
        <v>184.83937073520374</v>
      </c>
      <c r="M33" s="87">
        <f>IF(M7=0,0,M7/TrAvia_act!M5*1000)</f>
        <v>174.94485806887235</v>
      </c>
      <c r="N33" s="87">
        <f>IF(N7=0,0,N7/TrAvia_act!N5*1000)</f>
        <v>181.65542494474724</v>
      </c>
      <c r="O33" s="87">
        <f>IF(O7=0,0,O7/TrAvia_act!O5*1000)</f>
        <v>177.48689917657825</v>
      </c>
      <c r="P33" s="87">
        <f>IF(P7=0,0,P7/TrAvia_act!P5*1000)</f>
        <v>189.71541372445418</v>
      </c>
      <c r="Q33" s="87">
        <f>IF(Q7=0,0,Q7/TrAvia_act!Q5*1000)</f>
        <v>188.70100122846739</v>
      </c>
      <c r="R33" s="87">
        <f>IF(R7=0,0,R7/TrAvia_act!R5*1000)</f>
        <v>193.91811145915401</v>
      </c>
      <c r="S33" s="87">
        <f>IF(S7=0,0,S7/TrAvia_act!S5*1000)</f>
        <v>167.95544789304878</v>
      </c>
      <c r="T33" s="87">
        <f>IF(T7=0,0,T7/TrAvia_act!T5*1000)</f>
        <v>163.12407618593423</v>
      </c>
      <c r="U33" s="87">
        <f>IF(U7=0,0,U7/TrAvia_act!U5*1000)</f>
        <v>186.87816420438293</v>
      </c>
      <c r="V33" s="87">
        <f>IF(V7=0,0,V7/TrAvia_act!V5*1000)</f>
        <v>287.49141328746646</v>
      </c>
      <c r="W33" s="87">
        <f>IF(W7=0,0,W7/TrAvia_act!W5*1000)</f>
        <v>287.04380323948772</v>
      </c>
      <c r="X33" s="87">
        <f>IF(X7=0,0,X7/TrAvia_act!X5*1000)</f>
        <v>208.33579321966837</v>
      </c>
      <c r="Y33" s="87">
        <f>IF(Y7=0,0,Y7/TrAvia_act!Y5*1000)</f>
        <v>187.08167859735354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119.2402814194071</v>
      </c>
      <c r="C34" s="87">
        <f>IF(C8=0,0,C8/TrAvia_act!C6*1000)</f>
        <v>112.62873026605858</v>
      </c>
      <c r="D34" s="87">
        <f>IF(D8=0,0,D8/TrAvia_act!D6*1000)</f>
        <v>109.66187414121397</v>
      </c>
      <c r="E34" s="87">
        <f>IF(E8=0,0,E8/TrAvia_act!E6*1000)</f>
        <v>108.05685303688956</v>
      </c>
      <c r="F34" s="87">
        <f>IF(F8=0,0,F8/TrAvia_act!F6*1000)</f>
        <v>103.74510449405516</v>
      </c>
      <c r="G34" s="87">
        <f>IF(G8=0,0,G8/TrAvia_act!G6*1000)</f>
        <v>103.07101997495143</v>
      </c>
      <c r="H34" s="87">
        <f>IF(H8=0,0,H8/TrAvia_act!H6*1000)</f>
        <v>107.39064469563925</v>
      </c>
      <c r="I34" s="87">
        <f>IF(I8=0,0,I8/TrAvia_act!I6*1000)</f>
        <v>113.85924732982774</v>
      </c>
      <c r="J34" s="87">
        <f>IF(J8=0,0,J8/TrAvia_act!J6*1000)</f>
        <v>118.98773266549838</v>
      </c>
      <c r="K34" s="87">
        <f>IF(K8=0,0,K8/TrAvia_act!K6*1000)</f>
        <v>119.67901620473556</v>
      </c>
      <c r="L34" s="87">
        <f>IF(L8=0,0,L8/TrAvia_act!L6*1000)</f>
        <v>110.02096071676816</v>
      </c>
      <c r="M34" s="87">
        <f>IF(M8=0,0,M8/TrAvia_act!M6*1000)</f>
        <v>99.533518833424125</v>
      </c>
      <c r="N34" s="87">
        <f>IF(N8=0,0,N8/TrAvia_act!N6*1000)</f>
        <v>105.63508821564039</v>
      </c>
      <c r="O34" s="87">
        <f>IF(O8=0,0,O8/TrAvia_act!O6*1000)</f>
        <v>103.90667781164554</v>
      </c>
      <c r="P34" s="87">
        <f>IF(P8=0,0,P8/TrAvia_act!P6*1000)</f>
        <v>96.958405561175255</v>
      </c>
      <c r="Q34" s="87">
        <f>IF(Q8=0,0,Q8/TrAvia_act!Q6*1000)</f>
        <v>94.750928564460835</v>
      </c>
      <c r="R34" s="87">
        <f>IF(R8=0,0,R8/TrAvia_act!R6*1000)</f>
        <v>98.862658419456466</v>
      </c>
      <c r="S34" s="87">
        <f>IF(S8=0,0,S8/TrAvia_act!S6*1000)</f>
        <v>103.4501539438845</v>
      </c>
      <c r="T34" s="87">
        <f>IF(T8=0,0,T8/TrAvia_act!T6*1000)</f>
        <v>100.26316087181989</v>
      </c>
      <c r="U34" s="87">
        <f>IF(U8=0,0,U8/TrAvia_act!U6*1000)</f>
        <v>97.999445349013669</v>
      </c>
      <c r="V34" s="87">
        <f>IF(V8=0,0,V8/TrAvia_act!V6*1000)</f>
        <v>99.3043806673859</v>
      </c>
      <c r="W34" s="87">
        <f>IF(W8=0,0,W8/TrAvia_act!W6*1000)</f>
        <v>107.5953616758121</v>
      </c>
      <c r="X34" s="87">
        <f>IF(X8=0,0,X8/TrAvia_act!X6*1000)</f>
        <v>110.6089268392404</v>
      </c>
      <c r="Y34" s="87">
        <f>IF(Y8=0,0,Y8/TrAvia_act!Y6*1000)</f>
        <v>103.43448328469047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128.27190315714103</v>
      </c>
      <c r="C35" s="87">
        <f>IF(C9=0,0,C9/TrAvia_act!C7*1000)</f>
        <v>125.78460225886087</v>
      </c>
      <c r="D35" s="87">
        <f>IF(D9=0,0,D9/TrAvia_act!D7*1000)</f>
        <v>128.38432168552779</v>
      </c>
      <c r="E35" s="87">
        <f>IF(E9=0,0,E9/TrAvia_act!E7*1000)</f>
        <v>122.59408021778647</v>
      </c>
      <c r="F35" s="87">
        <f>IF(F9=0,0,F9/TrAvia_act!F7*1000)</f>
        <v>115.62536679437207</v>
      </c>
      <c r="G35" s="87">
        <f>IF(G9=0,0,G9/TrAvia_act!G7*1000)</f>
        <v>115.51411853764083</v>
      </c>
      <c r="H35" s="87">
        <f>IF(H9=0,0,H9/TrAvia_act!H7*1000)</f>
        <v>117.80269650988389</v>
      </c>
      <c r="I35" s="87">
        <f>IF(I9=0,0,I9/TrAvia_act!I7*1000)</f>
        <v>114.4973957106764</v>
      </c>
      <c r="J35" s="87">
        <f>IF(J9=0,0,J9/TrAvia_act!J7*1000)</f>
        <v>115.08299907827283</v>
      </c>
      <c r="K35" s="87">
        <f>IF(K9=0,0,K9/TrAvia_act!K7*1000)</f>
        <v>119.37455514155772</v>
      </c>
      <c r="L35" s="87">
        <f>IF(L9=0,0,L9/TrAvia_act!L7*1000)</f>
        <v>105.6331800162183</v>
      </c>
      <c r="M35" s="87">
        <f>IF(M9=0,0,M9/TrAvia_act!M7*1000)</f>
        <v>98.427998266412075</v>
      </c>
      <c r="N35" s="87">
        <f>IF(N9=0,0,N9/TrAvia_act!N7*1000)</f>
        <v>104.04810206385847</v>
      </c>
      <c r="O35" s="87">
        <f>IF(O9=0,0,O9/TrAvia_act!O7*1000)</f>
        <v>105.39846038156159</v>
      </c>
      <c r="P35" s="87">
        <f>IF(P9=0,0,P9/TrAvia_act!P7*1000)</f>
        <v>101.58107869215816</v>
      </c>
      <c r="Q35" s="87">
        <f>IF(Q9=0,0,Q9/TrAvia_act!Q7*1000)</f>
        <v>97.502538760187818</v>
      </c>
      <c r="R35" s="87">
        <f>IF(R9=0,0,R9/TrAvia_act!R7*1000)</f>
        <v>103.51535313898826</v>
      </c>
      <c r="S35" s="87">
        <f>IF(S9=0,0,S9/TrAvia_act!S7*1000)</f>
        <v>106.7225895626608</v>
      </c>
      <c r="T35" s="87">
        <f>IF(T9=0,0,T9/TrAvia_act!T7*1000)</f>
        <v>106.71818075511042</v>
      </c>
      <c r="U35" s="87">
        <f>IF(U9=0,0,U9/TrAvia_act!U7*1000)</f>
        <v>103.62873506199433</v>
      </c>
      <c r="V35" s="87">
        <f>IF(V9=0,0,V9/TrAvia_act!V7*1000)</f>
        <v>141.1941286545906</v>
      </c>
      <c r="W35" s="87">
        <f>IF(W9=0,0,W9/TrAvia_act!W7*1000)</f>
        <v>156.68260715201606</v>
      </c>
      <c r="X35" s="87">
        <f>IF(X9=0,0,X9/TrAvia_act!X7*1000)</f>
        <v>116.53878683271557</v>
      </c>
      <c r="Y35" s="87">
        <f>IF(Y9=0,0,Y9/TrAvia_act!Y7*1000)</f>
        <v>99.479111078915054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361.83504971492147</v>
      </c>
      <c r="C36" s="15">
        <f>IF(C10=0,0,C10/TrAvia_act!C8*1000)</f>
        <v>333.53776214979803</v>
      </c>
      <c r="D36" s="15">
        <f>IF(D10=0,0,D10/TrAvia_act!D8*1000)</f>
        <v>342.33636461867457</v>
      </c>
      <c r="E36" s="15">
        <f>IF(E10=0,0,E10/TrAvia_act!E8*1000)</f>
        <v>359.7439837921234</v>
      </c>
      <c r="F36" s="15">
        <f>IF(F10=0,0,F10/TrAvia_act!F8*1000)</f>
        <v>359.45910063485695</v>
      </c>
      <c r="G36" s="15">
        <f>IF(G10=0,0,G10/TrAvia_act!G8*1000)</f>
        <v>377.43827414422867</v>
      </c>
      <c r="H36" s="15">
        <f>IF(H10=0,0,H10/TrAvia_act!H8*1000)</f>
        <v>388.80137460134279</v>
      </c>
      <c r="I36" s="15">
        <f>IF(I10=0,0,I10/TrAvia_act!I8*1000)</f>
        <v>385.63720073078883</v>
      </c>
      <c r="J36" s="15">
        <f>IF(J10=0,0,J10/TrAvia_act!J8*1000)</f>
        <v>398.24409018556634</v>
      </c>
      <c r="K36" s="15">
        <f>IF(K10=0,0,K10/TrAvia_act!K8*1000)</f>
        <v>372.72010894521901</v>
      </c>
      <c r="L36" s="15">
        <f>IF(L10=0,0,L10/TrAvia_act!L8*1000)</f>
        <v>333.8689816856641</v>
      </c>
      <c r="M36" s="15">
        <f>IF(M10=0,0,M10/TrAvia_act!M8*1000)</f>
        <v>291.55314085768987</v>
      </c>
      <c r="N36" s="15">
        <f>IF(N10=0,0,N10/TrAvia_act!N8*1000)</f>
        <v>294.02271587769656</v>
      </c>
      <c r="O36" s="15">
        <f>IF(O10=0,0,O10/TrAvia_act!O8*1000)</f>
        <v>303.86416964226754</v>
      </c>
      <c r="P36" s="15">
        <f>IF(P10=0,0,P10/TrAvia_act!P8*1000)</f>
        <v>259.18047369814872</v>
      </c>
      <c r="Q36" s="15">
        <f>IF(Q10=0,0,Q10/TrAvia_act!Q8*1000)</f>
        <v>254.62716679691255</v>
      </c>
      <c r="R36" s="15">
        <f>IF(R10=0,0,R10/TrAvia_act!R8*1000)</f>
        <v>241.3337572646017</v>
      </c>
      <c r="S36" s="15">
        <f>IF(S10=0,0,S10/TrAvia_act!S8*1000)</f>
        <v>262.84221765265141</v>
      </c>
      <c r="T36" s="15">
        <f>IF(T10=0,0,T10/TrAvia_act!T8*1000)</f>
        <v>268.7665108845714</v>
      </c>
      <c r="U36" s="15">
        <f>IF(U10=0,0,U10/TrAvia_act!U8*1000)</f>
        <v>256.26497370615624</v>
      </c>
      <c r="V36" s="15">
        <f>IF(V10=0,0,V10/TrAvia_act!V8*1000)</f>
        <v>358.98520107200579</v>
      </c>
      <c r="W36" s="15">
        <f>IF(W10=0,0,W10/TrAvia_act!W8*1000)</f>
        <v>411.47967124507312</v>
      </c>
      <c r="X36" s="15">
        <f>IF(X10=0,0,X10/TrAvia_act!X8*1000)</f>
        <v>375.07725185652998</v>
      </c>
      <c r="Y36" s="15">
        <f>IF(Y10=0,0,Y10/TrAvia_act!Y8*1000)</f>
        <v>331.37548616632512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1797.4943522921824</v>
      </c>
      <c r="C37" s="101">
        <f>IF(C11=0,0,C11/TrAvia_act!C9*1000)</f>
        <v>1807.8375842237151</v>
      </c>
      <c r="D37" s="101">
        <f>IF(D11=0,0,D11/TrAvia_act!D9*1000)</f>
        <v>1689.1842535811138</v>
      </c>
      <c r="E37" s="101">
        <f>IF(E11=0,0,E11/TrAvia_act!E9*1000)</f>
        <v>1510.0906854566106</v>
      </c>
      <c r="F37" s="101">
        <f>IF(F11=0,0,F11/TrAvia_act!F9*1000)</f>
        <v>1573.5529415246342</v>
      </c>
      <c r="G37" s="101">
        <f>IF(G11=0,0,G11/TrAvia_act!G9*1000)</f>
        <v>1666.7851549842826</v>
      </c>
      <c r="H37" s="101">
        <f>IF(H11=0,0,H11/TrAvia_act!H9*1000)</f>
        <v>1738.8880825065273</v>
      </c>
      <c r="I37" s="101">
        <f>IF(I11=0,0,I11/TrAvia_act!I9*1000)</f>
        <v>1729.3270486830847</v>
      </c>
      <c r="J37" s="101">
        <f>IF(J11=0,0,J11/TrAvia_act!J9*1000)</f>
        <v>1845.8833263772617</v>
      </c>
      <c r="K37" s="101">
        <f>IF(K11=0,0,K11/TrAvia_act!K9*1000)</f>
        <v>1917.9754060743173</v>
      </c>
      <c r="L37" s="101">
        <f>IF(L11=0,0,L11/TrAvia_act!L9*1000)</f>
        <v>1727.2621384024644</v>
      </c>
      <c r="M37" s="101">
        <f>IF(M11=0,0,M11/TrAvia_act!M9*1000)</f>
        <v>1310.6078772486599</v>
      </c>
      <c r="N37" s="101">
        <f>IF(N11=0,0,N11/TrAvia_act!N9*1000)</f>
        <v>1385.1125773333595</v>
      </c>
      <c r="O37" s="101">
        <f>IF(O11=0,0,O11/TrAvia_act!O9*1000)</f>
        <v>1377.6593821254837</v>
      </c>
      <c r="P37" s="101">
        <f>IF(P11=0,0,P11/TrAvia_act!P9*1000)</f>
        <v>1583.586494119694</v>
      </c>
      <c r="Q37" s="101">
        <f>IF(Q11=0,0,Q11/TrAvia_act!Q9*1000)</f>
        <v>1581.9699822277266</v>
      </c>
      <c r="R37" s="101">
        <f>IF(R11=0,0,R11/TrAvia_act!R9*1000)</f>
        <v>1421.4760636166236</v>
      </c>
      <c r="S37" s="101">
        <f>IF(S11=0,0,S11/TrAvia_act!S9*1000)</f>
        <v>1385.8556744396747</v>
      </c>
      <c r="T37" s="101">
        <f>IF(T11=0,0,T11/TrAvia_act!T9*1000)</f>
        <v>1265.5865480698619</v>
      </c>
      <c r="U37" s="101">
        <f>IF(U11=0,0,U11/TrAvia_act!U9*1000)</f>
        <v>1284.8391441431329</v>
      </c>
      <c r="V37" s="101">
        <f>IF(V11=0,0,V11/TrAvia_act!V9*1000)</f>
        <v>1559.0000320719148</v>
      </c>
      <c r="W37" s="101">
        <f>IF(W11=0,0,W11/TrAvia_act!W9*1000)</f>
        <v>1602.8742177536781</v>
      </c>
      <c r="X37" s="101">
        <f>IF(X11=0,0,X11/TrAvia_act!X9*1000)</f>
        <v>1308.9550054919107</v>
      </c>
      <c r="Y37" s="101">
        <f>IF(Y11=0,0,Y11/TrAvia_act!Y9*1000)</f>
        <v>1299.8804745023581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493.82119863201865</v>
      </c>
      <c r="C38" s="101">
        <f>IF(C12=0,0,C12/TrAvia_act!C10*1000)</f>
        <v>451.63621396470757</v>
      </c>
      <c r="D38" s="101">
        <f>IF(D12=0,0,D12/TrAvia_act!D10*1000)</f>
        <v>471.05732770268014</v>
      </c>
      <c r="E38" s="101">
        <f>IF(E12=0,0,E12/TrAvia_act!E10*1000)</f>
        <v>449.62938909948758</v>
      </c>
      <c r="F38" s="101">
        <f>IF(F12=0,0,F12/TrAvia_act!F10*1000)</f>
        <v>486.42985660776384</v>
      </c>
      <c r="G38" s="101">
        <f>IF(G12=0,0,G12/TrAvia_act!G10*1000)</f>
        <v>507.30363204864591</v>
      </c>
      <c r="H38" s="101">
        <f>IF(H12=0,0,H12/TrAvia_act!H10*1000)</f>
        <v>601.03788695525236</v>
      </c>
      <c r="I38" s="101">
        <f>IF(I12=0,0,I12/TrAvia_act!I10*1000)</f>
        <v>616.99181534769991</v>
      </c>
      <c r="J38" s="101">
        <f>IF(J12=0,0,J12/TrAvia_act!J10*1000)</f>
        <v>624.64884358866914</v>
      </c>
      <c r="K38" s="101">
        <f>IF(K12=0,0,K12/TrAvia_act!K10*1000)</f>
        <v>621.90762537810838</v>
      </c>
      <c r="L38" s="101">
        <f>IF(L12=0,0,L12/TrAvia_act!L10*1000)</f>
        <v>587.22178575478995</v>
      </c>
      <c r="M38" s="101">
        <f>IF(M12=0,0,M12/TrAvia_act!M10*1000)</f>
        <v>526.58854426729795</v>
      </c>
      <c r="N38" s="101">
        <f>IF(N12=0,0,N12/TrAvia_act!N10*1000)</f>
        <v>532.7001024201985</v>
      </c>
      <c r="O38" s="101">
        <f>IF(O12=0,0,O12/TrAvia_act!O10*1000)</f>
        <v>549.39169234491374</v>
      </c>
      <c r="P38" s="101">
        <f>IF(P12=0,0,P12/TrAvia_act!P10*1000)</f>
        <v>455.7971564785891</v>
      </c>
      <c r="Q38" s="101">
        <f>IF(Q12=0,0,Q12/TrAvia_act!Q10*1000)</f>
        <v>461.63048336680845</v>
      </c>
      <c r="R38" s="101">
        <f>IF(R12=0,0,R12/TrAvia_act!R10*1000)</f>
        <v>446.29660118793601</v>
      </c>
      <c r="S38" s="101">
        <f>IF(S12=0,0,S12/TrAvia_act!S10*1000)</f>
        <v>524.20093305264015</v>
      </c>
      <c r="T38" s="101">
        <f>IF(T12=0,0,T12/TrAvia_act!T10*1000)</f>
        <v>510.99045172626302</v>
      </c>
      <c r="U38" s="101">
        <f>IF(U12=0,0,U12/TrAvia_act!U10*1000)</f>
        <v>488.10132386700514</v>
      </c>
      <c r="V38" s="101">
        <f>IF(V12=0,0,V12/TrAvia_act!V10*1000)</f>
        <v>417.17036989796742</v>
      </c>
      <c r="W38" s="101">
        <f>IF(W12=0,0,W12/TrAvia_act!W10*1000)</f>
        <v>524.9941517906035</v>
      </c>
      <c r="X38" s="101">
        <f>IF(X12=0,0,X12/TrAvia_act!X10*1000)</f>
        <v>644.82251212304323</v>
      </c>
      <c r="Y38" s="101">
        <f>IF(Y12=0,0,Y12/TrAvia_act!Y10*1000)</f>
        <v>638.24837888250215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335.47298734478937</v>
      </c>
      <c r="C39" s="88">
        <f>IF(C13=0,0,C13/TrAvia_act!C11*1000)</f>
        <v>308.48729312719865</v>
      </c>
      <c r="D39" s="88">
        <f>IF(D13=0,0,D13/TrAvia_act!D11*1000)</f>
        <v>319.96174152027135</v>
      </c>
      <c r="E39" s="88">
        <f>IF(E13=0,0,E13/TrAvia_act!E11*1000)</f>
        <v>343.80204569686737</v>
      </c>
      <c r="F39" s="88">
        <f>IF(F13=0,0,F13/TrAvia_act!F11*1000)</f>
        <v>342.6575558361917</v>
      </c>
      <c r="G39" s="88">
        <f>IF(G13=0,0,G13/TrAvia_act!G11*1000)</f>
        <v>362.37035887339141</v>
      </c>
      <c r="H39" s="88">
        <f>IF(H13=0,0,H13/TrAvia_act!H11*1000)</f>
        <v>369.67703184076612</v>
      </c>
      <c r="I39" s="88">
        <f>IF(I13=0,0,I13/TrAvia_act!I11*1000)</f>
        <v>365.42368750418836</v>
      </c>
      <c r="J39" s="88">
        <f>IF(J13=0,0,J13/TrAvia_act!J11*1000)</f>
        <v>374.68841421364283</v>
      </c>
      <c r="K39" s="88">
        <f>IF(K13=0,0,K13/TrAvia_act!K11*1000)</f>
        <v>347.16271913455427</v>
      </c>
      <c r="L39" s="88">
        <f>IF(L13=0,0,L13/TrAvia_act!L11*1000)</f>
        <v>313.41530338097346</v>
      </c>
      <c r="M39" s="88">
        <f>IF(M13=0,0,M13/TrAvia_act!M11*1000)</f>
        <v>275.07895070029502</v>
      </c>
      <c r="N39" s="88">
        <f>IF(N13=0,0,N13/TrAvia_act!N11*1000)</f>
        <v>276.47122114218621</v>
      </c>
      <c r="O39" s="88">
        <f>IF(O13=0,0,O13/TrAvia_act!O11*1000)</f>
        <v>286.5528756721643</v>
      </c>
      <c r="P39" s="88">
        <f>IF(P13=0,0,P13/TrAvia_act!P11*1000)</f>
        <v>243.12345917670353</v>
      </c>
      <c r="Q39" s="88">
        <f>IF(Q13=0,0,Q13/TrAvia_act!Q11*1000)</f>
        <v>238.19907141740597</v>
      </c>
      <c r="R39" s="88">
        <f>IF(R13=0,0,R13/TrAvia_act!R11*1000)</f>
        <v>225.44030782769636</v>
      </c>
      <c r="S39" s="88">
        <f>IF(S13=0,0,S13/TrAvia_act!S11*1000)</f>
        <v>244.25760425341221</v>
      </c>
      <c r="T39" s="88">
        <f>IF(T13=0,0,T13/TrAvia_act!T11*1000)</f>
        <v>251.30259112590309</v>
      </c>
      <c r="U39" s="88">
        <f>IF(U13=0,0,U13/TrAvia_act!U11*1000)</f>
        <v>238.8819742573543</v>
      </c>
      <c r="V39" s="88">
        <f>IF(V13=0,0,V13/TrAvia_act!V11*1000)</f>
        <v>351.08840773667453</v>
      </c>
      <c r="W39" s="88">
        <f>IF(W13=0,0,W13/TrAvia_act!W11*1000)</f>
        <v>399.2726400788527</v>
      </c>
      <c r="X39" s="88">
        <f>IF(X13=0,0,X13/TrAvia_act!X11*1000)</f>
        <v>355.76406425004427</v>
      </c>
      <c r="Y39" s="88">
        <f>IF(Y13=0,0,Y13/TrAvia_act!Y11*1000)</f>
        <v>310.90326890023147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23956.755141818368</v>
      </c>
      <c r="C41" s="54">
        <f>IF(C3=0,0,C3/TrAvia_act!C23*1000000)</f>
        <v>23891.790211316522</v>
      </c>
      <c r="D41" s="54">
        <f>IF(D3=0,0,D3/TrAvia_act!D23*1000000)</f>
        <v>24252.434691538383</v>
      </c>
      <c r="E41" s="54">
        <f>IF(E3=0,0,E3/TrAvia_act!E23*1000000)</f>
        <v>23105.947724589038</v>
      </c>
      <c r="F41" s="54">
        <f>IF(F3=0,0,F3/TrAvia_act!F23*1000000)</f>
        <v>23353.952243096661</v>
      </c>
      <c r="G41" s="54">
        <f>IF(G3=0,0,G3/TrAvia_act!G23*1000000)</f>
        <v>24119.095579300563</v>
      </c>
      <c r="H41" s="54">
        <f>IF(H3=0,0,H3/TrAvia_act!H23*1000000)</f>
        <v>24505.060723373081</v>
      </c>
      <c r="I41" s="54">
        <f>IF(I3=0,0,I3/TrAvia_act!I23*1000000)</f>
        <v>24552.571576382659</v>
      </c>
      <c r="J41" s="54">
        <f>IF(J3=0,0,J3/TrAvia_act!J23*1000000)</f>
        <v>24715.199233198589</v>
      </c>
      <c r="K41" s="54">
        <f>IF(K3=0,0,K3/TrAvia_act!K23*1000000)</f>
        <v>25824.674525984294</v>
      </c>
      <c r="L41" s="54">
        <f>IF(L3=0,0,L3/TrAvia_act!L23*1000000)</f>
        <v>25295.733749429826</v>
      </c>
      <c r="M41" s="54">
        <f>IF(M3=0,0,M3/TrAvia_act!M23*1000000)</f>
        <v>22590.907097767897</v>
      </c>
      <c r="N41" s="54">
        <f>IF(N3=0,0,N3/TrAvia_act!N23*1000000)</f>
        <v>24695.831384144178</v>
      </c>
      <c r="O41" s="54">
        <f>IF(O3=0,0,O3/TrAvia_act!O23*1000000)</f>
        <v>26086.875058068359</v>
      </c>
      <c r="P41" s="54">
        <f>IF(P3=0,0,P3/TrAvia_act!P23*1000000)</f>
        <v>26719.600029939549</v>
      </c>
      <c r="Q41" s="54">
        <f>IF(Q3=0,0,Q3/TrAvia_act!Q23*1000000)</f>
        <v>26605.199818955844</v>
      </c>
      <c r="R41" s="54">
        <f>IF(R3=0,0,R3/TrAvia_act!R23*1000000)</f>
        <v>28113.197227810193</v>
      </c>
      <c r="S41" s="54">
        <f>IF(S3=0,0,S3/TrAvia_act!S23*1000000)</f>
        <v>29974.293975501372</v>
      </c>
      <c r="T41" s="54">
        <f>IF(T3=0,0,T3/TrAvia_act!T23*1000000)</f>
        <v>29698.192154073047</v>
      </c>
      <c r="U41" s="54">
        <f>IF(U3=0,0,U3/TrAvia_act!U23*1000000)</f>
        <v>29852.360406816246</v>
      </c>
      <c r="V41" s="54">
        <f>IF(V3=0,0,V3/TrAvia_act!V23*1000000)</f>
        <v>34665.670909155662</v>
      </c>
      <c r="W41" s="54">
        <f>IF(W3=0,0,W3/TrAvia_act!W23*1000000)</f>
        <v>40134.138717703347</v>
      </c>
      <c r="X41" s="54">
        <f>IF(X3=0,0,X3/TrAvia_act!X23*1000000)</f>
        <v>38193.972082635803</v>
      </c>
      <c r="Y41" s="54">
        <f>IF(Y3=0,0,Y3/TrAvia_act!Y23*1000000)</f>
        <v>36534.144950199014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22485.119957071085</v>
      </c>
      <c r="C42" s="11">
        <f>IF(C6=0,0,C6/TrAvia_act!C24*1000000)</f>
        <v>22535.958084208254</v>
      </c>
      <c r="D42" s="11">
        <f>IF(D6=0,0,D6/TrAvia_act!D24*1000000)</f>
        <v>22763.62933068024</v>
      </c>
      <c r="E42" s="11">
        <f>IF(E6=0,0,E6/TrAvia_act!E24*1000000)</f>
        <v>21415.690691578267</v>
      </c>
      <c r="F42" s="11">
        <f>IF(F6=0,0,F6/TrAvia_act!F24*1000000)</f>
        <v>21642.861075304914</v>
      </c>
      <c r="G42" s="11">
        <f>IF(G6=0,0,G6/TrAvia_act!G24*1000000)</f>
        <v>22127.367759027897</v>
      </c>
      <c r="H42" s="11">
        <f>IF(H6=0,0,H6/TrAvia_act!H24*1000000)</f>
        <v>22423.546480903471</v>
      </c>
      <c r="I42" s="11">
        <f>IF(I6=0,0,I6/TrAvia_act!I24*1000000)</f>
        <v>22488.47180260051</v>
      </c>
      <c r="J42" s="11">
        <f>IF(J6=0,0,J6/TrAvia_act!J24*1000000)</f>
        <v>22698.947079143836</v>
      </c>
      <c r="K42" s="11">
        <f>IF(K6=0,0,K6/TrAvia_act!K24*1000000)</f>
        <v>23960.297391439679</v>
      </c>
      <c r="L42" s="11">
        <f>IF(L6=0,0,L6/TrAvia_act!L24*1000000)</f>
        <v>23038.107350094808</v>
      </c>
      <c r="M42" s="11">
        <f>IF(M6=0,0,M6/TrAvia_act!M24*1000000)</f>
        <v>20479.191133967492</v>
      </c>
      <c r="N42" s="11">
        <f>IF(N6=0,0,N6/TrAvia_act!N24*1000000)</f>
        <v>22623.396156301234</v>
      </c>
      <c r="O42" s="11">
        <f>IF(O6=0,0,O6/TrAvia_act!O24*1000000)</f>
        <v>23822.283891499574</v>
      </c>
      <c r="P42" s="11">
        <f>IF(P6=0,0,P6/TrAvia_act!P24*1000000)</f>
        <v>24730.798671107146</v>
      </c>
      <c r="Q42" s="11">
        <f>IF(Q6=0,0,Q6/TrAvia_act!Q24*1000000)</f>
        <v>24649.911110056164</v>
      </c>
      <c r="R42" s="11">
        <f>IF(R6=0,0,R6/TrAvia_act!R24*1000000)</f>
        <v>26201.256253269083</v>
      </c>
      <c r="S42" s="11">
        <f>IF(S6=0,0,S6/TrAvia_act!S24*1000000)</f>
        <v>27845.183920250853</v>
      </c>
      <c r="T42" s="11">
        <f>IF(T6=0,0,T6/TrAvia_act!T24*1000000)</f>
        <v>27515.659956823947</v>
      </c>
      <c r="U42" s="11">
        <f>IF(U6=0,0,U6/TrAvia_act!U24*1000000)</f>
        <v>27804.518789024976</v>
      </c>
      <c r="V42" s="11">
        <f>IF(V6=0,0,V6/TrAvia_act!V24*1000000)</f>
        <v>27641.001738522122</v>
      </c>
      <c r="W42" s="11">
        <f>IF(W6=0,0,W6/TrAvia_act!W24*1000000)</f>
        <v>33229.324544677183</v>
      </c>
      <c r="X42" s="11">
        <f>IF(X6=0,0,X6/TrAvia_act!X24*1000000)</f>
        <v>33525.603239635704</v>
      </c>
      <c r="Y42" s="11">
        <f>IF(Y6=0,0,Y6/TrAvia_act!Y24*1000000)</f>
        <v>32907.905480523681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8006.0854146030078</v>
      </c>
      <c r="C43" s="84">
        <f>IF(C7=0,0,C7/TrAvia_act!C25*1000000)</f>
        <v>7990.7466369305548</v>
      </c>
      <c r="D43" s="84">
        <f>IF(D7=0,0,D7/TrAvia_act!D25*1000000)</f>
        <v>7677.7973221222201</v>
      </c>
      <c r="E43" s="84">
        <f>IF(E7=0,0,E7/TrAvia_act!E25*1000000)</f>
        <v>7300.9429599086907</v>
      </c>
      <c r="F43" s="84">
        <f>IF(F7=0,0,F7/TrAvia_act!F25*1000000)</f>
        <v>7163.8798076204857</v>
      </c>
      <c r="G43" s="84">
        <f>IF(G7=0,0,G7/TrAvia_act!G25*1000000)</f>
        <v>7413.6484458154109</v>
      </c>
      <c r="H43" s="84">
        <f>IF(H7=0,0,H7/TrAvia_act!H25*1000000)</f>
        <v>7611.8070546154104</v>
      </c>
      <c r="I43" s="84">
        <f>IF(I7=0,0,I7/TrAvia_act!I25*1000000)</f>
        <v>7620.7632844396048</v>
      </c>
      <c r="J43" s="84">
        <f>IF(J7=0,0,J7/TrAvia_act!J25*1000000)</f>
        <v>7668.0966745993401</v>
      </c>
      <c r="K43" s="84">
        <f>IF(K7=0,0,K7/TrAvia_act!K25*1000000)</f>
        <v>8040.7062962088266</v>
      </c>
      <c r="L43" s="84">
        <f>IF(L7=0,0,L7/TrAvia_act!L25*1000000)</f>
        <v>7644.3901157647788</v>
      </c>
      <c r="M43" s="84">
        <f>IF(M7=0,0,M7/TrAvia_act!M25*1000000)</f>
        <v>6096.8817874098731</v>
      </c>
      <c r="N43" s="84">
        <f>IF(N7=0,0,N7/TrAvia_act!N25*1000000)</f>
        <v>6501.2699231112265</v>
      </c>
      <c r="O43" s="84">
        <f>IF(O7=0,0,O7/TrAvia_act!O25*1000000)</f>
        <v>6639.7102048268753</v>
      </c>
      <c r="P43" s="84">
        <f>IF(P7=0,0,P7/TrAvia_act!P25*1000000)</f>
        <v>8567.4888356101237</v>
      </c>
      <c r="Q43" s="84">
        <f>IF(Q7=0,0,Q7/TrAvia_act!Q25*1000000)</f>
        <v>8823.0060365961308</v>
      </c>
      <c r="R43" s="84">
        <f>IF(R7=0,0,R7/TrAvia_act!R25*1000000)</f>
        <v>9305.0248862668868</v>
      </c>
      <c r="S43" s="84">
        <f>IF(S7=0,0,S7/TrAvia_act!S25*1000000)</f>
        <v>8354.5781521829977</v>
      </c>
      <c r="T43" s="84">
        <f>IF(T7=0,0,T7/TrAvia_act!T25*1000000)</f>
        <v>7853.1192269248822</v>
      </c>
      <c r="U43" s="84">
        <f>IF(U7=0,0,U7/TrAvia_act!U25*1000000)</f>
        <v>8839.7847285294065</v>
      </c>
      <c r="V43" s="84">
        <f>IF(V7=0,0,V7/TrAvia_act!V25*1000000)</f>
        <v>9525.4575138506152</v>
      </c>
      <c r="W43" s="84">
        <f>IF(W7=0,0,W7/TrAvia_act!W25*1000000)</f>
        <v>10000.039931415871</v>
      </c>
      <c r="X43" s="84">
        <f>IF(X7=0,0,X7/TrAvia_act!X25*1000000)</f>
        <v>8474.449570508943</v>
      </c>
      <c r="Y43" s="84">
        <f>IF(Y7=0,0,Y7/TrAvia_act!Y25*1000000)</f>
        <v>8459.1950305800056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12272.018547744463</v>
      </c>
      <c r="C44" s="84">
        <f>IF(C8=0,0,C8/TrAvia_act!C26*1000000)</f>
        <v>11857.137539509567</v>
      </c>
      <c r="D44" s="84">
        <f>IF(D8=0,0,D8/TrAvia_act!D26*1000000)</f>
        <v>11672.957410486895</v>
      </c>
      <c r="E44" s="84">
        <f>IF(E8=0,0,E8/TrAvia_act!E26*1000000)</f>
        <v>11396.363949363238</v>
      </c>
      <c r="F44" s="84">
        <f>IF(F8=0,0,F8/TrAvia_act!F26*1000000)</f>
        <v>11093.305603254357</v>
      </c>
      <c r="G44" s="84">
        <f>IF(G8=0,0,G8/TrAvia_act!G26*1000000)</f>
        <v>11260.633509415255</v>
      </c>
      <c r="H44" s="84">
        <f>IF(H8=0,0,H8/TrAvia_act!H26*1000000)</f>
        <v>11518.739040735752</v>
      </c>
      <c r="I44" s="84">
        <f>IF(I8=0,0,I8/TrAvia_act!I26*1000000)</f>
        <v>11802.666279194516</v>
      </c>
      <c r="J44" s="84">
        <f>IF(J8=0,0,J8/TrAvia_act!J26*1000000)</f>
        <v>11744.649365361249</v>
      </c>
      <c r="K44" s="84">
        <f>IF(K8=0,0,K8/TrAvia_act!K26*1000000)</f>
        <v>12117.215824287892</v>
      </c>
      <c r="L44" s="84">
        <f>IF(L8=0,0,L8/TrAvia_act!L26*1000000)</f>
        <v>11801.982776654735</v>
      </c>
      <c r="M44" s="84">
        <f>IF(M8=0,0,M8/TrAvia_act!M26*1000000)</f>
        <v>10955.049384119797</v>
      </c>
      <c r="N44" s="84">
        <f>IF(N8=0,0,N8/TrAvia_act!N26*1000000)</f>
        <v>11977.481019217565</v>
      </c>
      <c r="O44" s="84">
        <f>IF(O8=0,0,O8/TrAvia_act!O26*1000000)</f>
        <v>12393.579223015136</v>
      </c>
      <c r="P44" s="84">
        <f>IF(P8=0,0,P8/TrAvia_act!P26*1000000)</f>
        <v>12152.112638442797</v>
      </c>
      <c r="Q44" s="84">
        <f>IF(Q8=0,0,Q8/TrAvia_act!Q26*1000000)</f>
        <v>12042.040423646924</v>
      </c>
      <c r="R44" s="84">
        <f>IF(R8=0,0,R8/TrAvia_act!R26*1000000)</f>
        <v>13045.450342192053</v>
      </c>
      <c r="S44" s="84">
        <f>IF(S8=0,0,S8/TrAvia_act!S26*1000000)</f>
        <v>14270.72984507858</v>
      </c>
      <c r="T44" s="84">
        <f>IF(T8=0,0,T8/TrAvia_act!T26*1000000)</f>
        <v>14134.696745257523</v>
      </c>
      <c r="U44" s="84">
        <f>IF(U8=0,0,U8/TrAvia_act!U26*1000000)</f>
        <v>13860.735038511042</v>
      </c>
      <c r="V44" s="84">
        <f>IF(V8=0,0,V8/TrAvia_act!V26*1000000)</f>
        <v>11403.512279386767</v>
      </c>
      <c r="W44" s="84">
        <f>IF(W8=0,0,W8/TrAvia_act!W26*1000000)</f>
        <v>15315.273786032683</v>
      </c>
      <c r="X44" s="84">
        <f>IF(X8=0,0,X8/TrAvia_act!X26*1000000)</f>
        <v>17086.110544068677</v>
      </c>
      <c r="Y44" s="84">
        <f>IF(Y8=0,0,Y8/TrAvia_act!Y26*1000000)</f>
        <v>16400.609923849217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118761.76029521819</v>
      </c>
      <c r="C45" s="84">
        <f>IF(C9=0,0,C9/TrAvia_act!C27*1000000)</f>
        <v>114441.8095533419</v>
      </c>
      <c r="D45" s="84">
        <f>IF(D9=0,0,D9/TrAvia_act!D27*1000000)</f>
        <v>112072.67023501132</v>
      </c>
      <c r="E45" s="84">
        <f>IF(E9=0,0,E9/TrAvia_act!E27*1000000)</f>
        <v>109419.76816436816</v>
      </c>
      <c r="F45" s="84">
        <f>IF(F9=0,0,F9/TrAvia_act!F27*1000000)</f>
        <v>105846.85217848122</v>
      </c>
      <c r="G45" s="84">
        <f>IF(G9=0,0,G9/TrAvia_act!G27*1000000)</f>
        <v>106047.93097047559</v>
      </c>
      <c r="H45" s="84">
        <f>IF(H9=0,0,H9/TrAvia_act!H27*1000000)</f>
        <v>105633.85009597184</v>
      </c>
      <c r="I45" s="84">
        <f>IF(I9=0,0,I9/TrAvia_act!I27*1000000)</f>
        <v>100150.08877269225</v>
      </c>
      <c r="J45" s="84">
        <f>IF(J9=0,0,J9/TrAvia_act!J27*1000000)</f>
        <v>97807.528423784548</v>
      </c>
      <c r="K45" s="84">
        <f>IF(K9=0,0,K9/TrAvia_act!K27*1000000)</f>
        <v>98736.041915531445</v>
      </c>
      <c r="L45" s="84">
        <f>IF(L9=0,0,L9/TrAvia_act!L27*1000000)</f>
        <v>89413.504067769492</v>
      </c>
      <c r="M45" s="84">
        <f>IF(M9=0,0,M9/TrAvia_act!M27*1000000)</f>
        <v>82627.354330005852</v>
      </c>
      <c r="N45" s="84">
        <f>IF(N9=0,0,N9/TrAvia_act!N27*1000000)</f>
        <v>86566.433894039481</v>
      </c>
      <c r="O45" s="84">
        <f>IF(O9=0,0,O9/TrAvia_act!O27*1000000)</f>
        <v>89769.311468262735</v>
      </c>
      <c r="P45" s="84">
        <f>IF(P9=0,0,P9/TrAvia_act!P27*1000000)</f>
        <v>86544.239052744233</v>
      </c>
      <c r="Q45" s="84">
        <f>IF(Q9=0,0,Q9/TrAvia_act!Q27*1000000)</f>
        <v>85072.557322427543</v>
      </c>
      <c r="R45" s="84">
        <f>IF(R9=0,0,R9/TrAvia_act!R27*1000000)</f>
        <v>95411.510702442261</v>
      </c>
      <c r="S45" s="84">
        <f>IF(S9=0,0,S9/TrAvia_act!S27*1000000)</f>
        <v>100088.01241475507</v>
      </c>
      <c r="T45" s="84">
        <f>IF(T9=0,0,T9/TrAvia_act!T27*1000000)</f>
        <v>95967.133620355366</v>
      </c>
      <c r="U45" s="84">
        <f>IF(U9=0,0,U9/TrAvia_act!U27*1000000)</f>
        <v>93378.859086310869</v>
      </c>
      <c r="V45" s="84">
        <f>IF(V9=0,0,V9/TrAvia_act!V27*1000000)</f>
        <v>101901.39608124254</v>
      </c>
      <c r="W45" s="84">
        <f>IF(W9=0,0,W9/TrAvia_act!W27*1000000)</f>
        <v>94731.539554306088</v>
      </c>
      <c r="X45" s="84">
        <f>IF(X9=0,0,X9/TrAvia_act!X27*1000000)</f>
        <v>99386.317425911388</v>
      </c>
      <c r="Y45" s="84">
        <f>IF(Y9=0,0,Y9/TrAvia_act!Y27*1000000)</f>
        <v>95018.916083024204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46922.460955604518</v>
      </c>
      <c r="C46" s="13">
        <f>IF(C10=0,0,C10/TrAvia_act!C28*1000000)</f>
        <v>45243.799508537726</v>
      </c>
      <c r="D46" s="13">
        <f>IF(D10=0,0,D10/TrAvia_act!D28*1000000)</f>
        <v>47185.976113619203</v>
      </c>
      <c r="E46" s="13">
        <f>IF(E10=0,0,E10/TrAvia_act!E28*1000000)</f>
        <v>51532.044882942493</v>
      </c>
      <c r="F46" s="13">
        <f>IF(F10=0,0,F10/TrAvia_act!F28*1000000)</f>
        <v>50601.044023386319</v>
      </c>
      <c r="G46" s="13">
        <f>IF(G10=0,0,G10/TrAvia_act!G28*1000000)</f>
        <v>54722.81538253952</v>
      </c>
      <c r="H46" s="13">
        <f>IF(H10=0,0,H10/TrAvia_act!H28*1000000)</f>
        <v>54221.255670349943</v>
      </c>
      <c r="I46" s="13">
        <f>IF(I10=0,0,I10/TrAvia_act!I28*1000000)</f>
        <v>53121.281631224861</v>
      </c>
      <c r="J46" s="13">
        <f>IF(J10=0,0,J10/TrAvia_act!J28*1000000)</f>
        <v>49830.313356724073</v>
      </c>
      <c r="K46" s="13">
        <f>IF(K10=0,0,K10/TrAvia_act!K28*1000000)</f>
        <v>49550.46669432499</v>
      </c>
      <c r="L46" s="13">
        <f>IF(L10=0,0,L10/TrAvia_act!L28*1000000)</f>
        <v>51892.929657348926</v>
      </c>
      <c r="M46" s="13">
        <f>IF(M10=0,0,M10/TrAvia_act!M28*1000000)</f>
        <v>49531.018597861024</v>
      </c>
      <c r="N46" s="13">
        <f>IF(N10=0,0,N10/TrAvia_act!N28*1000000)</f>
        <v>52444.93271455232</v>
      </c>
      <c r="O46" s="13">
        <f>IF(O10=0,0,O10/TrAvia_act!O28*1000000)</f>
        <v>55712.893945113094</v>
      </c>
      <c r="P46" s="13">
        <f>IF(P10=0,0,P10/TrAvia_act!P28*1000000)</f>
        <v>53665.626495397002</v>
      </c>
      <c r="Q46" s="13">
        <f>IF(Q10=0,0,Q10/TrAvia_act!Q28*1000000)</f>
        <v>52800.204644663245</v>
      </c>
      <c r="R46" s="13">
        <f>IF(R10=0,0,R10/TrAvia_act!R28*1000000)</f>
        <v>56229.414307164196</v>
      </c>
      <c r="S46" s="13">
        <f>IF(S10=0,0,S10/TrAvia_act!S28*1000000)</f>
        <v>58478.435905387414</v>
      </c>
      <c r="T46" s="13">
        <f>IF(T10=0,0,T10/TrAvia_act!T28*1000000)</f>
        <v>59533.348494615675</v>
      </c>
      <c r="U46" s="13">
        <f>IF(U10=0,0,U10/TrAvia_act!U28*1000000)</f>
        <v>59742.140239976048</v>
      </c>
      <c r="V46" s="13">
        <f>IF(V10=0,0,V10/TrAvia_act!V28*1000000)</f>
        <v>63914.855305746183</v>
      </c>
      <c r="W46" s="13">
        <f>IF(W10=0,0,W10/TrAvia_act!W28*1000000)</f>
        <v>68143.183306672407</v>
      </c>
      <c r="X46" s="13">
        <f>IF(X10=0,0,X10/TrAvia_act!X28*1000000)</f>
        <v>74571.898605704759</v>
      </c>
      <c r="Y46" s="13">
        <f>IF(Y10=0,0,Y10/TrAvia_act!Y28*1000000)</f>
        <v>70958.241332863225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7696.9378460409434</v>
      </c>
      <c r="C47" s="102">
        <f>IF(C11=0,0,C11/TrAvia_act!C29*1000000)</f>
        <v>7682.1913610529409</v>
      </c>
      <c r="D47" s="102">
        <f>IF(D11=0,0,D11/TrAvia_act!D29*1000000)</f>
        <v>7381.3262940069008</v>
      </c>
      <c r="E47" s="102">
        <f>IF(E11=0,0,E11/TrAvia_act!E29*1000000)</f>
        <v>7019.0238137365513</v>
      </c>
      <c r="F47" s="102">
        <f>IF(F11=0,0,F11/TrAvia_act!F29*1000000)</f>
        <v>6887.2532280492578</v>
      </c>
      <c r="G47" s="102">
        <f>IF(G11=0,0,G11/TrAvia_act!G29*1000000)</f>
        <v>7127.377281755962</v>
      </c>
      <c r="H47" s="102">
        <f>IF(H11=0,0,H11/TrAvia_act!H29*1000000)</f>
        <v>7306.2918530138686</v>
      </c>
      <c r="I47" s="102">
        <f>IF(I11=0,0,I11/TrAvia_act!I29*1000000)</f>
        <v>7303.301033416983</v>
      </c>
      <c r="J47" s="102">
        <f>IF(J11=0,0,J11/TrAvia_act!J29*1000000)</f>
        <v>7337.0215643097063</v>
      </c>
      <c r="K47" s="102">
        <f>IF(K11=0,0,K11/TrAvia_act!K29*1000000)</f>
        <v>7681.3561344439004</v>
      </c>
      <c r="L47" s="102">
        <f>IF(L11=0,0,L11/TrAvia_act!L29*1000000)</f>
        <v>7291.1835431986156</v>
      </c>
      <c r="M47" s="102">
        <f>IF(M11=0,0,M11/TrAvia_act!M29*1000000)</f>
        <v>5778.6591159802811</v>
      </c>
      <c r="N47" s="102">
        <f>IF(N11=0,0,N11/TrAvia_act!N29*1000000)</f>
        <v>6123.2446825388815</v>
      </c>
      <c r="O47" s="102">
        <f>IF(O11=0,0,O11/TrAvia_act!O29*1000000)</f>
        <v>6266.8212365213685</v>
      </c>
      <c r="P47" s="102">
        <f>IF(P11=0,0,P11/TrAvia_act!P29*1000000)</f>
        <v>8103.3853219833818</v>
      </c>
      <c r="Q47" s="102">
        <f>IF(Q11=0,0,Q11/TrAvia_act!Q29*1000000)</f>
        <v>8362.6568621169899</v>
      </c>
      <c r="R47" s="102">
        <f>IF(R11=0,0,R11/TrAvia_act!R29*1000000)</f>
        <v>8838.1220212891931</v>
      </c>
      <c r="S47" s="102">
        <f>IF(S11=0,0,S11/TrAvia_act!S29*1000000)</f>
        <v>7952.0981128636658</v>
      </c>
      <c r="T47" s="102">
        <f>IF(T11=0,0,T11/TrAvia_act!T29*1000000)</f>
        <v>7490.5574691943484</v>
      </c>
      <c r="U47" s="102">
        <f>IF(U11=0,0,U11/TrAvia_act!U29*1000000)</f>
        <v>8418.1717246785884</v>
      </c>
      <c r="V47" s="102">
        <f>IF(V11=0,0,V11/TrAvia_act!V29*1000000)</f>
        <v>9012.8088355436394</v>
      </c>
      <c r="W47" s="102">
        <f>IF(W11=0,0,W11/TrAvia_act!W29*1000000)</f>
        <v>9448.0635567654444</v>
      </c>
      <c r="X47" s="102">
        <f>IF(X11=0,0,X11/TrAvia_act!X29*1000000)</f>
        <v>8103.173807151682</v>
      </c>
      <c r="Y47" s="102">
        <f>IF(Y11=0,0,Y11/TrAvia_act!Y29*1000000)</f>
        <v>8154.8006676053528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10389.076824217798</v>
      </c>
      <c r="C48" s="102">
        <f>IF(C12=0,0,C12/TrAvia_act!C30*1000000)</f>
        <v>10103.015358034203</v>
      </c>
      <c r="D48" s="102">
        <f>IF(D12=0,0,D12/TrAvia_act!D30*1000000)</f>
        <v>9867.94639471357</v>
      </c>
      <c r="E48" s="102">
        <f>IF(E12=0,0,E12/TrAvia_act!E30*1000000)</f>
        <v>9628.3719846586373</v>
      </c>
      <c r="F48" s="102">
        <f>IF(F12=0,0,F12/TrAvia_act!F30*1000000)</f>
        <v>9342.0587777308883</v>
      </c>
      <c r="G48" s="102">
        <f>IF(G12=0,0,G12/TrAvia_act!G30*1000000)</f>
        <v>9528.8812887802433</v>
      </c>
      <c r="H48" s="102">
        <f>IF(H12=0,0,H12/TrAvia_act!H30*1000000)</f>
        <v>9775.6839384779414</v>
      </c>
      <c r="I48" s="102">
        <f>IF(I12=0,0,I12/TrAvia_act!I30*1000000)</f>
        <v>10065.506604095532</v>
      </c>
      <c r="J48" s="102">
        <f>IF(J12=0,0,J12/TrAvia_act!J30*1000000)</f>
        <v>10155.828308634993</v>
      </c>
      <c r="K48" s="102">
        <f>IF(K12=0,0,K12/TrAvia_act!K30*1000000)</f>
        <v>10629.836993535373</v>
      </c>
      <c r="L48" s="102">
        <f>IF(L12=0,0,L12/TrAvia_act!L30*1000000)</f>
        <v>10584.821028413708</v>
      </c>
      <c r="M48" s="102">
        <f>IF(M12=0,0,M12/TrAvia_act!M30*1000000)</f>
        <v>9854.8149410420247</v>
      </c>
      <c r="N48" s="102">
        <f>IF(N12=0,0,N12/TrAvia_act!N30*1000000)</f>
        <v>10712.980769525677</v>
      </c>
      <c r="O48" s="102">
        <f>IF(O12=0,0,O12/TrAvia_act!O30*1000000)</f>
        <v>10929.516037877624</v>
      </c>
      <c r="P48" s="102">
        <f>IF(P12=0,0,P12/TrAvia_act!P30*1000000)</f>
        <v>10443.366330397514</v>
      </c>
      <c r="Q48" s="102">
        <f>IF(Q12=0,0,Q12/TrAvia_act!Q30*1000000)</f>
        <v>10191.797005468587</v>
      </c>
      <c r="R48" s="102">
        <f>IF(R12=0,0,R12/TrAvia_act!R30*1000000)</f>
        <v>10878.577377406154</v>
      </c>
      <c r="S48" s="102">
        <f>IF(S12=0,0,S12/TrAvia_act!S30*1000000)</f>
        <v>11752.029136319257</v>
      </c>
      <c r="T48" s="102">
        <f>IF(T12=0,0,T12/TrAvia_act!T30*1000000)</f>
        <v>11544.445629071477</v>
      </c>
      <c r="U48" s="102">
        <f>IF(U12=0,0,U12/TrAvia_act!U30*1000000)</f>
        <v>11696.948275585448</v>
      </c>
      <c r="V48" s="102">
        <f>IF(V12=0,0,V12/TrAvia_act!V30*1000000)</f>
        <v>8311.9340723113364</v>
      </c>
      <c r="W48" s="102">
        <f>IF(W12=0,0,W12/TrAvia_act!W30*1000000)</f>
        <v>10520.753818899573</v>
      </c>
      <c r="X48" s="102">
        <f>IF(X12=0,0,X12/TrAvia_act!X30*1000000)</f>
        <v>13420.175843887711</v>
      </c>
      <c r="Y48" s="102">
        <f>IF(Y12=0,0,Y12/TrAvia_act!Y30*1000000)</f>
        <v>13511.023536767399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141915.5612116761</v>
      </c>
      <c r="C49" s="86">
        <f>IF(C13=0,0,C13/TrAvia_act!C31*1000000)</f>
        <v>136753.39257746079</v>
      </c>
      <c r="D49" s="86">
        <f>IF(D13=0,0,D13/TrAvia_act!D31*1000000)</f>
        <v>133922.36569545971</v>
      </c>
      <c r="E49" s="86">
        <f>IF(E13=0,0,E13/TrAvia_act!E31*1000000)</f>
        <v>130752.2536555315</v>
      </c>
      <c r="F49" s="86">
        <f>IF(F13=0,0,F13/TrAvia_act!F31*1000000)</f>
        <v>126482.76172446815</v>
      </c>
      <c r="G49" s="86">
        <f>IF(G13=0,0,G13/TrAvia_act!G31*1000000)</f>
        <v>126493.41789861491</v>
      </c>
      <c r="H49" s="86">
        <f>IF(H13=0,0,H13/TrAvia_act!H31*1000000)</f>
        <v>126548.11719394251</v>
      </c>
      <c r="I49" s="86">
        <f>IF(I13=0,0,I13/TrAvia_act!I31*1000000)</f>
        <v>122442.08920930861</v>
      </c>
      <c r="J49" s="86">
        <f>IF(J13=0,0,J13/TrAvia_act!J31*1000000)</f>
        <v>123135.97763864433</v>
      </c>
      <c r="K49" s="86">
        <f>IF(K13=0,0,K13/TrAvia_act!K31*1000000)</f>
        <v>128552.68154042427</v>
      </c>
      <c r="L49" s="86">
        <f>IF(L13=0,0,L13/TrAvia_act!L31*1000000)</f>
        <v>118656.9912915865</v>
      </c>
      <c r="M49" s="86">
        <f>IF(M13=0,0,M13/TrAvia_act!M31*1000000)</f>
        <v>110240.31446312937</v>
      </c>
      <c r="N49" s="86">
        <f>IF(N13=0,0,N13/TrAvia_act!N31*1000000)</f>
        <v>120697.38362576696</v>
      </c>
      <c r="O49" s="86">
        <f>IF(O13=0,0,O13/TrAvia_act!O31*1000000)</f>
        <v>128560.37306221649</v>
      </c>
      <c r="P49" s="86">
        <f>IF(P13=0,0,P13/TrAvia_act!P31*1000000)</f>
        <v>127013.28243460055</v>
      </c>
      <c r="Q49" s="86">
        <f>IF(Q13=0,0,Q13/TrAvia_act!Q31*1000000)</f>
        <v>126663.59300599755</v>
      </c>
      <c r="R49" s="86">
        <f>IF(R13=0,0,R13/TrAvia_act!R31*1000000)</f>
        <v>136689.3094103758</v>
      </c>
      <c r="S49" s="86">
        <f>IF(S13=0,0,S13/TrAvia_act!S31*1000000)</f>
        <v>147853.71018663151</v>
      </c>
      <c r="T49" s="86">
        <f>IF(T13=0,0,T13/TrAvia_act!T31*1000000)</f>
        <v>152720.20465231157</v>
      </c>
      <c r="U49" s="86">
        <f>IF(U13=0,0,U13/TrAvia_act!U31*1000000)</f>
        <v>154229.90644798975</v>
      </c>
      <c r="V49" s="86">
        <f>IF(V13=0,0,V13/TrAvia_act!V31*1000000)</f>
        <v>150594.08640522344</v>
      </c>
      <c r="W49" s="86">
        <f>IF(W13=0,0,W13/TrAvia_act!W31*1000000)</f>
        <v>162562.23487512054</v>
      </c>
      <c r="X49" s="86">
        <f>IF(X13=0,0,X13/TrAvia_act!X31*1000000)</f>
        <v>185035.20211545302</v>
      </c>
      <c r="Y49" s="86">
        <f>IF(Y13=0,0,Y13/TrAvia_act!Y31*1000000)</f>
        <v>176625.92280492405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0.88204971320363701</v>
      </c>
      <c r="C52" s="16">
        <f t="shared" si="36"/>
        <v>0.88693180888087286</v>
      </c>
      <c r="D52" s="16">
        <f t="shared" ref="D52:V52" si="37">IF(D6=0,0,D6/D$3)</f>
        <v>0.8813935984113751</v>
      </c>
      <c r="E52" s="16">
        <f t="shared" si="37"/>
        <v>0.87482893555110453</v>
      </c>
      <c r="F52" s="16">
        <f t="shared" si="37"/>
        <v>0.87197318784011313</v>
      </c>
      <c r="G52" s="16">
        <f t="shared" si="37"/>
        <v>0.86136258421545264</v>
      </c>
      <c r="H52" s="16">
        <f t="shared" si="37"/>
        <v>0.85515705664083441</v>
      </c>
      <c r="I52" s="16">
        <f t="shared" si="37"/>
        <v>0.85421413762941922</v>
      </c>
      <c r="J52" s="16">
        <f t="shared" si="37"/>
        <v>0.85016865350660153</v>
      </c>
      <c r="K52" s="16">
        <f t="shared" si="37"/>
        <v>0.86021083802620568</v>
      </c>
      <c r="L52" s="16">
        <f t="shared" si="37"/>
        <v>0.839492777697739</v>
      </c>
      <c r="M52" s="16">
        <f t="shared" si="37"/>
        <v>0.84063034354272548</v>
      </c>
      <c r="N52" s="16">
        <f t="shared" si="37"/>
        <v>0.85241887028876973</v>
      </c>
      <c r="O52" s="16">
        <f t="shared" si="37"/>
        <v>0.84834363525520828</v>
      </c>
      <c r="P52" s="16">
        <f t="shared" si="37"/>
        <v>0.86194989018351664</v>
      </c>
      <c r="Q52" s="16">
        <f t="shared" si="37"/>
        <v>0.86215308682174785</v>
      </c>
      <c r="R52" s="16">
        <f t="shared" si="37"/>
        <v>0.87264995347744601</v>
      </c>
      <c r="S52" s="16">
        <f t="shared" si="37"/>
        <v>0.86440246535794474</v>
      </c>
      <c r="T52" s="16">
        <f t="shared" si="37"/>
        <v>0.8633527231986875</v>
      </c>
      <c r="U52" s="16">
        <f t="shared" si="37"/>
        <v>0.87167954330802366</v>
      </c>
      <c r="V52" s="16">
        <f t="shared" si="37"/>
        <v>0.64294560715418969</v>
      </c>
      <c r="W52" s="16">
        <f t="shared" ref="W52:Y52" si="38">IF(W6=0,0,W6/W$3)</f>
        <v>0.66421397708814833</v>
      </c>
      <c r="X52" s="16">
        <f t="shared" si="38"/>
        <v>0.77793936877516745</v>
      </c>
      <c r="Y52" s="16">
        <f t="shared" si="38"/>
        <v>0.81490193364732455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0.11612878008950182</v>
      </c>
      <c r="C53" s="103">
        <f t="shared" si="39"/>
        <v>0.11333602566547282</v>
      </c>
      <c r="D53" s="103">
        <f t="shared" ref="D53:V53" si="40">IF(D7=0,0,D7/D$3)</f>
        <v>0.1118992101588801</v>
      </c>
      <c r="E53" s="103">
        <f t="shared" si="40"/>
        <v>0.11010113592971009</v>
      </c>
      <c r="F53" s="103">
        <f t="shared" si="40"/>
        <v>0.1011589992376532</v>
      </c>
      <c r="G53" s="103">
        <f t="shared" si="40"/>
        <v>9.7764373885045219E-2</v>
      </c>
      <c r="H53" s="103">
        <f t="shared" si="40"/>
        <v>9.5584936968072493E-2</v>
      </c>
      <c r="I53" s="103">
        <f t="shared" si="40"/>
        <v>9.3304359867585437E-2</v>
      </c>
      <c r="J53" s="103">
        <f t="shared" si="40"/>
        <v>9.1113039063796863E-2</v>
      </c>
      <c r="K53" s="103">
        <f t="shared" si="40"/>
        <v>9.0913906066456621E-2</v>
      </c>
      <c r="L53" s="103">
        <f t="shared" si="40"/>
        <v>8.6685947293789034E-2</v>
      </c>
      <c r="M53" s="103">
        <f t="shared" si="40"/>
        <v>8.3793028338429901E-2</v>
      </c>
      <c r="N53" s="103">
        <f t="shared" si="40"/>
        <v>7.9013643879290427E-2</v>
      </c>
      <c r="O53" s="103">
        <f t="shared" si="40"/>
        <v>7.3005878498993426E-2</v>
      </c>
      <c r="P53" s="103">
        <f t="shared" si="40"/>
        <v>8.0523776116119605E-2</v>
      </c>
      <c r="Q53" s="103">
        <f t="shared" si="40"/>
        <v>8.0592102525141929E-2</v>
      </c>
      <c r="R53" s="103">
        <f t="shared" si="40"/>
        <v>8.00476434754986E-2</v>
      </c>
      <c r="S53" s="103">
        <f t="shared" si="40"/>
        <v>6.3537669261222784E-2</v>
      </c>
      <c r="T53" s="103">
        <f t="shared" si="40"/>
        <v>5.9869893919461528E-2</v>
      </c>
      <c r="U53" s="103">
        <f t="shared" si="40"/>
        <v>6.7500496163499124E-2</v>
      </c>
      <c r="V53" s="103">
        <f t="shared" si="40"/>
        <v>5.5760398982864813E-2</v>
      </c>
      <c r="W53" s="103">
        <f t="shared" ref="W53:Y53" si="41">IF(W7=0,0,W7/W$3)</f>
        <v>3.5436331298676751E-2</v>
      </c>
      <c r="X53" s="103">
        <f t="shared" si="41"/>
        <v>3.4062634890063566E-2</v>
      </c>
      <c r="Y53" s="103">
        <f t="shared" si="41"/>
        <v>3.5507737665229126E-2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0.25010093198836847</v>
      </c>
      <c r="C54" s="103">
        <f t="shared" si="42"/>
        <v>0.24356244342456423</v>
      </c>
      <c r="D54" s="103">
        <f t="shared" ref="D54:V54" si="43">IF(D8=0,0,D8/D$3)</f>
        <v>0.2251467712141238</v>
      </c>
      <c r="E54" s="103">
        <f t="shared" si="43"/>
        <v>0.23891371197522096</v>
      </c>
      <c r="F54" s="103">
        <f t="shared" si="43"/>
        <v>0.23403801515651937</v>
      </c>
      <c r="G54" s="103">
        <f t="shared" si="43"/>
        <v>0.23357274742877429</v>
      </c>
      <c r="H54" s="103">
        <f t="shared" si="43"/>
        <v>0.23773597601634919</v>
      </c>
      <c r="I54" s="103">
        <f t="shared" si="43"/>
        <v>0.24274833359148437</v>
      </c>
      <c r="J54" s="103">
        <f t="shared" si="43"/>
        <v>0.23773443619118867</v>
      </c>
      <c r="K54" s="103">
        <f t="shared" si="43"/>
        <v>0.23209308861132413</v>
      </c>
      <c r="L54" s="103">
        <f t="shared" si="43"/>
        <v>0.22679365278112087</v>
      </c>
      <c r="M54" s="103">
        <f t="shared" si="43"/>
        <v>0.2291599878110436</v>
      </c>
      <c r="N54" s="103">
        <f t="shared" si="43"/>
        <v>0.23062623300472576</v>
      </c>
      <c r="O54" s="103">
        <f t="shared" si="43"/>
        <v>0.22975743892316752</v>
      </c>
      <c r="P54" s="103">
        <f t="shared" si="43"/>
        <v>0.23220790798721649</v>
      </c>
      <c r="Q54" s="103">
        <f t="shared" si="43"/>
        <v>0.23362510547570101</v>
      </c>
      <c r="R54" s="103">
        <f t="shared" si="43"/>
        <v>0.2477678517405803</v>
      </c>
      <c r="S54" s="103">
        <f t="shared" si="43"/>
        <v>0.25692130144375541</v>
      </c>
      <c r="T54" s="103">
        <f t="shared" si="43"/>
        <v>0.25495087060081173</v>
      </c>
      <c r="U54" s="103">
        <f t="shared" si="43"/>
        <v>0.24581679015415805</v>
      </c>
      <c r="V54" s="103">
        <f t="shared" si="43"/>
        <v>0.14952012004528917</v>
      </c>
      <c r="W54" s="103">
        <f t="shared" ref="W54:Y54" si="44">IF(W8=0,0,W8/W$3)</f>
        <v>0.17917489082874691</v>
      </c>
      <c r="X54" s="103">
        <f t="shared" si="44"/>
        <v>0.24141354477152518</v>
      </c>
      <c r="Y54" s="103">
        <f t="shared" si="44"/>
        <v>0.24505991997035384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0.51582000112576676</v>
      </c>
      <c r="C55" s="103">
        <f t="shared" si="45"/>
        <v>0.53003333979083578</v>
      </c>
      <c r="D55" s="103">
        <f t="shared" ref="D55:V55" si="46">IF(D9=0,0,D9/D$3)</f>
        <v>0.54434761703837131</v>
      </c>
      <c r="E55" s="103">
        <f t="shared" si="46"/>
        <v>0.52581408764617354</v>
      </c>
      <c r="F55" s="103">
        <f t="shared" si="46"/>
        <v>0.53677617344594053</v>
      </c>
      <c r="G55" s="103">
        <f t="shared" si="46"/>
        <v>0.5300254629016331</v>
      </c>
      <c r="H55" s="103">
        <f t="shared" si="46"/>
        <v>0.52183614365641273</v>
      </c>
      <c r="I55" s="103">
        <f t="shared" si="46"/>
        <v>0.51816144417034937</v>
      </c>
      <c r="J55" s="103">
        <f t="shared" si="46"/>
        <v>0.52132117825161606</v>
      </c>
      <c r="K55" s="103">
        <f t="shared" si="46"/>
        <v>0.53720384334842497</v>
      </c>
      <c r="L55" s="103">
        <f t="shared" si="46"/>
        <v>0.52601317762282906</v>
      </c>
      <c r="M55" s="103">
        <f t="shared" si="46"/>
        <v>0.5276773273932519</v>
      </c>
      <c r="N55" s="103">
        <f t="shared" si="46"/>
        <v>0.54277899340475344</v>
      </c>
      <c r="O55" s="103">
        <f t="shared" si="46"/>
        <v>0.54558031783304728</v>
      </c>
      <c r="P55" s="103">
        <f t="shared" si="46"/>
        <v>0.54921820608018057</v>
      </c>
      <c r="Q55" s="103">
        <f t="shared" si="46"/>
        <v>0.547935878820905</v>
      </c>
      <c r="R55" s="103">
        <f t="shared" si="46"/>
        <v>0.54483445826136712</v>
      </c>
      <c r="S55" s="103">
        <f t="shared" si="46"/>
        <v>0.54394349465296654</v>
      </c>
      <c r="T55" s="103">
        <f t="shared" si="46"/>
        <v>0.54853195867841431</v>
      </c>
      <c r="U55" s="103">
        <f t="shared" si="46"/>
        <v>0.55836225699036646</v>
      </c>
      <c r="V55" s="103">
        <f t="shared" si="46"/>
        <v>0.43766508812603572</v>
      </c>
      <c r="W55" s="103">
        <f t="shared" ref="W55:Y55" si="47">IF(W9=0,0,W9/W$3)</f>
        <v>0.44960275496072466</v>
      </c>
      <c r="X55" s="103">
        <f t="shared" si="47"/>
        <v>0.50246318911357879</v>
      </c>
      <c r="Y55" s="103">
        <f t="shared" si="47"/>
        <v>0.53433427601174155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0.11795028679636285</v>
      </c>
      <c r="C56" s="17">
        <f t="shared" si="48"/>
        <v>0.11306819111912705</v>
      </c>
      <c r="D56" s="17">
        <f t="shared" ref="D56:V56" si="49">IF(D10=0,0,D10/D$3)</f>
        <v>0.11860640158862472</v>
      </c>
      <c r="E56" s="17">
        <f t="shared" si="49"/>
        <v>0.12517106444889536</v>
      </c>
      <c r="F56" s="17">
        <f t="shared" si="49"/>
        <v>0.12802681215988698</v>
      </c>
      <c r="G56" s="17">
        <f t="shared" si="49"/>
        <v>0.13863741578454741</v>
      </c>
      <c r="H56" s="17">
        <f t="shared" si="49"/>
        <v>0.14484294335916553</v>
      </c>
      <c r="I56" s="17">
        <f t="shared" si="49"/>
        <v>0.14578586237058083</v>
      </c>
      <c r="J56" s="17">
        <f t="shared" si="49"/>
        <v>0.14983134649339844</v>
      </c>
      <c r="K56" s="17">
        <f t="shared" si="49"/>
        <v>0.13978916197379432</v>
      </c>
      <c r="L56" s="17">
        <f t="shared" si="49"/>
        <v>0.16050722230226111</v>
      </c>
      <c r="M56" s="17">
        <f t="shared" si="49"/>
        <v>0.15936965645727466</v>
      </c>
      <c r="N56" s="17">
        <f t="shared" si="49"/>
        <v>0.14758112971123033</v>
      </c>
      <c r="O56" s="17">
        <f t="shared" si="49"/>
        <v>0.15165636474479172</v>
      </c>
      <c r="P56" s="17">
        <f t="shared" si="49"/>
        <v>0.13805010981648319</v>
      </c>
      <c r="Q56" s="17">
        <f t="shared" si="49"/>
        <v>0.13784691317825215</v>
      </c>
      <c r="R56" s="17">
        <f t="shared" si="49"/>
        <v>0.12735004652255391</v>
      </c>
      <c r="S56" s="17">
        <f t="shared" si="49"/>
        <v>0.13559753464205532</v>
      </c>
      <c r="T56" s="17">
        <f t="shared" si="49"/>
        <v>0.13664727680131236</v>
      </c>
      <c r="U56" s="17">
        <f t="shared" si="49"/>
        <v>0.12832045669197634</v>
      </c>
      <c r="V56" s="17">
        <f t="shared" si="49"/>
        <v>0.35705439284581031</v>
      </c>
      <c r="W56" s="17">
        <f t="shared" ref="W56:Y56" si="50">IF(W10=0,0,W10/W$3)</f>
        <v>0.33578602291185178</v>
      </c>
      <c r="X56" s="17">
        <f t="shared" si="50"/>
        <v>0.22206063122483247</v>
      </c>
      <c r="Y56" s="17">
        <f t="shared" si="50"/>
        <v>0.18509806635267553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6.8480721978272556E-3</v>
      </c>
      <c r="C57" s="104">
        <f t="shared" si="51"/>
        <v>6.6982845580753477E-3</v>
      </c>
      <c r="D57" s="104">
        <f t="shared" ref="D57:V57" si="52">IF(D11=0,0,D11/D$3)</f>
        <v>5.8664846812470509E-3</v>
      </c>
      <c r="E57" s="104">
        <f t="shared" si="52"/>
        <v>4.3992054741471857E-3</v>
      </c>
      <c r="F57" s="104">
        <f t="shared" si="52"/>
        <v>3.9112725802866862E-3</v>
      </c>
      <c r="G57" s="104">
        <f t="shared" si="52"/>
        <v>3.3162533551834095E-3</v>
      </c>
      <c r="H57" s="104">
        <f t="shared" si="52"/>
        <v>3.4356225210001277E-3</v>
      </c>
      <c r="I57" s="104">
        <f t="shared" si="52"/>
        <v>3.257846523999981E-3</v>
      </c>
      <c r="J57" s="104">
        <f t="shared" si="52"/>
        <v>4.0723747815128537E-3</v>
      </c>
      <c r="K57" s="104">
        <f t="shared" si="52"/>
        <v>3.6897171531718224E-3</v>
      </c>
      <c r="L57" s="104">
        <f t="shared" si="52"/>
        <v>3.325766012236542E-3</v>
      </c>
      <c r="M57" s="104">
        <f t="shared" si="52"/>
        <v>2.6745372024986587E-3</v>
      </c>
      <c r="N57" s="104">
        <f t="shared" si="52"/>
        <v>2.4749929748576461E-3</v>
      </c>
      <c r="O57" s="104">
        <f t="shared" si="52"/>
        <v>2.3160538617953592E-3</v>
      </c>
      <c r="P57" s="104">
        <f t="shared" si="52"/>
        <v>2.8550527530905004E-3</v>
      </c>
      <c r="Q57" s="104">
        <f t="shared" si="52"/>
        <v>2.9025392623457796E-3</v>
      </c>
      <c r="R57" s="104">
        <f t="shared" si="52"/>
        <v>2.6498255661479208E-3</v>
      </c>
      <c r="S57" s="104">
        <f t="shared" si="52"/>
        <v>2.4981426752906512E-3</v>
      </c>
      <c r="T57" s="104">
        <f t="shared" si="52"/>
        <v>2.2802237532675456E-3</v>
      </c>
      <c r="U57" s="104">
        <f t="shared" si="52"/>
        <v>2.2686554956848613E-3</v>
      </c>
      <c r="V57" s="104">
        <f t="shared" si="52"/>
        <v>5.3594129278450153E-3</v>
      </c>
      <c r="W57" s="104">
        <f t="shared" ref="W57:Y57" si="53">IF(W11=0,0,W11/W$3)</f>
        <v>4.6681939877385014E-3</v>
      </c>
      <c r="X57" s="104">
        <f t="shared" si="53"/>
        <v>2.5989910639978974E-3</v>
      </c>
      <c r="Y57" s="104">
        <f t="shared" si="53"/>
        <v>2.3503802686998744E-3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9.4289030600502657E-3</v>
      </c>
      <c r="C58" s="104">
        <f t="shared" si="54"/>
        <v>9.2654065152107147E-3</v>
      </c>
      <c r="D58" s="104">
        <f t="shared" ref="D58:V58" si="55">IF(D12=0,0,D12/D$3)</f>
        <v>9.342484071915071E-3</v>
      </c>
      <c r="E58" s="104">
        <f t="shared" si="55"/>
        <v>9.1316439791981081E-3</v>
      </c>
      <c r="F58" s="104">
        <f t="shared" si="55"/>
        <v>9.8948097623916161E-3</v>
      </c>
      <c r="G58" s="104">
        <f t="shared" si="55"/>
        <v>1.0288447402502168E-2</v>
      </c>
      <c r="H58" s="104">
        <f t="shared" si="55"/>
        <v>1.1480616311178986E-2</v>
      </c>
      <c r="I58" s="104">
        <f t="shared" si="55"/>
        <v>1.2439656346821345E-2</v>
      </c>
      <c r="J58" s="104">
        <f t="shared" si="55"/>
        <v>1.4035858639113072E-2</v>
      </c>
      <c r="K58" s="104">
        <f t="shared" si="55"/>
        <v>1.4856956209815182E-2</v>
      </c>
      <c r="L58" s="104">
        <f t="shared" si="55"/>
        <v>1.525022447907623E-2</v>
      </c>
      <c r="M58" s="104">
        <f t="shared" si="55"/>
        <v>1.4429825802123061E-2</v>
      </c>
      <c r="N58" s="104">
        <f t="shared" si="55"/>
        <v>1.4197040629390119E-2</v>
      </c>
      <c r="O58" s="104">
        <f t="shared" si="55"/>
        <v>1.4225270482340339E-2</v>
      </c>
      <c r="P58" s="104">
        <f t="shared" si="55"/>
        <v>1.3150307477780433E-2</v>
      </c>
      <c r="Q58" s="104">
        <f t="shared" si="55"/>
        <v>1.3281144718295876E-2</v>
      </c>
      <c r="R58" s="104">
        <f t="shared" si="55"/>
        <v>1.2442362738662163E-2</v>
      </c>
      <c r="S58" s="104">
        <f t="shared" si="55"/>
        <v>1.4099669840790674E-2</v>
      </c>
      <c r="T58" s="104">
        <f t="shared" si="55"/>
        <v>1.3875550363060164E-2</v>
      </c>
      <c r="U58" s="104">
        <f t="shared" si="55"/>
        <v>1.3430344737602419E-2</v>
      </c>
      <c r="V58" s="104">
        <f t="shared" si="55"/>
        <v>2.3369512534552186E-2</v>
      </c>
      <c r="W58" s="104">
        <f t="shared" ref="W58:Y58" si="56">IF(W12=0,0,W12/W$3)</f>
        <v>2.6959841802637382E-2</v>
      </c>
      <c r="X58" s="104">
        <f t="shared" si="56"/>
        <v>2.1285033119396852E-2</v>
      </c>
      <c r="Y58" s="104">
        <f t="shared" si="56"/>
        <v>1.8809547130595638E-2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0.10167331153848531</v>
      </c>
      <c r="C59" s="105">
        <f t="shared" si="57"/>
        <v>9.7104500045840994E-2</v>
      </c>
      <c r="D59" s="105">
        <f t="shared" ref="D59:V59" si="58">IF(D13=0,0,D13/D$3)</f>
        <v>0.1033974328354626</v>
      </c>
      <c r="E59" s="105">
        <f t="shared" si="58"/>
        <v>0.11164021499555009</v>
      </c>
      <c r="F59" s="105">
        <f t="shared" si="58"/>
        <v>0.11422072981720868</v>
      </c>
      <c r="G59" s="105">
        <f t="shared" si="58"/>
        <v>0.12503271502686183</v>
      </c>
      <c r="H59" s="105">
        <f t="shared" si="58"/>
        <v>0.12992670452698643</v>
      </c>
      <c r="I59" s="105">
        <f t="shared" si="58"/>
        <v>0.13008835949975953</v>
      </c>
      <c r="J59" s="105">
        <f t="shared" si="58"/>
        <v>0.13172311307277251</v>
      </c>
      <c r="K59" s="105">
        <f t="shared" si="58"/>
        <v>0.1212424886108073</v>
      </c>
      <c r="L59" s="105">
        <f t="shared" si="58"/>
        <v>0.14193123181094833</v>
      </c>
      <c r="M59" s="105">
        <f t="shared" si="58"/>
        <v>0.14226529345265293</v>
      </c>
      <c r="N59" s="105">
        <f t="shared" si="58"/>
        <v>0.13090909610698256</v>
      </c>
      <c r="O59" s="105">
        <f t="shared" si="58"/>
        <v>0.13511504040065603</v>
      </c>
      <c r="P59" s="105">
        <f t="shared" si="58"/>
        <v>0.12204474958561225</v>
      </c>
      <c r="Q59" s="105">
        <f t="shared" si="58"/>
        <v>0.12166322919761048</v>
      </c>
      <c r="R59" s="105">
        <f t="shared" si="58"/>
        <v>0.11225785821774384</v>
      </c>
      <c r="S59" s="105">
        <f t="shared" si="58"/>
        <v>0.118999722125974</v>
      </c>
      <c r="T59" s="105">
        <f t="shared" si="58"/>
        <v>0.12049150268498464</v>
      </c>
      <c r="U59" s="105">
        <f t="shared" si="58"/>
        <v>0.11262145645868907</v>
      </c>
      <c r="V59" s="105">
        <f t="shared" si="58"/>
        <v>0.32832546738341312</v>
      </c>
      <c r="W59" s="105">
        <f t="shared" ref="W59:Y59" si="59">IF(W13=0,0,W13/W$3)</f>
        <v>0.3041579871214759</v>
      </c>
      <c r="X59" s="105">
        <f t="shared" si="59"/>
        <v>0.19817660704143772</v>
      </c>
      <c r="Y59" s="105">
        <f t="shared" si="59"/>
        <v>0.16393813895338002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107950422</v>
      </c>
      <c r="C4" s="11">
        <f t="shared" si="0"/>
        <v>104751901</v>
      </c>
      <c r="D4" s="11">
        <f t="shared" ref="D4" si="1">SUM(D5:D7)</f>
        <v>101777613</v>
      </c>
      <c r="E4" s="11">
        <f t="shared" ref="E4" si="2">SUM(E5:E7)</f>
        <v>106532199</v>
      </c>
      <c r="F4" s="11">
        <f t="shared" ref="F4" si="3">SUM(F5:F7)</f>
        <v>113717313</v>
      </c>
      <c r="G4" s="11">
        <f t="shared" ref="G4" si="4">SUM(G5:G7)</f>
        <v>120105529</v>
      </c>
      <c r="H4" s="11">
        <f t="shared" ref="H4" si="5">SUM(H5:H7)</f>
        <v>125359675</v>
      </c>
      <c r="I4" s="11">
        <f t="shared" ref="I4" si="6">SUM(I5:I7)</f>
        <v>131250636</v>
      </c>
      <c r="J4" s="11">
        <f t="shared" ref="J4" si="7">SUM(J5:J7)</f>
        <v>133053431</v>
      </c>
      <c r="K4" s="11">
        <f t="shared" ref="K4" si="8">SUM(K5:K7)</f>
        <v>128666883</v>
      </c>
      <c r="L4" s="11">
        <f t="shared" ref="L4" si="9">SUM(L5:L7)</f>
        <v>132780039</v>
      </c>
      <c r="M4" s="11">
        <f t="shared" ref="M4" si="10">SUM(M5:M7)</f>
        <v>138351774</v>
      </c>
      <c r="N4" s="11">
        <f t="shared" ref="N4" si="11">SUM(N5:N7)</f>
        <v>137974696</v>
      </c>
      <c r="O4" s="11">
        <f t="shared" ref="O4" si="12">SUM(O5:O7)</f>
        <v>135236070</v>
      </c>
      <c r="P4" s="11">
        <f t="shared" ref="P4" si="13">SUM(P5:P7)</f>
        <v>138280627</v>
      </c>
      <c r="Q4" s="11">
        <f t="shared" ref="Q4" si="14">SUM(Q5:Q7)</f>
        <v>141760456</v>
      </c>
      <c r="R4" s="11">
        <f t="shared" ref="R4" si="15">SUM(R5:R7)</f>
        <v>148063836</v>
      </c>
      <c r="S4" s="11">
        <f t="shared" ref="S4" si="16">SUM(S5:S7)</f>
        <v>152279509</v>
      </c>
      <c r="T4" s="11">
        <f t="shared" ref="T4" si="17">SUM(T5:T7)</f>
        <v>157812587</v>
      </c>
      <c r="U4" s="11">
        <f t="shared" ref="U4" si="18">SUM(U5:U7)</f>
        <v>159897201</v>
      </c>
      <c r="V4" s="11">
        <f t="shared" ref="V4:W4" si="19">SUM(V5:V7)</f>
        <v>53012242</v>
      </c>
      <c r="W4" s="11">
        <f t="shared" si="19"/>
        <v>59670954</v>
      </c>
      <c r="X4" s="11">
        <f t="shared" ref="X4:Y4" si="20">SUM(X5:X7)</f>
        <v>106544533</v>
      </c>
      <c r="Y4" s="11">
        <f t="shared" si="20"/>
        <v>121507554</v>
      </c>
      <c r="DA4" s="189" t="s">
        <v>362</v>
      </c>
    </row>
    <row r="5" spans="1:105" ht="11.45" customHeight="1" x14ac:dyDescent="0.25">
      <c r="A5" s="83" t="s">
        <v>27</v>
      </c>
      <c r="B5" s="84">
        <v>35667467</v>
      </c>
      <c r="C5" s="84">
        <v>33426889</v>
      </c>
      <c r="D5" s="84">
        <v>34070118</v>
      </c>
      <c r="E5" s="84">
        <v>34952765</v>
      </c>
      <c r="F5" s="84">
        <v>34138776</v>
      </c>
      <c r="G5" s="84">
        <v>34203737</v>
      </c>
      <c r="H5" s="84">
        <v>34765686</v>
      </c>
      <c r="I5" s="84">
        <v>36111680</v>
      </c>
      <c r="J5" s="84">
        <v>36982747</v>
      </c>
      <c r="K5" s="84">
        <v>36184728</v>
      </c>
      <c r="L5" s="84">
        <v>36570694</v>
      </c>
      <c r="M5" s="84">
        <v>37089764</v>
      </c>
      <c r="N5" s="84">
        <v>35325074</v>
      </c>
      <c r="O5" s="84">
        <v>32399673</v>
      </c>
      <c r="P5" s="84">
        <v>32678059</v>
      </c>
      <c r="Q5" s="84">
        <v>32607093</v>
      </c>
      <c r="R5" s="84">
        <v>33912127</v>
      </c>
      <c r="S5" s="84">
        <v>33409982</v>
      </c>
      <c r="T5" s="84">
        <v>33565905</v>
      </c>
      <c r="U5" s="84">
        <v>33704091</v>
      </c>
      <c r="V5" s="84">
        <v>11241990</v>
      </c>
      <c r="W5" s="84">
        <v>8315531</v>
      </c>
      <c r="X5" s="84">
        <v>14580799</v>
      </c>
      <c r="Y5" s="84">
        <v>16346650</v>
      </c>
      <c r="DA5" s="171" t="s">
        <v>363</v>
      </c>
    </row>
    <row r="6" spans="1:105" ht="11.45" customHeight="1" x14ac:dyDescent="0.25">
      <c r="A6" s="83" t="s">
        <v>181</v>
      </c>
      <c r="B6" s="84">
        <v>51550948</v>
      </c>
      <c r="C6" s="84">
        <v>49874355</v>
      </c>
      <c r="D6" s="84">
        <v>46435680</v>
      </c>
      <c r="E6" s="84">
        <v>50522586</v>
      </c>
      <c r="F6" s="84">
        <v>55123409</v>
      </c>
      <c r="G6" s="84">
        <v>59728007</v>
      </c>
      <c r="H6" s="84">
        <v>63267878</v>
      </c>
      <c r="I6" s="84">
        <v>66173612</v>
      </c>
      <c r="J6" s="84">
        <v>65946744</v>
      </c>
      <c r="K6" s="84">
        <v>62172642</v>
      </c>
      <c r="L6" s="84">
        <v>63687973</v>
      </c>
      <c r="M6" s="84">
        <v>67711397</v>
      </c>
      <c r="N6" s="84">
        <v>67577951</v>
      </c>
      <c r="O6" s="84">
        <v>68008495</v>
      </c>
      <c r="P6" s="84">
        <v>69838915</v>
      </c>
      <c r="Q6" s="84">
        <v>72331132</v>
      </c>
      <c r="R6" s="84">
        <v>77984256</v>
      </c>
      <c r="S6" s="84">
        <v>81428065</v>
      </c>
      <c r="T6" s="84">
        <v>84228790</v>
      </c>
      <c r="U6" s="84">
        <v>83995637</v>
      </c>
      <c r="V6" s="84">
        <v>28094014</v>
      </c>
      <c r="W6" s="84">
        <v>32586015</v>
      </c>
      <c r="X6" s="84">
        <v>60570966</v>
      </c>
      <c r="Y6" s="84">
        <v>67815374</v>
      </c>
      <c r="DA6" s="171" t="s">
        <v>364</v>
      </c>
    </row>
    <row r="7" spans="1:105" ht="11.45" customHeight="1" x14ac:dyDescent="0.25">
      <c r="A7" s="85" t="s">
        <v>182</v>
      </c>
      <c r="B7" s="86">
        <v>20732007</v>
      </c>
      <c r="C7" s="86">
        <v>21450657</v>
      </c>
      <c r="D7" s="86">
        <v>21271815</v>
      </c>
      <c r="E7" s="86">
        <v>21056848</v>
      </c>
      <c r="F7" s="86">
        <v>24455128</v>
      </c>
      <c r="G7" s="86">
        <v>26173785</v>
      </c>
      <c r="H7" s="86">
        <v>27326111</v>
      </c>
      <c r="I7" s="86">
        <v>28965344</v>
      </c>
      <c r="J7" s="86">
        <v>30123940</v>
      </c>
      <c r="K7" s="86">
        <v>30309513</v>
      </c>
      <c r="L7" s="86">
        <v>32521372</v>
      </c>
      <c r="M7" s="86">
        <v>33550613</v>
      </c>
      <c r="N7" s="86">
        <v>35071671</v>
      </c>
      <c r="O7" s="86">
        <v>34827902</v>
      </c>
      <c r="P7" s="86">
        <v>35763653</v>
      </c>
      <c r="Q7" s="86">
        <v>36822231</v>
      </c>
      <c r="R7" s="86">
        <v>36167453</v>
      </c>
      <c r="S7" s="86">
        <v>37441462</v>
      </c>
      <c r="T7" s="86">
        <v>40017892</v>
      </c>
      <c r="U7" s="86">
        <v>42197473</v>
      </c>
      <c r="V7" s="86">
        <v>13676238</v>
      </c>
      <c r="W7" s="86">
        <v>18769408</v>
      </c>
      <c r="X7" s="86">
        <v>31392768</v>
      </c>
      <c r="Y7" s="86">
        <v>37345530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121.08648985154484</v>
      </c>
      <c r="C12" s="14">
        <f>IF(C4=0,0,C4/TrAvia_act!C24)</f>
        <v>122.80338450536632</v>
      </c>
      <c r="D12" s="14">
        <f>IF(D4=0,0,D4/TrAvia_act!D24)</f>
        <v>121.79440101190569</v>
      </c>
      <c r="E12" s="14">
        <f>IF(E4=0,0,E4/TrAvia_act!E24)</f>
        <v>121.62431728301473</v>
      </c>
      <c r="F12" s="14">
        <f>IF(F4=0,0,F4/TrAvia_act!F24)</f>
        <v>121.8575169926243</v>
      </c>
      <c r="G12" s="14">
        <f>IF(G4=0,0,G4/TrAvia_act!G24)</f>
        <v>123.7667984311915</v>
      </c>
      <c r="H12" s="14">
        <f>IF(H4=0,0,H4/TrAvia_act!H24)</f>
        <v>125.49307413780849</v>
      </c>
      <c r="I12" s="14">
        <f>IF(I4=0,0,I4/TrAvia_act!I24)</f>
        <v>127.280502564023</v>
      </c>
      <c r="J12" s="14">
        <f>IF(J4=0,0,J4/TrAvia_act!J24)</f>
        <v>129.1434829113752</v>
      </c>
      <c r="K12" s="14">
        <f>IF(K4=0,0,K4/TrAvia_act!K24)</f>
        <v>133.89661706950056</v>
      </c>
      <c r="L12" s="14">
        <f>IF(L4=0,0,L4/TrAvia_act!L24)</f>
        <v>138.62357727651417</v>
      </c>
      <c r="M12" s="14">
        <f>IF(M4=0,0,M4/TrAvia_act!M24)</f>
        <v>133.60415051157131</v>
      </c>
      <c r="N12" s="14">
        <f>IF(N4=0,0,N4/TrAvia_act!N24)</f>
        <v>136.79470487574184</v>
      </c>
      <c r="O12" s="14">
        <f>IF(O4=0,0,O4/TrAvia_act!O24)</f>
        <v>140.01173010205085</v>
      </c>
      <c r="P12" s="14">
        <f>IF(P4=0,0,P4/TrAvia_act!P24)</f>
        <v>151.00622346373595</v>
      </c>
      <c r="Q12" s="14">
        <f>IF(Q4=0,0,Q4/TrAvia_act!Q24)</f>
        <v>154.04726593062679</v>
      </c>
      <c r="R12" s="14">
        <f>IF(R4=0,0,R4/TrAvia_act!R24)</f>
        <v>157.21534099958589</v>
      </c>
      <c r="S12" s="14">
        <f>IF(S4=0,0,S4/TrAvia_act!S24)</f>
        <v>159.75844064012691</v>
      </c>
      <c r="T12" s="14">
        <f>IF(T4=0,0,T4/TrAvia_act!T24)</f>
        <v>159.48704144816426</v>
      </c>
      <c r="U12" s="14">
        <f>IF(U4=0,0,U4/TrAvia_act!U24)</f>
        <v>161.7459572918458</v>
      </c>
      <c r="V12" s="14">
        <f>IF(V4=0,0,V4/TrAvia_act!V24)</f>
        <v>156.11442016885911</v>
      </c>
      <c r="W12" s="14">
        <f>IF(W4=0,0,W4/TrAvia_act!W24)</f>
        <v>158.17350298210735</v>
      </c>
      <c r="X12" s="14">
        <f>IF(X4=0,0,X4/TrAvia_act!X24)</f>
        <v>164.28949896456069</v>
      </c>
      <c r="Y12" s="14">
        <f>IF(Y4=0,0,Y4/TrAvia_act!Y24)</f>
        <v>168.16164934870821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108.19864522156968</v>
      </c>
      <c r="C13" s="87">
        <f>IF(C5=0,0,C5/TrAvia_act!C25)</f>
        <v>108.73715559025406</v>
      </c>
      <c r="D13" s="87">
        <f>IF(D5=0,0,D5/TrAvia_act!D25)</f>
        <v>108.31452751249412</v>
      </c>
      <c r="E13" s="87">
        <f>IF(E5=0,0,E5/TrAvia_act!E25)</f>
        <v>108.09342305872457</v>
      </c>
      <c r="F13" s="87">
        <f>IF(F5=0,0,F5/TrAvia_act!F25)</f>
        <v>104.37726365223453</v>
      </c>
      <c r="G13" s="87">
        <f>IF(G5=0,0,G5/TrAvia_act!G25)</f>
        <v>104.04526691387393</v>
      </c>
      <c r="H13" s="87">
        <f>IF(H5=0,0,H5/TrAvia_act!H25)</f>
        <v>105.69455135805622</v>
      </c>
      <c r="I13" s="87">
        <f>IF(I5=0,0,I5/TrAvia_act!I25)</f>
        <v>108.64544002214326</v>
      </c>
      <c r="J13" s="87">
        <f>IF(J5=0,0,J5/TrAvia_act!J25)</f>
        <v>113.14933501402788</v>
      </c>
      <c r="K13" s="87">
        <f>IF(K5=0,0,K5/TrAvia_act!K25)</f>
        <v>119.56518061301365</v>
      </c>
      <c r="L13" s="87">
        <f>IF(L5=0,0,L5/TrAvia_act!L25)</f>
        <v>122.68792501316766</v>
      </c>
      <c r="M13" s="87">
        <f>IF(M5=0,0,M5/TrAvia_act!M25)</f>
        <v>106.97478909190545</v>
      </c>
      <c r="N13" s="87">
        <f>IF(N5=0,0,N5/TrAvia_act!N25)</f>
        <v>108.5786113646912</v>
      </c>
      <c r="O13" s="87">
        <f>IF(O5=0,0,O5/TrAvia_act!O25)</f>
        <v>108.64061389272636</v>
      </c>
      <c r="P13" s="87">
        <f>IF(P5=0,0,P5/TrAvia_act!P25)</f>
        <v>132.33144354319452</v>
      </c>
      <c r="Q13" s="87">
        <f>IF(Q5=0,0,Q5/TrAvia_act!Q25)</f>
        <v>135.67633254275373</v>
      </c>
      <c r="R13" s="87">
        <f>IF(R5=0,0,R5/TrAvia_act!R25)</f>
        <v>139.40806468852</v>
      </c>
      <c r="S13" s="87">
        <f>IF(S5=0,0,S5/TrAvia_act!S25)</f>
        <v>143.07301823850085</v>
      </c>
      <c r="T13" s="87">
        <f>IF(T5=0,0,T5/TrAvia_act!T25)</f>
        <v>139.61245227142274</v>
      </c>
      <c r="U13" s="87">
        <f>IF(U5=0,0,U5/TrAvia_act!U25)</f>
        <v>139.97529341406891</v>
      </c>
      <c r="V13" s="87">
        <f>IF(V5=0,0,V5/TrAvia_act!V25)</f>
        <v>131.54988415361933</v>
      </c>
      <c r="W13" s="87">
        <f>IF(W5=0,0,W5/TrAvia_act!W25)</f>
        <v>124.33695180848996</v>
      </c>
      <c r="X13" s="87">
        <f>IF(X5=0,0,X5/TrAvia_act!X25)</f>
        <v>129.79631640791911</v>
      </c>
      <c r="Y13" s="87">
        <f>IF(Y5=0,0,Y5/TrAvia_act!Y25)</f>
        <v>133.46383082952318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111.30291757258307</v>
      </c>
      <c r="C14" s="87">
        <f>IF(C6=0,0,C6/TrAvia_act!C26)</f>
        <v>112.02358197087686</v>
      </c>
      <c r="D14" s="87">
        <f>IF(D6=0,0,D6/TrAvia_act!D26)</f>
        <v>111.55022148766683</v>
      </c>
      <c r="E14" s="87">
        <f>IF(E6=0,0,E6/TrAvia_act!E26)</f>
        <v>112.39354860238257</v>
      </c>
      <c r="F14" s="87">
        <f>IF(F6=0,0,F6/TrAvia_act!F26)</f>
        <v>112.80408664422457</v>
      </c>
      <c r="G14" s="87">
        <f>IF(G6=0,0,G6/TrAvia_act!G26)</f>
        <v>115.50906910856048</v>
      </c>
      <c r="H14" s="87">
        <f>IF(H6=0,0,H6/TrAvia_act!H26)</f>
        <v>117.02988644372222</v>
      </c>
      <c r="I14" s="87">
        <f>IF(I6=0,0,I6/TrAvia_act!I26)</f>
        <v>118.51572750571771</v>
      </c>
      <c r="J14" s="87">
        <f>IF(J6=0,0,J6/TrAvia_act!J26)</f>
        <v>118.43692181699649</v>
      </c>
      <c r="K14" s="87">
        <f>IF(K6=0,0,K6/TrAvia_act!K26)</f>
        <v>121.27058947446443</v>
      </c>
      <c r="L14" s="87">
        <f>IF(L6=0,0,L6/TrAvia_act!L26)</f>
        <v>126.08284038897072</v>
      </c>
      <c r="M14" s="87">
        <f>IF(M6=0,0,M6/TrAvia_act!M26)</f>
        <v>128.3112701625129</v>
      </c>
      <c r="N14" s="87">
        <f>IF(N6=0,0,N6/TrAvia_act!N26)</f>
        <v>131.10730831910601</v>
      </c>
      <c r="O14" s="87">
        <f>IF(O6=0,0,O6/TrAvia_act!O26)</f>
        <v>135.2541565570184</v>
      </c>
      <c r="P14" s="87">
        <f>IF(P6=0,0,P6/TrAvia_act!P26)</f>
        <v>139.10721221549204</v>
      </c>
      <c r="Q14" s="87">
        <f>IF(Q6=0,0,Q6/TrAvia_act!Q26)</f>
        <v>141.7012741748425</v>
      </c>
      <c r="R14" s="87">
        <f>IF(R6=0,0,R6/TrAvia_act!R26)</f>
        <v>145.2061244667718</v>
      </c>
      <c r="S14" s="87">
        <f>IF(S6=0,0,S6/TrAvia_act!S26)</f>
        <v>147.30193000323808</v>
      </c>
      <c r="T14" s="87">
        <f>IF(T6=0,0,T6/TrAvia_act!T26)</f>
        <v>148.07530976189472</v>
      </c>
      <c r="U14" s="87">
        <f>IF(U6=0,0,U6/TrAvia_act!U26)</f>
        <v>150.19846360448545</v>
      </c>
      <c r="V14" s="87">
        <f>IF(V6=0,0,V6/TrAvia_act!V26)</f>
        <v>146.77094674370736</v>
      </c>
      <c r="W14" s="87">
        <f>IF(W6=0,0,W6/TrAvia_act!W26)</f>
        <v>147.5829264757833</v>
      </c>
      <c r="X14" s="87">
        <f>IF(X6=0,0,X6/TrAvia_act!X26)</f>
        <v>153.38887524215912</v>
      </c>
      <c r="Y14" s="87">
        <f>IF(Y6=0,0,Y6/TrAvia_act!Y26)</f>
        <v>155.54091885953343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210.03370547473355</v>
      </c>
      <c r="C15" s="88">
        <f>IF(C7=0,0,C7/TrAvia_act!C27)</f>
        <v>213.69027315654202</v>
      </c>
      <c r="D15" s="88">
        <f>IF(D7=0,0,D7/TrAvia_act!D27)</f>
        <v>202.923054174974</v>
      </c>
      <c r="E15" s="88">
        <f>IF(E7=0,0,E7/TrAvia_act!E27)</f>
        <v>204.35605590062113</v>
      </c>
      <c r="F15" s="88">
        <f>IF(F7=0,0,F7/TrAvia_act!F27)</f>
        <v>208.19430799485795</v>
      </c>
      <c r="G15" s="88">
        <f>IF(G7=0,0,G7/TrAvia_act!G27)</f>
        <v>210.0725957911296</v>
      </c>
      <c r="H15" s="88">
        <f>IF(H7=0,0,H7/TrAvia_act!H27)</f>
        <v>211.17877401505433</v>
      </c>
      <c r="I15" s="88">
        <f>IF(I7=0,0,I7/TrAvia_act!I27)</f>
        <v>206.220678067465</v>
      </c>
      <c r="J15" s="88">
        <f>IF(J7=0,0,J7/TrAvia_act!J27)</f>
        <v>205.45867492395203</v>
      </c>
      <c r="K15" s="88">
        <f>IF(K7=0,0,K7/TrAvia_act!K27)</f>
        <v>208.12827802154791</v>
      </c>
      <c r="L15" s="88">
        <f>IF(L7=0,0,L7/TrAvia_act!L27)</f>
        <v>210.30511061245869</v>
      </c>
      <c r="M15" s="88">
        <f>IF(M7=0,0,M7/TrAvia_act!M27)</f>
        <v>208.24920550189935</v>
      </c>
      <c r="N15" s="88">
        <f>IF(N7=0,0,N7/TrAvia_act!N27)</f>
        <v>208.95273019750366</v>
      </c>
      <c r="O15" s="88">
        <f>IF(O7=0,0,O7/TrAvia_act!O27)</f>
        <v>211.2792293272993</v>
      </c>
      <c r="P15" s="88">
        <f>IF(P7=0,0,P7/TrAvia_act!P27)</f>
        <v>214.4926890413588</v>
      </c>
      <c r="Q15" s="88">
        <f>IF(Q7=0,0,Q7/TrAvia_act!Q27)</f>
        <v>217.2890146463514</v>
      </c>
      <c r="R15" s="88">
        <f>IF(R7=0,0,R7/TrAvia_act!R27)</f>
        <v>223.98452372842519</v>
      </c>
      <c r="S15" s="88">
        <f>IF(S7=0,0,S7/TrAvia_act!S27)</f>
        <v>224.3723452706266</v>
      </c>
      <c r="T15" s="88">
        <f>IF(T7=0,0,T7/TrAvia_act!T27)</f>
        <v>222.0071121466811</v>
      </c>
      <c r="U15" s="88">
        <f>IF(U7=0,0,U7/TrAvia_act!U27)</f>
        <v>223.79634903714074</v>
      </c>
      <c r="V15" s="88">
        <f>IF(V7=0,0,V7/TrAvia_act!V27)</f>
        <v>218.11833942042392</v>
      </c>
      <c r="W15" s="88">
        <f>IF(W7=0,0,W7/TrAvia_act!W27)</f>
        <v>209.54314358121309</v>
      </c>
      <c r="X15" s="88">
        <f>IF(X7=0,0,X7/TrAvia_act!X27)</f>
        <v>222.17732986071792</v>
      </c>
      <c r="Y15" s="88">
        <f>IF(Y7=0,0,Y7/TrAvia_act!Y27)</f>
        <v>227.59590948704042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0.66890941843654861</v>
      </c>
      <c r="C18" s="25">
        <f>IF(TrAvia_act!C34=0,0,(TrAvia_act!C34/TrAvia_act!C24)/TrAvia_png!C12)</f>
        <v>0.66868511531833685</v>
      </c>
      <c r="D18" s="25">
        <f>IF(TrAvia_act!D34=0,0,(TrAvia_act!D34/TrAvia_act!D24)/TrAvia_png!D12)</f>
        <v>0.67849939652249458</v>
      </c>
      <c r="E18" s="25">
        <f>IF(TrAvia_act!E34=0,0,(TrAvia_act!E34/TrAvia_act!E24)/TrAvia_png!E12)</f>
        <v>0.68206372985880082</v>
      </c>
      <c r="F18" s="25">
        <f>IF(TrAvia_act!F34=0,0,(TrAvia_act!F34/TrAvia_act!F24)/TrAvia_png!F12)</f>
        <v>0.70364762311962115</v>
      </c>
      <c r="G18" s="25">
        <f>IF(TrAvia_act!G34=0,0,(TrAvia_act!G34/TrAvia_act!G24)/TrAvia_png!G12)</f>
        <v>0.70934303948655031</v>
      </c>
      <c r="H18" s="25">
        <f>IF(TrAvia_act!H34=0,0,(TrAvia_act!H34/TrAvia_act!H24)/TrAvia_png!H12)</f>
        <v>0.71511421037107825</v>
      </c>
      <c r="I18" s="25">
        <f>IF(TrAvia_act!I34=0,0,(TrAvia_act!I34/TrAvia_act!I24)/TrAvia_png!I12)</f>
        <v>0.7246767931852155</v>
      </c>
      <c r="J18" s="25">
        <f>IF(TrAvia_act!J34=0,0,(TrAvia_act!J34/TrAvia_act!J24)/TrAvia_png!J12)</f>
        <v>0.72391019364243225</v>
      </c>
      <c r="K18" s="25">
        <f>IF(TrAvia_act!K34=0,0,(TrAvia_act!K34/TrAvia_act!K24)/TrAvia_png!K12)</f>
        <v>0.71720968790391837</v>
      </c>
      <c r="L18" s="25">
        <f>IF(TrAvia_act!L34=0,0,(TrAvia_act!L34/TrAvia_act!L24)/TrAvia_png!L12)</f>
        <v>0.72792688364852798</v>
      </c>
      <c r="M18" s="25">
        <f>IF(TrAvia_act!M34=0,0,(TrAvia_act!M34/TrAvia_act!M24)/TrAvia_png!M12)</f>
        <v>0.72753014355999523</v>
      </c>
      <c r="N18" s="25">
        <f>IF(TrAvia_act!N34=0,0,(TrAvia_act!N34/TrAvia_act!N24)/TrAvia_png!N12)</f>
        <v>0.73763929873054412</v>
      </c>
      <c r="O18" s="25">
        <f>IF(TrAvia_act!O34=0,0,(TrAvia_act!O34/TrAvia_act!O24)/TrAvia_png!O12)</f>
        <v>0.75522646435969343</v>
      </c>
      <c r="P18" s="25">
        <f>IF(TrAvia_act!P34=0,0,(TrAvia_act!P34/TrAvia_act!P24)/TrAvia_png!P12)</f>
        <v>0.75853701473309065</v>
      </c>
      <c r="Q18" s="25">
        <f>IF(TrAvia_act!Q34=0,0,(TrAvia_act!Q34/TrAvia_act!Q24)/TrAvia_png!Q12)</f>
        <v>0.76673757313534596</v>
      </c>
      <c r="R18" s="25">
        <f>IF(TrAvia_act!R34=0,0,(TrAvia_act!R34/TrAvia_act!R24)/TrAvia_png!R12)</f>
        <v>0.75895124046360651</v>
      </c>
      <c r="S18" s="25">
        <f>IF(TrAvia_act!S34=0,0,(TrAvia_act!S34/TrAvia_act!S24)/TrAvia_png!S12)</f>
        <v>0.77511487116759747</v>
      </c>
      <c r="T18" s="25">
        <f>IF(TrAvia_act!T34=0,0,(TrAvia_act!T34/TrAvia_act!T24)/TrAvia_png!T12)</f>
        <v>0.77903569250784799</v>
      </c>
      <c r="U18" s="25">
        <f>IF(TrAvia_act!U34=0,0,(TrAvia_act!U34/TrAvia_act!U24)/TrAvia_png!U12)</f>
        <v>0.78061044983520389</v>
      </c>
      <c r="V18" s="25">
        <f>IF(TrAvia_act!V34=0,0,(TrAvia_act!V34/TrAvia_act!V24)/TrAvia_png!V12)</f>
        <v>0.59357033041537843</v>
      </c>
      <c r="W18" s="25">
        <f>IF(TrAvia_act!W34=0,0,(TrAvia_act!W34/TrAvia_act!W24)/TrAvia_png!W12)</f>
        <v>0.66027516503255501</v>
      </c>
      <c r="X18" s="25">
        <f>IF(TrAvia_act!X34=0,0,(TrAvia_act!X34/TrAvia_act!X24)/TrAvia_png!X12)</f>
        <v>0.77202345051341115</v>
      </c>
      <c r="Y18" s="25">
        <f>IF(TrAvia_act!Y34=0,0,(TrAvia_act!Y34/TrAvia_act!Y24)/TrAvia_png!Y12)</f>
        <v>0.80919212644178473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0.63128068500070389</v>
      </c>
      <c r="C19" s="89">
        <f>IF(TrAvia_act!C35=0,0,(TrAvia_act!C35/TrAvia_act!C25)/TrAvia_png!C13)</f>
        <v>0.63404892390673862</v>
      </c>
      <c r="D19" s="89">
        <f>IF(TrAvia_act!D35=0,0,(TrAvia_act!D35/TrAvia_act!D25)/TrAvia_png!D13)</f>
        <v>0.63752561702310506</v>
      </c>
      <c r="E19" s="89">
        <f>IF(TrAvia_act!E35=0,0,(TrAvia_act!E35/TrAvia_act!E25)/TrAvia_png!E13)</f>
        <v>0.64058110996368955</v>
      </c>
      <c r="F19" s="89">
        <f>IF(TrAvia_act!F35=0,0,(TrAvia_act!F35/TrAvia_act!F25)/TrAvia_png!F13)</f>
        <v>0.65728853313311519</v>
      </c>
      <c r="G19" s="89">
        <f>IF(TrAvia_act!G35=0,0,(TrAvia_act!G35/TrAvia_act!G25)/TrAvia_png!G13)</f>
        <v>0.66528189595189557</v>
      </c>
      <c r="H19" s="89">
        <f>IF(TrAvia_act!H35=0,0,(TrAvia_act!H35/TrAvia_act!H25)/TrAvia_png!H13)</f>
        <v>0.67213999459121854</v>
      </c>
      <c r="I19" s="89">
        <f>IF(TrAvia_act!I35=0,0,(TrAvia_act!I35/TrAvia_act!I25)/TrAvia_png!I13)</f>
        <v>0.68574486149633584</v>
      </c>
      <c r="J19" s="89">
        <f>IF(TrAvia_act!J35=0,0,(TrAvia_act!J35/TrAvia_act!J25)/TrAvia_png!J13)</f>
        <v>0.68274820147892212</v>
      </c>
      <c r="K19" s="89">
        <f>IF(TrAvia_act!K35=0,0,(TrAvia_act!K35/TrAvia_act!K25)/TrAvia_png!K13)</f>
        <v>0.66898855782472655</v>
      </c>
      <c r="L19" s="89">
        <f>IF(TrAvia_act!L35=0,0,(TrAvia_act!L35/TrAvia_act!L25)/TrAvia_png!L13)</f>
        <v>0.67736518754607167</v>
      </c>
      <c r="M19" s="89">
        <f>IF(TrAvia_act!M35=0,0,(TrAvia_act!M35/TrAvia_act!M25)/TrAvia_png!M13)</f>
        <v>0.66617439248197974</v>
      </c>
      <c r="N19" s="89">
        <f>IF(TrAvia_act!N35=0,0,(TrAvia_act!N35/TrAvia_act!N25)/TrAvia_png!N13)</f>
        <v>0.67362253791740123</v>
      </c>
      <c r="O19" s="89">
        <f>IF(TrAvia_act!O35=0,0,(TrAvia_act!O35/TrAvia_act!O25)/TrAvia_png!O13)</f>
        <v>0.70590345155644019</v>
      </c>
      <c r="P19" s="89">
        <f>IF(TrAvia_act!P35=0,0,(TrAvia_act!P35/TrAvia_act!P25)/TrAvia_png!P13)</f>
        <v>0.70384823039826205</v>
      </c>
      <c r="Q19" s="89">
        <f>IF(TrAvia_act!Q35=0,0,(TrAvia_act!Q35/TrAvia_act!Q25)/TrAvia_png!Q13)</f>
        <v>0.71348614241692754</v>
      </c>
      <c r="R19" s="89">
        <f>IF(TrAvia_act!R35=0,0,(TrAvia_act!R35/TrAvia_act!R25)/TrAvia_png!R13)</f>
        <v>0.70540582724286216</v>
      </c>
      <c r="S19" s="89">
        <f>IF(TrAvia_act!S35=0,0,(TrAvia_act!S35/TrAvia_act!S25)/TrAvia_png!S13)</f>
        <v>0.71509990636929999</v>
      </c>
      <c r="T19" s="89">
        <f>IF(TrAvia_act!T35=0,0,(TrAvia_act!T35/TrAvia_act!T25)/TrAvia_png!T13)</f>
        <v>0.70574736477386801</v>
      </c>
      <c r="U19" s="89">
        <f>IF(TrAvia_act!U35=0,0,(TrAvia_act!U35/TrAvia_act!U25)/TrAvia_png!U13)</f>
        <v>0.68908489476841261</v>
      </c>
      <c r="V19" s="89">
        <f>IF(TrAvia_act!V35=0,0,(TrAvia_act!V35/TrAvia_act!V25)/TrAvia_png!V13)</f>
        <v>0.52542165577446687</v>
      </c>
      <c r="W19" s="89">
        <f>IF(TrAvia_act!W35=0,0,(TrAvia_act!W35/TrAvia_act!W25)/TrAvia_png!W13)</f>
        <v>0.57496520667170858</v>
      </c>
      <c r="X19" s="89">
        <f>IF(TrAvia_act!X35=0,0,(TrAvia_act!X35/TrAvia_act!X25)/TrAvia_png!X13)</f>
        <v>0.64854840945273295</v>
      </c>
      <c r="Y19" s="89">
        <f>IF(TrAvia_act!Y35=0,0,(TrAvia_act!Y35/TrAvia_act!Y25)/TrAvia_png!Y13)</f>
        <v>0.70709607167217747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0.62865400651797898</v>
      </c>
      <c r="C20" s="89">
        <f>IF(TrAvia_act!C36=0,0,(TrAvia_act!C36/TrAvia_act!C26)/TrAvia_png!C14)</f>
        <v>0.63314918057586911</v>
      </c>
      <c r="D20" s="89">
        <f>IF(TrAvia_act!D36=0,0,(TrAvia_act!D36/TrAvia_act!D26)/TrAvia_png!D14)</f>
        <v>0.64665522288033694</v>
      </c>
      <c r="E20" s="89">
        <f>IF(TrAvia_act!E36=0,0,(TrAvia_act!E36/TrAvia_act!E26)/TrAvia_png!E14)</f>
        <v>0.65074501530859885</v>
      </c>
      <c r="F20" s="89">
        <f>IF(TrAvia_act!F36=0,0,(TrAvia_act!F36/TrAvia_act!F26)/TrAvia_png!F14)</f>
        <v>0.67557846431449842</v>
      </c>
      <c r="G20" s="89">
        <f>IF(TrAvia_act!G36=0,0,(TrAvia_act!G36/TrAvia_act!G26)/TrAvia_png!G14)</f>
        <v>0.68568040450437262</v>
      </c>
      <c r="H20" s="89">
        <f>IF(TrAvia_act!H36=0,0,(TrAvia_act!H36/TrAvia_act!H26)/TrAvia_png!H14)</f>
        <v>0.70412868912720616</v>
      </c>
      <c r="I20" s="89">
        <f>IF(TrAvia_act!I36=0,0,(TrAvia_act!I36/TrAvia_act!I26)/TrAvia_png!I14)</f>
        <v>0.70820761605094196</v>
      </c>
      <c r="J20" s="89">
        <f>IF(TrAvia_act!J36=0,0,(TrAvia_act!J36/TrAvia_act!J26)/TrAvia_png!J14)</f>
        <v>0.71142702663227775</v>
      </c>
      <c r="K20" s="89">
        <f>IF(TrAvia_act!K36=0,0,(TrAvia_act!K36/TrAvia_act!K26)/TrAvia_png!K14)</f>
        <v>0.71316855088770403</v>
      </c>
      <c r="L20" s="89">
        <f>IF(TrAvia_act!L36=0,0,(TrAvia_act!L36/TrAvia_act!L26)/TrAvia_png!L14)</f>
        <v>0.72043955614665267</v>
      </c>
      <c r="M20" s="89">
        <f>IF(TrAvia_act!M36=0,0,(TrAvia_act!M36/TrAvia_act!M26)/TrAvia_png!M14)</f>
        <v>0.72518285215707479</v>
      </c>
      <c r="N20" s="89">
        <f>IF(TrAvia_act!N36=0,0,(TrAvia_act!N36/TrAvia_act!N26)/TrAvia_png!N14)</f>
        <v>0.73514210278438297</v>
      </c>
      <c r="O20" s="89">
        <f>IF(TrAvia_act!O36=0,0,(TrAvia_act!O36/TrAvia_act!O26)/TrAvia_png!O14)</f>
        <v>0.74662828518701962</v>
      </c>
      <c r="P20" s="89">
        <f>IF(TrAvia_act!P36=0,0,(TrAvia_act!P36/TrAvia_act!P26)/TrAvia_png!P14)</f>
        <v>0.75890014900718328</v>
      </c>
      <c r="Q20" s="89">
        <f>IF(TrAvia_act!Q36=0,0,(TrAvia_act!Q36/TrAvia_act!Q26)/TrAvia_png!Q14)</f>
        <v>0.76776257282963578</v>
      </c>
      <c r="R20" s="89">
        <f>IF(TrAvia_act!R36=0,0,(TrAvia_act!R36/TrAvia_act!R26)/TrAvia_png!R14)</f>
        <v>0.76411749058681799</v>
      </c>
      <c r="S20" s="89">
        <f>IF(TrAvia_act!S36=0,0,(TrAvia_act!S36/TrAvia_act!S26)/TrAvia_png!S14)</f>
        <v>0.77869104466623396</v>
      </c>
      <c r="T20" s="89">
        <f>IF(TrAvia_act!T36=0,0,(TrAvia_act!T36/TrAvia_act!T26)/TrAvia_png!T14)</f>
        <v>0.78518209747522205</v>
      </c>
      <c r="U20" s="89">
        <f>IF(TrAvia_act!U36=0,0,(TrAvia_act!U36/TrAvia_act!U26)/TrAvia_png!U14)</f>
        <v>0.79192482342862647</v>
      </c>
      <c r="V20" s="89">
        <f>IF(TrAvia_act!V36=0,0,(TrAvia_act!V36/TrAvia_act!V26)/TrAvia_png!V14)</f>
        <v>0.60459228076130378</v>
      </c>
      <c r="W20" s="89">
        <f>IF(TrAvia_act!W36=0,0,(TrAvia_act!W36/TrAvia_act!W26)/TrAvia_png!W14)</f>
        <v>0.68369556694796829</v>
      </c>
      <c r="X20" s="89">
        <f>IF(TrAvia_act!X36=0,0,(TrAvia_act!X36/TrAvia_act!X26)/TrAvia_png!X14)</f>
        <v>0.78109862074842917</v>
      </c>
      <c r="Y20" s="89">
        <f>IF(TrAvia_act!Y36=0,0,(TrAvia_act!Y36/TrAvia_act!Y26)/TrAvia_png!Y14)</f>
        <v>0.81422225880520838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0.83374277270888442</v>
      </c>
      <c r="C21" s="90">
        <f>IF(TrAvia_act!C37=0,0,(TrAvia_act!C37/TrAvia_act!C27)/TrAvia_png!C15)</f>
        <v>0.80528288713954066</v>
      </c>
      <c r="D21" s="90">
        <f>IF(TrAvia_act!D37=0,0,(TrAvia_act!D37/TrAvia_act!D27)/TrAvia_png!D15)</f>
        <v>0.81364006785504672</v>
      </c>
      <c r="E21" s="90">
        <f>IF(TrAvia_act!E37=0,0,(TrAvia_act!E37/TrAvia_act!E27)/TrAvia_png!E15)</f>
        <v>0.82606603799391054</v>
      </c>
      <c r="F21" s="90">
        <f>IF(TrAvia_act!F37=0,0,(TrAvia_act!F37/TrAvia_act!F27)/TrAvia_png!F15)</f>
        <v>0.83163347172012347</v>
      </c>
      <c r="G21" s="90">
        <f>IF(TrAvia_act!G37=0,0,(TrAvia_act!G37/TrAvia_act!G27)/TrAvia_png!G15)</f>
        <v>0.82091948107619894</v>
      </c>
      <c r="H21" s="90">
        <f>IF(TrAvia_act!H37=0,0,(TrAvia_act!H37/TrAvia_act!H27)/TrAvia_png!H15)</f>
        <v>0.79522289139497382</v>
      </c>
      <c r="I21" s="90">
        <f>IF(TrAvia_act!I37=0,0,(TrAvia_act!I37/TrAvia_act!I27)/TrAvia_png!I15)</f>
        <v>0.81083915316179234</v>
      </c>
      <c r="J21" s="90">
        <f>IF(TrAvia_act!J37=0,0,(TrAvia_act!J37/TrAvia_act!J27)/TrAvia_png!J15)</f>
        <v>0.80177211214734856</v>
      </c>
      <c r="K21" s="90">
        <f>IF(TrAvia_act!K37=0,0,(TrAvia_act!K37/TrAvia_act!K27)/TrAvia_png!K15)</f>
        <v>0.78306744816388163</v>
      </c>
      <c r="L21" s="90">
        <f>IF(TrAvia_act!L37=0,0,(TrAvia_act!L37/TrAvia_act!L27)/TrAvia_png!L15)</f>
        <v>0.79944689910376476</v>
      </c>
      <c r="M21" s="90">
        <f>IF(TrAvia_act!M37=0,0,(TrAvia_act!M37/TrAvia_act!M27)/TrAvia_png!M15)</f>
        <v>0.80009539617055581</v>
      </c>
      <c r="N21" s="90">
        <f>IF(TrAvia_act!N37=0,0,(TrAvia_act!N37/TrAvia_act!N27)/TrAvia_png!N15)</f>
        <v>0.80693032846937918</v>
      </c>
      <c r="O21" s="90">
        <f>IF(TrAvia_act!O37=0,0,(TrAvia_act!O37/TrAvia_act!O27)/TrAvia_png!O15)</f>
        <v>0.81790031452368273</v>
      </c>
      <c r="P21" s="90">
        <f>IF(TrAvia_act!P37=0,0,(TrAvia_act!P37/TrAvia_act!P27)/TrAvia_png!P15)</f>
        <v>0.80779826937701238</v>
      </c>
      <c r="Q21" s="90">
        <f>IF(TrAvia_act!Q37=0,0,(TrAvia_act!Q37/TrAvia_act!Q27)/TrAvia_png!Q15)</f>
        <v>0.81187973102444544</v>
      </c>
      <c r="R21" s="90">
        <f>IF(TrAvia_act!R37=0,0,(TrAvia_act!R37/TrAvia_act!R27)/TrAvia_png!R15)</f>
        <v>0.79801820714331195</v>
      </c>
      <c r="S21" s="90">
        <f>IF(TrAvia_act!S37=0,0,(TrAvia_act!S37/TrAvia_act!S27)/TrAvia_png!S15)</f>
        <v>0.82089027399624503</v>
      </c>
      <c r="T21" s="90">
        <f>IF(TrAvia_act!T37=0,0,(TrAvia_act!T37/TrAvia_act!T27)/TrAvia_png!T15)</f>
        <v>0.82757110244587595</v>
      </c>
      <c r="U21" s="90">
        <f>IF(TrAvia_act!U37=0,0,(TrAvia_act!U37/TrAvia_act!U27)/TrAvia_png!U15)</f>
        <v>0.83119233229914036</v>
      </c>
      <c r="V21" s="90">
        <f>IF(TrAvia_act!V37=0,0,(TrAvia_act!V37/TrAvia_act!V27)/TrAvia_png!V15)</f>
        <v>0.62694762989646724</v>
      </c>
      <c r="W21" s="90">
        <f>IF(TrAvia_act!W37=0,0,(TrAvia_act!W37/TrAvia_act!W27)/TrAvia_png!W15)</f>
        <v>0.65740986609700203</v>
      </c>
      <c r="X21" s="90">
        <f>IF(TrAvia_act!X37=0,0,(TrAvia_act!X37/TrAvia_act!X27)/TrAvia_png!X15)</f>
        <v>0.81186297430032295</v>
      </c>
      <c r="Y21" s="90">
        <f>IF(TrAvia_act!Y37=0,0,(TrAvia_act!Y37/TrAvia_act!Y27)/TrAvia_png!Y15)</f>
        <v>0.844746801022773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5.2108225764236023E-2</v>
      </c>
      <c r="C24" s="23">
        <f>IF(TrAvia_ene!C6=0,0,TrAvia_ene!C6/(C12*TrAvia_act!C14))</f>
        <v>5.0206807933186784E-2</v>
      </c>
      <c r="D24" s="23">
        <f>IF(TrAvia_ene!D6=0,0,TrAvia_ene!D6/(D12*TrAvia_act!D14))</f>
        <v>5.0273270203097908E-2</v>
      </c>
      <c r="E24" s="23">
        <f>IF(TrAvia_ene!E6=0,0,TrAvia_ene!E6/(E12*TrAvia_act!E14))</f>
        <v>4.8284033812829974E-2</v>
      </c>
      <c r="F24" s="23">
        <f>IF(TrAvia_ene!F6=0,0,TrAvia_ene!F6/(F12*TrAvia_act!F14))</f>
        <v>4.7093184039732297E-2</v>
      </c>
      <c r="G24" s="23">
        <f>IF(TrAvia_ene!G6=0,0,TrAvia_ene!G6/(G12*TrAvia_act!G14))</f>
        <v>4.6672334507668237E-2</v>
      </c>
      <c r="H24" s="23">
        <f>IF(TrAvia_ene!H6=0,0,TrAvia_ene!H6/(H12*TrAvia_act!H14))</f>
        <v>4.620631621082337E-2</v>
      </c>
      <c r="I24" s="23">
        <f>IF(TrAvia_ene!I6=0,0,TrAvia_ene!I6/(I12*TrAvia_act!I14))</f>
        <v>4.4952752553200304E-2</v>
      </c>
      <c r="J24" s="23">
        <f>IF(TrAvia_ene!J6=0,0,TrAvia_ene!J6/(J12*TrAvia_act!J14))</f>
        <v>4.4446302715427322E-2</v>
      </c>
      <c r="K24" s="23">
        <f>IF(TrAvia_ene!K6=0,0,TrAvia_ene!K6/(K12*TrAvia_act!K14))</f>
        <v>4.4562427639285154E-2</v>
      </c>
      <c r="L24" s="23">
        <f>IF(TrAvia_ene!L6=0,0,TrAvia_ene!L6/(L12*TrAvia_act!L14))</f>
        <v>4.0347599734467637E-2</v>
      </c>
      <c r="M24" s="23">
        <f>IF(TrAvia_ene!M6=0,0,TrAvia_ene!M6/(M12*TrAvia_act!M14))</f>
        <v>3.8078711576452332E-2</v>
      </c>
      <c r="N24" s="23">
        <f>IF(TrAvia_ene!N6=0,0,TrAvia_ene!N6/(N12*TrAvia_act!N14))</f>
        <v>4.0200184799924162E-2</v>
      </c>
      <c r="O24" s="23">
        <f>IF(TrAvia_ene!O6=0,0,TrAvia_ene!O6/(O12*TrAvia_act!O14))</f>
        <v>4.0875330210670857E-2</v>
      </c>
      <c r="P24" s="23">
        <f>IF(TrAvia_ene!P6=0,0,TrAvia_ene!P6/(P12*TrAvia_act!P14))</f>
        <v>3.7437923479185876E-2</v>
      </c>
      <c r="Q24" s="23">
        <f>IF(TrAvia_ene!Q6=0,0,TrAvia_ene!Q6/(Q12*TrAvia_act!Q14))</f>
        <v>3.6208317190294659E-2</v>
      </c>
      <c r="R24" s="23">
        <f>IF(TrAvia_ene!R6=0,0,TrAvia_ene!R6/(R12*TrAvia_act!R14))</f>
        <v>3.7616040256812151E-2</v>
      </c>
      <c r="S24" s="23">
        <f>IF(TrAvia_ene!S6=0,0,TrAvia_ene!S6/(S12*TrAvia_act!S14))</f>
        <v>3.853284500638407E-2</v>
      </c>
      <c r="T24" s="23">
        <f>IF(TrAvia_ene!T6=0,0,TrAvia_ene!T6/(T12*TrAvia_act!T14))</f>
        <v>3.7919920821248232E-2</v>
      </c>
      <c r="U24" s="23">
        <f>IF(TrAvia_ene!U6=0,0,TrAvia_ene!U6/(U12*TrAvia_act!U14))</f>
        <v>3.7583500676238085E-2</v>
      </c>
      <c r="V24" s="23">
        <f>IF(TrAvia_ene!V6=0,0,TrAvia_ene!V6/(V12*TrAvia_act!V14))</f>
        <v>3.7818413814128753E-2</v>
      </c>
      <c r="W24" s="23">
        <f>IF(TrAvia_ene!W6=0,0,TrAvia_ene!W6/(W12*TrAvia_act!W14))</f>
        <v>3.9545286141681825E-2</v>
      </c>
      <c r="X24" s="23">
        <f>IF(TrAvia_ene!X6=0,0,TrAvia_ene!X6/(X12*TrAvia_act!X14))</f>
        <v>3.9533187418179766E-2</v>
      </c>
      <c r="Y24" s="23">
        <f>IF(TrAvia_ene!Y6=0,0,TrAvia_ene!Y6/(Y12*TrAvia_act!Y14))</f>
        <v>3.7246810177749633E-2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5.2092023096881629E-2</v>
      </c>
      <c r="C25" s="91">
        <f>IF(TrAvia_ene!C7=0,0,TrAvia_ene!C7/(C13*TrAvia_act!C15))</f>
        <v>5.1732722805096255E-2</v>
      </c>
      <c r="D25" s="91">
        <f>IF(TrAvia_ene!D7=0,0,TrAvia_ene!D7/(D13*TrAvia_act!D15))</f>
        <v>4.989488299085696E-2</v>
      </c>
      <c r="E25" s="91">
        <f>IF(TrAvia_ene!E7=0,0,TrAvia_ene!E7/(E13*TrAvia_act!E15))</f>
        <v>4.7541815483995387E-2</v>
      </c>
      <c r="F25" s="91">
        <f>IF(TrAvia_ene!F7=0,0,TrAvia_ene!F7/(F13*TrAvia_act!F15))</f>
        <v>4.8305495476931651E-2</v>
      </c>
      <c r="G25" s="91">
        <f>IF(TrAvia_ene!G7=0,0,TrAvia_ene!G7/(G13*TrAvia_act!G15))</f>
        <v>5.0224134208647492E-2</v>
      </c>
      <c r="H25" s="91">
        <f>IF(TrAvia_ene!H7=0,0,TrAvia_ene!H7/(H13*TrAvia_act!H15))</f>
        <v>4.9569320355058219E-2</v>
      </c>
      <c r="I25" s="91">
        <f>IF(TrAvia_ene!I7=0,0,TrAvia_ene!I7/(I13*TrAvia_act!I15))</f>
        <v>4.7667457549700303E-2</v>
      </c>
      <c r="J25" s="91">
        <f>IF(TrAvia_ene!J7=0,0,TrAvia_ene!J7/(J13*TrAvia_act!J15))</f>
        <v>4.6702687804409442E-2</v>
      </c>
      <c r="K25" s="91">
        <f>IF(TrAvia_ene!K7=0,0,TrAvia_ene!K7/(K13*TrAvia_act!K15))</f>
        <v>4.6151804418106727E-2</v>
      </c>
      <c r="L25" s="91">
        <f>IF(TrAvia_ene!L7=0,0,TrAvia_ene!L7/(L13*TrAvia_act!L15))</f>
        <v>4.3076997856484507E-2</v>
      </c>
      <c r="M25" s="91">
        <f>IF(TrAvia_ene!M7=0,0,TrAvia_ene!M7/(M13*TrAvia_act!M15))</f>
        <v>4.0127994309090635E-2</v>
      </c>
      <c r="N25" s="91">
        <f>IF(TrAvia_ene!N7=0,0,TrAvia_ene!N7/(N13*TrAvia_act!N15))</f>
        <v>4.213581934619854E-2</v>
      </c>
      <c r="O25" s="91">
        <f>IF(TrAvia_ene!O7=0,0,TrAvia_ene!O7/(O13*TrAvia_act!O15))</f>
        <v>4.3244985988058947E-2</v>
      </c>
      <c r="P25" s="91">
        <f>IF(TrAvia_ene!P7=0,0,TrAvia_ene!P7/(P13*TrAvia_act!P15))</f>
        <v>4.5608940290911913E-2</v>
      </c>
      <c r="Q25" s="91">
        <f>IF(TrAvia_ene!Q7=0,0,TrAvia_ene!Q7/(Q13*TrAvia_act!Q15))</f>
        <v>4.5869023727138879E-2</v>
      </c>
      <c r="R25" s="91">
        <f>IF(TrAvia_ene!R7=0,0,TrAvia_ene!R7/(R13*TrAvia_act!R15))</f>
        <v>4.6578262706779935E-2</v>
      </c>
      <c r="S25" s="91">
        <f>IF(TrAvia_ene!S7=0,0,TrAvia_ene!S7/(S13*TrAvia_act!S15))</f>
        <v>4.0934290520551482E-2</v>
      </c>
      <c r="T25" s="91">
        <f>IF(TrAvia_ene!T7=0,0,TrAvia_ene!T7/(T13*TrAvia_act!T15))</f>
        <v>3.9296203439102791E-2</v>
      </c>
      <c r="U25" s="91">
        <f>IF(TrAvia_ene!U7=0,0,TrAvia_ene!U7/(U13*TrAvia_act!U15))</f>
        <v>4.3818079863773167E-2</v>
      </c>
      <c r="V25" s="91">
        <f>IF(TrAvia_ene!V7=0,0,TrAvia_ene!V7/(V13*TrAvia_act!V15))</f>
        <v>4.9932982598622382E-2</v>
      </c>
      <c r="W25" s="91">
        <f>IF(TrAvia_ene!W7=0,0,TrAvia_ene!W7/(W13*TrAvia_act!W15))</f>
        <v>5.5389972486583713E-2</v>
      </c>
      <c r="X25" s="91">
        <f>IF(TrAvia_ene!X7=0,0,TrAvia_ene!X7/(X13*TrAvia_act!X15))</f>
        <v>4.5659225440178967E-2</v>
      </c>
      <c r="Y25" s="91">
        <f>IF(TrAvia_ene!Y7=0,0,TrAvia_ene!Y7/(Y13*TrAvia_act!Y15))</f>
        <v>4.5008930069623164E-2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3.7091886949080236E-2</v>
      </c>
      <c r="C26" s="93">
        <f>IF(TrAvia_ene!C8=0,0,TrAvia_ene!C8/(C14*TrAvia_act!C16))</f>
        <v>3.5522819447647513E-2</v>
      </c>
      <c r="D26" s="93">
        <f>IF(TrAvia_ene!D8=0,0,TrAvia_ene!D8/(D14*TrAvia_act!D16))</f>
        <v>3.4980734408676231E-2</v>
      </c>
      <c r="E26" s="93">
        <f>IF(TrAvia_ene!E8=0,0,TrAvia_ene!E8/(E14*TrAvia_act!E16))</f>
        <v>3.390359997975833E-2</v>
      </c>
      <c r="F26" s="93">
        <f>IF(TrAvia_ene!F8=0,0,TrAvia_ene!F8/(F14*TrAvia_act!F16))</f>
        <v>3.2698355351786987E-2</v>
      </c>
      <c r="G26" s="93">
        <f>IF(TrAvia_ene!G8=0,0,TrAvia_ene!G8/(G14*TrAvia_act!G16))</f>
        <v>3.2354394904635361E-2</v>
      </c>
      <c r="H26" s="93">
        <f>IF(TrAvia_ene!H8=0,0,TrAvia_ene!H8/(H14*TrAvia_act!H16))</f>
        <v>3.2812538080405788E-2</v>
      </c>
      <c r="I26" s="93">
        <f>IF(TrAvia_ene!I8=0,0,TrAvia_ene!I8/(I14*TrAvia_act!I16))</f>
        <v>3.2927947880551277E-2</v>
      </c>
      <c r="J26" s="93">
        <f>IF(TrAvia_ene!J8=0,0,TrAvia_ene!J8/(J14*TrAvia_act!J16))</f>
        <v>3.307545865083359E-2</v>
      </c>
      <c r="K26" s="93">
        <f>IF(TrAvia_ene!K8=0,0,TrAvia_ene!K8/(K14*TrAvia_act!K16))</f>
        <v>3.3447723534974577E-2</v>
      </c>
      <c r="L26" s="93">
        <f>IF(TrAvia_ene!L8=0,0,TrAvia_ene!L8/(L14*TrAvia_act!L16))</f>
        <v>3.0960517895352258E-2</v>
      </c>
      <c r="M26" s="93">
        <f>IF(TrAvia_ene!M8=0,0,TrAvia_ene!M8/(M14*TrAvia_act!M16))</f>
        <v>2.8311146905995146E-2</v>
      </c>
      <c r="N26" s="93">
        <f>IF(TrAvia_ene!N8=0,0,TrAvia_ene!N8/(N14*TrAvia_act!N16))</f>
        <v>3.0386848019663095E-2</v>
      </c>
      <c r="O26" s="93">
        <f>IF(TrAvia_ene!O8=0,0,TrAvia_ene!O8/(O14*TrAvia_act!O16))</f>
        <v>3.0164464417282363E-2</v>
      </c>
      <c r="P26" s="93">
        <f>IF(TrAvia_ene!P8=0,0,TrAvia_ene!P8/(P14*TrAvia_act!P16))</f>
        <v>2.8059560429375793E-2</v>
      </c>
      <c r="Q26" s="93">
        <f>IF(TrAvia_ene!Q8=0,0,TrAvia_ene!Q8/(Q14*TrAvia_act!Q16))</f>
        <v>2.7268615505996609E-2</v>
      </c>
      <c r="R26" s="93">
        <f>IF(TrAvia_ene!R8=0,0,TrAvia_ene!R8/(R14*TrAvia_act!R16))</f>
        <v>2.8032071095690801E-2</v>
      </c>
      <c r="S26" s="93">
        <f>IF(TrAvia_ene!S8=0,0,TrAvia_ene!S8/(S14*TrAvia_act!S16))</f>
        <v>2.9472682470219655E-2</v>
      </c>
      <c r="T26" s="93">
        <f>IF(TrAvia_ene!T8=0,0,TrAvia_ene!T8/(T14*TrAvia_act!T16))</f>
        <v>2.8557778336641838E-2</v>
      </c>
      <c r="U26" s="93">
        <f>IF(TrAvia_ene!U8=0,0,TrAvia_ene!U8/(U14*TrAvia_act!U16))</f>
        <v>2.8149128622980631E-2</v>
      </c>
      <c r="V26" s="93">
        <f>IF(TrAvia_ene!V8=0,0,TrAvia_ene!V8/(V14*TrAvia_act!V16))</f>
        <v>2.2767347907809779E-2</v>
      </c>
      <c r="W26" s="93">
        <f>IF(TrAvia_ene!W8=0,0,TrAvia_ene!W8/(W14*TrAvia_act!W16))</f>
        <v>2.759091583551275E-2</v>
      </c>
      <c r="X26" s="93">
        <f>IF(TrAvia_ene!X8=0,0,TrAvia_ene!X8/(X14*TrAvia_act!X16))</f>
        <v>3.1020620225476626E-2</v>
      </c>
      <c r="Y26" s="93">
        <f>IF(TrAvia_ene!Y8=0,0,TrAvia_ene!Y8/(Y14*TrAvia_act!Y16))</f>
        <v>2.9963998496501391E-2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4.1902800308329928E-2</v>
      </c>
      <c r="C27" s="94">
        <f>IF(TrAvia_ene!C9=0,0,TrAvia_ene!C9/(C15*TrAvia_act!C17))</f>
        <v>3.9687649406236557E-2</v>
      </c>
      <c r="D27" s="94">
        <f>IF(TrAvia_ene!D9=0,0,TrAvia_ene!D9/(D15*TrAvia_act!D17))</f>
        <v>4.0928303646553227E-2</v>
      </c>
      <c r="E27" s="94">
        <f>IF(TrAvia_ene!E9=0,0,TrAvia_ene!E9/(E15*TrAvia_act!E17))</f>
        <v>3.9679271830516692E-2</v>
      </c>
      <c r="F27" s="94">
        <f>IF(TrAvia_ene!F9=0,0,TrAvia_ene!F9/(F15*TrAvia_act!F17))</f>
        <v>3.767597591873207E-2</v>
      </c>
      <c r="G27" s="94">
        <f>IF(TrAvia_ene!G9=0,0,TrAvia_ene!G9/(G15*TrAvia_act!G17))</f>
        <v>3.7154811047663161E-2</v>
      </c>
      <c r="H27" s="94">
        <f>IF(TrAvia_ene!H9=0,0,TrAvia_ene!H9/(H15*TrAvia_act!H17))</f>
        <v>3.6704856578973863E-2</v>
      </c>
      <c r="I27" s="94">
        <f>IF(TrAvia_ene!I9=0,0,TrAvia_ene!I9/(I15*TrAvia_act!I17))</f>
        <v>3.6375564909834408E-2</v>
      </c>
      <c r="J27" s="94">
        <f>IF(TrAvia_ene!J9=0,0,TrAvia_ene!J9/(J15*TrAvia_act!J17))</f>
        <v>3.6152767147271572E-2</v>
      </c>
      <c r="K27" s="94">
        <f>IF(TrAvia_ene!K9=0,0,TrAvia_ene!K9/(K15*TrAvia_act!K17))</f>
        <v>3.6626073589770387E-2</v>
      </c>
      <c r="L27" s="94">
        <f>IF(TrAvia_ene!L9=0,0,TrAvia_ene!L9/(L15*TrAvia_act!L17))</f>
        <v>3.3087915126162951E-2</v>
      </c>
      <c r="M27" s="94">
        <f>IF(TrAvia_ene!M9=0,0,TrAvia_ene!M9/(M15*TrAvia_act!M17))</f>
        <v>3.0665304822725011E-2</v>
      </c>
      <c r="N27" s="94">
        <f>IF(TrAvia_ene!N9=0,0,TrAvia_ene!N9/(N15*TrAvia_act!N17))</f>
        <v>3.2532232432294167E-2</v>
      </c>
      <c r="O27" s="94">
        <f>IF(TrAvia_ene!O9=0,0,TrAvia_ene!O9/(O15*TrAvia_act!O17))</f>
        <v>3.3809137172676591E-2</v>
      </c>
      <c r="P27" s="94">
        <f>IF(TrAvia_ene!P9=0,0,TrAvia_ene!P9/(P15*TrAvia_act!P17))</f>
        <v>3.2153428772307216E-2</v>
      </c>
      <c r="Q27" s="94">
        <f>IF(TrAvia_ene!Q9=0,0,TrAvia_ene!Q9/(Q15*TrAvia_act!Q17))</f>
        <v>3.1071534057438212E-2</v>
      </c>
      <c r="R27" s="94">
        <f>IF(TrAvia_ene!R9=0,0,TrAvia_ene!R9/(R15*TrAvia_act!R17))</f>
        <v>3.271033021873096E-2</v>
      </c>
      <c r="S27" s="94">
        <f>IF(TrAvia_ene!S9=0,0,TrAvia_ene!S9/(S15*TrAvia_act!S17))</f>
        <v>3.4441441700862808E-2</v>
      </c>
      <c r="T27" s="94">
        <f>IF(TrAvia_ene!T9=0,0,TrAvia_ene!T9/(T15*TrAvia_act!T17))</f>
        <v>3.4531012196050606E-2</v>
      </c>
      <c r="U27" s="94">
        <f>IF(TrAvia_ene!U9=0,0,TrAvia_ene!U9/(U15*TrAvia_act!U17))</f>
        <v>3.3603776308283109E-2</v>
      </c>
      <c r="V27" s="94">
        <f>IF(TrAvia_ene!V9=0,0,TrAvia_ene!V9/(V15*TrAvia_act!V17))</f>
        <v>3.604599073125405E-2</v>
      </c>
      <c r="W27" s="94">
        <f>IF(TrAvia_ene!W9=0,0,TrAvia_ene!W9/(W15*TrAvia_act!W17))</f>
        <v>3.7615237125288359E-2</v>
      </c>
      <c r="X27" s="94">
        <f>IF(TrAvia_ene!X9=0,0,TrAvia_ene!X9/(X15*TrAvia_act!X17))</f>
        <v>3.5731136775713136E-2</v>
      </c>
      <c r="Y27" s="94">
        <f>IF(TrAvia_ene!Y9=0,0,TrAvia_ene!Y9/(Y15*TrAvia_act!Y17))</f>
        <v>3.2784216686004203E-2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67515.293999999994</v>
      </c>
      <c r="C3" s="54">
        <f t="shared" si="0"/>
        <v>65708.618000000002</v>
      </c>
      <c r="D3" s="54">
        <f t="shared" si="0"/>
        <v>65134.722999999998</v>
      </c>
      <c r="E3" s="54">
        <f t="shared" si="0"/>
        <v>58862.468999999997</v>
      </c>
      <c r="F3" s="54">
        <f t="shared" si="0"/>
        <v>64381.502999999997</v>
      </c>
      <c r="G3" s="54">
        <f t="shared" si="0"/>
        <v>64717.701999999997</v>
      </c>
      <c r="H3" s="54">
        <f t="shared" si="0"/>
        <v>64765.351999999999</v>
      </c>
      <c r="I3" s="54">
        <f t="shared" si="0"/>
        <v>65659.342000000004</v>
      </c>
      <c r="J3" s="54">
        <f t="shared" si="0"/>
        <v>64945.385999999999</v>
      </c>
      <c r="K3" s="54">
        <f t="shared" si="0"/>
        <v>56266.493000000002</v>
      </c>
      <c r="L3" s="54">
        <f t="shared" si="0"/>
        <v>62813.163999999997</v>
      </c>
      <c r="M3" s="54">
        <f t="shared" si="0"/>
        <v>55651.266000000003</v>
      </c>
      <c r="N3" s="54">
        <f t="shared" si="0"/>
        <v>59284.47</v>
      </c>
      <c r="O3" s="54">
        <f t="shared" si="0"/>
        <v>60989.495000000003</v>
      </c>
      <c r="P3" s="54">
        <f t="shared" si="0"/>
        <v>59906.661</v>
      </c>
      <c r="Q3" s="54">
        <f t="shared" si="0"/>
        <v>55836.358</v>
      </c>
      <c r="R3" s="54">
        <f t="shared" ref="R3:V3" si="1">SUM(R4:R5)</f>
        <v>54921.758999999998</v>
      </c>
      <c r="S3" s="54">
        <f t="shared" si="1"/>
        <v>56267.218999999997</v>
      </c>
      <c r="T3" s="54">
        <f t="shared" si="1"/>
        <v>47503.855000000003</v>
      </c>
      <c r="U3" s="54">
        <f t="shared" si="1"/>
        <v>51457.434999999998</v>
      </c>
      <c r="V3" s="54">
        <f t="shared" si="1"/>
        <v>46957.044000000002</v>
      </c>
      <c r="W3" s="54">
        <f t="shared" ref="W3:Y3" si="2">SUM(W4:W5)</f>
        <v>48647.913</v>
      </c>
      <c r="X3" s="54">
        <f t="shared" si="2"/>
        <v>44444.902000000002</v>
      </c>
      <c r="Y3" s="54">
        <f t="shared" si="2"/>
        <v>41914.231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1050.2940000000001</v>
      </c>
      <c r="C4" s="56">
        <v>890.61800000000005</v>
      </c>
      <c r="D4" s="56">
        <v>968.72299999999996</v>
      </c>
      <c r="E4" s="56">
        <v>708.46900000000005</v>
      </c>
      <c r="F4" s="56">
        <v>714.50300000000004</v>
      </c>
      <c r="G4" s="56">
        <v>621.702</v>
      </c>
      <c r="H4" s="56">
        <v>790.35199999999998</v>
      </c>
      <c r="I4" s="56">
        <v>948.34199999999998</v>
      </c>
      <c r="J4" s="56">
        <v>889.38599999999997</v>
      </c>
      <c r="K4" s="56">
        <v>614.49300000000005</v>
      </c>
      <c r="L4" s="56">
        <v>535.16399999999999</v>
      </c>
      <c r="M4" s="56">
        <v>624.26599999999996</v>
      </c>
      <c r="N4" s="56">
        <v>796.47</v>
      </c>
      <c r="O4" s="56">
        <v>919.495</v>
      </c>
      <c r="P4" s="56">
        <v>813.66099999999994</v>
      </c>
      <c r="Q4" s="56">
        <v>521.35799999999995</v>
      </c>
      <c r="R4" s="56">
        <v>574.75900000000001</v>
      </c>
      <c r="S4" s="56">
        <v>749.21900000000005</v>
      </c>
      <c r="T4" s="56">
        <v>602.85500000000002</v>
      </c>
      <c r="U4" s="56">
        <v>538.43499999999995</v>
      </c>
      <c r="V4" s="56">
        <v>619.04399999999998</v>
      </c>
      <c r="W4" s="56">
        <v>450.91300000000001</v>
      </c>
      <c r="X4" s="56">
        <v>327.90199999999999</v>
      </c>
      <c r="Y4" s="56">
        <v>408.23099999999999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66465</v>
      </c>
      <c r="C5" s="58">
        <v>64818</v>
      </c>
      <c r="D5" s="58">
        <v>64166</v>
      </c>
      <c r="E5" s="58">
        <v>58154</v>
      </c>
      <c r="F5" s="58">
        <v>63667</v>
      </c>
      <c r="G5" s="58">
        <v>64096</v>
      </c>
      <c r="H5" s="58">
        <v>63975</v>
      </c>
      <c r="I5" s="58">
        <v>64711</v>
      </c>
      <c r="J5" s="58">
        <v>64056</v>
      </c>
      <c r="K5" s="58">
        <v>55652</v>
      </c>
      <c r="L5" s="58">
        <v>62278</v>
      </c>
      <c r="M5" s="58">
        <v>55027</v>
      </c>
      <c r="N5" s="58">
        <v>58488</v>
      </c>
      <c r="O5" s="58">
        <v>60070</v>
      </c>
      <c r="P5" s="58">
        <v>59093</v>
      </c>
      <c r="Q5" s="58">
        <v>55315</v>
      </c>
      <c r="R5" s="58">
        <v>54347</v>
      </c>
      <c r="S5" s="58">
        <v>55518</v>
      </c>
      <c r="T5" s="58">
        <v>46901</v>
      </c>
      <c r="U5" s="58">
        <v>50919</v>
      </c>
      <c r="V5" s="58">
        <v>46338</v>
      </c>
      <c r="W5" s="58">
        <v>48197</v>
      </c>
      <c r="X5" s="58">
        <v>44117</v>
      </c>
      <c r="Y5" s="58">
        <v>41506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102.43499999999999</v>
      </c>
      <c r="C7" s="59">
        <f t="shared" si="3"/>
        <v>97.875</v>
      </c>
      <c r="D7" s="59">
        <f t="shared" si="3"/>
        <v>83.006</v>
      </c>
      <c r="E7" s="59">
        <f t="shared" si="3"/>
        <v>87.044000000000011</v>
      </c>
      <c r="F7" s="59">
        <f t="shared" si="3"/>
        <v>102.6</v>
      </c>
      <c r="G7" s="59">
        <f t="shared" si="3"/>
        <v>112.791</v>
      </c>
      <c r="H7" s="59">
        <f t="shared" si="3"/>
        <v>94.045999999999992</v>
      </c>
      <c r="I7" s="59">
        <f t="shared" si="3"/>
        <v>100.575</v>
      </c>
      <c r="J7" s="59">
        <f t="shared" si="3"/>
        <v>98.22399999999999</v>
      </c>
      <c r="K7" s="59">
        <f t="shared" si="3"/>
        <v>81.174999999999997</v>
      </c>
      <c r="L7" s="59">
        <f t="shared" si="3"/>
        <v>71.035999999999987</v>
      </c>
      <c r="M7" s="59">
        <f t="shared" si="3"/>
        <v>89.812000000000012</v>
      </c>
      <c r="N7" s="59">
        <f t="shared" si="3"/>
        <v>89.408999999999992</v>
      </c>
      <c r="O7" s="59">
        <f t="shared" si="3"/>
        <v>87.85199999999999</v>
      </c>
      <c r="P7" s="59">
        <f t="shared" si="3"/>
        <v>85.664999999999992</v>
      </c>
      <c r="Q7" s="59">
        <f t="shared" si="3"/>
        <v>75.285999999999987</v>
      </c>
      <c r="R7" s="59">
        <f t="shared" ref="R7:V7" si="4">SUM(R8:R9)</f>
        <v>68.603999999999999</v>
      </c>
      <c r="S7" s="59">
        <f t="shared" si="4"/>
        <v>66.173999999999992</v>
      </c>
      <c r="T7" s="59">
        <f t="shared" si="4"/>
        <v>62.087000000000003</v>
      </c>
      <c r="U7" s="59">
        <f t="shared" si="4"/>
        <v>66.583999999999989</v>
      </c>
      <c r="V7" s="59">
        <f t="shared" si="4"/>
        <v>63.512999999999998</v>
      </c>
      <c r="W7" s="59">
        <f t="shared" ref="W7:Y7" si="5">SUM(W8:W9)</f>
        <v>75.268000000000001</v>
      </c>
      <c r="X7" s="59">
        <f t="shared" si="5"/>
        <v>57.817</v>
      </c>
      <c r="Y7" s="59">
        <f t="shared" si="5"/>
        <v>55.985000000000007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0.47499999999999998</v>
      </c>
      <c r="C8" s="60">
        <v>0.38600000000000001</v>
      </c>
      <c r="D8" s="60">
        <v>0.39200000000000002</v>
      </c>
      <c r="E8" s="60">
        <v>0.28399999999999997</v>
      </c>
      <c r="F8" s="60">
        <v>0.28000000000000003</v>
      </c>
      <c r="G8" s="60">
        <v>0.24</v>
      </c>
      <c r="H8" s="60">
        <v>0.30599999999999999</v>
      </c>
      <c r="I8" s="60">
        <v>0.35699999999999998</v>
      </c>
      <c r="J8" s="60">
        <v>0.32900000000000001</v>
      </c>
      <c r="K8" s="60">
        <v>0.23</v>
      </c>
      <c r="L8" s="60">
        <v>0.19800000000000001</v>
      </c>
      <c r="M8" s="60">
        <v>0.251</v>
      </c>
      <c r="N8" s="60">
        <v>0.314</v>
      </c>
      <c r="O8" s="60">
        <v>0.36199999999999999</v>
      </c>
      <c r="P8" s="60">
        <v>0.32300000000000001</v>
      </c>
      <c r="Q8" s="60">
        <v>0.192</v>
      </c>
      <c r="R8" s="60">
        <v>0.20200000000000001</v>
      </c>
      <c r="S8" s="60">
        <v>0.26100000000000001</v>
      </c>
      <c r="T8" s="60">
        <v>0.215</v>
      </c>
      <c r="U8" s="60">
        <v>0.19800000000000001</v>
      </c>
      <c r="V8" s="60">
        <v>0.222</v>
      </c>
      <c r="W8" s="60">
        <v>0.16200000000000001</v>
      </c>
      <c r="X8" s="60">
        <v>0.123</v>
      </c>
      <c r="Y8" s="60">
        <v>0.14799999999999999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101.96</v>
      </c>
      <c r="C9" s="61">
        <v>97.489000000000004</v>
      </c>
      <c r="D9" s="61">
        <v>82.614000000000004</v>
      </c>
      <c r="E9" s="61">
        <v>86.76</v>
      </c>
      <c r="F9" s="61">
        <v>102.32</v>
      </c>
      <c r="G9" s="61">
        <v>112.551</v>
      </c>
      <c r="H9" s="61">
        <v>93.74</v>
      </c>
      <c r="I9" s="61">
        <v>100.218</v>
      </c>
      <c r="J9" s="61">
        <v>97.894999999999996</v>
      </c>
      <c r="K9" s="61">
        <v>80.944999999999993</v>
      </c>
      <c r="L9" s="61">
        <v>70.837999999999994</v>
      </c>
      <c r="M9" s="61">
        <v>89.561000000000007</v>
      </c>
      <c r="N9" s="61">
        <v>89.094999999999999</v>
      </c>
      <c r="O9" s="61">
        <v>87.49</v>
      </c>
      <c r="P9" s="61">
        <v>85.341999999999999</v>
      </c>
      <c r="Q9" s="61">
        <v>75.093999999999994</v>
      </c>
      <c r="R9" s="61">
        <v>68.402000000000001</v>
      </c>
      <c r="S9" s="61">
        <v>65.912999999999997</v>
      </c>
      <c r="T9" s="61">
        <v>61.872</v>
      </c>
      <c r="U9" s="61">
        <v>66.385999999999996</v>
      </c>
      <c r="V9" s="61">
        <v>63.290999999999997</v>
      </c>
      <c r="W9" s="61">
        <v>75.105999999999995</v>
      </c>
      <c r="X9" s="61">
        <v>57.694000000000003</v>
      </c>
      <c r="Y9" s="61">
        <v>55.837000000000003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659.1037633621321</v>
      </c>
      <c r="C13" s="62">
        <f t="shared" si="6"/>
        <v>671.35241890166026</v>
      </c>
      <c r="D13" s="62">
        <f t="shared" si="6"/>
        <v>784.6989735681758</v>
      </c>
      <c r="E13" s="62">
        <f t="shared" si="6"/>
        <v>676.23809797343858</v>
      </c>
      <c r="F13" s="62">
        <f t="shared" ref="F13:V13" si="7">IF(F3=0,0,F3/F7)</f>
        <v>627.50002923976604</v>
      </c>
      <c r="G13" s="62">
        <f t="shared" si="7"/>
        <v>573.78427356792656</v>
      </c>
      <c r="H13" s="62">
        <f t="shared" si="7"/>
        <v>688.65610445951984</v>
      </c>
      <c r="I13" s="62">
        <f t="shared" si="7"/>
        <v>652.83959234402187</v>
      </c>
      <c r="J13" s="62">
        <f t="shared" si="7"/>
        <v>661.19671363414238</v>
      </c>
      <c r="K13" s="62">
        <f t="shared" si="7"/>
        <v>693.15051432091161</v>
      </c>
      <c r="L13" s="62">
        <f t="shared" si="7"/>
        <v>884.24410158229637</v>
      </c>
      <c r="M13" s="62">
        <f t="shared" si="7"/>
        <v>619.64176279339063</v>
      </c>
      <c r="N13" s="62">
        <f t="shared" si="7"/>
        <v>663.07049625876596</v>
      </c>
      <c r="O13" s="62">
        <f t="shared" si="7"/>
        <v>694.2300118380914</v>
      </c>
      <c r="P13" s="62">
        <f t="shared" si="7"/>
        <v>699.31315006128534</v>
      </c>
      <c r="Q13" s="62">
        <f t="shared" si="7"/>
        <v>741.65658953855973</v>
      </c>
      <c r="R13" s="62">
        <f t="shared" si="7"/>
        <v>800.56205177540664</v>
      </c>
      <c r="S13" s="62">
        <f t="shared" si="7"/>
        <v>850.29194245474059</v>
      </c>
      <c r="T13" s="62">
        <f t="shared" si="7"/>
        <v>765.11757694847552</v>
      </c>
      <c r="U13" s="62">
        <f t="shared" si="7"/>
        <v>772.8198215787578</v>
      </c>
      <c r="V13" s="62">
        <f t="shared" si="7"/>
        <v>739.32964904822643</v>
      </c>
      <c r="W13" s="62">
        <f t="shared" ref="W13:Y13" si="8">IF(W3=0,0,W3/W7)</f>
        <v>646.32929000372008</v>
      </c>
      <c r="X13" s="62">
        <f t="shared" si="8"/>
        <v>768.71684798588649</v>
      </c>
      <c r="Y13" s="62">
        <f t="shared" si="8"/>
        <v>748.66894703938544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2211.145263157895</v>
      </c>
      <c r="C14" s="63">
        <f t="shared" si="6"/>
        <v>2307.3005181347153</v>
      </c>
      <c r="D14" s="63">
        <f t="shared" si="6"/>
        <v>2471.2321428571427</v>
      </c>
      <c r="E14" s="63">
        <f t="shared" si="6"/>
        <v>2494.6091549295779</v>
      </c>
      <c r="F14" s="63">
        <f t="shared" ref="F14:V14" si="9">IF(F4=0,0,F4/F8)</f>
        <v>2551.7964285714284</v>
      </c>
      <c r="G14" s="63">
        <f t="shared" si="9"/>
        <v>2590.4250000000002</v>
      </c>
      <c r="H14" s="63">
        <f t="shared" si="9"/>
        <v>2582.8496732026142</v>
      </c>
      <c r="I14" s="63">
        <f t="shared" si="9"/>
        <v>2656.4201680672268</v>
      </c>
      <c r="J14" s="63">
        <f t="shared" si="9"/>
        <v>2703.3009118541031</v>
      </c>
      <c r="K14" s="63">
        <f t="shared" si="9"/>
        <v>2671.7086956521739</v>
      </c>
      <c r="L14" s="63">
        <f t="shared" si="9"/>
        <v>2702.8484848484845</v>
      </c>
      <c r="M14" s="63">
        <f t="shared" si="9"/>
        <v>2487.1155378486055</v>
      </c>
      <c r="N14" s="63">
        <f t="shared" si="9"/>
        <v>2536.5286624203823</v>
      </c>
      <c r="O14" s="63">
        <f t="shared" si="9"/>
        <v>2540.0414364640883</v>
      </c>
      <c r="P14" s="63">
        <f t="shared" si="9"/>
        <v>2519.0743034055727</v>
      </c>
      <c r="Q14" s="63">
        <f t="shared" si="9"/>
        <v>2715.4062499999995</v>
      </c>
      <c r="R14" s="63">
        <f t="shared" si="9"/>
        <v>2845.3415841584156</v>
      </c>
      <c r="S14" s="63">
        <f t="shared" si="9"/>
        <v>2870.5708812260536</v>
      </c>
      <c r="T14" s="63">
        <f t="shared" si="9"/>
        <v>2803.9767441860467</v>
      </c>
      <c r="U14" s="63">
        <f t="shared" si="9"/>
        <v>2719.3686868686864</v>
      </c>
      <c r="V14" s="63">
        <f t="shared" si="9"/>
        <v>2788.4864864864862</v>
      </c>
      <c r="W14" s="63">
        <f t="shared" ref="W14:Y14" si="10">IF(W4=0,0,W4/W8)</f>
        <v>2783.4135802469136</v>
      </c>
      <c r="X14" s="63">
        <f t="shared" si="10"/>
        <v>2665.8699186991871</v>
      </c>
      <c r="Y14" s="63">
        <f t="shared" si="10"/>
        <v>2758.3175675675675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651.87328364064342</v>
      </c>
      <c r="C15" s="64">
        <f t="shared" si="6"/>
        <v>664.87501153976348</v>
      </c>
      <c r="D15" s="64">
        <f t="shared" si="6"/>
        <v>776.69644370203594</v>
      </c>
      <c r="E15" s="64">
        <f t="shared" si="6"/>
        <v>670.28584601198702</v>
      </c>
      <c r="F15" s="64">
        <f t="shared" ref="F15:V15" si="11">IF(F5=0,0,F5/F9)</f>
        <v>622.23416731821737</v>
      </c>
      <c r="G15" s="64">
        <f t="shared" si="11"/>
        <v>569.48405611678265</v>
      </c>
      <c r="H15" s="64">
        <f t="shared" si="11"/>
        <v>682.4727970983572</v>
      </c>
      <c r="I15" s="64">
        <f t="shared" si="11"/>
        <v>645.70236883593759</v>
      </c>
      <c r="J15" s="64">
        <f t="shared" si="11"/>
        <v>654.33372490934164</v>
      </c>
      <c r="K15" s="64">
        <f t="shared" si="11"/>
        <v>687.52856878127125</v>
      </c>
      <c r="L15" s="64">
        <f t="shared" si="11"/>
        <v>879.16090234055173</v>
      </c>
      <c r="M15" s="64">
        <f t="shared" si="11"/>
        <v>614.40805707841582</v>
      </c>
      <c r="N15" s="64">
        <f t="shared" si="11"/>
        <v>656.46781525338122</v>
      </c>
      <c r="O15" s="64">
        <f t="shared" si="11"/>
        <v>686.59275345753804</v>
      </c>
      <c r="P15" s="64">
        <f t="shared" si="11"/>
        <v>692.42576925780975</v>
      </c>
      <c r="Q15" s="64">
        <f t="shared" si="11"/>
        <v>736.61011532212967</v>
      </c>
      <c r="R15" s="64">
        <f t="shared" si="11"/>
        <v>794.52355194292568</v>
      </c>
      <c r="S15" s="64">
        <f t="shared" si="11"/>
        <v>842.29211232988939</v>
      </c>
      <c r="T15" s="64">
        <f t="shared" si="11"/>
        <v>758.0327126971813</v>
      </c>
      <c r="U15" s="64">
        <f t="shared" si="11"/>
        <v>767.01412948513246</v>
      </c>
      <c r="V15" s="64">
        <f t="shared" si="11"/>
        <v>732.1420107124236</v>
      </c>
      <c r="W15" s="64">
        <f t="shared" ref="W15:Y15" si="12">IF(W5=0,0,W5/W9)</f>
        <v>641.71970282001439</v>
      </c>
      <c r="X15" s="64">
        <f t="shared" si="12"/>
        <v>764.6722362810691</v>
      </c>
      <c r="Y15" s="64">
        <f t="shared" si="12"/>
        <v>743.34222827157612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1.5556386379654959E-2</v>
      </c>
      <c r="C18" s="66">
        <f t="shared" si="16"/>
        <v>1.3554051616182219E-2</v>
      </c>
      <c r="D18" s="66">
        <f t="shared" si="16"/>
        <v>1.4872604893092122E-2</v>
      </c>
      <c r="E18" s="66">
        <f t="shared" si="16"/>
        <v>1.2036005489338208E-2</v>
      </c>
      <c r="F18" s="66">
        <f t="shared" ref="F18:V18" si="17">IF(F4=0,0,F4/F$3)</f>
        <v>1.1097954640791783E-2</v>
      </c>
      <c r="G18" s="66">
        <f t="shared" si="17"/>
        <v>9.6063670493121041E-3</v>
      </c>
      <c r="H18" s="66">
        <f t="shared" si="17"/>
        <v>1.2203315130596372E-2</v>
      </c>
      <c r="I18" s="66">
        <f t="shared" si="17"/>
        <v>1.4443367403834171E-2</v>
      </c>
      <c r="J18" s="66">
        <f t="shared" si="17"/>
        <v>1.3694367756933494E-2</v>
      </c>
      <c r="K18" s="66">
        <f t="shared" si="17"/>
        <v>1.0921117831175296E-2</v>
      </c>
      <c r="L18" s="66">
        <f t="shared" si="17"/>
        <v>8.5199338151474117E-3</v>
      </c>
      <c r="M18" s="66">
        <f t="shared" si="17"/>
        <v>1.1217462689887412E-2</v>
      </c>
      <c r="N18" s="66">
        <f t="shared" si="17"/>
        <v>1.3434715702105459E-2</v>
      </c>
      <c r="O18" s="66">
        <f t="shared" si="17"/>
        <v>1.5076284858564578E-2</v>
      </c>
      <c r="P18" s="66">
        <f t="shared" si="17"/>
        <v>1.3582145731674145E-2</v>
      </c>
      <c r="Q18" s="66">
        <f t="shared" si="17"/>
        <v>9.337249395814819E-3</v>
      </c>
      <c r="R18" s="66">
        <f t="shared" si="17"/>
        <v>1.0465050837137245E-2</v>
      </c>
      <c r="S18" s="66">
        <f t="shared" si="17"/>
        <v>1.3315372846132666E-2</v>
      </c>
      <c r="T18" s="66">
        <f t="shared" si="17"/>
        <v>1.2690654263743436E-2</v>
      </c>
      <c r="U18" s="66">
        <f t="shared" si="17"/>
        <v>1.0463696839922161E-2</v>
      </c>
      <c r="V18" s="66">
        <f t="shared" si="17"/>
        <v>1.3183197817988712E-2</v>
      </c>
      <c r="W18" s="66">
        <f t="shared" ref="W18:Y18" si="18">IF(W4=0,0,W4/W$3)</f>
        <v>9.2689073835500405E-3</v>
      </c>
      <c r="X18" s="66">
        <f t="shared" si="18"/>
        <v>7.3777190463824166E-3</v>
      </c>
      <c r="Y18" s="66">
        <f t="shared" si="18"/>
        <v>9.7396752907145077E-3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0.98444361362034516</v>
      </c>
      <c r="C19" s="67">
        <f t="shared" si="19"/>
        <v>0.98644594838381772</v>
      </c>
      <c r="D19" s="67">
        <f t="shared" si="19"/>
        <v>0.98512739510690794</v>
      </c>
      <c r="E19" s="67">
        <f t="shared" si="19"/>
        <v>0.98796399451066186</v>
      </c>
      <c r="F19" s="67">
        <f t="shared" ref="F19:V19" si="20">IF(F5=0,0,F5/F$3)</f>
        <v>0.98890204535920823</v>
      </c>
      <c r="G19" s="67">
        <f t="shared" si="20"/>
        <v>0.99039363295068794</v>
      </c>
      <c r="H19" s="67">
        <f t="shared" si="20"/>
        <v>0.98779668486940364</v>
      </c>
      <c r="I19" s="67">
        <f t="shared" si="20"/>
        <v>0.98555663259616577</v>
      </c>
      <c r="J19" s="67">
        <f t="shared" si="20"/>
        <v>0.98630563224306655</v>
      </c>
      <c r="K19" s="67">
        <f t="shared" si="20"/>
        <v>0.98907888216882467</v>
      </c>
      <c r="L19" s="67">
        <f t="shared" si="20"/>
        <v>0.99148006618485263</v>
      </c>
      <c r="M19" s="67">
        <f t="shared" si="20"/>
        <v>0.98878253731011256</v>
      </c>
      <c r="N19" s="67">
        <f t="shared" si="20"/>
        <v>0.98656528429789447</v>
      </c>
      <c r="O19" s="67">
        <f t="shared" si="20"/>
        <v>0.9849237151414354</v>
      </c>
      <c r="P19" s="67">
        <f t="shared" si="20"/>
        <v>0.98641785426832584</v>
      </c>
      <c r="Q19" s="67">
        <f t="shared" si="20"/>
        <v>0.99066275060418518</v>
      </c>
      <c r="R19" s="67">
        <f t="shared" si="20"/>
        <v>0.98953494916286278</v>
      </c>
      <c r="S19" s="67">
        <f t="shared" si="20"/>
        <v>0.9866846271538674</v>
      </c>
      <c r="T19" s="67">
        <f t="shared" si="20"/>
        <v>0.98730934573625651</v>
      </c>
      <c r="U19" s="67">
        <f t="shared" si="20"/>
        <v>0.9895363031600779</v>
      </c>
      <c r="V19" s="67">
        <f t="shared" si="20"/>
        <v>0.98681680218201129</v>
      </c>
      <c r="W19" s="67">
        <f t="shared" ref="W19:Y19" si="21">IF(W5=0,0,W5/W$3)</f>
        <v>0.99073109261644998</v>
      </c>
      <c r="X19" s="67">
        <f t="shared" si="21"/>
        <v>0.99262228095361749</v>
      </c>
      <c r="Y19" s="67">
        <f t="shared" si="21"/>
        <v>0.99026032470928549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4.6370869331771375E-3</v>
      </c>
      <c r="C22" s="66">
        <f t="shared" si="25"/>
        <v>3.943805874840358E-3</v>
      </c>
      <c r="D22" s="66">
        <f t="shared" si="25"/>
        <v>4.7225501770956314E-3</v>
      </c>
      <c r="E22" s="66">
        <f t="shared" si="25"/>
        <v>3.2627177059877757E-3</v>
      </c>
      <c r="F22" s="66">
        <f t="shared" ref="F22:V22" si="26">IF(F8=0,0,F8/F$7)</f>
        <v>2.7290448343079924E-3</v>
      </c>
      <c r="G22" s="66">
        <f t="shared" si="26"/>
        <v>2.1278293480862837E-3</v>
      </c>
      <c r="H22" s="66">
        <f t="shared" si="26"/>
        <v>3.2537268996023225E-3</v>
      </c>
      <c r="I22" s="66">
        <f t="shared" si="26"/>
        <v>3.5495898583146903E-3</v>
      </c>
      <c r="J22" s="66">
        <f t="shared" si="26"/>
        <v>3.3494868871151657E-3</v>
      </c>
      <c r="K22" s="66">
        <f t="shared" si="26"/>
        <v>2.8333846627656301E-3</v>
      </c>
      <c r="L22" s="66">
        <f t="shared" si="26"/>
        <v>2.7873191058055075E-3</v>
      </c>
      <c r="M22" s="66">
        <f t="shared" si="26"/>
        <v>2.7947267625707027E-3</v>
      </c>
      <c r="N22" s="66">
        <f t="shared" si="26"/>
        <v>3.5119506984755454E-3</v>
      </c>
      <c r="O22" s="66">
        <f t="shared" si="26"/>
        <v>4.1205664071392797E-3</v>
      </c>
      <c r="P22" s="66">
        <f t="shared" si="26"/>
        <v>3.7705013716220165E-3</v>
      </c>
      <c r="Q22" s="66">
        <f t="shared" si="26"/>
        <v>2.550274951518211E-3</v>
      </c>
      <c r="R22" s="66">
        <f t="shared" si="26"/>
        <v>2.9444347268380855E-3</v>
      </c>
      <c r="S22" s="66">
        <f t="shared" si="26"/>
        <v>3.9441472481639324E-3</v>
      </c>
      <c r="T22" s="66">
        <f t="shared" si="26"/>
        <v>3.462882729073719E-3</v>
      </c>
      <c r="U22" s="66">
        <f t="shared" si="26"/>
        <v>2.9736873723417044E-3</v>
      </c>
      <c r="V22" s="66">
        <f t="shared" si="26"/>
        <v>3.4953474091918191E-3</v>
      </c>
      <c r="W22" s="66">
        <f t="shared" ref="W22:Y22" si="27">IF(W8=0,0,W8/W$7)</f>
        <v>2.1523090822128926E-3</v>
      </c>
      <c r="X22" s="66">
        <f t="shared" si="27"/>
        <v>2.1274019751976064E-3</v>
      </c>
      <c r="Y22" s="66">
        <f t="shared" si="27"/>
        <v>2.6435652406894702E-3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0.9953629130668229</v>
      </c>
      <c r="C23" s="67">
        <f t="shared" si="28"/>
        <v>0.99605619412515967</v>
      </c>
      <c r="D23" s="67">
        <f t="shared" si="28"/>
        <v>0.99527744982290445</v>
      </c>
      <c r="E23" s="67">
        <f t="shared" si="28"/>
        <v>0.99673728229401215</v>
      </c>
      <c r="F23" s="67">
        <f t="shared" ref="F23:V23" si="29">IF(F9=0,0,F9/F$7)</f>
        <v>0.99727095516569197</v>
      </c>
      <c r="G23" s="67">
        <f t="shared" si="29"/>
        <v>0.9978721706519138</v>
      </c>
      <c r="H23" s="67">
        <f t="shared" si="29"/>
        <v>0.99674627310039765</v>
      </c>
      <c r="I23" s="67">
        <f t="shared" si="29"/>
        <v>0.99645041014168534</v>
      </c>
      <c r="J23" s="67">
        <f t="shared" si="29"/>
        <v>0.99665051311288488</v>
      </c>
      <c r="K23" s="67">
        <f t="shared" si="29"/>
        <v>0.99716661533723427</v>
      </c>
      <c r="L23" s="67">
        <f t="shared" si="29"/>
        <v>0.99721268089419457</v>
      </c>
      <c r="M23" s="67">
        <f t="shared" si="29"/>
        <v>0.99720527323742925</v>
      </c>
      <c r="N23" s="67">
        <f t="shared" si="29"/>
        <v>0.99648804930152457</v>
      </c>
      <c r="O23" s="67">
        <f t="shared" si="29"/>
        <v>0.9958794335928608</v>
      </c>
      <c r="P23" s="67">
        <f t="shared" si="29"/>
        <v>0.99622949862837806</v>
      </c>
      <c r="Q23" s="67">
        <f t="shared" si="29"/>
        <v>0.99744972504848184</v>
      </c>
      <c r="R23" s="67">
        <f t="shared" si="29"/>
        <v>0.99705556527316197</v>
      </c>
      <c r="S23" s="67">
        <f t="shared" si="29"/>
        <v>0.99605585275183617</v>
      </c>
      <c r="T23" s="67">
        <f t="shared" si="29"/>
        <v>0.9965371172709262</v>
      </c>
      <c r="U23" s="67">
        <f t="shared" si="29"/>
        <v>0.9970263126276584</v>
      </c>
      <c r="V23" s="67">
        <f t="shared" si="29"/>
        <v>0.99650465259080812</v>
      </c>
      <c r="W23" s="67">
        <f t="shared" ref="W23:Y23" si="30">IF(W9=0,0,W9/W$7)</f>
        <v>0.99784769091778702</v>
      </c>
      <c r="X23" s="67">
        <f t="shared" si="30"/>
        <v>0.99787259802480244</v>
      </c>
      <c r="Y23" s="67">
        <f t="shared" si="30"/>
        <v>0.99735643475931046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283.46233877901977</v>
      </c>
      <c r="C3" s="62">
        <f t="shared" ref="C3:V3" si="0">SUM(C4,C10)</f>
        <v>273.19191745485819</v>
      </c>
      <c r="D3" s="62">
        <f t="shared" si="0"/>
        <v>238.27265692175399</v>
      </c>
      <c r="E3" s="62">
        <f t="shared" si="0"/>
        <v>247.83783319002583</v>
      </c>
      <c r="F3" s="62">
        <f t="shared" si="0"/>
        <v>279.58572656921751</v>
      </c>
      <c r="G3" s="62">
        <f t="shared" si="0"/>
        <v>322.59140154772132</v>
      </c>
      <c r="H3" s="62">
        <f t="shared" si="0"/>
        <v>275.50851246775579</v>
      </c>
      <c r="I3" s="62">
        <f t="shared" si="0"/>
        <v>293.02906276870158</v>
      </c>
      <c r="J3" s="62">
        <f t="shared" si="0"/>
        <v>300.11014617368869</v>
      </c>
      <c r="K3" s="62">
        <f t="shared" si="0"/>
        <v>285.83705932932071</v>
      </c>
      <c r="L3" s="62">
        <f t="shared" si="0"/>
        <v>277.64746345657778</v>
      </c>
      <c r="M3" s="62">
        <f t="shared" si="0"/>
        <v>307.4018056749785</v>
      </c>
      <c r="N3" s="62">
        <f t="shared" si="0"/>
        <v>289.96208082545138</v>
      </c>
      <c r="O3" s="62">
        <f t="shared" si="0"/>
        <v>289.96208082545144</v>
      </c>
      <c r="P3" s="62">
        <f t="shared" si="0"/>
        <v>304.34402407566643</v>
      </c>
      <c r="Q3" s="62">
        <f t="shared" si="0"/>
        <v>319.04961306964742</v>
      </c>
      <c r="R3" s="62">
        <f t="shared" si="0"/>
        <v>269.00429922613932</v>
      </c>
      <c r="S3" s="62">
        <f t="shared" si="0"/>
        <v>244.12794496990537</v>
      </c>
      <c r="T3" s="62">
        <f t="shared" si="0"/>
        <v>255.32785898538259</v>
      </c>
      <c r="U3" s="62">
        <f t="shared" si="0"/>
        <v>270.67755803955288</v>
      </c>
      <c r="V3" s="62">
        <f t="shared" si="0"/>
        <v>270.6901977644024</v>
      </c>
      <c r="W3" s="62">
        <f t="shared" ref="W3:Y3" si="1">SUM(W4,W10)</f>
        <v>367.38013757523652</v>
      </c>
      <c r="X3" s="62">
        <f t="shared" si="1"/>
        <v>236.21857265692182</v>
      </c>
      <c r="Y3" s="62">
        <f t="shared" si="1"/>
        <v>235.30352536543421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12.050494197899095</v>
      </c>
      <c r="C4" s="71">
        <f t="shared" ref="C4:V4" si="2">SUM(C5:C9)</f>
        <v>9.9466272554582691</v>
      </c>
      <c r="D4" s="71">
        <f t="shared" si="2"/>
        <v>10.723221157133802</v>
      </c>
      <c r="E4" s="71">
        <f t="shared" si="2"/>
        <v>7.8000855765544035</v>
      </c>
      <c r="F4" s="71">
        <f t="shared" si="2"/>
        <v>7.4745770980958826</v>
      </c>
      <c r="G4" s="71">
        <f t="shared" si="2"/>
        <v>7.0683616019016586</v>
      </c>
      <c r="H4" s="71">
        <f t="shared" si="2"/>
        <v>8.8313181829211302</v>
      </c>
      <c r="I4" s="71">
        <f t="shared" si="2"/>
        <v>10.315213308568438</v>
      </c>
      <c r="J4" s="71">
        <f t="shared" si="2"/>
        <v>10.571095543001061</v>
      </c>
      <c r="K4" s="71">
        <f t="shared" si="2"/>
        <v>8.1427784169394393</v>
      </c>
      <c r="L4" s="71">
        <f t="shared" si="2"/>
        <v>7.8253110805357506</v>
      </c>
      <c r="M4" s="71">
        <f t="shared" si="2"/>
        <v>9.2028757508992705</v>
      </c>
      <c r="N4" s="71">
        <f t="shared" si="2"/>
        <v>10.469785564389319</v>
      </c>
      <c r="O4" s="71">
        <f t="shared" si="2"/>
        <v>11.778482835622444</v>
      </c>
      <c r="P4" s="71">
        <f t="shared" si="2"/>
        <v>11.566280542790793</v>
      </c>
      <c r="Q4" s="71">
        <f t="shared" si="2"/>
        <v>8.1130849415392259</v>
      </c>
      <c r="R4" s="71">
        <f t="shared" si="2"/>
        <v>8.1612729079351798</v>
      </c>
      <c r="S4" s="71">
        <f t="shared" si="2"/>
        <v>10.446756928448037</v>
      </c>
      <c r="T4" s="71">
        <f t="shared" si="2"/>
        <v>9.520350514650719</v>
      </c>
      <c r="U4" s="71">
        <f t="shared" si="2"/>
        <v>8.4947390577057114</v>
      </c>
      <c r="V4" s="71">
        <f t="shared" si="2"/>
        <v>9.4387373099300937</v>
      </c>
      <c r="W4" s="71">
        <f t="shared" ref="W4:Y4" si="3">SUM(W5:W9)</f>
        <v>8.2493191204151994</v>
      </c>
      <c r="X4" s="71">
        <f t="shared" si="3"/>
        <v>5.401222394339972</v>
      </c>
      <c r="Y4" s="71">
        <f t="shared" si="3"/>
        <v>6.6988647785557189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12.050494197899095</v>
      </c>
      <c r="C5" s="73">
        <v>9.9466272554582691</v>
      </c>
      <c r="D5" s="73">
        <v>10.723221157133802</v>
      </c>
      <c r="E5" s="73">
        <v>7.8000855765544035</v>
      </c>
      <c r="F5" s="73">
        <v>7.4745770980958826</v>
      </c>
      <c r="G5" s="73">
        <v>7.0683616019016586</v>
      </c>
      <c r="H5" s="73">
        <v>8.8313181829211302</v>
      </c>
      <c r="I5" s="73">
        <v>10.315213308568438</v>
      </c>
      <c r="J5" s="73">
        <v>10.571095543001061</v>
      </c>
      <c r="K5" s="73">
        <v>8.1427784169394393</v>
      </c>
      <c r="L5" s="73">
        <v>7.8253110805357506</v>
      </c>
      <c r="M5" s="73">
        <v>9.2028757508992705</v>
      </c>
      <c r="N5" s="73">
        <v>10.469785564389319</v>
      </c>
      <c r="O5" s="73">
        <v>11.778482835622444</v>
      </c>
      <c r="P5" s="73">
        <v>11.566280542790793</v>
      </c>
      <c r="Q5" s="73">
        <v>8.1130849415392259</v>
      </c>
      <c r="R5" s="73">
        <v>8.1612729079351798</v>
      </c>
      <c r="S5" s="73">
        <v>10.446756928448037</v>
      </c>
      <c r="T5" s="73">
        <v>9.520350514650719</v>
      </c>
      <c r="U5" s="73">
        <v>8.4947390577057114</v>
      </c>
      <c r="V5" s="73">
        <v>9.4387373099300937</v>
      </c>
      <c r="W5" s="73">
        <v>8.2493191204151994</v>
      </c>
      <c r="X5" s="73">
        <v>5.401222394339972</v>
      </c>
      <c r="Y5" s="73">
        <v>6.6988647785557189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0</v>
      </c>
      <c r="R6" s="73">
        <v>0</v>
      </c>
      <c r="S6" s="73">
        <v>0</v>
      </c>
      <c r="T6" s="73">
        <v>0</v>
      </c>
      <c r="U6" s="73">
        <v>0</v>
      </c>
      <c r="V6" s="73">
        <v>0</v>
      </c>
      <c r="W6" s="73">
        <v>0</v>
      </c>
      <c r="X6" s="73">
        <v>0</v>
      </c>
      <c r="Y6" s="73">
        <v>0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271.4118445811207</v>
      </c>
      <c r="C10" s="71">
        <f t="shared" ref="C10:V10" si="4">SUM(C11:C15)</f>
        <v>263.2452901993999</v>
      </c>
      <c r="D10" s="71">
        <f t="shared" si="4"/>
        <v>227.5494357646202</v>
      </c>
      <c r="E10" s="71">
        <f t="shared" si="4"/>
        <v>240.03774761347142</v>
      </c>
      <c r="F10" s="71">
        <f t="shared" si="4"/>
        <v>272.11114947112162</v>
      </c>
      <c r="G10" s="71">
        <f t="shared" si="4"/>
        <v>315.52303994581968</v>
      </c>
      <c r="H10" s="71">
        <f t="shared" si="4"/>
        <v>266.67719428483468</v>
      </c>
      <c r="I10" s="71">
        <f t="shared" si="4"/>
        <v>282.71384946013313</v>
      </c>
      <c r="J10" s="71">
        <f t="shared" si="4"/>
        <v>289.53905063068765</v>
      </c>
      <c r="K10" s="71">
        <f t="shared" si="4"/>
        <v>277.69428091238126</v>
      </c>
      <c r="L10" s="71">
        <f t="shared" si="4"/>
        <v>269.82215237604203</v>
      </c>
      <c r="M10" s="71">
        <f t="shared" si="4"/>
        <v>298.19892992407921</v>
      </c>
      <c r="N10" s="71">
        <f t="shared" si="4"/>
        <v>279.49229526106205</v>
      </c>
      <c r="O10" s="71">
        <f t="shared" si="4"/>
        <v>278.18359798982897</v>
      </c>
      <c r="P10" s="71">
        <f t="shared" si="4"/>
        <v>292.77774353287566</v>
      </c>
      <c r="Q10" s="71">
        <f t="shared" si="4"/>
        <v>310.93652812810819</v>
      </c>
      <c r="R10" s="71">
        <f t="shared" si="4"/>
        <v>260.84302631820412</v>
      </c>
      <c r="S10" s="71">
        <f t="shared" si="4"/>
        <v>233.68118804145735</v>
      </c>
      <c r="T10" s="71">
        <f t="shared" si="4"/>
        <v>245.80750847073188</v>
      </c>
      <c r="U10" s="71">
        <f t="shared" si="4"/>
        <v>262.18281898184716</v>
      </c>
      <c r="V10" s="71">
        <f t="shared" si="4"/>
        <v>261.25146045447229</v>
      </c>
      <c r="W10" s="71">
        <f t="shared" ref="W10:Y10" si="5">SUM(W11:W15)</f>
        <v>359.13081845482134</v>
      </c>
      <c r="X10" s="71">
        <f t="shared" si="5"/>
        <v>230.81735026258184</v>
      </c>
      <c r="Y10" s="71">
        <f t="shared" si="5"/>
        <v>228.60466058687848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271.4118445811207</v>
      </c>
      <c r="C11" s="73">
        <v>263.2452901993999</v>
      </c>
      <c r="D11" s="73">
        <v>227.5494357646202</v>
      </c>
      <c r="E11" s="73">
        <v>240.03774761347142</v>
      </c>
      <c r="F11" s="73">
        <v>272.11114947112162</v>
      </c>
      <c r="G11" s="73">
        <v>315.52303994581968</v>
      </c>
      <c r="H11" s="73">
        <v>266.67719428483468</v>
      </c>
      <c r="I11" s="73">
        <v>282.71384946013313</v>
      </c>
      <c r="J11" s="73">
        <v>289.53905063068765</v>
      </c>
      <c r="K11" s="73">
        <v>277.69428091238126</v>
      </c>
      <c r="L11" s="73">
        <v>269.82215237604203</v>
      </c>
      <c r="M11" s="73">
        <v>298.19892992407921</v>
      </c>
      <c r="N11" s="73">
        <v>279.49229526106205</v>
      </c>
      <c r="O11" s="73">
        <v>278.18359798982897</v>
      </c>
      <c r="P11" s="73">
        <v>292.77774353287566</v>
      </c>
      <c r="Q11" s="73">
        <v>310.93652812810819</v>
      </c>
      <c r="R11" s="73">
        <v>260.84302631820412</v>
      </c>
      <c r="S11" s="73">
        <v>233.68118804145735</v>
      </c>
      <c r="T11" s="73">
        <v>245.80750847073188</v>
      </c>
      <c r="U11" s="73">
        <v>262.18281898184716</v>
      </c>
      <c r="V11" s="73">
        <v>261.25146045447229</v>
      </c>
      <c r="W11" s="73">
        <v>359.13081845482134</v>
      </c>
      <c r="X11" s="73">
        <v>230.81735026258184</v>
      </c>
      <c r="Y11" s="73">
        <v>228.60466058687848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0</v>
      </c>
      <c r="R12" s="73">
        <v>0</v>
      </c>
      <c r="S12" s="73">
        <v>0</v>
      </c>
      <c r="T12" s="73">
        <v>0</v>
      </c>
      <c r="U12" s="73">
        <v>0</v>
      </c>
      <c r="V12" s="73">
        <v>0</v>
      </c>
      <c r="W12" s="73">
        <v>0</v>
      </c>
      <c r="X12" s="73">
        <v>0</v>
      </c>
      <c r="Y12" s="73">
        <v>0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276.72410677895232</v>
      </c>
      <c r="C19" s="62">
        <f>IF(C3=0,0,C3/TrNavi_act!C7*100)</f>
        <v>279.12328731019994</v>
      </c>
      <c r="D19" s="62">
        <f>IF(D3=0,0,D3/TrNavi_act!D7*100)</f>
        <v>287.05473932216228</v>
      </c>
      <c r="E19" s="62">
        <f>IF(E3=0,0,E3/TrNavi_act!E7*100)</f>
        <v>284.72707273335993</v>
      </c>
      <c r="F19" s="62">
        <f>IF(F3=0,0,F3/TrNavi_act!F7*100)</f>
        <v>272.50070815713212</v>
      </c>
      <c r="G19" s="62">
        <f>IF(G3=0,0,G3/TrNavi_act!G7*100)</f>
        <v>286.00810485563682</v>
      </c>
      <c r="H19" s="62">
        <f>IF(H3=0,0,H3/TrNavi_act!H7*100)</f>
        <v>292.95080329599961</v>
      </c>
      <c r="I19" s="62">
        <f>IF(I3=0,0,I3/TrNavi_act!I7*100)</f>
        <v>291.35377854208457</v>
      </c>
      <c r="J19" s="62">
        <f>IF(J3=0,0,J3/TrNavi_act!J7*100)</f>
        <v>305.53647395105952</v>
      </c>
      <c r="K19" s="62">
        <f>IF(K3=0,0,K3/TrNavi_act!K7*100)</f>
        <v>352.12449563205507</v>
      </c>
      <c r="L19" s="62">
        <f>IF(L3=0,0,L3/TrNavi_act!L7*100)</f>
        <v>390.85458564189685</v>
      </c>
      <c r="M19" s="62">
        <f>IF(M3=0,0,M3/TrNavi_act!M7*100)</f>
        <v>342.27253114837487</v>
      </c>
      <c r="N19" s="62">
        <f>IF(N3=0,0,N3/TrNavi_act!N7*100)</f>
        <v>324.3097236580785</v>
      </c>
      <c r="O19" s="62">
        <f>IF(O3=0,0,O3/TrNavi_act!O7*100)</f>
        <v>330.0574612136906</v>
      </c>
      <c r="P19" s="62">
        <f>IF(P3=0,0,P3/TrNavi_act!P7*100)</f>
        <v>355.27230966633567</v>
      </c>
      <c r="Q19" s="62">
        <f>IF(Q3=0,0,Q3/TrNavi_act!Q7*100)</f>
        <v>423.78345651203074</v>
      </c>
      <c r="R19" s="62">
        <f>IF(R3=0,0,R3/TrNavi_act!R7*100)</f>
        <v>392.11168332187532</v>
      </c>
      <c r="S19" s="62">
        <f>IF(S3=0,0,S3/TrNavi_act!S7*100)</f>
        <v>368.91822312374256</v>
      </c>
      <c r="T19" s="62">
        <f>IF(T3=0,0,T3/TrNavi_act!T7*100)</f>
        <v>411.24206192179133</v>
      </c>
      <c r="U19" s="62">
        <f>IF(U3=0,0,U3/TrNavi_act!U7*100)</f>
        <v>406.52042238308439</v>
      </c>
      <c r="V19" s="62">
        <f>IF(V3=0,0,V3/TrNavi_act!V7*100)</f>
        <v>426.1965231754167</v>
      </c>
      <c r="W19" s="62">
        <f>IF(W3=0,0,W3/TrNavi_act!W7*100)</f>
        <v>488.09605353568122</v>
      </c>
      <c r="X19" s="62">
        <f>IF(X3=0,0,X3/TrNavi_act!X7*100)</f>
        <v>408.562486218451</v>
      </c>
      <c r="Y19" s="62">
        <f>IF(Y3=0,0,Y3/TrNavi_act!Y7*100)</f>
        <v>420.29744639713169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2536.9461469261255</v>
      </c>
      <c r="C20" s="63">
        <f>IF(C4=0,0,C4/TrNavi_act!C8*100)</f>
        <v>2576.8464392378933</v>
      </c>
      <c r="D20" s="63">
        <f>IF(D4=0,0,D4/TrNavi_act!D8*100)</f>
        <v>2735.5156013096434</v>
      </c>
      <c r="E20" s="63">
        <f>IF(E4=0,0,E4/TrNavi_act!E8*100)</f>
        <v>2746.5090058290157</v>
      </c>
      <c r="F20" s="63">
        <f>IF(F4=0,0,F4/TrNavi_act!F8*100)</f>
        <v>2669.4918207485289</v>
      </c>
      <c r="G20" s="63">
        <f>IF(G4=0,0,G4/TrNavi_act!G8*100)</f>
        <v>2945.1506674590246</v>
      </c>
      <c r="H20" s="63">
        <f>IF(H4=0,0,H4/TrNavi_act!H8*100)</f>
        <v>2886.0516937650755</v>
      </c>
      <c r="I20" s="63">
        <f>IF(I4=0,0,I4/TrNavi_act!I8*100)</f>
        <v>2889.4154925962011</v>
      </c>
      <c r="J20" s="63">
        <f>IF(J4=0,0,J4/TrNavi_act!J8*100)</f>
        <v>3213.0989492404437</v>
      </c>
      <c r="K20" s="63">
        <f>IF(K4=0,0,K4/TrNavi_act!K8*100)</f>
        <v>3540.3384421475821</v>
      </c>
      <c r="L20" s="63">
        <f>IF(L4=0,0,L4/TrNavi_act!L8*100)</f>
        <v>3952.1773134018945</v>
      </c>
      <c r="M20" s="63">
        <f>IF(M4=0,0,M4/TrNavi_act!M8*100)</f>
        <v>3666.4843629080756</v>
      </c>
      <c r="N20" s="63">
        <f>IF(N4=0,0,N4/TrNavi_act!N8*100)</f>
        <v>3334.3266128628406</v>
      </c>
      <c r="O20" s="63">
        <f>IF(O4=0,0,O4/TrNavi_act!O8*100)</f>
        <v>3253.7245402271951</v>
      </c>
      <c r="P20" s="63">
        <f>IF(P4=0,0,P4/TrNavi_act!P8*100)</f>
        <v>3580.8918089135582</v>
      </c>
      <c r="Q20" s="63">
        <f>IF(Q4=0,0,Q4/TrNavi_act!Q8*100)</f>
        <v>4225.5650737183469</v>
      </c>
      <c r="R20" s="63">
        <f>IF(R4=0,0,R4/TrNavi_act!R8*100)</f>
        <v>4040.2341128391972</v>
      </c>
      <c r="S20" s="63">
        <f>IF(S4=0,0,S4/TrNavi_act!S8*100)</f>
        <v>4002.5888614743435</v>
      </c>
      <c r="T20" s="63">
        <f>IF(T4=0,0,T4/TrNavi_act!T8*100)</f>
        <v>4428.0700068142878</v>
      </c>
      <c r="U20" s="63">
        <f>IF(U4=0,0,U4/TrNavi_act!U8*100)</f>
        <v>4290.2722513665203</v>
      </c>
      <c r="V20" s="63">
        <f>IF(V4=0,0,V4/TrNavi_act!V8*100)</f>
        <v>4251.6834729414841</v>
      </c>
      <c r="W20" s="63">
        <f>IF(W4=0,0,W4/TrNavi_act!W8*100)</f>
        <v>5092.1722965525923</v>
      </c>
      <c r="X20" s="63">
        <f>IF(X4=0,0,X4/TrNavi_act!X8*100)</f>
        <v>4391.2377189755871</v>
      </c>
      <c r="Y20" s="63">
        <f>IF(Y4=0,0,Y4/TrNavi_act!Y8*100)</f>
        <v>4526.2599855106209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266.19443368097365</v>
      </c>
      <c r="C21" s="64">
        <f>IF(C10=0,0,C10/TrNavi_act!C9*100)</f>
        <v>270.02563386576935</v>
      </c>
      <c r="D21" s="64">
        <f>IF(D10=0,0,D10/TrNavi_act!D9*100)</f>
        <v>275.43689418817661</v>
      </c>
      <c r="E21" s="64">
        <f>IF(E10=0,0,E10/TrNavi_act!E9*100)</f>
        <v>276.66868097449446</v>
      </c>
      <c r="F21" s="64">
        <f>IF(F10=0,0,F10/TrNavi_act!F9*100)</f>
        <v>265.94131105465368</v>
      </c>
      <c r="G21" s="64">
        <f>IF(G10=0,0,G10/TrNavi_act!G9*100)</f>
        <v>280.33783790976503</v>
      </c>
      <c r="H21" s="64">
        <f>IF(H10=0,0,H10/TrNavi_act!H9*100)</f>
        <v>284.48601907919209</v>
      </c>
      <c r="I21" s="64">
        <f>IF(I10=0,0,I10/TrNavi_act!I9*100)</f>
        <v>282.09887391499842</v>
      </c>
      <c r="J21" s="64">
        <f>IF(J10=0,0,J10/TrNavi_act!J9*100)</f>
        <v>295.76490181386964</v>
      </c>
      <c r="K21" s="64">
        <f>IF(K10=0,0,K10/TrNavi_act!K9*100)</f>
        <v>343.06539120684579</v>
      </c>
      <c r="L21" s="64">
        <f>IF(L10=0,0,L10/TrNavi_act!L9*100)</f>
        <v>380.90029698190529</v>
      </c>
      <c r="M21" s="64">
        <f>IF(M10=0,0,M10/TrNavi_act!M9*100)</f>
        <v>332.95623086396893</v>
      </c>
      <c r="N21" s="64">
        <f>IF(N10=0,0,N10/TrNavi_act!N9*100)</f>
        <v>313.70143696173977</v>
      </c>
      <c r="O21" s="64">
        <f>IF(O10=0,0,O10/TrNavi_act!O9*100)</f>
        <v>317.96045032555605</v>
      </c>
      <c r="P21" s="64">
        <f>IF(P10=0,0,P10/TrNavi_act!P9*100)</f>
        <v>343.06407575739456</v>
      </c>
      <c r="Q21" s="64">
        <f>IF(Q10=0,0,Q10/TrNavi_act!Q9*100)</f>
        <v>414.06307844582557</v>
      </c>
      <c r="R21" s="64">
        <f>IF(R10=0,0,R10/TrNavi_act!R9*100)</f>
        <v>381.33830343879436</v>
      </c>
      <c r="S21" s="64">
        <f>IF(S10=0,0,S10/TrNavi_act!S9*100)</f>
        <v>354.52974078172343</v>
      </c>
      <c r="T21" s="64">
        <f>IF(T10=0,0,T10/TrNavi_act!T9*100)</f>
        <v>397.28392240550147</v>
      </c>
      <c r="U21" s="64">
        <f>IF(U10=0,0,U10/TrNavi_act!U9*100)</f>
        <v>394.93691287597863</v>
      </c>
      <c r="V21" s="64">
        <f>IF(V10=0,0,V10/TrNavi_act!V9*100)</f>
        <v>412.77821563014061</v>
      </c>
      <c r="W21" s="64">
        <f>IF(W10=0,0,W10/TrNavi_act!W9*100)</f>
        <v>478.16528433789756</v>
      </c>
      <c r="X21" s="64">
        <f>IF(X10=0,0,X10/TrNavi_act!X9*100)</f>
        <v>400.07167168610573</v>
      </c>
      <c r="Y21" s="64">
        <f>IF(Y10=0,0,Y10/TrNavi_act!Y9*100)</f>
        <v>409.41429623167159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4.1984907712765018</v>
      </c>
      <c r="C23" s="62">
        <f>IF(C3=0,0,C3/TrNavi_act!C3*1000)</f>
        <v>4.1576268953770752</v>
      </c>
      <c r="D23" s="62">
        <f>IF(D3=0,0,D3/TrNavi_act!D3*1000)</f>
        <v>3.6581510743778551</v>
      </c>
      <c r="E23" s="62">
        <f>IF(E3=0,0,E3/TrNavi_act!E3*1000)</f>
        <v>4.2104559560698318</v>
      </c>
      <c r="F23" s="62">
        <f>IF(F3=0,0,F3/TrNavi_act!F3*1000)</f>
        <v>4.342640565089285</v>
      </c>
      <c r="G23" s="62">
        <f>IF(G3=0,0,G3/TrNavi_act!G3*1000)</f>
        <v>4.9845929564637714</v>
      </c>
      <c r="H23" s="62">
        <f>IF(H3=0,0,H3/TrNavi_act!H3*1000)</f>
        <v>4.2539491249542776</v>
      </c>
      <c r="I23" s="62">
        <f>IF(I3=0,0,I3/TrNavi_act!I3*1000)</f>
        <v>4.4628693167333537</v>
      </c>
      <c r="J23" s="62">
        <f>IF(J3=0,0,J3/TrNavi_act!J3*1000)</f>
        <v>4.620961775078043</v>
      </c>
      <c r="K23" s="62">
        <f>IF(K3=0,0,K3/TrNavi_act!K3*1000)</f>
        <v>5.0800582031888979</v>
      </c>
      <c r="L23" s="62">
        <f>IF(L3=0,0,L3/TrNavi_act!L3*1000)</f>
        <v>4.420211397989406</v>
      </c>
      <c r="M23" s="62">
        <f>IF(M3=0,0,M3/TrNavi_act!M3*1000)</f>
        <v>5.5237163099753825</v>
      </c>
      <c r="N23" s="62">
        <f>IF(N3=0,0,N3/TrNavi_act!N3*1000)</f>
        <v>4.8910293172132837</v>
      </c>
      <c r="O23" s="62">
        <f>IF(O3=0,0,O3/TrNavi_act!O3*1000)</f>
        <v>4.754295486877723</v>
      </c>
      <c r="P23" s="62">
        <f>IF(P3=0,0,P3/TrNavi_act!P3*1000)</f>
        <v>5.0803035755183625</v>
      </c>
      <c r="Q23" s="62">
        <f>IF(Q3=0,0,Q3/TrNavi_act!Q3*1000)</f>
        <v>5.7140118821798414</v>
      </c>
      <c r="R23" s="62">
        <f>IF(R3=0,0,R3/TrNavi_act!R3*1000)</f>
        <v>4.8979549112063099</v>
      </c>
      <c r="S23" s="62">
        <f>IF(S3=0,0,S3/TrNavi_act!S3*1000)</f>
        <v>4.3387242040504148</v>
      </c>
      <c r="T23" s="62">
        <f>IF(T3=0,0,T3/TrNavi_act!T3*1000)</f>
        <v>5.3748871325365606</v>
      </c>
      <c r="U23" s="62">
        <f>IF(U3=0,0,U3/TrNavi_act!U3*1000)</f>
        <v>5.2602225128312927</v>
      </c>
      <c r="V23" s="62">
        <f>IF(V3=0,0,V3/TrNavi_act!V3*1000)</f>
        <v>5.7646345405473651</v>
      </c>
      <c r="W23" s="62">
        <f>IF(W3=0,0,W3/TrNavi_act!W3*1000)</f>
        <v>7.5518170239951816</v>
      </c>
      <c r="X23" s="62">
        <f>IF(X3=0,0,X3/TrNavi_act!X3*1000)</f>
        <v>5.3148631682644236</v>
      </c>
      <c r="Y23" s="62">
        <f>IF(Y3=0,0,Y3/TrNavi_act!Y3*1000)</f>
        <v>5.6139292014073741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11.473448575255208</v>
      </c>
      <c r="C24" s="63">
        <f>IF(C4=0,0,C4/TrNavi_act!C4*1000)</f>
        <v>11.168230661695889</v>
      </c>
      <c r="D24" s="63">
        <f>IF(D4=0,0,D4/TrNavi_act!D4*1000)</f>
        <v>11.069440033047426</v>
      </c>
      <c r="E24" s="63">
        <f>IF(E4=0,0,E4/TrNavi_act!E4*1000)</f>
        <v>11.009776823762795</v>
      </c>
      <c r="F24" s="63">
        <f>IF(F4=0,0,F4/TrNavi_act!F4*1000)</f>
        <v>10.461225632496829</v>
      </c>
      <c r="G24" s="63">
        <f>IF(G4=0,0,G4/TrNavi_act!G4*1000)</f>
        <v>11.369372467680108</v>
      </c>
      <c r="H24" s="63">
        <f>IF(H4=0,0,H4/TrNavi_act!H4*1000)</f>
        <v>11.173905023231587</v>
      </c>
      <c r="I24" s="63">
        <f>IF(I4=0,0,I4/TrNavi_act!I4*1000)</f>
        <v>10.877102678747159</v>
      </c>
      <c r="J24" s="63">
        <f>IF(J4=0,0,J4/TrNavi_act!J4*1000)</f>
        <v>11.885835332466511</v>
      </c>
      <c r="K24" s="63">
        <f>IF(K4=0,0,K4/TrNavi_act!K4*1000)</f>
        <v>13.251214280617416</v>
      </c>
      <c r="L24" s="63">
        <f>IF(L4=0,0,L4/TrNavi_act!L4*1000)</f>
        <v>14.62226734334849</v>
      </c>
      <c r="M24" s="63">
        <f>IF(M4=0,0,M4/TrNavi_act!M4*1000)</f>
        <v>14.741914105364174</v>
      </c>
      <c r="N24" s="63">
        <f>IF(N4=0,0,N4/TrNavi_act!N4*1000)</f>
        <v>13.145235306275589</v>
      </c>
      <c r="O24" s="63">
        <f>IF(O4=0,0,O4/TrNavi_act!O4*1000)</f>
        <v>12.809730162341769</v>
      </c>
      <c r="P24" s="63">
        <f>IF(P4=0,0,P4/TrNavi_act!P4*1000)</f>
        <v>14.215109907923317</v>
      </c>
      <c r="Q24" s="63">
        <f>IF(Q4=0,0,Q4/TrNavi_act!Q4*1000)</f>
        <v>15.561447108396202</v>
      </c>
      <c r="R24" s="63">
        <f>IF(R4=0,0,R4/TrNavi_act!R4*1000)</f>
        <v>14.199469530594875</v>
      </c>
      <c r="S24" s="63">
        <f>IF(S4=0,0,S4/TrNavi_act!S4*1000)</f>
        <v>13.943529099566396</v>
      </c>
      <c r="T24" s="63">
        <f>IF(T4=0,0,T4/TrNavi_act!T4*1000)</f>
        <v>15.792106749800066</v>
      </c>
      <c r="U24" s="63">
        <f>IF(U4=0,0,U4/TrNavi_act!U4*1000)</f>
        <v>15.776721531300366</v>
      </c>
      <c r="V24" s="63">
        <f>IF(V4=0,0,V4/TrNavi_act!V4*1000)</f>
        <v>15.247280177063494</v>
      </c>
      <c r="W24" s="63">
        <f>IF(W4=0,0,W4/TrNavi_act!W4*1000)</f>
        <v>18.294702349267375</v>
      </c>
      <c r="X24" s="63">
        <f>IF(X4=0,0,X4/TrNavi_act!X4*1000)</f>
        <v>16.472062977169923</v>
      </c>
      <c r="Y24" s="63">
        <f>IF(Y4=0,0,Y4/TrNavi_act!Y4*1000)</f>
        <v>16.409495551674713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4.0835303480195702</v>
      </c>
      <c r="C25" s="64">
        <f>IF(C10=0,0,C10/TrNavi_act!C5*1000)</f>
        <v>4.0612991792310762</v>
      </c>
      <c r="D25" s="64">
        <f>IF(D10=0,0,D10/TrNavi_act!D5*1000)</f>
        <v>3.5462618172337406</v>
      </c>
      <c r="E25" s="64">
        <f>IF(E10=0,0,E10/TrNavi_act!E5*1000)</f>
        <v>4.1276223065218458</v>
      </c>
      <c r="F25" s="64">
        <f>IF(F10=0,0,F10/TrNavi_act!F5*1000)</f>
        <v>4.2739747352807829</v>
      </c>
      <c r="G25" s="64">
        <f>IF(G10=0,0,G10/TrNavi_act!G5*1000)</f>
        <v>4.9226635038975859</v>
      </c>
      <c r="H25" s="64">
        <f>IF(H10=0,0,H10/TrNavi_act!H5*1000)</f>
        <v>4.1684594651791276</v>
      </c>
      <c r="I25" s="64">
        <f>IF(I10=0,0,I10/TrNavi_act!I5*1000)</f>
        <v>4.3688684993298379</v>
      </c>
      <c r="J25" s="64">
        <f>IF(J10=0,0,J10/TrNavi_act!J5*1000)</f>
        <v>4.5200925850925389</v>
      </c>
      <c r="K25" s="64">
        <f>IF(K10=0,0,K10/TrNavi_act!K5*1000)</f>
        <v>4.9898347033777988</v>
      </c>
      <c r="L25" s="64">
        <f>IF(L10=0,0,L10/TrNavi_act!L5*1000)</f>
        <v>4.3325436330010918</v>
      </c>
      <c r="M25" s="64">
        <f>IF(M10=0,0,M10/TrNavi_act!M5*1000)</f>
        <v>5.419138421576303</v>
      </c>
      <c r="N25" s="64">
        <f>IF(N10=0,0,N10/TrNavi_act!N5*1000)</f>
        <v>4.7786263038753596</v>
      </c>
      <c r="O25" s="64">
        <f>IF(O10=0,0,O10/TrNavi_act!O5*1000)</f>
        <v>4.6309904776066082</v>
      </c>
      <c r="P25" s="64">
        <f>IF(P10=0,0,P10/TrNavi_act!P5*1000)</f>
        <v>4.9545249612115754</v>
      </c>
      <c r="Q25" s="64">
        <f>IF(Q10=0,0,Q10/TrNavi_act!Q5*1000)</f>
        <v>5.6211972905741341</v>
      </c>
      <c r="R25" s="64">
        <f>IF(R10=0,0,R10/TrNavi_act!R5*1000)</f>
        <v>4.799584637941452</v>
      </c>
      <c r="S25" s="64">
        <f>IF(S10=0,0,S10/TrNavi_act!S5*1000)</f>
        <v>4.2091067409030822</v>
      </c>
      <c r="T25" s="64">
        <f>IF(T10=0,0,T10/TrNavi_act!T5*1000)</f>
        <v>5.2409865135227793</v>
      </c>
      <c r="U25" s="64">
        <f>IF(U10=0,0,U10/TrNavi_act!U5*1000)</f>
        <v>5.1490174391061725</v>
      </c>
      <c r="V25" s="64">
        <f>IF(V10=0,0,V10/TrNavi_act!V5*1000)</f>
        <v>5.6379528778642216</v>
      </c>
      <c r="W25" s="64">
        <f>IF(W10=0,0,W10/TrNavi_act!W5*1000)</f>
        <v>7.4513106304297221</v>
      </c>
      <c r="X25" s="64">
        <f>IF(X10=0,0,X10/TrNavi_act!X5*1000)</f>
        <v>5.2319366743564126</v>
      </c>
      <c r="Y25" s="64">
        <f>IF(Y10=0,0,Y10/TrNavi_act!Y5*1000)</f>
        <v>5.5077497370712303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4.2511799803124327E-2</v>
      </c>
      <c r="C28" s="77">
        <f t="shared" si="9"/>
        <v>3.6408936794778468E-2</v>
      </c>
      <c r="D28" s="77">
        <f t="shared" si="9"/>
        <v>4.5003993725789462E-2</v>
      </c>
      <c r="E28" s="77">
        <f t="shared" si="9"/>
        <v>3.1472537812956947E-2</v>
      </c>
      <c r="F28" s="77">
        <f t="shared" si="9"/>
        <v>2.6734473142874797E-2</v>
      </c>
      <c r="G28" s="77">
        <f t="shared" si="9"/>
        <v>2.191119034168066E-2</v>
      </c>
      <c r="H28" s="77">
        <f t="shared" si="9"/>
        <v>3.2054610958544179E-2</v>
      </c>
      <c r="I28" s="77">
        <f t="shared" si="9"/>
        <v>3.5202014472914614E-2</v>
      </c>
      <c r="J28" s="77">
        <f t="shared" si="9"/>
        <v>3.5224052494656551E-2</v>
      </c>
      <c r="K28" s="77">
        <f t="shared" si="9"/>
        <v>2.8487483169766036E-2</v>
      </c>
      <c r="L28" s="77">
        <f t="shared" si="9"/>
        <v>2.8184342054180436E-2</v>
      </c>
      <c r="M28" s="77">
        <f t="shared" si="9"/>
        <v>2.9937611233909398E-2</v>
      </c>
      <c r="N28" s="77">
        <f t="shared" si="9"/>
        <v>3.6107430097702398E-2</v>
      </c>
      <c r="O28" s="77">
        <f t="shared" si="9"/>
        <v>4.062076945403334E-2</v>
      </c>
      <c r="P28" s="77">
        <f t="shared" si="9"/>
        <v>3.8003967969862842E-2</v>
      </c>
      <c r="Q28" s="77">
        <f t="shared" si="9"/>
        <v>2.5428913276156106E-2</v>
      </c>
      <c r="R28" s="77">
        <f t="shared" si="9"/>
        <v>3.0338819607765376E-2</v>
      </c>
      <c r="S28" s="77">
        <f t="shared" si="9"/>
        <v>4.2792138891497453E-2</v>
      </c>
      <c r="T28" s="77">
        <f t="shared" si="9"/>
        <v>3.7286767501527339E-2</v>
      </c>
      <c r="U28" s="77">
        <f t="shared" si="9"/>
        <v>3.1383241075584163E-2</v>
      </c>
      <c r="V28" s="77">
        <f t="shared" ref="V28:W28" si="10">IF(V4=0,0,V4/V$3)</f>
        <v>3.4869150740896727E-2</v>
      </c>
      <c r="W28" s="77">
        <f t="shared" si="10"/>
        <v>2.2454450517825846E-2</v>
      </c>
      <c r="X28" s="77">
        <f t="shared" ref="X28:Y28" si="11">IF(X4=0,0,X4/X$3)</f>
        <v>2.2865358695501804E-2</v>
      </c>
      <c r="Y28" s="77">
        <f t="shared" si="11"/>
        <v>2.8469037036959643E-2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0.95748820019687575</v>
      </c>
      <c r="C29" s="78">
        <f t="shared" si="12"/>
        <v>0.96359106320522148</v>
      </c>
      <c r="D29" s="78">
        <f t="shared" si="12"/>
        <v>0.95499600627421055</v>
      </c>
      <c r="E29" s="78">
        <f t="shared" si="12"/>
        <v>0.968527462187043</v>
      </c>
      <c r="F29" s="78">
        <f t="shared" si="12"/>
        <v>0.9732655268571252</v>
      </c>
      <c r="G29" s="78">
        <f t="shared" si="12"/>
        <v>0.97808880965831935</v>
      </c>
      <c r="H29" s="78">
        <f t="shared" si="12"/>
        <v>0.96794538904145588</v>
      </c>
      <c r="I29" s="78">
        <f t="shared" si="12"/>
        <v>0.9647979855270854</v>
      </c>
      <c r="J29" s="78">
        <f t="shared" si="12"/>
        <v>0.96477594750534357</v>
      </c>
      <c r="K29" s="78">
        <f t="shared" si="12"/>
        <v>0.97151251683023387</v>
      </c>
      <c r="L29" s="78">
        <f t="shared" si="12"/>
        <v>0.97181565794581959</v>
      </c>
      <c r="M29" s="78">
        <f t="shared" si="12"/>
        <v>0.97006238876609052</v>
      </c>
      <c r="N29" s="78">
        <f t="shared" si="12"/>
        <v>0.96389256990229755</v>
      </c>
      <c r="O29" s="78">
        <f t="shared" si="12"/>
        <v>0.95937923054596652</v>
      </c>
      <c r="P29" s="78">
        <f t="shared" si="12"/>
        <v>0.96199603203013728</v>
      </c>
      <c r="Q29" s="78">
        <f t="shared" si="12"/>
        <v>0.97457108672384385</v>
      </c>
      <c r="R29" s="78">
        <f t="shared" si="12"/>
        <v>0.96966118039223459</v>
      </c>
      <c r="S29" s="78">
        <f t="shared" si="12"/>
        <v>0.95720786110850264</v>
      </c>
      <c r="T29" s="78">
        <f t="shared" si="12"/>
        <v>0.96271323249847263</v>
      </c>
      <c r="U29" s="78">
        <f t="shared" si="12"/>
        <v>0.96861675892441579</v>
      </c>
      <c r="V29" s="78">
        <f t="shared" ref="V29:W29" si="13">IF(V10=0,0,V10/V$3)</f>
        <v>0.9651308492591032</v>
      </c>
      <c r="W29" s="78">
        <f t="shared" si="13"/>
        <v>0.9775455494821742</v>
      </c>
      <c r="X29" s="78">
        <f t="shared" ref="X29:Y29" si="14">IF(X10=0,0,X10/X$3)</f>
        <v>0.97713464130449812</v>
      </c>
      <c r="Y29" s="78">
        <f t="shared" si="14"/>
        <v>0.97153096296304031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879.41888892000009</v>
      </c>
      <c r="C3" s="54">
        <f t="shared" ref="C3:V3" si="1">SUM(C4:C5)</f>
        <v>847.55574072000024</v>
      </c>
      <c r="D3" s="54">
        <f t="shared" si="1"/>
        <v>739.22157035999976</v>
      </c>
      <c r="E3" s="54">
        <f t="shared" si="1"/>
        <v>768.89675304000014</v>
      </c>
      <c r="F3" s="54">
        <f t="shared" si="1"/>
        <v>867.39201431999993</v>
      </c>
      <c r="G3" s="54">
        <f t="shared" si="1"/>
        <v>1000.8136288799998</v>
      </c>
      <c r="H3" s="54">
        <f t="shared" si="1"/>
        <v>854.74278864000007</v>
      </c>
      <c r="I3" s="54">
        <f t="shared" si="1"/>
        <v>909.09887327999979</v>
      </c>
      <c r="J3" s="54">
        <f t="shared" si="1"/>
        <v>931.06735956</v>
      </c>
      <c r="K3" s="54">
        <f t="shared" si="1"/>
        <v>886.78626659999998</v>
      </c>
      <c r="L3" s="54">
        <f t="shared" si="1"/>
        <v>861.37871039999993</v>
      </c>
      <c r="M3" s="54">
        <f t="shared" si="1"/>
        <v>953.6891410799999</v>
      </c>
      <c r="N3" s="54">
        <f t="shared" si="1"/>
        <v>899.58381083999996</v>
      </c>
      <c r="O3" s="54">
        <f t="shared" si="1"/>
        <v>899.58381084000007</v>
      </c>
      <c r="P3" s="54">
        <f t="shared" si="1"/>
        <v>944.20262196000033</v>
      </c>
      <c r="Q3" s="54">
        <f t="shared" si="1"/>
        <v>989.82551771999988</v>
      </c>
      <c r="R3" s="54">
        <f t="shared" si="1"/>
        <v>834.56399520000002</v>
      </c>
      <c r="S3" s="54">
        <f t="shared" si="1"/>
        <v>757.38712607999992</v>
      </c>
      <c r="T3" s="54">
        <f t="shared" si="1"/>
        <v>792.13394987999993</v>
      </c>
      <c r="U3" s="54">
        <f t="shared" si="1"/>
        <v>839.75514480000004</v>
      </c>
      <c r="V3" s="54">
        <f t="shared" si="1"/>
        <v>839.79435851999995</v>
      </c>
      <c r="W3" s="54">
        <f t="shared" ref="W3:Y3" si="2">SUM(W4:W5)</f>
        <v>1139.7670455600005</v>
      </c>
      <c r="X3" s="54">
        <f t="shared" si="2"/>
        <v>732.8489407200002</v>
      </c>
      <c r="Y3" s="54">
        <f t="shared" si="2"/>
        <v>730.01008079999997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37.385679748853072</v>
      </c>
      <c r="C4" s="56">
        <v>30.858603393926138</v>
      </c>
      <c r="D4" s="56">
        <v>33.267922914449663</v>
      </c>
      <c r="E4" s="56">
        <v>24.19913213431122</v>
      </c>
      <c r="F4" s="56">
        <v>23.18926851118211</v>
      </c>
      <c r="G4" s="56">
        <v>21.929017918937824</v>
      </c>
      <c r="H4" s="56">
        <v>27.398447559476356</v>
      </c>
      <c r="I4" s="56">
        <v>32.002111694512926</v>
      </c>
      <c r="J4" s="56">
        <v>32.795965549202698</v>
      </c>
      <c r="K4" s="56">
        <v>25.262308844947157</v>
      </c>
      <c r="L4" s="56">
        <v>24.277392212102427</v>
      </c>
      <c r="M4" s="56">
        <v>28.551174743654016</v>
      </c>
      <c r="N4" s="56">
        <v>32.481659566930034</v>
      </c>
      <c r="O4" s="56">
        <v>36.541786584712384</v>
      </c>
      <c r="P4" s="56">
        <v>35.88344620202836</v>
      </c>
      <c r="Q4" s="56">
        <v>25.170187248628196</v>
      </c>
      <c r="R4" s="56">
        <v>25.319686501508773</v>
      </c>
      <c r="S4" s="56">
        <v>32.410215093847448</v>
      </c>
      <c r="T4" s="56">
        <v>29.536114419242068</v>
      </c>
      <c r="U4" s="56">
        <v>26.354238153720484</v>
      </c>
      <c r="V4" s="56">
        <v>29.282916078588549</v>
      </c>
      <c r="W4" s="56">
        <v>25.592842726375579</v>
      </c>
      <c r="X4" s="56">
        <v>16.756853899181344</v>
      </c>
      <c r="Y4" s="56">
        <v>20.7826840276491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842.03320917114706</v>
      </c>
      <c r="C5" s="58">
        <v>816.69713732607408</v>
      </c>
      <c r="D5" s="58">
        <v>705.95364744555013</v>
      </c>
      <c r="E5" s="58">
        <v>744.69762090568895</v>
      </c>
      <c r="F5" s="58">
        <v>844.20274580881778</v>
      </c>
      <c r="G5" s="58">
        <v>978.88461096106198</v>
      </c>
      <c r="H5" s="58">
        <v>827.34434108052369</v>
      </c>
      <c r="I5" s="58">
        <v>877.09676158548689</v>
      </c>
      <c r="J5" s="58">
        <v>898.27139401079728</v>
      </c>
      <c r="K5" s="58">
        <v>861.52395775505283</v>
      </c>
      <c r="L5" s="58">
        <v>837.1013181878975</v>
      </c>
      <c r="M5" s="58">
        <v>925.13796633634593</v>
      </c>
      <c r="N5" s="58">
        <v>867.10215127306992</v>
      </c>
      <c r="O5" s="58">
        <v>863.04202425528763</v>
      </c>
      <c r="P5" s="58">
        <v>908.31917575797195</v>
      </c>
      <c r="Q5" s="58">
        <v>964.65533047137171</v>
      </c>
      <c r="R5" s="58">
        <v>809.2443086984913</v>
      </c>
      <c r="S5" s="58">
        <v>724.97691098615246</v>
      </c>
      <c r="T5" s="58">
        <v>762.59783546075789</v>
      </c>
      <c r="U5" s="58">
        <v>813.40090664627951</v>
      </c>
      <c r="V5" s="58">
        <v>810.51144244141142</v>
      </c>
      <c r="W5" s="58">
        <v>1114.1742028336248</v>
      </c>
      <c r="X5" s="58">
        <v>716.09208682081885</v>
      </c>
      <c r="Y5" s="58">
        <v>709.22739677235086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3.1024188000000001</v>
      </c>
      <c r="C9" s="79">
        <f>IF(C3=0,0,C3/TrNavi_ene!C3)</f>
        <v>3.1024188000000001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3.1024188000000001</v>
      </c>
      <c r="G9" s="79">
        <f>IF(G3=0,0,G3/TrNavi_ene!G3)</f>
        <v>3.1024188000000001</v>
      </c>
      <c r="H9" s="79">
        <f>IF(H3=0,0,H3/TrNavi_ene!H3)</f>
        <v>3.1024188000000006</v>
      </c>
      <c r="I9" s="79">
        <f>IF(I3=0,0,I3/TrNavi_ene!I3)</f>
        <v>3.1024187999999997</v>
      </c>
      <c r="J9" s="79">
        <f>IF(J3=0,0,J3/TrNavi_ene!J3)</f>
        <v>3.1024188000000006</v>
      </c>
      <c r="K9" s="79">
        <f>IF(K3=0,0,K3/TrNavi_ene!K3)</f>
        <v>3.1024188000000001</v>
      </c>
      <c r="L9" s="79">
        <f>IF(L3=0,0,L3/TrNavi_ene!L3)</f>
        <v>3.1024188000000001</v>
      </c>
      <c r="M9" s="79">
        <f>IF(M3=0,0,M3/TrNavi_ene!M3)</f>
        <v>3.1024187999999997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3.1024188000000006</v>
      </c>
      <c r="Q9" s="79">
        <f>IF(Q3=0,0,Q3/TrNavi_ene!Q3)</f>
        <v>3.1024188000000001</v>
      </c>
      <c r="R9" s="79">
        <f>IF(R3=0,0,R3/TrNavi_ene!R3)</f>
        <v>3.1024187999999997</v>
      </c>
      <c r="S9" s="79">
        <f>IF(S3=0,0,S3/TrNavi_ene!S3)</f>
        <v>3.1024188000000001</v>
      </c>
      <c r="T9" s="79">
        <f>IF(T3=0,0,T3/TrNavi_ene!T3)</f>
        <v>3.1024188000000001</v>
      </c>
      <c r="U9" s="79">
        <f>IF(U3=0,0,U3/TrNavi_ene!U3)</f>
        <v>3.1024188000000001</v>
      </c>
      <c r="V9" s="79">
        <f>IF(V3=0,0,V3/TrNavi_ene!V3)</f>
        <v>3.1024187999999997</v>
      </c>
      <c r="W9" s="79">
        <f>IF(W3=0,0,W3/TrNavi_ene!W3)</f>
        <v>3.102418800000001</v>
      </c>
      <c r="X9" s="79">
        <f>IF(X3=0,0,X3/TrNavi_ene!X3)</f>
        <v>3.1024188000000001</v>
      </c>
      <c r="Y9" s="79">
        <f>IF(Y3=0,0,Y3/TrNavi_ene!Y3)</f>
        <v>3.1024188000000001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3.1024187999999997</v>
      </c>
      <c r="K10" s="80">
        <f>IF(K4=0,0,K4/TrNavi_ene!K4)</f>
        <v>3.1024188000000001</v>
      </c>
      <c r="L10" s="80">
        <f>IF(L4=0,0,L4/TrNavi_ene!L4)</f>
        <v>3.1024188000000001</v>
      </c>
      <c r="M10" s="80">
        <f>IF(M4=0,0,M4/TrNavi_ene!M4)</f>
        <v>3.1024188000000001</v>
      </c>
      <c r="N10" s="80">
        <f>IF(N4=0,0,N4/TrNavi_ene!N4)</f>
        <v>3.1024188000000001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3.1024188000000001</v>
      </c>
      <c r="R10" s="80">
        <f>IF(R4=0,0,R4/TrNavi_ene!R4)</f>
        <v>3.1024188000000001</v>
      </c>
      <c r="S10" s="80">
        <f>IF(S4=0,0,S4/TrNavi_ene!S4)</f>
        <v>3.1024188000000001</v>
      </c>
      <c r="T10" s="80">
        <f>IF(T4=0,0,T4/TrNavi_ene!T4)</f>
        <v>3.1024188000000001</v>
      </c>
      <c r="U10" s="80">
        <f>IF(U4=0,0,U4/TrNavi_ene!U4)</f>
        <v>3.1024188000000001</v>
      </c>
      <c r="V10" s="80">
        <f>IF(V4=0,0,V4/TrNavi_ene!V4)</f>
        <v>3.1024188000000001</v>
      </c>
      <c r="W10" s="80">
        <f>IF(W4=0,0,W4/TrNavi_ene!W4)</f>
        <v>3.1024188000000001</v>
      </c>
      <c r="X10" s="80">
        <f>IF(X4=0,0,X4/TrNavi_ene!X4)</f>
        <v>3.1024188000000001</v>
      </c>
      <c r="Y10" s="80">
        <f>IF(Y4=0,0,Y4/TrNavi_ene!Y4)</f>
        <v>3.1024188000000001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3.1024188000000001</v>
      </c>
      <c r="M11" s="81">
        <f>IF(M5=0,0,M5/TrNavi_ene!M10)</f>
        <v>3.1024188000000001</v>
      </c>
      <c r="N11" s="81">
        <f>IF(N5=0,0,N5/TrNavi_ene!N10)</f>
        <v>3.1024188000000001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3.1024188000000001</v>
      </c>
      <c r="R11" s="81">
        <f>IF(R5=0,0,R5/TrNavi_ene!R10)</f>
        <v>3.1024188000000001</v>
      </c>
      <c r="S11" s="81">
        <f>IF(S5=0,0,S5/TrNavi_ene!S10)</f>
        <v>3.1024188000000001</v>
      </c>
      <c r="T11" s="81">
        <f>IF(T5=0,0,T5/TrNavi_ene!T10)</f>
        <v>3.1024188000000001</v>
      </c>
      <c r="U11" s="81">
        <f>IF(U5=0,0,U5/TrNavi_ene!U10)</f>
        <v>3.1024188000000001</v>
      </c>
      <c r="V11" s="81">
        <f>IF(V5=0,0,V5/TrNavi_ene!V10)</f>
        <v>3.1024188000000001</v>
      </c>
      <c r="W11" s="81">
        <f>IF(W5=0,0,W5/TrNavi_ene!W10)</f>
        <v>3.1024188000000006</v>
      </c>
      <c r="X11" s="81">
        <f>IF(X5=0,0,X5/TrNavi_ene!X10)</f>
        <v>3.1024188000000001</v>
      </c>
      <c r="Y11" s="81">
        <f>IF(Y5=0,0,Y5/TrNavi_ene!Y10)</f>
        <v>3.1024188000000001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8585.1407128422925</v>
      </c>
      <c r="C13" s="54">
        <f>IF(C3=0,0,C3/TrNavi_act!C7*1000)</f>
        <v>8659.5733406896579</v>
      </c>
      <c r="D13" s="54">
        <f>IF(D3=0,0,D3/TrNavi_act!D7*1000)</f>
        <v>8905.6401990217546</v>
      </c>
      <c r="E13" s="54">
        <f>IF(E3=0,0,E3/TrNavi_act!E7*1000)</f>
        <v>8833.4262331694317</v>
      </c>
      <c r="F13" s="54">
        <f>IF(F3=0,0,F3/TrNavi_act!F7*1000)</f>
        <v>8454.1131999999998</v>
      </c>
      <c r="G13" s="54">
        <f>IF(G3=0,0,G3/TrNavi_act!G7*1000)</f>
        <v>8873.1692145649904</v>
      </c>
      <c r="H13" s="54">
        <f>IF(H3=0,0,H3/TrNavi_act!H7*1000)</f>
        <v>9088.5607962061131</v>
      </c>
      <c r="I13" s="54">
        <f>IF(I3=0,0,I3/TrNavi_act!I7*1000)</f>
        <v>9039.0143999999982</v>
      </c>
      <c r="J13" s="54">
        <f>IF(J3=0,0,J3/TrNavi_act!J7*1000)</f>
        <v>9479.0210087147752</v>
      </c>
      <c r="K13" s="54">
        <f>IF(K3=0,0,K3/TrNavi_act!K7*1000)</f>
        <v>10924.376551894056</v>
      </c>
      <c r="L13" s="54">
        <f>IF(L3=0,0,L3/TrNavi_act!L7*1000)</f>
        <v>12125.94614561631</v>
      </c>
      <c r="M13" s="54">
        <f>IF(M3=0,0,M3/TrNavi_act!M7*1000)</f>
        <v>10618.727353583039</v>
      </c>
      <c r="N13" s="54">
        <f>IF(N3=0,0,N3/TrNavi_act!N7*1000)</f>
        <v>10061.445836996276</v>
      </c>
      <c r="O13" s="54">
        <f>IF(O3=0,0,O3/TrNavi_act!O7*1000)</f>
        <v>10239.764727496246</v>
      </c>
      <c r="P13" s="54">
        <f>IF(P3=0,0,P3/TrNavi_act!P7*1000)</f>
        <v>11022.034926282617</v>
      </c>
      <c r="Q13" s="54">
        <f>IF(Q3=0,0,Q3/TrNavi_act!Q7*1000)</f>
        <v>13147.537626119065</v>
      </c>
      <c r="R13" s="54">
        <f>IF(R3=0,0,R3/TrNavi_act!R7*1000)</f>
        <v>12164.946580374324</v>
      </c>
      <c r="S13" s="54">
        <f>IF(S3=0,0,S3/TrNavi_act!S7*1000)</f>
        <v>11445.388310816938</v>
      </c>
      <c r="T13" s="54">
        <f>IF(T3=0,0,T3/TrNavi_act!T7*1000)</f>
        <v>12758.451042569297</v>
      </c>
      <c r="U13" s="54">
        <f>IF(U3=0,0,U3/TrNavi_act!U7*1000)</f>
        <v>12611.96600985222</v>
      </c>
      <c r="V13" s="54">
        <f>IF(V3=0,0,V3/TrNavi_act!V7*1000)</f>
        <v>13222.401059940485</v>
      </c>
      <c r="W13" s="54">
        <f>IF(W3=0,0,W3/TrNavi_act!W7*1000)</f>
        <v>15142.783726949041</v>
      </c>
      <c r="X13" s="54">
        <f>IF(X3=0,0,X3/TrNavi_act!X7*1000)</f>
        <v>12675.319382188633</v>
      </c>
      <c r="Y13" s="54">
        <f>IF(Y3=0,0,Y3/TrNavi_act!Y7*1000)</f>
        <v>13039.386992944535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78706.69420811173</v>
      </c>
      <c r="C14" s="56">
        <f>IF(C4=0,0,C4/TrNavi_act!C8*1000)</f>
        <v>79944.568378046999</v>
      </c>
      <c r="D14" s="56">
        <f>IF(D4=0,0,D4/TrNavi_act!D8*1000)</f>
        <v>84867.150291963422</v>
      </c>
      <c r="E14" s="56">
        <f>IF(E4=0,0,E4/TrNavi_act!E8*1000)</f>
        <v>85208.211740532483</v>
      </c>
      <c r="F14" s="56">
        <f>IF(F4=0,0,F4/TrNavi_act!F8*1000)</f>
        <v>82818.816111364664</v>
      </c>
      <c r="G14" s="56">
        <f>IF(G4=0,0,G4/TrNavi_act!G8*1000)</f>
        <v>91370.907995574264</v>
      </c>
      <c r="H14" s="56">
        <f>IF(H4=0,0,H4/TrNavi_act!H8*1000)</f>
        <v>89537.410325086123</v>
      </c>
      <c r="I14" s="56">
        <f>IF(I4=0,0,I4/TrNavi_act!I8*1000)</f>
        <v>89641.769452417167</v>
      </c>
      <c r="J14" s="56">
        <f>IF(J4=0,0,J4/TrNavi_act!J8*1000)</f>
        <v>99683.785863837984</v>
      </c>
      <c r="K14" s="56">
        <f>IF(K4=0,0,K4/TrNavi_act!K8*1000)</f>
        <v>109836.12541281371</v>
      </c>
      <c r="L14" s="56">
        <f>IF(L4=0,0,L4/TrNavi_act!L8*1000)</f>
        <v>122613.09198031529</v>
      </c>
      <c r="M14" s="56">
        <f>IF(M4=0,0,M4/TrNavi_act!M8*1000)</f>
        <v>113749.70017392038</v>
      </c>
      <c r="N14" s="56">
        <f>IF(N4=0,0,N4/TrNavi_act!N8*1000)</f>
        <v>103444.77569085998</v>
      </c>
      <c r="O14" s="56">
        <f>IF(O4=0,0,O4/TrNavi_act!O8*1000)</f>
        <v>100944.16183622205</v>
      </c>
      <c r="P14" s="56">
        <f>IF(P4=0,0,P4/TrNavi_act!P8*1000)</f>
        <v>111094.2606873943</v>
      </c>
      <c r="Q14" s="56">
        <f>IF(Q4=0,0,Q4/TrNavi_act!Q8*1000)</f>
        <v>131094.72525327187</v>
      </c>
      <c r="R14" s="56">
        <f>IF(R4=0,0,R4/TrNavi_act!R8*1000)</f>
        <v>125344.98268073649</v>
      </c>
      <c r="S14" s="56">
        <f>IF(S4=0,0,S4/TrNavi_act!S8*1000)</f>
        <v>124177.06932508601</v>
      </c>
      <c r="T14" s="56">
        <f>IF(T4=0,0,T4/TrNavi_act!T8*1000)</f>
        <v>137377.27636856775</v>
      </c>
      <c r="U14" s="56">
        <f>IF(U4=0,0,U4/TrNavi_act!U8*1000)</f>
        <v>133102.2128975782</v>
      </c>
      <c r="V14" s="56">
        <f>IF(V4=0,0,V4/TrNavi_act!V8*1000)</f>
        <v>131905.0273810295</v>
      </c>
      <c r="W14" s="56">
        <f>IF(W4=0,0,W4/TrNavi_act!W8*1000)</f>
        <v>157980.51065663938</v>
      </c>
      <c r="X14" s="56">
        <f>IF(X4=0,0,X4/TrNavi_act!X8*1000)</f>
        <v>136234.58454618978</v>
      </c>
      <c r="Y14" s="56">
        <f>IF(Y4=0,0,Y4/TrNavi_act!Y8*1000)</f>
        <v>140423.54072735878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8258.4661550720593</v>
      </c>
      <c r="C15" s="58">
        <f>IF(C5=0,0,C5/TrNavi_act!C9*1000)</f>
        <v>8377.3260298707955</v>
      </c>
      <c r="D15" s="58">
        <f>IF(D5=0,0,D5/TrNavi_act!D9*1000)</f>
        <v>8545.2059874300976</v>
      </c>
      <c r="E15" s="58">
        <f>IF(E5=0,0,E5/TrNavi_act!E9*1000)</f>
        <v>8583.4211722647415</v>
      </c>
      <c r="F15" s="58">
        <f>IF(F5=0,0,F5/TrNavi_act!F9*1000)</f>
        <v>8250.6132311260553</v>
      </c>
      <c r="G15" s="58">
        <f>IF(G5=0,0,G5/TrNavi_act!G9*1000)</f>
        <v>8697.2537868260788</v>
      </c>
      <c r="H15" s="58">
        <f>IF(H5=0,0,H5/TrNavi_act!H9*1000)</f>
        <v>8825.9477392844419</v>
      </c>
      <c r="I15" s="58">
        <f>IF(I5=0,0,I5/TrNavi_act!I9*1000)</f>
        <v>8751.8884989272083</v>
      </c>
      <c r="J15" s="58">
        <f>IF(J5=0,0,J5/TrNavi_act!J9*1000)</f>
        <v>9175.8659176750334</v>
      </c>
      <c r="K15" s="58">
        <f>IF(K5=0,0,K5/TrNavi_act!K9*1000)</f>
        <v>10643.32519309473</v>
      </c>
      <c r="L15" s="58">
        <f>IF(L5=0,0,L5/TrNavi_act!L9*1000)</f>
        <v>11817.122422822462</v>
      </c>
      <c r="M15" s="58">
        <f>IF(M5=0,0,M5/TrNavi_act!M9*1000)</f>
        <v>10329.696702095172</v>
      </c>
      <c r="N15" s="58">
        <f>IF(N5=0,0,N5/TrNavi_act!N9*1000)</f>
        <v>9732.3323561711659</v>
      </c>
      <c r="O15" s="58">
        <f>IF(O5=0,0,O5/TrNavi_act!O9*1000)</f>
        <v>9864.4647874647126</v>
      </c>
      <c r="P15" s="58">
        <f>IF(P5=0,0,P5/TrNavi_act!P9*1000)</f>
        <v>10643.284382343651</v>
      </c>
      <c r="Q15" s="58">
        <f>IF(Q5=0,0,Q5/TrNavi_act!Q9*1000)</f>
        <v>12845.970789562039</v>
      </c>
      <c r="R15" s="58">
        <f>IF(R5=0,0,R5/TrNavi_act!R9*1000)</f>
        <v>11830.711217486205</v>
      </c>
      <c r="S15" s="58">
        <f>IF(S5=0,0,S5/TrNavi_act!S9*1000)</f>
        <v>10998.997329603455</v>
      </c>
      <c r="T15" s="58">
        <f>IF(T5=0,0,T5/TrNavi_act!T9*1000)</f>
        <v>12325.411098085691</v>
      </c>
      <c r="U15" s="58">
        <f>IF(U5=0,0,U5/TrNavi_act!U9*1000)</f>
        <v>12252.597033203981</v>
      </c>
      <c r="V15" s="58">
        <f>IF(V5=0,0,V5/TrNavi_act!V9*1000)</f>
        <v>12806.108964014022</v>
      </c>
      <c r="W15" s="58">
        <f>IF(W5=0,0,W5/TrNavi_act!W9*1000)</f>
        <v>14834.689676372393</v>
      </c>
      <c r="X15" s="58">
        <f>IF(X5=0,0,X5/TrNavi_act!X9*1000)</f>
        <v>12411.89875586402</v>
      </c>
      <c r="Y15" s="58">
        <f>IF(Y5=0,0,Y5/TrNavi_act!Y9*1000)</f>
        <v>12701.746096179071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13.025476700434721</v>
      </c>
      <c r="C17" s="62">
        <f>IF(C3=0,0,C3/TrNavi_act!C3*1000)</f>
        <v>12.898699843603472</v>
      </c>
      <c r="D17" s="62">
        <f>IF(D3=0,0,D3/TrNavi_act!D3*1000)</f>
        <v>11.349116666390056</v>
      </c>
      <c r="E17" s="62">
        <f>IF(E3=0,0,E3/TrNavi_act!E3*1000)</f>
        <v>13.062597714683022</v>
      </c>
      <c r="F17" s="62">
        <f>IF(F3=0,0,F3/TrNavi_act!F3*1000)</f>
        <v>13.472689730775624</v>
      </c>
      <c r="G17" s="62">
        <f>IF(G3=0,0,G3/TrNavi_act!G3*1000)</f>
        <v>15.464294898480786</v>
      </c>
      <c r="H17" s="62">
        <f>IF(H3=0,0,H3/TrNavi_act!H3*1000)</f>
        <v>13.197531739501704</v>
      </c>
      <c r="I17" s="62">
        <f>IF(I3=0,0,I3/TrNavi_act!I3*1000)</f>
        <v>13.845689670176709</v>
      </c>
      <c r="J17" s="62">
        <f>IF(J3=0,0,J3/TrNavi_act!J3*1000)</f>
        <v>14.336158685083495</v>
      </c>
      <c r="K17" s="62">
        <f>IF(K3=0,0,K3/TrNavi_act!K3*1000)</f>
        <v>15.760468074667456</v>
      </c>
      <c r="L17" s="62">
        <f>IF(L3=0,0,L3/TrNavi_act!L3*1000)</f>
        <v>13.713346941096615</v>
      </c>
      <c r="M17" s="62">
        <f>IF(M3=0,0,M3/TrNavi_act!M3*1000)</f>
        <v>17.136881325934255</v>
      </c>
      <c r="N17" s="62">
        <f>IF(N3=0,0,N3/TrNavi_act!N3*1000)</f>
        <v>15.174021305073655</v>
      </c>
      <c r="O17" s="62">
        <f>IF(O3=0,0,O3/TrNavi_act!O3*1000)</f>
        <v>14.7498156992446</v>
      </c>
      <c r="P17" s="62">
        <f>IF(P3=0,0,P3/TrNavi_act!P3*1000)</f>
        <v>15.761229322395391</v>
      </c>
      <c r="Q17" s="62">
        <f>IF(Q3=0,0,Q3/TrNavi_act!Q3*1000)</f>
        <v>17.727257886698123</v>
      </c>
      <c r="R17" s="62">
        <f>IF(R3=0,0,R3/TrNavi_act!R3*1000)</f>
        <v>15.195507398078783</v>
      </c>
      <c r="S17" s="62">
        <f>IF(S3=0,0,S3/TrNavi_act!S3*1000)</f>
        <v>13.460539538661045</v>
      </c>
      <c r="T17" s="62">
        <f>IF(T3=0,0,T3/TrNavi_act!T3*1000)</f>
        <v>16.67515088785952</v>
      </c>
      <c r="U17" s="62">
        <f>IF(U3=0,0,U3/TrNavi_act!U3*1000)</f>
        <v>16.319413215991041</v>
      </c>
      <c r="V17" s="62">
        <f>IF(V3=0,0,V3/TrNavi_act!V3*1000)</f>
        <v>17.884310573723507</v>
      </c>
      <c r="W17" s="62">
        <f>IF(W3=0,0,W3/TrNavi_act!W3*1000)</f>
        <v>23.42889910940271</v>
      </c>
      <c r="X17" s="62">
        <f>IF(X3=0,0,X3/TrNavi_act!X3*1000)</f>
        <v>16.488931412651109</v>
      </c>
      <c r="Y17" s="62">
        <f>IF(Y3=0,0,Y3/TrNavi_act!Y3*1000)</f>
        <v>17.416759496315226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35.595442560704974</v>
      </c>
      <c r="C18" s="63">
        <f>IF(C4=0,0,C4/TrNavi_act!C4*1000)</f>
        <v>34.648528767581766</v>
      </c>
      <c r="D18" s="63">
        <f>IF(D4=0,0,D4/TrNavi_act!D4*1000)</f>
        <v>34.342038863998958</v>
      </c>
      <c r="E18" s="63">
        <f>IF(E4=0,0,E4/TrNavi_act!E4*1000)</f>
        <v>34.15693860184598</v>
      </c>
      <c r="F18" s="63">
        <f>IF(F4=0,0,F4/TrNavi_act!F4*1000)</f>
        <v>32.455103073300052</v>
      </c>
      <c r="G18" s="63">
        <f>IF(G4=0,0,G4/TrNavi_act!G4*1000)</f>
        <v>35.272554887933161</v>
      </c>
      <c r="H18" s="63">
        <f>IF(H4=0,0,H4/TrNavi_act!H4*1000)</f>
        <v>34.666133013488114</v>
      </c>
      <c r="I18" s="63">
        <f>IF(I4=0,0,I4/TrNavi_act!I4*1000)</f>
        <v>33.745327840075547</v>
      </c>
      <c r="J18" s="63">
        <f>IF(J4=0,0,J4/TrNavi_act!J4*1000)</f>
        <v>36.874838989148351</v>
      </c>
      <c r="K18" s="63">
        <f>IF(K4=0,0,K4/TrNavi_act!K4*1000)</f>
        <v>41.110816307015959</v>
      </c>
      <c r="L18" s="63">
        <f>IF(L4=0,0,L4/TrNavi_act!L4*1000)</f>
        <v>45.364397104630406</v>
      </c>
      <c r="M18" s="63">
        <f>IF(M4=0,0,M4/TrNavi_act!M4*1000)</f>
        <v>45.735591468466993</v>
      </c>
      <c r="N18" s="63">
        <f>IF(N4=0,0,N4/TrNavi_act!N4*1000)</f>
        <v>40.782025144613151</v>
      </c>
      <c r="O18" s="63">
        <f>IF(O4=0,0,O4/TrNavi_act!O4*1000)</f>
        <v>39.741147678576155</v>
      </c>
      <c r="P18" s="63">
        <f>IF(P4=0,0,P4/TrNavi_act!P4*1000)</f>
        <v>44.101224222407566</v>
      </c>
      <c r="Q18" s="63">
        <f>IF(Q4=0,0,Q4/TrNavi_act!Q4*1000)</f>
        <v>48.278126064294014</v>
      </c>
      <c r="R18" s="63">
        <f>IF(R4=0,0,R4/TrNavi_act!R4*1000)</f>
        <v>44.052701221744719</v>
      </c>
      <c r="S18" s="63">
        <f>IF(S4=0,0,S4/TrNavi_act!S4*1000)</f>
        <v>43.258666816841867</v>
      </c>
      <c r="T18" s="63">
        <f>IF(T4=0,0,T4/TrNavi_act!T4*1000)</f>
        <v>48.993728872186622</v>
      </c>
      <c r="U18" s="63">
        <f>IF(U4=0,0,U4/TrNavi_act!U4*1000)</f>
        <v>48.945997481071039</v>
      </c>
      <c r="V18" s="63">
        <f>IF(V4=0,0,V4/TrNavi_act!V4*1000)</f>
        <v>47.30344867018912</v>
      </c>
      <c r="W18" s="63">
        <f>IF(W4=0,0,W4/TrNavi_act!W4*1000)</f>
        <v>56.757828508771262</v>
      </c>
      <c r="X18" s="63">
        <f>IF(X4=0,0,X4/TrNavi_act!X4*1000)</f>
        <v>51.103237855155939</v>
      </c>
      <c r="Y18" s="63">
        <f>IF(Y4=0,0,Y4/TrNavi_act!Y4*1000)</f>
        <v>50.909127498031999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12.668821322066457</v>
      </c>
      <c r="C19" s="64">
        <f>IF(C5=0,0,C5/TrNavi_act!C5*1000)</f>
        <v>12.599850926071062</v>
      </c>
      <c r="D19" s="64">
        <f>IF(D5=0,0,D5/TrNavi_act!D5*1000)</f>
        <v>11.001989331508122</v>
      </c>
      <c r="E19" s="64">
        <f>IF(E5=0,0,E5/TrNavi_act!E5*1000)</f>
        <v>12.805613043052739</v>
      </c>
      <c r="F19" s="64">
        <f>IF(F5=0,0,F5/TrNavi_act!F5*1000)</f>
        <v>13.259659569460124</v>
      </c>
      <c r="G19" s="64">
        <f>IF(G5=0,0,G5/TrNavi_act!G5*1000)</f>
        <v>15.272163800565744</v>
      </c>
      <c r="H19" s="64">
        <f>IF(H5=0,0,H5/TrNavi_act!H5*1000)</f>
        <v>12.932307011809669</v>
      </c>
      <c r="I19" s="64">
        <f>IF(I5=0,0,I5/TrNavi_act!I5*1000)</f>
        <v>13.554059767048676</v>
      </c>
      <c r="J19" s="64">
        <f>IF(J5=0,0,J5/TrNavi_act!J5*1000)</f>
        <v>14.023220213731692</v>
      </c>
      <c r="K19" s="64">
        <f>IF(K5=0,0,K5/TrNavi_act!K5*1000)</f>
        <v>15.480556992651707</v>
      </c>
      <c r="L19" s="64">
        <f>IF(L5=0,0,L5/TrNavi_act!L5*1000)</f>
        <v>13.44136481884289</v>
      </c>
      <c r="M19" s="64">
        <f>IF(M5=0,0,M5/TrNavi_act!M5*1000)</f>
        <v>16.812436918900648</v>
      </c>
      <c r="N19" s="64">
        <f>IF(N5=0,0,N5/TrNavi_act!N5*1000)</f>
        <v>14.825300083317432</v>
      </c>
      <c r="O19" s="64">
        <f>IF(O5=0,0,O5/TrNavi_act!O5*1000)</f>
        <v>14.36727192034772</v>
      </c>
      <c r="P19" s="64">
        <f>IF(P5=0,0,P5/TrNavi_act!P5*1000)</f>
        <v>15.371011384732066</v>
      </c>
      <c r="Q19" s="64">
        <f>IF(Q5=0,0,Q5/TrNavi_act!Q5*1000)</f>
        <v>17.439308152786257</v>
      </c>
      <c r="R19" s="64">
        <f>IF(R5=0,0,R5/TrNavi_act!R5*1000)</f>
        <v>14.890321612940756</v>
      </c>
      <c r="S19" s="64">
        <f>IF(S5=0,0,S5/TrNavi_act!S5*1000)</f>
        <v>13.058411884184453</v>
      </c>
      <c r="T19" s="64">
        <f>IF(T5=0,0,T5/TrNavi_act!T5*1000)</f>
        <v>16.259735090099525</v>
      </c>
      <c r="U19" s="64">
        <f>IF(U5=0,0,U5/TrNavi_act!U5*1000)</f>
        <v>15.974408504610842</v>
      </c>
      <c r="V19" s="64">
        <f>IF(V5=0,0,V5/TrNavi_act!V5*1000)</f>
        <v>17.491291001800064</v>
      </c>
      <c r="W19" s="64">
        <f>IF(W5=0,0,W5/TrNavi_act!W5*1000)</f>
        <v>23.117086184485025</v>
      </c>
      <c r="X19" s="64">
        <f>IF(X5=0,0,X5/TrNavi_act!X5*1000)</f>
        <v>16.231658698932812</v>
      </c>
      <c r="Y19" s="64">
        <f>IF(Y5=0,0,Y5/TrNavi_act!Y5*1000)</f>
        <v>17.08734632998484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4.2511799803124327E-2</v>
      </c>
      <c r="C22" s="77">
        <f t="shared" si="6"/>
        <v>3.6408936794778468E-2</v>
      </c>
      <c r="D22" s="77">
        <f t="shared" si="6"/>
        <v>4.5003993725789462E-2</v>
      </c>
      <c r="E22" s="77">
        <f t="shared" si="6"/>
        <v>3.147253781295694E-2</v>
      </c>
      <c r="F22" s="77">
        <f t="shared" si="6"/>
        <v>2.6734473142874797E-2</v>
      </c>
      <c r="G22" s="77">
        <f t="shared" si="6"/>
        <v>2.191119034168066E-2</v>
      </c>
      <c r="H22" s="77">
        <f t="shared" si="6"/>
        <v>3.2054610958544179E-2</v>
      </c>
      <c r="I22" s="77">
        <f t="shared" si="6"/>
        <v>3.5202014472914621E-2</v>
      </c>
      <c r="J22" s="77">
        <f t="shared" si="6"/>
        <v>3.5224052494656544E-2</v>
      </c>
      <c r="K22" s="77">
        <f t="shared" si="6"/>
        <v>2.8487483169766036E-2</v>
      </c>
      <c r="L22" s="77">
        <f t="shared" si="6"/>
        <v>2.8184342054180432E-2</v>
      </c>
      <c r="M22" s="77">
        <f t="shared" si="6"/>
        <v>2.9937611233909405E-2</v>
      </c>
      <c r="N22" s="77">
        <f t="shared" si="6"/>
        <v>3.6107430097702398E-2</v>
      </c>
      <c r="O22" s="77">
        <f t="shared" si="6"/>
        <v>4.062076945403334E-2</v>
      </c>
      <c r="P22" s="77">
        <f t="shared" si="6"/>
        <v>3.8003967969862835E-2</v>
      </c>
      <c r="Q22" s="77">
        <f t="shared" si="6"/>
        <v>2.5428913276156106E-2</v>
      </c>
      <c r="R22" s="77">
        <f t="shared" si="6"/>
        <v>3.0338819607765379E-2</v>
      </c>
      <c r="S22" s="77">
        <f t="shared" si="6"/>
        <v>4.2792138891497453E-2</v>
      </c>
      <c r="T22" s="77">
        <f t="shared" si="6"/>
        <v>3.7286767501527339E-2</v>
      </c>
      <c r="U22" s="77">
        <f t="shared" si="6"/>
        <v>3.1383241075584156E-2</v>
      </c>
      <c r="V22" s="77">
        <f t="shared" ref="V22:W22" si="7">IF(V4=0,0,V4/V$3)</f>
        <v>3.4869150740896727E-2</v>
      </c>
      <c r="W22" s="77">
        <f t="shared" si="7"/>
        <v>2.2454450517825839E-2</v>
      </c>
      <c r="X22" s="77">
        <f t="shared" ref="X22:Y22" si="8">IF(X4=0,0,X4/X$3)</f>
        <v>2.2865358695501804E-2</v>
      </c>
      <c r="Y22" s="77">
        <f t="shared" si="8"/>
        <v>2.8469037036959643E-2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0.95748820019687575</v>
      </c>
      <c r="C23" s="78">
        <f t="shared" si="9"/>
        <v>0.96359106320522148</v>
      </c>
      <c r="D23" s="78">
        <f t="shared" si="9"/>
        <v>0.95499600627421055</v>
      </c>
      <c r="E23" s="78">
        <f t="shared" si="9"/>
        <v>0.96852746218704311</v>
      </c>
      <c r="F23" s="78">
        <f t="shared" si="9"/>
        <v>0.9732655268571252</v>
      </c>
      <c r="G23" s="78">
        <f t="shared" si="9"/>
        <v>0.97808880965831935</v>
      </c>
      <c r="H23" s="78">
        <f t="shared" si="9"/>
        <v>0.96794538904145577</v>
      </c>
      <c r="I23" s="78">
        <f t="shared" si="9"/>
        <v>0.9647979855270854</v>
      </c>
      <c r="J23" s="78">
        <f t="shared" si="9"/>
        <v>0.96477594750534346</v>
      </c>
      <c r="K23" s="78">
        <f t="shared" si="9"/>
        <v>0.97151251683023399</v>
      </c>
      <c r="L23" s="78">
        <f t="shared" si="9"/>
        <v>0.97181565794581959</v>
      </c>
      <c r="M23" s="78">
        <f t="shared" si="9"/>
        <v>0.97006238876609063</v>
      </c>
      <c r="N23" s="78">
        <f t="shared" si="9"/>
        <v>0.96389256990229766</v>
      </c>
      <c r="O23" s="78">
        <f t="shared" si="9"/>
        <v>0.95937923054596663</v>
      </c>
      <c r="P23" s="78">
        <f t="shared" si="9"/>
        <v>0.96199603203013717</v>
      </c>
      <c r="Q23" s="78">
        <f t="shared" si="9"/>
        <v>0.97457108672384396</v>
      </c>
      <c r="R23" s="78">
        <f t="shared" si="9"/>
        <v>0.9696611803922347</v>
      </c>
      <c r="S23" s="78">
        <f t="shared" si="9"/>
        <v>0.95720786110850253</v>
      </c>
      <c r="T23" s="78">
        <f t="shared" si="9"/>
        <v>0.96271323249847274</v>
      </c>
      <c r="U23" s="78">
        <f t="shared" si="9"/>
        <v>0.96861675892441579</v>
      </c>
      <c r="V23" s="78">
        <f t="shared" ref="V23:W23" si="10">IF(V5=0,0,V5/V$3)</f>
        <v>0.96513084925910331</v>
      </c>
      <c r="W23" s="78">
        <f t="shared" si="10"/>
        <v>0.97754554948217409</v>
      </c>
      <c r="X23" s="78">
        <f t="shared" ref="X23:Y23" si="11">IF(X5=0,0,X5/X$3)</f>
        <v>0.97713464130449823</v>
      </c>
      <c r="Y23" s="78">
        <f t="shared" si="11"/>
        <v>0.97153096296304031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612731.88254999998</v>
      </c>
      <c r="C3" s="54">
        <f t="shared" si="0"/>
        <v>624613.91123299999</v>
      </c>
      <c r="D3" s="54">
        <f t="shared" si="0"/>
        <v>664096.53422499995</v>
      </c>
      <c r="E3" s="54">
        <f t="shared" si="0"/>
        <v>712753.98977799993</v>
      </c>
      <c r="F3" s="54">
        <f t="shared" si="0"/>
        <v>765015.05337500002</v>
      </c>
      <c r="G3" s="54">
        <f t="shared" si="0"/>
        <v>831513.46055499988</v>
      </c>
      <c r="H3" s="54">
        <f t="shared" si="0"/>
        <v>910752.493839</v>
      </c>
      <c r="I3" s="54">
        <f t="shared" si="0"/>
        <v>961535.903345</v>
      </c>
      <c r="J3" s="54">
        <f t="shared" si="0"/>
        <v>997806.23496599996</v>
      </c>
      <c r="K3" s="54">
        <f t="shared" si="0"/>
        <v>827246.71140299994</v>
      </c>
      <c r="L3" s="54">
        <f t="shared" si="0"/>
        <v>893549.20541299996</v>
      </c>
      <c r="M3" s="54">
        <f t="shared" si="0"/>
        <v>988895.37390500004</v>
      </c>
      <c r="N3" s="54">
        <f t="shared" si="0"/>
        <v>999218.75997300004</v>
      </c>
      <c r="O3" s="54">
        <f t="shared" si="0"/>
        <v>1006767.604468</v>
      </c>
      <c r="P3" s="54">
        <f t="shared" si="0"/>
        <v>1036359.369385</v>
      </c>
      <c r="Q3" s="54">
        <f t="shared" si="0"/>
        <v>978867.10879900004</v>
      </c>
      <c r="R3" s="54">
        <f t="shared" ref="R3:W3" si="1">SUM(R4:R5)</f>
        <v>968816.13384799997</v>
      </c>
      <c r="S3" s="54">
        <f t="shared" si="1"/>
        <v>961699.67171000002</v>
      </c>
      <c r="T3" s="54">
        <f t="shared" si="1"/>
        <v>959021.08682500001</v>
      </c>
      <c r="U3" s="54">
        <f t="shared" si="1"/>
        <v>976543.83127899992</v>
      </c>
      <c r="V3" s="54">
        <f t="shared" si="1"/>
        <v>903999.27575599996</v>
      </c>
      <c r="W3" s="54">
        <f t="shared" si="1"/>
        <v>904766.75226800004</v>
      </c>
      <c r="X3" s="54">
        <f t="shared" ref="X3:Y3" si="2">SUM(X4:X5)</f>
        <v>869957.89619500004</v>
      </c>
      <c r="Y3" s="54">
        <f t="shared" si="2"/>
        <v>828622.62904999999</v>
      </c>
      <c r="DA3" s="172" t="s">
        <v>388</v>
      </c>
    </row>
    <row r="4" spans="1:105" ht="11.45" customHeight="1" x14ac:dyDescent="0.25">
      <c r="A4" s="55" t="s">
        <v>166</v>
      </c>
      <c r="B4" s="56">
        <v>77103.75976999999</v>
      </c>
      <c r="C4" s="56">
        <v>77971.070156999995</v>
      </c>
      <c r="D4" s="56">
        <v>78271.163486999998</v>
      </c>
      <c r="E4" s="56">
        <v>80929.574307999996</v>
      </c>
      <c r="F4" s="56">
        <v>87059.928924000007</v>
      </c>
      <c r="G4" s="56">
        <v>84599.819115999999</v>
      </c>
      <c r="H4" s="56">
        <v>86812.458098000003</v>
      </c>
      <c r="I4" s="56">
        <v>88350.789550000001</v>
      </c>
      <c r="J4" s="56">
        <v>84310.345905999988</v>
      </c>
      <c r="K4" s="56">
        <v>67222.734228999994</v>
      </c>
      <c r="L4" s="56">
        <v>68529.430435999995</v>
      </c>
      <c r="M4" s="56">
        <v>74282.794062999994</v>
      </c>
      <c r="N4" s="56">
        <v>74698.182537000001</v>
      </c>
      <c r="O4" s="56">
        <v>74406.258881999995</v>
      </c>
      <c r="P4" s="56">
        <v>76859.558017999996</v>
      </c>
      <c r="Q4" s="56">
        <v>75731.350719000009</v>
      </c>
      <c r="R4" s="56">
        <v>79264.557148000007</v>
      </c>
      <c r="S4" s="56">
        <v>78904.313800000004</v>
      </c>
      <c r="T4" s="56">
        <v>81538.828386000008</v>
      </c>
      <c r="U4" s="56">
        <v>78877.267731</v>
      </c>
      <c r="V4" s="56">
        <v>72111.290173000001</v>
      </c>
      <c r="W4" s="56">
        <v>77668.548223999998</v>
      </c>
      <c r="X4" s="56">
        <v>74388.684922</v>
      </c>
      <c r="Y4" s="56">
        <v>78272.506164999999</v>
      </c>
      <c r="DA4" s="181" t="s">
        <v>389</v>
      </c>
    </row>
    <row r="5" spans="1:105" ht="11.45" customHeight="1" x14ac:dyDescent="0.25">
      <c r="A5" s="57" t="s">
        <v>167</v>
      </c>
      <c r="B5" s="58">
        <v>535628.12277999998</v>
      </c>
      <c r="C5" s="58">
        <v>546642.84107600001</v>
      </c>
      <c r="D5" s="58">
        <v>585825.37073799991</v>
      </c>
      <c r="E5" s="58">
        <v>631824.41546999989</v>
      </c>
      <c r="F5" s="58">
        <v>677955.12445100001</v>
      </c>
      <c r="G5" s="58">
        <v>746913.64143899991</v>
      </c>
      <c r="H5" s="58">
        <v>823940.03574099997</v>
      </c>
      <c r="I5" s="58">
        <v>873185.11379500001</v>
      </c>
      <c r="J5" s="58">
        <v>913495.88905999996</v>
      </c>
      <c r="K5" s="58">
        <v>760023.977174</v>
      </c>
      <c r="L5" s="58">
        <v>825019.77497699996</v>
      </c>
      <c r="M5" s="58">
        <v>914612.57984200004</v>
      </c>
      <c r="N5" s="58">
        <v>924520.57743599999</v>
      </c>
      <c r="O5" s="58">
        <v>932361.34558600001</v>
      </c>
      <c r="P5" s="58">
        <v>959499.81136699999</v>
      </c>
      <c r="Q5" s="58">
        <v>903135.75808000006</v>
      </c>
      <c r="R5" s="58">
        <v>889551.57669999998</v>
      </c>
      <c r="S5" s="58">
        <v>882795.35791000002</v>
      </c>
      <c r="T5" s="58">
        <v>877482.258439</v>
      </c>
      <c r="U5" s="58">
        <v>897666.56354799995</v>
      </c>
      <c r="V5" s="58">
        <v>831887.985583</v>
      </c>
      <c r="W5" s="58">
        <v>827098.20404400001</v>
      </c>
      <c r="X5" s="58">
        <v>795569.21127299999</v>
      </c>
      <c r="Y5" s="58">
        <v>750350.12288499996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37.640318000000001</v>
      </c>
      <c r="C7" s="59">
        <f t="shared" si="3"/>
        <v>36.826594999999998</v>
      </c>
      <c r="D7" s="59">
        <f t="shared" si="3"/>
        <v>37.194139</v>
      </c>
      <c r="E7" s="59">
        <f t="shared" si="3"/>
        <v>38.865735000000001</v>
      </c>
      <c r="F7" s="59">
        <f t="shared" si="3"/>
        <v>38.505341999999999</v>
      </c>
      <c r="G7" s="59">
        <f t="shared" si="3"/>
        <v>39.839283999999999</v>
      </c>
      <c r="H7" s="59">
        <f t="shared" si="3"/>
        <v>41.692695999999998</v>
      </c>
      <c r="I7" s="59">
        <f t="shared" si="3"/>
        <v>42.555537999999999</v>
      </c>
      <c r="J7" s="59">
        <f t="shared" si="3"/>
        <v>41.851123999999999</v>
      </c>
      <c r="K7" s="59">
        <f t="shared" si="3"/>
        <v>35.654555999999999</v>
      </c>
      <c r="L7" s="59">
        <f t="shared" si="3"/>
        <v>34.708159000000002</v>
      </c>
      <c r="M7" s="59">
        <f t="shared" si="3"/>
        <v>37.686779000000001</v>
      </c>
      <c r="N7" s="59">
        <f t="shared" si="3"/>
        <v>36.564171000000002</v>
      </c>
      <c r="O7" s="59">
        <f t="shared" si="3"/>
        <v>36.473043000000004</v>
      </c>
      <c r="P7" s="59">
        <f t="shared" si="3"/>
        <v>37.375580999999997</v>
      </c>
      <c r="Q7" s="59">
        <f t="shared" si="3"/>
        <v>33.567048</v>
      </c>
      <c r="R7" s="59">
        <f t="shared" si="3"/>
        <v>32.648172000000002</v>
      </c>
      <c r="S7" s="59">
        <f t="shared" si="3"/>
        <v>31.522655</v>
      </c>
      <c r="T7" s="59">
        <f t="shared" si="3"/>
        <v>31.557535999999999</v>
      </c>
      <c r="U7" s="59">
        <f t="shared" si="3"/>
        <v>31.699566000000001</v>
      </c>
      <c r="V7" s="59">
        <f t="shared" si="3"/>
        <v>29.803194999999999</v>
      </c>
      <c r="W7" s="59">
        <f t="shared" si="3"/>
        <v>30.141640000000002</v>
      </c>
      <c r="X7" s="59">
        <f t="shared" ref="X7:Y7" si="4">SUM(X8:X9)</f>
        <v>31.086080000000003</v>
      </c>
      <c r="Y7" s="59">
        <f t="shared" si="4"/>
        <v>29.608538000000003</v>
      </c>
      <c r="DA7" s="172" t="s">
        <v>963</v>
      </c>
    </row>
    <row r="8" spans="1:105" ht="11.45" customHeight="1" x14ac:dyDescent="0.25">
      <c r="A8" s="55" t="s">
        <v>166</v>
      </c>
      <c r="B8" s="60">
        <v>13.095138</v>
      </c>
      <c r="C8" s="60">
        <v>12.703457999999999</v>
      </c>
      <c r="D8" s="60">
        <v>11.956624</v>
      </c>
      <c r="E8" s="60">
        <v>12.213604999999999</v>
      </c>
      <c r="F8" s="60">
        <v>12.880081000000001</v>
      </c>
      <c r="G8" s="60">
        <v>12.296240000000001</v>
      </c>
      <c r="H8" s="60">
        <v>12.686615999999999</v>
      </c>
      <c r="I8" s="60">
        <v>12.548048</v>
      </c>
      <c r="J8" s="60">
        <v>11.777367</v>
      </c>
      <c r="K8" s="60">
        <v>9.5082979999999999</v>
      </c>
      <c r="L8" s="60">
        <v>9.629503999999999</v>
      </c>
      <c r="M8" s="60">
        <v>11.307569999999998</v>
      </c>
      <c r="N8" s="60">
        <v>11.142700000000001</v>
      </c>
      <c r="O8" s="60">
        <v>11.096499</v>
      </c>
      <c r="P8" s="60">
        <v>11.530603000000001</v>
      </c>
      <c r="Q8" s="60">
        <v>10.549963</v>
      </c>
      <c r="R8" s="60">
        <v>10.556457999999999</v>
      </c>
      <c r="S8" s="60">
        <v>10.352492</v>
      </c>
      <c r="T8" s="60">
        <v>10.937189999999999</v>
      </c>
      <c r="U8" s="60">
        <v>10.849377</v>
      </c>
      <c r="V8" s="60">
        <v>9.5310589999999991</v>
      </c>
      <c r="W8" s="60">
        <v>10.738098000000001</v>
      </c>
      <c r="X8" s="60">
        <v>10.512582</v>
      </c>
      <c r="Y8" s="60">
        <v>10.596921</v>
      </c>
      <c r="DA8" s="181" t="s">
        <v>964</v>
      </c>
    </row>
    <row r="9" spans="1:105" ht="11.45" customHeight="1" x14ac:dyDescent="0.25">
      <c r="A9" s="57" t="s">
        <v>167</v>
      </c>
      <c r="B9" s="61">
        <v>24.545179999999998</v>
      </c>
      <c r="C9" s="61">
        <v>24.123137</v>
      </c>
      <c r="D9" s="61">
        <v>25.237515000000002</v>
      </c>
      <c r="E9" s="61">
        <v>26.65213</v>
      </c>
      <c r="F9" s="61">
        <v>25.625260999999998</v>
      </c>
      <c r="G9" s="61">
        <v>27.543043999999998</v>
      </c>
      <c r="H9" s="61">
        <v>29.006079999999997</v>
      </c>
      <c r="I9" s="61">
        <v>30.007490000000001</v>
      </c>
      <c r="J9" s="61">
        <v>30.073757000000001</v>
      </c>
      <c r="K9" s="61">
        <v>26.146258</v>
      </c>
      <c r="L9" s="61">
        <v>25.078655000000001</v>
      </c>
      <c r="M9" s="61">
        <v>26.379208999999999</v>
      </c>
      <c r="N9" s="61">
        <v>25.421470999999997</v>
      </c>
      <c r="O9" s="61">
        <v>25.376544000000003</v>
      </c>
      <c r="P9" s="61">
        <v>25.844977999999998</v>
      </c>
      <c r="Q9" s="61">
        <v>23.017085000000002</v>
      </c>
      <c r="R9" s="61">
        <v>22.091714000000003</v>
      </c>
      <c r="S9" s="61">
        <v>21.170162999999999</v>
      </c>
      <c r="T9" s="61">
        <v>20.620346000000001</v>
      </c>
      <c r="U9" s="61">
        <v>20.850189</v>
      </c>
      <c r="V9" s="61">
        <v>20.272136</v>
      </c>
      <c r="W9" s="61">
        <v>19.403542000000002</v>
      </c>
      <c r="X9" s="61">
        <v>20.573498000000001</v>
      </c>
      <c r="Y9" s="61">
        <v>19.011617000000001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16278.60536539569</v>
      </c>
      <c r="C13" s="62">
        <f t="shared" si="5"/>
        <v>16960.946599407303</v>
      </c>
      <c r="D13" s="62">
        <f t="shared" si="5"/>
        <v>17854.87047367866</v>
      </c>
      <c r="E13" s="62">
        <f t="shared" si="5"/>
        <v>18338.878443389785</v>
      </c>
      <c r="F13" s="62">
        <f t="shared" si="5"/>
        <v>19867.764150101564</v>
      </c>
      <c r="G13" s="62">
        <f t="shared" si="5"/>
        <v>20871.69690486907</v>
      </c>
      <c r="H13" s="62">
        <f t="shared" si="5"/>
        <v>21844.413559607659</v>
      </c>
      <c r="I13" s="62">
        <f t="shared" si="5"/>
        <v>22594.847780916316</v>
      </c>
      <c r="J13" s="62">
        <f t="shared" si="5"/>
        <v>23841.802551491808</v>
      </c>
      <c r="K13" s="62">
        <f t="shared" si="5"/>
        <v>23201.711203555584</v>
      </c>
      <c r="L13" s="62">
        <f t="shared" si="5"/>
        <v>25744.644232297076</v>
      </c>
      <c r="M13" s="62">
        <f t="shared" si="5"/>
        <v>26239.848566124478</v>
      </c>
      <c r="N13" s="62">
        <f t="shared" si="5"/>
        <v>27327.811150784739</v>
      </c>
      <c r="O13" s="62">
        <f t="shared" si="5"/>
        <v>27603.060278463738</v>
      </c>
      <c r="P13" s="62">
        <f t="shared" si="5"/>
        <v>27728.247739747512</v>
      </c>
      <c r="Q13" s="62">
        <f t="shared" si="5"/>
        <v>29161.548814152498</v>
      </c>
      <c r="R13" s="62">
        <f t="shared" si="5"/>
        <v>29674.43732678203</v>
      </c>
      <c r="S13" s="62">
        <f t="shared" si="5"/>
        <v>30508.206612355465</v>
      </c>
      <c r="T13" s="62">
        <f t="shared" si="5"/>
        <v>30389.606046080404</v>
      </c>
      <c r="U13" s="62">
        <f t="shared" si="5"/>
        <v>30806.220857377033</v>
      </c>
      <c r="V13" s="62">
        <f t="shared" si="5"/>
        <v>30332.294096522201</v>
      </c>
      <c r="W13" s="62">
        <f t="shared" si="5"/>
        <v>30017.170673792134</v>
      </c>
      <c r="X13" s="62">
        <f t="shared" ref="X13:Y13" si="6">IF(X3=0,0,X3/X7)</f>
        <v>27985.448670112153</v>
      </c>
      <c r="Y13" s="62">
        <f t="shared" si="6"/>
        <v>27985.935308592405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5887.9684788354261</v>
      </c>
      <c r="C14" s="63">
        <f t="shared" si="5"/>
        <v>6137.7831262164991</v>
      </c>
      <c r="D14" s="63">
        <f t="shared" si="5"/>
        <v>6546.2595032678119</v>
      </c>
      <c r="E14" s="63">
        <f t="shared" si="5"/>
        <v>6626.1823849715129</v>
      </c>
      <c r="F14" s="63">
        <f t="shared" si="5"/>
        <v>6759.2687440397312</v>
      </c>
      <c r="G14" s="63">
        <f t="shared" si="5"/>
        <v>6880.1372709055768</v>
      </c>
      <c r="H14" s="63">
        <f t="shared" si="5"/>
        <v>6842.8380032941814</v>
      </c>
      <c r="I14" s="63">
        <f t="shared" si="5"/>
        <v>7040.9986915893214</v>
      </c>
      <c r="J14" s="63">
        <f t="shared" si="5"/>
        <v>7158.6752714762124</v>
      </c>
      <c r="K14" s="63">
        <f t="shared" si="5"/>
        <v>7069.9019139913362</v>
      </c>
      <c r="L14" s="63">
        <f t="shared" si="5"/>
        <v>7116.6106204431717</v>
      </c>
      <c r="M14" s="63">
        <f t="shared" si="5"/>
        <v>6569.2977415129872</v>
      </c>
      <c r="N14" s="63">
        <f t="shared" si="5"/>
        <v>6703.7775886454801</v>
      </c>
      <c r="O14" s="63">
        <f t="shared" si="5"/>
        <v>6705.3814795098888</v>
      </c>
      <c r="P14" s="63">
        <f t="shared" si="5"/>
        <v>6665.7015264509573</v>
      </c>
      <c r="Q14" s="63">
        <f t="shared" si="5"/>
        <v>7178.3522576335108</v>
      </c>
      <c r="R14" s="63">
        <f t="shared" si="5"/>
        <v>7508.6318865664989</v>
      </c>
      <c r="S14" s="63">
        <f t="shared" si="5"/>
        <v>7621.7700820246955</v>
      </c>
      <c r="T14" s="63">
        <f t="shared" si="5"/>
        <v>7455.1898966736444</v>
      </c>
      <c r="U14" s="63">
        <f t="shared" si="5"/>
        <v>7270.2117117876905</v>
      </c>
      <c r="V14" s="63">
        <f t="shared" si="5"/>
        <v>7565.9263228776581</v>
      </c>
      <c r="W14" s="63">
        <f t="shared" si="5"/>
        <v>7232.9893267876669</v>
      </c>
      <c r="X14" s="63">
        <f t="shared" ref="X14:Y14" si="7">IF(X4=0,0,X4/X8)</f>
        <v>7076.1574009125443</v>
      </c>
      <c r="Y14" s="63">
        <f t="shared" si="7"/>
        <v>7386.3442187593928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21822.13056820117</v>
      </c>
      <c r="C15" s="64">
        <f t="shared" si="5"/>
        <v>22660.520523346528</v>
      </c>
      <c r="D15" s="64">
        <f t="shared" si="5"/>
        <v>23212.48231999069</v>
      </c>
      <c r="E15" s="64">
        <f t="shared" si="5"/>
        <v>23706.338497898661</v>
      </c>
      <c r="F15" s="64">
        <f t="shared" si="5"/>
        <v>26456.515875135869</v>
      </c>
      <c r="G15" s="64">
        <f t="shared" si="5"/>
        <v>27118.04989452146</v>
      </c>
      <c r="H15" s="64">
        <f t="shared" si="5"/>
        <v>28405.769953782106</v>
      </c>
      <c r="I15" s="64">
        <f t="shared" si="5"/>
        <v>29098.905433110202</v>
      </c>
      <c r="J15" s="64">
        <f t="shared" si="5"/>
        <v>30375.183554884745</v>
      </c>
      <c r="K15" s="64">
        <f t="shared" si="5"/>
        <v>29068.174006926729</v>
      </c>
      <c r="L15" s="64">
        <f t="shared" si="5"/>
        <v>32897.289546708147</v>
      </c>
      <c r="M15" s="64">
        <f t="shared" si="5"/>
        <v>34671.721196871375</v>
      </c>
      <c r="N15" s="64">
        <f t="shared" si="5"/>
        <v>36367.705764784427</v>
      </c>
      <c r="O15" s="64">
        <f t="shared" si="5"/>
        <v>36741.068665063292</v>
      </c>
      <c r="P15" s="64">
        <f t="shared" si="5"/>
        <v>37125.193581785992</v>
      </c>
      <c r="Q15" s="64">
        <f t="shared" si="5"/>
        <v>39237.625358728095</v>
      </c>
      <c r="R15" s="64">
        <f t="shared" si="5"/>
        <v>40266.299694989706</v>
      </c>
      <c r="S15" s="64">
        <f t="shared" si="5"/>
        <v>41699.979254292943</v>
      </c>
      <c r="T15" s="64">
        <f t="shared" si="5"/>
        <v>42554.196638553003</v>
      </c>
      <c r="U15" s="64">
        <f t="shared" si="5"/>
        <v>43053.161942464882</v>
      </c>
      <c r="V15" s="64">
        <f t="shared" si="5"/>
        <v>41036.030223110181</v>
      </c>
      <c r="W15" s="64">
        <f t="shared" si="5"/>
        <v>42626.145476119767</v>
      </c>
      <c r="X15" s="64">
        <f t="shared" ref="X15:Y15" si="8">IF(X5=0,0,X5/X9)</f>
        <v>38669.613270091453</v>
      </c>
      <c r="Y15" s="64">
        <f t="shared" si="8"/>
        <v>39467.980176804522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0.12583604993609612</v>
      </c>
      <c r="C18" s="66">
        <f t="shared" si="9"/>
        <v>0.12483082549840042</v>
      </c>
      <c r="D18" s="66">
        <f t="shared" si="9"/>
        <v>0.11786112327531173</v>
      </c>
      <c r="E18" s="66">
        <f t="shared" si="9"/>
        <v>0.11354489132106713</v>
      </c>
      <c r="F18" s="66">
        <f t="shared" si="9"/>
        <v>0.11380158931503327</v>
      </c>
      <c r="G18" s="66">
        <f t="shared" si="9"/>
        <v>0.10174197187323127</v>
      </c>
      <c r="H18" s="66">
        <f t="shared" si="9"/>
        <v>9.5319484366239285E-2</v>
      </c>
      <c r="I18" s="66">
        <f t="shared" si="9"/>
        <v>9.1885065594164983E-2</v>
      </c>
      <c r="J18" s="66">
        <f t="shared" si="9"/>
        <v>8.4495709639329772E-2</v>
      </c>
      <c r="K18" s="66">
        <f t="shared" si="9"/>
        <v>8.1260805636798591E-2</v>
      </c>
      <c r="L18" s="66">
        <f t="shared" si="9"/>
        <v>7.6693516172201812E-2</v>
      </c>
      <c r="M18" s="66">
        <f t="shared" si="9"/>
        <v>7.5116939590553794E-2</v>
      </c>
      <c r="N18" s="66">
        <f t="shared" si="9"/>
        <v>7.475658537377583E-2</v>
      </c>
      <c r="O18" s="66">
        <f t="shared" si="9"/>
        <v>7.3906091685695466E-2</v>
      </c>
      <c r="P18" s="66">
        <f t="shared" si="9"/>
        <v>7.4163036769388471E-2</v>
      </c>
      <c r="Q18" s="66">
        <f t="shared" si="9"/>
        <v>7.7366324844561338E-2</v>
      </c>
      <c r="R18" s="66">
        <f t="shared" si="9"/>
        <v>8.1815893004560575E-2</v>
      </c>
      <c r="S18" s="66">
        <f t="shared" si="9"/>
        <v>8.2046730513799696E-2</v>
      </c>
      <c r="T18" s="66">
        <f t="shared" si="9"/>
        <v>8.5022977603076449E-2</v>
      </c>
      <c r="U18" s="66">
        <f t="shared" si="9"/>
        <v>8.0771866253758207E-2</v>
      </c>
      <c r="V18" s="66">
        <f t="shared" si="9"/>
        <v>7.9769190205041363E-2</v>
      </c>
      <c r="W18" s="66">
        <f t="shared" si="9"/>
        <v>8.5843724948232711E-2</v>
      </c>
      <c r="X18" s="66">
        <f t="shared" ref="X18:Y18" si="11">IF(X4=0,0,X4/X$3)</f>
        <v>8.5508373735509915E-2</v>
      </c>
      <c r="Y18" s="66">
        <f t="shared" si="11"/>
        <v>9.4460980693633637E-2</v>
      </c>
      <c r="DA18" s="181"/>
    </row>
    <row r="19" spans="1:105" ht="11.45" customHeight="1" x14ac:dyDescent="0.25">
      <c r="A19" s="57" t="s">
        <v>167</v>
      </c>
      <c r="B19" s="67">
        <f t="shared" si="9"/>
        <v>0.87416395006390379</v>
      </c>
      <c r="C19" s="67">
        <f t="shared" si="9"/>
        <v>0.87516917450159959</v>
      </c>
      <c r="D19" s="67">
        <f t="shared" si="9"/>
        <v>0.88213887672468816</v>
      </c>
      <c r="E19" s="67">
        <f t="shared" si="9"/>
        <v>0.88645510867893285</v>
      </c>
      <c r="F19" s="67">
        <f t="shared" si="9"/>
        <v>0.88619841068496674</v>
      </c>
      <c r="G19" s="67">
        <f t="shared" si="9"/>
        <v>0.8982580281267688</v>
      </c>
      <c r="H19" s="67">
        <f t="shared" si="9"/>
        <v>0.90468051563376073</v>
      </c>
      <c r="I19" s="67">
        <f t="shared" si="9"/>
        <v>0.90811493440583502</v>
      </c>
      <c r="J19" s="67">
        <f t="shared" si="9"/>
        <v>0.91550429036067027</v>
      </c>
      <c r="K19" s="67">
        <f t="shared" si="9"/>
        <v>0.91873919436320151</v>
      </c>
      <c r="L19" s="67">
        <f t="shared" si="9"/>
        <v>0.92330648382779823</v>
      </c>
      <c r="M19" s="67">
        <f t="shared" si="9"/>
        <v>0.92488306040944623</v>
      </c>
      <c r="N19" s="67">
        <f t="shared" si="9"/>
        <v>0.92524341462622417</v>
      </c>
      <c r="O19" s="67">
        <f t="shared" si="9"/>
        <v>0.92609390831430449</v>
      </c>
      <c r="P19" s="67">
        <f t="shared" si="9"/>
        <v>0.9258369632306116</v>
      </c>
      <c r="Q19" s="67">
        <f t="shared" si="9"/>
        <v>0.9226336751554387</v>
      </c>
      <c r="R19" s="67">
        <f t="shared" si="9"/>
        <v>0.9181841069954394</v>
      </c>
      <c r="S19" s="67">
        <f t="shared" si="9"/>
        <v>0.91795326948620026</v>
      </c>
      <c r="T19" s="67">
        <f t="shared" si="9"/>
        <v>0.91497702239692358</v>
      </c>
      <c r="U19" s="67">
        <f t="shared" si="9"/>
        <v>0.91922813374624179</v>
      </c>
      <c r="V19" s="67">
        <f t="shared" si="9"/>
        <v>0.92023080979495864</v>
      </c>
      <c r="W19" s="67">
        <f t="shared" si="9"/>
        <v>0.91415627505176722</v>
      </c>
      <c r="X19" s="67">
        <f t="shared" ref="X19:Y19" si="12">IF(X5=0,0,X5/X$3)</f>
        <v>0.91449162626448999</v>
      </c>
      <c r="Y19" s="67">
        <f t="shared" si="12"/>
        <v>0.90553901930636638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0.34790189604668059</v>
      </c>
      <c r="C22" s="66">
        <f t="shared" si="13"/>
        <v>0.34495336861852149</v>
      </c>
      <c r="D22" s="66">
        <f t="shared" si="13"/>
        <v>0.3214652717192889</v>
      </c>
      <c r="E22" s="66">
        <f t="shared" si="13"/>
        <v>0.3142512292640291</v>
      </c>
      <c r="F22" s="66">
        <f t="shared" si="13"/>
        <v>0.33450114532160241</v>
      </c>
      <c r="G22" s="66">
        <f t="shared" si="13"/>
        <v>0.3086461092021634</v>
      </c>
      <c r="H22" s="66">
        <f t="shared" si="13"/>
        <v>0.30428869363593086</v>
      </c>
      <c r="I22" s="66">
        <f t="shared" si="13"/>
        <v>0.29486286837684911</v>
      </c>
      <c r="J22" s="66">
        <f t="shared" si="13"/>
        <v>0.28141100822047216</v>
      </c>
      <c r="K22" s="66">
        <f t="shared" si="13"/>
        <v>0.26667834539855162</v>
      </c>
      <c r="L22" s="66">
        <f t="shared" si="13"/>
        <v>0.27744208501522649</v>
      </c>
      <c r="M22" s="66">
        <f t="shared" si="13"/>
        <v>0.3000407649589793</v>
      </c>
      <c r="N22" s="66">
        <f t="shared" si="13"/>
        <v>0.30474367927007018</v>
      </c>
      <c r="O22" s="66">
        <f t="shared" si="13"/>
        <v>0.30423836585282993</v>
      </c>
      <c r="P22" s="66">
        <f t="shared" si="13"/>
        <v>0.30850632127966121</v>
      </c>
      <c r="Q22" s="66">
        <f t="shared" si="13"/>
        <v>0.31429522786752057</v>
      </c>
      <c r="R22" s="66">
        <f t="shared" si="13"/>
        <v>0.32333994074767797</v>
      </c>
      <c r="S22" s="66">
        <f t="shared" si="13"/>
        <v>0.328414342002601</v>
      </c>
      <c r="T22" s="66">
        <f t="shared" si="13"/>
        <v>0.34657934003465923</v>
      </c>
      <c r="U22" s="66">
        <f t="shared" si="13"/>
        <v>0.34225632615916574</v>
      </c>
      <c r="V22" s="66">
        <f t="shared" si="13"/>
        <v>0.31979990735892577</v>
      </c>
      <c r="W22" s="66">
        <f t="shared" si="13"/>
        <v>0.3562546032664447</v>
      </c>
      <c r="X22" s="66">
        <f t="shared" ref="X22:Y22" si="15">IF(X8=0,0,X8/X$7)</f>
        <v>0.3381765085851931</v>
      </c>
      <c r="Y22" s="66">
        <f t="shared" si="15"/>
        <v>0.35790085278780054</v>
      </c>
      <c r="DA22" s="181"/>
    </row>
    <row r="23" spans="1:105" ht="11.45" customHeight="1" x14ac:dyDescent="0.25">
      <c r="A23" s="57" t="s">
        <v>167</v>
      </c>
      <c r="B23" s="67">
        <f t="shared" si="13"/>
        <v>0.65209810395331935</v>
      </c>
      <c r="C23" s="67">
        <f t="shared" si="13"/>
        <v>0.65504663138147856</v>
      </c>
      <c r="D23" s="67">
        <f t="shared" si="13"/>
        <v>0.67853472828071115</v>
      </c>
      <c r="E23" s="67">
        <f t="shared" si="13"/>
        <v>0.68574877073597085</v>
      </c>
      <c r="F23" s="67">
        <f t="shared" si="13"/>
        <v>0.66549885467839753</v>
      </c>
      <c r="G23" s="67">
        <f t="shared" si="13"/>
        <v>0.6913538907978366</v>
      </c>
      <c r="H23" s="67">
        <f t="shared" si="13"/>
        <v>0.69571130636406908</v>
      </c>
      <c r="I23" s="67">
        <f t="shared" si="13"/>
        <v>0.70513713162315095</v>
      </c>
      <c r="J23" s="67">
        <f t="shared" si="13"/>
        <v>0.71858899177952784</v>
      </c>
      <c r="K23" s="67">
        <f t="shared" si="13"/>
        <v>0.73332165460144838</v>
      </c>
      <c r="L23" s="67">
        <f t="shared" si="13"/>
        <v>0.72255791498477351</v>
      </c>
      <c r="M23" s="67">
        <f t="shared" si="13"/>
        <v>0.69995923504102053</v>
      </c>
      <c r="N23" s="67">
        <f t="shared" si="13"/>
        <v>0.69525632072992971</v>
      </c>
      <c r="O23" s="67">
        <f t="shared" si="13"/>
        <v>0.69576163414716996</v>
      </c>
      <c r="P23" s="67">
        <f t="shared" si="13"/>
        <v>0.69149367872033884</v>
      </c>
      <c r="Q23" s="67">
        <f t="shared" si="13"/>
        <v>0.68570477213247949</v>
      </c>
      <c r="R23" s="67">
        <f t="shared" si="13"/>
        <v>0.67666005925232209</v>
      </c>
      <c r="S23" s="67">
        <f t="shared" si="13"/>
        <v>0.671585657997399</v>
      </c>
      <c r="T23" s="67">
        <f t="shared" si="13"/>
        <v>0.65342065996534082</v>
      </c>
      <c r="U23" s="67">
        <f t="shared" si="13"/>
        <v>0.65774367384083432</v>
      </c>
      <c r="V23" s="67">
        <f t="shared" si="13"/>
        <v>0.68020009264107428</v>
      </c>
      <c r="W23" s="67">
        <f t="shared" si="13"/>
        <v>0.64374539673355535</v>
      </c>
      <c r="X23" s="67">
        <f t="shared" ref="X23:Y23" si="16">IF(X9=0,0,X9/X$7)</f>
        <v>0.6618234914148069</v>
      </c>
      <c r="Y23" s="67">
        <f t="shared" si="16"/>
        <v>0.64209914721219941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2199.1306104901114</v>
      </c>
      <c r="C3" s="62">
        <f t="shared" ref="C3:W3" si="0">SUM(C4,C10)</f>
        <v>2228.3462596732584</v>
      </c>
      <c r="D3" s="62">
        <f t="shared" si="0"/>
        <v>2388.8315563198621</v>
      </c>
      <c r="E3" s="62">
        <f t="shared" si="0"/>
        <v>2604.4023215821153</v>
      </c>
      <c r="F3" s="62">
        <f t="shared" si="0"/>
        <v>2659.9273430782459</v>
      </c>
      <c r="G3" s="62">
        <f t="shared" si="0"/>
        <v>2490.2224419604472</v>
      </c>
      <c r="H3" s="62">
        <f t="shared" si="0"/>
        <v>2576.4466895958722</v>
      </c>
      <c r="I3" s="62">
        <f t="shared" si="0"/>
        <v>3069.5150472914879</v>
      </c>
      <c r="J3" s="62">
        <f t="shared" si="0"/>
        <v>2973.0214101461734</v>
      </c>
      <c r="K3" s="62">
        <f t="shared" si="0"/>
        <v>2724.4957007738603</v>
      </c>
      <c r="L3" s="62">
        <f t="shared" si="0"/>
        <v>2774.0914875322437</v>
      </c>
      <c r="M3" s="62">
        <f t="shared" si="0"/>
        <v>2719.7284608770415</v>
      </c>
      <c r="N3" s="62">
        <f t="shared" si="0"/>
        <v>2538.7612209802228</v>
      </c>
      <c r="O3" s="62">
        <f t="shared" si="0"/>
        <v>2295.5445399828022</v>
      </c>
      <c r="P3" s="62">
        <f t="shared" si="0"/>
        <v>2307.9137575236455</v>
      </c>
      <c r="Q3" s="62">
        <f t="shared" si="0"/>
        <v>2422.5011177987958</v>
      </c>
      <c r="R3" s="62">
        <f t="shared" si="0"/>
        <v>2818.0693895098889</v>
      </c>
      <c r="S3" s="62">
        <f t="shared" si="0"/>
        <v>2289.1234737747209</v>
      </c>
      <c r="T3" s="62">
        <f t="shared" si="0"/>
        <v>1697.9214101461735</v>
      </c>
      <c r="U3" s="62">
        <f t="shared" si="0"/>
        <v>1367.5262252794496</v>
      </c>
      <c r="V3" s="62">
        <f t="shared" si="0"/>
        <v>1325.0147033533963</v>
      </c>
      <c r="W3" s="62">
        <f t="shared" si="0"/>
        <v>1405.8716251074804</v>
      </c>
      <c r="X3" s="62">
        <f t="shared" ref="X3:Y3" si="1">SUM(X4,X10)</f>
        <v>1475.1079965606186</v>
      </c>
      <c r="Y3" s="62">
        <f t="shared" si="1"/>
        <v>1305.1053310404125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776.6762847624027</v>
      </c>
      <c r="C4" s="71">
        <f t="shared" ref="C4:W4" si="2">SUM(C5:C9)</f>
        <v>783.92987617222161</v>
      </c>
      <c r="D4" s="71">
        <f t="shared" si="2"/>
        <v>814.14838388077146</v>
      </c>
      <c r="E4" s="71">
        <f t="shared" si="2"/>
        <v>873.28655760335391</v>
      </c>
      <c r="F4" s="71">
        <f t="shared" si="2"/>
        <v>900.00415605119622</v>
      </c>
      <c r="G4" s="71">
        <f t="shared" si="2"/>
        <v>790.10435218500356</v>
      </c>
      <c r="H4" s="71">
        <f t="shared" si="2"/>
        <v>784.62254909172134</v>
      </c>
      <c r="I4" s="71">
        <f t="shared" si="2"/>
        <v>917.31097876465117</v>
      </c>
      <c r="J4" s="71">
        <f t="shared" si="2"/>
        <v>847.67148641095707</v>
      </c>
      <c r="K4" s="71">
        <f t="shared" si="2"/>
        <v>757.60688418120196</v>
      </c>
      <c r="L4" s="71">
        <f t="shared" si="2"/>
        <v>753.35217835863216</v>
      </c>
      <c r="M4" s="71">
        <f t="shared" si="2"/>
        <v>738.47606403158738</v>
      </c>
      <c r="N4" s="71">
        <f t="shared" si="2"/>
        <v>690.38137629797745</v>
      </c>
      <c r="O4" s="71">
        <f t="shared" si="2"/>
        <v>620.88783220382697</v>
      </c>
      <c r="P4" s="71">
        <f t="shared" si="2"/>
        <v>624.7998450361938</v>
      </c>
      <c r="Q4" s="71">
        <f t="shared" si="2"/>
        <v>674.8790671850453</v>
      </c>
      <c r="R4" s="71">
        <f t="shared" si="2"/>
        <v>808.68494139469101</v>
      </c>
      <c r="S4" s="71">
        <f t="shared" si="2"/>
        <v>661.31895224032723</v>
      </c>
      <c r="T4" s="71">
        <f t="shared" si="2"/>
        <v>504.94008130503209</v>
      </c>
      <c r="U4" s="71">
        <f t="shared" si="2"/>
        <v>398.37368675125833</v>
      </c>
      <c r="V4" s="71">
        <f t="shared" si="2"/>
        <v>331.9158105838759</v>
      </c>
      <c r="W4" s="71">
        <f t="shared" si="2"/>
        <v>384.91253000581816</v>
      </c>
      <c r="X4" s="71">
        <f t="shared" ref="X4:Y4" si="3">SUM(X5:X9)</f>
        <v>431.12475089178099</v>
      </c>
      <c r="Y4" s="71">
        <f t="shared" si="3"/>
        <v>405.53715554364652</v>
      </c>
      <c r="DA4" s="186" t="s">
        <v>971</v>
      </c>
    </row>
    <row r="5" spans="1:105" ht="11.45" customHeight="1" x14ac:dyDescent="0.25">
      <c r="A5" s="72" t="s">
        <v>144</v>
      </c>
      <c r="B5" s="73">
        <v>385.94153143035282</v>
      </c>
      <c r="C5" s="73">
        <v>353.08001411706402</v>
      </c>
      <c r="D5" s="73">
        <v>364.73546920802147</v>
      </c>
      <c r="E5" s="73">
        <v>378.89807234436142</v>
      </c>
      <c r="F5" s="73">
        <v>335.13338374273656</v>
      </c>
      <c r="G5" s="73">
        <v>320.47239038147484</v>
      </c>
      <c r="H5" s="73">
        <v>376.06032194790089</v>
      </c>
      <c r="I5" s="73">
        <v>408.9805509173226</v>
      </c>
      <c r="J5" s="73">
        <v>333.19129346752254</v>
      </c>
      <c r="K5" s="73">
        <v>336.61931849222032</v>
      </c>
      <c r="L5" s="73">
        <v>360.29230406976632</v>
      </c>
      <c r="M5" s="73">
        <v>337.32216302373621</v>
      </c>
      <c r="N5" s="73">
        <v>299.21630609162514</v>
      </c>
      <c r="O5" s="73">
        <v>294.2779202364847</v>
      </c>
      <c r="P5" s="73">
        <v>342.4898689276402</v>
      </c>
      <c r="Q5" s="73">
        <v>665.60626664091717</v>
      </c>
      <c r="R5" s="73">
        <v>708.8585297635185</v>
      </c>
      <c r="S5" s="73">
        <v>612.77868244659737</v>
      </c>
      <c r="T5" s="73">
        <v>497.16320792048157</v>
      </c>
      <c r="U5" s="73">
        <v>398.37368675125833</v>
      </c>
      <c r="V5" s="73">
        <v>329.04562882499312</v>
      </c>
      <c r="W5" s="73">
        <v>384.91253000581816</v>
      </c>
      <c r="X5" s="73">
        <v>431.12475089178099</v>
      </c>
      <c r="Y5" s="73">
        <v>405.53715554364652</v>
      </c>
      <c r="DA5" s="187" t="s">
        <v>972</v>
      </c>
    </row>
    <row r="6" spans="1:105" ht="11.45" customHeight="1" x14ac:dyDescent="0.25">
      <c r="A6" s="72" t="s">
        <v>145</v>
      </c>
      <c r="B6" s="73">
        <v>390.73475333204993</v>
      </c>
      <c r="C6" s="73">
        <v>430.84986205515753</v>
      </c>
      <c r="D6" s="73">
        <v>449.41291467274993</v>
      </c>
      <c r="E6" s="73">
        <v>494.38848525899255</v>
      </c>
      <c r="F6" s="73">
        <v>564.87077230845966</v>
      </c>
      <c r="G6" s="73">
        <v>469.63196180352878</v>
      </c>
      <c r="H6" s="73">
        <v>408.56222714382051</v>
      </c>
      <c r="I6" s="73">
        <v>508.33042784732856</v>
      </c>
      <c r="J6" s="73">
        <v>514.48019294343453</v>
      </c>
      <c r="K6" s="73">
        <v>420.98756568898165</v>
      </c>
      <c r="L6" s="73">
        <v>393.05987428886584</v>
      </c>
      <c r="M6" s="73">
        <v>401.15390100785123</v>
      </c>
      <c r="N6" s="73">
        <v>391.16507020635231</v>
      </c>
      <c r="O6" s="73">
        <v>326.60991196734233</v>
      </c>
      <c r="P6" s="73">
        <v>282.30997610855366</v>
      </c>
      <c r="Q6" s="73">
        <v>9.2728005441281738</v>
      </c>
      <c r="R6" s="73">
        <v>99.826411631172547</v>
      </c>
      <c r="S6" s="73">
        <v>48.54026979372987</v>
      </c>
      <c r="T6" s="73">
        <v>7.7768733845505054</v>
      </c>
      <c r="U6" s="73">
        <v>0</v>
      </c>
      <c r="V6" s="73">
        <v>2.8701817588827865</v>
      </c>
      <c r="W6" s="73">
        <v>0</v>
      </c>
      <c r="X6" s="73">
        <v>0</v>
      </c>
      <c r="Y6" s="73">
        <v>0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0</v>
      </c>
      <c r="U7" s="73">
        <v>0</v>
      </c>
      <c r="V7" s="73">
        <v>0</v>
      </c>
      <c r="W7" s="73">
        <v>0</v>
      </c>
      <c r="X7" s="73">
        <v>0</v>
      </c>
      <c r="Y7" s="73">
        <v>0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1422.4543257277087</v>
      </c>
      <c r="C10" s="71">
        <f t="shared" ref="C10:W10" si="4">SUM(C11:C15)</f>
        <v>1444.4163835010368</v>
      </c>
      <c r="D10" s="71">
        <f t="shared" si="4"/>
        <v>1574.6831724390906</v>
      </c>
      <c r="E10" s="71">
        <f t="shared" si="4"/>
        <v>1731.1157639787616</v>
      </c>
      <c r="F10" s="71">
        <f t="shared" si="4"/>
        <v>1759.9231870270498</v>
      </c>
      <c r="G10" s="71">
        <f t="shared" si="4"/>
        <v>1700.1180897754434</v>
      </c>
      <c r="H10" s="71">
        <f t="shared" si="4"/>
        <v>1791.8241405041508</v>
      </c>
      <c r="I10" s="71">
        <f t="shared" si="4"/>
        <v>2152.2040685268366</v>
      </c>
      <c r="J10" s="71">
        <f t="shared" si="4"/>
        <v>2125.3499237352162</v>
      </c>
      <c r="K10" s="71">
        <f t="shared" si="4"/>
        <v>1966.8888165926583</v>
      </c>
      <c r="L10" s="71">
        <f t="shared" si="4"/>
        <v>2020.7393091736114</v>
      </c>
      <c r="M10" s="71">
        <f t="shared" si="4"/>
        <v>1981.2523968454539</v>
      </c>
      <c r="N10" s="71">
        <f t="shared" si="4"/>
        <v>1848.3798446822454</v>
      </c>
      <c r="O10" s="71">
        <f t="shared" si="4"/>
        <v>1674.6567077789755</v>
      </c>
      <c r="P10" s="71">
        <f t="shared" si="4"/>
        <v>1683.1139124874517</v>
      </c>
      <c r="Q10" s="71">
        <f t="shared" si="4"/>
        <v>1747.6220506137506</v>
      </c>
      <c r="R10" s="71">
        <f t="shared" si="4"/>
        <v>2009.3844481151978</v>
      </c>
      <c r="S10" s="71">
        <f t="shared" si="4"/>
        <v>1627.8045215343934</v>
      </c>
      <c r="T10" s="71">
        <f t="shared" si="4"/>
        <v>1192.9813288411415</v>
      </c>
      <c r="U10" s="71">
        <f t="shared" si="4"/>
        <v>969.15253852819126</v>
      </c>
      <c r="V10" s="71">
        <f t="shared" si="4"/>
        <v>993.09889276952026</v>
      </c>
      <c r="W10" s="71">
        <f t="shared" si="4"/>
        <v>1020.9590951016623</v>
      </c>
      <c r="X10" s="71">
        <f t="shared" ref="X10:Y10" si="5">SUM(X11:X15)</f>
        <v>1043.9832456688378</v>
      </c>
      <c r="Y10" s="71">
        <f t="shared" si="5"/>
        <v>899.56817549676589</v>
      </c>
      <c r="DA10" s="186" t="s">
        <v>977</v>
      </c>
    </row>
    <row r="11" spans="1:105" ht="11.45" customHeight="1" x14ac:dyDescent="0.25">
      <c r="A11" s="72" t="s">
        <v>144</v>
      </c>
      <c r="B11" s="73">
        <v>128.60421233576926</v>
      </c>
      <c r="C11" s="73">
        <v>117.30313291646983</v>
      </c>
      <c r="D11" s="73">
        <v>127.21543362946781</v>
      </c>
      <c r="E11" s="73">
        <v>134.18774020937889</v>
      </c>
      <c r="F11" s="73">
        <v>117.52921298985163</v>
      </c>
      <c r="G11" s="73">
        <v>123.98685295472454</v>
      </c>
      <c r="H11" s="73">
        <v>157.54535303060291</v>
      </c>
      <c r="I11" s="73">
        <v>174.00388588405315</v>
      </c>
      <c r="J11" s="73">
        <v>151.28686646368973</v>
      </c>
      <c r="K11" s="73">
        <v>158.21688099187247</v>
      </c>
      <c r="L11" s="73">
        <v>175.53658672988959</v>
      </c>
      <c r="M11" s="73">
        <v>164.76751883352935</v>
      </c>
      <c r="N11" s="73">
        <v>144.43597249822861</v>
      </c>
      <c r="O11" s="73">
        <v>143.2267229277457</v>
      </c>
      <c r="P11" s="73">
        <v>166.4814122417493</v>
      </c>
      <c r="Q11" s="73">
        <v>373.35005322150789</v>
      </c>
      <c r="R11" s="73">
        <v>320.77861555032558</v>
      </c>
      <c r="S11" s="73">
        <v>271.41572855942155</v>
      </c>
      <c r="T11" s="73">
        <v>255.49010248364561</v>
      </c>
      <c r="U11" s="73">
        <v>325.48375090996251</v>
      </c>
      <c r="V11" s="73">
        <v>216.43605647165342</v>
      </c>
      <c r="W11" s="73">
        <v>341.63802889357981</v>
      </c>
      <c r="X11" s="73">
        <v>330.93698599557922</v>
      </c>
      <c r="Y11" s="73">
        <v>260.64685133511529</v>
      </c>
      <c r="DA11" s="187" t="s">
        <v>978</v>
      </c>
    </row>
    <row r="12" spans="1:105" ht="11.45" customHeight="1" x14ac:dyDescent="0.25">
      <c r="A12" s="72" t="s">
        <v>145</v>
      </c>
      <c r="B12" s="73">
        <v>1293.8501133919394</v>
      </c>
      <c r="C12" s="73">
        <v>1327.1132505845669</v>
      </c>
      <c r="D12" s="73">
        <v>1447.4677388096229</v>
      </c>
      <c r="E12" s="73">
        <v>1596.9280237693827</v>
      </c>
      <c r="F12" s="73">
        <v>1642.3939740371982</v>
      </c>
      <c r="G12" s="73">
        <v>1576.1312368207189</v>
      </c>
      <c r="H12" s="73">
        <v>1634.2787874735479</v>
      </c>
      <c r="I12" s="73">
        <v>1978.2001826427834</v>
      </c>
      <c r="J12" s="73">
        <v>1974.0630572715263</v>
      </c>
      <c r="K12" s="73">
        <v>1808.6719356007857</v>
      </c>
      <c r="L12" s="73">
        <v>1845.2027224437218</v>
      </c>
      <c r="M12" s="73">
        <v>1816.4848780119246</v>
      </c>
      <c r="N12" s="73">
        <v>1703.9438721840168</v>
      </c>
      <c r="O12" s="73">
        <v>1531.4299848512298</v>
      </c>
      <c r="P12" s="73">
        <v>1516.6325002457024</v>
      </c>
      <c r="Q12" s="73">
        <v>1374.2719973922426</v>
      </c>
      <c r="R12" s="73">
        <v>1688.6058325648721</v>
      </c>
      <c r="S12" s="73">
        <v>1356.3887929749719</v>
      </c>
      <c r="T12" s="73">
        <v>937.49122635749575</v>
      </c>
      <c r="U12" s="73">
        <v>643.66878761822875</v>
      </c>
      <c r="V12" s="73">
        <v>776.66283629786687</v>
      </c>
      <c r="W12" s="73">
        <v>679.32106620808247</v>
      </c>
      <c r="X12" s="73">
        <v>713.04625967325865</v>
      </c>
      <c r="Y12" s="73">
        <v>638.92132416165066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0</v>
      </c>
      <c r="U13" s="73">
        <v>0</v>
      </c>
      <c r="V13" s="73">
        <v>0</v>
      </c>
      <c r="W13" s="73">
        <v>0</v>
      </c>
      <c r="X13" s="73">
        <v>0</v>
      </c>
      <c r="Y13" s="73">
        <v>0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5842.4867996336043</v>
      </c>
      <c r="C19" s="62">
        <f>IF(C3=0,0,C3/MBunk_act!C7*100)</f>
        <v>6050.9158114489228</v>
      </c>
      <c r="D19" s="62">
        <f>IF(D3=0,0,D3/MBunk_act!D7*100)</f>
        <v>6422.6021102944796</v>
      </c>
      <c r="E19" s="62">
        <f>IF(E3=0,0,E3/MBunk_act!E7*100)</f>
        <v>6701.0242353119411</v>
      </c>
      <c r="F19" s="62">
        <f>IF(F3=0,0,F3/MBunk_act!F7*100)</f>
        <v>6907.9436901982217</v>
      </c>
      <c r="G19" s="62">
        <f>IF(G3=0,0,G3/MBunk_act!G7*100)</f>
        <v>6250.670674604612</v>
      </c>
      <c r="H19" s="62">
        <f>IF(H3=0,0,H3/MBunk_act!H7*100)</f>
        <v>6179.6116269283048</v>
      </c>
      <c r="I19" s="62">
        <f>IF(I3=0,0,I3/MBunk_act!I7*100)</f>
        <v>7212.9626167374226</v>
      </c>
      <c r="J19" s="62">
        <f>IF(J3=0,0,J3/MBunk_act!J7*100)</f>
        <v>7103.8030188775183</v>
      </c>
      <c r="K19" s="62">
        <f>IF(K3=0,0,K3/MBunk_act!K7*100)</f>
        <v>7641.3676299148437</v>
      </c>
      <c r="L19" s="62">
        <f>IF(L3=0,0,L3/MBunk_act!L7*100)</f>
        <v>7992.6206617073631</v>
      </c>
      <c r="M19" s="62">
        <f>IF(M3=0,0,M3/MBunk_act!M7*100)</f>
        <v>7216.6646581206678</v>
      </c>
      <c r="N19" s="62">
        <f>IF(N3=0,0,N3/MBunk_act!N7*100)</f>
        <v>6943.3031066948643</v>
      </c>
      <c r="O19" s="62">
        <f>IF(O3=0,0,O3/MBunk_act!O7*100)</f>
        <v>6293.8114047210202</v>
      </c>
      <c r="P19" s="62">
        <f>IF(P3=0,0,P3/MBunk_act!P7*100)</f>
        <v>6174.9240968953654</v>
      </c>
      <c r="Q19" s="62">
        <f>IF(Q3=0,0,Q3/MBunk_act!Q7*100)</f>
        <v>7216.9024747091125</v>
      </c>
      <c r="R19" s="62">
        <f>IF(R3=0,0,R3/MBunk_act!R7*100)</f>
        <v>8631.6299409041603</v>
      </c>
      <c r="S19" s="62">
        <f>IF(S3=0,0,S3/MBunk_act!S7*100)</f>
        <v>7261.8358884260242</v>
      </c>
      <c r="T19" s="62">
        <f>IF(T3=0,0,T3/MBunk_act!T7*100)</f>
        <v>5380.399186255142</v>
      </c>
      <c r="U19" s="62">
        <f>IF(U3=0,0,U3/MBunk_act!U7*100)</f>
        <v>4314.0219184056004</v>
      </c>
      <c r="V19" s="62">
        <f>IF(V3=0,0,V3/MBunk_act!V7*100)</f>
        <v>4445.881400814229</v>
      </c>
      <c r="W19" s="62">
        <f>IF(W3=0,0,W3/MBunk_act!W7*100)</f>
        <v>4664.2174251549695</v>
      </c>
      <c r="X19" s="62">
        <f>IF(X3=0,0,X3/MBunk_act!X7*100)</f>
        <v>4745.2364420364947</v>
      </c>
      <c r="Y19" s="62">
        <f>IF(Y3=0,0,Y3/MBunk_act!Y7*100)</f>
        <v>4407.8682001806792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5931.0278728059429</v>
      </c>
      <c r="C20" s="63">
        <f>IF(C4=0,0,C4/MBunk_act!C8*100)</f>
        <v>6170.9959301807557</v>
      </c>
      <c r="D20" s="63">
        <f>IF(D4=0,0,D4/MBunk_act!D8*100)</f>
        <v>6809.1827917376304</v>
      </c>
      <c r="E20" s="63">
        <f>IF(E4=0,0,E4/MBunk_act!E8*100)</f>
        <v>7150.1129895993363</v>
      </c>
      <c r="F20" s="63">
        <f>IF(F4=0,0,F4/MBunk_act!F8*100)</f>
        <v>6987.5659636860692</v>
      </c>
      <c r="G20" s="63">
        <f>IF(G4=0,0,G4/MBunk_act!G8*100)</f>
        <v>6425.576860772102</v>
      </c>
      <c r="H20" s="63">
        <f>IF(H4=0,0,H4/MBunk_act!H8*100)</f>
        <v>6184.6480502895447</v>
      </c>
      <c r="I20" s="63">
        <f>IF(I4=0,0,I4/MBunk_act!I8*100)</f>
        <v>7310.3878688115574</v>
      </c>
      <c r="J20" s="63">
        <f>IF(J4=0,0,J4/MBunk_act!J8*100)</f>
        <v>7197.4617621320376</v>
      </c>
      <c r="K20" s="63">
        <f>IF(K4=0,0,K4/MBunk_act!K8*100)</f>
        <v>7967.8496002250031</v>
      </c>
      <c r="L20" s="63">
        <f>IF(L4=0,0,L4/MBunk_act!L8*100)</f>
        <v>7823.37468636632</v>
      </c>
      <c r="M20" s="63">
        <f>IF(M4=0,0,M4/MBunk_act!M8*100)</f>
        <v>6530.8113417081431</v>
      </c>
      <c r="N20" s="63">
        <f>IF(N4=0,0,N4/MBunk_act!N8*100)</f>
        <v>6195.8176770260116</v>
      </c>
      <c r="O20" s="63">
        <f>IF(O4=0,0,O4/MBunk_act!O8*100)</f>
        <v>5595.3488771893462</v>
      </c>
      <c r="P20" s="63">
        <f>IF(P4=0,0,P4/MBunk_act!P8*100)</f>
        <v>5418.6224695811115</v>
      </c>
      <c r="Q20" s="63">
        <f>IF(Q4=0,0,Q4/MBunk_act!Q8*100)</f>
        <v>6396.9804177042643</v>
      </c>
      <c r="R20" s="63">
        <f>IF(R4=0,0,R4/MBunk_act!R8*100)</f>
        <v>7660.570822094789</v>
      </c>
      <c r="S20" s="63">
        <f>IF(S4=0,0,S4/MBunk_act!S8*100)</f>
        <v>6388.0170324239543</v>
      </c>
      <c r="T20" s="63">
        <f>IF(T4=0,0,T4/MBunk_act!T8*100)</f>
        <v>4616.7258802766719</v>
      </c>
      <c r="U20" s="63">
        <f>IF(U4=0,0,U4/MBunk_act!U8*100)</f>
        <v>3671.8577182013155</v>
      </c>
      <c r="V20" s="63">
        <f>IF(V4=0,0,V4/MBunk_act!V8*100)</f>
        <v>3482.4651760510128</v>
      </c>
      <c r="W20" s="63">
        <f>IF(W4=0,0,W4/MBunk_act!W8*100)</f>
        <v>3584.5503552474393</v>
      </c>
      <c r="X20" s="63">
        <f>IF(X4=0,0,X4/MBunk_act!X8*100)</f>
        <v>4101.0357958851682</v>
      </c>
      <c r="Y20" s="63">
        <f>IF(Y4=0,0,Y4/MBunk_act!Y8*100)</f>
        <v>3826.9338380803865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5795.2491109362763</v>
      </c>
      <c r="C21" s="64">
        <f>IF(C10=0,0,C10/MBunk_act!C9*100)</f>
        <v>5987.6805553980676</v>
      </c>
      <c r="D21" s="64">
        <f>IF(D10=0,0,D10/MBunk_act!D9*100)</f>
        <v>6239.4541318314832</v>
      </c>
      <c r="E21" s="64">
        <f>IF(E10=0,0,E10/MBunk_act!E9*100)</f>
        <v>6495.224824352731</v>
      </c>
      <c r="F21" s="64">
        <f>IF(F10=0,0,F10/MBunk_act!F9*100)</f>
        <v>6867.9229726754784</v>
      </c>
      <c r="G21" s="64">
        <f>IF(G10=0,0,G10/MBunk_act!G9*100)</f>
        <v>6172.586043051173</v>
      </c>
      <c r="H21" s="64">
        <f>IF(H10=0,0,H10/MBunk_act!H9*100)</f>
        <v>6177.4088070644193</v>
      </c>
      <c r="I21" s="64">
        <f>IF(I10=0,0,I10/MBunk_act!I9*100)</f>
        <v>7172.2228967728934</v>
      </c>
      <c r="J21" s="64">
        <f>IF(J10=0,0,J10/MBunk_act!J9*100)</f>
        <v>7067.1247484483429</v>
      </c>
      <c r="K21" s="64">
        <f>IF(K10=0,0,K10/MBunk_act!K9*100)</f>
        <v>7522.6398232307583</v>
      </c>
      <c r="L21" s="64">
        <f>IF(L10=0,0,L10/MBunk_act!L9*100)</f>
        <v>8057.6063954530709</v>
      </c>
      <c r="M21" s="64">
        <f>IF(M10=0,0,M10/MBunk_act!M9*100)</f>
        <v>7510.6588557884879</v>
      </c>
      <c r="N21" s="64">
        <f>IF(N10=0,0,N10/MBunk_act!N9*100)</f>
        <v>7270.9397685218364</v>
      </c>
      <c r="O21" s="64">
        <f>IF(O10=0,0,O10/MBunk_act!O9*100)</f>
        <v>6599.2308006124686</v>
      </c>
      <c r="P21" s="64">
        <f>IF(P10=0,0,P10/MBunk_act!P9*100)</f>
        <v>6512.3441485903058</v>
      </c>
      <c r="Q21" s="64">
        <f>IF(Q10=0,0,Q10/MBunk_act!Q9*100)</f>
        <v>7592.7166737827592</v>
      </c>
      <c r="R21" s="64">
        <f>IF(R10=0,0,R10/MBunk_act!R9*100)</f>
        <v>9095.6475722761825</v>
      </c>
      <c r="S21" s="64">
        <f>IF(S10=0,0,S10/MBunk_act!S9*100)</f>
        <v>7689.1449609263445</v>
      </c>
      <c r="T21" s="64">
        <f>IF(T10=0,0,T10/MBunk_act!T9*100)</f>
        <v>5785.4573771028936</v>
      </c>
      <c r="U21" s="64">
        <f>IF(U10=0,0,U10/MBunk_act!U9*100)</f>
        <v>4648.1714795400239</v>
      </c>
      <c r="V21" s="64">
        <f>IF(V10=0,0,V10/MBunk_act!V9*100)</f>
        <v>4898.8369689781102</v>
      </c>
      <c r="W21" s="64">
        <f>IF(W10=0,0,W10/MBunk_act!W9*100)</f>
        <v>5261.7150781113178</v>
      </c>
      <c r="X21" s="64">
        <f>IF(X10=0,0,X10/MBunk_act!X9*100)</f>
        <v>5074.4080839769576</v>
      </c>
      <c r="Y21" s="64">
        <f>IF(Y10=0,0,Y10/MBunk_act!Y9*100)</f>
        <v>4731.676298216853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3.5890585639807284</v>
      </c>
      <c r="C23" s="62">
        <f>IF(C3=0,0,C3/MBunk_act!C3*1000)</f>
        <v>3.5675578458930883</v>
      </c>
      <c r="D23" s="62">
        <f>IF(D3=0,0,D3/MBunk_act!D3*1000)</f>
        <v>3.5971149271357459</v>
      </c>
      <c r="E23" s="62">
        <f>IF(E3=0,0,E3/MBunk_act!E3*1000)</f>
        <v>3.6539989378288897</v>
      </c>
      <c r="F23" s="62">
        <f>IF(F3=0,0,F3/MBunk_act!F3*1000)</f>
        <v>3.4769607883446256</v>
      </c>
      <c r="G23" s="62">
        <f>IF(G3=0,0,G3/MBunk_act!G3*1000)</f>
        <v>2.9948071319234324</v>
      </c>
      <c r="H23" s="62">
        <f>IF(H3=0,0,H3/MBunk_act!H3*1000)</f>
        <v>2.828920817702782</v>
      </c>
      <c r="I23" s="62">
        <f>IF(I3=0,0,I3/MBunk_act!I3*1000)</f>
        <v>3.192304142375995</v>
      </c>
      <c r="J23" s="62">
        <f>IF(J3=0,0,J3/MBunk_act!J3*1000)</f>
        <v>2.9795578599962131</v>
      </c>
      <c r="K23" s="62">
        <f>IF(K3=0,0,K3/MBunk_act!K3*1000)</f>
        <v>3.2934500230930506</v>
      </c>
      <c r="L23" s="62">
        <f>IF(L3=0,0,L3/MBunk_act!L3*1000)</f>
        <v>3.1045760778781664</v>
      </c>
      <c r="M23" s="62">
        <f>IF(M3=0,0,M3/MBunk_act!M3*1000)</f>
        <v>2.7502691716892556</v>
      </c>
      <c r="N23" s="62">
        <f>IF(N3=0,0,N3/MBunk_act!N3*1000)</f>
        <v>2.5407461535738407</v>
      </c>
      <c r="O23" s="62">
        <f>IF(O3=0,0,O3/MBunk_act!O3*1000)</f>
        <v>2.2801136327740927</v>
      </c>
      <c r="P23" s="62">
        <f>IF(P3=0,0,P3/MBunk_act!P3*1000)</f>
        <v>2.2269434963406716</v>
      </c>
      <c r="Q23" s="62">
        <f>IF(Q3=0,0,Q3/MBunk_act!Q3*1000)</f>
        <v>2.4748008141483386</v>
      </c>
      <c r="R23" s="62">
        <f>IF(R3=0,0,R3/MBunk_act!R3*1000)</f>
        <v>2.9087762796815921</v>
      </c>
      <c r="S23" s="62">
        <f>IF(S3=0,0,S3/MBunk_act!S3*1000)</f>
        <v>2.3802893367993212</v>
      </c>
      <c r="T23" s="62">
        <f>IF(T3=0,0,T3/MBunk_act!T3*1000)</f>
        <v>1.7704734895532137</v>
      </c>
      <c r="U23" s="62">
        <f>IF(U3=0,0,U3/MBunk_act!U3*1000)</f>
        <v>1.4003736253070913</v>
      </c>
      <c r="V23" s="62">
        <f>IF(V3=0,0,V3/MBunk_act!V3*1000)</f>
        <v>1.4657254036462672</v>
      </c>
      <c r="W23" s="62">
        <f>IF(W3=0,0,W3/MBunk_act!W3*1000)</f>
        <v>1.5538497867912906</v>
      </c>
      <c r="X23" s="62">
        <f>IF(X3=0,0,X3/MBunk_act!X3*1000)</f>
        <v>1.6956084921033636</v>
      </c>
      <c r="Y23" s="62">
        <f>IF(Y3=0,0,Y3/MBunk_act!Y3*1000)</f>
        <v>1.5750297967805813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10.073131155720848</v>
      </c>
      <c r="C24" s="63">
        <f>IF(C4=0,0,C4/MBunk_act!C4*1000)</f>
        <v>10.054112051992181</v>
      </c>
      <c r="D24" s="63">
        <f>IF(D4=0,0,D4/MBunk_act!D4*1000)</f>
        <v>10.401638963958838</v>
      </c>
      <c r="E24" s="63">
        <f>IF(E4=0,0,E4/MBunk_act!E4*1000)</f>
        <v>10.790697530173816</v>
      </c>
      <c r="F24" s="63">
        <f>IF(F4=0,0,F4/MBunk_act!F4*1000)</f>
        <v>10.337754316763405</v>
      </c>
      <c r="G24" s="63">
        <f>IF(G4=0,0,G4/MBunk_act!G4*1000)</f>
        <v>9.3393149115560519</v>
      </c>
      <c r="H24" s="63">
        <f>IF(H4=0,0,H4/MBunk_act!H4*1000)</f>
        <v>9.0381330776970312</v>
      </c>
      <c r="I24" s="63">
        <f>IF(I4=0,0,I4/MBunk_act!I4*1000)</f>
        <v>10.38260080568404</v>
      </c>
      <c r="J24" s="63">
        <f>IF(J4=0,0,J4/MBunk_act!J4*1000)</f>
        <v>10.054181100811165</v>
      </c>
      <c r="K24" s="63">
        <f>IF(K4=0,0,K4/MBunk_act!K4*1000)</f>
        <v>11.270099213762256</v>
      </c>
      <c r="L24" s="63">
        <f>IF(L4=0,0,L4/MBunk_act!L4*1000)</f>
        <v>10.993118920814494</v>
      </c>
      <c r="M24" s="63">
        <f>IF(M4=0,0,M4/MBunk_act!M4*1000)</f>
        <v>9.9414147427636923</v>
      </c>
      <c r="N24" s="63">
        <f>IF(N4=0,0,N4/MBunk_act!N4*1000)</f>
        <v>9.2422780963380617</v>
      </c>
      <c r="O24" s="63">
        <f>IF(O4=0,0,O4/MBunk_act!O4*1000)</f>
        <v>8.3445645774031671</v>
      </c>
      <c r="P24" s="63">
        <f>IF(P4=0,0,P4/MBunk_act!P4*1000)</f>
        <v>8.1291105641001717</v>
      </c>
      <c r="Q24" s="63">
        <f>IF(Q4=0,0,Q4/MBunk_act!Q4*1000)</f>
        <v>8.9114885813825442</v>
      </c>
      <c r="R24" s="63">
        <f>IF(R4=0,0,R4/MBunk_act!R4*1000)</f>
        <v>10.20235235635951</v>
      </c>
      <c r="S24" s="63">
        <f>IF(S4=0,0,S4/MBunk_act!S4*1000)</f>
        <v>8.3812775295984796</v>
      </c>
      <c r="T24" s="63">
        <f>IF(T4=0,0,T4/MBunk_act!T4*1000)</f>
        <v>6.1926335133818151</v>
      </c>
      <c r="U24" s="63">
        <f>IF(U4=0,0,U4/MBunk_act!U4*1000)</f>
        <v>5.0505512958417453</v>
      </c>
      <c r="V24" s="63">
        <f>IF(V4=0,0,V4/MBunk_act!V4*1000)</f>
        <v>4.6028272381146804</v>
      </c>
      <c r="W24" s="63">
        <f>IF(W4=0,0,W4/MBunk_act!W4*1000)</f>
        <v>4.9558352616005017</v>
      </c>
      <c r="X24" s="63">
        <f>IF(X4=0,0,X4/MBunk_act!X4*1000)</f>
        <v>5.7955689275033615</v>
      </c>
      <c r="Y24" s="63">
        <f>IF(Y4=0,0,Y4/MBunk_act!Y4*1000)</f>
        <v>5.1810932779993797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2.6556752067925999</v>
      </c>
      <c r="C25" s="64">
        <f>IF(C10=0,0,C10/MBunk_act!C5*1000)</f>
        <v>2.6423402539359677</v>
      </c>
      <c r="D25" s="64">
        <f>IF(D10=0,0,D10/MBunk_act!D5*1000)</f>
        <v>2.6879736711562461</v>
      </c>
      <c r="E25" s="64">
        <f>IF(E10=0,0,E10/MBunk_act!E5*1000)</f>
        <v>2.7398684216579752</v>
      </c>
      <c r="F25" s="64">
        <f>IF(F10=0,0,F10/MBunk_act!F5*1000)</f>
        <v>2.5959287326756542</v>
      </c>
      <c r="G25" s="64">
        <f>IF(G10=0,0,G10/MBunk_act!G5*1000)</f>
        <v>2.2761909750369602</v>
      </c>
      <c r="H25" s="64">
        <f>IF(H10=0,0,H10/MBunk_act!H5*1000)</f>
        <v>2.1747021176033723</v>
      </c>
      <c r="I25" s="64">
        <f>IF(I10=0,0,I10/MBunk_act!I5*1000)</f>
        <v>2.4647741177961899</v>
      </c>
      <c r="J25" s="64">
        <f>IF(J10=0,0,J10/MBunk_act!J5*1000)</f>
        <v>2.3266113719704102</v>
      </c>
      <c r="K25" s="64">
        <f>IF(K10=0,0,K10/MBunk_act!K5*1000)</f>
        <v>2.5879299544024237</v>
      </c>
      <c r="L25" s="64">
        <f>IF(L10=0,0,L10/MBunk_act!L5*1000)</f>
        <v>2.4493222713721572</v>
      </c>
      <c r="M25" s="64">
        <f>IF(M10=0,0,M10/MBunk_act!M5*1000)</f>
        <v>2.1662203653351417</v>
      </c>
      <c r="N25" s="64">
        <f>IF(N10=0,0,N10/MBunk_act!N5*1000)</f>
        <v>1.9992846993286093</v>
      </c>
      <c r="O25" s="64">
        <f>IF(O10=0,0,O10/MBunk_act!O5*1000)</f>
        <v>1.7961455777925179</v>
      </c>
      <c r="P25" s="64">
        <f>IF(P10=0,0,P10/MBunk_act!P5*1000)</f>
        <v>1.7541576272844892</v>
      </c>
      <c r="Q25" s="64">
        <f>IF(Q10=0,0,Q10/MBunk_act!Q5*1000)</f>
        <v>1.9350601888790961</v>
      </c>
      <c r="R25" s="64">
        <f>IF(R10=0,0,R10/MBunk_act!R5*1000)</f>
        <v>2.2588734602320417</v>
      </c>
      <c r="S25" s="64">
        <f>IF(S10=0,0,S10/MBunk_act!S5*1000)</f>
        <v>1.8439205722469898</v>
      </c>
      <c r="T25" s="64">
        <f>IF(T10=0,0,T10/MBunk_act!T5*1000)</f>
        <v>1.3595503696717466</v>
      </c>
      <c r="U25" s="64">
        <f>IF(U10=0,0,U10/MBunk_act!U5*1000)</f>
        <v>1.0796353321857564</v>
      </c>
      <c r="V25" s="64">
        <f>IF(V10=0,0,V10/MBunk_act!V5*1000)</f>
        <v>1.193789199964874</v>
      </c>
      <c r="W25" s="64">
        <f>IF(W10=0,0,W10/MBunk_act!W5*1000)</f>
        <v>1.2343867875783094</v>
      </c>
      <c r="X25" s="64">
        <f>IF(X10=0,0,X10/MBunk_act!X5*1000)</f>
        <v>1.3122469181510272</v>
      </c>
      <c r="Y25" s="64">
        <f>IF(Y10=0,0,Y10/MBunk_act!Y5*1000)</f>
        <v>1.1988645674342555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0.35317424124677521</v>
      </c>
      <c r="C28" s="77">
        <f t="shared" si="6"/>
        <v>0.35179895080002915</v>
      </c>
      <c r="D28" s="77">
        <f t="shared" si="6"/>
        <v>0.34081447966763123</v>
      </c>
      <c r="E28" s="77">
        <f t="shared" si="6"/>
        <v>0.33531169526559634</v>
      </c>
      <c r="F28" s="77">
        <f t="shared" si="6"/>
        <v>0.33835666917489976</v>
      </c>
      <c r="G28" s="77">
        <f t="shared" si="6"/>
        <v>0.31728264064755102</v>
      </c>
      <c r="H28" s="77">
        <f t="shared" si="6"/>
        <v>0.30453669088522578</v>
      </c>
      <c r="I28" s="77">
        <f t="shared" si="6"/>
        <v>0.29884557157459712</v>
      </c>
      <c r="J28" s="77">
        <f t="shared" si="6"/>
        <v>0.28512121827245096</v>
      </c>
      <c r="K28" s="77">
        <f t="shared" si="6"/>
        <v>0.27807233608994603</v>
      </c>
      <c r="L28" s="77">
        <f t="shared" si="6"/>
        <v>0.2715671713584305</v>
      </c>
      <c r="M28" s="77">
        <f t="shared" si="6"/>
        <v>0.27152565951140878</v>
      </c>
      <c r="N28" s="77">
        <f t="shared" si="6"/>
        <v>0.27193631704813076</v>
      </c>
      <c r="O28" s="77">
        <f t="shared" si="6"/>
        <v>0.27047518416195859</v>
      </c>
      <c r="P28" s="77">
        <f t="shared" si="6"/>
        <v>0.2707206207335035</v>
      </c>
      <c r="Q28" s="77">
        <f t="shared" si="6"/>
        <v>0.27858772168422102</v>
      </c>
      <c r="R28" s="77">
        <f t="shared" si="6"/>
        <v>0.2869641693015002</v>
      </c>
      <c r="S28" s="77">
        <f t="shared" si="6"/>
        <v>0.28889614728812552</v>
      </c>
      <c r="T28" s="77">
        <f t="shared" si="6"/>
        <v>0.29738719253299362</v>
      </c>
      <c r="U28" s="77">
        <f t="shared" si="6"/>
        <v>0.29130972363608748</v>
      </c>
      <c r="V28" s="77">
        <f t="shared" si="6"/>
        <v>0.25049971879093197</v>
      </c>
      <c r="W28" s="77">
        <f t="shared" si="6"/>
        <v>0.27378924443146874</v>
      </c>
      <c r="X28" s="77">
        <f t="shared" ref="X28:Y28" si="8">IF(X4=0,0,X4/X$3)</f>
        <v>0.29226656753064667</v>
      </c>
      <c r="Y28" s="77">
        <f t="shared" si="8"/>
        <v>0.31073136083227682</v>
      </c>
      <c r="DA28" s="184"/>
    </row>
    <row r="29" spans="1:105" ht="11.45" customHeight="1" x14ac:dyDescent="0.25">
      <c r="A29" s="57" t="s">
        <v>167</v>
      </c>
      <c r="B29" s="78">
        <f>IF(B10=0,0,B10/B$3)</f>
        <v>0.64682575875322479</v>
      </c>
      <c r="C29" s="78">
        <f t="shared" ref="C29:W29" si="9">IF(C10=0,0,C10/C$3)</f>
        <v>0.64820104919997079</v>
      </c>
      <c r="D29" s="78">
        <f t="shared" si="9"/>
        <v>0.65918552033236877</v>
      </c>
      <c r="E29" s="78">
        <f t="shared" si="9"/>
        <v>0.66468830473440377</v>
      </c>
      <c r="F29" s="78">
        <f t="shared" si="9"/>
        <v>0.6616433308251003</v>
      </c>
      <c r="G29" s="78">
        <f t="shared" si="9"/>
        <v>0.68271735935244893</v>
      </c>
      <c r="H29" s="78">
        <f t="shared" si="9"/>
        <v>0.69546330911477428</v>
      </c>
      <c r="I29" s="78">
        <f t="shared" si="9"/>
        <v>0.70115442842540288</v>
      </c>
      <c r="J29" s="78">
        <f t="shared" si="9"/>
        <v>0.71487878172754904</v>
      </c>
      <c r="K29" s="78">
        <f t="shared" si="9"/>
        <v>0.72192766391005392</v>
      </c>
      <c r="L29" s="78">
        <f t="shared" si="9"/>
        <v>0.72843282864156944</v>
      </c>
      <c r="M29" s="78">
        <f t="shared" si="9"/>
        <v>0.72847434048859117</v>
      </c>
      <c r="N29" s="78">
        <f t="shared" si="9"/>
        <v>0.7280636829518693</v>
      </c>
      <c r="O29" s="78">
        <f t="shared" si="9"/>
        <v>0.72952481583804152</v>
      </c>
      <c r="P29" s="78">
        <f t="shared" si="9"/>
        <v>0.72927937926649644</v>
      </c>
      <c r="Q29" s="78">
        <f t="shared" si="9"/>
        <v>0.72141227831577903</v>
      </c>
      <c r="R29" s="78">
        <f t="shared" si="9"/>
        <v>0.71303583069849974</v>
      </c>
      <c r="S29" s="78">
        <f t="shared" si="9"/>
        <v>0.71110385271187437</v>
      </c>
      <c r="T29" s="78">
        <f t="shared" si="9"/>
        <v>0.70261280746700649</v>
      </c>
      <c r="U29" s="78">
        <f t="shared" si="9"/>
        <v>0.70869027636391257</v>
      </c>
      <c r="V29" s="78">
        <f t="shared" si="9"/>
        <v>0.74950028120906798</v>
      </c>
      <c r="W29" s="78">
        <f t="shared" si="9"/>
        <v>0.72621075556853132</v>
      </c>
      <c r="X29" s="78">
        <f t="shared" ref="X29:Y29" si="10">IF(X10=0,0,X10/X$3)</f>
        <v>0.70773343246935339</v>
      </c>
      <c r="Y29" s="78">
        <f t="shared" si="10"/>
        <v>0.68926863916772307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7048.6161919199994</v>
      </c>
      <c r="C3" s="62">
        <f t="shared" ref="C3:W3" si="1">SUM(C4:C5)</f>
        <v>7150.8770125199999</v>
      </c>
      <c r="D3" s="62">
        <f t="shared" si="1"/>
        <v>7666.8093277200005</v>
      </c>
      <c r="E3" s="62">
        <f t="shared" si="1"/>
        <v>8366.8347752400005</v>
      </c>
      <c r="F3" s="62">
        <f t="shared" si="1"/>
        <v>8555.6309209200008</v>
      </c>
      <c r="G3" s="62">
        <f t="shared" si="1"/>
        <v>8006.8214808000002</v>
      </c>
      <c r="H3" s="62">
        <f t="shared" si="1"/>
        <v>8274.4358223599993</v>
      </c>
      <c r="I3" s="62">
        <f t="shared" si="1"/>
        <v>9866.2997473200012</v>
      </c>
      <c r="J3" s="62">
        <f t="shared" si="1"/>
        <v>9565.8425164799992</v>
      </c>
      <c r="K3" s="62">
        <f t="shared" si="1"/>
        <v>8757.5000813999995</v>
      </c>
      <c r="L3" s="62">
        <f t="shared" si="1"/>
        <v>8912.8985284799983</v>
      </c>
      <c r="M3" s="62">
        <f t="shared" si="1"/>
        <v>8743.2781636799991</v>
      </c>
      <c r="N3" s="62">
        <f t="shared" si="1"/>
        <v>8165.5985584799982</v>
      </c>
      <c r="O3" s="62">
        <f t="shared" si="1"/>
        <v>7378.284052439998</v>
      </c>
      <c r="P3" s="62">
        <f t="shared" si="1"/>
        <v>7408.4933858400009</v>
      </c>
      <c r="Q3" s="62">
        <f t="shared" si="1"/>
        <v>7706.5981956000005</v>
      </c>
      <c r="R3" s="62">
        <f t="shared" si="1"/>
        <v>8989.7576695200041</v>
      </c>
      <c r="S3" s="62">
        <f t="shared" si="1"/>
        <v>7295.759429400001</v>
      </c>
      <c r="T3" s="62">
        <f t="shared" si="1"/>
        <v>5398.2657036000001</v>
      </c>
      <c r="U3" s="62">
        <f t="shared" si="1"/>
        <v>4331.5711826400002</v>
      </c>
      <c r="V3" s="62">
        <f t="shared" si="1"/>
        <v>4218.45423768</v>
      </c>
      <c r="W3" s="62">
        <f t="shared" si="1"/>
        <v>4455.4605476399993</v>
      </c>
      <c r="X3" s="62">
        <f t="shared" ref="X3:Y3" si="2">SUM(X4:X5)</f>
        <v>4674.9203891999996</v>
      </c>
      <c r="Y3" s="62">
        <f t="shared" si="2"/>
        <v>4136.9165920800006</v>
      </c>
      <c r="DA3" s="172" t="s">
        <v>987</v>
      </c>
    </row>
    <row r="4" spans="1:105" ht="11.45" customHeight="1" x14ac:dyDescent="0.25">
      <c r="A4" s="55" t="s">
        <v>166</v>
      </c>
      <c r="B4" s="63">
        <v>2461.9933301763685</v>
      </c>
      <c r="C4" s="63">
        <v>2490.3142640770466</v>
      </c>
      <c r="D4" s="63">
        <v>2586.3991874414805</v>
      </c>
      <c r="E4" s="63">
        <v>2777.1211423098202</v>
      </c>
      <c r="F4" s="63">
        <v>2869.8399477202784</v>
      </c>
      <c r="G4" s="63">
        <v>2515.7667790454825</v>
      </c>
      <c r="H4" s="63">
        <v>2490.470759647334</v>
      </c>
      <c r="I4" s="63">
        <v>2916.0809439471982</v>
      </c>
      <c r="J4" s="63">
        <v>2700.595786375733</v>
      </c>
      <c r="K4" s="63">
        <v>2407.9966277691956</v>
      </c>
      <c r="L4" s="63">
        <v>2391.0390999916608</v>
      </c>
      <c r="M4" s="63">
        <v>2346.3321378471815</v>
      </c>
      <c r="N4" s="63">
        <v>2195.8652374309145</v>
      </c>
      <c r="O4" s="63">
        <v>1971.3498076431056</v>
      </c>
      <c r="P4" s="63">
        <v>1977.3690677687016</v>
      </c>
      <c r="Q4" s="63">
        <v>2095.0375275773622</v>
      </c>
      <c r="R4" s="63">
        <v>2522.6622516389953</v>
      </c>
      <c r="S4" s="63">
        <v>2058.3889638100331</v>
      </c>
      <c r="T4" s="63">
        <v>1567.6100881593125</v>
      </c>
      <c r="U4" s="63">
        <v>1235.9220152024147</v>
      </c>
      <c r="V4" s="63">
        <v>1030.1384077132627</v>
      </c>
      <c r="W4" s="63">
        <v>1194.1598694456143</v>
      </c>
      <c r="X4" s="63">
        <v>1337.5295323119783</v>
      </c>
      <c r="Y4" s="63">
        <v>1258.1460954571332</v>
      </c>
      <c r="DA4" s="181" t="s">
        <v>988</v>
      </c>
    </row>
    <row r="5" spans="1:105" ht="11.45" customHeight="1" x14ac:dyDescent="0.25">
      <c r="A5" s="57" t="s">
        <v>167</v>
      </c>
      <c r="B5" s="64">
        <v>4586.6228617436309</v>
      </c>
      <c r="C5" s="64">
        <v>4660.5627484429533</v>
      </c>
      <c r="D5" s="64">
        <v>5080.41014027852</v>
      </c>
      <c r="E5" s="64">
        <v>5589.7136329301811</v>
      </c>
      <c r="F5" s="64">
        <v>5685.7909731997233</v>
      </c>
      <c r="G5" s="64">
        <v>5491.0547017545177</v>
      </c>
      <c r="H5" s="64">
        <v>5783.9650627126657</v>
      </c>
      <c r="I5" s="64">
        <v>6950.2188033728034</v>
      </c>
      <c r="J5" s="64">
        <v>6865.246730104267</v>
      </c>
      <c r="K5" s="64">
        <v>6349.503453630804</v>
      </c>
      <c r="L5" s="64">
        <v>6521.8594284883375</v>
      </c>
      <c r="M5" s="64">
        <v>6396.9460258328172</v>
      </c>
      <c r="N5" s="64">
        <v>5969.7333210490842</v>
      </c>
      <c r="O5" s="64">
        <v>5406.9342447968929</v>
      </c>
      <c r="P5" s="64">
        <v>5431.1243180712991</v>
      </c>
      <c r="Q5" s="64">
        <v>5611.5606680226383</v>
      </c>
      <c r="R5" s="64">
        <v>6467.095417881008</v>
      </c>
      <c r="S5" s="64">
        <v>5237.3704655899683</v>
      </c>
      <c r="T5" s="64">
        <v>3830.6556154406871</v>
      </c>
      <c r="U5" s="64">
        <v>3095.6491674375852</v>
      </c>
      <c r="V5" s="64">
        <v>3188.3158299667371</v>
      </c>
      <c r="W5" s="64">
        <v>3261.3006781943845</v>
      </c>
      <c r="X5" s="64">
        <v>3337.3908568880211</v>
      </c>
      <c r="Y5" s="64">
        <v>2878.7704966228675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3.2051830656611626</v>
      </c>
      <c r="C9" s="79">
        <f>IF(C3=0,0,C3/MBunk_ene!C3)</f>
        <v>3.2090510985346281</v>
      </c>
      <c r="D9" s="79">
        <f>IF(D3=0,0,D3/MBunk_ene!D3)</f>
        <v>3.2094390696726975</v>
      </c>
      <c r="E9" s="79">
        <f>IF(E3=0,0,E3/MBunk_ene!E3)</f>
        <v>3.21257384310629</v>
      </c>
      <c r="F9" s="79">
        <f>IF(F3=0,0,F3/MBunk_ene!F3)</f>
        <v>3.2164904591036132</v>
      </c>
      <c r="G9" s="79">
        <f>IF(G3=0,0,G3/MBunk_ene!G3)</f>
        <v>3.2153037198141092</v>
      </c>
      <c r="H9" s="79">
        <f>IF(H3=0,0,H3/MBunk_ene!H3)</f>
        <v>3.2115688074484798</v>
      </c>
      <c r="I9" s="79">
        <f>IF(I3=0,0,I3/MBunk_ene!I3)</f>
        <v>3.2142861642023663</v>
      </c>
      <c r="J9" s="79">
        <f>IF(J3=0,0,J3/MBunk_ene!J3)</f>
        <v>3.2175491517935888</v>
      </c>
      <c r="K9" s="79">
        <f>IF(K3=0,0,K3/MBunk_ene!K3)</f>
        <v>3.2143563592016449</v>
      </c>
      <c r="L9" s="79">
        <f>IF(L3=0,0,L3/MBunk_ene!L3)</f>
        <v>3.2129072053094654</v>
      </c>
      <c r="M9" s="79">
        <f>IF(M3=0,0,M3/MBunk_ene!M3)</f>
        <v>3.2147614327867569</v>
      </c>
      <c r="N9" s="79">
        <f>IF(N3=0,0,N3/MBunk_ene!N3)</f>
        <v>3.2163712329461367</v>
      </c>
      <c r="O9" s="79">
        <f>IF(O3=0,0,O3/MBunk_ene!O3)</f>
        <v>3.2141759499448765</v>
      </c>
      <c r="P9" s="79">
        <f>IF(P3=0,0,P3/MBunk_ene!P3)</f>
        <v>3.2100390933971448</v>
      </c>
      <c r="Q9" s="79">
        <f>IF(Q3=0,0,Q3/MBunk_ene!Q3)</f>
        <v>3.1812568171702624</v>
      </c>
      <c r="R9" s="79">
        <f>IF(R3=0,0,R3/MBunk_ene!R3)</f>
        <v>3.1900412754149672</v>
      </c>
      <c r="S9" s="79">
        <f>IF(S3=0,0,S3/MBunk_ene!S3)</f>
        <v>3.1871410664316122</v>
      </c>
      <c r="T9" s="79">
        <f>IF(T3=0,0,T3/MBunk_ene!T3)</f>
        <v>3.1793377899247206</v>
      </c>
      <c r="U9" s="79">
        <f>IF(U3=0,0,U3/MBunk_ene!U3)</f>
        <v>3.1674501757762323</v>
      </c>
      <c r="V9" s="79">
        <f>IF(V3=0,0,V3/MBunk_ene!V3)</f>
        <v>3.1837037181578287</v>
      </c>
      <c r="W9" s="79">
        <f>IF(W3=0,0,W3/MBunk_ene!W3)</f>
        <v>3.169180221059924</v>
      </c>
      <c r="X9" s="79">
        <f>IF(X3=0,0,X3/MBunk_ene!X3)</f>
        <v>3.1692055090882199</v>
      </c>
      <c r="Y9" s="79">
        <f>IF(Y3=0,0,Y3/MBunk_ene!Y3)</f>
        <v>3.1697951833375058</v>
      </c>
      <c r="DA9" s="172"/>
    </row>
    <row r="10" spans="1:105" ht="11.45" customHeight="1" x14ac:dyDescent="0.25">
      <c r="A10" s="55" t="s">
        <v>166</v>
      </c>
      <c r="B10" s="80">
        <f>IF(B4=0,0,B4/MBunk_ene!B4)</f>
        <v>3.1699092382221128</v>
      </c>
      <c r="C10" s="80">
        <f>IF(C4=0,0,C4/MBunk_ene!C4)</f>
        <v>3.1767053913505259</v>
      </c>
      <c r="D10" s="80">
        <f>IF(D4=0,0,D4/MBunk_ene!D4)</f>
        <v>3.1768154781724012</v>
      </c>
      <c r="E10" s="80">
        <f>IF(E4=0,0,E4/MBunk_ene!E4)</f>
        <v>3.1800800300091034</v>
      </c>
      <c r="F10" s="80">
        <f>IF(F4=0,0,F4/MBunk_ene!F4)</f>
        <v>3.1886963281500993</v>
      </c>
      <c r="G10" s="80">
        <f>IF(G4=0,0,G4/MBunk_ene!G4)</f>
        <v>3.1840943187924799</v>
      </c>
      <c r="H10" s="80">
        <f>IF(H4=0,0,H4/MBunk_ene!H4)</f>
        <v>3.1741004162196225</v>
      </c>
      <c r="I10" s="80">
        <f>IF(I4=0,0,I4/MBunk_ene!I4)</f>
        <v>3.1789447760390961</v>
      </c>
      <c r="J10" s="80">
        <f>IF(J4=0,0,J4/MBunk_ene!J4)</f>
        <v>3.1858990536653078</v>
      </c>
      <c r="K10" s="80">
        <f>IF(K4=0,0,K4/MBunk_ene!K4)</f>
        <v>3.178424956330332</v>
      </c>
      <c r="L10" s="80">
        <f>IF(L4=0,0,L4/MBunk_ene!L4)</f>
        <v>3.1738663120363477</v>
      </c>
      <c r="M10" s="80">
        <f>IF(M4=0,0,M4/MBunk_ene!M4)</f>
        <v>3.1772622731165732</v>
      </c>
      <c r="N10" s="80">
        <f>IF(N4=0,0,N4/MBunk_ene!N4)</f>
        <v>3.180655378054623</v>
      </c>
      <c r="O10" s="80">
        <f>IF(O4=0,0,O4/MBunk_ene!O4)</f>
        <v>3.1750498325049232</v>
      </c>
      <c r="P10" s="80">
        <f>IF(P4=0,0,P4/MBunk_ene!P4)</f>
        <v>3.1648040304077787</v>
      </c>
      <c r="Q10" s="80">
        <f>IF(Q4=0,0,Q4/MBunk_ene!Q4)</f>
        <v>3.1043154684229126</v>
      </c>
      <c r="R10" s="80">
        <f>IF(R4=0,0,R4/MBunk_ene!R4)</f>
        <v>3.1194623796114085</v>
      </c>
      <c r="S10" s="80">
        <f>IF(S4=0,0,S4/MBunk_ene!S4)</f>
        <v>3.112550996515222</v>
      </c>
      <c r="T10" s="80">
        <f>IF(T4=0,0,T4/MBunk_ene!T4)</f>
        <v>3.1045467496020107</v>
      </c>
      <c r="U10" s="80">
        <f>IF(U4=0,0,U4/MBunk_ene!U4)</f>
        <v>3.1024187999999997</v>
      </c>
      <c r="V10" s="80">
        <f>IF(V4=0,0,V4/MBunk_ene!V4)</f>
        <v>3.1036135515844743</v>
      </c>
      <c r="W10" s="80">
        <f>IF(W4=0,0,W4/MBunk_ene!W4)</f>
        <v>3.1024187999999997</v>
      </c>
      <c r="X10" s="80">
        <f>IF(X4=0,0,X4/MBunk_ene!X4)</f>
        <v>3.1024188000000006</v>
      </c>
      <c r="Y10" s="80">
        <f>IF(Y4=0,0,Y4/MBunk_ene!Y4)</f>
        <v>3.1024188000000001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3.2244429777365089</v>
      </c>
      <c r="C11" s="81">
        <f>IF(C5=0,0,C5/MBunk_ene!C10)</f>
        <v>3.2266061238840886</v>
      </c>
      <c r="D11" s="81">
        <f>IF(D5=0,0,D5/MBunk_ene!D10)</f>
        <v>3.2263062368344655</v>
      </c>
      <c r="E11" s="81">
        <f>IF(E5=0,0,E5/MBunk_ene!E10)</f>
        <v>3.2289658203347971</v>
      </c>
      <c r="F11" s="81">
        <f>IF(F5=0,0,F5/MBunk_ene!F10)</f>
        <v>3.2307040529447457</v>
      </c>
      <c r="G11" s="81">
        <f>IF(G5=0,0,G5/MBunk_ene!G10)</f>
        <v>3.2298078202789973</v>
      </c>
      <c r="H11" s="81">
        <f>IF(H5=0,0,H5/MBunk_ene!H10)</f>
        <v>3.2279758554236686</v>
      </c>
      <c r="I11" s="81">
        <f>IF(I5=0,0,I5/MBunk_ene!I10)</f>
        <v>3.2293493470301646</v>
      </c>
      <c r="J11" s="81">
        <f>IF(J5=0,0,J5/MBunk_ene!J10)</f>
        <v>3.230172431106721</v>
      </c>
      <c r="K11" s="81">
        <f>IF(K5=0,0,K5/MBunk_ene!K10)</f>
        <v>3.2281964288303659</v>
      </c>
      <c r="L11" s="81">
        <f>IF(L5=0,0,L5/MBunk_ene!L10)</f>
        <v>3.2274620476183418</v>
      </c>
      <c r="M11" s="81">
        <f>IF(M5=0,0,M5/MBunk_ene!M10)</f>
        <v>3.2287385675939229</v>
      </c>
      <c r="N11" s="81">
        <f>IF(N5=0,0,N5/MBunk_ene!N10)</f>
        <v>3.2297113270434625</v>
      </c>
      <c r="O11" s="81">
        <f>IF(O5=0,0,O5/MBunk_ene!O10)</f>
        <v>3.2286821649362842</v>
      </c>
      <c r="P11" s="81">
        <f>IF(P5=0,0,P5/MBunk_ene!P10)</f>
        <v>3.2268311002460388</v>
      </c>
      <c r="Q11" s="81">
        <f>IF(Q5=0,0,Q5/MBunk_ene!Q10)</f>
        <v>3.2109692516479202</v>
      </c>
      <c r="R11" s="81">
        <f>IF(R5=0,0,R5/MBunk_ene!R10)</f>
        <v>3.2184460390081862</v>
      </c>
      <c r="S11" s="81">
        <f>IF(S5=0,0,S5/MBunk_ene!S10)</f>
        <v>3.2174443529946353</v>
      </c>
      <c r="T11" s="81">
        <f>IF(T5=0,0,T5/MBunk_ene!T10)</f>
        <v>3.2109937706751661</v>
      </c>
      <c r="U11" s="81">
        <f>IF(U5=0,0,U5/MBunk_ene!U10)</f>
        <v>3.1941815600450365</v>
      </c>
      <c r="V11" s="81">
        <f>IF(V5=0,0,V5/MBunk_ene!V10)</f>
        <v>3.2104716390079449</v>
      </c>
      <c r="W11" s="81">
        <f>IF(W5=0,0,W5/MBunk_ene!W10)</f>
        <v>3.1943499929050923</v>
      </c>
      <c r="X11" s="81">
        <f>IF(X5=0,0,X5/MBunk_ene!X10)</f>
        <v>3.1967858399393085</v>
      </c>
      <c r="Y11" s="81">
        <f>IF(Y5=0,0,Y5/MBunk_ene!Y10)</f>
        <v>3.2001693423993491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18726.239751534511</v>
      </c>
      <c r="C13" s="62">
        <f>IF(C3=0,0,C3/MBunk_act!C7*100)</f>
        <v>19417.698031870721</v>
      </c>
      <c r="D13" s="62">
        <f>IF(D3=0,0,D3/MBunk_act!D7*100)</f>
        <v>20612.950141741418</v>
      </c>
      <c r="E13" s="62">
        <f>IF(E3=0,0,E3/MBunk_act!E7*100)</f>
        <v>21527.535180384471</v>
      </c>
      <c r="F13" s="62">
        <f>IF(F3=0,0,F3/MBunk_act!F7*100)</f>
        <v>22219.334971547589</v>
      </c>
      <c r="G13" s="62">
        <f>IF(G3=0,0,G3/MBunk_act!G7*100)</f>
        <v>20097.804671389174</v>
      </c>
      <c r="H13" s="62">
        <f>IF(H3=0,0,H3/MBunk_act!H7*100)</f>
        <v>19846.247943188897</v>
      </c>
      <c r="I13" s="62">
        <f>IF(I3=0,0,I3/MBunk_act!I7*100)</f>
        <v>23184.52594188799</v>
      </c>
      <c r="J13" s="62">
        <f>IF(J3=0,0,J3/MBunk_act!J7*100)</f>
        <v>22856.835377898093</v>
      </c>
      <c r="K13" s="62">
        <f>IF(K3=0,0,K3/MBunk_act!K7*100)</f>
        <v>24562.078634214377</v>
      </c>
      <c r="L13" s="62">
        <f>IF(L3=0,0,L3/MBunk_act!L7*100)</f>
        <v>25679.54851330489</v>
      </c>
      <c r="M13" s="62">
        <f>IF(M3=0,0,M3/MBunk_act!M7*100)</f>
        <v>23199.855216281547</v>
      </c>
      <c r="N13" s="62">
        <f>IF(N3=0,0,N3/MBunk_act!N7*100)</f>
        <v>22332.240373998902</v>
      </c>
      <c r="O13" s="62">
        <f>IF(O3=0,0,O3/MBunk_act!O7*100)</f>
        <v>20229.417250543083</v>
      </c>
      <c r="P13" s="62">
        <f>IF(P3=0,0,P3/MBunk_act!P7*100)</f>
        <v>19821.74774979418</v>
      </c>
      <c r="Q13" s="62">
        <f>IF(Q3=0,0,Q3/MBunk_act!Q7*100)</f>
        <v>22958.820196521305</v>
      </c>
      <c r="R13" s="62">
        <f>IF(R3=0,0,R3/MBunk_act!R7*100)</f>
        <v>27535.255785591926</v>
      </c>
      <c r="S13" s="62">
        <f>IF(S3=0,0,S3/MBunk_act!S7*100)</f>
        <v>23144.495377689476</v>
      </c>
      <c r="T13" s="62">
        <f>IF(T3=0,0,T3/MBunk_act!T7*100)</f>
        <v>17106.106457741189</v>
      </c>
      <c r="U13" s="62">
        <f>IF(U3=0,0,U3/MBunk_act!U7*100)</f>
        <v>13664.44948375634</v>
      </c>
      <c r="V13" s="62">
        <f>IF(V3=0,0,V3/MBunk_act!V7*100)</f>
        <v>14154.369146260999</v>
      </c>
      <c r="W13" s="62">
        <f>IF(W3=0,0,W3/MBunk_act!W7*100)</f>
        <v>14781.745610524174</v>
      </c>
      <c r="X13" s="62">
        <f>IF(X3=0,0,X3/MBunk_act!X7*100)</f>
        <v>15038.629474028243</v>
      </c>
      <c r="Y13" s="62">
        <f>IF(Y3=0,0,Y3/MBunk_act!Y7*100)</f>
        <v>13972.039389719277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18800.820046160403</v>
      </c>
      <c r="C14" s="63">
        <f>IF(C4=0,0,C4/MBunk_act!C8*100)</f>
        <v>19603.43604140736</v>
      </c>
      <c r="D14" s="63">
        <f>IF(D4=0,0,D4/MBunk_act!D8*100)</f>
        <v>21631.517286497263</v>
      </c>
      <c r="E14" s="63">
        <f>IF(E4=0,0,E4/MBunk_act!E8*100)</f>
        <v>22737.931530533537</v>
      </c>
      <c r="F14" s="63">
        <f>IF(F4=0,0,F4/MBunk_act!F8*100)</f>
        <v>22281.225931112378</v>
      </c>
      <c r="G14" s="63">
        <f>IF(G4=0,0,G4/MBunk_act!G8*100)</f>
        <v>20459.642777348869</v>
      </c>
      <c r="H14" s="63">
        <f>IF(H4=0,0,H4/MBunk_act!H8*100)</f>
        <v>19630.69395059592</v>
      </c>
      <c r="I14" s="63">
        <f>IF(I4=0,0,I4/MBunk_act!I8*100)</f>
        <v>23239.319326378081</v>
      </c>
      <c r="J14" s="63">
        <f>IF(J4=0,0,J4/MBunk_act!J8*100)</f>
        <v>22930.386616768697</v>
      </c>
      <c r="K14" s="63">
        <f>IF(K4=0,0,K4/MBunk_act!K8*100)</f>
        <v>25325.212017641807</v>
      </c>
      <c r="L14" s="63">
        <f>IF(L4=0,0,L4/MBunk_act!L8*100)</f>
        <v>24830.345363495991</v>
      </c>
      <c r="M14" s="63">
        <f>IF(M4=0,0,M4/MBunk_act!M8*100)</f>
        <v>20750.100488851112</v>
      </c>
      <c r="N14" s="63">
        <f>IF(N4=0,0,N4/MBunk_act!N8*100)</f>
        <v>19706.760815878682</v>
      </c>
      <c r="O14" s="63">
        <f>IF(O4=0,0,O4/MBunk_act!O8*100)</f>
        <v>17765.511515326642</v>
      </c>
      <c r="P14" s="63">
        <f>IF(P4=0,0,P4/MBunk_act!P8*100)</f>
        <v>17148.878230988452</v>
      </c>
      <c r="Q14" s="63">
        <f>IF(Q4=0,0,Q4/MBunk_act!Q8*100)</f>
        <v>19858.245261877812</v>
      </c>
      <c r="R14" s="63">
        <f>IF(R4=0,0,R4/MBunk_act!R8*100)</f>
        <v>23896.862485873531</v>
      </c>
      <c r="S14" s="63">
        <f>IF(S4=0,0,S4/MBunk_act!S8*100)</f>
        <v>19883.028780027391</v>
      </c>
      <c r="T14" s="63">
        <f>IF(T4=0,0,T4/MBunk_act!T8*100)</f>
        <v>14332.841325416424</v>
      </c>
      <c r="U14" s="63">
        <f>IF(U4=0,0,U4/MBunk_act!U8*100)</f>
        <v>11391.640415872862</v>
      </c>
      <c r="V14" s="63">
        <f>IF(V4=0,0,V4/MBunk_act!V8*100)</f>
        <v>10808.226113312936</v>
      </c>
      <c r="W14" s="63">
        <f>IF(W4=0,0,W4/MBunk_act!W8*100)</f>
        <v>11120.776411666333</v>
      </c>
      <c r="X14" s="63">
        <f>IF(X4=0,0,X4/MBunk_act!X8*100)</f>
        <v>12723.130552627112</v>
      </c>
      <c r="Y14" s="63">
        <f>IF(Y4=0,0,Y4/MBunk_act!Y8*100)</f>
        <v>11872.751485616749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18686.450299992222</v>
      </c>
      <c r="C15" s="64">
        <f>IF(C5=0,0,C5/MBunk_act!C9*100)</f>
        <v>19319.886747909088</v>
      </c>
      <c r="D15" s="64">
        <f>IF(D5=0,0,D5/MBunk_act!D9*100)</f>
        <v>20130.38977997049</v>
      </c>
      <c r="E15" s="64">
        <f>IF(E5=0,0,E5/MBunk_act!E9*100)</f>
        <v>20972.858953225055</v>
      </c>
      <c r="F15" s="64">
        <f>IF(F5=0,0,F5/MBunk_act!F9*100)</f>
        <v>22188.226583134991</v>
      </c>
      <c r="G15" s="64">
        <f>IF(G5=0,0,G5/MBunk_act!G9*100)</f>
        <v>19936.266673191669</v>
      </c>
      <c r="H15" s="64">
        <f>IF(H5=0,0,H5/MBunk_act!H9*100)</f>
        <v>19940.526478285472</v>
      </c>
      <c r="I15" s="64">
        <f>IF(I5=0,0,I5/MBunk_act!I9*100)</f>
        <v>23161.613328448344</v>
      </c>
      <c r="J15" s="64">
        <f>IF(J5=0,0,J5/MBunk_act!J9*100)</f>
        <v>22828.031529629861</v>
      </c>
      <c r="K15" s="64">
        <f>IF(K5=0,0,K5/MBunk_act!K9*100)</f>
        <v>24284.559012730635</v>
      </c>
      <c r="L15" s="64">
        <f>IF(L5=0,0,L5/MBunk_act!L9*100)</f>
        <v>26005.618835971614</v>
      </c>
      <c r="M15" s="64">
        <f>IF(M5=0,0,M5/MBunk_act!M9*100)</f>
        <v>24249.953915725135</v>
      </c>
      <c r="N15" s="64">
        <f>IF(N5=0,0,N5/MBunk_act!N9*100)</f>
        <v>23483.036528645745</v>
      </c>
      <c r="O15" s="64">
        <f>IF(O5=0,0,O5/MBunk_act!O9*100)</f>
        <v>21306.818788235672</v>
      </c>
      <c r="P15" s="64">
        <f>IF(P5=0,0,P5/MBunk_act!P9*100)</f>
        <v>21014.234634176508</v>
      </c>
      <c r="Q15" s="64">
        <f>IF(Q5=0,0,Q5/MBunk_act!Q9*100)</f>
        <v>24379.979775990912</v>
      </c>
      <c r="R15" s="64">
        <f>IF(R5=0,0,R5/MBunk_act!R9*100)</f>
        <v>29273.850901206704</v>
      </c>
      <c r="S15" s="64">
        <f>IF(S5=0,0,S5/MBunk_act!S9*100)</f>
        <v>24739.396033889625</v>
      </c>
      <c r="T15" s="64">
        <f>IF(T5=0,0,T5/MBunk_act!T9*100)</f>
        <v>18577.067598384077</v>
      </c>
      <c r="U15" s="64">
        <f>IF(U5=0,0,U5/MBunk_act!U9*100)</f>
        <v>14847.103627873998</v>
      </c>
      <c r="V15" s="64">
        <f>IF(V5=0,0,V5/MBunk_act!V9*100)</f>
        <v>15727.577153027865</v>
      </c>
      <c r="W15" s="64">
        <f>IF(W5=0,0,W5/MBunk_act!W9*100)</f>
        <v>16807.759522433502</v>
      </c>
      <c r="X15" s="64">
        <f>IF(X5=0,0,X5/MBunk_act!X9*100)</f>
        <v>16221.795908931097</v>
      </c>
      <c r="Y15" s="64">
        <f>IF(Y5=0,0,Y5/MBunk_act!Y9*100)</f>
        <v>15142.16542771121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11.5035897309372</v>
      </c>
      <c r="C17" s="62">
        <f>IF(C3=0,0,C3/MBunk_act!C3*1000)</f>
        <v>11.448475424449049</v>
      </c>
      <c r="D17" s="62">
        <f>IF(D3=0,0,D3/MBunk_act!D3*1000)</f>
        <v>11.544721185252321</v>
      </c>
      <c r="E17" s="62">
        <f>IF(E3=0,0,E3/MBunk_act!E3*1000)</f>
        <v>11.738741410407259</v>
      </c>
      <c r="F17" s="62">
        <f>IF(F3=0,0,F3/MBunk_act!F3*1000)</f>
        <v>11.183611202387866</v>
      </c>
      <c r="G17" s="62">
        <f>IF(G3=0,0,G3/MBunk_act!G3*1000)</f>
        <v>9.6292145113992351</v>
      </c>
      <c r="H17" s="62">
        <f>IF(H3=0,0,H3/MBunk_act!H3*1000)</f>
        <v>9.0852738568759026</v>
      </c>
      <c r="I17" s="62">
        <f>IF(I3=0,0,I3/MBunk_act!I3*1000)</f>
        <v>10.260979036765061</v>
      </c>
      <c r="J17" s="62">
        <f>IF(J3=0,0,J3/MBunk_act!J3*1000)</f>
        <v>9.5868738651507357</v>
      </c>
      <c r="K17" s="62">
        <f>IF(K3=0,0,K3/MBunk_act!K3*1000)</f>
        <v>10.586322025441952</v>
      </c>
      <c r="L17" s="62">
        <f>IF(L3=0,0,L3/MBunk_act!L3*1000)</f>
        <v>9.9747148500461602</v>
      </c>
      <c r="M17" s="62">
        <f>IF(M3=0,0,M3/MBunk_act!M3*1000)</f>
        <v>8.8414592629289999</v>
      </c>
      <c r="N17" s="62">
        <f>IF(N3=0,0,N3/MBunk_act!N3*1000)</f>
        <v>8.1719828385734488</v>
      </c>
      <c r="O17" s="62">
        <f>IF(O3=0,0,O3/MBunk_act!O3*1000)</f>
        <v>7.3286864016039326</v>
      </c>
      <c r="P17" s="62">
        <f>IF(P3=0,0,P3/MBunk_act!P3*1000)</f>
        <v>7.1485756820400779</v>
      </c>
      <c r="Q17" s="62">
        <f>IF(Q3=0,0,Q3/MBunk_act!Q3*1000)</f>
        <v>7.8729769611479181</v>
      </c>
      <c r="R17" s="62">
        <f>IF(R3=0,0,R3/MBunk_act!R3*1000)</f>
        <v>9.27911639313227</v>
      </c>
      <c r="S17" s="62">
        <f>IF(S3=0,0,S3/MBunk_act!S3*1000)</f>
        <v>7.5863178953023835</v>
      </c>
      <c r="T17" s="62">
        <f>IF(T3=0,0,T3/MBunk_act!T3*1000)</f>
        <v>5.6289332713964226</v>
      </c>
      <c r="U17" s="62">
        <f>IF(U3=0,0,U3/MBunk_act!U3*1000)</f>
        <v>4.4356136856313455</v>
      </c>
      <c r="V17" s="62">
        <f>IF(V3=0,0,V3/MBunk_act!V3*1000)</f>
        <v>4.6664354173870048</v>
      </c>
      <c r="W17" s="62">
        <f>IF(W3=0,0,W3/MBunk_act!W3*1000)</f>
        <v>4.9244300107971384</v>
      </c>
      <c r="X17" s="62">
        <f>IF(X3=0,0,X3/MBunk_act!X3*1000)</f>
        <v>5.37373177443075</v>
      </c>
      <c r="Y17" s="62">
        <f>IF(Y3=0,0,Y3/MBunk_act!Y3*1000)</f>
        <v>4.992521863448137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31.930911508342508</v>
      </c>
      <c r="C18" s="63">
        <f>IF(C4=0,0,C4/MBunk_act!C4*1000)</f>
        <v>31.938951960805866</v>
      </c>
      <c r="D18" s="63">
        <f>IF(D4=0,0,D4/MBunk_act!D4*1000)</f>
        <v>33.044087659065575</v>
      </c>
      <c r="E18" s="63">
        <f>IF(E4=0,0,E4/MBunk_act!E4*1000)</f>
        <v>34.315281725574302</v>
      </c>
      <c r="F18" s="63">
        <f>IF(F4=0,0,F4/MBunk_act!F4*1000)</f>
        <v>32.963959231181306</v>
      </c>
      <c r="G18" s="63">
        <f>IF(G4=0,0,G4/MBunk_act!G4*1000)</f>
        <v>29.73725955129952</v>
      </c>
      <c r="H18" s="63">
        <f>IF(H4=0,0,H4/MBunk_act!H4*1000)</f>
        <v>28.687941963766487</v>
      </c>
      <c r="I18" s="63">
        <f>IF(I4=0,0,I4/MBunk_act!I4*1000)</f>
        <v>33.005714592928591</v>
      </c>
      <c r="J18" s="63">
        <f>IF(J4=0,0,J4/MBunk_act!J4*1000)</f>
        <v>32.031606054453917</v>
      </c>
      <c r="K18" s="63">
        <f>IF(K4=0,0,K4/MBunk_act!K4*1000)</f>
        <v>35.821164601340804</v>
      </c>
      <c r="L18" s="63">
        <f>IF(L4=0,0,L4/MBunk_act!L4*1000)</f>
        <v>34.890689806982493</v>
      </c>
      <c r="M18" s="63">
        <f>IF(M4=0,0,M4/MBunk_act!M4*1000)</f>
        <v>31.586482003587982</v>
      </c>
      <c r="N18" s="63">
        <f>IF(N4=0,0,N4/MBunk_act!N4*1000)</f>
        <v>29.396501532594101</v>
      </c>
      <c r="O18" s="63">
        <f>IF(O4=0,0,O4/MBunk_act!O4*1000)</f>
        <v>26.49440836381044</v>
      </c>
      <c r="P18" s="63">
        <f>IF(P4=0,0,P4/MBunk_act!P4*1000)</f>
        <v>25.727041876894674</v>
      </c>
      <c r="Q18" s="63">
        <f>IF(Q4=0,0,Q4/MBunk_act!Q4*1000)</f>
        <v>27.66407184985999</v>
      </c>
      <c r="R18" s="63">
        <f>IF(R4=0,0,R4/MBunk_act!R4*1000)</f>
        <v>31.825854359203301</v>
      </c>
      <c r="S18" s="63">
        <f>IF(S4=0,0,S4/MBunk_act!S4*1000)</f>
        <v>26.087153726822386</v>
      </c>
      <c r="T18" s="63">
        <f>IF(T4=0,0,T4/MBunk_act!T4*1000)</f>
        <v>19.225320245445992</v>
      </c>
      <c r="U18" s="63">
        <f>IF(U4=0,0,U4/MBunk_act!U4*1000)</f>
        <v>15.668925290583793</v>
      </c>
      <c r="V18" s="63">
        <f>IF(V4=0,0,V4/MBunk_act!V4*1000)</f>
        <v>14.28539699181486</v>
      </c>
      <c r="W18" s="63">
        <f>IF(W4=0,0,W4/MBunk_act!W4*1000)</f>
        <v>15.375076485292311</v>
      </c>
      <c r="X18" s="63">
        <f>IF(X4=0,0,X4/MBunk_act!X4*1000)</f>
        <v>17.980281997382267</v>
      </c>
      <c r="Y18" s="63">
        <f>IF(Y4=0,0,Y4/MBunk_act!Y4*1000)</f>
        <v>16.073921190218904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8.5630732716913514</v>
      </c>
      <c r="C19" s="64">
        <f>IF(C5=0,0,C5/MBunk_act!C5*1000)</f>
        <v>8.5257912447352311</v>
      </c>
      <c r="D19" s="64">
        <f>IF(D5=0,0,D5/MBunk_act!D5*1000)</f>
        <v>8.6722262196982314</v>
      </c>
      <c r="E19" s="64">
        <f>IF(E5=0,0,E5/MBunk_act!E5*1000)</f>
        <v>8.8469414857482516</v>
      </c>
      <c r="F19" s="64">
        <f>IF(F5=0,0,F5/MBunk_act!F5*1000)</f>
        <v>8.3866774778109523</v>
      </c>
      <c r="G19" s="64">
        <f>IF(G5=0,0,G5/MBunk_act!G5*1000)</f>
        <v>7.3516594116228484</v>
      </c>
      <c r="H19" s="64">
        <f>IF(H5=0,0,H5/MBunk_act!H5*1000)</f>
        <v>7.0198859283624087</v>
      </c>
      <c r="I19" s="64">
        <f>IF(I5=0,0,I5/MBunk_act!I5*1000)</f>
        <v>7.959616687881975</v>
      </c>
      <c r="J19" s="64">
        <f>IF(J5=0,0,J5/MBunk_act!J5*1000)</f>
        <v>7.5153559116382036</v>
      </c>
      <c r="K19" s="64">
        <f>IF(K5=0,0,K5/MBunk_act!K5*1000)</f>
        <v>8.3543462368650356</v>
      </c>
      <c r="L19" s="64">
        <f>IF(L5=0,0,L5/MBunk_act!L5*1000)</f>
        <v>7.9050946732399892</v>
      </c>
      <c r="M19" s="64">
        <f>IF(M5=0,0,M5/MBunk_act!M5*1000)</f>
        <v>6.9941592394649703</v>
      </c>
      <c r="N19" s="64">
        <f>IF(N5=0,0,N5/MBunk_act!N5*1000)</f>
        <v>6.4571124394062931</v>
      </c>
      <c r="O19" s="64">
        <f>IF(O5=0,0,O5/MBunk_act!O5*1000)</f>
        <v>5.7991831926478801</v>
      </c>
      <c r="P19" s="64">
        <f>IF(P5=0,0,P5/MBunk_act!P5*1000)</f>
        <v>5.6603703864553898</v>
      </c>
      <c r="Q19" s="64">
        <f>IF(Q5=0,0,Q5/MBunk_act!Q5*1000)</f>
        <v>6.2134187665787941</v>
      </c>
      <c r="R19" s="64">
        <f>IF(R5=0,0,R5/MBunk_act!R5*1000)</f>
        <v>7.2700623407045315</v>
      </c>
      <c r="S19" s="64">
        <f>IF(S5=0,0,S5/MBunk_act!S5*1000)</f>
        <v>5.9327118325467145</v>
      </c>
      <c r="T19" s="64">
        <f>IF(T5=0,0,T5/MBunk_act!T5*1000)</f>
        <v>4.3655077679350978</v>
      </c>
      <c r="U19" s="64">
        <f>IF(U5=0,0,U5/MBunk_act!U5*1000)</f>
        <v>3.4485512696408405</v>
      </c>
      <c r="V19" s="64">
        <f>IF(V5=0,0,V5/MBunk_act!V5*1000)</f>
        <v>3.8326263694412126</v>
      </c>
      <c r="W19" s="64">
        <f>IF(W5=0,0,W5/MBunk_act!W5*1000)</f>
        <v>3.9430634261429129</v>
      </c>
      <c r="X19" s="64">
        <f>IF(X5=0,0,X5/MBunk_act!X5*1000)</f>
        <v>4.1949723664492007</v>
      </c>
      <c r="Y19" s="64">
        <f>IF(Y5=0,0,Y5/MBunk_act!Y5*1000)</f>
        <v>3.8365696343919615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0.34928747191521248</v>
      </c>
      <c r="C22" s="77">
        <f t="shared" si="3"/>
        <v>0.34825298487401185</v>
      </c>
      <c r="D22" s="77">
        <f t="shared" si="3"/>
        <v>0.3373501383541827</v>
      </c>
      <c r="E22" s="77">
        <f t="shared" si="3"/>
        <v>0.33192016059982005</v>
      </c>
      <c r="F22" s="77">
        <f t="shared" si="3"/>
        <v>0.33543288323752046</v>
      </c>
      <c r="G22" s="77">
        <f t="shared" si="3"/>
        <v>0.31420293122285525</v>
      </c>
      <c r="H22" s="77">
        <f t="shared" si="3"/>
        <v>0.30098375443523745</v>
      </c>
      <c r="I22" s="77">
        <f t="shared" si="3"/>
        <v>0.29555973552691805</v>
      </c>
      <c r="J22" s="77">
        <f t="shared" si="3"/>
        <v>0.28231656351473028</v>
      </c>
      <c r="K22" s="77">
        <f t="shared" si="3"/>
        <v>0.27496392867680636</v>
      </c>
      <c r="L22" s="77">
        <f t="shared" si="3"/>
        <v>0.26826728615291745</v>
      </c>
      <c r="M22" s="77">
        <f t="shared" si="3"/>
        <v>0.26835839989558591</v>
      </c>
      <c r="N22" s="77">
        <f t="shared" si="3"/>
        <v>0.26891662891638263</v>
      </c>
      <c r="O22" s="77">
        <f t="shared" si="3"/>
        <v>0.2671826936496407</v>
      </c>
      <c r="P22" s="77">
        <f t="shared" si="3"/>
        <v>0.26690569388211727</v>
      </c>
      <c r="Q22" s="77">
        <f t="shared" si="3"/>
        <v>0.27184984534077583</v>
      </c>
      <c r="R22" s="77">
        <f t="shared" si="3"/>
        <v>0.2806151560894844</v>
      </c>
      <c r="S22" s="77">
        <f t="shared" si="3"/>
        <v>0.28213498316779256</v>
      </c>
      <c r="T22" s="77">
        <f t="shared" si="3"/>
        <v>0.29039142832741693</v>
      </c>
      <c r="U22" s="77">
        <f t="shared" si="3"/>
        <v>0.28532880174189973</v>
      </c>
      <c r="V22" s="77">
        <f t="shared" si="3"/>
        <v>0.24419807580508501</v>
      </c>
      <c r="W22" s="77">
        <f t="shared" si="3"/>
        <v>0.26802164595041594</v>
      </c>
      <c r="X22" s="77">
        <f t="shared" ref="X22:Y22" si="5">IF(X4=0,0,X4/X$3)</f>
        <v>0.28610744589403891</v>
      </c>
      <c r="Y22" s="77">
        <f t="shared" si="5"/>
        <v>0.30412653179080651</v>
      </c>
      <c r="DA22" s="184"/>
    </row>
    <row r="23" spans="1:105" ht="11.45" customHeight="1" x14ac:dyDescent="0.25">
      <c r="A23" s="57" t="s">
        <v>167</v>
      </c>
      <c r="B23" s="78">
        <f t="shared" si="3"/>
        <v>0.65071252808478752</v>
      </c>
      <c r="C23" s="78">
        <f t="shared" si="3"/>
        <v>0.65174701512598809</v>
      </c>
      <c r="D23" s="78">
        <f t="shared" si="3"/>
        <v>0.6626498616458173</v>
      </c>
      <c r="E23" s="78">
        <f t="shared" si="3"/>
        <v>0.66807983940018001</v>
      </c>
      <c r="F23" s="78">
        <f t="shared" si="3"/>
        <v>0.66456711676247959</v>
      </c>
      <c r="G23" s="78">
        <f t="shared" si="3"/>
        <v>0.68579706877714475</v>
      </c>
      <c r="H23" s="78">
        <f t="shared" si="3"/>
        <v>0.69901624556476261</v>
      </c>
      <c r="I23" s="78">
        <f t="shared" si="3"/>
        <v>0.70444026447308195</v>
      </c>
      <c r="J23" s="78">
        <f t="shared" si="3"/>
        <v>0.71768343648526978</v>
      </c>
      <c r="K23" s="78">
        <f t="shared" si="3"/>
        <v>0.72503607132319359</v>
      </c>
      <c r="L23" s="78">
        <f t="shared" si="3"/>
        <v>0.73173271384708249</v>
      </c>
      <c r="M23" s="78">
        <f t="shared" si="3"/>
        <v>0.73164160010441404</v>
      </c>
      <c r="N23" s="78">
        <f t="shared" si="3"/>
        <v>0.73108337108361743</v>
      </c>
      <c r="O23" s="78">
        <f t="shared" si="3"/>
        <v>0.73281730635035935</v>
      </c>
      <c r="P23" s="78">
        <f t="shared" si="3"/>
        <v>0.73309430611788273</v>
      </c>
      <c r="Q23" s="78">
        <f t="shared" si="3"/>
        <v>0.72815015465922417</v>
      </c>
      <c r="R23" s="78">
        <f t="shared" si="3"/>
        <v>0.71938484391051549</v>
      </c>
      <c r="S23" s="78">
        <f t="shared" si="3"/>
        <v>0.71786501683220749</v>
      </c>
      <c r="T23" s="78">
        <f t="shared" si="3"/>
        <v>0.70960857167258296</v>
      </c>
      <c r="U23" s="78">
        <f t="shared" si="3"/>
        <v>0.71467119825810022</v>
      </c>
      <c r="V23" s="78">
        <f t="shared" si="3"/>
        <v>0.75580192419491499</v>
      </c>
      <c r="W23" s="78">
        <f t="shared" si="3"/>
        <v>0.73197835404958389</v>
      </c>
      <c r="X23" s="78">
        <f t="shared" ref="X23:Y23" si="6">IF(X5=0,0,X5/X$3)</f>
        <v>0.71389255410596097</v>
      </c>
      <c r="Y23" s="78">
        <f t="shared" si="6"/>
        <v>0.69587346820919349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2025-11-06T10:21:28Z</dcterms:created>
  <dcterms:modified xsi:type="dcterms:W3CDTF">2025-11-06T10:21:29Z</dcterms:modified>
</cp:coreProperties>
</file>