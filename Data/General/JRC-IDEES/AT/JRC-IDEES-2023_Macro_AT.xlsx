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A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117" i="59"/>
  <c r="AA114" i="59"/>
  <c r="AA113" i="59"/>
  <c r="AA78" i="59"/>
  <c r="AA109" i="59"/>
  <c r="AA74" i="59"/>
  <c r="AA106" i="59"/>
  <c r="AA70" i="59"/>
  <c r="AA102" i="59"/>
  <c r="AA66" i="59"/>
  <c r="AA98" i="59"/>
  <c r="AA89" i="59"/>
  <c r="AA94" i="59"/>
  <c r="AA93" i="59"/>
  <c r="AA5" i="59"/>
  <c r="Z5" i="59"/>
  <c r="Z115" i="59"/>
  <c r="Z111" i="59"/>
  <c r="Z107" i="59"/>
  <c r="Z103" i="59"/>
  <c r="Z99" i="59"/>
  <c r="AA54" i="57"/>
  <c r="Z54" i="55"/>
  <c r="W75" i="57"/>
  <c r="G75" i="57"/>
  <c r="J54" i="57"/>
  <c r="H39" i="57"/>
  <c r="M16" i="57"/>
  <c r="S16" i="57"/>
  <c r="K75" i="57"/>
  <c r="Y75" i="57"/>
  <c r="T75" i="57"/>
  <c r="Q75" i="57"/>
  <c r="D75" i="57"/>
  <c r="U75" i="57"/>
  <c r="O75" i="57"/>
  <c r="J75" i="57"/>
  <c r="F75" i="57"/>
  <c r="S54" i="57"/>
  <c r="P54" i="57"/>
  <c r="L54" i="57"/>
  <c r="R54" i="57"/>
  <c r="Q54" i="57"/>
  <c r="I54" i="57"/>
  <c r="O39" i="57"/>
  <c r="I39" i="57"/>
  <c r="U39" i="57"/>
  <c r="E39" i="57"/>
  <c r="Y16" i="57"/>
  <c r="O16" i="57"/>
  <c r="G16" i="57"/>
  <c r="AA80" i="59" l="1"/>
  <c r="AA79" i="59"/>
  <c r="AA81" i="59"/>
  <c r="AA82" i="59"/>
  <c r="AA84" i="59"/>
  <c r="AA88" i="59"/>
  <c r="AA97" i="59"/>
  <c r="AA101" i="59"/>
  <c r="AA105" i="59"/>
  <c r="AA110" i="59"/>
  <c r="K54" i="57"/>
  <c r="E75" i="57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D54" i="57"/>
  <c r="T54" i="57"/>
  <c r="F54" i="57"/>
  <c r="N54" i="57"/>
  <c r="V54" i="57"/>
  <c r="H54" i="57"/>
  <c r="V75" i="57"/>
  <c r="W16" i="57"/>
  <c r="I16" i="57"/>
  <c r="Q16" i="57"/>
  <c r="K16" i="57"/>
  <c r="U16" i="57"/>
  <c r="K39" i="57"/>
  <c r="S39" i="57"/>
  <c r="M39" i="57"/>
  <c r="G39" i="57"/>
  <c r="W39" i="57"/>
  <c r="E54" i="57"/>
  <c r="M54" i="57"/>
  <c r="U54" i="57"/>
  <c r="E16" i="57"/>
  <c r="Q39" i="57"/>
  <c r="V39" i="57"/>
  <c r="X54" i="57"/>
  <c r="Y39" i="57"/>
  <c r="G54" i="57"/>
  <c r="O54" i="57"/>
  <c r="W54" i="57"/>
  <c r="Y54" i="57"/>
  <c r="I75" i="57"/>
  <c r="S75" i="57"/>
  <c r="M75" i="57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AA12" i="59"/>
  <c r="AA13" i="59" s="1"/>
  <c r="Z12" i="59"/>
  <c r="Z13" i="59" s="1"/>
  <c r="AA96" i="59"/>
  <c r="Z10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5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<sst xmlns="http://schemas.openxmlformats.org/spreadsheetml/2006/main" count="722" uniqueCount="281">
  <si>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</si>
  <si>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</si>
  <si>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</si>
  <si>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</si>
  <si>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</si>
  <si>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</si>
  <si>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</si>
  <si>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</si>
  <si>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</si>
  <si>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</si>
  <si>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</si>
  <si>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</si>
  <si>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</si>
  <si>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</si>
  <si>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</si>
  <si>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</si>
  <si>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</si>
  <si>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</si>
  <si>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</si>
  <si>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</si>
  <si>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</si>
  <si>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</si>
  <si>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</si>
  <si>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</si>
  <si>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</si>
  <si>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</si>
  <si>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</si>
  <si>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</si>
  <si>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</si>
  <si>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</si>
  <si>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</si>
  <si>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</si>
  <si>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</si>
  <si>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</si>
  <si>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</si>
  <si>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</si>
  <si>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</si>
  <si>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</si>
  <si>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</si>
  <si>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</si>
  <si>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</si>
  <si>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</si>
  <si>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</si>
  <si>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</si>
  <si>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</si>
  <si>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</si>
  <si>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</si>
  <si>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</si>
  <si>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</si>
  <si>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</si>
  <si>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</si>
  <si>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</si>
  <si>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</si>
  <si>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</si>
  <si>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</si>
  <si>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</si>
  <si>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</si>
  <si>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</si>
  <si>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</si>
  <si>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</si>
  <si>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</si>
  <si>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</si>
  <si>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</si>
  <si>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</si>
  <si>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</si>
  <si>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</si>
  <si>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</si>
  <si>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</si>
  <si>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</si>
  <si>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</si>
  <si>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</si>
  <si>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</si>
  <si>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</si>
  <si>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</si>
  <si>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</si>
  <si>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</si>
  <si>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</si>
  <si>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</si>
  <si>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</si>
  <si>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</si>
  <si>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</si>
  <si>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</si>
  <si>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</si>
  <si>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</si>
  <si>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</si>
  <si>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</si>
  <si>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</si>
  <si>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</si>
  <si>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</si>
  <si>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</si>
  <si>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</si>
  <si>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</si>
  <si>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</si>
  <si>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</si>
  <si>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</si>
  <si>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</si>
  <si>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</si>
  <si>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</si>
  <si>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</si>
  <si>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</si>
  <si>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</si>
  <si>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</si>
  <si>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</si>
  <si>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</si>
  <si>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</si>
  <si>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</si>
  <si>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</si>
  <si>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</si>
  <si>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</si>
  <si>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</si>
  <si>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</si>
  <si>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</si>
  <si>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</si>
  <si>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</si>
  <si>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</si>
  <si>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</si>
  <si>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</si>
  <si>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</si>
  <si>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</si>
  <si>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</si>
  <si>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</si>
  <si>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</si>
  <si>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</si>
  <si>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</si>
  <si>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</si>
  <si>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</si>
  <si>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</si>
  <si>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</si>
  <si>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</si>
  <si>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</si>
  <si>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</si>
  <si>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</si>
  <si>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</si>
  <si>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</si>
  <si>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</si>
  <si>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</si>
  <si>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</si>
  <si>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</si>
  <si>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</si>
  <si>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</si>
  <si>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</si>
  <si>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</si>
  <si>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</si>
  <si>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</si>
  <si>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</si>
  <si>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</si>
  <si>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</si>
  <si>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</si>
  <si>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</si>
  <si>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</si>
  <si>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</si>
  <si>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</si>
  <si>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</si>
  <si>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</si>
  <si>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</si>
  <si>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</si>
  <si>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</si>
  <si>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</si>
  <si>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</si>
  <si>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</si>
  <si>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</si>
  <si>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</si>
  <si>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</si>
  <si>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</si>
  <si>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</si>
  <si>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</si>
  <si>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</si>
  <si>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</si>
  <si>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</si>
  <si>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</si>
  <si>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</si>
  <si>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</si>
  <si>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</si>
  <si>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</si>
  <si>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</si>
  <si>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</si>
  <si>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</si>
  <si>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</si>
  <si>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</si>
  <si>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</si>
  <si>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</si>
  <si>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</si>
  <si>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</si>
  <si>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</si>
  <si>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</si>
  <si>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</si>
  <si>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</si>
  <si>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</si>
  <si>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</si>
  <si>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</si>
  <si>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</si>
  <si>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</si>
  <si>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</si>
  <si>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</si>
  <si>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</si>
  <si>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</si>
  <si>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</si>
  <si>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</si>
  <si>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</si>
  <si>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</si>
  <si>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</si>
  <si>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</si>
  <si>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</si>
  <si>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</si>
  <si>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</si>
  <si>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</si>
  <si>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</si>
  <si>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</si>
  <si>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</si>
  <si>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</si>
  <si>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</si>
  <si>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</si>
  <si>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</si>
  <si>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</si>
  <si>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</si>
  <si>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</si>
  <si>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</si>
  <si>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</si>
  <si>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</si>
  <si>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</si>
  <si>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</si>
  <si>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</si>
  <si>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</si>
  <si>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</si>
  <si>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</si>
  <si>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</si>
  <si>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</si>
  <si>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</si>
  <si>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</si>
  <si>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</si>
  <si>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</si>
  <si>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</si>
  <si>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</si>
  <si>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</si>
  <si>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</si>
  <si>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</si>
  <si>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</si>
  <si>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</si>
  <si>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</si>
  <si>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</si>
  <si>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</si>
  <si>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</si>
  <si>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</si>
  <si>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</si>
  <si>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</si>
  <si>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</si>
  <si>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</si>
  <si>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</si>
  <si>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</si>
  <si>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</si>
  <si>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</si>
  <si>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</si>
  <si>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</si>
  <si>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</si>
  <si>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</si>
  <si>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</si>
  <si>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</si>
  <si>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</si>
  <si>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</si>
  <si>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</si>
  <si>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</si>
  <si>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</si>
  <si>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</si>
  <si>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</si>
  <si>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</si>
  <si>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</si>
  <si>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</si>
  <si>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</si>
  <si>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</si>
  <si>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</si>
  <si>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</si>
  <si>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</si>
  <si>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</si>
  <si>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</si>
  <si>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</si>
  <si>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</si>
  <si>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</si>
  <si>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</si>
  <si>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</si>
  <si>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AT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</si>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</sst>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45967.471261574072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212406.8</v>
      </c>
      <c r="E2" s="19">
        <v>219373.3</v>
      </c>
      <c r="F2" s="19">
        <v>225087.9</v>
      </c>
      <c r="G2" s="19">
        <v>230541.9</v>
      </c>
      <c r="H2" s="19">
        <v>240541.7</v>
      </c>
      <c r="I2" s="19">
        <v>252354.9</v>
      </c>
      <c r="J2" s="19">
        <v>265933.7</v>
      </c>
      <c r="K2" s="19">
        <v>282208.2</v>
      </c>
      <c r="L2" s="19">
        <v>291846.2</v>
      </c>
      <c r="M2" s="19">
        <v>286274.09999999998</v>
      </c>
      <c r="N2" s="19">
        <v>294050.59999999998</v>
      </c>
      <c r="O2" s="19">
        <v>308167</v>
      </c>
      <c r="P2" s="19">
        <v>316589.40000000002</v>
      </c>
      <c r="Q2" s="19">
        <v>321191.7</v>
      </c>
      <c r="R2" s="19">
        <v>330113.5</v>
      </c>
      <c r="S2" s="19">
        <v>342083.5</v>
      </c>
      <c r="T2" s="19">
        <v>355665.6</v>
      </c>
      <c r="U2" s="19">
        <v>367294.9</v>
      </c>
      <c r="V2" s="19">
        <v>383234.3</v>
      </c>
      <c r="W2" s="19">
        <v>395706.8</v>
      </c>
      <c r="X2" s="19">
        <v>380317.9</v>
      </c>
      <c r="Y2" s="19">
        <v>406231.5</v>
      </c>
      <c r="Z2" s="19">
        <v>449382.2</v>
      </c>
      <c r="AA2" s="19">
        <v>477837.3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113350.2</v>
      </c>
      <c r="E3" s="23">
        <v>117852.6</v>
      </c>
      <c r="F3" s="23">
        <v>119585.8</v>
      </c>
      <c r="G3" s="23">
        <v>124129</v>
      </c>
      <c r="H3" s="23">
        <v>128845.7</v>
      </c>
      <c r="I3" s="23">
        <v>134822.20000000001</v>
      </c>
      <c r="J3" s="23">
        <v>140363.9</v>
      </c>
      <c r="K3" s="23">
        <v>145607.20000000001</v>
      </c>
      <c r="L3" s="23">
        <v>150122.5</v>
      </c>
      <c r="M3" s="23">
        <v>151884.20000000001</v>
      </c>
      <c r="N3" s="23">
        <v>156478.6</v>
      </c>
      <c r="O3" s="23">
        <v>163168.5</v>
      </c>
      <c r="P3" s="23">
        <v>168036.5</v>
      </c>
      <c r="Q3" s="23">
        <v>170938</v>
      </c>
      <c r="R3" s="23">
        <v>174213.1</v>
      </c>
      <c r="S3" s="23">
        <v>178621</v>
      </c>
      <c r="T3" s="23">
        <v>184352.5</v>
      </c>
      <c r="U3" s="23">
        <v>191370.9</v>
      </c>
      <c r="V3" s="23">
        <v>197148.2</v>
      </c>
      <c r="W3" s="23">
        <v>201984.5</v>
      </c>
      <c r="X3" s="23">
        <v>188599.7</v>
      </c>
      <c r="Y3" s="23">
        <v>201703</v>
      </c>
      <c r="Z3" s="23">
        <v>228963.20000000001</v>
      </c>
      <c r="AA3" s="23">
        <v>246995.1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189418.9</v>
      </c>
      <c r="E4" s="27">
        <v>195976.8</v>
      </c>
      <c r="F4" s="27">
        <v>200708.4</v>
      </c>
      <c r="G4" s="27">
        <v>205864.5</v>
      </c>
      <c r="H4" s="27">
        <v>214252</v>
      </c>
      <c r="I4" s="27">
        <v>224194.7</v>
      </c>
      <c r="J4" s="27">
        <v>237133.7</v>
      </c>
      <c r="K4" s="27">
        <v>251596.6</v>
      </c>
      <c r="L4" s="27">
        <v>260417.8</v>
      </c>
      <c r="M4" s="27">
        <v>254814.8</v>
      </c>
      <c r="N4" s="27">
        <v>261615</v>
      </c>
      <c r="O4" s="27">
        <v>274204.3</v>
      </c>
      <c r="P4" s="27">
        <v>281072.7</v>
      </c>
      <c r="Q4" s="27">
        <v>285327</v>
      </c>
      <c r="R4" s="27">
        <v>293480.3</v>
      </c>
      <c r="S4" s="27">
        <v>303845.59999999998</v>
      </c>
      <c r="T4" s="27">
        <v>315923.90000000002</v>
      </c>
      <c r="U4" s="27">
        <v>326371.59999999998</v>
      </c>
      <c r="V4" s="27">
        <v>341351.6</v>
      </c>
      <c r="W4" s="27">
        <v>352742.6</v>
      </c>
      <c r="X4" s="27">
        <v>340529.9</v>
      </c>
      <c r="Y4" s="27">
        <v>362536.8</v>
      </c>
      <c r="Z4" s="27">
        <v>402767.1</v>
      </c>
      <c r="AA4" s="27">
        <v>429634.3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3549.1</v>
      </c>
      <c r="E6" s="19">
        <v>3747.5</v>
      </c>
      <c r="F6" s="19">
        <v>3583.9</v>
      </c>
      <c r="G6" s="19">
        <v>3428</v>
      </c>
      <c r="H6" s="19">
        <v>3591.7</v>
      </c>
      <c r="I6" s="19">
        <v>3236.2</v>
      </c>
      <c r="J6" s="19">
        <v>3530.3</v>
      </c>
      <c r="K6" s="19">
        <v>4125.8</v>
      </c>
      <c r="L6" s="19">
        <v>4042.2</v>
      </c>
      <c r="M6" s="19">
        <v>3368.2</v>
      </c>
      <c r="N6" s="19">
        <v>3801.7</v>
      </c>
      <c r="O6" s="19">
        <v>4503.3</v>
      </c>
      <c r="P6" s="19">
        <v>4488.2</v>
      </c>
      <c r="Q6" s="19">
        <v>4104.3</v>
      </c>
      <c r="R6" s="19">
        <v>4210.8</v>
      </c>
      <c r="S6" s="19">
        <v>3912.2</v>
      </c>
      <c r="T6" s="19">
        <v>4087.6</v>
      </c>
      <c r="U6" s="19">
        <v>4407.2</v>
      </c>
      <c r="V6" s="19">
        <v>4250.5</v>
      </c>
      <c r="W6" s="19">
        <v>4133.7</v>
      </c>
      <c r="X6" s="19">
        <v>4074.7</v>
      </c>
      <c r="Y6" s="19">
        <v>4936.7</v>
      </c>
      <c r="Z6" s="19">
        <v>6050.9</v>
      </c>
      <c r="AA6" s="19">
        <v>5933.6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46836.9</v>
      </c>
      <c r="E7" s="23">
        <v>48793.599999999999</v>
      </c>
      <c r="F7" s="23">
        <v>48587.199999999997</v>
      </c>
      <c r="G7" s="23">
        <v>49240</v>
      </c>
      <c r="H7" s="23">
        <v>51337.5</v>
      </c>
      <c r="I7" s="23">
        <v>53897.9</v>
      </c>
      <c r="J7" s="23">
        <v>57833</v>
      </c>
      <c r="K7" s="23">
        <v>61446.6</v>
      </c>
      <c r="L7" s="23">
        <v>62100.5</v>
      </c>
      <c r="M7" s="23">
        <v>57816.4</v>
      </c>
      <c r="N7" s="23">
        <v>59771.9</v>
      </c>
      <c r="O7" s="23">
        <v>62914.400000000001</v>
      </c>
      <c r="P7" s="23">
        <v>64872.6</v>
      </c>
      <c r="Q7" s="23">
        <v>65331.9</v>
      </c>
      <c r="R7" s="23">
        <v>66621.2</v>
      </c>
      <c r="S7" s="23">
        <v>68437.2</v>
      </c>
      <c r="T7" s="23">
        <v>72508.3</v>
      </c>
      <c r="U7" s="23">
        <v>73897.5</v>
      </c>
      <c r="V7" s="23">
        <v>76480.399999999994</v>
      </c>
      <c r="W7" s="23">
        <v>78099.399999999994</v>
      </c>
      <c r="X7" s="23">
        <v>73789.8</v>
      </c>
      <c r="Y7" s="23">
        <v>79973.3</v>
      </c>
      <c r="Z7" s="23">
        <v>89718.1</v>
      </c>
      <c r="AA7" s="23">
        <v>96275.1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13936</v>
      </c>
      <c r="E8" s="23">
        <v>13595.9</v>
      </c>
      <c r="F8" s="23">
        <v>13690.9</v>
      </c>
      <c r="G8" s="23">
        <v>14615.4</v>
      </c>
      <c r="H8" s="23">
        <v>15087.6</v>
      </c>
      <c r="I8" s="23">
        <v>15293.3</v>
      </c>
      <c r="J8" s="23">
        <v>15540.5</v>
      </c>
      <c r="K8" s="23">
        <v>16913.400000000001</v>
      </c>
      <c r="L8" s="23">
        <v>17901</v>
      </c>
      <c r="M8" s="23">
        <v>17409.900000000001</v>
      </c>
      <c r="N8" s="23">
        <v>16797.8</v>
      </c>
      <c r="O8" s="23">
        <v>16768.599999999999</v>
      </c>
      <c r="P8" s="23">
        <v>17471.7</v>
      </c>
      <c r="Q8" s="23">
        <v>18080.900000000001</v>
      </c>
      <c r="R8" s="23">
        <v>18500.900000000001</v>
      </c>
      <c r="S8" s="23">
        <v>18846.3</v>
      </c>
      <c r="T8" s="23">
        <v>19653.400000000001</v>
      </c>
      <c r="U8" s="23">
        <v>20873.099999999999</v>
      </c>
      <c r="V8" s="23">
        <v>22084</v>
      </c>
      <c r="W8" s="23">
        <v>22949.8</v>
      </c>
      <c r="X8" s="23">
        <v>23778.799999999999</v>
      </c>
      <c r="Y8" s="23">
        <v>24531.200000000001</v>
      </c>
      <c r="Z8" s="23">
        <v>26422.3</v>
      </c>
      <c r="AA8" s="23">
        <v>28395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42827.7</v>
      </c>
      <c r="E9" s="23">
        <v>44071.3</v>
      </c>
      <c r="F9" s="23">
        <v>45662</v>
      </c>
      <c r="G9" s="23">
        <v>46487.199999999997</v>
      </c>
      <c r="H9" s="23">
        <v>48009.8</v>
      </c>
      <c r="I9" s="23">
        <v>50325.8</v>
      </c>
      <c r="J9" s="23">
        <v>53098.2</v>
      </c>
      <c r="K9" s="23">
        <v>56065.5</v>
      </c>
      <c r="L9" s="23">
        <v>58064.7</v>
      </c>
      <c r="M9" s="23">
        <v>57288.5</v>
      </c>
      <c r="N9" s="23">
        <v>59228</v>
      </c>
      <c r="O9" s="23">
        <v>62325.599999999999</v>
      </c>
      <c r="P9" s="23">
        <v>63239.3</v>
      </c>
      <c r="Q9" s="23">
        <v>62651.6</v>
      </c>
      <c r="R9" s="23">
        <v>64827.6</v>
      </c>
      <c r="S9" s="23">
        <v>67381.3</v>
      </c>
      <c r="T9" s="23">
        <v>68957.600000000006</v>
      </c>
      <c r="U9" s="23">
        <v>70179</v>
      </c>
      <c r="V9" s="23">
        <v>74527.3</v>
      </c>
      <c r="W9" s="23">
        <v>76166.7</v>
      </c>
      <c r="X9" s="23">
        <v>68261</v>
      </c>
      <c r="Y9" s="23">
        <v>71866.2</v>
      </c>
      <c r="Z9" s="23">
        <v>87739.7</v>
      </c>
      <c r="AA9" s="23">
        <v>88840.6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6437.3</v>
      </c>
      <c r="E10" s="23">
        <v>7445.8</v>
      </c>
      <c r="F10" s="23">
        <v>7850.4</v>
      </c>
      <c r="G10" s="23">
        <v>8055.4</v>
      </c>
      <c r="H10" s="23">
        <v>7869.5</v>
      </c>
      <c r="I10" s="23">
        <v>8206.5</v>
      </c>
      <c r="J10" s="23">
        <v>8474.9</v>
      </c>
      <c r="K10" s="23">
        <v>8617.2999999999993</v>
      </c>
      <c r="L10" s="23">
        <v>8853.1</v>
      </c>
      <c r="M10" s="23">
        <v>8583.9</v>
      </c>
      <c r="N10" s="23">
        <v>8609</v>
      </c>
      <c r="O10" s="23">
        <v>9336.7999999999993</v>
      </c>
      <c r="P10" s="23">
        <v>9514.5</v>
      </c>
      <c r="Q10" s="23">
        <v>9906.7000000000007</v>
      </c>
      <c r="R10" s="23">
        <v>10467.4</v>
      </c>
      <c r="S10" s="23">
        <v>10827.7</v>
      </c>
      <c r="T10" s="23">
        <v>11630</v>
      </c>
      <c r="U10" s="23">
        <v>11869</v>
      </c>
      <c r="V10" s="23">
        <v>12896.5</v>
      </c>
      <c r="W10" s="23">
        <v>13689.9</v>
      </c>
      <c r="X10" s="23">
        <v>13703.2</v>
      </c>
      <c r="Y10" s="23">
        <v>15276.3</v>
      </c>
      <c r="Z10" s="23">
        <v>15865.8</v>
      </c>
      <c r="AA10" s="23">
        <v>16885.900000000001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10450.700000000001</v>
      </c>
      <c r="E11" s="23">
        <v>10064.799999999999</v>
      </c>
      <c r="F11" s="23">
        <v>10252.6</v>
      </c>
      <c r="G11" s="23">
        <v>10204.9</v>
      </c>
      <c r="H11" s="23">
        <v>10536.6</v>
      </c>
      <c r="I11" s="23">
        <v>11017.5</v>
      </c>
      <c r="J11" s="23">
        <v>11986</v>
      </c>
      <c r="K11" s="23">
        <v>13143.4</v>
      </c>
      <c r="L11" s="23">
        <v>13344.1</v>
      </c>
      <c r="M11" s="23">
        <v>11957.3</v>
      </c>
      <c r="N11" s="23">
        <v>12014.4</v>
      </c>
      <c r="O11" s="23">
        <v>12933.4</v>
      </c>
      <c r="P11" s="23">
        <v>12301.8</v>
      </c>
      <c r="Q11" s="23">
        <v>12861.4</v>
      </c>
      <c r="R11" s="23">
        <v>12969.1</v>
      </c>
      <c r="S11" s="23">
        <v>13499.8</v>
      </c>
      <c r="T11" s="23">
        <v>13242.6</v>
      </c>
      <c r="U11" s="23">
        <v>13764.6</v>
      </c>
      <c r="V11" s="23">
        <v>14217.4</v>
      </c>
      <c r="W11" s="23">
        <v>14836.8</v>
      </c>
      <c r="X11" s="23">
        <v>14659.1</v>
      </c>
      <c r="Y11" s="23">
        <v>16731.900000000001</v>
      </c>
      <c r="Z11" s="23">
        <v>18202</v>
      </c>
      <c r="AA11" s="23">
        <v>21769.3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14161.4</v>
      </c>
      <c r="E12" s="23">
        <v>14751.9</v>
      </c>
      <c r="F12" s="23">
        <v>15526.6</v>
      </c>
      <c r="G12" s="23">
        <v>16298.2</v>
      </c>
      <c r="H12" s="23">
        <v>17878.3</v>
      </c>
      <c r="I12" s="23">
        <v>19488.5</v>
      </c>
      <c r="J12" s="23">
        <v>20557.599999999999</v>
      </c>
      <c r="K12" s="23">
        <v>21233.7</v>
      </c>
      <c r="L12" s="23">
        <v>21635.5</v>
      </c>
      <c r="M12" s="23">
        <v>22145.5</v>
      </c>
      <c r="N12" s="23">
        <v>23108.6</v>
      </c>
      <c r="O12" s="23">
        <v>24341.9</v>
      </c>
      <c r="P12" s="23">
        <v>25436.7</v>
      </c>
      <c r="Q12" s="23">
        <v>26676.5</v>
      </c>
      <c r="R12" s="23">
        <v>27715.8</v>
      </c>
      <c r="S12" s="23">
        <v>28934.9</v>
      </c>
      <c r="T12" s="23">
        <v>30097.200000000001</v>
      </c>
      <c r="U12" s="23">
        <v>31749.8</v>
      </c>
      <c r="V12" s="23">
        <v>33180.199999999997</v>
      </c>
      <c r="W12" s="23">
        <v>34265.4</v>
      </c>
      <c r="X12" s="23">
        <v>35353.5</v>
      </c>
      <c r="Y12" s="23">
        <v>35461.4</v>
      </c>
      <c r="Z12" s="23">
        <v>36487.1</v>
      </c>
      <c r="AA12" s="23">
        <v>40253.1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12939.6</v>
      </c>
      <c r="E13" s="23">
        <v>14062.3</v>
      </c>
      <c r="F13" s="23">
        <v>15045.9</v>
      </c>
      <c r="G13" s="23">
        <v>15710.3</v>
      </c>
      <c r="H13" s="23">
        <v>16530.099999999999</v>
      </c>
      <c r="I13" s="23">
        <v>17946.7</v>
      </c>
      <c r="J13" s="23">
        <v>19467.7</v>
      </c>
      <c r="K13" s="23">
        <v>21331.3</v>
      </c>
      <c r="L13" s="23">
        <v>23146.7</v>
      </c>
      <c r="M13" s="23">
        <v>22426.5</v>
      </c>
      <c r="N13" s="23">
        <v>23132.1</v>
      </c>
      <c r="O13" s="23">
        <v>24711.3</v>
      </c>
      <c r="P13" s="23">
        <v>25797.9</v>
      </c>
      <c r="Q13" s="23">
        <v>26689.7</v>
      </c>
      <c r="R13" s="23">
        <v>27646.6</v>
      </c>
      <c r="S13" s="23">
        <v>28953.7</v>
      </c>
      <c r="T13" s="23">
        <v>30511.5</v>
      </c>
      <c r="U13" s="23">
        <v>32173</v>
      </c>
      <c r="V13" s="23">
        <v>33709.5</v>
      </c>
      <c r="W13" s="23">
        <v>35869.300000000003</v>
      </c>
      <c r="X13" s="23">
        <v>34179.300000000003</v>
      </c>
      <c r="Y13" s="23">
        <v>36795.300000000003</v>
      </c>
      <c r="Z13" s="23">
        <v>40500.400000000001</v>
      </c>
      <c r="AA13" s="23">
        <v>42651.1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33271.299999999988</v>
      </c>
      <c r="E14" s="23">
        <v>34333.199999999983</v>
      </c>
      <c r="F14" s="23">
        <v>35218.5</v>
      </c>
      <c r="G14" s="23">
        <v>36391.300000000017</v>
      </c>
      <c r="H14" s="23">
        <v>37640.5</v>
      </c>
      <c r="I14" s="23">
        <v>38693.099999999977</v>
      </c>
      <c r="J14" s="23">
        <v>40443.299999999988</v>
      </c>
      <c r="K14" s="23">
        <v>42093.100000000035</v>
      </c>
      <c r="L14" s="23">
        <v>44391.499999999971</v>
      </c>
      <c r="M14" s="23">
        <v>46732.200000000012</v>
      </c>
      <c r="N14" s="23">
        <v>47943</v>
      </c>
      <c r="O14" s="23">
        <v>48944.100000000035</v>
      </c>
      <c r="P14" s="23">
        <v>50382.700000000041</v>
      </c>
      <c r="Q14" s="23">
        <v>51313.099999999977</v>
      </c>
      <c r="R14" s="23">
        <v>52666.199999999983</v>
      </c>
      <c r="S14" s="23">
        <v>54969.699999999983</v>
      </c>
      <c r="T14" s="23">
        <v>57096.599999999977</v>
      </c>
      <c r="U14" s="23">
        <v>58926.599999999977</v>
      </c>
      <c r="V14" s="23">
        <v>61143.599999999977</v>
      </c>
      <c r="W14" s="23">
        <v>63512.300000000047</v>
      </c>
      <c r="X14" s="23">
        <v>64895.099999999977</v>
      </c>
      <c r="Y14" s="23">
        <v>68754.200000000012</v>
      </c>
      <c r="Z14" s="23">
        <v>71741.899999999965</v>
      </c>
      <c r="AA14" s="23">
        <v>77696.200000000012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5008.8999999999996</v>
      </c>
      <c r="E15" s="23">
        <v>5110.5</v>
      </c>
      <c r="F15" s="23">
        <v>5290.4</v>
      </c>
      <c r="G15" s="23">
        <v>5433.8</v>
      </c>
      <c r="H15" s="23">
        <v>5770.4</v>
      </c>
      <c r="I15" s="23">
        <v>6089.2</v>
      </c>
      <c r="J15" s="23">
        <v>6202.2</v>
      </c>
      <c r="K15" s="23">
        <v>6626.5</v>
      </c>
      <c r="L15" s="23">
        <v>6938.5</v>
      </c>
      <c r="M15" s="23">
        <v>7086.4</v>
      </c>
      <c r="N15" s="23">
        <v>7208.5</v>
      </c>
      <c r="O15" s="23">
        <v>7424.9</v>
      </c>
      <c r="P15" s="23">
        <v>7567.3</v>
      </c>
      <c r="Q15" s="23">
        <v>7710.9</v>
      </c>
      <c r="R15" s="23">
        <v>7854.7</v>
      </c>
      <c r="S15" s="23">
        <v>8082.8</v>
      </c>
      <c r="T15" s="23">
        <v>8139.1</v>
      </c>
      <c r="U15" s="23">
        <v>8531.7999999999993</v>
      </c>
      <c r="V15" s="23">
        <v>8862.2000000000007</v>
      </c>
      <c r="W15" s="23">
        <v>9219.2999999999993</v>
      </c>
      <c r="X15" s="23">
        <v>7835.4</v>
      </c>
      <c r="Y15" s="23">
        <v>8210.2999999999993</v>
      </c>
      <c r="Z15" s="23">
        <v>10038.9</v>
      </c>
      <c r="AA15" s="23">
        <v>10934.4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189418.9</v>
      </c>
      <c r="E16" s="30">
        <f t="shared" ref="E16:Y16" si="0">SUM(E6:E15)</f>
        <v>195976.8</v>
      </c>
      <c r="F16" s="30">
        <f t="shared" si="0"/>
        <v>200708.4</v>
      </c>
      <c r="G16" s="30">
        <f t="shared" si="0"/>
        <v>205864.5</v>
      </c>
      <c r="H16" s="30">
        <f t="shared" si="0"/>
        <v>214252</v>
      </c>
      <c r="I16" s="30">
        <f t="shared" si="0"/>
        <v>224194.7</v>
      </c>
      <c r="J16" s="30">
        <f t="shared" si="0"/>
        <v>237133.7</v>
      </c>
      <c r="K16" s="30">
        <f t="shared" si="0"/>
        <v>251596.6</v>
      </c>
      <c r="L16" s="30">
        <f t="shared" si="0"/>
        <v>260417.8</v>
      </c>
      <c r="M16" s="30">
        <f t="shared" si="0"/>
        <v>254814.8</v>
      </c>
      <c r="N16" s="30">
        <f t="shared" si="0"/>
        <v>261615</v>
      </c>
      <c r="O16" s="30">
        <f t="shared" si="0"/>
        <v>274204.30000000005</v>
      </c>
      <c r="P16" s="30">
        <f t="shared" si="0"/>
        <v>281072.7</v>
      </c>
      <c r="Q16" s="30">
        <f t="shared" si="0"/>
        <v>285327</v>
      </c>
      <c r="R16" s="30">
        <f t="shared" si="0"/>
        <v>293480.3</v>
      </c>
      <c r="S16" s="30">
        <f t="shared" si="0"/>
        <v>303845.59999999998</v>
      </c>
      <c r="T16" s="30">
        <f t="shared" si="0"/>
        <v>315923.90000000002</v>
      </c>
      <c r="U16" s="30">
        <f t="shared" si="0"/>
        <v>326371.59999999992</v>
      </c>
      <c r="V16" s="30">
        <f t="shared" si="0"/>
        <v>341351.6</v>
      </c>
      <c r="W16" s="30">
        <f t="shared" si="0"/>
        <v>352742.6</v>
      </c>
      <c r="X16" s="30">
        <f t="shared" si="0"/>
        <v>340529.9</v>
      </c>
      <c r="Y16" s="30">
        <f t="shared" si="0"/>
        <v>362536.8</v>
      </c>
      <c r="Z16" s="30">
        <f t="shared" ref="Z16:AA16" si="1">SUM(Z6:Z15)</f>
        <v>402767.1</v>
      </c>
      <c r="AA16" s="30">
        <f t="shared" si="1"/>
        <v>429634.3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3549.1</v>
      </c>
      <c r="E18" s="19">
        <v>3747.5</v>
      </c>
      <c r="F18" s="19">
        <v>3583.9</v>
      </c>
      <c r="G18" s="19">
        <v>3428</v>
      </c>
      <c r="H18" s="19">
        <v>3591.7</v>
      </c>
      <c r="I18" s="19">
        <v>3236.2</v>
      </c>
      <c r="J18" s="19">
        <v>3530.3</v>
      </c>
      <c r="K18" s="19">
        <v>4125.8</v>
      </c>
      <c r="L18" s="19">
        <v>4042.2</v>
      </c>
      <c r="M18" s="19">
        <v>3368.2</v>
      </c>
      <c r="N18" s="19">
        <v>3801.7</v>
      </c>
      <c r="O18" s="19">
        <v>4503.3</v>
      </c>
      <c r="P18" s="19">
        <v>4488.2</v>
      </c>
      <c r="Q18" s="19">
        <v>4104.3</v>
      </c>
      <c r="R18" s="19">
        <v>4210.8</v>
      </c>
      <c r="S18" s="19">
        <v>3912.2</v>
      </c>
      <c r="T18" s="19">
        <v>4087.6</v>
      </c>
      <c r="U18" s="19">
        <v>4407.2</v>
      </c>
      <c r="V18" s="19">
        <v>4250.5</v>
      </c>
      <c r="W18" s="19">
        <v>4133.7</v>
      </c>
      <c r="X18" s="19">
        <v>4074.7</v>
      </c>
      <c r="Y18" s="19">
        <v>4936.7</v>
      </c>
      <c r="Z18" s="19">
        <v>6050.9</v>
      </c>
      <c r="AA18" s="19">
        <v>5933.6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565.99999999999977</v>
      </c>
      <c r="E19" s="23">
        <v>592</v>
      </c>
      <c r="F19" s="23">
        <v>627.49154438021321</v>
      </c>
      <c r="G19" s="23">
        <v>619.59999999999991</v>
      </c>
      <c r="H19" s="23">
        <v>890</v>
      </c>
      <c r="I19" s="23">
        <v>977.2000000000005</v>
      </c>
      <c r="J19" s="23">
        <v>1036.911239986558</v>
      </c>
      <c r="K19" s="23">
        <v>1000.7999999999997</v>
      </c>
      <c r="L19" s="23">
        <v>1343.6000000000001</v>
      </c>
      <c r="M19" s="23">
        <v>1073.5888902686368</v>
      </c>
      <c r="N19" s="23">
        <v>1184.8878352018401</v>
      </c>
      <c r="O19" s="23">
        <v>1519.5000000000005</v>
      </c>
      <c r="P19" s="23">
        <v>1519.4</v>
      </c>
      <c r="Q19" s="23">
        <v>1487.3999999999996</v>
      </c>
      <c r="R19" s="23">
        <v>1398.2999999999993</v>
      </c>
      <c r="S19" s="23">
        <v>1186.8</v>
      </c>
      <c r="T19" s="23">
        <v>1068.2</v>
      </c>
      <c r="U19" s="23">
        <v>1199.6877972618349</v>
      </c>
      <c r="V19" s="23">
        <v>1169.8884168316827</v>
      </c>
      <c r="W19" s="23">
        <v>1059.3101617359273</v>
      </c>
      <c r="X19" s="23">
        <v>758.70711252355409</v>
      </c>
      <c r="Y19" s="23">
        <v>995.9148304853918</v>
      </c>
      <c r="Z19" s="23">
        <v>1553.3948139209206</v>
      </c>
      <c r="AA19" s="23">
        <v>1252.3733062060021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39776.800000000003</v>
      </c>
      <c r="E20" s="23">
        <v>41388.1</v>
      </c>
      <c r="F20" s="23">
        <v>41166.199999999997</v>
      </c>
      <c r="G20" s="23">
        <v>41408.400000000001</v>
      </c>
      <c r="H20" s="23">
        <v>42821.4</v>
      </c>
      <c r="I20" s="23">
        <v>45046.2</v>
      </c>
      <c r="J20" s="23">
        <v>48607.8</v>
      </c>
      <c r="K20" s="23">
        <v>52346</v>
      </c>
      <c r="L20" s="23">
        <v>52216.1</v>
      </c>
      <c r="M20" s="23">
        <v>48152.9</v>
      </c>
      <c r="N20" s="23">
        <v>50031.6</v>
      </c>
      <c r="O20" s="23">
        <v>52834.2</v>
      </c>
      <c r="P20" s="23">
        <v>54632.2</v>
      </c>
      <c r="Q20" s="23">
        <v>54944.3</v>
      </c>
      <c r="R20" s="23">
        <v>56735.9</v>
      </c>
      <c r="S20" s="23">
        <v>58985.2</v>
      </c>
      <c r="T20" s="23">
        <v>62839.8</v>
      </c>
      <c r="U20" s="23">
        <v>64066.2</v>
      </c>
      <c r="V20" s="23">
        <v>66380.5</v>
      </c>
      <c r="W20" s="23">
        <v>67674.899999999994</v>
      </c>
      <c r="X20" s="23">
        <v>63122.6</v>
      </c>
      <c r="Y20" s="23">
        <v>68975.899999999994</v>
      </c>
      <c r="Z20" s="23">
        <v>74829.2</v>
      </c>
      <c r="AA20" s="23">
        <v>76173.899999999994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4477.7999999999984</v>
      </c>
      <c r="E21" s="23">
        <v>4779.7</v>
      </c>
      <c r="F21" s="23">
        <v>4662.3371737343523</v>
      </c>
      <c r="G21" s="23">
        <v>4944.7999999999993</v>
      </c>
      <c r="H21" s="23">
        <v>5175.3999999999996</v>
      </c>
      <c r="I21" s="23">
        <v>5454.7000000000016</v>
      </c>
      <c r="J21" s="23">
        <v>5638.1611169526595</v>
      </c>
      <c r="K21" s="23">
        <v>5417.9999999999991</v>
      </c>
      <c r="L21" s="23">
        <v>5966.4000000000015</v>
      </c>
      <c r="M21" s="23">
        <v>5963.9382838693655</v>
      </c>
      <c r="N21" s="23">
        <v>5840.6400363434777</v>
      </c>
      <c r="O21" s="23">
        <v>5778.5000000000018</v>
      </c>
      <c r="P21" s="23">
        <v>5765.2</v>
      </c>
      <c r="Q21" s="23">
        <v>5895.0999999999985</v>
      </c>
      <c r="R21" s="23">
        <v>5357.3999999999978</v>
      </c>
      <c r="S21" s="23">
        <v>5123.1000000000004</v>
      </c>
      <c r="T21" s="23">
        <v>5334.9</v>
      </c>
      <c r="U21" s="23">
        <v>5262.6464704925047</v>
      </c>
      <c r="V21" s="23">
        <v>5423.0463059405911</v>
      </c>
      <c r="W21" s="23">
        <v>5758.4552396300987</v>
      </c>
      <c r="X21" s="23">
        <v>6352.2595494558072</v>
      </c>
      <c r="Y21" s="23">
        <v>6285.0273801957592</v>
      </c>
      <c r="Z21" s="23">
        <v>9072.4867323679318</v>
      </c>
      <c r="AA21" s="23">
        <v>14124.482675121084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2016.2999999999993</v>
      </c>
      <c r="E22" s="23">
        <v>2033.8</v>
      </c>
      <c r="F22" s="23">
        <v>2131.1712818854344</v>
      </c>
      <c r="G22" s="23">
        <v>2267.1999999999989</v>
      </c>
      <c r="H22" s="23">
        <v>2450.6999999999998</v>
      </c>
      <c r="I22" s="23">
        <v>2419.8000000000011</v>
      </c>
      <c r="J22" s="23">
        <v>2550.1276430607791</v>
      </c>
      <c r="K22" s="23">
        <v>2681.7999999999997</v>
      </c>
      <c r="L22" s="23">
        <v>2574.4000000000005</v>
      </c>
      <c r="M22" s="23">
        <v>2625.9728258619975</v>
      </c>
      <c r="N22" s="23">
        <v>2714.7721284546842</v>
      </c>
      <c r="O22" s="23">
        <v>2782.2000000000012</v>
      </c>
      <c r="P22" s="23">
        <v>2955.8</v>
      </c>
      <c r="Q22" s="23">
        <v>3005.0999999999995</v>
      </c>
      <c r="R22" s="23">
        <v>3129.5999999999985</v>
      </c>
      <c r="S22" s="23">
        <v>3142.1000000000004</v>
      </c>
      <c r="T22" s="23">
        <v>3265.4</v>
      </c>
      <c r="U22" s="23">
        <v>3368.9657322456628</v>
      </c>
      <c r="V22" s="23">
        <v>3506.9652772277204</v>
      </c>
      <c r="W22" s="23">
        <v>3606.7345986339742</v>
      </c>
      <c r="X22" s="23">
        <v>3556.2333380206451</v>
      </c>
      <c r="Y22" s="23">
        <v>3716.457789318858</v>
      </c>
      <c r="Z22" s="23">
        <v>4263.0184537111545</v>
      </c>
      <c r="AA22" s="23">
        <v>4724.3440186729276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13936</v>
      </c>
      <c r="E23" s="23">
        <v>13595.9</v>
      </c>
      <c r="F23" s="23">
        <v>13690.9</v>
      </c>
      <c r="G23" s="23">
        <v>14615.4</v>
      </c>
      <c r="H23" s="23">
        <v>15087.6</v>
      </c>
      <c r="I23" s="23">
        <v>15293.3</v>
      </c>
      <c r="J23" s="23">
        <v>15540.5</v>
      </c>
      <c r="K23" s="23">
        <v>16913.400000000001</v>
      </c>
      <c r="L23" s="23">
        <v>17901</v>
      </c>
      <c r="M23" s="23">
        <v>17409.900000000001</v>
      </c>
      <c r="N23" s="23">
        <v>16797.8</v>
      </c>
      <c r="O23" s="23">
        <v>16768.599999999999</v>
      </c>
      <c r="P23" s="23">
        <v>17471.7</v>
      </c>
      <c r="Q23" s="23">
        <v>18080.900000000001</v>
      </c>
      <c r="R23" s="23">
        <v>18500.900000000001</v>
      </c>
      <c r="S23" s="23">
        <v>18846.3</v>
      </c>
      <c r="T23" s="23">
        <v>19653.400000000001</v>
      </c>
      <c r="U23" s="23">
        <v>20873.099999999999</v>
      </c>
      <c r="V23" s="23">
        <v>22084</v>
      </c>
      <c r="W23" s="23">
        <v>22949.8</v>
      </c>
      <c r="X23" s="23">
        <v>23778.799999999999</v>
      </c>
      <c r="Y23" s="23">
        <v>24531.200000000001</v>
      </c>
      <c r="Z23" s="23">
        <v>26422.3</v>
      </c>
      <c r="AA23" s="23">
        <v>28395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25037.599999999999</v>
      </c>
      <c r="E24" s="23">
        <v>25636.9</v>
      </c>
      <c r="F24" s="23">
        <v>26467</v>
      </c>
      <c r="G24" s="23">
        <v>26703.799999999996</v>
      </c>
      <c r="H24" s="23">
        <v>27662.500000000004</v>
      </c>
      <c r="I24" s="23">
        <v>28974</v>
      </c>
      <c r="J24" s="23">
        <v>30669.299999999996</v>
      </c>
      <c r="K24" s="23">
        <v>32479.7</v>
      </c>
      <c r="L24" s="23">
        <v>33547.399999999994</v>
      </c>
      <c r="M24" s="23">
        <v>33057.800000000003</v>
      </c>
      <c r="N24" s="23">
        <v>34623.300000000003</v>
      </c>
      <c r="O24" s="23">
        <v>36486.6</v>
      </c>
      <c r="P24" s="23">
        <v>36411.100000000006</v>
      </c>
      <c r="Q24" s="23">
        <v>35253.699999999997</v>
      </c>
      <c r="R24" s="23">
        <v>36507.699999999997</v>
      </c>
      <c r="S24" s="23">
        <v>37643.9</v>
      </c>
      <c r="T24" s="23">
        <v>37822.800000000003</v>
      </c>
      <c r="U24" s="23">
        <v>38015.5</v>
      </c>
      <c r="V24" s="23">
        <v>41357.300000000003</v>
      </c>
      <c r="W24" s="23">
        <v>41972.2</v>
      </c>
      <c r="X24" s="23">
        <v>41191.800000000003</v>
      </c>
      <c r="Y24" s="23">
        <v>45843</v>
      </c>
      <c r="Z24" s="23">
        <v>52273.799999999996</v>
      </c>
      <c r="AA24" s="23">
        <v>49563.700000000004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10876.5</v>
      </c>
      <c r="E25" s="23">
        <v>11096</v>
      </c>
      <c r="F25" s="23">
        <v>11603.6</v>
      </c>
      <c r="G25" s="23">
        <v>11854.6</v>
      </c>
      <c r="H25" s="23">
        <v>12247</v>
      </c>
      <c r="I25" s="23">
        <v>12969.6</v>
      </c>
      <c r="J25" s="23">
        <v>13546.3</v>
      </c>
      <c r="K25" s="23">
        <v>14308.3</v>
      </c>
      <c r="L25" s="23">
        <v>14863.2</v>
      </c>
      <c r="M25" s="23">
        <v>14467.3</v>
      </c>
      <c r="N25" s="23">
        <v>14621.5</v>
      </c>
      <c r="O25" s="23">
        <v>15425.3</v>
      </c>
      <c r="P25" s="23">
        <v>15801.1</v>
      </c>
      <c r="Q25" s="23">
        <v>16195.2</v>
      </c>
      <c r="R25" s="23">
        <v>16876.3</v>
      </c>
      <c r="S25" s="23">
        <v>17444.8</v>
      </c>
      <c r="T25" s="23">
        <v>18073.7</v>
      </c>
      <c r="U25" s="23">
        <v>18656.3</v>
      </c>
      <c r="V25" s="23">
        <v>19043.8</v>
      </c>
      <c r="W25" s="23">
        <v>19666.099999999999</v>
      </c>
      <c r="X25" s="23">
        <v>17948.8</v>
      </c>
      <c r="Y25" s="23">
        <v>17694.2</v>
      </c>
      <c r="Z25" s="23">
        <v>21444</v>
      </c>
      <c r="AA25" s="23">
        <v>22538.7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6913.6</v>
      </c>
      <c r="E26" s="23">
        <v>7338.4</v>
      </c>
      <c r="F26" s="23">
        <v>7591.4</v>
      </c>
      <c r="G26" s="23">
        <v>7928.8</v>
      </c>
      <c r="H26" s="23">
        <v>8100.3</v>
      </c>
      <c r="I26" s="23">
        <v>8382.2000000000007</v>
      </c>
      <c r="J26" s="23">
        <v>8882.6</v>
      </c>
      <c r="K26" s="23">
        <v>9277.5</v>
      </c>
      <c r="L26" s="23">
        <v>9654.1</v>
      </c>
      <c r="M26" s="23">
        <v>9763.4</v>
      </c>
      <c r="N26" s="23">
        <v>9983.2000000000007</v>
      </c>
      <c r="O26" s="23">
        <v>10413.700000000001</v>
      </c>
      <c r="P26" s="23">
        <v>11027.1</v>
      </c>
      <c r="Q26" s="23">
        <v>11202.7</v>
      </c>
      <c r="R26" s="23">
        <v>11443.6</v>
      </c>
      <c r="S26" s="23">
        <v>12292.6</v>
      </c>
      <c r="T26" s="23">
        <v>13061.1</v>
      </c>
      <c r="U26" s="23">
        <v>13507.2</v>
      </c>
      <c r="V26" s="23">
        <v>14126.2</v>
      </c>
      <c r="W26" s="23">
        <v>14528.4</v>
      </c>
      <c r="X26" s="23">
        <v>9120.4</v>
      </c>
      <c r="Y26" s="23">
        <v>8329</v>
      </c>
      <c r="Z26" s="23">
        <v>14021.9</v>
      </c>
      <c r="AA26" s="23">
        <v>16738.2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6437.3</v>
      </c>
      <c r="E27" s="23">
        <v>7445.8</v>
      </c>
      <c r="F27" s="23">
        <v>7850.4</v>
      </c>
      <c r="G27" s="23">
        <v>8055.4</v>
      </c>
      <c r="H27" s="23">
        <v>7869.5</v>
      </c>
      <c r="I27" s="23">
        <v>8206.5</v>
      </c>
      <c r="J27" s="23">
        <v>8474.9</v>
      </c>
      <c r="K27" s="23">
        <v>8617.2999999999993</v>
      </c>
      <c r="L27" s="23">
        <v>8853.1</v>
      </c>
      <c r="M27" s="23">
        <v>8583.9</v>
      </c>
      <c r="N27" s="23">
        <v>8609</v>
      </c>
      <c r="O27" s="23">
        <v>9336.7999999999993</v>
      </c>
      <c r="P27" s="23">
        <v>9514.5</v>
      </c>
      <c r="Q27" s="23">
        <v>9906.7000000000007</v>
      </c>
      <c r="R27" s="23">
        <v>10467.4</v>
      </c>
      <c r="S27" s="23">
        <v>10827.7</v>
      </c>
      <c r="T27" s="23">
        <v>11630</v>
      </c>
      <c r="U27" s="23">
        <v>11869</v>
      </c>
      <c r="V27" s="23">
        <v>12896.5</v>
      </c>
      <c r="W27" s="23">
        <v>13689.9</v>
      </c>
      <c r="X27" s="23">
        <v>13703.2</v>
      </c>
      <c r="Y27" s="23">
        <v>15276.3</v>
      </c>
      <c r="Z27" s="23">
        <v>15865.8</v>
      </c>
      <c r="AA27" s="23">
        <v>16885.900000000001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10450.700000000001</v>
      </c>
      <c r="E28" s="23">
        <v>10064.799999999999</v>
      </c>
      <c r="F28" s="23">
        <v>10252.6</v>
      </c>
      <c r="G28" s="23">
        <v>10204.9</v>
      </c>
      <c r="H28" s="23">
        <v>10536.6</v>
      </c>
      <c r="I28" s="23">
        <v>11017.5</v>
      </c>
      <c r="J28" s="23">
        <v>11986</v>
      </c>
      <c r="K28" s="23">
        <v>13143.4</v>
      </c>
      <c r="L28" s="23">
        <v>13344.1</v>
      </c>
      <c r="M28" s="23">
        <v>11957.3</v>
      </c>
      <c r="N28" s="23">
        <v>12014.4</v>
      </c>
      <c r="O28" s="23">
        <v>12933.4</v>
      </c>
      <c r="P28" s="23">
        <v>12301.8</v>
      </c>
      <c r="Q28" s="23">
        <v>12861.4</v>
      </c>
      <c r="R28" s="23">
        <v>12969.1</v>
      </c>
      <c r="S28" s="23">
        <v>13499.8</v>
      </c>
      <c r="T28" s="23">
        <v>13242.6</v>
      </c>
      <c r="U28" s="23">
        <v>13764.6</v>
      </c>
      <c r="V28" s="23">
        <v>14217.4</v>
      </c>
      <c r="W28" s="23">
        <v>14836.8</v>
      </c>
      <c r="X28" s="23">
        <v>14659.1</v>
      </c>
      <c r="Y28" s="23">
        <v>16731.900000000001</v>
      </c>
      <c r="Z28" s="23">
        <v>18202</v>
      </c>
      <c r="AA28" s="23">
        <v>21769.3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14161.4</v>
      </c>
      <c r="E29" s="23">
        <v>14751.9</v>
      </c>
      <c r="F29" s="23">
        <v>15526.6</v>
      </c>
      <c r="G29" s="23">
        <v>16298.2</v>
      </c>
      <c r="H29" s="23">
        <v>17878.3</v>
      </c>
      <c r="I29" s="23">
        <v>19488.5</v>
      </c>
      <c r="J29" s="23">
        <v>20557.599999999999</v>
      </c>
      <c r="K29" s="23">
        <v>21233.7</v>
      </c>
      <c r="L29" s="23">
        <v>21635.5</v>
      </c>
      <c r="M29" s="23">
        <v>22145.5</v>
      </c>
      <c r="N29" s="23">
        <v>23108.6</v>
      </c>
      <c r="O29" s="23">
        <v>24341.9</v>
      </c>
      <c r="P29" s="23">
        <v>25436.7</v>
      </c>
      <c r="Q29" s="23">
        <v>26676.5</v>
      </c>
      <c r="R29" s="23">
        <v>27715.8</v>
      </c>
      <c r="S29" s="23">
        <v>28934.9</v>
      </c>
      <c r="T29" s="23">
        <v>30097.200000000001</v>
      </c>
      <c r="U29" s="23">
        <v>31749.8</v>
      </c>
      <c r="V29" s="23">
        <v>33180.199999999997</v>
      </c>
      <c r="W29" s="23">
        <v>34265.4</v>
      </c>
      <c r="X29" s="23">
        <v>35353.5</v>
      </c>
      <c r="Y29" s="23">
        <v>35461.4</v>
      </c>
      <c r="Z29" s="23">
        <v>36487.1</v>
      </c>
      <c r="AA29" s="23">
        <v>40253.1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7215.9000000000005</v>
      </c>
      <c r="E30" s="23">
        <v>7912.2999999999993</v>
      </c>
      <c r="F30" s="23">
        <v>8690.2999999999993</v>
      </c>
      <c r="G30" s="23">
        <v>8890.4</v>
      </c>
      <c r="H30" s="23">
        <v>9147.2999999999993</v>
      </c>
      <c r="I30" s="23">
        <v>9897.1</v>
      </c>
      <c r="J30" s="23">
        <v>10480.200000000001</v>
      </c>
      <c r="K30" s="23">
        <v>11357.3</v>
      </c>
      <c r="L30" s="23">
        <v>12338.400000000001</v>
      </c>
      <c r="M30" s="23">
        <v>12249.4</v>
      </c>
      <c r="N30" s="23">
        <v>12469.8</v>
      </c>
      <c r="O30" s="23">
        <v>13257.699999999999</v>
      </c>
      <c r="P30" s="23">
        <v>13994.300000000001</v>
      </c>
      <c r="Q30" s="23">
        <v>14567.6</v>
      </c>
      <c r="R30" s="23">
        <v>15030.999999999998</v>
      </c>
      <c r="S30" s="23">
        <v>16030</v>
      </c>
      <c r="T30" s="23">
        <v>16931.099999999999</v>
      </c>
      <c r="U30" s="23">
        <v>17561.099999999999</v>
      </c>
      <c r="V30" s="23">
        <v>18323.2</v>
      </c>
      <c r="W30" s="23">
        <v>19714.500000000004</v>
      </c>
      <c r="X30" s="23">
        <v>19530.800000000003</v>
      </c>
      <c r="Y30" s="23">
        <v>20966.400000000001</v>
      </c>
      <c r="Z30" s="23">
        <v>22922.5</v>
      </c>
      <c r="AA30" s="23">
        <v>23830.799999999999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5723.7</v>
      </c>
      <c r="E31" s="23">
        <v>6150</v>
      </c>
      <c r="F31" s="23">
        <v>6355.6</v>
      </c>
      <c r="G31" s="23">
        <v>6819.9</v>
      </c>
      <c r="H31" s="23">
        <v>7382.8</v>
      </c>
      <c r="I31" s="23">
        <v>8049.6</v>
      </c>
      <c r="J31" s="23">
        <v>8987.5</v>
      </c>
      <c r="K31" s="23">
        <v>9974</v>
      </c>
      <c r="L31" s="23">
        <v>10808.3</v>
      </c>
      <c r="M31" s="23">
        <v>10177.1</v>
      </c>
      <c r="N31" s="23">
        <v>10662.3</v>
      </c>
      <c r="O31" s="23">
        <v>11453.6</v>
      </c>
      <c r="P31" s="23">
        <v>11803.6</v>
      </c>
      <c r="Q31" s="23">
        <v>12122.1</v>
      </c>
      <c r="R31" s="23">
        <v>12615.6</v>
      </c>
      <c r="S31" s="23">
        <v>12923.7</v>
      </c>
      <c r="T31" s="23">
        <v>13580.4</v>
      </c>
      <c r="U31" s="23">
        <v>14611.9</v>
      </c>
      <c r="V31" s="23">
        <v>15386.3</v>
      </c>
      <c r="W31" s="23">
        <v>16154.8</v>
      </c>
      <c r="X31" s="23">
        <v>14648.5</v>
      </c>
      <c r="Y31" s="23">
        <v>15828.9</v>
      </c>
      <c r="Z31" s="23">
        <v>17577.900000000001</v>
      </c>
      <c r="AA31" s="23">
        <v>18820.3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11571.099999999988</v>
      </c>
      <c r="E32" s="23">
        <v>11689.599999999984</v>
      </c>
      <c r="F32" s="23">
        <v>11751.900000000001</v>
      </c>
      <c r="G32" s="23">
        <v>12007.300000000017</v>
      </c>
      <c r="H32" s="23">
        <v>12342.2</v>
      </c>
      <c r="I32" s="23">
        <v>12482.39999999998</v>
      </c>
      <c r="J32" s="23">
        <v>12956.599999999991</v>
      </c>
      <c r="K32" s="23">
        <v>13209.700000000033</v>
      </c>
      <c r="L32" s="23">
        <v>13925.299999999974</v>
      </c>
      <c r="M32" s="23">
        <v>14496.500000000011</v>
      </c>
      <c r="N32" s="23">
        <v>14685.300000000003</v>
      </c>
      <c r="O32" s="23">
        <v>14837.600000000035</v>
      </c>
      <c r="P32" s="23">
        <v>15196.300000000047</v>
      </c>
      <c r="Q32" s="23">
        <v>15273.999999999978</v>
      </c>
      <c r="R32" s="23">
        <v>15538.199999999983</v>
      </c>
      <c r="S32" s="23">
        <v>16010.599999999977</v>
      </c>
      <c r="T32" s="23">
        <v>16437.299999999974</v>
      </c>
      <c r="U32" s="23">
        <v>16847.099999999977</v>
      </c>
      <c r="V32" s="23">
        <v>17377.599999999977</v>
      </c>
      <c r="W32" s="23">
        <v>17875.300000000047</v>
      </c>
      <c r="X32" s="23">
        <v>18402.299999999974</v>
      </c>
      <c r="Y32" s="23">
        <v>19054.300000000017</v>
      </c>
      <c r="Z32" s="23">
        <v>19591.799999999967</v>
      </c>
      <c r="AA32" s="23">
        <v>21965.000000000015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10414.6</v>
      </c>
      <c r="E33" s="23">
        <v>10713</v>
      </c>
      <c r="F33" s="23">
        <v>10968.9</v>
      </c>
      <c r="G33" s="23">
        <v>11368.1</v>
      </c>
      <c r="H33" s="23">
        <v>11679</v>
      </c>
      <c r="I33" s="23">
        <v>12048.3</v>
      </c>
      <c r="J33" s="23">
        <v>12581.8</v>
      </c>
      <c r="K33" s="23">
        <v>13099.7</v>
      </c>
      <c r="L33" s="23">
        <v>13751.1</v>
      </c>
      <c r="M33" s="23">
        <v>14361.3</v>
      </c>
      <c r="N33" s="23">
        <v>14790.3</v>
      </c>
      <c r="O33" s="23">
        <v>15069.1</v>
      </c>
      <c r="P33" s="23">
        <v>15473.8</v>
      </c>
      <c r="Q33" s="23">
        <v>15558</v>
      </c>
      <c r="R33" s="23">
        <v>15879.6</v>
      </c>
      <c r="S33" s="23">
        <v>16471.900000000001</v>
      </c>
      <c r="T33" s="23">
        <v>17002.5</v>
      </c>
      <c r="U33" s="23">
        <v>17436</v>
      </c>
      <c r="V33" s="23">
        <v>18054.2</v>
      </c>
      <c r="W33" s="23">
        <v>18742.099999999999</v>
      </c>
      <c r="X33" s="23">
        <v>18984.3</v>
      </c>
      <c r="Y33" s="23">
        <v>19808.599999999999</v>
      </c>
      <c r="Z33" s="23">
        <v>20913.5</v>
      </c>
      <c r="AA33" s="23">
        <v>22491.5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11285.6</v>
      </c>
      <c r="E34" s="23">
        <v>11930.6</v>
      </c>
      <c r="F34" s="23">
        <v>12497.7</v>
      </c>
      <c r="G34" s="23">
        <v>13015.9</v>
      </c>
      <c r="H34" s="23">
        <v>13619.3</v>
      </c>
      <c r="I34" s="23">
        <v>14162.4</v>
      </c>
      <c r="J34" s="23">
        <v>14904.9</v>
      </c>
      <c r="K34" s="23">
        <v>15783.7</v>
      </c>
      <c r="L34" s="23">
        <v>16715.099999999999</v>
      </c>
      <c r="M34" s="23">
        <v>17874.400000000001</v>
      </c>
      <c r="N34" s="23">
        <v>18467.400000000001</v>
      </c>
      <c r="O34" s="23">
        <v>19037.400000000001</v>
      </c>
      <c r="P34" s="23">
        <v>19712.599999999999</v>
      </c>
      <c r="Q34" s="23">
        <v>20481.099999999999</v>
      </c>
      <c r="R34" s="23">
        <v>21248.400000000001</v>
      </c>
      <c r="S34" s="23">
        <v>22487.200000000001</v>
      </c>
      <c r="T34" s="23">
        <v>23656.799999999999</v>
      </c>
      <c r="U34" s="23">
        <v>24643.5</v>
      </c>
      <c r="V34" s="23">
        <v>25711.8</v>
      </c>
      <c r="W34" s="23">
        <v>26894.9</v>
      </c>
      <c r="X34" s="23">
        <v>27508.5</v>
      </c>
      <c r="Y34" s="23">
        <v>29891.3</v>
      </c>
      <c r="Z34" s="23">
        <v>31236.6</v>
      </c>
      <c r="AA34" s="23">
        <v>33239.699999999997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1984.2999999999997</v>
      </c>
      <c r="E35" s="23">
        <v>1987.1999999999998</v>
      </c>
      <c r="F35" s="23">
        <v>2078.7999999999997</v>
      </c>
      <c r="G35" s="23">
        <v>2152.6000000000004</v>
      </c>
      <c r="H35" s="23">
        <v>2320</v>
      </c>
      <c r="I35" s="23">
        <v>2565.0999999999995</v>
      </c>
      <c r="J35" s="23">
        <v>2556.6</v>
      </c>
      <c r="K35" s="23">
        <v>2784</v>
      </c>
      <c r="L35" s="23">
        <v>2989.4</v>
      </c>
      <c r="M35" s="23">
        <v>3061.4999999999995</v>
      </c>
      <c r="N35" s="23">
        <v>3130.5</v>
      </c>
      <c r="O35" s="23">
        <v>3238.0999999999995</v>
      </c>
      <c r="P35" s="23">
        <v>3289.6000000000004</v>
      </c>
      <c r="Q35" s="23">
        <v>3308.7999999999993</v>
      </c>
      <c r="R35" s="23">
        <v>3395.5</v>
      </c>
      <c r="S35" s="23">
        <v>3488.1000000000004</v>
      </c>
      <c r="T35" s="23">
        <v>3358.9000000000005</v>
      </c>
      <c r="U35" s="23">
        <v>3530.4999999999991</v>
      </c>
      <c r="V35" s="23">
        <v>3641.3</v>
      </c>
      <c r="W35" s="23">
        <v>3833</v>
      </c>
      <c r="X35" s="23">
        <v>2755.0999999999995</v>
      </c>
      <c r="Y35" s="23">
        <v>2972.1999999999989</v>
      </c>
      <c r="Z35" s="23">
        <v>4045.6000000000004</v>
      </c>
      <c r="AA35" s="23">
        <v>4235.5999999999995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2852.9</v>
      </c>
      <c r="E36" s="23">
        <v>2961.4</v>
      </c>
      <c r="F36" s="23">
        <v>3049</v>
      </c>
      <c r="G36" s="23">
        <v>3125.7</v>
      </c>
      <c r="H36" s="23">
        <v>3299.2</v>
      </c>
      <c r="I36" s="23">
        <v>3376.8</v>
      </c>
      <c r="J36" s="23">
        <v>3501.1</v>
      </c>
      <c r="K36" s="23">
        <v>3697.9</v>
      </c>
      <c r="L36" s="23">
        <v>3802.1</v>
      </c>
      <c r="M36" s="23">
        <v>3870.1</v>
      </c>
      <c r="N36" s="23">
        <v>3926.1</v>
      </c>
      <c r="O36" s="23">
        <v>4037.6</v>
      </c>
      <c r="P36" s="23">
        <v>4132.5</v>
      </c>
      <c r="Q36" s="23">
        <v>4259.8</v>
      </c>
      <c r="R36" s="23">
        <v>4318</v>
      </c>
      <c r="S36" s="23">
        <v>4460.8999999999996</v>
      </c>
      <c r="T36" s="23">
        <v>4637.3</v>
      </c>
      <c r="U36" s="23">
        <v>4858.7</v>
      </c>
      <c r="V36" s="23">
        <v>5081.3</v>
      </c>
      <c r="W36" s="23">
        <v>5250.4</v>
      </c>
      <c r="X36" s="23">
        <v>4944.2</v>
      </c>
      <c r="Y36" s="23">
        <v>5106.1000000000004</v>
      </c>
      <c r="Z36" s="23">
        <v>5859.4</v>
      </c>
      <c r="AA36" s="23">
        <v>6564.8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171.7</v>
      </c>
      <c r="E37" s="23">
        <v>161.9</v>
      </c>
      <c r="F37" s="23">
        <v>162.6</v>
      </c>
      <c r="G37" s="23">
        <v>155.5</v>
      </c>
      <c r="H37" s="23">
        <v>151.19999999999999</v>
      </c>
      <c r="I37" s="23">
        <v>147.30000000000001</v>
      </c>
      <c r="J37" s="23">
        <v>144.5</v>
      </c>
      <c r="K37" s="23">
        <v>144.6</v>
      </c>
      <c r="L37" s="23">
        <v>147</v>
      </c>
      <c r="M37" s="23">
        <v>154.80000000000001</v>
      </c>
      <c r="N37" s="23">
        <v>151.9</v>
      </c>
      <c r="O37" s="23">
        <v>149.19999999999999</v>
      </c>
      <c r="P37" s="23">
        <v>145.19999999999999</v>
      </c>
      <c r="Q37" s="23">
        <v>142.30000000000001</v>
      </c>
      <c r="R37" s="23">
        <v>141.19999999999999</v>
      </c>
      <c r="S37" s="23">
        <v>133.80000000000001</v>
      </c>
      <c r="T37" s="23">
        <v>142.9</v>
      </c>
      <c r="U37" s="23">
        <v>142.6</v>
      </c>
      <c r="V37" s="23">
        <v>139.6</v>
      </c>
      <c r="W37" s="23">
        <v>135.9</v>
      </c>
      <c r="X37" s="23">
        <v>136.1</v>
      </c>
      <c r="Y37" s="23">
        <v>132</v>
      </c>
      <c r="Z37" s="23">
        <v>133.9</v>
      </c>
      <c r="AA37" s="23">
        <v>134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189418.9</v>
      </c>
      <c r="E39" s="30">
        <f t="shared" ref="E39:Y39" si="2">SUM(E18:E38)</f>
        <v>195976.79999999996</v>
      </c>
      <c r="F39" s="30">
        <f t="shared" si="2"/>
        <v>200708.4</v>
      </c>
      <c r="G39" s="30">
        <f t="shared" si="2"/>
        <v>205864.50000000003</v>
      </c>
      <c r="H39" s="30">
        <f t="shared" si="2"/>
        <v>214252</v>
      </c>
      <c r="I39" s="30">
        <f t="shared" si="2"/>
        <v>224194.69999999995</v>
      </c>
      <c r="J39" s="30">
        <f t="shared" si="2"/>
        <v>237133.69999999998</v>
      </c>
      <c r="K39" s="30">
        <f t="shared" si="2"/>
        <v>251596.60000000003</v>
      </c>
      <c r="L39" s="30">
        <f t="shared" si="2"/>
        <v>260417.8</v>
      </c>
      <c r="M39" s="30">
        <f t="shared" si="2"/>
        <v>254814.79999999996</v>
      </c>
      <c r="N39" s="30">
        <f t="shared" si="2"/>
        <v>261614.99999999997</v>
      </c>
      <c r="O39" s="30">
        <f t="shared" si="2"/>
        <v>274204.3</v>
      </c>
      <c r="P39" s="30">
        <f t="shared" si="2"/>
        <v>281072.7</v>
      </c>
      <c r="Q39" s="30">
        <f t="shared" si="2"/>
        <v>285326.99999999994</v>
      </c>
      <c r="R39" s="30">
        <f t="shared" si="2"/>
        <v>293480.3</v>
      </c>
      <c r="S39" s="30">
        <f t="shared" si="2"/>
        <v>303845.59999999998</v>
      </c>
      <c r="T39" s="30">
        <f t="shared" si="2"/>
        <v>315923.90000000002</v>
      </c>
      <c r="U39" s="30">
        <f t="shared" si="2"/>
        <v>326371.59999999992</v>
      </c>
      <c r="V39" s="30">
        <f t="shared" si="2"/>
        <v>341351.59999999992</v>
      </c>
      <c r="W39" s="30">
        <f t="shared" si="2"/>
        <v>352742.60000000009</v>
      </c>
      <c r="X39" s="30">
        <f t="shared" si="2"/>
        <v>340529.89999999997</v>
      </c>
      <c r="Y39" s="30">
        <f t="shared" si="2"/>
        <v>362536.79999999993</v>
      </c>
      <c r="Z39" s="30">
        <f t="shared" ref="Z39:AA39" si="3">SUM(Z18:Z38)</f>
        <v>402767.1</v>
      </c>
      <c r="AA39" s="30">
        <f t="shared" si="3"/>
        <v>429634.29999999993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3997</v>
      </c>
      <c r="E41" s="19">
        <v>4043.4</v>
      </c>
      <c r="F41" s="19">
        <v>4169.2</v>
      </c>
      <c r="G41" s="19">
        <v>4331.6000000000004</v>
      </c>
      <c r="H41" s="19">
        <v>4514</v>
      </c>
      <c r="I41" s="19">
        <v>4461.1000000000004</v>
      </c>
      <c r="J41" s="19">
        <v>4571.8999999999996</v>
      </c>
      <c r="K41" s="19">
        <v>4924.8</v>
      </c>
      <c r="L41" s="19">
        <v>4837.7</v>
      </c>
      <c r="M41" s="19">
        <v>5141.8</v>
      </c>
      <c r="N41" s="19">
        <v>5254.6</v>
      </c>
      <c r="O41" s="19">
        <v>5098.5</v>
      </c>
      <c r="P41" s="19">
        <v>5515.7</v>
      </c>
      <c r="Q41" s="19">
        <v>5365.5</v>
      </c>
      <c r="R41" s="19">
        <v>5764.6</v>
      </c>
      <c r="S41" s="19">
        <v>5937.3</v>
      </c>
      <c r="T41" s="19">
        <v>6370.7</v>
      </c>
      <c r="U41" s="19">
        <v>6471.4</v>
      </c>
      <c r="V41" s="19">
        <v>6477.7</v>
      </c>
      <c r="W41" s="19">
        <v>6888.7</v>
      </c>
      <c r="X41" s="19">
        <v>7017.1</v>
      </c>
      <c r="Y41" s="19">
        <v>7392.2</v>
      </c>
      <c r="Z41" s="19">
        <v>7822.6</v>
      </c>
      <c r="AA41" s="19">
        <v>8939.7999999999993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1633</v>
      </c>
      <c r="E42" s="23">
        <v>1525.3</v>
      </c>
      <c r="F42" s="23">
        <v>1398.9</v>
      </c>
      <c r="G42" s="23">
        <v>1235</v>
      </c>
      <c r="H42" s="23">
        <v>1322.2</v>
      </c>
      <c r="I42" s="23">
        <v>1237.5</v>
      </c>
      <c r="J42" s="23">
        <v>1261.8</v>
      </c>
      <c r="K42" s="23">
        <v>1214.2</v>
      </c>
      <c r="L42" s="23">
        <v>1131.4000000000001</v>
      </c>
      <c r="M42" s="23">
        <v>1034.8</v>
      </c>
      <c r="N42" s="23">
        <v>1111.4000000000001</v>
      </c>
      <c r="O42" s="23">
        <v>1115.0999999999999</v>
      </c>
      <c r="P42" s="23">
        <v>1038.4000000000001</v>
      </c>
      <c r="Q42" s="23">
        <v>1012.2</v>
      </c>
      <c r="R42" s="23">
        <v>1043.7</v>
      </c>
      <c r="S42" s="23">
        <v>1091.8</v>
      </c>
      <c r="T42" s="23">
        <v>1038.5</v>
      </c>
      <c r="U42" s="23">
        <v>925.6</v>
      </c>
      <c r="V42" s="23">
        <v>992.4</v>
      </c>
      <c r="W42" s="23">
        <v>981.4</v>
      </c>
      <c r="X42" s="23">
        <v>905.5</v>
      </c>
      <c r="Y42" s="23">
        <v>899.9</v>
      </c>
      <c r="Z42" s="23">
        <v>929.6</v>
      </c>
      <c r="AA42" s="23">
        <v>964.7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4971.8</v>
      </c>
      <c r="E43" s="23">
        <v>5124.3</v>
      </c>
      <c r="F43" s="23">
        <v>5012.3</v>
      </c>
      <c r="G43" s="23">
        <v>4939.1000000000004</v>
      </c>
      <c r="H43" s="23">
        <v>4898.3</v>
      </c>
      <c r="I43" s="23">
        <v>4788.7</v>
      </c>
      <c r="J43" s="23">
        <v>5162.5</v>
      </c>
      <c r="K43" s="23">
        <v>5417.3</v>
      </c>
      <c r="L43" s="23">
        <v>5088.8</v>
      </c>
      <c r="M43" s="23">
        <v>4747.7</v>
      </c>
      <c r="N43" s="23">
        <v>4960.7</v>
      </c>
      <c r="O43" s="23">
        <v>5049</v>
      </c>
      <c r="P43" s="23">
        <v>4999</v>
      </c>
      <c r="Q43" s="23">
        <v>4910</v>
      </c>
      <c r="R43" s="23">
        <v>5005.1000000000004</v>
      </c>
      <c r="S43" s="23">
        <v>5200.5</v>
      </c>
      <c r="T43" s="23">
        <v>5477.3</v>
      </c>
      <c r="U43" s="23">
        <v>5395.7</v>
      </c>
      <c r="V43" s="23">
        <v>5796.9</v>
      </c>
      <c r="W43" s="23">
        <v>5986.8</v>
      </c>
      <c r="X43" s="23">
        <v>5718.2</v>
      </c>
      <c r="Y43" s="23">
        <v>6240.6</v>
      </c>
      <c r="Z43" s="23">
        <v>6658.2</v>
      </c>
      <c r="AA43" s="23">
        <v>5453.6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1303.2</v>
      </c>
      <c r="E44" s="23">
        <v>928.5</v>
      </c>
      <c r="F44" s="23">
        <v>741.1</v>
      </c>
      <c r="G44" s="23">
        <v>655.29999999999995</v>
      </c>
      <c r="H44" s="23">
        <v>687.2</v>
      </c>
      <c r="I44" s="23">
        <v>833.5</v>
      </c>
      <c r="J44" s="23">
        <v>464.4</v>
      </c>
      <c r="K44" s="23">
        <v>446.9</v>
      </c>
      <c r="L44" s="23">
        <v>448.3</v>
      </c>
      <c r="M44" s="23">
        <v>440.5</v>
      </c>
      <c r="N44" s="23">
        <v>347</v>
      </c>
      <c r="O44" s="23">
        <v>199.7</v>
      </c>
      <c r="P44" s="23">
        <v>423.1</v>
      </c>
      <c r="Q44" s="23">
        <v>253.1</v>
      </c>
      <c r="R44" s="23">
        <v>240.7</v>
      </c>
      <c r="S44" s="23">
        <v>394.8</v>
      </c>
      <c r="T44" s="23">
        <v>712.3</v>
      </c>
      <c r="U44" s="23">
        <v>629.4</v>
      </c>
      <c r="V44" s="23">
        <v>738.8</v>
      </c>
      <c r="W44" s="23">
        <v>908.3</v>
      </c>
      <c r="X44" s="23">
        <v>370.9</v>
      </c>
      <c r="Y44" s="23">
        <v>797</v>
      </c>
      <c r="Z44" s="23">
        <v>878.8</v>
      </c>
      <c r="AA44" s="23">
        <v>895.4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1499.8</v>
      </c>
      <c r="E45" s="23">
        <v>1788</v>
      </c>
      <c r="F45" s="23">
        <v>1620.9</v>
      </c>
      <c r="G45" s="23">
        <v>1675.6</v>
      </c>
      <c r="H45" s="23">
        <v>1680.9</v>
      </c>
      <c r="I45" s="23">
        <v>1705.4</v>
      </c>
      <c r="J45" s="23">
        <v>2029.4</v>
      </c>
      <c r="K45" s="23">
        <v>2175.6</v>
      </c>
      <c r="L45" s="23">
        <v>2092.3000000000002</v>
      </c>
      <c r="M45" s="23">
        <v>2045.4</v>
      </c>
      <c r="N45" s="23">
        <v>2084.8000000000002</v>
      </c>
      <c r="O45" s="23">
        <v>2299.8000000000002</v>
      </c>
      <c r="P45" s="23">
        <v>2017.4</v>
      </c>
      <c r="Q45" s="23">
        <v>2293.1999999999998</v>
      </c>
      <c r="R45" s="23">
        <v>2536.6999999999998</v>
      </c>
      <c r="S45" s="23">
        <v>2947.9</v>
      </c>
      <c r="T45" s="23">
        <v>3699.7</v>
      </c>
      <c r="U45" s="23">
        <v>3372.4</v>
      </c>
      <c r="V45" s="23">
        <v>3162.1</v>
      </c>
      <c r="W45" s="23">
        <v>3098.6</v>
      </c>
      <c r="X45" s="23">
        <v>3191.1</v>
      </c>
      <c r="Y45" s="23">
        <v>4068.8</v>
      </c>
      <c r="Z45" s="23">
        <v>3257</v>
      </c>
      <c r="AA45" s="23">
        <v>2209.5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1053.5</v>
      </c>
      <c r="E46" s="23">
        <v>974.5</v>
      </c>
      <c r="F46" s="23">
        <v>1011.8</v>
      </c>
      <c r="G46" s="23">
        <v>1100.2</v>
      </c>
      <c r="H46" s="23">
        <v>1016.4</v>
      </c>
      <c r="I46" s="23">
        <v>1362.8</v>
      </c>
      <c r="J46" s="23">
        <v>1387.1</v>
      </c>
      <c r="K46" s="23">
        <v>1653.3</v>
      </c>
      <c r="L46" s="23">
        <v>1390.5</v>
      </c>
      <c r="M46" s="23">
        <v>1730.6</v>
      </c>
      <c r="N46" s="23">
        <v>1793.8</v>
      </c>
      <c r="O46" s="23">
        <v>1826.1</v>
      </c>
      <c r="P46" s="23">
        <v>1912.4</v>
      </c>
      <c r="Q46" s="23">
        <v>1982.1</v>
      </c>
      <c r="R46" s="23">
        <v>2146.8000000000002</v>
      </c>
      <c r="S46" s="23">
        <v>2215.1999999999998</v>
      </c>
      <c r="T46" s="23">
        <v>2372.8000000000002</v>
      </c>
      <c r="U46" s="23">
        <v>2490.5</v>
      </c>
      <c r="V46" s="23">
        <v>2379.6</v>
      </c>
      <c r="W46" s="23">
        <v>2684.9</v>
      </c>
      <c r="X46" s="23">
        <v>2703.5</v>
      </c>
      <c r="Y46" s="23">
        <v>2624.9</v>
      </c>
      <c r="Z46" s="23">
        <v>2641.1</v>
      </c>
      <c r="AA46" s="23">
        <v>3031.1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4032.9</v>
      </c>
      <c r="E47" s="23">
        <v>4014.1</v>
      </c>
      <c r="F47" s="23">
        <v>4035.8</v>
      </c>
      <c r="G47" s="23">
        <v>4127.6000000000004</v>
      </c>
      <c r="H47" s="23">
        <v>4279.7</v>
      </c>
      <c r="I47" s="23">
        <v>4391</v>
      </c>
      <c r="J47" s="23">
        <v>4724</v>
      </c>
      <c r="K47" s="23">
        <v>5006.3999999999996</v>
      </c>
      <c r="L47" s="23">
        <v>4765.1000000000004</v>
      </c>
      <c r="M47" s="23">
        <v>4317.3</v>
      </c>
      <c r="N47" s="23">
        <v>4510.3999999999996</v>
      </c>
      <c r="O47" s="23">
        <v>4752.1000000000004</v>
      </c>
      <c r="P47" s="23">
        <v>4665.3999999999996</v>
      </c>
      <c r="Q47" s="23">
        <v>4798.3</v>
      </c>
      <c r="R47" s="23">
        <v>5090.8</v>
      </c>
      <c r="S47" s="23">
        <v>4998.8</v>
      </c>
      <c r="T47" s="23">
        <v>5249.4</v>
      </c>
      <c r="U47" s="23">
        <v>5345</v>
      </c>
      <c r="V47" s="23">
        <v>5257.2</v>
      </c>
      <c r="W47" s="23">
        <v>5571.3</v>
      </c>
      <c r="X47" s="23">
        <v>5118.6000000000004</v>
      </c>
      <c r="Y47" s="23">
        <v>5266</v>
      </c>
      <c r="Z47" s="23">
        <v>5462.5</v>
      </c>
      <c r="AA47" s="23">
        <v>5566.3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6008.2</v>
      </c>
      <c r="E48" s="23">
        <v>6566.8</v>
      </c>
      <c r="F48" s="23">
        <v>6317.1</v>
      </c>
      <c r="G48" s="23">
        <v>6609.5</v>
      </c>
      <c r="H48" s="23">
        <v>7053.1</v>
      </c>
      <c r="I48" s="23">
        <v>7711.8</v>
      </c>
      <c r="J48" s="23">
        <v>8682.2999999999993</v>
      </c>
      <c r="K48" s="23">
        <v>9297.7000000000007</v>
      </c>
      <c r="L48" s="23">
        <v>9181.2999999999993</v>
      </c>
      <c r="M48" s="23">
        <v>8018.1</v>
      </c>
      <c r="N48" s="23">
        <v>8117.7</v>
      </c>
      <c r="O48" s="23">
        <v>8825.9</v>
      </c>
      <c r="P48" s="23">
        <v>9103.7999999999993</v>
      </c>
      <c r="Q48" s="23">
        <v>9172.6</v>
      </c>
      <c r="R48" s="23">
        <v>9358.4</v>
      </c>
      <c r="S48" s="23">
        <v>10228.6</v>
      </c>
      <c r="T48" s="23">
        <v>10404.299999999999</v>
      </c>
      <c r="U48" s="23">
        <v>10824.3</v>
      </c>
      <c r="V48" s="23">
        <v>11359.1</v>
      </c>
      <c r="W48" s="23">
        <v>11178.8</v>
      </c>
      <c r="X48" s="23">
        <v>10116</v>
      </c>
      <c r="Y48" s="23">
        <v>11012.5</v>
      </c>
      <c r="Z48" s="23">
        <v>12885.3</v>
      </c>
      <c r="AA48" s="23">
        <v>13208.6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2960.1</v>
      </c>
      <c r="E49" s="23">
        <v>3052.6</v>
      </c>
      <c r="F49" s="23">
        <v>2960.8</v>
      </c>
      <c r="G49" s="23">
        <v>2874.2</v>
      </c>
      <c r="H49" s="23">
        <v>3025.7</v>
      </c>
      <c r="I49" s="23">
        <v>3381.3</v>
      </c>
      <c r="J49" s="23">
        <v>3704.7</v>
      </c>
      <c r="K49" s="23">
        <v>2600.5</v>
      </c>
      <c r="L49" s="23">
        <v>2511.8000000000002</v>
      </c>
      <c r="M49" s="23">
        <v>2320.5</v>
      </c>
      <c r="N49" s="23">
        <v>2383.5</v>
      </c>
      <c r="O49" s="23">
        <v>2832.9</v>
      </c>
      <c r="P49" s="23">
        <v>2891.1</v>
      </c>
      <c r="Q49" s="23">
        <v>3025.2</v>
      </c>
      <c r="R49" s="23">
        <v>3032</v>
      </c>
      <c r="S49" s="23">
        <v>3029.8</v>
      </c>
      <c r="T49" s="23">
        <v>3429.6</v>
      </c>
      <c r="U49" s="23">
        <v>3619.7</v>
      </c>
      <c r="V49" s="23">
        <v>4013.1</v>
      </c>
      <c r="W49" s="23">
        <v>4248.3999999999996</v>
      </c>
      <c r="X49" s="23">
        <v>3952</v>
      </c>
      <c r="Y49" s="23">
        <v>4558.7</v>
      </c>
      <c r="Z49" s="23">
        <v>5049.5</v>
      </c>
      <c r="AA49" s="23">
        <v>5045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2448.1</v>
      </c>
      <c r="E50" s="23">
        <v>2563.3000000000002</v>
      </c>
      <c r="F50" s="23">
        <v>2557.8000000000002</v>
      </c>
      <c r="G50" s="23">
        <v>2538.1999999999998</v>
      </c>
      <c r="H50" s="23">
        <v>2498.6999999999998</v>
      </c>
      <c r="I50" s="23">
        <v>2506.6</v>
      </c>
      <c r="J50" s="23">
        <v>2770.5</v>
      </c>
      <c r="K50" s="23">
        <v>4249.3999999999996</v>
      </c>
      <c r="L50" s="23">
        <v>4933.7</v>
      </c>
      <c r="M50" s="23">
        <v>4777.8</v>
      </c>
      <c r="N50" s="23">
        <v>5024.1000000000004</v>
      </c>
      <c r="O50" s="23">
        <v>4776.2</v>
      </c>
      <c r="P50" s="23">
        <v>5408.5</v>
      </c>
      <c r="Q50" s="23">
        <v>5111</v>
      </c>
      <c r="R50" s="23">
        <v>5188.2</v>
      </c>
      <c r="S50" s="23">
        <v>5369.4</v>
      </c>
      <c r="T50" s="23">
        <v>5625</v>
      </c>
      <c r="U50" s="23">
        <v>5994.9</v>
      </c>
      <c r="V50" s="23">
        <v>5918.8</v>
      </c>
      <c r="W50" s="23">
        <v>5462</v>
      </c>
      <c r="X50" s="23">
        <v>4657.3999999999996</v>
      </c>
      <c r="Y50" s="23">
        <v>5147.3</v>
      </c>
      <c r="Z50" s="23">
        <v>5442</v>
      </c>
      <c r="AA50" s="23">
        <v>6027.5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3981.8</v>
      </c>
      <c r="E51" s="23">
        <v>4431.5</v>
      </c>
      <c r="F51" s="23">
        <v>4597</v>
      </c>
      <c r="G51" s="23">
        <v>4677.5</v>
      </c>
      <c r="H51" s="23">
        <v>5005.1000000000004</v>
      </c>
      <c r="I51" s="23">
        <v>5317.3</v>
      </c>
      <c r="J51" s="23">
        <v>5861.7</v>
      </c>
      <c r="K51" s="23">
        <v>6515</v>
      </c>
      <c r="L51" s="23">
        <v>6893.8</v>
      </c>
      <c r="M51" s="23">
        <v>5948.2</v>
      </c>
      <c r="N51" s="23">
        <v>6364.3</v>
      </c>
      <c r="O51" s="23">
        <v>7549.1</v>
      </c>
      <c r="P51" s="23">
        <v>7723.6</v>
      </c>
      <c r="Q51" s="23">
        <v>7920.6</v>
      </c>
      <c r="R51" s="23">
        <v>8005.9</v>
      </c>
      <c r="S51" s="23">
        <v>8318.4</v>
      </c>
      <c r="T51" s="23">
        <v>8384.2999999999993</v>
      </c>
      <c r="U51" s="23">
        <v>8907.5</v>
      </c>
      <c r="V51" s="23">
        <v>9278.2999999999993</v>
      </c>
      <c r="W51" s="23">
        <v>9480.1</v>
      </c>
      <c r="X51" s="23">
        <v>8809</v>
      </c>
      <c r="Y51" s="23">
        <v>9819.2999999999993</v>
      </c>
      <c r="Z51" s="23">
        <v>10075</v>
      </c>
      <c r="AA51" s="23">
        <v>11286.6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2942</v>
      </c>
      <c r="E52" s="23">
        <v>3173.3</v>
      </c>
      <c r="F52" s="23">
        <v>3482.8</v>
      </c>
      <c r="G52" s="23">
        <v>3619.7</v>
      </c>
      <c r="H52" s="23">
        <v>3817.1</v>
      </c>
      <c r="I52" s="23">
        <v>4147.1000000000004</v>
      </c>
      <c r="J52" s="23">
        <v>4642.8999999999996</v>
      </c>
      <c r="K52" s="23">
        <v>4937.3</v>
      </c>
      <c r="L52" s="23">
        <v>4874.1000000000004</v>
      </c>
      <c r="M52" s="23">
        <v>3980.3</v>
      </c>
      <c r="N52" s="23">
        <v>3904.7</v>
      </c>
      <c r="O52" s="23">
        <v>4278.2</v>
      </c>
      <c r="P52" s="23">
        <v>4463.3</v>
      </c>
      <c r="Q52" s="23">
        <v>4629</v>
      </c>
      <c r="R52" s="23">
        <v>4750.2</v>
      </c>
      <c r="S52" s="23">
        <v>4744.5</v>
      </c>
      <c r="T52" s="23">
        <v>5280.5</v>
      </c>
      <c r="U52" s="23">
        <v>5196.8</v>
      </c>
      <c r="V52" s="23">
        <v>6027</v>
      </c>
      <c r="W52" s="23">
        <v>6107.7</v>
      </c>
      <c r="X52" s="23">
        <v>5754</v>
      </c>
      <c r="Y52" s="23">
        <v>5997.9</v>
      </c>
      <c r="Z52" s="23">
        <v>5757.1</v>
      </c>
      <c r="AA52" s="23">
        <v>6568.6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2945.4000000000015</v>
      </c>
      <c r="E53" s="23">
        <v>3202.5</v>
      </c>
      <c r="F53" s="23">
        <v>3260.6999999999971</v>
      </c>
      <c r="G53" s="23">
        <v>3024.9000000000015</v>
      </c>
      <c r="H53" s="23">
        <v>3023</v>
      </c>
      <c r="I53" s="23">
        <v>3202.0999999999985</v>
      </c>
      <c r="J53" s="23">
        <v>3344.6000000000058</v>
      </c>
      <c r="K53" s="23">
        <v>3907.5999999999985</v>
      </c>
      <c r="L53" s="23">
        <v>4067.3000000000029</v>
      </c>
      <c r="M53" s="23">
        <v>3649.9000000000015</v>
      </c>
      <c r="N53" s="23">
        <v>4174.5999999999985</v>
      </c>
      <c r="O53" s="23">
        <v>4231.5999999999985</v>
      </c>
      <c r="P53" s="23">
        <v>4470.4999999999927</v>
      </c>
      <c r="Q53" s="23">
        <v>4471.5000000000073</v>
      </c>
      <c r="R53" s="23">
        <v>4572.8000000000029</v>
      </c>
      <c r="S53" s="23">
        <v>4508.1999999999898</v>
      </c>
      <c r="T53" s="23">
        <v>4795.4000000000087</v>
      </c>
      <c r="U53" s="23">
        <v>4892.9999999999927</v>
      </c>
      <c r="V53" s="23">
        <v>4979.5</v>
      </c>
      <c r="W53" s="23">
        <v>5077.8999999999942</v>
      </c>
      <c r="X53" s="23">
        <v>4809.2999999999956</v>
      </c>
      <c r="Y53" s="23">
        <v>5150.7999999999956</v>
      </c>
      <c r="Z53" s="23">
        <v>7970.5</v>
      </c>
      <c r="AA53" s="23">
        <v>6977.1999999999971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39776.800000000003</v>
      </c>
      <c r="E54" s="30">
        <f t="shared" ref="E54:Y54" si="4">SUM(E41:E53)</f>
        <v>41388.1</v>
      </c>
      <c r="F54" s="30">
        <f t="shared" si="4"/>
        <v>41166.199999999997</v>
      </c>
      <c r="G54" s="30">
        <f t="shared" si="4"/>
        <v>41408.400000000001</v>
      </c>
      <c r="H54" s="30">
        <f t="shared" si="4"/>
        <v>42821.4</v>
      </c>
      <c r="I54" s="30">
        <f t="shared" si="4"/>
        <v>45046.2</v>
      </c>
      <c r="J54" s="30">
        <f t="shared" si="4"/>
        <v>48607.8</v>
      </c>
      <c r="K54" s="30">
        <f t="shared" si="4"/>
        <v>52346</v>
      </c>
      <c r="L54" s="30">
        <f t="shared" si="4"/>
        <v>52216.1</v>
      </c>
      <c r="M54" s="30">
        <f t="shared" si="4"/>
        <v>48152.9</v>
      </c>
      <c r="N54" s="30">
        <f t="shared" si="4"/>
        <v>50031.6</v>
      </c>
      <c r="O54" s="30">
        <f t="shared" si="4"/>
        <v>52834.2</v>
      </c>
      <c r="P54" s="30">
        <f t="shared" si="4"/>
        <v>54632.2</v>
      </c>
      <c r="Q54" s="30">
        <f t="shared" si="4"/>
        <v>54944.3</v>
      </c>
      <c r="R54" s="30">
        <f t="shared" si="4"/>
        <v>56735.9</v>
      </c>
      <c r="S54" s="30">
        <f t="shared" si="4"/>
        <v>58985.2</v>
      </c>
      <c r="T54" s="30">
        <f t="shared" si="4"/>
        <v>62839.8</v>
      </c>
      <c r="U54" s="30">
        <f t="shared" si="4"/>
        <v>64066.2</v>
      </c>
      <c r="V54" s="30">
        <f t="shared" si="4"/>
        <v>66380.5</v>
      </c>
      <c r="W54" s="30">
        <f t="shared" si="4"/>
        <v>67674.899999999994</v>
      </c>
      <c r="X54" s="30">
        <f t="shared" si="4"/>
        <v>63122.6</v>
      </c>
      <c r="Y54" s="30">
        <f t="shared" si="4"/>
        <v>68975.899999999994</v>
      </c>
      <c r="Z54" s="30">
        <f t="shared" ref="Z54:AA54" si="5">SUM(Z41:Z53)</f>
        <v>74829.2</v>
      </c>
      <c r="AA54" s="30">
        <f t="shared" si="5"/>
        <v>76173.899999999994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3997</v>
      </c>
      <c r="E56" s="19">
        <v>4043.4</v>
      </c>
      <c r="F56" s="19">
        <v>4169.2</v>
      </c>
      <c r="G56" s="19">
        <v>4331.6000000000004</v>
      </c>
      <c r="H56" s="19">
        <v>4514</v>
      </c>
      <c r="I56" s="19">
        <v>4461.1000000000004</v>
      </c>
      <c r="J56" s="19">
        <v>4571.8999999999996</v>
      </c>
      <c r="K56" s="19">
        <v>4924.8</v>
      </c>
      <c r="L56" s="19">
        <v>4837.7</v>
      </c>
      <c r="M56" s="19">
        <v>5141.8</v>
      </c>
      <c r="N56" s="19">
        <v>5254.6</v>
      </c>
      <c r="O56" s="19">
        <v>5098.5</v>
      </c>
      <c r="P56" s="19">
        <v>5515.7</v>
      </c>
      <c r="Q56" s="19">
        <v>5365.5</v>
      </c>
      <c r="R56" s="19">
        <v>5764.6</v>
      </c>
      <c r="S56" s="19">
        <v>5937.3</v>
      </c>
      <c r="T56" s="19">
        <v>6370.7</v>
      </c>
      <c r="U56" s="19">
        <v>6471.4</v>
      </c>
      <c r="V56" s="19">
        <v>6477.7</v>
      </c>
      <c r="W56" s="19">
        <v>6888.7</v>
      </c>
      <c r="X56" s="19">
        <v>7017.1</v>
      </c>
      <c r="Y56" s="19">
        <v>7392.2</v>
      </c>
      <c r="Z56" s="19">
        <v>7822.6</v>
      </c>
      <c r="AA56" s="19">
        <v>8939.7999999999993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1633</v>
      </c>
      <c r="E57" s="23">
        <v>1525.3</v>
      </c>
      <c r="F57" s="23">
        <v>1398.9</v>
      </c>
      <c r="G57" s="23">
        <v>1235</v>
      </c>
      <c r="H57" s="23">
        <v>1322.2</v>
      </c>
      <c r="I57" s="23">
        <v>1237.5</v>
      </c>
      <c r="J57" s="23">
        <v>1261.8</v>
      </c>
      <c r="K57" s="23">
        <v>1214.2</v>
      </c>
      <c r="L57" s="23">
        <v>1131.4000000000001</v>
      </c>
      <c r="M57" s="23">
        <v>1034.8</v>
      </c>
      <c r="N57" s="23">
        <v>1111.4000000000001</v>
      </c>
      <c r="O57" s="23">
        <v>1115.0999999999999</v>
      </c>
      <c r="P57" s="23">
        <v>1038.4000000000001</v>
      </c>
      <c r="Q57" s="23">
        <v>1012.2</v>
      </c>
      <c r="R57" s="23">
        <v>1043.7</v>
      </c>
      <c r="S57" s="23">
        <v>1091.8</v>
      </c>
      <c r="T57" s="23">
        <v>1038.5</v>
      </c>
      <c r="U57" s="23">
        <v>925.6</v>
      </c>
      <c r="V57" s="23">
        <v>992.4</v>
      </c>
      <c r="W57" s="23">
        <v>981.4</v>
      </c>
      <c r="X57" s="23">
        <v>905.5</v>
      </c>
      <c r="Y57" s="23">
        <v>899.9</v>
      </c>
      <c r="Z57" s="23">
        <v>929.6</v>
      </c>
      <c r="AA57" s="23">
        <v>964.7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1746.7</v>
      </c>
      <c r="E58" s="23">
        <v>1807.2</v>
      </c>
      <c r="F58" s="23">
        <v>1796</v>
      </c>
      <c r="G58" s="23">
        <v>1843.3</v>
      </c>
      <c r="H58" s="23">
        <v>1906.6</v>
      </c>
      <c r="I58" s="23">
        <v>1856.1</v>
      </c>
      <c r="J58" s="23">
        <v>2153.3000000000002</v>
      </c>
      <c r="K58" s="23">
        <v>2373.8000000000002</v>
      </c>
      <c r="L58" s="23">
        <v>2164.6999999999998</v>
      </c>
      <c r="M58" s="23">
        <v>1924.9</v>
      </c>
      <c r="N58" s="23">
        <v>2095</v>
      </c>
      <c r="O58" s="23">
        <v>2145.9</v>
      </c>
      <c r="P58" s="23">
        <v>2093.3000000000002</v>
      </c>
      <c r="Q58" s="23">
        <v>2118.1</v>
      </c>
      <c r="R58" s="23">
        <v>2153.1</v>
      </c>
      <c r="S58" s="23">
        <v>2355.4</v>
      </c>
      <c r="T58" s="23">
        <v>2499.6999999999998</v>
      </c>
      <c r="U58" s="23">
        <v>2515.8000000000002</v>
      </c>
      <c r="V58" s="23">
        <v>2758.5</v>
      </c>
      <c r="W58" s="23">
        <v>2940</v>
      </c>
      <c r="X58" s="23">
        <v>2923.3</v>
      </c>
      <c r="Y58" s="23">
        <v>3568.9</v>
      </c>
      <c r="Z58" s="23">
        <v>3632.5</v>
      </c>
      <c r="AA58" s="23">
        <v>2899.9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1860.7</v>
      </c>
      <c r="E59" s="23">
        <v>2002.5</v>
      </c>
      <c r="F59" s="23">
        <v>1910.1</v>
      </c>
      <c r="G59" s="23">
        <v>1791.4</v>
      </c>
      <c r="H59" s="23">
        <v>1746.5</v>
      </c>
      <c r="I59" s="23">
        <v>1710.3</v>
      </c>
      <c r="J59" s="23">
        <v>1757.7</v>
      </c>
      <c r="K59" s="23">
        <v>1774.6</v>
      </c>
      <c r="L59" s="23">
        <v>1640.6</v>
      </c>
      <c r="M59" s="23">
        <v>1639.4</v>
      </c>
      <c r="N59" s="23">
        <v>1710.5</v>
      </c>
      <c r="O59" s="23">
        <v>1755.1</v>
      </c>
      <c r="P59" s="23">
        <v>1792.2</v>
      </c>
      <c r="Q59" s="23">
        <v>1767.6</v>
      </c>
      <c r="R59" s="23">
        <v>1875.6</v>
      </c>
      <c r="S59" s="23">
        <v>1878</v>
      </c>
      <c r="T59" s="23">
        <v>2042.5</v>
      </c>
      <c r="U59" s="23">
        <v>1970.6</v>
      </c>
      <c r="V59" s="23">
        <v>2186.8000000000002</v>
      </c>
      <c r="W59" s="23">
        <v>2228.6</v>
      </c>
      <c r="X59" s="23">
        <v>2077.6999999999998</v>
      </c>
      <c r="Y59" s="23">
        <v>1996.7</v>
      </c>
      <c r="Z59" s="23">
        <v>2323.3000000000002</v>
      </c>
      <c r="AA59" s="23">
        <v>1880.5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1364.4</v>
      </c>
      <c r="E60" s="23">
        <v>1314.6000000000004</v>
      </c>
      <c r="F60" s="23">
        <v>1306.2000000000003</v>
      </c>
      <c r="G60" s="23">
        <v>1304.4000000000005</v>
      </c>
      <c r="H60" s="23">
        <v>1245.2000000000003</v>
      </c>
      <c r="I60" s="23">
        <v>1222.3000000000002</v>
      </c>
      <c r="J60" s="23">
        <v>1251.5</v>
      </c>
      <c r="K60" s="23">
        <v>1268.9000000000005</v>
      </c>
      <c r="L60" s="23">
        <v>1283.5000000000005</v>
      </c>
      <c r="M60" s="23">
        <v>1183.3999999999996</v>
      </c>
      <c r="N60" s="23">
        <v>1155.1999999999998</v>
      </c>
      <c r="O60" s="23">
        <v>1148</v>
      </c>
      <c r="P60" s="23">
        <v>1113.5</v>
      </c>
      <c r="Q60" s="23">
        <v>1024.3000000000002</v>
      </c>
      <c r="R60" s="23">
        <v>976.40000000000055</v>
      </c>
      <c r="S60" s="23">
        <v>967.10000000000036</v>
      </c>
      <c r="T60" s="23">
        <v>935.10000000000036</v>
      </c>
      <c r="U60" s="23">
        <v>909.30000000000018</v>
      </c>
      <c r="V60" s="23">
        <v>851.59999999999945</v>
      </c>
      <c r="W60" s="23">
        <v>818.19999999999982</v>
      </c>
      <c r="X60" s="23">
        <v>717.19999999999982</v>
      </c>
      <c r="Y60" s="23">
        <v>675</v>
      </c>
      <c r="Z60" s="23">
        <v>702.39999999999964</v>
      </c>
      <c r="AA60" s="23">
        <v>673.20000000000073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1303.2</v>
      </c>
      <c r="E61" s="23">
        <v>928.5</v>
      </c>
      <c r="F61" s="23">
        <v>741.1</v>
      </c>
      <c r="G61" s="23">
        <v>655.29999999999995</v>
      </c>
      <c r="H61" s="23">
        <v>687.2</v>
      </c>
      <c r="I61" s="23">
        <v>833.5</v>
      </c>
      <c r="J61" s="23">
        <v>464.4</v>
      </c>
      <c r="K61" s="23">
        <v>446.9</v>
      </c>
      <c r="L61" s="23">
        <v>448.3</v>
      </c>
      <c r="M61" s="23">
        <v>440.5</v>
      </c>
      <c r="N61" s="23">
        <v>347</v>
      </c>
      <c r="O61" s="23">
        <v>199.7</v>
      </c>
      <c r="P61" s="23">
        <v>423.1</v>
      </c>
      <c r="Q61" s="23">
        <v>253.1</v>
      </c>
      <c r="R61" s="23">
        <v>240.7</v>
      </c>
      <c r="S61" s="23">
        <v>394.8</v>
      </c>
      <c r="T61" s="23">
        <v>712.3</v>
      </c>
      <c r="U61" s="23">
        <v>629.4</v>
      </c>
      <c r="V61" s="23">
        <v>738.8</v>
      </c>
      <c r="W61" s="23">
        <v>908.3</v>
      </c>
      <c r="X61" s="23">
        <v>370.9</v>
      </c>
      <c r="Y61" s="23">
        <v>797</v>
      </c>
      <c r="Z61" s="23">
        <v>878.8</v>
      </c>
      <c r="AA61" s="23">
        <v>895.4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1499.8</v>
      </c>
      <c r="E62" s="23">
        <v>1788</v>
      </c>
      <c r="F62" s="23">
        <v>1620.9</v>
      </c>
      <c r="G62" s="23">
        <v>1675.6</v>
      </c>
      <c r="H62" s="23">
        <v>1680.9</v>
      </c>
      <c r="I62" s="23">
        <v>1705.4</v>
      </c>
      <c r="J62" s="23">
        <v>2029.4</v>
      </c>
      <c r="K62" s="23">
        <v>2175.6</v>
      </c>
      <c r="L62" s="23">
        <v>2092.3000000000002</v>
      </c>
      <c r="M62" s="23">
        <v>2045.4</v>
      </c>
      <c r="N62" s="23">
        <v>2084.8000000000002</v>
      </c>
      <c r="O62" s="23">
        <v>2299.8000000000002</v>
      </c>
      <c r="P62" s="23">
        <v>2017.4</v>
      </c>
      <c r="Q62" s="23">
        <v>2293.1999999999998</v>
      </c>
      <c r="R62" s="23">
        <v>2536.6999999999998</v>
      </c>
      <c r="S62" s="23">
        <v>2947.9</v>
      </c>
      <c r="T62" s="23">
        <v>3699.7</v>
      </c>
      <c r="U62" s="23">
        <v>3372.4</v>
      </c>
      <c r="V62" s="23">
        <v>3162.1</v>
      </c>
      <c r="W62" s="23">
        <v>3098.6</v>
      </c>
      <c r="X62" s="23">
        <v>3191.1</v>
      </c>
      <c r="Y62" s="23">
        <v>4068.8</v>
      </c>
      <c r="Z62" s="23">
        <v>3257</v>
      </c>
      <c r="AA62" s="23">
        <v>2209.5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1053.5</v>
      </c>
      <c r="E63" s="23">
        <v>974.5</v>
      </c>
      <c r="F63" s="23">
        <v>1011.8</v>
      </c>
      <c r="G63" s="23">
        <v>1100.2</v>
      </c>
      <c r="H63" s="23">
        <v>1016.4</v>
      </c>
      <c r="I63" s="23">
        <v>1362.8</v>
      </c>
      <c r="J63" s="23">
        <v>1387.1</v>
      </c>
      <c r="K63" s="23">
        <v>1653.3</v>
      </c>
      <c r="L63" s="23">
        <v>1390.5</v>
      </c>
      <c r="M63" s="23">
        <v>1730.6</v>
      </c>
      <c r="N63" s="23">
        <v>1793.8</v>
      </c>
      <c r="O63" s="23">
        <v>1826.1</v>
      </c>
      <c r="P63" s="23">
        <v>1912.4</v>
      </c>
      <c r="Q63" s="23">
        <v>1982.1</v>
      </c>
      <c r="R63" s="23">
        <v>2146.8000000000002</v>
      </c>
      <c r="S63" s="23">
        <v>2215.1999999999998</v>
      </c>
      <c r="T63" s="23">
        <v>2372.8000000000002</v>
      </c>
      <c r="U63" s="23">
        <v>2490.5</v>
      </c>
      <c r="V63" s="23">
        <v>2379.6</v>
      </c>
      <c r="W63" s="23">
        <v>2684.9</v>
      </c>
      <c r="X63" s="23">
        <v>2703.5</v>
      </c>
      <c r="Y63" s="23">
        <v>2624.9</v>
      </c>
      <c r="Z63" s="23">
        <v>2641.1</v>
      </c>
      <c r="AA63" s="23">
        <v>3031.1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1714.4</v>
      </c>
      <c r="E64" s="23">
        <v>1688.3</v>
      </c>
      <c r="F64" s="23">
        <v>1714.7</v>
      </c>
      <c r="G64" s="23">
        <v>1698.4</v>
      </c>
      <c r="H64" s="23">
        <v>1801.7</v>
      </c>
      <c r="I64" s="23">
        <v>1785.8</v>
      </c>
      <c r="J64" s="23">
        <v>1980.4</v>
      </c>
      <c r="K64" s="23">
        <v>2117.3000000000002</v>
      </c>
      <c r="L64" s="23">
        <v>2119.1999999999998</v>
      </c>
      <c r="M64" s="23">
        <v>1973.7</v>
      </c>
      <c r="N64" s="23">
        <v>2036</v>
      </c>
      <c r="O64" s="23">
        <v>2290.1</v>
      </c>
      <c r="P64" s="23">
        <v>2213.1999999999998</v>
      </c>
      <c r="Q64" s="23">
        <v>2303.4</v>
      </c>
      <c r="R64" s="23">
        <v>2491.1999999999998</v>
      </c>
      <c r="S64" s="23">
        <v>2454.4</v>
      </c>
      <c r="T64" s="23">
        <v>2624.4</v>
      </c>
      <c r="U64" s="23">
        <v>2634.5</v>
      </c>
      <c r="V64" s="23">
        <v>2595.8000000000002</v>
      </c>
      <c r="W64" s="23">
        <v>2694</v>
      </c>
      <c r="X64" s="23">
        <v>2541</v>
      </c>
      <c r="Y64" s="23">
        <v>2554</v>
      </c>
      <c r="Z64" s="23">
        <v>2766.6</v>
      </c>
      <c r="AA64" s="23">
        <v>2967.6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2318.5</v>
      </c>
      <c r="E65" s="23">
        <v>2325.8000000000002</v>
      </c>
      <c r="F65" s="23">
        <v>2321.1000000000004</v>
      </c>
      <c r="G65" s="23">
        <v>2429.2000000000003</v>
      </c>
      <c r="H65" s="23">
        <v>2478</v>
      </c>
      <c r="I65" s="23">
        <v>2605.1999999999998</v>
      </c>
      <c r="J65" s="23">
        <v>2743.6</v>
      </c>
      <c r="K65" s="23">
        <v>2889.0999999999995</v>
      </c>
      <c r="L65" s="23">
        <v>2645.9000000000005</v>
      </c>
      <c r="M65" s="23">
        <v>2343.6000000000004</v>
      </c>
      <c r="N65" s="23">
        <v>2474.3999999999996</v>
      </c>
      <c r="O65" s="23">
        <v>2462.0000000000005</v>
      </c>
      <c r="P65" s="23">
        <v>2452.1999999999998</v>
      </c>
      <c r="Q65" s="23">
        <v>2494.9</v>
      </c>
      <c r="R65" s="23">
        <v>2599.6000000000004</v>
      </c>
      <c r="S65" s="23">
        <v>2544.4</v>
      </c>
      <c r="T65" s="23">
        <v>2624.9999999999995</v>
      </c>
      <c r="U65" s="23">
        <v>2710.5</v>
      </c>
      <c r="V65" s="23">
        <v>2661.3999999999996</v>
      </c>
      <c r="W65" s="23">
        <v>2877.3</v>
      </c>
      <c r="X65" s="23">
        <v>2577.6000000000004</v>
      </c>
      <c r="Y65" s="23">
        <v>2712</v>
      </c>
      <c r="Z65" s="23">
        <v>2695.9</v>
      </c>
      <c r="AA65" s="23">
        <v>2598.7000000000003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2452.1</v>
      </c>
      <c r="E66" s="23">
        <v>2716.5</v>
      </c>
      <c r="F66" s="23">
        <v>2428.5</v>
      </c>
      <c r="G66" s="23">
        <v>2521.4</v>
      </c>
      <c r="H66" s="23">
        <v>2895.9</v>
      </c>
      <c r="I66" s="23">
        <v>3503.2</v>
      </c>
      <c r="J66" s="23">
        <v>3777.5</v>
      </c>
      <c r="K66" s="23">
        <v>4124.8</v>
      </c>
      <c r="L66" s="23">
        <v>4154.8999999999996</v>
      </c>
      <c r="M66" s="23">
        <v>3172.4</v>
      </c>
      <c r="N66" s="23">
        <v>3506</v>
      </c>
      <c r="O66" s="23">
        <v>3770</v>
      </c>
      <c r="P66" s="23">
        <v>3928.7</v>
      </c>
      <c r="Q66" s="23">
        <v>3618.3</v>
      </c>
      <c r="R66" s="23">
        <v>3798.7</v>
      </c>
      <c r="S66" s="23">
        <v>4375.5</v>
      </c>
      <c r="T66" s="23">
        <v>4085.6</v>
      </c>
      <c r="U66" s="23">
        <v>4396.8</v>
      </c>
      <c r="V66" s="23">
        <v>4739.3999999999996</v>
      </c>
      <c r="W66" s="23">
        <v>4448.7</v>
      </c>
      <c r="X66" s="23">
        <v>3711.6</v>
      </c>
      <c r="Y66" s="23">
        <v>3810.3</v>
      </c>
      <c r="Z66" s="23">
        <v>5244.5</v>
      </c>
      <c r="AA66" s="23">
        <v>5479.3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3556.1</v>
      </c>
      <c r="E67" s="23">
        <v>3850.3</v>
      </c>
      <c r="F67" s="23">
        <v>3888.6000000000004</v>
      </c>
      <c r="G67" s="23">
        <v>4088.1</v>
      </c>
      <c r="H67" s="23">
        <v>4157.2000000000007</v>
      </c>
      <c r="I67" s="23">
        <v>4208.6000000000004</v>
      </c>
      <c r="J67" s="23">
        <v>4904.7999999999993</v>
      </c>
      <c r="K67" s="23">
        <v>5172.9000000000005</v>
      </c>
      <c r="L67" s="23">
        <v>5026.3999999999996</v>
      </c>
      <c r="M67" s="23">
        <v>4845.7000000000007</v>
      </c>
      <c r="N67" s="23">
        <v>4611.7</v>
      </c>
      <c r="O67" s="23">
        <v>5055.8999999999996</v>
      </c>
      <c r="P67" s="23">
        <v>5175.0999999999995</v>
      </c>
      <c r="Q67" s="23">
        <v>5554.3</v>
      </c>
      <c r="R67" s="23">
        <v>5559.7</v>
      </c>
      <c r="S67" s="23">
        <v>5853.1</v>
      </c>
      <c r="T67" s="23">
        <v>6318.6999999999989</v>
      </c>
      <c r="U67" s="23">
        <v>6427.4999999999991</v>
      </c>
      <c r="V67" s="23">
        <v>6619.7000000000007</v>
      </c>
      <c r="W67" s="23">
        <v>6730.0999999999995</v>
      </c>
      <c r="X67" s="23">
        <v>6404.4</v>
      </c>
      <c r="Y67" s="23">
        <v>7202.2</v>
      </c>
      <c r="Z67" s="23">
        <v>7640.7999999999993</v>
      </c>
      <c r="AA67" s="23">
        <v>7729.3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2960.1</v>
      </c>
      <c r="E68" s="23">
        <v>3052.6</v>
      </c>
      <c r="F68" s="23">
        <v>2960.8</v>
      </c>
      <c r="G68" s="23">
        <v>2874.2</v>
      </c>
      <c r="H68" s="23">
        <v>3025.7</v>
      </c>
      <c r="I68" s="23">
        <v>3381.3</v>
      </c>
      <c r="J68" s="23">
        <v>3704.7</v>
      </c>
      <c r="K68" s="23">
        <v>2600.5</v>
      </c>
      <c r="L68" s="23">
        <v>2511.8000000000002</v>
      </c>
      <c r="M68" s="23">
        <v>2320.5</v>
      </c>
      <c r="N68" s="23">
        <v>2383.5</v>
      </c>
      <c r="O68" s="23">
        <v>2832.9</v>
      </c>
      <c r="P68" s="23">
        <v>2891.1</v>
      </c>
      <c r="Q68" s="23">
        <v>3025.2</v>
      </c>
      <c r="R68" s="23">
        <v>3032</v>
      </c>
      <c r="S68" s="23">
        <v>3029.8</v>
      </c>
      <c r="T68" s="23">
        <v>3429.6</v>
      </c>
      <c r="U68" s="23">
        <v>3619.7</v>
      </c>
      <c r="V68" s="23">
        <v>4013.1</v>
      </c>
      <c r="W68" s="23">
        <v>4248.3999999999996</v>
      </c>
      <c r="X68" s="23">
        <v>3952</v>
      </c>
      <c r="Y68" s="23">
        <v>4558.7</v>
      </c>
      <c r="Z68" s="23">
        <v>5049.5</v>
      </c>
      <c r="AA68" s="23">
        <v>5045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2448.1</v>
      </c>
      <c r="E69" s="23">
        <v>2563.3000000000002</v>
      </c>
      <c r="F69" s="23">
        <v>2557.8000000000002</v>
      </c>
      <c r="G69" s="23">
        <v>2538.1999999999998</v>
      </c>
      <c r="H69" s="23">
        <v>2498.6999999999998</v>
      </c>
      <c r="I69" s="23">
        <v>2506.6</v>
      </c>
      <c r="J69" s="23">
        <v>2770.5</v>
      </c>
      <c r="K69" s="23">
        <v>4249.3999999999996</v>
      </c>
      <c r="L69" s="23">
        <v>4933.7</v>
      </c>
      <c r="M69" s="23">
        <v>4777.8</v>
      </c>
      <c r="N69" s="23">
        <v>5024.1000000000004</v>
      </c>
      <c r="O69" s="23">
        <v>4776.2</v>
      </c>
      <c r="P69" s="23">
        <v>5408.5</v>
      </c>
      <c r="Q69" s="23">
        <v>5111</v>
      </c>
      <c r="R69" s="23">
        <v>5188.2</v>
      </c>
      <c r="S69" s="23">
        <v>5369.4</v>
      </c>
      <c r="T69" s="23">
        <v>5625</v>
      </c>
      <c r="U69" s="23">
        <v>5994.9</v>
      </c>
      <c r="V69" s="23">
        <v>5918.8</v>
      </c>
      <c r="W69" s="23">
        <v>5462</v>
      </c>
      <c r="X69" s="23">
        <v>4657.3999999999996</v>
      </c>
      <c r="Y69" s="23">
        <v>5147.3</v>
      </c>
      <c r="Z69" s="23">
        <v>5442</v>
      </c>
      <c r="AA69" s="23">
        <v>6027.5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3981.8</v>
      </c>
      <c r="E70" s="23">
        <v>4431.5</v>
      </c>
      <c r="F70" s="23">
        <v>4597</v>
      </c>
      <c r="G70" s="23">
        <v>4677.5</v>
      </c>
      <c r="H70" s="23">
        <v>5005.1000000000004</v>
      </c>
      <c r="I70" s="23">
        <v>5317.3</v>
      </c>
      <c r="J70" s="23">
        <v>5861.7</v>
      </c>
      <c r="K70" s="23">
        <v>6515</v>
      </c>
      <c r="L70" s="23">
        <v>6893.8</v>
      </c>
      <c r="M70" s="23">
        <v>5948.2</v>
      </c>
      <c r="N70" s="23">
        <v>6364.3</v>
      </c>
      <c r="O70" s="23">
        <v>7549.1</v>
      </c>
      <c r="P70" s="23">
        <v>7723.6</v>
      </c>
      <c r="Q70" s="23">
        <v>7920.6</v>
      </c>
      <c r="R70" s="23">
        <v>8005.9</v>
      </c>
      <c r="S70" s="23">
        <v>8318.4</v>
      </c>
      <c r="T70" s="23">
        <v>8384.2999999999993</v>
      </c>
      <c r="U70" s="23">
        <v>8907.5</v>
      </c>
      <c r="V70" s="23">
        <v>9278.2999999999993</v>
      </c>
      <c r="W70" s="23">
        <v>9480.1</v>
      </c>
      <c r="X70" s="23">
        <v>8809</v>
      </c>
      <c r="Y70" s="23">
        <v>9819.2999999999993</v>
      </c>
      <c r="Z70" s="23">
        <v>10075</v>
      </c>
      <c r="AA70" s="23">
        <v>11286.6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2533.6</v>
      </c>
      <c r="E71" s="23">
        <v>2751.2</v>
      </c>
      <c r="F71" s="23">
        <v>2901.4</v>
      </c>
      <c r="G71" s="23">
        <v>2971.8</v>
      </c>
      <c r="H71" s="23">
        <v>3226.9</v>
      </c>
      <c r="I71" s="23">
        <v>3553.8</v>
      </c>
      <c r="J71" s="23">
        <v>3784.4</v>
      </c>
      <c r="K71" s="23">
        <v>3998.7</v>
      </c>
      <c r="L71" s="23">
        <v>3803.4</v>
      </c>
      <c r="M71" s="23">
        <v>3157.8</v>
      </c>
      <c r="N71" s="23">
        <v>3118.9</v>
      </c>
      <c r="O71" s="23">
        <v>3404.9</v>
      </c>
      <c r="P71" s="23">
        <v>3813.3</v>
      </c>
      <c r="Q71" s="23">
        <v>3745</v>
      </c>
      <c r="R71" s="23">
        <v>3874.7</v>
      </c>
      <c r="S71" s="23">
        <v>3856.5</v>
      </c>
      <c r="T71" s="23">
        <v>4311.3999999999996</v>
      </c>
      <c r="U71" s="23">
        <v>4155.3999999999996</v>
      </c>
      <c r="V71" s="23">
        <v>4643.7</v>
      </c>
      <c r="W71" s="23">
        <v>4654.8</v>
      </c>
      <c r="X71" s="23">
        <v>4244.3999999999996</v>
      </c>
      <c r="Y71" s="23">
        <v>4490.2</v>
      </c>
      <c r="Z71" s="23">
        <v>4295.1000000000004</v>
      </c>
      <c r="AA71" s="23">
        <v>5028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408.40000000000009</v>
      </c>
      <c r="E72" s="23">
        <v>422.10000000000036</v>
      </c>
      <c r="F72" s="23">
        <v>581.40000000000009</v>
      </c>
      <c r="G72" s="23">
        <v>647.89999999999964</v>
      </c>
      <c r="H72" s="23">
        <v>590.19999999999982</v>
      </c>
      <c r="I72" s="23">
        <v>593.30000000000018</v>
      </c>
      <c r="J72" s="23">
        <v>858.49999999999955</v>
      </c>
      <c r="K72" s="23">
        <v>938.60000000000036</v>
      </c>
      <c r="L72" s="23">
        <v>1070.7000000000003</v>
      </c>
      <c r="M72" s="23">
        <v>822.5</v>
      </c>
      <c r="N72" s="23">
        <v>785.79999999999973</v>
      </c>
      <c r="O72" s="23">
        <v>873.29999999999973</v>
      </c>
      <c r="P72" s="23">
        <v>650</v>
      </c>
      <c r="Q72" s="23">
        <v>884</v>
      </c>
      <c r="R72" s="23">
        <v>875.5</v>
      </c>
      <c r="S72" s="23">
        <v>888</v>
      </c>
      <c r="T72" s="23">
        <v>969.10000000000036</v>
      </c>
      <c r="U72" s="23">
        <v>1041.4000000000005</v>
      </c>
      <c r="V72" s="23">
        <v>1383.3000000000002</v>
      </c>
      <c r="W72" s="23">
        <v>1452.8999999999996</v>
      </c>
      <c r="X72" s="23">
        <v>1509.6000000000004</v>
      </c>
      <c r="Y72" s="23">
        <v>1507.6999999999998</v>
      </c>
      <c r="Z72" s="23">
        <v>1462</v>
      </c>
      <c r="AA72" s="23">
        <v>1540.6000000000004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2320.6999999999998</v>
      </c>
      <c r="E73" s="23">
        <v>2454.6999999999998</v>
      </c>
      <c r="F73" s="23">
        <v>2572</v>
      </c>
      <c r="G73" s="23">
        <v>2267.6999999999998</v>
      </c>
      <c r="H73" s="23">
        <v>2324.5</v>
      </c>
      <c r="I73" s="23">
        <v>2384.6999999999998</v>
      </c>
      <c r="J73" s="23">
        <v>2535.9</v>
      </c>
      <c r="K73" s="23">
        <v>2762.6</v>
      </c>
      <c r="L73" s="23">
        <v>2658</v>
      </c>
      <c r="M73" s="23">
        <v>2349.6</v>
      </c>
      <c r="N73" s="23">
        <v>2492.9</v>
      </c>
      <c r="O73" s="23">
        <v>2533.1</v>
      </c>
      <c r="P73" s="23">
        <v>2558.1</v>
      </c>
      <c r="Q73" s="23">
        <v>2600.1999999999998</v>
      </c>
      <c r="R73" s="23">
        <v>2703.2</v>
      </c>
      <c r="S73" s="23">
        <v>2633.9</v>
      </c>
      <c r="T73" s="23">
        <v>2731.2</v>
      </c>
      <c r="U73" s="23">
        <v>2834.6</v>
      </c>
      <c r="V73" s="23">
        <v>2846</v>
      </c>
      <c r="W73" s="23">
        <v>2794.8</v>
      </c>
      <c r="X73" s="23">
        <v>2578</v>
      </c>
      <c r="Y73" s="23">
        <v>2873.2</v>
      </c>
      <c r="Z73" s="23">
        <v>3086.2</v>
      </c>
      <c r="AA73" s="23">
        <v>3295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624.70000000000164</v>
      </c>
      <c r="E74" s="23">
        <v>747.80000000000018</v>
      </c>
      <c r="F74" s="23">
        <v>688.69999999999709</v>
      </c>
      <c r="G74" s="23">
        <v>757.20000000000164</v>
      </c>
      <c r="H74" s="23">
        <v>698.5</v>
      </c>
      <c r="I74" s="23">
        <v>817.39999999999873</v>
      </c>
      <c r="J74" s="23">
        <v>808.70000000000573</v>
      </c>
      <c r="K74" s="23">
        <v>1144.9999999999986</v>
      </c>
      <c r="L74" s="23">
        <v>1409.3000000000029</v>
      </c>
      <c r="M74" s="23">
        <v>1300.3000000000015</v>
      </c>
      <c r="N74" s="23">
        <v>1681.6999999999985</v>
      </c>
      <c r="O74" s="23">
        <v>1698.4999999999986</v>
      </c>
      <c r="P74" s="23">
        <v>1912.3999999999928</v>
      </c>
      <c r="Q74" s="23">
        <v>1871.3000000000075</v>
      </c>
      <c r="R74" s="23">
        <v>1869.6000000000031</v>
      </c>
      <c r="S74" s="23">
        <v>1874.2999999999897</v>
      </c>
      <c r="T74" s="23">
        <v>2064.2000000000089</v>
      </c>
      <c r="U74" s="23">
        <v>2058.3999999999928</v>
      </c>
      <c r="V74" s="23">
        <v>2133.5</v>
      </c>
      <c r="W74" s="23">
        <v>2283.099999999994</v>
      </c>
      <c r="X74" s="23">
        <v>2231.2999999999956</v>
      </c>
      <c r="Y74" s="23">
        <v>2277.5999999999958</v>
      </c>
      <c r="Z74" s="23">
        <v>4884.3</v>
      </c>
      <c r="AA74" s="23">
        <v>3682.1999999999971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39776.799999999996</v>
      </c>
      <c r="E75" s="30">
        <f t="shared" ref="E75:Y75" si="6">SUM(E56:E74)</f>
        <v>41388.099999999991</v>
      </c>
      <c r="F75" s="30">
        <f t="shared" si="6"/>
        <v>41166.199999999997</v>
      </c>
      <c r="G75" s="30">
        <f t="shared" si="6"/>
        <v>41408.400000000009</v>
      </c>
      <c r="H75" s="30">
        <f t="shared" si="6"/>
        <v>42821.4</v>
      </c>
      <c r="I75" s="30">
        <f t="shared" si="6"/>
        <v>45046.2</v>
      </c>
      <c r="J75" s="30">
        <f t="shared" si="6"/>
        <v>48607.8</v>
      </c>
      <c r="K75" s="30">
        <f t="shared" si="6"/>
        <v>52345.999999999993</v>
      </c>
      <c r="L75" s="30">
        <f t="shared" si="6"/>
        <v>52216.100000000006</v>
      </c>
      <c r="M75" s="30">
        <f t="shared" si="6"/>
        <v>48152.9</v>
      </c>
      <c r="N75" s="30">
        <f t="shared" si="6"/>
        <v>50031.600000000006</v>
      </c>
      <c r="O75" s="30">
        <f t="shared" si="6"/>
        <v>52834.200000000004</v>
      </c>
      <c r="P75" s="30">
        <f t="shared" si="6"/>
        <v>54632.2</v>
      </c>
      <c r="Q75" s="30">
        <f t="shared" si="6"/>
        <v>54944.3</v>
      </c>
      <c r="R75" s="30">
        <f t="shared" si="6"/>
        <v>56735.9</v>
      </c>
      <c r="S75" s="30">
        <f t="shared" si="6"/>
        <v>58985.2</v>
      </c>
      <c r="T75" s="30">
        <f t="shared" si="6"/>
        <v>62839.8</v>
      </c>
      <c r="U75" s="30">
        <f t="shared" si="6"/>
        <v>64066.19999999999</v>
      </c>
      <c r="V75" s="30">
        <f t="shared" si="6"/>
        <v>66380.499999999985</v>
      </c>
      <c r="W75" s="30">
        <f t="shared" si="6"/>
        <v>67674.899999999994</v>
      </c>
      <c r="X75" s="30">
        <f t="shared" si="6"/>
        <v>63122.6</v>
      </c>
      <c r="Y75" s="30">
        <f t="shared" si="6"/>
        <v>68975.89999999998</v>
      </c>
      <c r="Z75" s="30">
        <f t="shared" ref="Z75:AA75" si="7">SUM(Z56:Z74)</f>
        <v>74829.199999999983</v>
      </c>
      <c r="AA75" s="30">
        <f t="shared" si="7"/>
        <v>76173.900000000009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347754.02611979441</v>
      </c>
      <c r="E2" s="19">
        <v>352331.43266188155</v>
      </c>
      <c r="F2" s="19">
        <v>357563.29763358779</v>
      </c>
      <c r="G2" s="19">
        <v>361644.57553143369</v>
      </c>
      <c r="H2" s="19">
        <v>370923.37580121279</v>
      </c>
      <c r="I2" s="19">
        <v>379526.30403989297</v>
      </c>
      <c r="J2" s="19">
        <v>391936.65862439363</v>
      </c>
      <c r="K2" s="19">
        <v>406733.18310574495</v>
      </c>
      <c r="L2" s="19">
        <v>412645.70063867373</v>
      </c>
      <c r="M2" s="19">
        <v>397842.77506817289</v>
      </c>
      <c r="N2" s="19">
        <v>405043.38811848417</v>
      </c>
      <c r="O2" s="19">
        <v>416899.41621973022</v>
      </c>
      <c r="P2" s="19">
        <v>419516.40188483009</v>
      </c>
      <c r="Q2" s="19">
        <v>418464.8322342335</v>
      </c>
      <c r="R2" s="19">
        <v>421628.40873986029</v>
      </c>
      <c r="S2" s="19">
        <v>427125.45809999999</v>
      </c>
      <c r="T2" s="19">
        <v>436167.62575259048</v>
      </c>
      <c r="U2" s="19">
        <v>446078.52709905838</v>
      </c>
      <c r="V2" s="19">
        <v>457161.47759126389</v>
      </c>
      <c r="W2" s="19">
        <v>465182.38097390125</v>
      </c>
      <c r="X2" s="19">
        <v>435791.83409503888</v>
      </c>
      <c r="Y2" s="19">
        <v>457248.01530708832</v>
      </c>
      <c r="Z2" s="19">
        <v>481621.4441983829</v>
      </c>
      <c r="AA2" s="19">
        <v>477837.3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193476.8065099266</v>
      </c>
      <c r="E3" s="23">
        <v>196523.2350514663</v>
      </c>
      <c r="F3" s="23">
        <v>197336.18226732267</v>
      </c>
      <c r="G3" s="23">
        <v>201810.49734274208</v>
      </c>
      <c r="H3" s="23">
        <v>205974.00104760131</v>
      </c>
      <c r="I3" s="23">
        <v>210467.8769290442</v>
      </c>
      <c r="J3" s="23">
        <v>214570.12271427043</v>
      </c>
      <c r="K3" s="23">
        <v>217154.6643321985</v>
      </c>
      <c r="L3" s="23">
        <v>219404.43493753049</v>
      </c>
      <c r="M3" s="23">
        <v>221293.60928548806</v>
      </c>
      <c r="N3" s="23">
        <v>224091.1773342377</v>
      </c>
      <c r="O3" s="23">
        <v>226623.50320284697</v>
      </c>
      <c r="P3" s="23">
        <v>228105.70542602974</v>
      </c>
      <c r="Q3" s="23">
        <v>227418.20647480528</v>
      </c>
      <c r="R3" s="23">
        <v>227447.62767820942</v>
      </c>
      <c r="S3" s="23">
        <v>230049.55831999998</v>
      </c>
      <c r="T3" s="23">
        <v>234224.73517544812</v>
      </c>
      <c r="U3" s="23">
        <v>238624.43800635118</v>
      </c>
      <c r="V3" s="23">
        <v>240646.66553946471</v>
      </c>
      <c r="W3" s="23">
        <v>242294.86074605319</v>
      </c>
      <c r="X3" s="23">
        <v>223940.3003899804</v>
      </c>
      <c r="Y3" s="23">
        <v>234952.27082466579</v>
      </c>
      <c r="Z3" s="23">
        <v>247562.27924376243</v>
      </c>
      <c r="AA3" s="23">
        <v>246995.1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307235.09972143039</v>
      </c>
      <c r="E4" s="27">
        <v>311799.95307753893</v>
      </c>
      <c r="F4" s="27">
        <v>316117.8764248509</v>
      </c>
      <c r="G4" s="27">
        <v>320261.80805651867</v>
      </c>
      <c r="H4" s="27">
        <v>329021.0336367428</v>
      </c>
      <c r="I4" s="27">
        <v>337118.7901732091</v>
      </c>
      <c r="J4" s="27">
        <v>349086.08192219952</v>
      </c>
      <c r="K4" s="27">
        <v>362603.70443582279</v>
      </c>
      <c r="L4" s="27">
        <v>368741.11857255967</v>
      </c>
      <c r="M4" s="27">
        <v>353973.06543715385</v>
      </c>
      <c r="N4" s="27">
        <v>360598.46485433041</v>
      </c>
      <c r="O4" s="27">
        <v>372338.57204607822</v>
      </c>
      <c r="P4" s="27">
        <v>374025.61759359657</v>
      </c>
      <c r="Q4" s="27">
        <v>373536.28828838252</v>
      </c>
      <c r="R4" s="27">
        <v>376315.76023005461</v>
      </c>
      <c r="S4" s="27">
        <v>380369.11436000001</v>
      </c>
      <c r="T4" s="27">
        <v>388282.80534774589</v>
      </c>
      <c r="U4" s="27">
        <v>397594.67444530944</v>
      </c>
      <c r="V4" s="27">
        <v>408442.77538185078</v>
      </c>
      <c r="W4" s="27">
        <v>415742.43168102432</v>
      </c>
      <c r="X4" s="27">
        <v>390173.9525293574</v>
      </c>
      <c r="Y4" s="27">
        <v>407720.36535144458</v>
      </c>
      <c r="Z4" s="27">
        <v>434115.97067028284</v>
      </c>
      <c r="AA4" s="27">
        <v>429634.3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5756.5960546773767</v>
      </c>
      <c r="E6" s="19">
        <v>5962.2890268545934</v>
      </c>
      <c r="F6" s="19">
        <v>5644.6808271055088</v>
      </c>
      <c r="G6" s="19">
        <v>5332.9130472604356</v>
      </c>
      <c r="H6" s="19">
        <v>5515.6770835889001</v>
      </c>
      <c r="I6" s="19">
        <v>4866.2338081968001</v>
      </c>
      <c r="J6" s="19">
        <v>5196.977886356688</v>
      </c>
      <c r="K6" s="19">
        <v>5946.1469819596832</v>
      </c>
      <c r="L6" s="19">
        <v>5723.5924329826948</v>
      </c>
      <c r="M6" s="19">
        <v>4678.8965123117723</v>
      </c>
      <c r="N6" s="19">
        <v>5240.0939695228026</v>
      </c>
      <c r="O6" s="19">
        <v>6114.9744606306467</v>
      </c>
      <c r="P6" s="19">
        <v>5972.4824818759698</v>
      </c>
      <c r="Q6" s="19">
        <v>5373.1507639375468</v>
      </c>
      <c r="R6" s="19">
        <v>5399.307562302185</v>
      </c>
      <c r="S6" s="19">
        <v>4897.4875700000002</v>
      </c>
      <c r="T6" s="19">
        <v>5023.8199615142948</v>
      </c>
      <c r="U6" s="19">
        <v>5368.9697547683927</v>
      </c>
      <c r="V6" s="19">
        <v>5085.917326183785</v>
      </c>
      <c r="W6" s="19">
        <v>4871.9788589182317</v>
      </c>
      <c r="X6" s="19">
        <v>4668.7289555817933</v>
      </c>
      <c r="Y6" s="19">
        <v>5551.969145285324</v>
      </c>
      <c r="Z6" s="19">
        <v>6521.8641913125839</v>
      </c>
      <c r="AA6" s="19">
        <v>5933.6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75968.869221300847</v>
      </c>
      <c r="E7" s="23">
        <v>77630.832784718412</v>
      </c>
      <c r="F7" s="23">
        <v>76525.359603432225</v>
      </c>
      <c r="G7" s="23">
        <v>76602.286594837773</v>
      </c>
      <c r="H7" s="23">
        <v>78837.617918741875</v>
      </c>
      <c r="I7" s="23">
        <v>81045.603847355029</v>
      </c>
      <c r="J7" s="23">
        <v>85136.340283167534</v>
      </c>
      <c r="K7" s="23">
        <v>88557.495550362073</v>
      </c>
      <c r="L7" s="23">
        <v>87931.807403008715</v>
      </c>
      <c r="M7" s="23">
        <v>80314.990889621273</v>
      </c>
      <c r="N7" s="23">
        <v>82386.924990641026</v>
      </c>
      <c r="O7" s="23">
        <v>85430.672885639593</v>
      </c>
      <c r="P7" s="23">
        <v>86326.470980292113</v>
      </c>
      <c r="Q7" s="23">
        <v>85529.359061104551</v>
      </c>
      <c r="R7" s="23">
        <v>85425.180243575174</v>
      </c>
      <c r="S7" s="23">
        <v>85673.108820000009</v>
      </c>
      <c r="T7" s="23">
        <v>89115.53109782438</v>
      </c>
      <c r="U7" s="23">
        <v>90023.925043791358</v>
      </c>
      <c r="V7" s="23">
        <v>91512.290665443201</v>
      </c>
      <c r="W7" s="23">
        <v>92047.953575295382</v>
      </c>
      <c r="X7" s="23">
        <v>84547.224553117878</v>
      </c>
      <c r="Y7" s="23">
        <v>89940.505610356471</v>
      </c>
      <c r="Z7" s="23">
        <v>96701.19547548324</v>
      </c>
      <c r="AA7" s="23">
        <v>96275.1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22604.018657683337</v>
      </c>
      <c r="E8" s="23">
        <v>21631.136859296159</v>
      </c>
      <c r="F8" s="23">
        <v>21563.313913842128</v>
      </c>
      <c r="G8" s="23">
        <v>22737.064571449875</v>
      </c>
      <c r="H8" s="23">
        <v>23169.621506906449</v>
      </c>
      <c r="I8" s="23">
        <v>22996.345559265843</v>
      </c>
      <c r="J8" s="23">
        <v>22877.272425268704</v>
      </c>
      <c r="K8" s="23">
        <v>24375.772544640291</v>
      </c>
      <c r="L8" s="23">
        <v>25347.095181540553</v>
      </c>
      <c r="M8" s="23">
        <v>24184.7634907953</v>
      </c>
      <c r="N8" s="23">
        <v>23153.339422166431</v>
      </c>
      <c r="O8" s="23">
        <v>22769.871147942853</v>
      </c>
      <c r="P8" s="23">
        <v>23249.726433446012</v>
      </c>
      <c r="Q8" s="23">
        <v>23670.63851270092</v>
      </c>
      <c r="R8" s="23">
        <v>23722.819720574833</v>
      </c>
      <c r="S8" s="23">
        <v>23592.740655000001</v>
      </c>
      <c r="T8" s="23">
        <v>24154.795780317312</v>
      </c>
      <c r="U8" s="23">
        <v>25428.172669326585</v>
      </c>
      <c r="V8" s="23">
        <v>26424.514346886885</v>
      </c>
      <c r="W8" s="23">
        <v>27048.634496069291</v>
      </c>
      <c r="X8" s="23">
        <v>27245.38544898725</v>
      </c>
      <c r="Y8" s="23">
        <v>27588.564323702747</v>
      </c>
      <c r="Z8" s="23">
        <v>28478.846489302166</v>
      </c>
      <c r="AA8" s="23">
        <v>28395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69465.996689556865</v>
      </c>
      <c r="E9" s="23">
        <v>70117.632658897084</v>
      </c>
      <c r="F9" s="23">
        <v>71918.138320626051</v>
      </c>
      <c r="G9" s="23">
        <v>72319.776957586146</v>
      </c>
      <c r="H9" s="23">
        <v>73727.358534311439</v>
      </c>
      <c r="I9" s="23">
        <v>75674.281374621642</v>
      </c>
      <c r="J9" s="23">
        <v>78166.210011994641</v>
      </c>
      <c r="K9" s="23">
        <v>80802.196814450683</v>
      </c>
      <c r="L9" s="23">
        <v>82217.277112317621</v>
      </c>
      <c r="M9" s="23">
        <v>79581.664641521565</v>
      </c>
      <c r="N9" s="23">
        <v>81637.237453480426</v>
      </c>
      <c r="O9" s="23">
        <v>84631.14876723323</v>
      </c>
      <c r="P9" s="23">
        <v>84153.026027382701</v>
      </c>
      <c r="Q9" s="23">
        <v>82020.440124237895</v>
      </c>
      <c r="R9" s="23">
        <v>83125.332698276135</v>
      </c>
      <c r="S9" s="23">
        <v>84351.280405000012</v>
      </c>
      <c r="T9" s="23">
        <v>84751.58219447064</v>
      </c>
      <c r="U9" s="23">
        <v>85493.94818022578</v>
      </c>
      <c r="V9" s="23">
        <v>89175.317337653643</v>
      </c>
      <c r="W9" s="23">
        <v>89770.073337099282</v>
      </c>
      <c r="X9" s="23">
        <v>78212.410051529878</v>
      </c>
      <c r="Y9" s="23">
        <v>80823.004231349711</v>
      </c>
      <c r="Z9" s="23">
        <v>94568.809199707262</v>
      </c>
      <c r="AA9" s="23">
        <v>88840.6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10441.220529930033</v>
      </c>
      <c r="E10" s="23">
        <v>11846.300636732203</v>
      </c>
      <c r="F10" s="23">
        <v>12364.463954102815</v>
      </c>
      <c r="G10" s="23">
        <v>12531.723384160359</v>
      </c>
      <c r="H10" s="23">
        <v>12084.979483058956</v>
      </c>
      <c r="I10" s="23">
        <v>12340.012281987219</v>
      </c>
      <c r="J10" s="23">
        <v>12475.956119617113</v>
      </c>
      <c r="K10" s="23">
        <v>12419.344705909441</v>
      </c>
      <c r="L10" s="23">
        <v>12535.633112770051</v>
      </c>
      <c r="M10" s="23">
        <v>11924.226522187821</v>
      </c>
      <c r="N10" s="23">
        <v>11866.262194182025</v>
      </c>
      <c r="O10" s="23">
        <v>12678.323350435507</v>
      </c>
      <c r="P10" s="23">
        <v>12661.018799030551</v>
      </c>
      <c r="Q10" s="23">
        <v>12969.371798625854</v>
      </c>
      <c r="R10" s="23">
        <v>13421.846674656095</v>
      </c>
      <c r="S10" s="23">
        <v>13554.656245000002</v>
      </c>
      <c r="T10" s="23">
        <v>14293.723982877789</v>
      </c>
      <c r="U10" s="23">
        <v>14459.135509926042</v>
      </c>
      <c r="V10" s="23">
        <v>15431.251099195197</v>
      </c>
      <c r="W10" s="23">
        <v>16134.916268888575</v>
      </c>
      <c r="X10" s="23">
        <v>15700.91703048775</v>
      </c>
      <c r="Y10" s="23">
        <v>17180.210718520913</v>
      </c>
      <c r="Z10" s="23">
        <v>17100.694588660725</v>
      </c>
      <c r="AA10" s="23">
        <v>16885.900000000001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16950.905409432497</v>
      </c>
      <c r="E11" s="23">
        <v>16013.141186787487</v>
      </c>
      <c r="F11" s="23">
        <v>16147.954643818728</v>
      </c>
      <c r="G11" s="23">
        <v>15875.683884477252</v>
      </c>
      <c r="H11" s="23">
        <v>16180.773215731495</v>
      </c>
      <c r="I11" s="23">
        <v>16566.878123048096</v>
      </c>
      <c r="J11" s="23">
        <v>17644.669559491052</v>
      </c>
      <c r="K11" s="23">
        <v>18942.408319038463</v>
      </c>
      <c r="L11" s="23">
        <v>18894.708273950913</v>
      </c>
      <c r="M11" s="23">
        <v>16610.346555034008</v>
      </c>
      <c r="N11" s="23">
        <v>16560.113893109596</v>
      </c>
      <c r="O11" s="23">
        <v>17562.101278866699</v>
      </c>
      <c r="P11" s="23">
        <v>16370.100484724791</v>
      </c>
      <c r="Q11" s="23">
        <v>16837.521924641562</v>
      </c>
      <c r="R11" s="23">
        <v>16629.657002529988</v>
      </c>
      <c r="S11" s="23">
        <v>16899.724630000001</v>
      </c>
      <c r="T11" s="23">
        <v>16275.672331526863</v>
      </c>
      <c r="U11" s="23">
        <v>16768.406490852474</v>
      </c>
      <c r="V11" s="23">
        <v>17011.768260977613</v>
      </c>
      <c r="W11" s="23">
        <v>17486.652619686483</v>
      </c>
      <c r="X11" s="23">
        <v>16796.17263424769</v>
      </c>
      <c r="Y11" s="23">
        <v>18817.224571474773</v>
      </c>
      <c r="Z11" s="23">
        <v>19618.729777433382</v>
      </c>
      <c r="AA11" s="23">
        <v>21769.3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22969.614654055451</v>
      </c>
      <c r="E12" s="23">
        <v>23470.337957373253</v>
      </c>
      <c r="F12" s="23">
        <v>24454.561045268114</v>
      </c>
      <c r="G12" s="23">
        <v>25354.983496750305</v>
      </c>
      <c r="H12" s="23">
        <v>27455.224435094089</v>
      </c>
      <c r="I12" s="23">
        <v>29304.615774996397</v>
      </c>
      <c r="J12" s="23">
        <v>30262.978386133258</v>
      </c>
      <c r="K12" s="23">
        <v>30602.235001899589</v>
      </c>
      <c r="L12" s="23">
        <v>30634.99680466011</v>
      </c>
      <c r="M12" s="23">
        <v>30763.168075945712</v>
      </c>
      <c r="N12" s="23">
        <v>31851.865087754064</v>
      </c>
      <c r="O12" s="23">
        <v>33053.560016704447</v>
      </c>
      <c r="P12" s="23">
        <v>33848.813588239049</v>
      </c>
      <c r="Q12" s="23">
        <v>34923.581695826317</v>
      </c>
      <c r="R12" s="23">
        <v>35538.64551516455</v>
      </c>
      <c r="S12" s="23">
        <v>36222.154565000004</v>
      </c>
      <c r="T12" s="23">
        <v>36990.633659283696</v>
      </c>
      <c r="U12" s="23">
        <v>38678.461590112885</v>
      </c>
      <c r="V12" s="23">
        <v>39701.624295081332</v>
      </c>
      <c r="W12" s="23">
        <v>40385.200762604152</v>
      </c>
      <c r="X12" s="23">
        <v>40507.499725418049</v>
      </c>
      <c r="Y12" s="23">
        <v>39881.013358847202</v>
      </c>
      <c r="Z12" s="23">
        <v>39327.0275388523</v>
      </c>
      <c r="AA12" s="23">
        <v>40253.1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20987.870251360455</v>
      </c>
      <c r="E13" s="23">
        <v>22373.181316167404</v>
      </c>
      <c r="F13" s="23">
        <v>23697.453404544427</v>
      </c>
      <c r="G13" s="23">
        <v>24440.392020529645</v>
      </c>
      <c r="H13" s="23">
        <v>25384.829957800728</v>
      </c>
      <c r="I13" s="23">
        <v>26986.230234709077</v>
      </c>
      <c r="J13" s="23">
        <v>28658.529416260968</v>
      </c>
      <c r="K13" s="23">
        <v>30742.897163283869</v>
      </c>
      <c r="L13" s="23">
        <v>32774.795153263207</v>
      </c>
      <c r="M13" s="23">
        <v>31153.516012517059</v>
      </c>
      <c r="N13" s="23">
        <v>31884.256441170637</v>
      </c>
      <c r="O13" s="23">
        <v>33555.163633109521</v>
      </c>
      <c r="P13" s="23">
        <v>34329.465224185216</v>
      </c>
      <c r="Q13" s="23">
        <v>34940.862496470516</v>
      </c>
      <c r="R13" s="23">
        <v>35449.913662948507</v>
      </c>
      <c r="S13" s="23">
        <v>36245.689345000006</v>
      </c>
      <c r="T13" s="23">
        <v>37499.824531691804</v>
      </c>
      <c r="U13" s="23">
        <v>39194.015229661352</v>
      </c>
      <c r="V13" s="23">
        <v>40334.955912714337</v>
      </c>
      <c r="W13" s="23">
        <v>42275.557317704661</v>
      </c>
      <c r="X13" s="23">
        <v>39162.11931958593</v>
      </c>
      <c r="Y13" s="23">
        <v>41381.159538055195</v>
      </c>
      <c r="Z13" s="23">
        <v>43652.697696844465</v>
      </c>
      <c r="AA13" s="23">
        <v>42651.1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53965.634756413558</v>
      </c>
      <c r="E14" s="23">
        <v>54624.272612889661</v>
      </c>
      <c r="F14" s="23">
        <v>55469.514135275916</v>
      </c>
      <c r="G14" s="23">
        <v>56613.663528812365</v>
      </c>
      <c r="H14" s="23">
        <v>57803.503428690594</v>
      </c>
      <c r="I14" s="23">
        <v>58182.334640609202</v>
      </c>
      <c r="J14" s="23">
        <v>59536.848356029055</v>
      </c>
      <c r="K14" s="23">
        <v>60665.024850047834</v>
      </c>
      <c r="L14" s="23">
        <v>62856.576490216001</v>
      </c>
      <c r="M14" s="23">
        <v>64917.501215087068</v>
      </c>
      <c r="N14" s="23">
        <v>66082.496036202676</v>
      </c>
      <c r="O14" s="23">
        <v>66460.578131270988</v>
      </c>
      <c r="P14" s="23">
        <v>67044.648888109412</v>
      </c>
      <c r="Q14" s="23">
        <v>67176.625116342271</v>
      </c>
      <c r="R14" s="23">
        <v>67531.350797406485</v>
      </c>
      <c r="S14" s="23">
        <v>68813.818944999992</v>
      </c>
      <c r="T14" s="23">
        <v>70173.950194392062</v>
      </c>
      <c r="U14" s="23">
        <v>71785.971399377158</v>
      </c>
      <c r="V14" s="23">
        <v>73161.109193095108</v>
      </c>
      <c r="W14" s="23">
        <v>74855.597377959857</v>
      </c>
      <c r="X14" s="23">
        <v>74355.813298003763</v>
      </c>
      <c r="Y14" s="23">
        <v>77323.150486919665</v>
      </c>
      <c r="Z14" s="23">
        <v>77325.840557062256</v>
      </c>
      <c r="AA14" s="23">
        <v>77696.200000000012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8124.3734970199521</v>
      </c>
      <c r="E15" s="23">
        <v>8130.8280378226546</v>
      </c>
      <c r="F15" s="23">
        <v>8332.4365768350071</v>
      </c>
      <c r="G15" s="23">
        <v>8453.3205706545377</v>
      </c>
      <c r="H15" s="23">
        <v>8861.4480728182734</v>
      </c>
      <c r="I15" s="23">
        <v>9156.2545284197386</v>
      </c>
      <c r="J15" s="23">
        <v>9130.2994778804768</v>
      </c>
      <c r="K15" s="23">
        <v>9550.1825042308974</v>
      </c>
      <c r="L15" s="23">
        <v>9824.6366078497922</v>
      </c>
      <c r="M15" s="23">
        <v>9843.9915221323372</v>
      </c>
      <c r="N15" s="23">
        <v>9935.8753661007231</v>
      </c>
      <c r="O15" s="23">
        <v>10082.178374244773</v>
      </c>
      <c r="P15" s="23">
        <v>10069.864686310777</v>
      </c>
      <c r="Q15" s="23">
        <v>10094.736794495047</v>
      </c>
      <c r="R15" s="23">
        <v>10071.706352620635</v>
      </c>
      <c r="S15" s="23">
        <v>10118.45318</v>
      </c>
      <c r="T15" s="23">
        <v>10003.271613847</v>
      </c>
      <c r="U15" s="23">
        <v>10393.668577267419</v>
      </c>
      <c r="V15" s="23">
        <v>10604.026944619678</v>
      </c>
      <c r="W15" s="23">
        <v>10865.867066798473</v>
      </c>
      <c r="X15" s="23">
        <v>8977.6815123973738</v>
      </c>
      <c r="Y15" s="23">
        <v>9233.5633669325853</v>
      </c>
      <c r="Z15" s="23">
        <v>10820.265155624435</v>
      </c>
      <c r="AA15" s="23">
        <v>10934.4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307235.09972143034</v>
      </c>
      <c r="E16" s="30">
        <f t="shared" ref="E16:S16" si="0">SUM(E6:E15)</f>
        <v>311799.95307753893</v>
      </c>
      <c r="F16" s="30">
        <f t="shared" si="0"/>
        <v>316117.8764248509</v>
      </c>
      <c r="G16" s="30">
        <f t="shared" si="0"/>
        <v>320261.80805651867</v>
      </c>
      <c r="H16" s="30">
        <f t="shared" si="0"/>
        <v>329021.03363674285</v>
      </c>
      <c r="I16" s="30">
        <f t="shared" si="0"/>
        <v>337118.79017320916</v>
      </c>
      <c r="J16" s="30">
        <f t="shared" si="0"/>
        <v>349086.08192219946</v>
      </c>
      <c r="K16" s="30">
        <f t="shared" si="0"/>
        <v>362603.70443582279</v>
      </c>
      <c r="L16" s="30">
        <f t="shared" si="0"/>
        <v>368741.11857255967</v>
      </c>
      <c r="M16" s="30">
        <f t="shared" si="0"/>
        <v>353973.06543715397</v>
      </c>
      <c r="N16" s="30">
        <f t="shared" si="0"/>
        <v>360598.46485433046</v>
      </c>
      <c r="O16" s="30">
        <f t="shared" si="0"/>
        <v>372338.57204607828</v>
      </c>
      <c r="P16" s="30">
        <f t="shared" si="0"/>
        <v>374025.61759359657</v>
      </c>
      <c r="Q16" s="30">
        <f t="shared" si="0"/>
        <v>373536.28828838246</v>
      </c>
      <c r="R16" s="30">
        <f t="shared" si="0"/>
        <v>376315.76023005461</v>
      </c>
      <c r="S16" s="30">
        <f t="shared" si="0"/>
        <v>380369.11436000007</v>
      </c>
      <c r="T16" s="30">
        <f t="shared" ref="T16:Y16" si="1">SUM(T6:T15)</f>
        <v>388282.80534774583</v>
      </c>
      <c r="U16" s="30">
        <f t="shared" si="1"/>
        <v>397594.6744453095</v>
      </c>
      <c r="V16" s="30">
        <f t="shared" si="1"/>
        <v>408442.77538185084</v>
      </c>
      <c r="W16" s="30">
        <f t="shared" si="1"/>
        <v>415742.43168102443</v>
      </c>
      <c r="X16" s="30">
        <f t="shared" si="1"/>
        <v>390173.95252935734</v>
      </c>
      <c r="Y16" s="30">
        <f t="shared" si="1"/>
        <v>407720.36535144458</v>
      </c>
      <c r="Z16" s="30">
        <f t="shared" ref="Z16:AA16" si="2">SUM(Z6:Z15)</f>
        <v>434115.97067028278</v>
      </c>
      <c r="AA16" s="30">
        <f t="shared" si="2"/>
        <v>429634.3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5756.5960546773767</v>
      </c>
      <c r="E18" s="19">
        <v>5962.2890268545934</v>
      </c>
      <c r="F18" s="19">
        <v>5644.6808271055088</v>
      </c>
      <c r="G18" s="19">
        <v>5332.9130472604356</v>
      </c>
      <c r="H18" s="19">
        <v>5515.6770835889001</v>
      </c>
      <c r="I18" s="19">
        <v>4866.2338081968001</v>
      </c>
      <c r="J18" s="19">
        <v>5196.977886356688</v>
      </c>
      <c r="K18" s="19">
        <v>5946.1469819596832</v>
      </c>
      <c r="L18" s="19">
        <v>5723.5924329826948</v>
      </c>
      <c r="M18" s="19">
        <v>4678.8965123117723</v>
      </c>
      <c r="N18" s="19">
        <v>5240.0939695228026</v>
      </c>
      <c r="O18" s="19">
        <v>6114.9744606306467</v>
      </c>
      <c r="P18" s="19">
        <v>5972.4824818759698</v>
      </c>
      <c r="Q18" s="19">
        <v>5373.1507639375468</v>
      </c>
      <c r="R18" s="19">
        <v>5399.307562302185</v>
      </c>
      <c r="S18" s="19">
        <v>4897.4875700000002</v>
      </c>
      <c r="T18" s="19">
        <v>5023.8199615142948</v>
      </c>
      <c r="U18" s="19">
        <v>5368.9697547683927</v>
      </c>
      <c r="V18" s="19">
        <v>5085.917326183785</v>
      </c>
      <c r="W18" s="19">
        <v>4871.9788589182317</v>
      </c>
      <c r="X18" s="19">
        <v>4668.7289555817933</v>
      </c>
      <c r="Y18" s="19">
        <v>5551.969145285324</v>
      </c>
      <c r="Z18" s="19">
        <v>6521.8641913125839</v>
      </c>
      <c r="AA18" s="19">
        <v>5933.6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918.04495983415347</v>
      </c>
      <c r="E19" s="23">
        <v>941.87461077996511</v>
      </c>
      <c r="F19" s="23">
        <v>988.30589294729623</v>
      </c>
      <c r="G19" s="23">
        <v>963.90692067752786</v>
      </c>
      <c r="H19" s="23">
        <v>1366.7490615569568</v>
      </c>
      <c r="I19" s="23">
        <v>1469.403521837314</v>
      </c>
      <c r="J19" s="23">
        <v>1526.4438671854614</v>
      </c>
      <c r="K19" s="23">
        <v>1442.3636384568445</v>
      </c>
      <c r="L19" s="23">
        <v>1902.4834973419299</v>
      </c>
      <c r="M19" s="23">
        <v>1491.3637296878424</v>
      </c>
      <c r="N19" s="23">
        <v>1633.1966225115318</v>
      </c>
      <c r="O19" s="23">
        <v>2063.3099489104147</v>
      </c>
      <c r="P19" s="23">
        <v>2021.8773412420012</v>
      </c>
      <c r="Q19" s="23">
        <v>1947.2320362255939</v>
      </c>
      <c r="R19" s="23">
        <v>1792.9732507758956</v>
      </c>
      <c r="S19" s="23">
        <v>1485.6955800000001</v>
      </c>
      <c r="T19" s="23">
        <v>1312.8594977222747</v>
      </c>
      <c r="U19" s="23">
        <v>1461.491990076127</v>
      </c>
      <c r="V19" s="23">
        <v>1399.824907391124</v>
      </c>
      <c r="W19" s="23">
        <v>1248.5029665952272</v>
      </c>
      <c r="X19" s="23">
        <v>869.31500847781945</v>
      </c>
      <c r="Y19" s="23">
        <v>1120.0373549510723</v>
      </c>
      <c r="Z19" s="23">
        <v>1674.3013455653747</v>
      </c>
      <c r="AA19" s="23">
        <v>1252.3733062060021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64517.474838040944</v>
      </c>
      <c r="E20" s="23">
        <v>65848.649625713297</v>
      </c>
      <c r="F20" s="23">
        <v>64837.205241438314</v>
      </c>
      <c r="G20" s="23">
        <v>64418.727137158414</v>
      </c>
      <c r="H20" s="23">
        <v>65759.672207365249</v>
      </c>
      <c r="I20" s="23">
        <v>67735.412326430596</v>
      </c>
      <c r="J20" s="23">
        <v>71555.862590841745</v>
      </c>
      <c r="K20" s="23">
        <v>75441.613727679854</v>
      </c>
      <c r="L20" s="23">
        <v>73935.895017531962</v>
      </c>
      <c r="M20" s="23">
        <v>66891.050373403457</v>
      </c>
      <c r="N20" s="23">
        <v>68961.329259430524</v>
      </c>
      <c r="O20" s="23">
        <v>71742.89602021889</v>
      </c>
      <c r="P20" s="23">
        <v>72699.491432276714</v>
      </c>
      <c r="Q20" s="23">
        <v>71930.416275373078</v>
      </c>
      <c r="R20" s="23">
        <v>72749.732574337555</v>
      </c>
      <c r="S20" s="23">
        <v>73840.622620000009</v>
      </c>
      <c r="T20" s="23">
        <v>77232.567183082007</v>
      </c>
      <c r="U20" s="23">
        <v>78047.170562475672</v>
      </c>
      <c r="V20" s="23">
        <v>79427.29915792089</v>
      </c>
      <c r="W20" s="23">
        <v>79761.637777150114</v>
      </c>
      <c r="X20" s="23">
        <v>72324.909900509811</v>
      </c>
      <c r="Y20" s="23">
        <v>77572.481327260306</v>
      </c>
      <c r="Z20" s="23">
        <v>80653.436669680144</v>
      </c>
      <c r="AA20" s="23">
        <v>76173.899999999994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7262.9359030836977</v>
      </c>
      <c r="E21" s="23">
        <v>7604.5237789611465</v>
      </c>
      <c r="F21" s="23">
        <v>7343.2309088087231</v>
      </c>
      <c r="G21" s="23">
        <v>7692.5870583703036</v>
      </c>
      <c r="H21" s="23">
        <v>7947.7225766088468</v>
      </c>
      <c r="I21" s="23">
        <v>8202.1647467928724</v>
      </c>
      <c r="J21" s="23">
        <v>8299.9741224595909</v>
      </c>
      <c r="K21" s="23">
        <v>7808.479409631479</v>
      </c>
      <c r="L21" s="23">
        <v>8448.1821513403484</v>
      </c>
      <c r="M21" s="23">
        <v>8284.7366652927467</v>
      </c>
      <c r="N21" s="23">
        <v>8050.4781104760759</v>
      </c>
      <c r="O21" s="23">
        <v>7846.5525105487541</v>
      </c>
      <c r="P21" s="23">
        <v>7671.7962667687143</v>
      </c>
      <c r="Q21" s="23">
        <v>7717.5793846668666</v>
      </c>
      <c r="R21" s="23">
        <v>6869.5379344252196</v>
      </c>
      <c r="S21" s="23">
        <v>6413.3527350000013</v>
      </c>
      <c r="T21" s="23">
        <v>6556.8003504948156</v>
      </c>
      <c r="U21" s="23">
        <v>6411.0976879000027</v>
      </c>
      <c r="V21" s="23">
        <v>6488.9225192519052</v>
      </c>
      <c r="W21" s="23">
        <v>6786.9153996431196</v>
      </c>
      <c r="X21" s="23">
        <v>7278.321862202195</v>
      </c>
      <c r="Y21" s="23">
        <v>7068.3408131181368</v>
      </c>
      <c r="Z21" s="23">
        <v>9778.632326759478</v>
      </c>
      <c r="AA21" s="23">
        <v>14124.482675121084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3270.413520342056</v>
      </c>
      <c r="E22" s="23">
        <v>3235.7847692640084</v>
      </c>
      <c r="F22" s="23">
        <v>3356.6175602378917</v>
      </c>
      <c r="G22" s="23">
        <v>3527.0654786315213</v>
      </c>
      <c r="H22" s="23">
        <v>3763.4740732108244</v>
      </c>
      <c r="I22" s="23">
        <v>3638.623252294241</v>
      </c>
      <c r="J22" s="23">
        <v>3754.0597026807268</v>
      </c>
      <c r="K22" s="23">
        <v>3865.038774593891</v>
      </c>
      <c r="L22" s="23">
        <v>3645.2467367944814</v>
      </c>
      <c r="M22" s="23">
        <v>3647.8401212372155</v>
      </c>
      <c r="N22" s="23">
        <v>3741.9209982228931</v>
      </c>
      <c r="O22" s="23">
        <v>3777.9144059615378</v>
      </c>
      <c r="P22" s="23">
        <v>3933.3059400046777</v>
      </c>
      <c r="Q22" s="23">
        <v>3934.1313648390023</v>
      </c>
      <c r="R22" s="23">
        <v>4012.9364840365038</v>
      </c>
      <c r="S22" s="23">
        <v>3933.4378850000007</v>
      </c>
      <c r="T22" s="23">
        <v>4013.3040665252906</v>
      </c>
      <c r="U22" s="23">
        <v>4104.1648033395613</v>
      </c>
      <c r="V22" s="23">
        <v>4196.2440808792808</v>
      </c>
      <c r="W22" s="23">
        <v>4250.8974319069257</v>
      </c>
      <c r="X22" s="23">
        <v>4074.6777819280637</v>
      </c>
      <c r="Y22" s="23">
        <v>4179.6461150269624</v>
      </c>
      <c r="Z22" s="23">
        <v>4594.8251334782462</v>
      </c>
      <c r="AA22" s="23">
        <v>4724.3440186729276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22604.018657683337</v>
      </c>
      <c r="E23" s="23">
        <v>21631.136859296159</v>
      </c>
      <c r="F23" s="23">
        <v>21563.313913842128</v>
      </c>
      <c r="G23" s="23">
        <v>22737.064571449875</v>
      </c>
      <c r="H23" s="23">
        <v>23169.621506906449</v>
      </c>
      <c r="I23" s="23">
        <v>22996.345559265843</v>
      </c>
      <c r="J23" s="23">
        <v>22877.272425268704</v>
      </c>
      <c r="K23" s="23">
        <v>24375.772544640291</v>
      </c>
      <c r="L23" s="23">
        <v>25347.095181540553</v>
      </c>
      <c r="M23" s="23">
        <v>24184.7634907953</v>
      </c>
      <c r="N23" s="23">
        <v>23153.339422166431</v>
      </c>
      <c r="O23" s="23">
        <v>22769.871147942853</v>
      </c>
      <c r="P23" s="23">
        <v>23249.726433446012</v>
      </c>
      <c r="Q23" s="23">
        <v>23670.63851270092</v>
      </c>
      <c r="R23" s="23">
        <v>23722.819720574833</v>
      </c>
      <c r="S23" s="23">
        <v>23592.740655000001</v>
      </c>
      <c r="T23" s="23">
        <v>24154.795780317312</v>
      </c>
      <c r="U23" s="23">
        <v>25428.172669326585</v>
      </c>
      <c r="V23" s="23">
        <v>26424.514346886885</v>
      </c>
      <c r="W23" s="23">
        <v>27048.634496069291</v>
      </c>
      <c r="X23" s="23">
        <v>27245.38544898725</v>
      </c>
      <c r="Y23" s="23">
        <v>27588.564323702747</v>
      </c>
      <c r="Z23" s="23">
        <v>28478.846489302166</v>
      </c>
      <c r="AA23" s="23">
        <v>28395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40610.675770925103</v>
      </c>
      <c r="E24" s="23">
        <v>40788.420961325821</v>
      </c>
      <c r="F24" s="23">
        <v>41685.808044588717</v>
      </c>
      <c r="G24" s="23">
        <v>41542.894816637461</v>
      </c>
      <c r="H24" s="23">
        <v>42480.557208223952</v>
      </c>
      <c r="I24" s="23">
        <v>43567.844496228317</v>
      </c>
      <c r="J24" s="23">
        <v>45148.478568404709</v>
      </c>
      <c r="K24" s="23">
        <v>46810.090195830126</v>
      </c>
      <c r="L24" s="23">
        <v>47501.767548919801</v>
      </c>
      <c r="M24" s="23">
        <v>45921.864831274899</v>
      </c>
      <c r="N24" s="23">
        <v>47723.214755235516</v>
      </c>
      <c r="O24" s="23">
        <v>49544.695480036004</v>
      </c>
      <c r="P24" s="23">
        <v>48452.532617939076</v>
      </c>
      <c r="Q24" s="23">
        <v>46152.436490174958</v>
      </c>
      <c r="R24" s="23">
        <v>46812.078629300719</v>
      </c>
      <c r="S24" s="23">
        <v>47124.516215000003</v>
      </c>
      <c r="T24" s="23">
        <v>46485.697631950992</v>
      </c>
      <c r="U24" s="23">
        <v>46311.50610646166</v>
      </c>
      <c r="V24" s="23">
        <v>49485.89780830036</v>
      </c>
      <c r="W24" s="23">
        <v>49468.435315162642</v>
      </c>
      <c r="X24" s="23">
        <v>47196.934594579754</v>
      </c>
      <c r="Y24" s="23">
        <v>51556.48946205261</v>
      </c>
      <c r="Z24" s="23">
        <v>56342.465478496706</v>
      </c>
      <c r="AA24" s="23">
        <v>49563.700000000004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17641.547713138116</v>
      </c>
      <c r="E25" s="23">
        <v>17653.784934483941</v>
      </c>
      <c r="F25" s="23">
        <v>18275.794091744043</v>
      </c>
      <c r="G25" s="23">
        <v>18442.109396164986</v>
      </c>
      <c r="H25" s="23">
        <v>18807.388490885449</v>
      </c>
      <c r="I25" s="23">
        <v>19502.226685244801</v>
      </c>
      <c r="J25" s="23">
        <v>19941.597468190692</v>
      </c>
      <c r="K25" s="23">
        <v>20621.274628429328</v>
      </c>
      <c r="L25" s="23">
        <v>21045.692704445202</v>
      </c>
      <c r="M25" s="23">
        <v>20097.084351454218</v>
      </c>
      <c r="N25" s="23">
        <v>20153.624424698861</v>
      </c>
      <c r="O25" s="23">
        <v>20945.820964085429</v>
      </c>
      <c r="P25" s="23">
        <v>21026.646081807939</v>
      </c>
      <c r="Q25" s="23">
        <v>21201.971408552337</v>
      </c>
      <c r="R25" s="23">
        <v>21639.67279701728</v>
      </c>
      <c r="S25" s="23">
        <v>21838.27288</v>
      </c>
      <c r="T25" s="23">
        <v>22213.282815936225</v>
      </c>
      <c r="U25" s="23">
        <v>22727.607196379915</v>
      </c>
      <c r="V25" s="23">
        <v>22786.776232532353</v>
      </c>
      <c r="W25" s="23">
        <v>23178.465645153698</v>
      </c>
      <c r="X25" s="23">
        <v>20565.460592913954</v>
      </c>
      <c r="Y25" s="23">
        <v>19899.457623616501</v>
      </c>
      <c r="Z25" s="23">
        <v>23113.066769985795</v>
      </c>
      <c r="AA25" s="23">
        <v>22538.7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11213.773205493651</v>
      </c>
      <c r="E26" s="23">
        <v>11675.426763087324</v>
      </c>
      <c r="F26" s="23">
        <v>11956.5361842933</v>
      </c>
      <c r="G26" s="23">
        <v>12334.772744783706</v>
      </c>
      <c r="H26" s="23">
        <v>12439.412835202042</v>
      </c>
      <c r="I26" s="23">
        <v>12604.210193148514</v>
      </c>
      <c r="J26" s="23">
        <v>13076.133975399234</v>
      </c>
      <c r="K26" s="23">
        <v>13370.831990191225</v>
      </c>
      <c r="L26" s="23">
        <v>13669.816858952609</v>
      </c>
      <c r="M26" s="23">
        <v>13562.715458792458</v>
      </c>
      <c r="N26" s="23">
        <v>13760.398273546058</v>
      </c>
      <c r="O26" s="23">
        <v>14140.6323231118</v>
      </c>
      <c r="P26" s="23">
        <v>14673.847327635693</v>
      </c>
      <c r="Q26" s="23">
        <v>14666.0322255106</v>
      </c>
      <c r="R26" s="23">
        <v>14673.581271958128</v>
      </c>
      <c r="S26" s="23">
        <v>15388.491310000001</v>
      </c>
      <c r="T26" s="23">
        <v>16052.601746583412</v>
      </c>
      <c r="U26" s="23">
        <v>16454.834877384197</v>
      </c>
      <c r="V26" s="23">
        <v>16902.643296820937</v>
      </c>
      <c r="W26" s="23">
        <v>17123.172376782939</v>
      </c>
      <c r="X26" s="23">
        <v>10450.014864036171</v>
      </c>
      <c r="Y26" s="23">
        <v>9367.0571456806083</v>
      </c>
      <c r="Z26" s="23">
        <v>15113.276951224763</v>
      </c>
      <c r="AA26" s="23">
        <v>16738.2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10441.220529930033</v>
      </c>
      <c r="E27" s="23">
        <v>11846.300636732203</v>
      </c>
      <c r="F27" s="23">
        <v>12364.463954102815</v>
      </c>
      <c r="G27" s="23">
        <v>12531.723384160359</v>
      </c>
      <c r="H27" s="23">
        <v>12084.979483058956</v>
      </c>
      <c r="I27" s="23">
        <v>12340.012281987219</v>
      </c>
      <c r="J27" s="23">
        <v>12475.956119617113</v>
      </c>
      <c r="K27" s="23">
        <v>12419.344705909441</v>
      </c>
      <c r="L27" s="23">
        <v>12535.633112770051</v>
      </c>
      <c r="M27" s="23">
        <v>11924.226522187821</v>
      </c>
      <c r="N27" s="23">
        <v>11866.262194182025</v>
      </c>
      <c r="O27" s="23">
        <v>12678.323350435507</v>
      </c>
      <c r="P27" s="23">
        <v>12661.018799030551</v>
      </c>
      <c r="Q27" s="23">
        <v>12969.371798625854</v>
      </c>
      <c r="R27" s="23">
        <v>13421.846674656095</v>
      </c>
      <c r="S27" s="23">
        <v>13554.656245000002</v>
      </c>
      <c r="T27" s="23">
        <v>14293.723982877789</v>
      </c>
      <c r="U27" s="23">
        <v>14459.135509926042</v>
      </c>
      <c r="V27" s="23">
        <v>15431.251099195197</v>
      </c>
      <c r="W27" s="23">
        <v>16134.916268888575</v>
      </c>
      <c r="X27" s="23">
        <v>15700.91703048775</v>
      </c>
      <c r="Y27" s="23">
        <v>17180.210718520913</v>
      </c>
      <c r="Z27" s="23">
        <v>17100.694588660725</v>
      </c>
      <c r="AA27" s="23">
        <v>16885.900000000001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16950.905409432497</v>
      </c>
      <c r="E28" s="23">
        <v>16013.141186787487</v>
      </c>
      <c r="F28" s="23">
        <v>16147.954643818728</v>
      </c>
      <c r="G28" s="23">
        <v>15875.683884477252</v>
      </c>
      <c r="H28" s="23">
        <v>16180.773215731495</v>
      </c>
      <c r="I28" s="23">
        <v>16566.878123048096</v>
      </c>
      <c r="J28" s="23">
        <v>17644.669559491052</v>
      </c>
      <c r="K28" s="23">
        <v>18942.408319038463</v>
      </c>
      <c r="L28" s="23">
        <v>18894.708273950913</v>
      </c>
      <c r="M28" s="23">
        <v>16610.346555034008</v>
      </c>
      <c r="N28" s="23">
        <v>16560.113893109596</v>
      </c>
      <c r="O28" s="23">
        <v>17562.101278866699</v>
      </c>
      <c r="P28" s="23">
        <v>16370.100484724791</v>
      </c>
      <c r="Q28" s="23">
        <v>16837.521924641562</v>
      </c>
      <c r="R28" s="23">
        <v>16629.657002529988</v>
      </c>
      <c r="S28" s="23">
        <v>16899.724630000001</v>
      </c>
      <c r="T28" s="23">
        <v>16275.672331526863</v>
      </c>
      <c r="U28" s="23">
        <v>16768.406490852474</v>
      </c>
      <c r="V28" s="23">
        <v>17011.768260977613</v>
      </c>
      <c r="W28" s="23">
        <v>17486.652619686483</v>
      </c>
      <c r="X28" s="23">
        <v>16796.17263424769</v>
      </c>
      <c r="Y28" s="23">
        <v>18817.224571474773</v>
      </c>
      <c r="Z28" s="23">
        <v>19618.729777433382</v>
      </c>
      <c r="AA28" s="23">
        <v>21769.3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22969.614654055451</v>
      </c>
      <c r="E29" s="23">
        <v>23470.337957373253</v>
      </c>
      <c r="F29" s="23">
        <v>24454.561045268114</v>
      </c>
      <c r="G29" s="23">
        <v>25354.983496750305</v>
      </c>
      <c r="H29" s="23">
        <v>27455.224435094089</v>
      </c>
      <c r="I29" s="23">
        <v>29304.615774996397</v>
      </c>
      <c r="J29" s="23">
        <v>30262.978386133258</v>
      </c>
      <c r="K29" s="23">
        <v>30602.235001899589</v>
      </c>
      <c r="L29" s="23">
        <v>30634.99680466011</v>
      </c>
      <c r="M29" s="23">
        <v>30763.168075945712</v>
      </c>
      <c r="N29" s="23">
        <v>31851.865087754064</v>
      </c>
      <c r="O29" s="23">
        <v>33053.560016704447</v>
      </c>
      <c r="P29" s="23">
        <v>33848.813588239049</v>
      </c>
      <c r="Q29" s="23">
        <v>34923.581695826317</v>
      </c>
      <c r="R29" s="23">
        <v>35538.64551516455</v>
      </c>
      <c r="S29" s="23">
        <v>36222.154565000004</v>
      </c>
      <c r="T29" s="23">
        <v>36990.633659283696</v>
      </c>
      <c r="U29" s="23">
        <v>38678.461590112885</v>
      </c>
      <c r="V29" s="23">
        <v>39701.624295081332</v>
      </c>
      <c r="W29" s="23">
        <v>40385.200762604152</v>
      </c>
      <c r="X29" s="23">
        <v>40507.499725418049</v>
      </c>
      <c r="Y29" s="23">
        <v>39881.013358847202</v>
      </c>
      <c r="Z29" s="23">
        <v>39327.0275388523</v>
      </c>
      <c r="AA29" s="23">
        <v>40253.1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11704.100045348536</v>
      </c>
      <c r="E30" s="23">
        <v>12588.504194044453</v>
      </c>
      <c r="F30" s="23">
        <v>13687.315436199391</v>
      </c>
      <c r="G30" s="23">
        <v>13830.726416383948</v>
      </c>
      <c r="H30" s="23">
        <v>14047.262573910055</v>
      </c>
      <c r="I30" s="23">
        <v>14882.146537020133</v>
      </c>
      <c r="J30" s="23">
        <v>15427.971459817965</v>
      </c>
      <c r="K30" s="23">
        <v>16368.26194149273</v>
      </c>
      <c r="L30" s="23">
        <v>17470.677570410589</v>
      </c>
      <c r="M30" s="23">
        <v>17016.113929669205</v>
      </c>
      <c r="N30" s="23">
        <v>17187.816971658845</v>
      </c>
      <c r="O30" s="23">
        <v>18002.464172207696</v>
      </c>
      <c r="P30" s="23">
        <v>18622.323335884517</v>
      </c>
      <c r="Q30" s="23">
        <v>19071.196323060351</v>
      </c>
      <c r="R30" s="23">
        <v>19273.532812996138</v>
      </c>
      <c r="S30" s="23">
        <v>20067.155500000001</v>
      </c>
      <c r="T30" s="23">
        <v>20808.982813972667</v>
      </c>
      <c r="U30" s="23">
        <v>21393.405055469055</v>
      </c>
      <c r="V30" s="23">
        <v>21924.545430215443</v>
      </c>
      <c r="W30" s="23">
        <v>23235.509885609383</v>
      </c>
      <c r="X30" s="23">
        <v>22378.092003258374</v>
      </c>
      <c r="Y30" s="23">
        <v>23579.477360931436</v>
      </c>
      <c r="Z30" s="23">
        <v>24706.643957983557</v>
      </c>
      <c r="AA30" s="23">
        <v>23830.799999999999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9283.7702060119191</v>
      </c>
      <c r="E31" s="23">
        <v>9784.6771221229483</v>
      </c>
      <c r="F31" s="23">
        <v>10010.137968345036</v>
      </c>
      <c r="G31" s="23">
        <v>10609.665604145695</v>
      </c>
      <c r="H31" s="23">
        <v>11337.567383890675</v>
      </c>
      <c r="I31" s="23">
        <v>12104.083697688946</v>
      </c>
      <c r="J31" s="23">
        <v>13230.557956443003</v>
      </c>
      <c r="K31" s="23">
        <v>14374.635221791139</v>
      </c>
      <c r="L31" s="23">
        <v>15304.117582852619</v>
      </c>
      <c r="M31" s="23">
        <v>14137.402082847853</v>
      </c>
      <c r="N31" s="23">
        <v>14696.43946951179</v>
      </c>
      <c r="O31" s="23">
        <v>15552.699460901822</v>
      </c>
      <c r="P31" s="23">
        <v>15707.141888300701</v>
      </c>
      <c r="Q31" s="23">
        <v>15869.666173410164</v>
      </c>
      <c r="R31" s="23">
        <v>16176.380849952371</v>
      </c>
      <c r="S31" s="23">
        <v>16178.533845000002</v>
      </c>
      <c r="T31" s="23">
        <v>16690.841717719133</v>
      </c>
      <c r="U31" s="23">
        <v>17800.610174192294</v>
      </c>
      <c r="V31" s="23">
        <v>18410.410482498897</v>
      </c>
      <c r="W31" s="23">
        <v>19040.047432095278</v>
      </c>
      <c r="X31" s="23">
        <v>16784.02731632756</v>
      </c>
      <c r="Y31" s="23">
        <v>17801.682177123759</v>
      </c>
      <c r="Z31" s="23">
        <v>18946.053738860908</v>
      </c>
      <c r="AA31" s="23">
        <v>18820.3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18768.180273386868</v>
      </c>
      <c r="E32" s="23">
        <v>18598.205152320043</v>
      </c>
      <c r="F32" s="23">
        <v>18509.368177700613</v>
      </c>
      <c r="G32" s="23">
        <v>18679.66360337524</v>
      </c>
      <c r="H32" s="23">
        <v>18953.584570278959</v>
      </c>
      <c r="I32" s="23">
        <v>18769.630086964848</v>
      </c>
      <c r="J32" s="23">
        <v>19073.4962134575</v>
      </c>
      <c r="K32" s="23">
        <v>19037.960586454268</v>
      </c>
      <c r="L32" s="23">
        <v>19717.664070806433</v>
      </c>
      <c r="M32" s="23">
        <v>20137.647197532111</v>
      </c>
      <c r="N32" s="23">
        <v>20241.563503336198</v>
      </c>
      <c r="O32" s="23">
        <v>20147.790521851421</v>
      </c>
      <c r="P32" s="23">
        <v>20221.834040223715</v>
      </c>
      <c r="Q32" s="23">
        <v>19995.980987837625</v>
      </c>
      <c r="R32" s="23">
        <v>19923.891128660522</v>
      </c>
      <c r="S32" s="23">
        <v>20042.869609999972</v>
      </c>
      <c r="T32" s="23">
        <v>20202.083338242192</v>
      </c>
      <c r="U32" s="23">
        <v>20523.591022771478</v>
      </c>
      <c r="V32" s="23">
        <v>20793.091854485643</v>
      </c>
      <c r="W32" s="23">
        <v>21067.82874829361</v>
      </c>
      <c r="X32" s="23">
        <v>21085.073958647929</v>
      </c>
      <c r="Y32" s="23">
        <v>21429.069152472348</v>
      </c>
      <c r="Z32" s="23">
        <v>21116.703112488663</v>
      </c>
      <c r="AA32" s="23">
        <v>21965.000000000015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16892.351658460742</v>
      </c>
      <c r="E33" s="23">
        <v>17044.430245415144</v>
      </c>
      <c r="F33" s="23">
        <v>17276.13480410659</v>
      </c>
      <c r="G33" s="23">
        <v>17685.265114516151</v>
      </c>
      <c r="H33" s="23">
        <v>17935.126168453593</v>
      </c>
      <c r="I33" s="23">
        <v>18116.879300196993</v>
      </c>
      <c r="J33" s="23">
        <v>18521.750664408853</v>
      </c>
      <c r="K33" s="23">
        <v>18879.427412762921</v>
      </c>
      <c r="L33" s="23">
        <v>19471.003885307095</v>
      </c>
      <c r="M33" s="23">
        <v>19949.83566363727</v>
      </c>
      <c r="N33" s="23">
        <v>20386.290827112371</v>
      </c>
      <c r="O33" s="23">
        <v>20462.141461747891</v>
      </c>
      <c r="P33" s="23">
        <v>20591.105438271999</v>
      </c>
      <c r="Q33" s="23">
        <v>20367.780032000668</v>
      </c>
      <c r="R33" s="23">
        <v>20361.652029622346</v>
      </c>
      <c r="S33" s="23">
        <v>20620.348015000003</v>
      </c>
      <c r="T33" s="23">
        <v>20896.736201107447</v>
      </c>
      <c r="U33" s="23">
        <v>21241.004865706502</v>
      </c>
      <c r="V33" s="23">
        <v>21602.674647779626</v>
      </c>
      <c r="W33" s="23">
        <v>22089.43923645436</v>
      </c>
      <c r="X33" s="23">
        <v>21751.920659545842</v>
      </c>
      <c r="Y33" s="23">
        <v>22277.378818096877</v>
      </c>
      <c r="Z33" s="23">
        <v>22541.275969693059</v>
      </c>
      <c r="AA33" s="23">
        <v>22491.5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18305.102824565951</v>
      </c>
      <c r="E34" s="23">
        <v>18981.637215154478</v>
      </c>
      <c r="F34" s="23">
        <v>19684.011153468713</v>
      </c>
      <c r="G34" s="23">
        <v>20248.734810920974</v>
      </c>
      <c r="H34" s="23">
        <v>20914.792689958045</v>
      </c>
      <c r="I34" s="23">
        <v>21295.825253447365</v>
      </c>
      <c r="J34" s="23">
        <v>21941.601478162705</v>
      </c>
      <c r="K34" s="23">
        <v>22747.63685083064</v>
      </c>
      <c r="L34" s="23">
        <v>23667.908534102477</v>
      </c>
      <c r="M34" s="23">
        <v>24830.018353917687</v>
      </c>
      <c r="N34" s="23">
        <v>25454.641705754111</v>
      </c>
      <c r="O34" s="23">
        <v>25850.646147671683</v>
      </c>
      <c r="P34" s="23">
        <v>26231.709409613708</v>
      </c>
      <c r="Q34" s="23">
        <v>26812.864096503978</v>
      </c>
      <c r="R34" s="23">
        <v>27245.807639123625</v>
      </c>
      <c r="S34" s="23">
        <v>28150.601320000005</v>
      </c>
      <c r="T34" s="23">
        <v>29075.130655042412</v>
      </c>
      <c r="U34" s="23">
        <v>30021.375510899183</v>
      </c>
      <c r="V34" s="23">
        <v>30765.342690829842</v>
      </c>
      <c r="W34" s="23">
        <v>31698.329393211883</v>
      </c>
      <c r="X34" s="23">
        <v>31518.818679809989</v>
      </c>
      <c r="Y34" s="23">
        <v>33616.702516350437</v>
      </c>
      <c r="Z34" s="23">
        <v>33667.861474880541</v>
      </c>
      <c r="AA34" s="23">
        <v>33239.699999999997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3218.5099183726347</v>
      </c>
      <c r="E35" s="23">
        <v>3161.6439637532881</v>
      </c>
      <c r="F35" s="23">
        <v>3274.1322311970002</v>
      </c>
      <c r="G35" s="23">
        <v>3348.7831463047887</v>
      </c>
      <c r="H35" s="23">
        <v>3562.7615986653254</v>
      </c>
      <c r="I35" s="23">
        <v>3857.1090604429919</v>
      </c>
      <c r="J35" s="23">
        <v>3763.5877019685317</v>
      </c>
      <c r="K35" s="23">
        <v>4012.3305050598083</v>
      </c>
      <c r="L35" s="23">
        <v>4232.8700260151572</v>
      </c>
      <c r="M35" s="23">
        <v>4252.8477146376372</v>
      </c>
      <c r="N35" s="23">
        <v>4314.9417817268941</v>
      </c>
      <c r="O35" s="23">
        <v>4396.9752850061277</v>
      </c>
      <c r="P35" s="23">
        <v>4377.4961838552636</v>
      </c>
      <c r="Q35" s="23">
        <v>4331.7206948119165</v>
      </c>
      <c r="R35" s="23">
        <v>4353.8873439244489</v>
      </c>
      <c r="S35" s="23">
        <v>4366.5779850000008</v>
      </c>
      <c r="T35" s="23">
        <v>4128.2192163446443</v>
      </c>
      <c r="U35" s="23">
        <v>4300.9501994939656</v>
      </c>
      <c r="V35" s="23">
        <v>4356.981710347728</v>
      </c>
      <c r="W35" s="23">
        <v>4517.5738360871819</v>
      </c>
      <c r="X35" s="23">
        <v>3156.7514529961459</v>
      </c>
      <c r="Y35" s="23">
        <v>3342.6302375305436</v>
      </c>
      <c r="Z35" s="23">
        <v>4360.4841878686129</v>
      </c>
      <c r="AA35" s="23">
        <v>4235.5999999999995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4627.3683143301369</v>
      </c>
      <c r="E36" s="23">
        <v>4711.600460073967</v>
      </c>
      <c r="F36" s="23">
        <v>4802.2076067537309</v>
      </c>
      <c r="G36" s="23">
        <v>4862.6272788278711</v>
      </c>
      <c r="H36" s="23">
        <v>5066.4927009985522</v>
      </c>
      <c r="I36" s="23">
        <v>5077.6522846297994</v>
      </c>
      <c r="J36" s="23">
        <v>5153.9923739975075</v>
      </c>
      <c r="K36" s="23">
        <v>5329.4529363005267</v>
      </c>
      <c r="L36" s="23">
        <v>5383.6205010745398</v>
      </c>
      <c r="M36" s="23">
        <v>5376.1051577393828</v>
      </c>
      <c r="N36" s="23">
        <v>5411.5613893109594</v>
      </c>
      <c r="O36" s="23">
        <v>5482.6062847783396</v>
      </c>
      <c r="P36" s="23">
        <v>5499.149738503731</v>
      </c>
      <c r="Q36" s="23">
        <v>5576.7238321324367</v>
      </c>
      <c r="R36" s="23">
        <v>5536.7649981050718</v>
      </c>
      <c r="S36" s="23">
        <v>5584.377665</v>
      </c>
      <c r="T36" s="23">
        <v>5699.422719329249</v>
      </c>
      <c r="U36" s="23">
        <v>5918.9992166212533</v>
      </c>
      <c r="V36" s="23">
        <v>6080.0074601900169</v>
      </c>
      <c r="W36" s="23">
        <v>6188.1214894318127</v>
      </c>
      <c r="X36" s="23">
        <v>5664.9887604455544</v>
      </c>
      <c r="Y36" s="23">
        <v>5742.4817494969102</v>
      </c>
      <c r="Z36" s="23">
        <v>6315.4590296611996</v>
      </c>
      <c r="AA36" s="23">
        <v>6564.8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278.49526431718056</v>
      </c>
      <c r="E37" s="23">
        <v>257.58361399539922</v>
      </c>
      <c r="F37" s="23">
        <v>256.09673888427568</v>
      </c>
      <c r="G37" s="23">
        <v>241.91014552187801</v>
      </c>
      <c r="H37" s="23">
        <v>232.19377315439533</v>
      </c>
      <c r="I37" s="23">
        <v>221.49318334694664</v>
      </c>
      <c r="J37" s="23">
        <v>212.71940191443827</v>
      </c>
      <c r="K37" s="23">
        <v>208.39906287056331</v>
      </c>
      <c r="L37" s="23">
        <v>208.14608076009503</v>
      </c>
      <c r="M37" s="23">
        <v>215.03864975531809</v>
      </c>
      <c r="N37" s="23">
        <v>209.37219506287022</v>
      </c>
      <c r="O37" s="23">
        <v>202.59680446030521</v>
      </c>
      <c r="P37" s="23">
        <v>193.21876395178262</v>
      </c>
      <c r="Q37" s="23">
        <v>186.29226755069388</v>
      </c>
      <c r="R37" s="23">
        <v>181.05401059111534</v>
      </c>
      <c r="S37" s="23">
        <v>167.49753000000004</v>
      </c>
      <c r="T37" s="23">
        <v>175.62967817310715</v>
      </c>
      <c r="U37" s="23">
        <v>173.71916115219929</v>
      </c>
      <c r="V37" s="23">
        <v>167.03777408193304</v>
      </c>
      <c r="W37" s="23">
        <v>160.1717412794803</v>
      </c>
      <c r="X37" s="23">
        <v>155.94129895567332</v>
      </c>
      <c r="Y37" s="23">
        <v>148.45137990513152</v>
      </c>
      <c r="Z37" s="23">
        <v>144.32193809462311</v>
      </c>
      <c r="AA37" s="23">
        <v>134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307235.09972143039</v>
      </c>
      <c r="E39" s="30">
        <f t="shared" ref="E39:S39" si="3">SUM(E18:E38)</f>
        <v>311799.95307753893</v>
      </c>
      <c r="F39" s="30">
        <f t="shared" si="3"/>
        <v>316117.87642485095</v>
      </c>
      <c r="G39" s="30">
        <f t="shared" si="3"/>
        <v>320261.80805651867</v>
      </c>
      <c r="H39" s="30">
        <f t="shared" si="3"/>
        <v>329021.0336367428</v>
      </c>
      <c r="I39" s="30">
        <f t="shared" si="3"/>
        <v>337118.7901732091</v>
      </c>
      <c r="J39" s="30">
        <f t="shared" si="3"/>
        <v>349086.08192219946</v>
      </c>
      <c r="K39" s="30">
        <f t="shared" si="3"/>
        <v>362603.70443582279</v>
      </c>
      <c r="L39" s="30">
        <f t="shared" si="3"/>
        <v>368741.11857255962</v>
      </c>
      <c r="M39" s="30">
        <f t="shared" si="3"/>
        <v>353973.06543715391</v>
      </c>
      <c r="N39" s="30">
        <f t="shared" si="3"/>
        <v>360598.46485433046</v>
      </c>
      <c r="O39" s="30">
        <f t="shared" si="3"/>
        <v>372338.57204607828</v>
      </c>
      <c r="P39" s="30">
        <f t="shared" si="3"/>
        <v>374025.61759359663</v>
      </c>
      <c r="Q39" s="30">
        <f t="shared" si="3"/>
        <v>373536.28828838246</v>
      </c>
      <c r="R39" s="30">
        <f t="shared" si="3"/>
        <v>376315.76023005455</v>
      </c>
      <c r="S39" s="30">
        <f t="shared" si="3"/>
        <v>380369.11436000001</v>
      </c>
      <c r="T39" s="30">
        <f t="shared" ref="T39:Y39" si="4">SUM(T18:T38)</f>
        <v>388282.80534774589</v>
      </c>
      <c r="U39" s="30">
        <f t="shared" si="4"/>
        <v>397594.6744453095</v>
      </c>
      <c r="V39" s="30">
        <f t="shared" si="4"/>
        <v>408442.77538185072</v>
      </c>
      <c r="W39" s="30">
        <f t="shared" si="4"/>
        <v>415742.43168102443</v>
      </c>
      <c r="X39" s="30">
        <f t="shared" si="4"/>
        <v>390173.9525293574</v>
      </c>
      <c r="Y39" s="30">
        <f t="shared" si="4"/>
        <v>407720.36535144458</v>
      </c>
      <c r="Z39" s="30">
        <f t="shared" ref="Z39:AA39" si="5">SUM(Z18:Z38)</f>
        <v>434115.97067028284</v>
      </c>
      <c r="AA39" s="30">
        <f t="shared" si="5"/>
        <v>429634.29999999993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6483.0842834931327</v>
      </c>
      <c r="E41" s="19">
        <v>6433.0672318035658</v>
      </c>
      <c r="F41" s="19">
        <v>6566.5345864472456</v>
      </c>
      <c r="G41" s="19">
        <v>6738.6365681194011</v>
      </c>
      <c r="H41" s="19">
        <v>6932.0283863686545</v>
      </c>
      <c r="I41" s="19">
        <v>6708.1007483303711</v>
      </c>
      <c r="J41" s="19">
        <v>6730.3241080458147</v>
      </c>
      <c r="K41" s="19">
        <v>7097.674307226489</v>
      </c>
      <c r="L41" s="19">
        <v>6849.9884006334132</v>
      </c>
      <c r="M41" s="19">
        <v>7142.6726699734791</v>
      </c>
      <c r="N41" s="19">
        <v>7242.7066239457399</v>
      </c>
      <c r="O41" s="19">
        <v>6923.1890585848942</v>
      </c>
      <c r="P41" s="19">
        <v>7339.7846854603822</v>
      </c>
      <c r="Q41" s="19">
        <v>7024.2527163966824</v>
      </c>
      <c r="R41" s="19">
        <v>7391.6710301242465</v>
      </c>
      <c r="S41" s="19">
        <v>7432.6090050000012</v>
      </c>
      <c r="T41" s="19">
        <v>7829.8389834668551</v>
      </c>
      <c r="U41" s="19">
        <v>7883.6337971973535</v>
      </c>
      <c r="V41" s="19">
        <v>7750.8638192731923</v>
      </c>
      <c r="W41" s="19">
        <v>8119.0218848561881</v>
      </c>
      <c r="X41" s="19">
        <v>8040.0858846572764</v>
      </c>
      <c r="Y41" s="19">
        <v>8313.5022010205539</v>
      </c>
      <c r="Z41" s="19">
        <v>8431.4622325541368</v>
      </c>
      <c r="AA41" s="19">
        <v>8939.7999999999993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2648.7056880020727</v>
      </c>
      <c r="E42" s="23">
        <v>2426.7590267275014</v>
      </c>
      <c r="F42" s="23">
        <v>2203.2824601796638</v>
      </c>
      <c r="G42" s="23">
        <v>1921.2799338875841</v>
      </c>
      <c r="H42" s="23">
        <v>2030.466976618661</v>
      </c>
      <c r="I42" s="23">
        <v>1860.813403882189</v>
      </c>
      <c r="J42" s="23">
        <v>1857.5040922881535</v>
      </c>
      <c r="K42" s="23">
        <v>1749.9179954179667</v>
      </c>
      <c r="L42" s="23">
        <v>1602.0168419862009</v>
      </c>
      <c r="M42" s="23">
        <v>1437.4805863488575</v>
      </c>
      <c r="N42" s="23">
        <v>1531.9042632842263</v>
      </c>
      <c r="O42" s="23">
        <v>1514.1802724777904</v>
      </c>
      <c r="P42" s="23">
        <v>1381.8069179582033</v>
      </c>
      <c r="Q42" s="23">
        <v>1325.1232130345211</v>
      </c>
      <c r="R42" s="23">
        <v>1338.2866207786622</v>
      </c>
      <c r="S42" s="23">
        <v>1366.7698300000002</v>
      </c>
      <c r="T42" s="23">
        <v>1276.3570383678918</v>
      </c>
      <c r="U42" s="23">
        <v>1127.590852471779</v>
      </c>
      <c r="V42" s="23">
        <v>1187.4519125996444</v>
      </c>
      <c r="W42" s="23">
        <v>1156.6780492397495</v>
      </c>
      <c r="X42" s="23">
        <v>1037.5080544038369</v>
      </c>
      <c r="Y42" s="23">
        <v>1012.0560361865746</v>
      </c>
      <c r="Z42" s="23">
        <v>1001.9542468466143</v>
      </c>
      <c r="AA42" s="23">
        <v>964.7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8064.1977584866545</v>
      </c>
      <c r="E43" s="23">
        <v>8152.7838986820525</v>
      </c>
      <c r="F43" s="23">
        <v>7894.4261027654065</v>
      </c>
      <c r="G43" s="23">
        <v>7683.7196125215933</v>
      </c>
      <c r="H43" s="23">
        <v>7522.1875598027427</v>
      </c>
      <c r="I43" s="23">
        <v>7200.7088057944557</v>
      </c>
      <c r="J43" s="23">
        <v>7599.7502587078725</v>
      </c>
      <c r="K43" s="23">
        <v>7807.4705621625362</v>
      </c>
      <c r="L43" s="23">
        <v>7205.5358896052494</v>
      </c>
      <c r="M43" s="23">
        <v>6595.2131617785763</v>
      </c>
      <c r="N43" s="23">
        <v>6837.6079529188955</v>
      </c>
      <c r="O43" s="23">
        <v>6855.9736308316424</v>
      </c>
      <c r="P43" s="23">
        <v>6652.2079958330678</v>
      </c>
      <c r="Q43" s="23">
        <v>6427.9341790155086</v>
      </c>
      <c r="R43" s="23">
        <v>6417.8004844871921</v>
      </c>
      <c r="S43" s="23">
        <v>6510.2459250000011</v>
      </c>
      <c r="T43" s="23">
        <v>6731.8155091501731</v>
      </c>
      <c r="U43" s="23">
        <v>6573.1870815492412</v>
      </c>
      <c r="V43" s="23">
        <v>6936.2555342088654</v>
      </c>
      <c r="W43" s="23">
        <v>7056.0425363649201</v>
      </c>
      <c r="X43" s="23">
        <v>6551.8261255571724</v>
      </c>
      <c r="Y43" s="23">
        <v>7018.3763745148772</v>
      </c>
      <c r="Z43" s="23">
        <v>7176.4326230143361</v>
      </c>
      <c r="AA43" s="23">
        <v>5453.6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2113.774190204716</v>
      </c>
      <c r="E44" s="23">
        <v>1477.2475947790499</v>
      </c>
      <c r="F44" s="23">
        <v>1167.2404255051458</v>
      </c>
      <c r="G44" s="23">
        <v>1019.4451341510395</v>
      </c>
      <c r="H44" s="23">
        <v>1055.3145562943155</v>
      </c>
      <c r="I44" s="23">
        <v>1253.3236138471148</v>
      </c>
      <c r="J44" s="23">
        <v>683.64629930148874</v>
      </c>
      <c r="K44" s="23">
        <v>644.0770483876538</v>
      </c>
      <c r="L44" s="23">
        <v>634.77474833163672</v>
      </c>
      <c r="M44" s="23">
        <v>611.91553757892518</v>
      </c>
      <c r="N44" s="23">
        <v>478.2893461936535</v>
      </c>
      <c r="O44" s="23">
        <v>271.17011964291521</v>
      </c>
      <c r="P44" s="23">
        <v>563.02244509641355</v>
      </c>
      <c r="Q44" s="23">
        <v>331.34626083682798</v>
      </c>
      <c r="R44" s="23">
        <v>308.63810445666758</v>
      </c>
      <c r="S44" s="23">
        <v>494.23038000000008</v>
      </c>
      <c r="T44" s="23">
        <v>875.44450498743322</v>
      </c>
      <c r="U44" s="23">
        <v>766.75203386531723</v>
      </c>
      <c r="V44" s="23">
        <v>884.00793332186333</v>
      </c>
      <c r="W44" s="23">
        <v>1070.5223885515229</v>
      </c>
      <c r="X44" s="23">
        <v>424.97154873371954</v>
      </c>
      <c r="Y44" s="23">
        <v>896.33143776052896</v>
      </c>
      <c r="Z44" s="23">
        <v>947.20029273752641</v>
      </c>
      <c r="AA44" s="23">
        <v>895.4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2432.6569448043533</v>
      </c>
      <c r="E45" s="23">
        <v>2844.7158852611105</v>
      </c>
      <c r="F45" s="23">
        <v>2552.9348343021065</v>
      </c>
      <c r="G45" s="23">
        <v>2606.7179410704744</v>
      </c>
      <c r="H45" s="23">
        <v>2581.3129186192009</v>
      </c>
      <c r="I45" s="23">
        <v>2564.3888314995438</v>
      </c>
      <c r="J45" s="23">
        <v>2987.4931089630522</v>
      </c>
      <c r="K45" s="23">
        <v>3135.4979334799277</v>
      </c>
      <c r="L45" s="23">
        <v>2962.6125494853527</v>
      </c>
      <c r="M45" s="23">
        <v>2841.3440194413929</v>
      </c>
      <c r="N45" s="23">
        <v>2873.595472462619</v>
      </c>
      <c r="O45" s="23">
        <v>3122.8695100389409</v>
      </c>
      <c r="P45" s="23">
        <v>2684.5697961179499</v>
      </c>
      <c r="Q45" s="23">
        <v>3002.1463664599519</v>
      </c>
      <c r="R45" s="23">
        <v>3252.6891548617727</v>
      </c>
      <c r="S45" s="23">
        <v>3690.3286150000004</v>
      </c>
      <c r="T45" s="23">
        <v>4547.0757196434179</v>
      </c>
      <c r="U45" s="23">
        <v>4108.3485208252241</v>
      </c>
      <c r="V45" s="23">
        <v>3783.5970302613214</v>
      </c>
      <c r="W45" s="23">
        <v>3652.0099891729042</v>
      </c>
      <c r="X45" s="23">
        <v>3656.3135863148354</v>
      </c>
      <c r="Y45" s="23">
        <v>4575.9013224090841</v>
      </c>
      <c r="Z45" s="23">
        <v>3510.5044986869862</v>
      </c>
      <c r="AA45" s="23">
        <v>2209.5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1708.763896087069</v>
      </c>
      <c r="E46" s="23">
        <v>1550.4337976437093</v>
      </c>
      <c r="F46" s="23">
        <v>1593.5958204373317</v>
      </c>
      <c r="G46" s="23">
        <v>1711.572618026818</v>
      </c>
      <c r="H46" s="23">
        <v>1560.8581417601019</v>
      </c>
      <c r="I46" s="23">
        <v>2049.2254600490078</v>
      </c>
      <c r="J46" s="23">
        <v>2041.9590477198428</v>
      </c>
      <c r="K46" s="23">
        <v>2382.7536005802376</v>
      </c>
      <c r="L46" s="23">
        <v>1968.8920088225316</v>
      </c>
      <c r="M46" s="23">
        <v>2404.0431993963402</v>
      </c>
      <c r="N46" s="23">
        <v>2472.4940322829266</v>
      </c>
      <c r="O46" s="23">
        <v>2479.6382347517651</v>
      </c>
      <c r="P46" s="23">
        <v>2544.8454833429005</v>
      </c>
      <c r="Q46" s="23">
        <v>2594.8693149137757</v>
      </c>
      <c r="R46" s="23">
        <v>2752.7390222167596</v>
      </c>
      <c r="S46" s="23">
        <v>2773.0981200000001</v>
      </c>
      <c r="T46" s="23">
        <v>2916.2638234370093</v>
      </c>
      <c r="U46" s="23">
        <v>3033.9941854807321</v>
      </c>
      <c r="V46" s="23">
        <v>2847.3000516143829</v>
      </c>
      <c r="W46" s="23">
        <v>3164.423165277974</v>
      </c>
      <c r="X46" s="23">
        <v>3097.6289619887057</v>
      </c>
      <c r="Y46" s="23">
        <v>2952.0456599468162</v>
      </c>
      <c r="Z46" s="23">
        <v>2846.6666968014119</v>
      </c>
      <c r="AA46" s="23">
        <v>3031.1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6541.3136369525782</v>
      </c>
      <c r="E47" s="23">
        <v>6386.4508025875975</v>
      </c>
      <c r="F47" s="23">
        <v>6356.4281598349316</v>
      </c>
      <c r="G47" s="23">
        <v>6421.2753482707631</v>
      </c>
      <c r="H47" s="23">
        <v>6572.2201783655137</v>
      </c>
      <c r="I47" s="23">
        <v>6602.6922476336904</v>
      </c>
      <c r="J47" s="23">
        <v>6954.231520026342</v>
      </c>
      <c r="K47" s="23">
        <v>7215.2770978920344</v>
      </c>
      <c r="L47" s="23">
        <v>6747.189724013122</v>
      </c>
      <c r="M47" s="23">
        <v>5997.3279236991912</v>
      </c>
      <c r="N47" s="23">
        <v>6216.9344872387737</v>
      </c>
      <c r="O47" s="23">
        <v>6452.8168530550702</v>
      </c>
      <c r="P47" s="23">
        <v>6208.2838935306245</v>
      </c>
      <c r="Q47" s="23">
        <v>6281.7019493218158</v>
      </c>
      <c r="R47" s="23">
        <v>6527.6894979975214</v>
      </c>
      <c r="S47" s="23">
        <v>6257.7477800000006</v>
      </c>
      <c r="T47" s="23">
        <v>6451.7175129594716</v>
      </c>
      <c r="U47" s="23">
        <v>6511.4229758660958</v>
      </c>
      <c r="V47" s="23">
        <v>6290.4798417158909</v>
      </c>
      <c r="W47" s="23">
        <v>6566.334232453044</v>
      </c>
      <c r="X47" s="23">
        <v>5864.8136137730307</v>
      </c>
      <c r="Y47" s="23">
        <v>5922.3103528819893</v>
      </c>
      <c r="Z47" s="23">
        <v>5887.6668173403941</v>
      </c>
      <c r="AA47" s="23">
        <v>5566.3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9745.225667271312</v>
      </c>
      <c r="E48" s="23">
        <v>10447.807760253167</v>
      </c>
      <c r="F48" s="23">
        <v>9949.5000566165927</v>
      </c>
      <c r="G48" s="23">
        <v>10282.347953870434</v>
      </c>
      <c r="H48" s="23">
        <v>10831.255961873452</v>
      </c>
      <c r="I48" s="23">
        <v>11596.138026714074</v>
      </c>
      <c r="J48" s="23">
        <v>12781.271025894306</v>
      </c>
      <c r="K48" s="23">
        <v>13399.94444572363</v>
      </c>
      <c r="L48" s="23">
        <v>13000.351097160954</v>
      </c>
      <c r="M48" s="23">
        <v>11138.251922500749</v>
      </c>
      <c r="N48" s="23">
        <v>11189.076154455968</v>
      </c>
      <c r="O48" s="23">
        <v>11984.578662776192</v>
      </c>
      <c r="P48" s="23">
        <v>12114.497129919</v>
      </c>
      <c r="Q48" s="23">
        <v>12008.323635527018</v>
      </c>
      <c r="R48" s="23">
        <v>11999.828985240041</v>
      </c>
      <c r="S48" s="23">
        <v>12804.672910000001</v>
      </c>
      <c r="T48" s="23">
        <v>12787.290837064089</v>
      </c>
      <c r="U48" s="23">
        <v>13186.453829311016</v>
      </c>
      <c r="V48" s="23">
        <v>13591.68180210663</v>
      </c>
      <c r="W48" s="23">
        <v>13175.333785246905</v>
      </c>
      <c r="X48" s="23">
        <v>11590.758120761142</v>
      </c>
      <c r="Y48" s="23">
        <v>12385.006221251975</v>
      </c>
      <c r="Z48" s="23">
        <v>13888.211119721038</v>
      </c>
      <c r="AA48" s="23">
        <v>13208.6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4801.2453809277013</v>
      </c>
      <c r="E49" s="23">
        <v>4856.7000622752048</v>
      </c>
      <c r="F49" s="23">
        <v>4663.2916635213005</v>
      </c>
      <c r="G49" s="23">
        <v>4471.3706769066348</v>
      </c>
      <c r="H49" s="23">
        <v>4646.4861073627908</v>
      </c>
      <c r="I49" s="23">
        <v>5084.4188788257343</v>
      </c>
      <c r="J49" s="23">
        <v>5453.7132752416564</v>
      </c>
      <c r="K49" s="23">
        <v>3747.8683471293216</v>
      </c>
      <c r="L49" s="23">
        <v>3556.6076575048078</v>
      </c>
      <c r="M49" s="23">
        <v>3223.4960384833048</v>
      </c>
      <c r="N49" s="23">
        <v>3285.3102497192308</v>
      </c>
      <c r="O49" s="23">
        <v>3846.7592986300178</v>
      </c>
      <c r="P49" s="23">
        <v>3847.2091491804326</v>
      </c>
      <c r="Q49" s="23">
        <v>3960.4453112744841</v>
      </c>
      <c r="R49" s="23">
        <v>3887.7886693502955</v>
      </c>
      <c r="S49" s="23">
        <v>3792.8551300000008</v>
      </c>
      <c r="T49" s="23">
        <v>4215.1122761545712</v>
      </c>
      <c r="U49" s="23">
        <v>4409.6160422343328</v>
      </c>
      <c r="V49" s="23">
        <v>4801.8573865917297</v>
      </c>
      <c r="W49" s="23">
        <v>5007.1642799981164</v>
      </c>
      <c r="X49" s="23">
        <v>4528.1411717327037</v>
      </c>
      <c r="Y49" s="23">
        <v>5126.8583755569925</v>
      </c>
      <c r="Z49" s="23">
        <v>5442.5214817684791</v>
      </c>
      <c r="AA49" s="23">
        <v>5045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3970.787749416947</v>
      </c>
      <c r="E50" s="23">
        <v>4078.221604412643</v>
      </c>
      <c r="F50" s="23">
        <v>4028.5623537404699</v>
      </c>
      <c r="G50" s="23">
        <v>3948.6580795088789</v>
      </c>
      <c r="H50" s="23">
        <v>3837.1863821487277</v>
      </c>
      <c r="I50" s="23">
        <v>3769.1433358958343</v>
      </c>
      <c r="J50" s="23">
        <v>4078.4713010654064</v>
      </c>
      <c r="K50" s="23">
        <v>6124.2806207619069</v>
      </c>
      <c r="L50" s="23">
        <v>6985.9205350073526</v>
      </c>
      <c r="M50" s="23">
        <v>6637.0262325643325</v>
      </c>
      <c r="N50" s="23">
        <v>6924.9956893704166</v>
      </c>
      <c r="O50" s="23">
        <v>6485.541940102612</v>
      </c>
      <c r="P50" s="23">
        <v>7197.1328156557602</v>
      </c>
      <c r="Q50" s="23">
        <v>6691.0736433703187</v>
      </c>
      <c r="R50" s="23">
        <v>6652.5808622438008</v>
      </c>
      <c r="S50" s="23">
        <v>6721.6833900000001</v>
      </c>
      <c r="T50" s="23">
        <v>6913.344574693685</v>
      </c>
      <c r="U50" s="23">
        <v>7303.1486619307125</v>
      </c>
      <c r="V50" s="23">
        <v>7082.1144501156541</v>
      </c>
      <c r="W50" s="23">
        <v>6437.5132514239986</v>
      </c>
      <c r="X50" s="23">
        <v>5336.3777057762882</v>
      </c>
      <c r="Y50" s="23">
        <v>5788.8165741339662</v>
      </c>
      <c r="Z50" s="23">
        <v>5865.5712256231436</v>
      </c>
      <c r="AA50" s="23">
        <v>6027.5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6458.4300725576577</v>
      </c>
      <c r="E51" s="23">
        <v>7050.5360433638771</v>
      </c>
      <c r="F51" s="23">
        <v>7240.3241614453591</v>
      </c>
      <c r="G51" s="23">
        <v>7276.7505188333398</v>
      </c>
      <c r="H51" s="23">
        <v>7686.1974471895783</v>
      </c>
      <c r="I51" s="23">
        <v>7995.5580706769815</v>
      </c>
      <c r="J51" s="23">
        <v>8629.047184787978</v>
      </c>
      <c r="K51" s="23">
        <v>9389.487514534716</v>
      </c>
      <c r="L51" s="23">
        <v>9761.343207781927</v>
      </c>
      <c r="M51" s="23">
        <v>8262.874008233739</v>
      </c>
      <c r="N51" s="23">
        <v>8772.2676829402571</v>
      </c>
      <c r="O51" s="23">
        <v>10250.827992971113</v>
      </c>
      <c r="P51" s="23">
        <v>10277.854306184494</v>
      </c>
      <c r="Q51" s="23">
        <v>10369.265877456261</v>
      </c>
      <c r="R51" s="23">
        <v>10265.582885208289</v>
      </c>
      <c r="S51" s="23">
        <v>10413.38904</v>
      </c>
      <c r="T51" s="23">
        <v>10304.631985351869</v>
      </c>
      <c r="U51" s="23">
        <v>10851.356437329701</v>
      </c>
      <c r="V51" s="23">
        <v>11101.909593584522</v>
      </c>
      <c r="W51" s="23">
        <v>11173.245949253873</v>
      </c>
      <c r="X51" s="23">
        <v>10093.217505514522</v>
      </c>
      <c r="Y51" s="23">
        <v>11043.095717442862</v>
      </c>
      <c r="Z51" s="23">
        <v>10859.174953721642</v>
      </c>
      <c r="AA51" s="23">
        <v>11286.6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4771.8874060637472</v>
      </c>
      <c r="E52" s="23">
        <v>5048.7342945744313</v>
      </c>
      <c r="F52" s="23">
        <v>5485.4472459173148</v>
      </c>
      <c r="G52" s="23">
        <v>5631.1392523829054</v>
      </c>
      <c r="H52" s="23">
        <v>5861.8178009764715</v>
      </c>
      <c r="I52" s="23">
        <v>6235.9428422140018</v>
      </c>
      <c r="J52" s="23">
        <v>6834.8436757684794</v>
      </c>
      <c r="K52" s="23">
        <v>7115.6894406005003</v>
      </c>
      <c r="L52" s="23">
        <v>6901.529334916866</v>
      </c>
      <c r="M52" s="23">
        <v>5529.1882275264379</v>
      </c>
      <c r="N52" s="23">
        <v>5382.0645823699097</v>
      </c>
      <c r="O52" s="23">
        <v>5809.3140002820228</v>
      </c>
      <c r="P52" s="23">
        <v>5939.3478591321727</v>
      </c>
      <c r="Q52" s="23">
        <v>6060.0625895443563</v>
      </c>
      <c r="R52" s="23">
        <v>6090.9543987954403</v>
      </c>
      <c r="S52" s="23">
        <v>5939.4023250000009</v>
      </c>
      <c r="T52" s="23">
        <v>6489.9406269635565</v>
      </c>
      <c r="U52" s="23">
        <v>6330.8817438692104</v>
      </c>
      <c r="V52" s="23">
        <v>7211.5806904857482</v>
      </c>
      <c r="W52" s="23">
        <v>7198.535277503177</v>
      </c>
      <c r="X52" s="23">
        <v>6592.8452181553585</v>
      </c>
      <c r="Y52" s="23">
        <v>6745.428269189305</v>
      </c>
      <c r="Z52" s="23">
        <v>6205.196637823411</v>
      </c>
      <c r="AA52" s="23">
        <v>6568.6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4777.4021637730002</v>
      </c>
      <c r="E53" s="23">
        <v>5095.1916233493885</v>
      </c>
      <c r="F53" s="23">
        <v>5135.6373707254434</v>
      </c>
      <c r="G53" s="23">
        <v>4705.8134996085473</v>
      </c>
      <c r="H53" s="23">
        <v>4642.3397899850343</v>
      </c>
      <c r="I53" s="23">
        <v>4814.9580610676003</v>
      </c>
      <c r="J53" s="23">
        <v>4923.6076930313593</v>
      </c>
      <c r="K53" s="23">
        <v>5631.6748137829391</v>
      </c>
      <c r="L53" s="23">
        <v>5759.1330222825518</v>
      </c>
      <c r="M53" s="23">
        <v>5070.216845878138</v>
      </c>
      <c r="N53" s="23">
        <v>5754.0827222479111</v>
      </c>
      <c r="O53" s="23">
        <v>5746.0364460739092</v>
      </c>
      <c r="P53" s="23">
        <v>5948.9289548653096</v>
      </c>
      <c r="Q53" s="23">
        <v>5853.8712182215668</v>
      </c>
      <c r="R53" s="23">
        <v>5863.482858576861</v>
      </c>
      <c r="S53" s="23">
        <v>5643.5901699999877</v>
      </c>
      <c r="T53" s="23">
        <v>5893.733790841984</v>
      </c>
      <c r="U53" s="23">
        <v>5960.7844005449506</v>
      </c>
      <c r="V53" s="23">
        <v>5958.1991120414441</v>
      </c>
      <c r="W53" s="23">
        <v>5984.8129878077416</v>
      </c>
      <c r="X53" s="23">
        <v>5510.4224031412123</v>
      </c>
      <c r="Y53" s="23">
        <v>5792.7527849647786</v>
      </c>
      <c r="Z53" s="23">
        <v>8590.8738430410267</v>
      </c>
      <c r="AA53" s="23">
        <v>6977.1999999999971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64517.474838040944</v>
      </c>
      <c r="E54" s="30">
        <f t="shared" ref="E54:S54" si="6">SUM(E41:E53)</f>
        <v>65848.649625713282</v>
      </c>
      <c r="F54" s="30">
        <f t="shared" si="6"/>
        <v>64837.205241438307</v>
      </c>
      <c r="G54" s="30">
        <f t="shared" si="6"/>
        <v>64418.727137158414</v>
      </c>
      <c r="H54" s="30">
        <f t="shared" si="6"/>
        <v>65759.672207365249</v>
      </c>
      <c r="I54" s="30">
        <f t="shared" si="6"/>
        <v>67735.412326430611</v>
      </c>
      <c r="J54" s="30">
        <f t="shared" si="6"/>
        <v>71555.86259084176</v>
      </c>
      <c r="K54" s="30">
        <f t="shared" si="6"/>
        <v>75441.613727679854</v>
      </c>
      <c r="L54" s="30">
        <f t="shared" si="6"/>
        <v>73935.895017531962</v>
      </c>
      <c r="M54" s="30">
        <f t="shared" si="6"/>
        <v>66891.050373403472</v>
      </c>
      <c r="N54" s="30">
        <f t="shared" si="6"/>
        <v>68961.329259430524</v>
      </c>
      <c r="O54" s="30">
        <f t="shared" si="6"/>
        <v>71742.89602021889</v>
      </c>
      <c r="P54" s="30">
        <f t="shared" si="6"/>
        <v>72699.4914322767</v>
      </c>
      <c r="Q54" s="30">
        <f t="shared" si="6"/>
        <v>71930.416275373093</v>
      </c>
      <c r="R54" s="30">
        <f t="shared" si="6"/>
        <v>72749.73257433754</v>
      </c>
      <c r="S54" s="30">
        <f t="shared" si="6"/>
        <v>73840.622619999995</v>
      </c>
      <c r="T54" s="30">
        <f t="shared" ref="T54:Y54" si="7">SUM(T41:T53)</f>
        <v>77232.567183082007</v>
      </c>
      <c r="U54" s="30">
        <f t="shared" si="7"/>
        <v>78047.170562475658</v>
      </c>
      <c r="V54" s="30">
        <f t="shared" si="7"/>
        <v>79427.299157920876</v>
      </c>
      <c r="W54" s="30">
        <f t="shared" si="7"/>
        <v>79761.637777150114</v>
      </c>
      <c r="X54" s="30">
        <f t="shared" si="7"/>
        <v>72324.909900509811</v>
      </c>
      <c r="Y54" s="30">
        <f t="shared" si="7"/>
        <v>77572.481327260306</v>
      </c>
      <c r="Z54" s="30">
        <f t="shared" ref="Z54:AA54" si="8">SUM(Z41:Z53)</f>
        <v>80653.436669680144</v>
      </c>
      <c r="AA54" s="30">
        <f t="shared" si="8"/>
        <v>76173.899999999994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6483.0842834931327</v>
      </c>
      <c r="E56" s="19">
        <v>6433.0672318035658</v>
      </c>
      <c r="F56" s="19">
        <v>6566.5345864472456</v>
      </c>
      <c r="G56" s="19">
        <v>6738.6365681194011</v>
      </c>
      <c r="H56" s="19">
        <v>6932.0283863686545</v>
      </c>
      <c r="I56" s="19">
        <v>6708.1007483303711</v>
      </c>
      <c r="J56" s="19">
        <v>6730.3241080458147</v>
      </c>
      <c r="K56" s="19">
        <v>7097.674307226489</v>
      </c>
      <c r="L56" s="19">
        <v>6849.9884006334132</v>
      </c>
      <c r="M56" s="19">
        <v>7142.6726699734791</v>
      </c>
      <c r="N56" s="19">
        <v>7242.7066239457399</v>
      </c>
      <c r="O56" s="19">
        <v>6923.1890585848942</v>
      </c>
      <c r="P56" s="19">
        <v>7339.7846854603822</v>
      </c>
      <c r="Q56" s="19">
        <v>7024.2527163966824</v>
      </c>
      <c r="R56" s="19">
        <v>7391.6710301242465</v>
      </c>
      <c r="S56" s="19">
        <v>7432.6090050000012</v>
      </c>
      <c r="T56" s="19">
        <v>7829.8389834668551</v>
      </c>
      <c r="U56" s="19">
        <v>7883.6337971973535</v>
      </c>
      <c r="V56" s="19">
        <v>7750.8638192731923</v>
      </c>
      <c r="W56" s="19">
        <v>8119.0218848561881</v>
      </c>
      <c r="X56" s="19">
        <v>8040.0858846572764</v>
      </c>
      <c r="Y56" s="19">
        <v>8313.5022010205539</v>
      </c>
      <c r="Z56" s="19">
        <v>8431.4622325541368</v>
      </c>
      <c r="AA56" s="19">
        <v>8939.7999999999993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2648.7056880020727</v>
      </c>
      <c r="E57" s="23">
        <v>2426.7590267275014</v>
      </c>
      <c r="F57" s="23">
        <v>2203.2824601796638</v>
      </c>
      <c r="G57" s="23">
        <v>1921.2799338875841</v>
      </c>
      <c r="H57" s="23">
        <v>2030.466976618661</v>
      </c>
      <c r="I57" s="23">
        <v>1860.813403882189</v>
      </c>
      <c r="J57" s="23">
        <v>1857.5040922881535</v>
      </c>
      <c r="K57" s="23">
        <v>1749.9179954179667</v>
      </c>
      <c r="L57" s="23">
        <v>1602.0168419862009</v>
      </c>
      <c r="M57" s="23">
        <v>1437.4805863488575</v>
      </c>
      <c r="N57" s="23">
        <v>1531.9042632842263</v>
      </c>
      <c r="O57" s="23">
        <v>1514.1802724777904</v>
      </c>
      <c r="P57" s="23">
        <v>1381.8069179582033</v>
      </c>
      <c r="Q57" s="23">
        <v>1325.1232130345211</v>
      </c>
      <c r="R57" s="23">
        <v>1338.2866207786622</v>
      </c>
      <c r="S57" s="23">
        <v>1366.7698300000002</v>
      </c>
      <c r="T57" s="23">
        <v>1276.3570383678918</v>
      </c>
      <c r="U57" s="23">
        <v>1127.590852471779</v>
      </c>
      <c r="V57" s="23">
        <v>1187.4519125996444</v>
      </c>
      <c r="W57" s="23">
        <v>1156.6780492397495</v>
      </c>
      <c r="X57" s="23">
        <v>1037.5080544038369</v>
      </c>
      <c r="Y57" s="23">
        <v>1012.0560361865746</v>
      </c>
      <c r="Z57" s="23">
        <v>1001.9542468466143</v>
      </c>
      <c r="AA57" s="23">
        <v>964.7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2833.125673749676</v>
      </c>
      <c r="E58" s="23">
        <v>2875.2631699350554</v>
      </c>
      <c r="F58" s="23">
        <v>2828.7192068644476</v>
      </c>
      <c r="G58" s="23">
        <v>2867.6075320931041</v>
      </c>
      <c r="H58" s="23">
        <v>2927.9143379376333</v>
      </c>
      <c r="I58" s="23">
        <v>2790.994552683419</v>
      </c>
      <c r="J58" s="23">
        <v>3169.8871151720414</v>
      </c>
      <c r="K58" s="23">
        <v>3421.1458882582519</v>
      </c>
      <c r="L58" s="23">
        <v>3065.1280341590318</v>
      </c>
      <c r="M58" s="23">
        <v>2673.9528224419364</v>
      </c>
      <c r="N58" s="23">
        <v>2887.6546982008763</v>
      </c>
      <c r="O58" s="23">
        <v>2913.89063466065</v>
      </c>
      <c r="P58" s="23">
        <v>2785.5705136381998</v>
      </c>
      <c r="Q58" s="23">
        <v>2772.9139276115579</v>
      </c>
      <c r="R58" s="23">
        <v>2760.8172110745782</v>
      </c>
      <c r="S58" s="23">
        <v>2948.6074900000003</v>
      </c>
      <c r="T58" s="23">
        <v>3072.2288770420982</v>
      </c>
      <c r="U58" s="23">
        <v>3064.8153269754771</v>
      </c>
      <c r="V58" s="23">
        <v>3300.6712020416353</v>
      </c>
      <c r="W58" s="23">
        <v>3465.0840276797062</v>
      </c>
      <c r="X58" s="23">
        <v>3349.472441125054</v>
      </c>
      <c r="Y58" s="23">
        <v>4013.6979526016962</v>
      </c>
      <c r="Z58" s="23">
        <v>3915.2310689224678</v>
      </c>
      <c r="AA58" s="23">
        <v>2899.9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3018.0322557657423</v>
      </c>
      <c r="E59" s="23">
        <v>3185.986331227838</v>
      </c>
      <c r="F59" s="23">
        <v>3008.4279270778288</v>
      </c>
      <c r="G59" s="23">
        <v>2786.8671041022012</v>
      </c>
      <c r="H59" s="23">
        <v>2682.0530741676685</v>
      </c>
      <c r="I59" s="23">
        <v>2571.7569007351176</v>
      </c>
      <c r="J59" s="23">
        <v>2587.5217491004023</v>
      </c>
      <c r="K59" s="23">
        <v>2557.5724548416433</v>
      </c>
      <c r="L59" s="23">
        <v>2323.0235380613053</v>
      </c>
      <c r="M59" s="23">
        <v>2277.3537623311918</v>
      </c>
      <c r="N59" s="23">
        <v>2357.6770220871595</v>
      </c>
      <c r="O59" s="23">
        <v>2383.2282272673033</v>
      </c>
      <c r="P59" s="23">
        <v>2384.8944129089869</v>
      </c>
      <c r="Q59" s="23">
        <v>2314.056304445583</v>
      </c>
      <c r="R59" s="23">
        <v>2404.9922256706509</v>
      </c>
      <c r="S59" s="23">
        <v>2350.9743000000003</v>
      </c>
      <c r="T59" s="23">
        <v>2510.3122300109958</v>
      </c>
      <c r="U59" s="23">
        <v>2400.6380011677697</v>
      </c>
      <c r="V59" s="23">
        <v>2616.6060484410546</v>
      </c>
      <c r="W59" s="23">
        <v>2626.6279809819703</v>
      </c>
      <c r="X59" s="23">
        <v>2380.5968908170644</v>
      </c>
      <c r="Y59" s="23">
        <v>2245.5520473983038</v>
      </c>
      <c r="Z59" s="23">
        <v>2504.1311334969223</v>
      </c>
      <c r="AA59" s="23">
        <v>1880.5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2213.0398289712361</v>
      </c>
      <c r="E60" s="23">
        <v>2091.5343975191595</v>
      </c>
      <c r="F60" s="23">
        <v>2057.2789688231301</v>
      </c>
      <c r="G60" s="23">
        <v>2029.244976326288</v>
      </c>
      <c r="H60" s="23">
        <v>1912.2201476974415</v>
      </c>
      <c r="I60" s="23">
        <v>1837.9573523759193</v>
      </c>
      <c r="J60" s="23">
        <v>1842.341394435429</v>
      </c>
      <c r="K60" s="23">
        <v>1828.7522190626412</v>
      </c>
      <c r="L60" s="23">
        <v>1817.384317384912</v>
      </c>
      <c r="M60" s="23">
        <v>1643.9065770054478</v>
      </c>
      <c r="N60" s="23">
        <v>1592.27623263086</v>
      </c>
      <c r="O60" s="23">
        <v>1558.8547689036889</v>
      </c>
      <c r="P60" s="23">
        <v>1481.7430692858813</v>
      </c>
      <c r="Q60" s="23">
        <v>1340.9639469583681</v>
      </c>
      <c r="R60" s="23">
        <v>1251.9910477419626</v>
      </c>
      <c r="S60" s="23">
        <v>1210.6641350000007</v>
      </c>
      <c r="T60" s="23">
        <v>1149.2744020970788</v>
      </c>
      <c r="U60" s="23">
        <v>1107.7337534059948</v>
      </c>
      <c r="V60" s="23">
        <v>1018.9782837261754</v>
      </c>
      <c r="W60" s="23">
        <v>964.33052770324321</v>
      </c>
      <c r="X60" s="23">
        <v>821.75679361505422</v>
      </c>
      <c r="Y60" s="23">
        <v>759.12637451487706</v>
      </c>
      <c r="Z60" s="23">
        <v>757.07042059494563</v>
      </c>
      <c r="AA60" s="23">
        <v>673.20000000000073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2113.774190204716</v>
      </c>
      <c r="E61" s="23">
        <v>1477.2475947790499</v>
      </c>
      <c r="F61" s="23">
        <v>1167.2404255051458</v>
      </c>
      <c r="G61" s="23">
        <v>1019.4451341510395</v>
      </c>
      <c r="H61" s="23">
        <v>1055.3145562943155</v>
      </c>
      <c r="I61" s="23">
        <v>1253.3236138471148</v>
      </c>
      <c r="J61" s="23">
        <v>683.64629930148874</v>
      </c>
      <c r="K61" s="23">
        <v>644.0770483876538</v>
      </c>
      <c r="L61" s="23">
        <v>634.77474833163672</v>
      </c>
      <c r="M61" s="23">
        <v>611.91553757892518</v>
      </c>
      <c r="N61" s="23">
        <v>478.2893461936535</v>
      </c>
      <c r="O61" s="23">
        <v>271.17011964291521</v>
      </c>
      <c r="P61" s="23">
        <v>563.02244509641355</v>
      </c>
      <c r="Q61" s="23">
        <v>331.34626083682798</v>
      </c>
      <c r="R61" s="23">
        <v>308.63810445666758</v>
      </c>
      <c r="S61" s="23">
        <v>494.23038000000008</v>
      </c>
      <c r="T61" s="23">
        <v>875.44450498743322</v>
      </c>
      <c r="U61" s="23">
        <v>766.75203386531723</v>
      </c>
      <c r="V61" s="23">
        <v>884.00793332186333</v>
      </c>
      <c r="W61" s="23">
        <v>1070.5223885515229</v>
      </c>
      <c r="X61" s="23">
        <v>424.97154873371954</v>
      </c>
      <c r="Y61" s="23">
        <v>896.33143776052896</v>
      </c>
      <c r="Z61" s="23">
        <v>947.20029273752641</v>
      </c>
      <c r="AA61" s="23">
        <v>895.4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2432.6569448043533</v>
      </c>
      <c r="E62" s="23">
        <v>2844.7158852611105</v>
      </c>
      <c r="F62" s="23">
        <v>2552.9348343021065</v>
      </c>
      <c r="G62" s="23">
        <v>2606.7179410704744</v>
      </c>
      <c r="H62" s="23">
        <v>2581.3129186192009</v>
      </c>
      <c r="I62" s="23">
        <v>2564.3888314995438</v>
      </c>
      <c r="J62" s="23">
        <v>2987.4931089630522</v>
      </c>
      <c r="K62" s="23">
        <v>3135.4979334799277</v>
      </c>
      <c r="L62" s="23">
        <v>2962.6125494853527</v>
      </c>
      <c r="M62" s="23">
        <v>2841.3440194413929</v>
      </c>
      <c r="N62" s="23">
        <v>2873.595472462619</v>
      </c>
      <c r="O62" s="23">
        <v>3122.8695100389409</v>
      </c>
      <c r="P62" s="23">
        <v>2684.5697961179499</v>
      </c>
      <c r="Q62" s="23">
        <v>3002.1463664599519</v>
      </c>
      <c r="R62" s="23">
        <v>3252.6891548617727</v>
      </c>
      <c r="S62" s="23">
        <v>3690.3286150000004</v>
      </c>
      <c r="T62" s="23">
        <v>4547.0757196434179</v>
      </c>
      <c r="U62" s="23">
        <v>4108.3485208252241</v>
      </c>
      <c r="V62" s="23">
        <v>3783.5970302613214</v>
      </c>
      <c r="W62" s="23">
        <v>3652.0099891729042</v>
      </c>
      <c r="X62" s="23">
        <v>3656.3135863148354</v>
      </c>
      <c r="Y62" s="23">
        <v>4575.9013224090841</v>
      </c>
      <c r="Z62" s="23">
        <v>3510.5044986869862</v>
      </c>
      <c r="AA62" s="23">
        <v>2209.5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1708.763896087069</v>
      </c>
      <c r="E63" s="23">
        <v>1550.4337976437093</v>
      </c>
      <c r="F63" s="23">
        <v>1593.5958204373317</v>
      </c>
      <c r="G63" s="23">
        <v>1711.572618026818</v>
      </c>
      <c r="H63" s="23">
        <v>1560.8581417601019</v>
      </c>
      <c r="I63" s="23">
        <v>2049.2254600490078</v>
      </c>
      <c r="J63" s="23">
        <v>2041.9590477198428</v>
      </c>
      <c r="K63" s="23">
        <v>2382.7536005802376</v>
      </c>
      <c r="L63" s="23">
        <v>1968.8920088225316</v>
      </c>
      <c r="M63" s="23">
        <v>2404.0431993963402</v>
      </c>
      <c r="N63" s="23">
        <v>2472.4940322829266</v>
      </c>
      <c r="O63" s="23">
        <v>2479.6382347517651</v>
      </c>
      <c r="P63" s="23">
        <v>2544.8454833429005</v>
      </c>
      <c r="Q63" s="23">
        <v>2594.8693149137757</v>
      </c>
      <c r="R63" s="23">
        <v>2752.7390222167596</v>
      </c>
      <c r="S63" s="23">
        <v>2773.0981200000001</v>
      </c>
      <c r="T63" s="23">
        <v>2916.2638234370093</v>
      </c>
      <c r="U63" s="23">
        <v>3033.9941854807321</v>
      </c>
      <c r="V63" s="23">
        <v>2847.3000516143829</v>
      </c>
      <c r="W63" s="23">
        <v>3164.423165277974</v>
      </c>
      <c r="X63" s="23">
        <v>3097.6289619887057</v>
      </c>
      <c r="Y63" s="23">
        <v>2952.0456599468162</v>
      </c>
      <c r="Z63" s="23">
        <v>2846.6666968014119</v>
      </c>
      <c r="AA63" s="23">
        <v>3031.1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2780.7354755117908</v>
      </c>
      <c r="E64" s="23">
        <v>2686.0927455740116</v>
      </c>
      <c r="F64" s="23">
        <v>2700.6708374223094</v>
      </c>
      <c r="G64" s="23">
        <v>2642.1877244653224</v>
      </c>
      <c r="H64" s="23">
        <v>2766.8222294462571</v>
      </c>
      <c r="I64" s="23">
        <v>2685.2853144669198</v>
      </c>
      <c r="J64" s="23">
        <v>2915.3598861685368</v>
      </c>
      <c r="K64" s="23">
        <v>3051.475351423539</v>
      </c>
      <c r="L64" s="23">
        <v>3000.7018663047165</v>
      </c>
      <c r="M64" s="23">
        <v>2741.7427843803057</v>
      </c>
      <c r="N64" s="23">
        <v>2806.3317257933099</v>
      </c>
      <c r="O64" s="23">
        <v>3109.6980019741618</v>
      </c>
      <c r="P64" s="23">
        <v>2945.1223717498988</v>
      </c>
      <c r="Q64" s="23">
        <v>3015.499712412286</v>
      </c>
      <c r="R64" s="23">
        <v>3194.346679777525</v>
      </c>
      <c r="S64" s="23">
        <v>3072.5406400000006</v>
      </c>
      <c r="T64" s="23">
        <v>3225.4900447690861</v>
      </c>
      <c r="U64" s="23">
        <v>3209.418864344103</v>
      </c>
      <c r="V64" s="23">
        <v>3105.9932232226492</v>
      </c>
      <c r="W64" s="23">
        <v>3175.148425363649</v>
      </c>
      <c r="X64" s="23">
        <v>2911.4389467036435</v>
      </c>
      <c r="Y64" s="23">
        <v>2872.3092748311051</v>
      </c>
      <c r="Z64" s="23">
        <v>2981.9348314606741</v>
      </c>
      <c r="AA64" s="23">
        <v>2967.6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3760.5781614407874</v>
      </c>
      <c r="E65" s="23">
        <v>3700.3580570135859</v>
      </c>
      <c r="F65" s="23">
        <v>3655.7573224126227</v>
      </c>
      <c r="G65" s="23">
        <v>3779.0876238054411</v>
      </c>
      <c r="H65" s="23">
        <v>3805.397948919257</v>
      </c>
      <c r="I65" s="23">
        <v>3917.4069331667706</v>
      </c>
      <c r="J65" s="23">
        <v>4038.8716338578047</v>
      </c>
      <c r="K65" s="23">
        <v>4163.8017464684954</v>
      </c>
      <c r="L65" s="23">
        <v>3746.487857708405</v>
      </c>
      <c r="M65" s="23">
        <v>3255.5851393188859</v>
      </c>
      <c r="N65" s="23">
        <v>3410.6027614454638</v>
      </c>
      <c r="O65" s="23">
        <v>3343.1188510809084</v>
      </c>
      <c r="P65" s="23">
        <v>3263.1615217807257</v>
      </c>
      <c r="Q65" s="23">
        <v>3266.2022369095303</v>
      </c>
      <c r="R65" s="23">
        <v>3333.3428182199968</v>
      </c>
      <c r="S65" s="23">
        <v>3185.2071400000004</v>
      </c>
      <c r="T65" s="23">
        <v>3226.2274681903859</v>
      </c>
      <c r="U65" s="23">
        <v>3302.0041115219933</v>
      </c>
      <c r="V65" s="23">
        <v>3184.4866184932416</v>
      </c>
      <c r="W65" s="23">
        <v>3391.1858070893945</v>
      </c>
      <c r="X65" s="23">
        <v>2953.3746670693872</v>
      </c>
      <c r="Y65" s="23">
        <v>3050.0010780508837</v>
      </c>
      <c r="Z65" s="23">
        <v>2905.7319858797196</v>
      </c>
      <c r="AA65" s="23">
        <v>2598.7000000000003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3977.2756996631247</v>
      </c>
      <c r="E66" s="23">
        <v>4321.9634800401609</v>
      </c>
      <c r="F66" s="23">
        <v>3824.9134709745604</v>
      </c>
      <c r="G66" s="23">
        <v>3922.5224496389915</v>
      </c>
      <c r="H66" s="23">
        <v>4447.1557386098775</v>
      </c>
      <c r="I66" s="23">
        <v>5267.7183971556242</v>
      </c>
      <c r="J66" s="23">
        <v>5560.88263482208</v>
      </c>
      <c r="K66" s="23">
        <v>5944.7057712897622</v>
      </c>
      <c r="L66" s="23">
        <v>5883.1710948987675</v>
      </c>
      <c r="M66" s="23">
        <v>4406.9031814197097</v>
      </c>
      <c r="N66" s="23">
        <v>4832.5142586597958</v>
      </c>
      <c r="O66" s="23">
        <v>5119.2356086819755</v>
      </c>
      <c r="P66" s="23">
        <v>5227.9515009460638</v>
      </c>
      <c r="Q66" s="23">
        <v>4736.9031038557669</v>
      </c>
      <c r="R66" s="23">
        <v>4870.8914308248577</v>
      </c>
      <c r="S66" s="23">
        <v>5477.4696750000003</v>
      </c>
      <c r="T66" s="23">
        <v>5021.3618834432928</v>
      </c>
      <c r="U66" s="23">
        <v>5356.3001946282602</v>
      </c>
      <c r="V66" s="23">
        <v>5670.908499168434</v>
      </c>
      <c r="W66" s="23">
        <v>5243.2378618839148</v>
      </c>
      <c r="X66" s="23">
        <v>4252.694527581757</v>
      </c>
      <c r="Y66" s="23">
        <v>4285.184036761535</v>
      </c>
      <c r="Z66" s="23">
        <v>5652.6990615179302</v>
      </c>
      <c r="AA66" s="23">
        <v>5479.3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5767.9499676081878</v>
      </c>
      <c r="E67" s="23">
        <v>6125.8442802130066</v>
      </c>
      <c r="F67" s="23">
        <v>6124.5865856420332</v>
      </c>
      <c r="G67" s="23">
        <v>6359.8255042314431</v>
      </c>
      <c r="H67" s="23">
        <v>6384.1002232635747</v>
      </c>
      <c r="I67" s="23">
        <v>6328.4196295584497</v>
      </c>
      <c r="J67" s="23">
        <v>7220.3883910722261</v>
      </c>
      <c r="K67" s="23">
        <v>7455.2386744338664</v>
      </c>
      <c r="L67" s="23">
        <v>7117.1800022621874</v>
      </c>
      <c r="M67" s="23">
        <v>6731.3487410810394</v>
      </c>
      <c r="N67" s="23">
        <v>6356.5618957961724</v>
      </c>
      <c r="O67" s="23">
        <v>6865.3430540942163</v>
      </c>
      <c r="P67" s="23">
        <v>6886.5456289729354</v>
      </c>
      <c r="Q67" s="23">
        <v>7271.4205316712505</v>
      </c>
      <c r="R67" s="23">
        <v>7128.9375544151844</v>
      </c>
      <c r="S67" s="23">
        <v>7327.2032350000009</v>
      </c>
      <c r="T67" s="23">
        <v>7765.9289536207971</v>
      </c>
      <c r="U67" s="23">
        <v>7830.1536346827552</v>
      </c>
      <c r="V67" s="23">
        <v>7920.773302938197</v>
      </c>
      <c r="W67" s="23">
        <v>7932.0959233629892</v>
      </c>
      <c r="X67" s="23">
        <v>7338.063593179384</v>
      </c>
      <c r="Y67" s="23">
        <v>8099.822184490441</v>
      </c>
      <c r="Z67" s="23">
        <v>8235.5120582031086</v>
      </c>
      <c r="AA67" s="23">
        <v>7729.3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4801.2453809277013</v>
      </c>
      <c r="E68" s="23">
        <v>4856.7000622752048</v>
      </c>
      <c r="F68" s="23">
        <v>4663.2916635213005</v>
      </c>
      <c r="G68" s="23">
        <v>4471.3706769066348</v>
      </c>
      <c r="H68" s="23">
        <v>4646.4861073627908</v>
      </c>
      <c r="I68" s="23">
        <v>5084.4188788257343</v>
      </c>
      <c r="J68" s="23">
        <v>5453.7132752416564</v>
      </c>
      <c r="K68" s="23">
        <v>3747.8683471293216</v>
      </c>
      <c r="L68" s="23">
        <v>3556.6076575048078</v>
      </c>
      <c r="M68" s="23">
        <v>3223.4960384833048</v>
      </c>
      <c r="N68" s="23">
        <v>3285.3102497192308</v>
      </c>
      <c r="O68" s="23">
        <v>3846.7592986300178</v>
      </c>
      <c r="P68" s="23">
        <v>3847.2091491804326</v>
      </c>
      <c r="Q68" s="23">
        <v>3960.4453112744841</v>
      </c>
      <c r="R68" s="23">
        <v>3887.7886693502955</v>
      </c>
      <c r="S68" s="23">
        <v>3792.8551300000008</v>
      </c>
      <c r="T68" s="23">
        <v>4215.1122761545712</v>
      </c>
      <c r="U68" s="23">
        <v>4409.6160422343328</v>
      </c>
      <c r="V68" s="23">
        <v>4801.8573865917297</v>
      </c>
      <c r="W68" s="23">
        <v>5007.1642799981164</v>
      </c>
      <c r="X68" s="23">
        <v>4528.1411717327037</v>
      </c>
      <c r="Y68" s="23">
        <v>5126.8583755569925</v>
      </c>
      <c r="Z68" s="23">
        <v>5442.5214817684791</v>
      </c>
      <c r="AA68" s="23">
        <v>5045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3970.787749416947</v>
      </c>
      <c r="E69" s="23">
        <v>4078.221604412643</v>
      </c>
      <c r="F69" s="23">
        <v>4028.5623537404699</v>
      </c>
      <c r="G69" s="23">
        <v>3948.6580795088789</v>
      </c>
      <c r="H69" s="23">
        <v>3837.1863821487277</v>
      </c>
      <c r="I69" s="23">
        <v>3769.1433358958343</v>
      </c>
      <c r="J69" s="23">
        <v>4078.4713010654064</v>
      </c>
      <c r="K69" s="23">
        <v>6124.2806207619069</v>
      </c>
      <c r="L69" s="23">
        <v>6985.9205350073526</v>
      </c>
      <c r="M69" s="23">
        <v>6637.0262325643325</v>
      </c>
      <c r="N69" s="23">
        <v>6924.9956893704166</v>
      </c>
      <c r="O69" s="23">
        <v>6485.541940102612</v>
      </c>
      <c r="P69" s="23">
        <v>7197.1328156557602</v>
      </c>
      <c r="Q69" s="23">
        <v>6691.0736433703187</v>
      </c>
      <c r="R69" s="23">
        <v>6652.5808622438008</v>
      </c>
      <c r="S69" s="23">
        <v>6721.6833900000001</v>
      </c>
      <c r="T69" s="23">
        <v>6913.344574693685</v>
      </c>
      <c r="U69" s="23">
        <v>7303.1486619307125</v>
      </c>
      <c r="V69" s="23">
        <v>7082.1144501156541</v>
      </c>
      <c r="W69" s="23">
        <v>6437.5132514239986</v>
      </c>
      <c r="X69" s="23">
        <v>5336.3777057762882</v>
      </c>
      <c r="Y69" s="23">
        <v>5788.8165741339662</v>
      </c>
      <c r="Z69" s="23">
        <v>5865.5712256231436</v>
      </c>
      <c r="AA69" s="23">
        <v>6027.5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6458.4300725576577</v>
      </c>
      <c r="E70" s="23">
        <v>7050.5360433638771</v>
      </c>
      <c r="F70" s="23">
        <v>7240.3241614453591</v>
      </c>
      <c r="G70" s="23">
        <v>7276.7505188333398</v>
      </c>
      <c r="H70" s="23">
        <v>7686.1974471895783</v>
      </c>
      <c r="I70" s="23">
        <v>7995.5580706769815</v>
      </c>
      <c r="J70" s="23">
        <v>8629.047184787978</v>
      </c>
      <c r="K70" s="23">
        <v>9389.487514534716</v>
      </c>
      <c r="L70" s="23">
        <v>9761.343207781927</v>
      </c>
      <c r="M70" s="23">
        <v>8262.874008233739</v>
      </c>
      <c r="N70" s="23">
        <v>8772.2676829402571</v>
      </c>
      <c r="O70" s="23">
        <v>10250.827992971113</v>
      </c>
      <c r="P70" s="23">
        <v>10277.854306184494</v>
      </c>
      <c r="Q70" s="23">
        <v>10369.265877456261</v>
      </c>
      <c r="R70" s="23">
        <v>10265.582885208289</v>
      </c>
      <c r="S70" s="23">
        <v>10413.38904</v>
      </c>
      <c r="T70" s="23">
        <v>10304.631985351869</v>
      </c>
      <c r="U70" s="23">
        <v>10851.356437329701</v>
      </c>
      <c r="V70" s="23">
        <v>11101.909593584522</v>
      </c>
      <c r="W70" s="23">
        <v>11173.245949253873</v>
      </c>
      <c r="X70" s="23">
        <v>10093.217505514522</v>
      </c>
      <c r="Y70" s="23">
        <v>11043.095717442862</v>
      </c>
      <c r="Z70" s="23">
        <v>10859.174953721642</v>
      </c>
      <c r="AA70" s="23">
        <v>11286.6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4109.4676859289966</v>
      </c>
      <c r="E71" s="23">
        <v>4377.1713330706752</v>
      </c>
      <c r="F71" s="23">
        <v>4569.7360282831332</v>
      </c>
      <c r="G71" s="23">
        <v>4623.2062409126502</v>
      </c>
      <c r="H71" s="23">
        <v>4955.463535660836</v>
      </c>
      <c r="I71" s="23">
        <v>5343.8049896699185</v>
      </c>
      <c r="J71" s="23">
        <v>5571.0401702768177</v>
      </c>
      <c r="K71" s="23">
        <v>5762.9691058127355</v>
      </c>
      <c r="L71" s="23">
        <v>5385.4612487275199</v>
      </c>
      <c r="M71" s="23">
        <v>4386.621758380772</v>
      </c>
      <c r="N71" s="23">
        <v>4298.952858338288</v>
      </c>
      <c r="O71" s="23">
        <v>4623.4709082231448</v>
      </c>
      <c r="P71" s="23">
        <v>5074.3878276675814</v>
      </c>
      <c r="Q71" s="23">
        <v>4902.7726070087738</v>
      </c>
      <c r="R71" s="23">
        <v>4968.3425979985459</v>
      </c>
      <c r="S71" s="23">
        <v>4827.7595250000004</v>
      </c>
      <c r="T71" s="23">
        <v>5298.8788976594406</v>
      </c>
      <c r="U71" s="23">
        <v>5062.2202121448036</v>
      </c>
      <c r="V71" s="23">
        <v>5556.3990795434993</v>
      </c>
      <c r="W71" s="23">
        <v>5486.1473238243188</v>
      </c>
      <c r="X71" s="23">
        <v>4863.1686207748699</v>
      </c>
      <c r="Y71" s="23">
        <v>5049.8211064395573</v>
      </c>
      <c r="Z71" s="23">
        <v>4629.4037065736802</v>
      </c>
      <c r="AA71" s="23">
        <v>5028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662.41972013475004</v>
      </c>
      <c r="E72" s="23">
        <v>671.56296150375613</v>
      </c>
      <c r="F72" s="23">
        <v>915.71121763418148</v>
      </c>
      <c r="G72" s="23">
        <v>1007.9330114702551</v>
      </c>
      <c r="H72" s="23">
        <v>906.35426531563553</v>
      </c>
      <c r="I72" s="23">
        <v>892.13785254408333</v>
      </c>
      <c r="J72" s="23">
        <v>1263.803505491662</v>
      </c>
      <c r="K72" s="23">
        <v>1352.7203347877648</v>
      </c>
      <c r="L72" s="23">
        <v>1516.0680861893456</v>
      </c>
      <c r="M72" s="23">
        <v>1142.5664691456661</v>
      </c>
      <c r="N72" s="23">
        <v>1083.1117240316219</v>
      </c>
      <c r="O72" s="23">
        <v>1185.8430920588773</v>
      </c>
      <c r="P72" s="23">
        <v>864.96003146459168</v>
      </c>
      <c r="Q72" s="23">
        <v>1157.2899825355823</v>
      </c>
      <c r="R72" s="23">
        <v>1122.6118007968944</v>
      </c>
      <c r="S72" s="23">
        <v>1111.6428000000001</v>
      </c>
      <c r="T72" s="23">
        <v>1191.0617293041162</v>
      </c>
      <c r="U72" s="23">
        <v>1268.661531724407</v>
      </c>
      <c r="V72" s="23">
        <v>1655.1816109422493</v>
      </c>
      <c r="W72" s="23">
        <v>1712.3879536788586</v>
      </c>
      <c r="X72" s="23">
        <v>1729.6765973804886</v>
      </c>
      <c r="Y72" s="23">
        <v>1695.6071627497481</v>
      </c>
      <c r="Z72" s="23">
        <v>1575.7929312497311</v>
      </c>
      <c r="AA72" s="23">
        <v>1540.6000000000004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3764.1465340761852</v>
      </c>
      <c r="E73" s="23">
        <v>3905.4385254756421</v>
      </c>
      <c r="F73" s="23">
        <v>4050.9275055987523</v>
      </c>
      <c r="G73" s="23">
        <v>3527.8433247586026</v>
      </c>
      <c r="H73" s="23">
        <v>3569.6721276282537</v>
      </c>
      <c r="I73" s="23">
        <v>3585.8438175659444</v>
      </c>
      <c r="J73" s="23">
        <v>3733.1150956043184</v>
      </c>
      <c r="K73" s="23">
        <v>3981.4885967235009</v>
      </c>
      <c r="L73" s="23">
        <v>3763.6209704784528</v>
      </c>
      <c r="M73" s="23">
        <v>3263.9199707047501</v>
      </c>
      <c r="N73" s="23">
        <v>3436.1023375393625</v>
      </c>
      <c r="O73" s="23">
        <v>3439.6646473083051</v>
      </c>
      <c r="P73" s="23">
        <v>3404.0834715224187</v>
      </c>
      <c r="Q73" s="23">
        <v>3404.0558965939153</v>
      </c>
      <c r="R73" s="23">
        <v>3466.184146104129</v>
      </c>
      <c r="S73" s="23">
        <v>3297.2477150000004</v>
      </c>
      <c r="T73" s="23">
        <v>3356.7514137606031</v>
      </c>
      <c r="U73" s="23">
        <v>3453.1860743479956</v>
      </c>
      <c r="V73" s="23">
        <v>3405.3689472577466</v>
      </c>
      <c r="W73" s="23">
        <v>3293.9513063126678</v>
      </c>
      <c r="X73" s="23">
        <v>2953.8329809531656</v>
      </c>
      <c r="Y73" s="23">
        <v>3231.2917026016958</v>
      </c>
      <c r="Z73" s="23">
        <v>3326.4104955013131</v>
      </c>
      <c r="AA73" s="23">
        <v>3295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1013.2556296968153</v>
      </c>
      <c r="E74" s="23">
        <v>1189.7530978737468</v>
      </c>
      <c r="F74" s="23">
        <v>1084.7098651266908</v>
      </c>
      <c r="G74" s="23">
        <v>1177.9701748499449</v>
      </c>
      <c r="H74" s="23">
        <v>1072.6676623567801</v>
      </c>
      <c r="I74" s="23">
        <v>1229.1142435016557</v>
      </c>
      <c r="J74" s="23">
        <v>1190.4925974270411</v>
      </c>
      <c r="K74" s="23">
        <v>1650.1862170594379</v>
      </c>
      <c r="L74" s="23">
        <v>1995.5120518040987</v>
      </c>
      <c r="M74" s="23">
        <v>1806.2968751733877</v>
      </c>
      <c r="N74" s="23">
        <v>2317.9803847085486</v>
      </c>
      <c r="O74" s="23">
        <v>2306.3717987656041</v>
      </c>
      <c r="P74" s="23">
        <v>2544.8454833428909</v>
      </c>
      <c r="Q74" s="23">
        <v>2449.8153216276514</v>
      </c>
      <c r="R74" s="23">
        <v>2397.2987124727324</v>
      </c>
      <c r="S74" s="23">
        <v>2346.3424549999872</v>
      </c>
      <c r="T74" s="23">
        <v>2536.9823770813809</v>
      </c>
      <c r="U74" s="23">
        <v>2507.598326196955</v>
      </c>
      <c r="V74" s="23">
        <v>2552.8301647836975</v>
      </c>
      <c r="W74" s="23">
        <v>2690.8616814950738</v>
      </c>
      <c r="X74" s="23">
        <v>2556.5894221880471</v>
      </c>
      <c r="Y74" s="23">
        <v>2561.4610823630828</v>
      </c>
      <c r="Z74" s="23">
        <v>5264.4633475397141</v>
      </c>
      <c r="AA74" s="23">
        <v>3682.1999999999971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64517.474838040944</v>
      </c>
      <c r="E75" s="30">
        <f t="shared" ref="E75:S75" si="9">SUM(E56:E74)</f>
        <v>65848.649625713297</v>
      </c>
      <c r="F75" s="30">
        <f t="shared" si="9"/>
        <v>64837.205241438314</v>
      </c>
      <c r="G75" s="30">
        <f t="shared" si="9"/>
        <v>64418.727137158414</v>
      </c>
      <c r="H75" s="30">
        <f t="shared" si="9"/>
        <v>65759.672207365249</v>
      </c>
      <c r="I75" s="30">
        <f t="shared" si="9"/>
        <v>67735.412326430596</v>
      </c>
      <c r="J75" s="30">
        <f t="shared" si="9"/>
        <v>71555.86259084176</v>
      </c>
      <c r="K75" s="30">
        <f t="shared" si="9"/>
        <v>75441.613727679854</v>
      </c>
      <c r="L75" s="30">
        <f t="shared" si="9"/>
        <v>73935.895017531962</v>
      </c>
      <c r="M75" s="30">
        <f t="shared" si="9"/>
        <v>66891.050373403472</v>
      </c>
      <c r="N75" s="30">
        <f t="shared" si="9"/>
        <v>68961.329259430509</v>
      </c>
      <c r="O75" s="30">
        <f t="shared" si="9"/>
        <v>71742.896020218861</v>
      </c>
      <c r="P75" s="30">
        <f t="shared" si="9"/>
        <v>72699.4914322767</v>
      </c>
      <c r="Q75" s="30">
        <f t="shared" si="9"/>
        <v>71930.416275373093</v>
      </c>
      <c r="R75" s="30">
        <f t="shared" si="9"/>
        <v>72749.732574337555</v>
      </c>
      <c r="S75" s="30">
        <f t="shared" si="9"/>
        <v>73840.622620000009</v>
      </c>
      <c r="T75" s="30">
        <f t="shared" ref="T75:Y75" si="10">SUM(T56:T74)</f>
        <v>77232.567183082007</v>
      </c>
      <c r="U75" s="30">
        <f t="shared" si="10"/>
        <v>78047.170562475672</v>
      </c>
      <c r="V75" s="30">
        <f t="shared" si="10"/>
        <v>79427.29915792089</v>
      </c>
      <c r="W75" s="30">
        <f t="shared" si="10"/>
        <v>79761.637777150114</v>
      </c>
      <c r="X75" s="30">
        <f t="shared" si="10"/>
        <v>72324.909900509811</v>
      </c>
      <c r="Y75" s="30">
        <f t="shared" si="10"/>
        <v>77572.481327260306</v>
      </c>
      <c r="Z75" s="30">
        <f t="shared" ref="Z75:AA75" si="11">SUM(Z56:Z74)</f>
        <v>80653.436669680144</v>
      </c>
      <c r="AA75" s="30">
        <f t="shared" si="11"/>
        <v>76173.900000000009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8002186</v>
      </c>
      <c r="E3" s="42">
        <v>8020946</v>
      </c>
      <c r="F3" s="42">
        <v>8063640</v>
      </c>
      <c r="G3" s="42">
        <v>8100273</v>
      </c>
      <c r="H3" s="42">
        <v>8142573</v>
      </c>
      <c r="I3" s="42">
        <v>8201359</v>
      </c>
      <c r="J3" s="42">
        <v>8254298</v>
      </c>
      <c r="K3" s="42">
        <v>8282984</v>
      </c>
      <c r="L3" s="42">
        <v>8307989</v>
      </c>
      <c r="M3" s="42">
        <v>8335003</v>
      </c>
      <c r="N3" s="42">
        <v>8351643</v>
      </c>
      <c r="O3" s="42">
        <v>8375164</v>
      </c>
      <c r="P3" s="42">
        <v>8408121</v>
      </c>
      <c r="Q3" s="42">
        <v>8451860</v>
      </c>
      <c r="R3" s="42">
        <v>8507786</v>
      </c>
      <c r="S3" s="42">
        <v>8584926</v>
      </c>
      <c r="T3" s="42">
        <v>8700471</v>
      </c>
      <c r="U3" s="42">
        <v>8772865</v>
      </c>
      <c r="V3" s="42">
        <v>8822267</v>
      </c>
      <c r="W3" s="42">
        <v>8858775</v>
      </c>
      <c r="X3" s="42">
        <v>8901064</v>
      </c>
      <c r="Y3" s="42">
        <v>8932664</v>
      </c>
      <c r="Z3" s="42">
        <v>8978929</v>
      </c>
      <c r="AA3" s="42">
        <v>9104772</v>
      </c>
    </row>
    <row r="4" spans="1:27" x14ac:dyDescent="0.25">
      <c r="A4" s="43" t="s">
        <v>239</v>
      </c>
      <c r="B4" s="44"/>
      <c r="C4" s="44"/>
      <c r="D4" s="45">
        <v>3279631</v>
      </c>
      <c r="E4" s="45">
        <v>3332374</v>
      </c>
      <c r="F4" s="45">
        <v>3396664</v>
      </c>
      <c r="G4" s="45">
        <v>3460177</v>
      </c>
      <c r="H4" s="45">
        <v>3478246</v>
      </c>
      <c r="I4" s="45">
        <v>3519897</v>
      </c>
      <c r="J4" s="45">
        <v>3553292</v>
      </c>
      <c r="K4" s="45">
        <v>3577963</v>
      </c>
      <c r="L4" s="45">
        <v>3610599</v>
      </c>
      <c r="M4" s="45">
        <v>3639739</v>
      </c>
      <c r="N4" s="45">
        <v>3669439</v>
      </c>
      <c r="O4" s="45">
        <v>3687875</v>
      </c>
      <c r="P4" s="45">
        <v>3712195</v>
      </c>
      <c r="Q4" s="45">
        <v>3759724</v>
      </c>
      <c r="R4" s="45">
        <v>3827164</v>
      </c>
      <c r="S4" s="45">
        <v>3877564</v>
      </c>
      <c r="T4" s="45">
        <v>3931528</v>
      </c>
      <c r="U4" s="45">
        <v>3960661</v>
      </c>
      <c r="V4" s="45">
        <v>4001028</v>
      </c>
      <c r="W4" s="45">
        <v>4023059</v>
      </c>
      <c r="X4" s="45">
        <v>4066270</v>
      </c>
      <c r="Y4" s="45">
        <v>4086306</v>
      </c>
      <c r="Z4" s="45">
        <v>4105592</v>
      </c>
      <c r="AA4" s="45">
        <v>4168852</v>
      </c>
    </row>
    <row r="5" spans="1:27" x14ac:dyDescent="0.25">
      <c r="A5" s="46" t="s">
        <v>240</v>
      </c>
      <c r="B5" s="47"/>
      <c r="C5" s="47"/>
      <c r="D5" s="48">
        <f>D3/D4</f>
        <v>2.4399653497603846</v>
      </c>
      <c r="E5" s="48">
        <f t="shared" ref="E5:S5" si="0">E3/E4</f>
        <v>2.4069765278447135</v>
      </c>
      <c r="F5" s="48">
        <f t="shared" si="0"/>
        <v>2.3739881248189398</v>
      </c>
      <c r="G5" s="48">
        <f t="shared" si="0"/>
        <v>2.3409996078235302</v>
      </c>
      <c r="H5" s="48">
        <f t="shared" si="0"/>
        <v>2.3409997452739111</v>
      </c>
      <c r="I5" s="48">
        <f t="shared" si="0"/>
        <v>2.3299997130597854</v>
      </c>
      <c r="J5" s="48">
        <f t="shared" si="0"/>
        <v>2.323000192497549</v>
      </c>
      <c r="K5" s="48">
        <f t="shared" si="0"/>
        <v>2.3149999035764206</v>
      </c>
      <c r="L5" s="48">
        <f t="shared" si="0"/>
        <v>2.3010001941506104</v>
      </c>
      <c r="M5" s="48">
        <f t="shared" si="0"/>
        <v>2.2900001895740325</v>
      </c>
      <c r="N5" s="48">
        <f t="shared" si="0"/>
        <v>2.2759999553065198</v>
      </c>
      <c r="O5" s="48">
        <f t="shared" si="0"/>
        <v>2.2709999661051419</v>
      </c>
      <c r="P5" s="48">
        <f t="shared" si="0"/>
        <v>2.2649998181668796</v>
      </c>
      <c r="Q5" s="48">
        <f t="shared" si="0"/>
        <v>2.2480001191576831</v>
      </c>
      <c r="R5" s="48">
        <f t="shared" si="0"/>
        <v>2.2230001118321554</v>
      </c>
      <c r="S5" s="48">
        <f t="shared" si="0"/>
        <v>2.213999820505864</v>
      </c>
      <c r="T5" s="48">
        <f t="shared" ref="T5:Y5" si="1">T3/T4</f>
        <v>2.2129998819797292</v>
      </c>
      <c r="U5" s="48">
        <f t="shared" si="1"/>
        <v>2.215000223447551</v>
      </c>
      <c r="V5" s="48">
        <f t="shared" si="1"/>
        <v>2.2050000649832993</v>
      </c>
      <c r="W5" s="48">
        <f t="shared" si="1"/>
        <v>2.2019997718154269</v>
      </c>
      <c r="X5" s="48">
        <f t="shared" si="1"/>
        <v>2.188999746696604</v>
      </c>
      <c r="Y5" s="48">
        <f t="shared" si="1"/>
        <v>2.1859997758366605</v>
      </c>
      <c r="Z5" s="48">
        <f t="shared" ref="Z5:AA5" si="2">Z3/Z4</f>
        <v>2.1869998285265559</v>
      </c>
      <c r="AA5" s="48">
        <f t="shared" si="2"/>
        <v>2.1839998157766214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4172.08</v>
      </c>
      <c r="E8" s="42">
        <v>3895.58</v>
      </c>
      <c r="F8" s="42">
        <v>3776.5</v>
      </c>
      <c r="G8" s="42">
        <v>3759.25</v>
      </c>
      <c r="H8" s="42">
        <v>4059.58</v>
      </c>
      <c r="I8" s="42">
        <v>4088.32</v>
      </c>
      <c r="J8" s="42">
        <v>4019.18</v>
      </c>
      <c r="K8" s="42">
        <v>4070.1</v>
      </c>
      <c r="L8" s="42">
        <v>3748.78</v>
      </c>
      <c r="M8" s="42">
        <v>3600.87</v>
      </c>
      <c r="N8" s="42">
        <v>3656.47</v>
      </c>
      <c r="O8" s="42">
        <v>3985.29</v>
      </c>
      <c r="P8" s="42">
        <v>3607.9</v>
      </c>
      <c r="Q8" s="42">
        <v>3770.87</v>
      </c>
      <c r="R8" s="42">
        <v>3387.55</v>
      </c>
      <c r="S8" s="42">
        <v>3799.71</v>
      </c>
      <c r="T8" s="42">
        <v>4118.12</v>
      </c>
      <c r="U8" s="42">
        <v>3684.51</v>
      </c>
      <c r="V8" s="42">
        <v>3710.62</v>
      </c>
      <c r="W8" s="42">
        <v>3649.53</v>
      </c>
      <c r="X8" s="42">
        <v>3408.97</v>
      </c>
      <c r="Y8" s="42">
        <v>3747.09</v>
      </c>
      <c r="Z8" s="42">
        <v>3480.79</v>
      </c>
      <c r="AA8" s="42">
        <v>3703.61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3808.0847619047618</v>
      </c>
      <c r="E9" s="45">
        <f t="shared" si="3"/>
        <v>3808.0847619047618</v>
      </c>
      <c r="F9" s="45">
        <f t="shared" si="3"/>
        <v>3808.0847619047618</v>
      </c>
      <c r="G9" s="45">
        <f t="shared" si="3"/>
        <v>3808.0847619047618</v>
      </c>
      <c r="H9" s="45">
        <f t="shared" si="3"/>
        <v>3808.0847619047618</v>
      </c>
      <c r="I9" s="45">
        <f t="shared" si="3"/>
        <v>3808.0847619047618</v>
      </c>
      <c r="J9" s="45">
        <f t="shared" si="3"/>
        <v>3808.0847619047618</v>
      </c>
      <c r="K9" s="45">
        <f t="shared" si="3"/>
        <v>3808.0847619047618</v>
      </c>
      <c r="L9" s="45">
        <f t="shared" si="3"/>
        <v>3808.0847619047618</v>
      </c>
      <c r="M9" s="45">
        <f t="shared" si="3"/>
        <v>3808.0847619047618</v>
      </c>
      <c r="N9" s="45">
        <f t="shared" si="3"/>
        <v>3808.0847619047618</v>
      </c>
      <c r="O9" s="45">
        <f t="shared" si="3"/>
        <v>3808.0847619047618</v>
      </c>
      <c r="P9" s="45">
        <f t="shared" si="3"/>
        <v>3808.0847619047618</v>
      </c>
      <c r="Q9" s="45">
        <f t="shared" si="3"/>
        <v>3808.0847619047618</v>
      </c>
      <c r="R9" s="45">
        <f t="shared" si="3"/>
        <v>3808.0847619047618</v>
      </c>
      <c r="S9" s="45">
        <f t="shared" si="3"/>
        <v>3808.0847619047618</v>
      </c>
      <c r="T9" s="45">
        <f t="shared" si="3"/>
        <v>3808.0847619047618</v>
      </c>
      <c r="U9" s="45">
        <f t="shared" si="3"/>
        <v>3808.0847619047618</v>
      </c>
      <c r="V9" s="45">
        <f t="shared" si="3"/>
        <v>3808.0847619047618</v>
      </c>
      <c r="W9" s="45">
        <f t="shared" si="3"/>
        <v>3808.0847619047618</v>
      </c>
      <c r="X9" s="45">
        <f>AVERAGE($D8:$X8)</f>
        <v>3808.0847619047618</v>
      </c>
      <c r="Y9" s="45">
        <f t="shared" ref="Y9:AA9" si="4">AVERAGE($D8:$X8)</f>
        <v>3808.0847619047618</v>
      </c>
      <c r="Z9" s="45">
        <f t="shared" si="4"/>
        <v>3808.0847619047618</v>
      </c>
      <c r="AA9" s="45">
        <f t="shared" si="4"/>
        <v>3808.0847619047618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1.0955848571797997</v>
      </c>
      <c r="E10" s="53">
        <f t="shared" si="5"/>
        <v>1.0229761792517122</v>
      </c>
      <c r="F10" s="53">
        <f t="shared" si="5"/>
        <v>0.9917058668912182</v>
      </c>
      <c r="G10" s="53">
        <f t="shared" si="5"/>
        <v>0.98717603074561422</v>
      </c>
      <c r="H10" s="53">
        <f t="shared" si="5"/>
        <v>1.0660424475345562</v>
      </c>
      <c r="I10" s="53">
        <f t="shared" si="5"/>
        <v>1.0735895484519278</v>
      </c>
      <c r="J10" s="53">
        <f t="shared" si="5"/>
        <v>1.0554334399819532</v>
      </c>
      <c r="K10" s="53">
        <f t="shared" si="5"/>
        <v>1.0688049910853825</v>
      </c>
      <c r="L10" s="53">
        <f t="shared" si="5"/>
        <v>0.9844266171546302</v>
      </c>
      <c r="M10" s="53">
        <f t="shared" si="5"/>
        <v>0.9455855699490483</v>
      </c>
      <c r="N10" s="53">
        <f t="shared" si="5"/>
        <v>0.96018608529371974</v>
      </c>
      <c r="O10" s="53">
        <f t="shared" si="5"/>
        <v>1.0465339532008215</v>
      </c>
      <c r="P10" s="53">
        <f t="shared" si="5"/>
        <v>0.94743164230288002</v>
      </c>
      <c r="Q10" s="53">
        <f t="shared" si="5"/>
        <v>0.99022743341297181</v>
      </c>
      <c r="R10" s="53">
        <f t="shared" si="5"/>
        <v>0.88956790927772977</v>
      </c>
      <c r="S10" s="53">
        <f t="shared" si="5"/>
        <v>0.99780079425002799</v>
      </c>
      <c r="T10" s="53">
        <f t="shared" ref="T10:Y10" si="6">IF(T8=0,0,T8/T9)</f>
        <v>1.0814150045179567</v>
      </c>
      <c r="U10" s="53">
        <f t="shared" si="6"/>
        <v>0.96754936677329872</v>
      </c>
      <c r="V10" s="53">
        <f t="shared" si="6"/>
        <v>0.97440583180296358</v>
      </c>
      <c r="W10" s="53">
        <f t="shared" si="6"/>
        <v>0.95836364686760434</v>
      </c>
      <c r="X10" s="53">
        <f t="shared" si="6"/>
        <v>0.89519278407418401</v>
      </c>
      <c r="Y10" s="53">
        <f t="shared" si="6"/>
        <v>0.98398282451195951</v>
      </c>
      <c r="Z10" s="53">
        <f t="shared" ref="Z10:AA10" si="7">IF(Z8=0,0,Z8/Z9)</f>
        <v>0.91405265839170746</v>
      </c>
      <c r="AA10" s="53">
        <f t="shared" si="7"/>
        <v>0.97256501143306895</v>
      </c>
    </row>
    <row r="11" spans="1:27" x14ac:dyDescent="0.25">
      <c r="A11" s="43" t="s">
        <v>251</v>
      </c>
      <c r="B11" s="44"/>
      <c r="C11" s="44"/>
      <c r="D11" s="45">
        <v>1.1499999999999999</v>
      </c>
      <c r="E11" s="45">
        <v>3.53</v>
      </c>
      <c r="F11" s="45">
        <v>1.72</v>
      </c>
      <c r="G11" s="45">
        <v>14.26</v>
      </c>
      <c r="H11" s="45">
        <v>3.11</v>
      </c>
      <c r="I11" s="45">
        <v>3.41</v>
      </c>
      <c r="J11" s="45">
        <v>6.51</v>
      </c>
      <c r="K11" s="45">
        <v>3.39</v>
      </c>
      <c r="L11" s="45">
        <v>12.34</v>
      </c>
      <c r="M11" s="45">
        <v>3.85</v>
      </c>
      <c r="N11" s="45">
        <v>4.42</v>
      </c>
      <c r="O11" s="45">
        <v>5.26</v>
      </c>
      <c r="P11" s="45">
        <v>33.090000000000003</v>
      </c>
      <c r="Q11" s="45">
        <v>8.2200000000000006</v>
      </c>
      <c r="R11" s="45">
        <v>30.52</v>
      </c>
      <c r="S11" s="45">
        <v>6.43</v>
      </c>
      <c r="T11" s="45">
        <v>1.46</v>
      </c>
      <c r="U11" s="45">
        <v>2.0699999999999998</v>
      </c>
      <c r="V11" s="45">
        <v>17.57</v>
      </c>
      <c r="W11" s="45">
        <v>5.39</v>
      </c>
      <c r="X11" s="45">
        <v>18.43</v>
      </c>
      <c r="Y11" s="45">
        <v>13.41</v>
      </c>
      <c r="Z11" s="45">
        <v>15.8</v>
      </c>
      <c r="AA11" s="45">
        <v>45.78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8.8633333333333333</v>
      </c>
      <c r="E12" s="45">
        <f t="shared" ref="E12" si="9">AVERAGE($D11:$X11)</f>
        <v>8.8633333333333333</v>
      </c>
      <c r="F12" s="45">
        <f t="shared" ref="F12" si="10">AVERAGE($D11:$X11)</f>
        <v>8.8633333333333333</v>
      </c>
      <c r="G12" s="45">
        <f t="shared" ref="G12" si="11">AVERAGE($D11:$X11)</f>
        <v>8.8633333333333333</v>
      </c>
      <c r="H12" s="45">
        <f t="shared" ref="H12" si="12">AVERAGE($D11:$X11)</f>
        <v>8.8633333333333333</v>
      </c>
      <c r="I12" s="45">
        <f t="shared" ref="I12" si="13">AVERAGE($D11:$X11)</f>
        <v>8.8633333333333333</v>
      </c>
      <c r="J12" s="45">
        <f t="shared" ref="J12" si="14">AVERAGE($D11:$X11)</f>
        <v>8.8633333333333333</v>
      </c>
      <c r="K12" s="45">
        <f t="shared" ref="K12" si="15">AVERAGE($D11:$X11)</f>
        <v>8.8633333333333333</v>
      </c>
      <c r="L12" s="45">
        <f t="shared" ref="L12" si="16">AVERAGE($D11:$X11)</f>
        <v>8.8633333333333333</v>
      </c>
      <c r="M12" s="45">
        <f t="shared" ref="M12" si="17">AVERAGE($D11:$X11)</f>
        <v>8.8633333333333333</v>
      </c>
      <c r="N12" s="45">
        <f t="shared" ref="N12" si="18">AVERAGE($D11:$X11)</f>
        <v>8.8633333333333333</v>
      </c>
      <c r="O12" s="45">
        <f t="shared" ref="O12" si="19">AVERAGE($D11:$X11)</f>
        <v>8.8633333333333333</v>
      </c>
      <c r="P12" s="45">
        <f t="shared" ref="P12" si="20">AVERAGE($D11:$X11)</f>
        <v>8.8633333333333333</v>
      </c>
      <c r="Q12" s="45">
        <f t="shared" ref="Q12" si="21">AVERAGE($D11:$X11)</f>
        <v>8.8633333333333333</v>
      </c>
      <c r="R12" s="45">
        <f t="shared" ref="R12" si="22">AVERAGE($D11:$X11)</f>
        <v>8.8633333333333333</v>
      </c>
      <c r="S12" s="45">
        <f t="shared" ref="S12" si="23">AVERAGE($D11:$X11)</f>
        <v>8.8633333333333333</v>
      </c>
      <c r="T12" s="45">
        <f t="shared" ref="T12" si="24">AVERAGE($D11:$X11)</f>
        <v>8.8633333333333333</v>
      </c>
      <c r="U12" s="45">
        <f t="shared" ref="U12" si="25">AVERAGE($D11:$X11)</f>
        <v>8.8633333333333333</v>
      </c>
      <c r="V12" s="45">
        <f t="shared" ref="V12" si="26">AVERAGE($D11:$X11)</f>
        <v>8.8633333333333333</v>
      </c>
      <c r="W12" s="45">
        <f t="shared" ref="W12" si="27">AVERAGE($D11:$X11)</f>
        <v>8.8633333333333333</v>
      </c>
      <c r="X12" s="45">
        <f>AVERAGE($D11:$X11)</f>
        <v>8.8633333333333333</v>
      </c>
      <c r="Y12" s="45">
        <f t="shared" ref="Y12:AA12" si="28">AVERAGE($D11:$X11)</f>
        <v>8.8633333333333333</v>
      </c>
      <c r="Z12" s="45">
        <f t="shared" si="28"/>
        <v>8.8633333333333333</v>
      </c>
      <c r="AA12" s="45">
        <f t="shared" si="28"/>
        <v>8.8633333333333333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0.12974802557352388</v>
      </c>
      <c r="E13" s="55">
        <f t="shared" si="29"/>
        <v>0.39827002632568631</v>
      </c>
      <c r="F13" s="55">
        <f t="shared" ref="F13" si="30">IF(F11=0,0,F11/F12)</f>
        <v>0.19405791650996615</v>
      </c>
      <c r="G13" s="55">
        <f t="shared" ref="G13" si="31">IF(G11=0,0,G11/G12)</f>
        <v>1.6088755171116962</v>
      </c>
      <c r="H13" s="55">
        <f t="shared" ref="H13" si="32">IF(H11=0,0,H11/H12)</f>
        <v>0.35088379089883415</v>
      </c>
      <c r="I13" s="55">
        <f t="shared" ref="I13" si="33">IF(I11=0,0,I11/I12)</f>
        <v>0.3847311019180143</v>
      </c>
      <c r="J13" s="55">
        <f t="shared" ref="J13" si="34">IF(J11=0,0,J11/J12)</f>
        <v>0.73448664911620909</v>
      </c>
      <c r="K13" s="55">
        <f t="shared" ref="K13" si="35">IF(K11=0,0,K11/K12)</f>
        <v>0.38247461451673564</v>
      </c>
      <c r="L13" s="55">
        <f t="shared" ref="L13" si="36">IF(L11=0,0,L11/L12)</f>
        <v>1.3922527265889433</v>
      </c>
      <c r="M13" s="55">
        <f t="shared" ref="M13" si="37">IF(M11=0,0,M11/M12)</f>
        <v>0.43437382474614517</v>
      </c>
      <c r="N13" s="55">
        <f t="shared" ref="N13" si="38">IF(N11=0,0,N11/N12)</f>
        <v>0.49868371568258746</v>
      </c>
      <c r="O13" s="55">
        <f t="shared" ref="O13" si="39">IF(O11=0,0,O11/O12)</f>
        <v>0.59345618653629184</v>
      </c>
      <c r="P13" s="55">
        <f t="shared" ref="P13" si="40">IF(P11=0,0,P11/P12)</f>
        <v>3.73335840541557</v>
      </c>
      <c r="Q13" s="55">
        <f t="shared" ref="Q13" si="41">IF(Q11=0,0,Q11/Q12)</f>
        <v>0.92741632192553602</v>
      </c>
      <c r="R13" s="55">
        <f t="shared" ref="R13" si="42">IF(R11=0,0,R11/R12)</f>
        <v>3.4433997743512599</v>
      </c>
      <c r="S13" s="55">
        <f t="shared" ref="S13:Y13" si="43">IF(S11=0,0,S11/S12)</f>
        <v>0.72546069951109438</v>
      </c>
      <c r="T13" s="55">
        <f t="shared" si="43"/>
        <v>0.16472358029334336</v>
      </c>
      <c r="U13" s="55">
        <f t="shared" si="43"/>
        <v>0.23354644603234298</v>
      </c>
      <c r="V13" s="55">
        <f t="shared" si="43"/>
        <v>1.9823241820233171</v>
      </c>
      <c r="W13" s="55">
        <f t="shared" si="43"/>
        <v>0.60812335464460321</v>
      </c>
      <c r="X13" s="55">
        <f t="shared" si="43"/>
        <v>2.0793531402782999</v>
      </c>
      <c r="Y13" s="55">
        <f t="shared" si="43"/>
        <v>1.5129748025573524</v>
      </c>
      <c r="Z13" s="55">
        <f t="shared" ref="Z13:AA13" si="44">IF(Z11=0,0,Z11/Z12)</f>
        <v>1.7826250470101543</v>
      </c>
      <c r="AA13" s="55">
        <f t="shared" si="44"/>
        <v>5.1650996615268898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347754.02611979441</v>
      </c>
      <c r="E16" s="42">
        <v>352331.43266188155</v>
      </c>
      <c r="F16" s="42">
        <v>357563.29763358779</v>
      </c>
      <c r="G16" s="42">
        <v>361644.57553143369</v>
      </c>
      <c r="H16" s="42">
        <v>370923.37580121279</v>
      </c>
      <c r="I16" s="42">
        <v>379526.30403989297</v>
      </c>
      <c r="J16" s="42">
        <v>391936.65862439363</v>
      </c>
      <c r="K16" s="42">
        <v>406733.18310574495</v>
      </c>
      <c r="L16" s="42">
        <v>412645.70063867373</v>
      </c>
      <c r="M16" s="42">
        <v>397842.77506817289</v>
      </c>
      <c r="N16" s="42">
        <v>405043.38811848417</v>
      </c>
      <c r="O16" s="42">
        <v>416899.41621973022</v>
      </c>
      <c r="P16" s="42">
        <v>419516.40188483009</v>
      </c>
      <c r="Q16" s="42">
        <v>418464.8322342335</v>
      </c>
      <c r="R16" s="42">
        <v>421628.40873986029</v>
      </c>
      <c r="S16" s="42">
        <v>427125.45809999999</v>
      </c>
      <c r="T16" s="42">
        <v>436167.62575259048</v>
      </c>
      <c r="U16" s="42">
        <v>446078.52709905838</v>
      </c>
      <c r="V16" s="42">
        <v>457161.47759126389</v>
      </c>
      <c r="W16" s="42">
        <v>465182.38097390125</v>
      </c>
      <c r="X16" s="42">
        <v>435791.83409503888</v>
      </c>
      <c r="Y16" s="42">
        <v>457248.01530708832</v>
      </c>
      <c r="Z16" s="42">
        <v>481621.4441983829</v>
      </c>
      <c r="AA16" s="42">
        <v>477837.3</v>
      </c>
    </row>
    <row r="17" spans="1:27" x14ac:dyDescent="0.25">
      <c r="A17" s="46" t="s">
        <v>141</v>
      </c>
      <c r="B17" s="47"/>
      <c r="C17" s="47"/>
      <c r="D17" s="57">
        <v>193476.8065099266</v>
      </c>
      <c r="E17" s="57">
        <v>196523.2350514663</v>
      </c>
      <c r="F17" s="57">
        <v>197336.18226732267</v>
      </c>
      <c r="G17" s="57">
        <v>201810.49734274208</v>
      </c>
      <c r="H17" s="57">
        <v>205974.00104760131</v>
      </c>
      <c r="I17" s="57">
        <v>210467.8769290442</v>
      </c>
      <c r="J17" s="57">
        <v>214570.12271427043</v>
      </c>
      <c r="K17" s="57">
        <v>217154.6643321985</v>
      </c>
      <c r="L17" s="57">
        <v>219404.43493753049</v>
      </c>
      <c r="M17" s="57">
        <v>221293.60928548806</v>
      </c>
      <c r="N17" s="57">
        <v>224091.1773342377</v>
      </c>
      <c r="O17" s="57">
        <v>226623.50320284697</v>
      </c>
      <c r="P17" s="57">
        <v>228105.70542602974</v>
      </c>
      <c r="Q17" s="57">
        <v>227418.20647480528</v>
      </c>
      <c r="R17" s="57">
        <v>227447.62767820942</v>
      </c>
      <c r="S17" s="57">
        <v>230049.55831999998</v>
      </c>
      <c r="T17" s="57">
        <v>234224.73517544812</v>
      </c>
      <c r="U17" s="57">
        <v>238624.43800635118</v>
      </c>
      <c r="V17" s="57">
        <v>240646.66553946471</v>
      </c>
      <c r="W17" s="57">
        <v>242294.86074605319</v>
      </c>
      <c r="X17" s="57">
        <v>223940.3003899804</v>
      </c>
      <c r="Y17" s="57">
        <v>234952.27082466579</v>
      </c>
      <c r="Z17" s="57">
        <v>247562.27924376243</v>
      </c>
      <c r="AA17" s="57">
        <v>246995.1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43457.378536289267</v>
      </c>
      <c r="E20" s="42">
        <f t="shared" ref="E20:S20" si="45">1000000*E16/E$3</f>
        <v>43926.418736877364</v>
      </c>
      <c r="F20" s="42">
        <f t="shared" si="45"/>
        <v>44342.666293831047</v>
      </c>
      <c r="G20" s="42">
        <f t="shared" si="45"/>
        <v>44645.973726000804</v>
      </c>
      <c r="H20" s="42">
        <f t="shared" si="45"/>
        <v>45553.583099741663</v>
      </c>
      <c r="I20" s="42">
        <f t="shared" si="45"/>
        <v>46276.026209789496</v>
      </c>
      <c r="J20" s="42">
        <f t="shared" si="45"/>
        <v>47482.736705700911</v>
      </c>
      <c r="K20" s="42">
        <f t="shared" si="45"/>
        <v>49104.668451097445</v>
      </c>
      <c r="L20" s="42">
        <f t="shared" si="45"/>
        <v>49668.542006817021</v>
      </c>
      <c r="M20" s="42">
        <f t="shared" si="45"/>
        <v>47731.569510913541</v>
      </c>
      <c r="N20" s="42">
        <f t="shared" si="45"/>
        <v>48498.647286346437</v>
      </c>
      <c r="O20" s="42">
        <f t="shared" si="45"/>
        <v>49778.060014076167</v>
      </c>
      <c r="P20" s="42">
        <f t="shared" si="45"/>
        <v>49894.191803951217</v>
      </c>
      <c r="Q20" s="42">
        <f t="shared" si="45"/>
        <v>49511.566949077896</v>
      </c>
      <c r="R20" s="42">
        <f t="shared" si="45"/>
        <v>49557.947125122831</v>
      </c>
      <c r="S20" s="42">
        <f t="shared" si="45"/>
        <v>49752.957462883198</v>
      </c>
      <c r="T20" s="42">
        <f t="shared" ref="T20:Y20" si="46">1000000*T16/T$3</f>
        <v>50131.495841155091</v>
      </c>
      <c r="U20" s="42">
        <f t="shared" si="46"/>
        <v>50847.5312339878</v>
      </c>
      <c r="V20" s="42">
        <f t="shared" si="46"/>
        <v>51819.048050944722</v>
      </c>
      <c r="W20" s="42">
        <f t="shared" si="46"/>
        <v>52510.914993766208</v>
      </c>
      <c r="X20" s="42">
        <f t="shared" si="46"/>
        <v>48959.521479121919</v>
      </c>
      <c r="Y20" s="42">
        <f t="shared" si="46"/>
        <v>51188.314628994027</v>
      </c>
      <c r="Z20" s="42">
        <f t="shared" ref="Z20:AA20" si="47">1000000*Z16/Z$3</f>
        <v>53639.074793706786</v>
      </c>
      <c r="AA20" s="42">
        <f t="shared" si="47"/>
        <v>52482.072038706734</v>
      </c>
    </row>
    <row r="21" spans="1:27" x14ac:dyDescent="0.25">
      <c r="A21" s="46" t="s">
        <v>141</v>
      </c>
      <c r="B21" s="47"/>
      <c r="C21" s="47"/>
      <c r="D21" s="57">
        <f>1000000*D17/D$3</f>
        <v>24177.994176832006</v>
      </c>
      <c r="E21" s="57">
        <f t="shared" ref="E21:S21" si="48">1000000*E17/E$3</f>
        <v>24501.25397321791</v>
      </c>
      <c r="F21" s="57">
        <f t="shared" si="48"/>
        <v>24472.345276738874</v>
      </c>
      <c r="G21" s="57">
        <f t="shared" si="48"/>
        <v>24914.036519848414</v>
      </c>
      <c r="H21" s="57">
        <f t="shared" si="48"/>
        <v>25295.935455242627</v>
      </c>
      <c r="I21" s="57">
        <f t="shared" si="48"/>
        <v>25662.561159564433</v>
      </c>
      <c r="J21" s="57">
        <f t="shared" si="48"/>
        <v>25994.957137998947</v>
      </c>
      <c r="K21" s="57">
        <f t="shared" si="48"/>
        <v>26216.960497834902</v>
      </c>
      <c r="L21" s="57">
        <f t="shared" si="48"/>
        <v>26408.849956051999</v>
      </c>
      <c r="M21" s="57">
        <f t="shared" si="48"/>
        <v>26549.913573574966</v>
      </c>
      <c r="N21" s="57">
        <f t="shared" si="48"/>
        <v>26831.987111307044</v>
      </c>
      <c r="O21" s="57">
        <f t="shared" si="48"/>
        <v>27058.992898867054</v>
      </c>
      <c r="P21" s="57">
        <f t="shared" si="48"/>
        <v>27129.212986591148</v>
      </c>
      <c r="Q21" s="57">
        <f t="shared" si="48"/>
        <v>26907.474387271592</v>
      </c>
      <c r="R21" s="57">
        <f t="shared" si="48"/>
        <v>26734.05603740026</v>
      </c>
      <c r="S21" s="57">
        <f t="shared" si="48"/>
        <v>26796.918030510686</v>
      </c>
      <c r="T21" s="57">
        <f t="shared" ref="T21:Y21" si="49">1000000*T17/T$3</f>
        <v>26920.92591026947</v>
      </c>
      <c r="U21" s="57">
        <f t="shared" si="49"/>
        <v>27200.286110221823</v>
      </c>
      <c r="V21" s="57">
        <f t="shared" si="49"/>
        <v>27277.19139983688</v>
      </c>
      <c r="W21" s="57">
        <f t="shared" si="49"/>
        <v>27350.831322169623</v>
      </c>
      <c r="X21" s="57">
        <f t="shared" si="49"/>
        <v>25158.82375297834</v>
      </c>
      <c r="Y21" s="57">
        <f t="shared" si="49"/>
        <v>26302.598063093581</v>
      </c>
      <c r="Z21" s="57">
        <f t="shared" ref="Z21:AA21" si="50">1000000*Z17/Z$3</f>
        <v>27571.470856241587</v>
      </c>
      <c r="AA21" s="57">
        <f t="shared" si="50"/>
        <v>27128.092828683682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307235.09972143039</v>
      </c>
      <c r="E23" s="60">
        <v>311799.95307753893</v>
      </c>
      <c r="F23" s="60">
        <v>316117.8764248509</v>
      </c>
      <c r="G23" s="60">
        <v>320261.80805651867</v>
      </c>
      <c r="H23" s="60">
        <v>329021.0336367428</v>
      </c>
      <c r="I23" s="60">
        <v>337118.7901732091</v>
      </c>
      <c r="J23" s="60">
        <v>349086.08192219952</v>
      </c>
      <c r="K23" s="60">
        <v>362603.70443582279</v>
      </c>
      <c r="L23" s="60">
        <v>368741.11857255967</v>
      </c>
      <c r="M23" s="60">
        <v>353973.06543715385</v>
      </c>
      <c r="N23" s="60">
        <v>360598.46485433041</v>
      </c>
      <c r="O23" s="60">
        <v>372338.57204607822</v>
      </c>
      <c r="P23" s="60">
        <v>374025.61759359657</v>
      </c>
      <c r="Q23" s="60">
        <v>373536.28828838252</v>
      </c>
      <c r="R23" s="60">
        <v>376315.76023005461</v>
      </c>
      <c r="S23" s="60">
        <v>380369.11436000001</v>
      </c>
      <c r="T23" s="60">
        <v>388282.80534774589</v>
      </c>
      <c r="U23" s="60">
        <v>397594.67444530944</v>
      </c>
      <c r="V23" s="60">
        <v>408442.77538185078</v>
      </c>
      <c r="W23" s="60">
        <v>415742.43168102432</v>
      </c>
      <c r="X23" s="60">
        <v>390173.9525293574</v>
      </c>
      <c r="Y23" s="60">
        <v>407720.36535144458</v>
      </c>
      <c r="Z23" s="60">
        <v>434115.97067028284</v>
      </c>
      <c r="AA23" s="60">
        <v>429634.3</v>
      </c>
    </row>
    <row r="24" spans="1:27" x14ac:dyDescent="0.25">
      <c r="A24" s="61" t="s">
        <v>33</v>
      </c>
      <c r="B24" s="62"/>
      <c r="C24" s="62"/>
      <c r="D24" s="63">
        <v>5756.5960546773767</v>
      </c>
      <c r="E24" s="63">
        <v>5962.2890268545934</v>
      </c>
      <c r="F24" s="63">
        <v>5644.6808271055088</v>
      </c>
      <c r="G24" s="63">
        <v>5332.9130472604356</v>
      </c>
      <c r="H24" s="63">
        <v>5515.6770835889001</v>
      </c>
      <c r="I24" s="63">
        <v>4866.2338081968001</v>
      </c>
      <c r="J24" s="63">
        <v>5196.977886356688</v>
      </c>
      <c r="K24" s="63">
        <v>5946.1469819596832</v>
      </c>
      <c r="L24" s="63">
        <v>5723.5924329826948</v>
      </c>
      <c r="M24" s="63">
        <v>4678.8965123117723</v>
      </c>
      <c r="N24" s="63">
        <v>5240.0939695228026</v>
      </c>
      <c r="O24" s="63">
        <v>6114.9744606306467</v>
      </c>
      <c r="P24" s="63">
        <v>5972.4824818759698</v>
      </c>
      <c r="Q24" s="63">
        <v>5373.1507639375468</v>
      </c>
      <c r="R24" s="63">
        <v>5399.307562302185</v>
      </c>
      <c r="S24" s="63">
        <v>4897.4875700000002</v>
      </c>
      <c r="T24" s="63">
        <v>5023.8199615142948</v>
      </c>
      <c r="U24" s="63">
        <v>5368.9697547683927</v>
      </c>
      <c r="V24" s="63">
        <v>5085.917326183785</v>
      </c>
      <c r="W24" s="63">
        <v>4871.9788589182317</v>
      </c>
      <c r="X24" s="63">
        <v>4668.7289555817933</v>
      </c>
      <c r="Y24" s="63">
        <v>5551.969145285324</v>
      </c>
      <c r="Z24" s="63">
        <v>6521.8641913125839</v>
      </c>
      <c r="AA24" s="63">
        <v>5933.6</v>
      </c>
    </row>
    <row r="25" spans="1:27" x14ac:dyDescent="0.25">
      <c r="A25" s="64" t="s">
        <v>56</v>
      </c>
      <c r="B25" s="65"/>
      <c r="C25" s="65"/>
      <c r="D25" s="66">
        <v>918.04495983415347</v>
      </c>
      <c r="E25" s="66">
        <v>941.87461077996511</v>
      </c>
      <c r="F25" s="66">
        <v>988.30589294729623</v>
      </c>
      <c r="G25" s="66">
        <v>963.90692067752786</v>
      </c>
      <c r="H25" s="66">
        <v>1366.7490615569568</v>
      </c>
      <c r="I25" s="66">
        <v>1469.403521837314</v>
      </c>
      <c r="J25" s="66">
        <v>1526.4438671854614</v>
      </c>
      <c r="K25" s="66">
        <v>1442.3636384568445</v>
      </c>
      <c r="L25" s="66">
        <v>1902.4834973419299</v>
      </c>
      <c r="M25" s="66">
        <v>1491.3637296878424</v>
      </c>
      <c r="N25" s="66">
        <v>1633.1966225115318</v>
      </c>
      <c r="O25" s="66">
        <v>2063.3099489104147</v>
      </c>
      <c r="P25" s="66">
        <v>2021.8773412420012</v>
      </c>
      <c r="Q25" s="66">
        <v>1947.2320362255939</v>
      </c>
      <c r="R25" s="66">
        <v>1792.9732507758956</v>
      </c>
      <c r="S25" s="66">
        <v>1485.6955800000001</v>
      </c>
      <c r="T25" s="66">
        <v>1312.8594977222747</v>
      </c>
      <c r="U25" s="66">
        <v>1461.491990076127</v>
      </c>
      <c r="V25" s="66">
        <v>1399.824907391124</v>
      </c>
      <c r="W25" s="66">
        <v>1248.5029665952272</v>
      </c>
      <c r="X25" s="66">
        <v>869.31500847781945</v>
      </c>
      <c r="Y25" s="66">
        <v>1120.0373549510723</v>
      </c>
      <c r="Z25" s="66">
        <v>1674.3013455653747</v>
      </c>
      <c r="AA25" s="66">
        <v>1252.3733062060021</v>
      </c>
    </row>
    <row r="26" spans="1:27" x14ac:dyDescent="0.25">
      <c r="A26" s="67" t="s">
        <v>146</v>
      </c>
      <c r="B26" s="44"/>
      <c r="C26" s="44"/>
      <c r="D26" s="45">
        <v>207189.28493780768</v>
      </c>
      <c r="E26" s="45">
        <v>211001.23227380749</v>
      </c>
      <c r="F26" s="45">
        <v>216825.84950583562</v>
      </c>
      <c r="G26" s="45">
        <v>220294.57949645203</v>
      </c>
      <c r="H26" s="45">
        <v>226334.25886307319</v>
      </c>
      <c r="I26" s="45">
        <v>233078.34445418723</v>
      </c>
      <c r="J26" s="45">
        <v>240820.04362751436</v>
      </c>
      <c r="K26" s="45">
        <v>249239.5143505141</v>
      </c>
      <c r="L26" s="45">
        <v>255379.38234362629</v>
      </c>
      <c r="M26" s="45">
        <v>250248.5515408362</v>
      </c>
      <c r="N26" s="45">
        <v>255878.00785493158</v>
      </c>
      <c r="O26" s="45">
        <v>264107.33975659229</v>
      </c>
      <c r="P26" s="45">
        <v>264955.08912133006</v>
      </c>
      <c r="Q26" s="45">
        <v>265347.08663710614</v>
      </c>
      <c r="R26" s="45">
        <v>268178.68790011166</v>
      </c>
      <c r="S26" s="45">
        <v>272485.55765500007</v>
      </c>
      <c r="T26" s="45">
        <v>276538.9449516965</v>
      </c>
      <c r="U26" s="45">
        <v>283385.37010695966</v>
      </c>
      <c r="V26" s="45">
        <v>292169.12728899985</v>
      </c>
      <c r="W26" s="45">
        <v>298715.62386414356</v>
      </c>
      <c r="X26" s="45">
        <v>280343.88077578653</v>
      </c>
      <c r="Y26" s="45">
        <v>291380.43346949009</v>
      </c>
      <c r="Z26" s="45">
        <v>312273.35299520282</v>
      </c>
      <c r="AA26" s="45">
        <v>307437.14401867299</v>
      </c>
    </row>
    <row r="27" spans="1:27" x14ac:dyDescent="0.25">
      <c r="A27" s="68" t="s">
        <v>148</v>
      </c>
      <c r="B27" s="69"/>
      <c r="C27" s="69"/>
      <c r="D27" s="70">
        <v>86039.465593417975</v>
      </c>
      <c r="E27" s="70">
        <v>87115.128274214221</v>
      </c>
      <c r="F27" s="70">
        <v>88975.976642510257</v>
      </c>
      <c r="G27" s="70">
        <v>90739.328816065841</v>
      </c>
      <c r="H27" s="70">
        <v>92613.066353443413</v>
      </c>
      <c r="I27" s="70">
        <v>94145.880579445526</v>
      </c>
      <c r="J27" s="70">
        <v>96318.167501587508</v>
      </c>
      <c r="K27" s="70">
        <v>98669.46197372819</v>
      </c>
      <c r="L27" s="70">
        <v>101804.95607962897</v>
      </c>
      <c r="M27" s="70">
        <v>102830.1487399714</v>
      </c>
      <c r="N27" s="70">
        <v>104311.4605161745</v>
      </c>
      <c r="O27" s="70">
        <v>105944.00670347436</v>
      </c>
      <c r="P27" s="70">
        <v>107122.63848140831</v>
      </c>
      <c r="Q27" s="70">
        <v>107376.34944521713</v>
      </c>
      <c r="R27" s="70">
        <v>108198.49221030634</v>
      </c>
      <c r="S27" s="70">
        <v>110407.16111999998</v>
      </c>
      <c r="T27" s="70">
        <v>112568.05397325635</v>
      </c>
      <c r="U27" s="70">
        <v>115269.36367263523</v>
      </c>
      <c r="V27" s="70">
        <v>117207.51043279613</v>
      </c>
      <c r="W27" s="70">
        <v>119674.80923598367</v>
      </c>
      <c r="X27" s="70">
        <v>108528.04020795003</v>
      </c>
      <c r="Y27" s="70">
        <v>109932.29549374731</v>
      </c>
      <c r="Z27" s="70">
        <v>119912.66846614143</v>
      </c>
      <c r="AA27" s="70">
        <v>121208.70000000003</v>
      </c>
    </row>
    <row r="28" spans="1:27" x14ac:dyDescent="0.25">
      <c r="A28" s="68" t="s">
        <v>150</v>
      </c>
      <c r="B28" s="71"/>
      <c r="C28" s="71"/>
      <c r="D28" s="70">
        <v>76255.474423425752</v>
      </c>
      <c r="E28" s="70">
        <v>78672.145171129712</v>
      </c>
      <c r="F28" s="70">
        <v>81722.737393372081</v>
      </c>
      <c r="G28" s="70">
        <v>83307.320210267295</v>
      </c>
      <c r="H28" s="70">
        <v>86404.493565838231</v>
      </c>
      <c r="I28" s="70">
        <v>90496.881882717542</v>
      </c>
      <c r="J28" s="70">
        <v>94408.845257414345</v>
      </c>
      <c r="K28" s="70">
        <v>98244.737189302454</v>
      </c>
      <c r="L28" s="70">
        <v>100431.89992647893</v>
      </c>
      <c r="M28" s="70">
        <v>96042.400973179305</v>
      </c>
      <c r="N28" s="70">
        <v>97783.431200590145</v>
      </c>
      <c r="O28" s="70">
        <v>102534.35136835481</v>
      </c>
      <c r="P28" s="70">
        <v>102901.76659863512</v>
      </c>
      <c r="Q28" s="70">
        <v>105434.35401524739</v>
      </c>
      <c r="R28" s="70">
        <v>106757.88186399534</v>
      </c>
      <c r="S28" s="70">
        <v>108674.09998</v>
      </c>
      <c r="T28" s="70">
        <v>110934.9069028825</v>
      </c>
      <c r="U28" s="70">
        <v>115192.73719832618</v>
      </c>
      <c r="V28" s="70">
        <v>118726.64480224044</v>
      </c>
      <c r="W28" s="70">
        <v>122630.62019959516</v>
      </c>
      <c r="X28" s="70">
        <v>117987.63876914064</v>
      </c>
      <c r="Y28" s="70">
        <v>123150.54131630014</v>
      </c>
      <c r="Z28" s="70">
        <v>126158.9305695467</v>
      </c>
      <c r="AA28" s="70">
        <v>128258.2</v>
      </c>
    </row>
    <row r="29" spans="1:27" x14ac:dyDescent="0.25">
      <c r="A29" s="68" t="s">
        <v>152</v>
      </c>
      <c r="B29" s="71"/>
      <c r="C29" s="71"/>
      <c r="D29" s="70">
        <v>44894.34492096398</v>
      </c>
      <c r="E29" s="70">
        <v>45213.958828463576</v>
      </c>
      <c r="F29" s="70">
        <v>46127.135469953304</v>
      </c>
      <c r="G29" s="70">
        <v>46247.930470118925</v>
      </c>
      <c r="H29" s="70">
        <v>47316.698943791562</v>
      </c>
      <c r="I29" s="70">
        <v>48435.581992024214</v>
      </c>
      <c r="J29" s="70">
        <v>50093.030868512484</v>
      </c>
      <c r="K29" s="70">
        <v>52325.315187483458</v>
      </c>
      <c r="L29" s="70">
        <v>53142.526337518386</v>
      </c>
      <c r="M29" s="70">
        <v>51376.001827685497</v>
      </c>
      <c r="N29" s="70">
        <v>53783.116138166959</v>
      </c>
      <c r="O29" s="70">
        <v>55628.981684763145</v>
      </c>
      <c r="P29" s="70">
        <v>54930.684041286644</v>
      </c>
      <c r="Q29" s="70">
        <v>52536.383176641611</v>
      </c>
      <c r="R29" s="70">
        <v>53222.31382580995</v>
      </c>
      <c r="S29" s="70">
        <v>53404.296554999994</v>
      </c>
      <c r="T29" s="70">
        <v>53035.984075557666</v>
      </c>
      <c r="U29" s="70">
        <v>52923.269235998174</v>
      </c>
      <c r="V29" s="70">
        <v>56234.972053963342</v>
      </c>
      <c r="W29" s="70">
        <v>56410.194428564639</v>
      </c>
      <c r="X29" s="70">
        <v>53828.20179869586</v>
      </c>
      <c r="Y29" s="70">
        <v>58297.596659442657</v>
      </c>
      <c r="Z29" s="70">
        <v>66201.753959514666</v>
      </c>
      <c r="AA29" s="70">
        <v>57970.244018672929</v>
      </c>
    </row>
    <row r="30" spans="1:27" x14ac:dyDescent="0.25">
      <c r="A30" s="64" t="s">
        <v>154</v>
      </c>
      <c r="B30" s="65"/>
      <c r="C30" s="65"/>
      <c r="D30" s="66">
        <v>9376.7100932884132</v>
      </c>
      <c r="E30" s="66">
        <v>9081.7713737401973</v>
      </c>
      <c r="F30" s="66">
        <v>8510.4713343138683</v>
      </c>
      <c r="G30" s="66">
        <v>8712.0321925213429</v>
      </c>
      <c r="H30" s="66">
        <v>9003.0371329031623</v>
      </c>
      <c r="I30" s="66">
        <v>9455.4883606399871</v>
      </c>
      <c r="J30" s="66">
        <v>8983.6204217610793</v>
      </c>
      <c r="K30" s="66">
        <v>8452.5564580191331</v>
      </c>
      <c r="L30" s="66">
        <v>9082.9568996719845</v>
      </c>
      <c r="M30" s="66">
        <v>8896.6522028716718</v>
      </c>
      <c r="N30" s="66">
        <v>8528.7674566697297</v>
      </c>
      <c r="O30" s="66">
        <v>8117.7226301916689</v>
      </c>
      <c r="P30" s="66">
        <v>8234.8187118651276</v>
      </c>
      <c r="Q30" s="66">
        <v>8048.9256455036948</v>
      </c>
      <c r="R30" s="66">
        <v>7178.1760388818875</v>
      </c>
      <c r="S30" s="66">
        <v>6907.5831150000013</v>
      </c>
      <c r="T30" s="66">
        <v>7432.2448554822486</v>
      </c>
      <c r="U30" s="66">
        <v>7177.8497217653203</v>
      </c>
      <c r="V30" s="66">
        <v>7372.9304525737689</v>
      </c>
      <c r="W30" s="66">
        <v>7857.4377881946421</v>
      </c>
      <c r="X30" s="66">
        <v>7703.2934109359148</v>
      </c>
      <c r="Y30" s="66">
        <v>7964.6722508786661</v>
      </c>
      <c r="Z30" s="66">
        <v>10725.832619497005</v>
      </c>
      <c r="AA30" s="66">
        <v>15019.882675121084</v>
      </c>
    </row>
    <row r="31" spans="1:27" x14ac:dyDescent="0.25">
      <c r="A31" s="64" t="s">
        <v>37</v>
      </c>
      <c r="B31" s="65"/>
      <c r="C31" s="65"/>
      <c r="D31" s="66">
        <v>22604.018657683337</v>
      </c>
      <c r="E31" s="66">
        <v>21631.136859296159</v>
      </c>
      <c r="F31" s="66">
        <v>21563.313913842128</v>
      </c>
      <c r="G31" s="66">
        <v>22737.064571449875</v>
      </c>
      <c r="H31" s="66">
        <v>23169.621506906449</v>
      </c>
      <c r="I31" s="66">
        <v>22996.345559265843</v>
      </c>
      <c r="J31" s="66">
        <v>22877.272425268704</v>
      </c>
      <c r="K31" s="66">
        <v>24375.772544640291</v>
      </c>
      <c r="L31" s="66">
        <v>25347.095181540553</v>
      </c>
      <c r="M31" s="66">
        <v>24184.7634907953</v>
      </c>
      <c r="N31" s="66">
        <v>23153.339422166431</v>
      </c>
      <c r="O31" s="66">
        <v>22769.871147942853</v>
      </c>
      <c r="P31" s="66">
        <v>23249.726433446012</v>
      </c>
      <c r="Q31" s="66">
        <v>23670.63851270092</v>
      </c>
      <c r="R31" s="66">
        <v>23722.819720574833</v>
      </c>
      <c r="S31" s="66">
        <v>23592.740655000001</v>
      </c>
      <c r="T31" s="66">
        <v>24154.795780317312</v>
      </c>
      <c r="U31" s="66">
        <v>25428.172669326585</v>
      </c>
      <c r="V31" s="66">
        <v>26424.514346886885</v>
      </c>
      <c r="W31" s="66">
        <v>27048.634496069291</v>
      </c>
      <c r="X31" s="66">
        <v>27245.38544898725</v>
      </c>
      <c r="Y31" s="66">
        <v>27588.564323702747</v>
      </c>
      <c r="Z31" s="66">
        <v>28478.846489302166</v>
      </c>
      <c r="AA31" s="66">
        <v>28395</v>
      </c>
    </row>
    <row r="32" spans="1:27" x14ac:dyDescent="0.25">
      <c r="A32" s="64" t="s">
        <v>58</v>
      </c>
      <c r="B32" s="65"/>
      <c r="C32" s="65"/>
      <c r="D32" s="66">
        <v>61390.445018139413</v>
      </c>
      <c r="E32" s="66">
        <v>63181.648933060496</v>
      </c>
      <c r="F32" s="66">
        <v>62585.254950806477</v>
      </c>
      <c r="G32" s="66">
        <v>62221.311828157428</v>
      </c>
      <c r="H32" s="66">
        <v>63631.689988714155</v>
      </c>
      <c r="I32" s="66">
        <v>65252.974469081833</v>
      </c>
      <c r="J32" s="66">
        <v>69681.723694113214</v>
      </c>
      <c r="K32" s="66">
        <v>73147.35046223276</v>
      </c>
      <c r="L32" s="66">
        <v>71305.608217396235</v>
      </c>
      <c r="M32" s="66">
        <v>64472.837960651144</v>
      </c>
      <c r="N32" s="66">
        <v>66165.059528528334</v>
      </c>
      <c r="O32" s="66">
        <v>69165.354101810372</v>
      </c>
      <c r="P32" s="66">
        <v>69591.623503837414</v>
      </c>
      <c r="Q32" s="66">
        <v>69149.254692908595</v>
      </c>
      <c r="R32" s="66">
        <v>70043.795757408152</v>
      </c>
      <c r="S32" s="66">
        <v>71000.049785000025</v>
      </c>
      <c r="T32" s="66">
        <v>73820.140301013191</v>
      </c>
      <c r="U32" s="66">
        <v>74772.820202413408</v>
      </c>
      <c r="V32" s="66">
        <v>75990.461059815338</v>
      </c>
      <c r="W32" s="66">
        <v>76000.253707103504</v>
      </c>
      <c r="X32" s="66">
        <v>69343.348929588043</v>
      </c>
      <c r="Y32" s="66">
        <v>74114.688807136699</v>
      </c>
      <c r="Z32" s="66">
        <v>74441.773029402902</v>
      </c>
      <c r="AA32" s="66">
        <v>71596.3</v>
      </c>
    </row>
    <row r="33" spans="1:27" x14ac:dyDescent="0.25">
      <c r="A33" s="72" t="s">
        <v>158</v>
      </c>
      <c r="B33" s="65"/>
      <c r="C33" s="65"/>
      <c r="D33" s="66">
        <v>3977.2756996631247</v>
      </c>
      <c r="E33" s="66">
        <v>4321.9634800401609</v>
      </c>
      <c r="F33" s="66">
        <v>3824.9134709745604</v>
      </c>
      <c r="G33" s="66">
        <v>3922.5224496389915</v>
      </c>
      <c r="H33" s="66">
        <v>4447.1557386098775</v>
      </c>
      <c r="I33" s="66">
        <v>5267.7183971556242</v>
      </c>
      <c r="J33" s="66">
        <v>5560.88263482208</v>
      </c>
      <c r="K33" s="66">
        <v>5944.7057712897622</v>
      </c>
      <c r="L33" s="66">
        <v>5883.1710948987675</v>
      </c>
      <c r="M33" s="66">
        <v>4406.9031814197097</v>
      </c>
      <c r="N33" s="66">
        <v>4832.5142586597958</v>
      </c>
      <c r="O33" s="66">
        <v>5119.2356086819755</v>
      </c>
      <c r="P33" s="66">
        <v>5227.9515009460638</v>
      </c>
      <c r="Q33" s="66">
        <v>4736.9031038557669</v>
      </c>
      <c r="R33" s="66">
        <v>4870.8914308248577</v>
      </c>
      <c r="S33" s="66">
        <v>5477.4696750000003</v>
      </c>
      <c r="T33" s="66">
        <v>5021.3618834432928</v>
      </c>
      <c r="U33" s="66">
        <v>5356.3001946282602</v>
      </c>
      <c r="V33" s="66">
        <v>5670.908499168434</v>
      </c>
      <c r="W33" s="66">
        <v>5243.2378618839148</v>
      </c>
      <c r="X33" s="66">
        <v>4252.694527581757</v>
      </c>
      <c r="Y33" s="66">
        <v>4285.184036761535</v>
      </c>
      <c r="Z33" s="66">
        <v>5652.6990615179302</v>
      </c>
      <c r="AA33" s="66">
        <v>5479.3</v>
      </c>
    </row>
    <row r="34" spans="1:27" x14ac:dyDescent="0.25">
      <c r="A34" s="73" t="s">
        <v>5</v>
      </c>
      <c r="B34" s="65"/>
      <c r="C34" s="65"/>
      <c r="D34" s="66">
        <v>2997.4504299945747</v>
      </c>
      <c r="E34" s="66">
        <v>3257.2223476397439</v>
      </c>
      <c r="F34" s="66">
        <v>2882.6235327955319</v>
      </c>
      <c r="G34" s="66">
        <v>2956.1859652650264</v>
      </c>
      <c r="H34" s="66">
        <v>3351.572756718394</v>
      </c>
      <c r="I34" s="66">
        <v>3969.9849763952366</v>
      </c>
      <c r="J34" s="66">
        <v>4190.9264792251206</v>
      </c>
      <c r="K34" s="66">
        <v>4480.1925277277096</v>
      </c>
      <c r="L34" s="66">
        <v>4433.8172809165853</v>
      </c>
      <c r="M34" s="66">
        <v>3318.1209222287994</v>
      </c>
      <c r="N34" s="66">
        <v>3232.0583173883306</v>
      </c>
      <c r="O34" s="66">
        <v>3477.7045079204127</v>
      </c>
      <c r="P34" s="66">
        <v>3564.7075171297502</v>
      </c>
      <c r="Q34" s="66">
        <v>3316.7213593797528</v>
      </c>
      <c r="R34" s="66">
        <v>3313.837688124021</v>
      </c>
      <c r="S34" s="66">
        <v>3798.6788038678756</v>
      </c>
      <c r="T34" s="66">
        <v>3357.8754444287042</v>
      </c>
      <c r="U34" s="66">
        <v>3593.7482454005067</v>
      </c>
      <c r="V34" s="66">
        <v>4091.2869552597226</v>
      </c>
      <c r="W34" s="66">
        <v>3721.1306175306918</v>
      </c>
      <c r="X34" s="66">
        <v>3053.9852849433996</v>
      </c>
      <c r="Y34" s="66">
        <v>3006.2883136758901</v>
      </c>
      <c r="Z34" s="66">
        <v>4061.75184450693</v>
      </c>
      <c r="AA34" s="66">
        <v>3821.7874623226949</v>
      </c>
    </row>
    <row r="35" spans="1:27" x14ac:dyDescent="0.25">
      <c r="A35" s="74" t="s">
        <v>264</v>
      </c>
      <c r="B35" s="44"/>
      <c r="C35" s="44"/>
      <c r="D35" s="45">
        <v>2754.9002593582159</v>
      </c>
      <c r="E35" s="45">
        <v>2995.7065462000096</v>
      </c>
      <c r="F35" s="45">
        <v>2674.6924104516752</v>
      </c>
      <c r="G35" s="45">
        <v>2732.9290516498754</v>
      </c>
      <c r="H35" s="45">
        <v>3081.8746340224679</v>
      </c>
      <c r="I35" s="45">
        <v>3664.1387643190806</v>
      </c>
      <c r="J35" s="45">
        <v>3858.9086521695735</v>
      </c>
      <c r="K35" s="45">
        <v>4111.8619328518889</v>
      </c>
      <c r="L35" s="45">
        <v>4063.0221756331798</v>
      </c>
      <c r="M35" s="45">
        <v>3015.1526530796077</v>
      </c>
      <c r="N35" s="45">
        <v>2997.1801883980424</v>
      </c>
      <c r="O35" s="45">
        <v>3210.9760042747357</v>
      </c>
      <c r="P35" s="45">
        <v>3293.2473918669139</v>
      </c>
      <c r="Q35" s="45">
        <v>3094.8334452427498</v>
      </c>
      <c r="R35" s="45">
        <v>3079.003198424959</v>
      </c>
      <c r="S35" s="45">
        <v>3521.4416633864435</v>
      </c>
      <c r="T35" s="45">
        <v>3107.6657676761611</v>
      </c>
      <c r="U35" s="45">
        <v>3332.1448800597</v>
      </c>
      <c r="V35" s="45">
        <v>3713.9121305131539</v>
      </c>
      <c r="W35" s="45">
        <v>3427.4364344597684</v>
      </c>
      <c r="X35" s="45">
        <v>2803.4539124500457</v>
      </c>
      <c r="Y35" s="45">
        <v>2800.2047362611042</v>
      </c>
      <c r="Z35" s="45">
        <v>3747.1707664080873</v>
      </c>
      <c r="AA35" s="45">
        <v>3522.9617058616946</v>
      </c>
    </row>
    <row r="36" spans="1:27" x14ac:dyDescent="0.25">
      <c r="A36" s="74" t="s">
        <v>15</v>
      </c>
      <c r="B36" s="44"/>
      <c r="C36" s="44"/>
      <c r="D36" s="45">
        <v>242.55017063635887</v>
      </c>
      <c r="E36" s="45">
        <v>261.51580143973433</v>
      </c>
      <c r="F36" s="45">
        <v>207.93112234385671</v>
      </c>
      <c r="G36" s="45">
        <v>223.25691361515101</v>
      </c>
      <c r="H36" s="45">
        <v>269.69812269592603</v>
      </c>
      <c r="I36" s="45">
        <v>305.84621207615601</v>
      </c>
      <c r="J36" s="45">
        <v>332.01782705554706</v>
      </c>
      <c r="K36" s="45">
        <v>368.33059487582068</v>
      </c>
      <c r="L36" s="45">
        <v>370.79510528340552</v>
      </c>
      <c r="M36" s="45">
        <v>302.96826914919166</v>
      </c>
      <c r="N36" s="45">
        <v>234.87812899028813</v>
      </c>
      <c r="O36" s="45">
        <v>266.72850364567694</v>
      </c>
      <c r="P36" s="45">
        <v>271.4601252628363</v>
      </c>
      <c r="Q36" s="45">
        <v>221.88791413700301</v>
      </c>
      <c r="R36" s="45">
        <v>234.83448969906203</v>
      </c>
      <c r="S36" s="45">
        <v>277.23714048143211</v>
      </c>
      <c r="T36" s="45">
        <v>250.20967675254315</v>
      </c>
      <c r="U36" s="45">
        <v>261.6033653408067</v>
      </c>
      <c r="V36" s="45">
        <v>377.37482474656872</v>
      </c>
      <c r="W36" s="45">
        <v>293.69418307092337</v>
      </c>
      <c r="X36" s="45">
        <v>250.53137249335396</v>
      </c>
      <c r="Y36" s="45">
        <v>206.08357741478585</v>
      </c>
      <c r="Z36" s="45">
        <v>314.58107809884268</v>
      </c>
      <c r="AA36" s="45">
        <v>298.82575646100031</v>
      </c>
    </row>
    <row r="37" spans="1:27" x14ac:dyDescent="0.25">
      <c r="A37" s="73" t="s">
        <v>263</v>
      </c>
      <c r="B37" s="65"/>
      <c r="C37" s="65"/>
      <c r="D37" s="66">
        <v>979.82526966854994</v>
      </c>
      <c r="E37" s="66">
        <v>1064.741132400417</v>
      </c>
      <c r="F37" s="66">
        <v>942.28993817902847</v>
      </c>
      <c r="G37" s="66">
        <v>966.33648437396505</v>
      </c>
      <c r="H37" s="66">
        <v>1095.5829818914835</v>
      </c>
      <c r="I37" s="66">
        <v>1297.7334207603876</v>
      </c>
      <c r="J37" s="66">
        <v>1369.9561555969594</v>
      </c>
      <c r="K37" s="66">
        <v>1464.5132435620526</v>
      </c>
      <c r="L37" s="66">
        <v>1449.3538139821821</v>
      </c>
      <c r="M37" s="66">
        <v>1088.7822591909103</v>
      </c>
      <c r="N37" s="66">
        <v>1600.4559412714652</v>
      </c>
      <c r="O37" s="66">
        <v>1641.5311007615628</v>
      </c>
      <c r="P37" s="66">
        <v>1663.2439838163136</v>
      </c>
      <c r="Q37" s="66">
        <v>1420.181744476014</v>
      </c>
      <c r="R37" s="66">
        <v>1557.0537427008367</v>
      </c>
      <c r="S37" s="66">
        <v>1678.7908711321243</v>
      </c>
      <c r="T37" s="66">
        <v>1663.4864390145881</v>
      </c>
      <c r="U37" s="66">
        <v>1762.5519492277535</v>
      </c>
      <c r="V37" s="66">
        <v>1579.6215439087114</v>
      </c>
      <c r="W37" s="66">
        <v>1522.1072443532225</v>
      </c>
      <c r="X37" s="66">
        <v>1198.7092426383574</v>
      </c>
      <c r="Y37" s="66">
        <v>1278.8957230856449</v>
      </c>
      <c r="Z37" s="66">
        <v>1590.9472170110002</v>
      </c>
      <c r="AA37" s="66">
        <v>1657.5125376773053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453.28877518702632</v>
      </c>
      <c r="E39" s="45">
        <v>492.57272570679436</v>
      </c>
      <c r="F39" s="45">
        <v>435.92410317476055</v>
      </c>
      <c r="G39" s="45">
        <v>447.04856567802733</v>
      </c>
      <c r="H39" s="45">
        <v>506.84084535330766</v>
      </c>
      <c r="I39" s="45">
        <v>600.36009585130955</v>
      </c>
      <c r="J39" s="45">
        <v>633.77192551947212</v>
      </c>
      <c r="K39" s="45">
        <v>677.51611942401189</v>
      </c>
      <c r="L39" s="45">
        <v>670.50303303043688</v>
      </c>
      <c r="M39" s="45">
        <v>574.51724848218964</v>
      </c>
      <c r="N39" s="45">
        <v>992.22667096323244</v>
      </c>
      <c r="O39" s="45">
        <v>948.48567433976882</v>
      </c>
      <c r="P39" s="45">
        <v>919.51333146188358</v>
      </c>
      <c r="Q39" s="45">
        <v>946.68197373890314</v>
      </c>
      <c r="R39" s="45">
        <v>961.77603789615534</v>
      </c>
      <c r="S39" s="45">
        <v>1094.0943678617577</v>
      </c>
      <c r="T39" s="45">
        <v>1117.7084021812041</v>
      </c>
      <c r="U39" s="45">
        <v>1167.5353747777497</v>
      </c>
      <c r="V39" s="45">
        <v>1090.9733903346878</v>
      </c>
      <c r="W39" s="45">
        <v>1092.8551665859629</v>
      </c>
      <c r="X39" s="45">
        <v>824.01695092032583</v>
      </c>
      <c r="Y39" s="45">
        <v>887.42380771958494</v>
      </c>
      <c r="Z39" s="45">
        <v>1145.5696934971586</v>
      </c>
      <c r="AA39" s="45">
        <v>1170.574460225434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453.28877518702632</v>
      </c>
      <c r="E41" s="45">
        <v>492.57272570679436</v>
      </c>
      <c r="F41" s="45">
        <v>435.92410317476055</v>
      </c>
      <c r="G41" s="45">
        <v>447.04856567802733</v>
      </c>
      <c r="H41" s="45">
        <v>506.84084535330766</v>
      </c>
      <c r="I41" s="45">
        <v>600.36009585130955</v>
      </c>
      <c r="J41" s="45">
        <v>633.77192551947212</v>
      </c>
      <c r="K41" s="45">
        <v>677.51611942401189</v>
      </c>
      <c r="L41" s="45">
        <v>670.50303303043688</v>
      </c>
      <c r="M41" s="45">
        <v>574.51724848218964</v>
      </c>
      <c r="N41" s="45">
        <v>992.22667096323244</v>
      </c>
      <c r="O41" s="45">
        <v>948.48567433976882</v>
      </c>
      <c r="P41" s="45">
        <v>919.51333146188358</v>
      </c>
      <c r="Q41" s="45">
        <v>946.68197373890314</v>
      </c>
      <c r="R41" s="45">
        <v>961.77603789615534</v>
      </c>
      <c r="S41" s="45">
        <v>1094.0943678617577</v>
      </c>
      <c r="T41" s="45">
        <v>1117.7084021812041</v>
      </c>
      <c r="U41" s="45">
        <v>1167.5353747777497</v>
      </c>
      <c r="V41" s="45">
        <v>1090.9733903346878</v>
      </c>
      <c r="W41" s="45">
        <v>1092.8551665859629</v>
      </c>
      <c r="X41" s="45">
        <v>824.01695092032583</v>
      </c>
      <c r="Y41" s="45">
        <v>887.42380771958494</v>
      </c>
      <c r="Z41" s="45">
        <v>1145.5696934971586</v>
      </c>
      <c r="AA41" s="45">
        <v>1170.574460225434</v>
      </c>
    </row>
    <row r="42" spans="1:27" x14ac:dyDescent="0.25">
      <c r="A42" s="74" t="s">
        <v>13</v>
      </c>
      <c r="B42" s="44"/>
      <c r="C42" s="44"/>
      <c r="D42" s="45">
        <v>526.53649448152362</v>
      </c>
      <c r="E42" s="45">
        <v>572.16840669362273</v>
      </c>
      <c r="F42" s="45">
        <v>506.36583500426792</v>
      </c>
      <c r="G42" s="45">
        <v>519.28791869593772</v>
      </c>
      <c r="H42" s="45">
        <v>588.74213653817583</v>
      </c>
      <c r="I42" s="45">
        <v>697.37332490907806</v>
      </c>
      <c r="J42" s="45">
        <v>736.18423007748731</v>
      </c>
      <c r="K42" s="45">
        <v>786.9971241380407</v>
      </c>
      <c r="L42" s="45">
        <v>778.85078095174515</v>
      </c>
      <c r="M42" s="45">
        <v>514.26501070872064</v>
      </c>
      <c r="N42" s="45">
        <v>608.22927030823269</v>
      </c>
      <c r="O42" s="45">
        <v>693.04542642179388</v>
      </c>
      <c r="P42" s="45">
        <v>743.73065235443005</v>
      </c>
      <c r="Q42" s="45">
        <v>473.49977073711085</v>
      </c>
      <c r="R42" s="45">
        <v>595.27770480468132</v>
      </c>
      <c r="S42" s="45">
        <v>584.69650327036652</v>
      </c>
      <c r="T42" s="45">
        <v>545.77803683338402</v>
      </c>
      <c r="U42" s="45">
        <v>595.01657445000387</v>
      </c>
      <c r="V42" s="45">
        <v>488.64815357402352</v>
      </c>
      <c r="W42" s="45">
        <v>429.25207776725966</v>
      </c>
      <c r="X42" s="45">
        <v>374.69229171803158</v>
      </c>
      <c r="Y42" s="45">
        <v>391.47191536605999</v>
      </c>
      <c r="Z42" s="45">
        <v>445.37752351384165</v>
      </c>
      <c r="AA42" s="45">
        <v>486.93807745187132</v>
      </c>
    </row>
    <row r="43" spans="1:27" x14ac:dyDescent="0.25">
      <c r="A43" s="72" t="s">
        <v>265</v>
      </c>
      <c r="B43" s="65"/>
      <c r="C43" s="65"/>
      <c r="D43" s="66">
        <v>4141.4208408914219</v>
      </c>
      <c r="E43" s="66">
        <v>4395.1496829048201</v>
      </c>
      <c r="F43" s="66">
        <v>4146.5306547394384</v>
      </c>
      <c r="G43" s="66">
        <v>4318.2905590972923</v>
      </c>
      <c r="H43" s="66">
        <v>4142.1710603793026</v>
      </c>
      <c r="I43" s="66">
        <v>4613.6142915485516</v>
      </c>
      <c r="J43" s="66">
        <v>5029.4521566828953</v>
      </c>
      <c r="K43" s="66">
        <v>5518.2515340601658</v>
      </c>
      <c r="L43" s="66">
        <v>4931.5045583078845</v>
      </c>
      <c r="M43" s="66">
        <v>5245.3872188377336</v>
      </c>
      <c r="N43" s="66">
        <v>5346.0895047455451</v>
      </c>
      <c r="O43" s="66">
        <v>5602.5077447907061</v>
      </c>
      <c r="P43" s="66">
        <v>5229.4152794608508</v>
      </c>
      <c r="Q43" s="66">
        <v>5597.0156813737276</v>
      </c>
      <c r="R43" s="66">
        <v>6005.4281770785328</v>
      </c>
      <c r="S43" s="66">
        <v>6463.4267350000009</v>
      </c>
      <c r="T43" s="66">
        <v>7463.3395430804267</v>
      </c>
      <c r="U43" s="66">
        <v>7142.3427063059562</v>
      </c>
      <c r="V43" s="66">
        <v>6630.8970818757043</v>
      </c>
      <c r="W43" s="66">
        <v>6816.4331544508786</v>
      </c>
      <c r="X43" s="66">
        <v>6753.9425483035411</v>
      </c>
      <c r="Y43" s="66">
        <v>7527.9469823559002</v>
      </c>
      <c r="Z43" s="66">
        <v>6357.1711954883976</v>
      </c>
      <c r="AA43" s="66">
        <v>5240.6000000000004</v>
      </c>
    </row>
    <row r="44" spans="1:27" x14ac:dyDescent="0.25">
      <c r="A44" s="73" t="s">
        <v>266</v>
      </c>
      <c r="B44" s="65"/>
      <c r="C44" s="65"/>
      <c r="D44" s="66">
        <v>2432.6569448043533</v>
      </c>
      <c r="E44" s="66">
        <v>2844.7158852611105</v>
      </c>
      <c r="F44" s="66">
        <v>2552.9348343021065</v>
      </c>
      <c r="G44" s="66">
        <v>2606.7179410704744</v>
      </c>
      <c r="H44" s="66">
        <v>2581.3129186192009</v>
      </c>
      <c r="I44" s="66">
        <v>2564.3888314995438</v>
      </c>
      <c r="J44" s="66">
        <v>2987.4931089630522</v>
      </c>
      <c r="K44" s="66">
        <v>3135.4979334799277</v>
      </c>
      <c r="L44" s="66">
        <v>2962.6125494853527</v>
      </c>
      <c r="M44" s="66">
        <v>2841.3440194413929</v>
      </c>
      <c r="N44" s="66">
        <v>2873.595472462619</v>
      </c>
      <c r="O44" s="66">
        <v>3122.8695100389409</v>
      </c>
      <c r="P44" s="66">
        <v>2684.5697961179499</v>
      </c>
      <c r="Q44" s="66">
        <v>3002.1463664599519</v>
      </c>
      <c r="R44" s="66">
        <v>3252.6891548617727</v>
      </c>
      <c r="S44" s="66">
        <v>3690.3286150000004</v>
      </c>
      <c r="T44" s="66">
        <v>4547.0757196434179</v>
      </c>
      <c r="U44" s="66">
        <v>4108.3485208252241</v>
      </c>
      <c r="V44" s="66">
        <v>3783.5970302613214</v>
      </c>
      <c r="W44" s="66">
        <v>3652.0099891729042</v>
      </c>
      <c r="X44" s="66">
        <v>3656.3135863148354</v>
      </c>
      <c r="Y44" s="66">
        <v>4575.9013224090841</v>
      </c>
      <c r="Z44" s="66">
        <v>3510.5044986869862</v>
      </c>
      <c r="AA44" s="66">
        <v>2209.5</v>
      </c>
    </row>
    <row r="45" spans="1:27" x14ac:dyDescent="0.25">
      <c r="A45" s="74" t="s">
        <v>20</v>
      </c>
      <c r="B45" s="44"/>
      <c r="C45" s="44"/>
      <c r="D45" s="45">
        <v>621.49541862330204</v>
      </c>
      <c r="E45" s="45">
        <v>658.89585339071084</v>
      </c>
      <c r="F45" s="45">
        <v>678.46799029454257</v>
      </c>
      <c r="G45" s="45">
        <v>685.57744098610181</v>
      </c>
      <c r="H45" s="45">
        <v>733.57897740747478</v>
      </c>
      <c r="I45" s="45">
        <v>716.83353802045008</v>
      </c>
      <c r="J45" s="45">
        <v>814.43462417878243</v>
      </c>
      <c r="K45" s="45">
        <v>927.07212395005536</v>
      </c>
      <c r="L45" s="45">
        <v>1060.1779477474558</v>
      </c>
      <c r="M45" s="45">
        <v>860.16855873424993</v>
      </c>
      <c r="N45" s="45">
        <v>1246.2535283083359</v>
      </c>
      <c r="O45" s="45">
        <v>1322.6184310873557</v>
      </c>
      <c r="P45" s="45">
        <v>871.33703864649988</v>
      </c>
      <c r="Q45" s="45">
        <v>1158.4420912696532</v>
      </c>
      <c r="R45" s="45">
        <v>1207.2560548567224</v>
      </c>
      <c r="S45" s="45">
        <v>1748.0040765428778</v>
      </c>
      <c r="T45" s="45">
        <v>2487.1013146522732</v>
      </c>
      <c r="U45" s="45">
        <v>2225.8976246301354</v>
      </c>
      <c r="V45" s="45">
        <v>1930.1263752849613</v>
      </c>
      <c r="W45" s="45">
        <v>1679.2064242764052</v>
      </c>
      <c r="X45" s="45">
        <v>1715.7858678786729</v>
      </c>
      <c r="Y45" s="45">
        <v>2605.7850998336421</v>
      </c>
      <c r="Z45" s="45">
        <v>2033.2003786039911</v>
      </c>
      <c r="AA45" s="45">
        <v>1033.4289678841162</v>
      </c>
    </row>
    <row r="46" spans="1:27" x14ac:dyDescent="0.25">
      <c r="A46" s="74" t="s">
        <v>12</v>
      </c>
      <c r="B46" s="44"/>
      <c r="C46" s="44"/>
      <c r="D46" s="45">
        <v>1811.1615261810512</v>
      </c>
      <c r="E46" s="45">
        <v>2185.8200318703998</v>
      </c>
      <c r="F46" s="45">
        <v>1874.4668440075639</v>
      </c>
      <c r="G46" s="45">
        <v>1921.1405000843724</v>
      </c>
      <c r="H46" s="45">
        <v>1847.7339412117262</v>
      </c>
      <c r="I46" s="45">
        <v>1847.5552934790937</v>
      </c>
      <c r="J46" s="45">
        <v>2173.0584847842697</v>
      </c>
      <c r="K46" s="45">
        <v>2208.4258095298724</v>
      </c>
      <c r="L46" s="45">
        <v>1902.4346017378969</v>
      </c>
      <c r="M46" s="45">
        <v>1981.175460707143</v>
      </c>
      <c r="N46" s="45">
        <v>1627.3419441542831</v>
      </c>
      <c r="O46" s="45">
        <v>1800.2510789515852</v>
      </c>
      <c r="P46" s="45">
        <v>1813.23275747145</v>
      </c>
      <c r="Q46" s="45">
        <v>1843.7042751902986</v>
      </c>
      <c r="R46" s="45">
        <v>2045.4331000050504</v>
      </c>
      <c r="S46" s="45">
        <v>1942.3245384571226</v>
      </c>
      <c r="T46" s="45">
        <v>2059.9744049911446</v>
      </c>
      <c r="U46" s="45">
        <v>1882.4508961950887</v>
      </c>
      <c r="V46" s="45">
        <v>1853.47065497636</v>
      </c>
      <c r="W46" s="45">
        <v>1972.803564896499</v>
      </c>
      <c r="X46" s="45">
        <v>1940.5277184361626</v>
      </c>
      <c r="Y46" s="45">
        <v>1970.116222575442</v>
      </c>
      <c r="Z46" s="45">
        <v>1477.304120082995</v>
      </c>
      <c r="AA46" s="45">
        <v>1176.0710321158838</v>
      </c>
    </row>
    <row r="47" spans="1:27" x14ac:dyDescent="0.25">
      <c r="A47" s="73" t="s">
        <v>11</v>
      </c>
      <c r="B47" s="65"/>
      <c r="C47" s="65"/>
      <c r="D47" s="66">
        <v>1708.763896087069</v>
      </c>
      <c r="E47" s="66">
        <v>1550.4337976437093</v>
      </c>
      <c r="F47" s="66">
        <v>1593.5958204373317</v>
      </c>
      <c r="G47" s="66">
        <v>1711.572618026818</v>
      </c>
      <c r="H47" s="66">
        <v>1560.8581417601019</v>
      </c>
      <c r="I47" s="66">
        <v>2049.2254600490078</v>
      </c>
      <c r="J47" s="66">
        <v>2041.9590477198428</v>
      </c>
      <c r="K47" s="66">
        <v>2382.7536005802376</v>
      </c>
      <c r="L47" s="66">
        <v>1968.8920088225316</v>
      </c>
      <c r="M47" s="66">
        <v>2404.0431993963402</v>
      </c>
      <c r="N47" s="66">
        <v>2472.4940322829266</v>
      </c>
      <c r="O47" s="66">
        <v>2479.6382347517651</v>
      </c>
      <c r="P47" s="66">
        <v>2544.8454833429005</v>
      </c>
      <c r="Q47" s="66">
        <v>2594.8693149137757</v>
      </c>
      <c r="R47" s="66">
        <v>2752.7390222167596</v>
      </c>
      <c r="S47" s="66">
        <v>2773.0981200000001</v>
      </c>
      <c r="T47" s="66">
        <v>2916.2638234370093</v>
      </c>
      <c r="U47" s="66">
        <v>3033.9941854807321</v>
      </c>
      <c r="V47" s="66">
        <v>2847.3000516143829</v>
      </c>
      <c r="W47" s="66">
        <v>3164.423165277974</v>
      </c>
      <c r="X47" s="66">
        <v>3097.6289619887057</v>
      </c>
      <c r="Y47" s="66">
        <v>2952.0456599468162</v>
      </c>
      <c r="Z47" s="66">
        <v>2846.6666968014119</v>
      </c>
      <c r="AA47" s="66">
        <v>3031.1</v>
      </c>
    </row>
    <row r="48" spans="1:27" x14ac:dyDescent="0.25">
      <c r="A48" s="72" t="s">
        <v>4</v>
      </c>
      <c r="B48" s="65"/>
      <c r="C48" s="65"/>
      <c r="D48" s="66">
        <v>3760.5781614407874</v>
      </c>
      <c r="E48" s="66">
        <v>3700.3580570135859</v>
      </c>
      <c r="F48" s="66">
        <v>3655.7573224126227</v>
      </c>
      <c r="G48" s="66">
        <v>3779.0876238054411</v>
      </c>
      <c r="H48" s="66">
        <v>3805.397948919257</v>
      </c>
      <c r="I48" s="66">
        <v>3917.4069331667706</v>
      </c>
      <c r="J48" s="66">
        <v>4038.8716338578047</v>
      </c>
      <c r="K48" s="66">
        <v>4163.8017464684954</v>
      </c>
      <c r="L48" s="66">
        <v>3746.487857708405</v>
      </c>
      <c r="M48" s="66">
        <v>3255.5851393188859</v>
      </c>
      <c r="N48" s="66">
        <v>3410.6027614454638</v>
      </c>
      <c r="O48" s="66">
        <v>3343.1188510809084</v>
      </c>
      <c r="P48" s="66">
        <v>3263.1615217807257</v>
      </c>
      <c r="Q48" s="66">
        <v>3266.2022369095303</v>
      </c>
      <c r="R48" s="66">
        <v>3333.3428182199968</v>
      </c>
      <c r="S48" s="66">
        <v>3185.2071400000004</v>
      </c>
      <c r="T48" s="66">
        <v>3226.2274681903859</v>
      </c>
      <c r="U48" s="66">
        <v>3302.0041115219933</v>
      </c>
      <c r="V48" s="66">
        <v>3184.4866184932416</v>
      </c>
      <c r="W48" s="66">
        <v>3391.1858070893945</v>
      </c>
      <c r="X48" s="66">
        <v>2953.3746670693872</v>
      </c>
      <c r="Y48" s="66">
        <v>3050.0010780508837</v>
      </c>
      <c r="Z48" s="66">
        <v>2905.7319858797196</v>
      </c>
      <c r="AA48" s="66">
        <v>2598.7000000000003</v>
      </c>
    </row>
    <row r="49" spans="1:27" x14ac:dyDescent="0.25">
      <c r="A49" s="77" t="s">
        <v>10</v>
      </c>
      <c r="B49" s="44"/>
      <c r="C49" s="44"/>
      <c r="D49" s="45">
        <v>1452.5255824721778</v>
      </c>
      <c r="E49" s="45">
        <v>1391.9915254629009</v>
      </c>
      <c r="F49" s="45">
        <v>1434.6042065348136</v>
      </c>
      <c r="G49" s="45">
        <v>1438.9737417240517</v>
      </c>
      <c r="H49" s="45">
        <v>1533.2260579483768</v>
      </c>
      <c r="I49" s="45">
        <v>1566.2405439573274</v>
      </c>
      <c r="J49" s="45">
        <v>1659.9968115619808</v>
      </c>
      <c r="K49" s="45">
        <v>1695.1649796027996</v>
      </c>
      <c r="L49" s="45">
        <v>1600.0836573480842</v>
      </c>
      <c r="M49" s="45">
        <v>1486.4373590878704</v>
      </c>
      <c r="N49" s="45">
        <v>1379.902368583995</v>
      </c>
      <c r="O49" s="45">
        <v>1357.4024583461564</v>
      </c>
      <c r="P49" s="45">
        <v>1362.6723406312799</v>
      </c>
      <c r="Q49" s="45">
        <v>1427.1280002269809</v>
      </c>
      <c r="R49" s="45">
        <v>1390.9560118728862</v>
      </c>
      <c r="S49" s="45">
        <v>1401.2703015210038</v>
      </c>
      <c r="T49" s="45">
        <v>1427.0358850162797</v>
      </c>
      <c r="U49" s="45">
        <v>1462.7747493734753</v>
      </c>
      <c r="V49" s="45">
        <v>1277.7702908753108</v>
      </c>
      <c r="W49" s="45">
        <v>1417.032755087243</v>
      </c>
      <c r="X49" s="45">
        <v>1431.5346461066031</v>
      </c>
      <c r="Y49" s="45">
        <v>1414.9166556087312</v>
      </c>
      <c r="Z49" s="45">
        <v>1404.1215070321755</v>
      </c>
      <c r="AA49" s="45">
        <v>1255.9704666998716</v>
      </c>
    </row>
    <row r="50" spans="1:27" x14ac:dyDescent="0.25">
      <c r="A50" s="77" t="s">
        <v>18</v>
      </c>
      <c r="B50" s="44"/>
      <c r="C50" s="44"/>
      <c r="D50" s="45">
        <v>919.43004938876027</v>
      </c>
      <c r="E50" s="45">
        <v>983.64581681736138</v>
      </c>
      <c r="F50" s="45">
        <v>933.66018267003619</v>
      </c>
      <c r="G50" s="45">
        <v>1086.3309845054898</v>
      </c>
      <c r="H50" s="45">
        <v>896.22066510822378</v>
      </c>
      <c r="I50" s="45">
        <v>974.67471619561263</v>
      </c>
      <c r="J50" s="45">
        <v>1032.6966217989971</v>
      </c>
      <c r="K50" s="45">
        <v>1065.6548123253117</v>
      </c>
      <c r="L50" s="45">
        <v>1016.6277536031545</v>
      </c>
      <c r="M50" s="45">
        <v>919.75459345244587</v>
      </c>
      <c r="N50" s="45">
        <v>1047.0143379001393</v>
      </c>
      <c r="O50" s="45">
        <v>1043.3635995717987</v>
      </c>
      <c r="P50" s="45">
        <v>930.24028463793729</v>
      </c>
      <c r="Q50" s="45">
        <v>910.31207600255686</v>
      </c>
      <c r="R50" s="45">
        <v>906.800078992723</v>
      </c>
      <c r="S50" s="45">
        <v>809.95360156643653</v>
      </c>
      <c r="T50" s="45">
        <v>829.18960500923708</v>
      </c>
      <c r="U50" s="45">
        <v>842.19031095796379</v>
      </c>
      <c r="V50" s="45">
        <v>763.23409585513457</v>
      </c>
      <c r="W50" s="45">
        <v>816.34867051408401</v>
      </c>
      <c r="X50" s="45">
        <v>603.72393165576273</v>
      </c>
      <c r="Y50" s="45">
        <v>595.02075308406438</v>
      </c>
      <c r="Z50" s="45">
        <v>641.9020859635533</v>
      </c>
      <c r="AA50" s="45">
        <v>625.07302469651972</v>
      </c>
    </row>
    <row r="51" spans="1:27" x14ac:dyDescent="0.25">
      <c r="A51" s="77" t="s">
        <v>9</v>
      </c>
      <c r="B51" s="44"/>
      <c r="C51" s="44"/>
      <c r="D51" s="45">
        <v>1388.6225295798495</v>
      </c>
      <c r="E51" s="45">
        <v>1324.7207147333238</v>
      </c>
      <c r="F51" s="45">
        <v>1287.4929332077727</v>
      </c>
      <c r="G51" s="45">
        <v>1253.7828975758996</v>
      </c>
      <c r="H51" s="45">
        <v>1375.9512258626564</v>
      </c>
      <c r="I51" s="45">
        <v>1376.4916730138302</v>
      </c>
      <c r="J51" s="45">
        <v>1346.1782004968268</v>
      </c>
      <c r="K51" s="45">
        <v>1402.9819545403841</v>
      </c>
      <c r="L51" s="45">
        <v>1129.7764467571665</v>
      </c>
      <c r="M51" s="45">
        <v>849.39318677856966</v>
      </c>
      <c r="N51" s="45">
        <v>983.68605496132955</v>
      </c>
      <c r="O51" s="45">
        <v>942.35279316295328</v>
      </c>
      <c r="P51" s="45">
        <v>970.24889651150852</v>
      </c>
      <c r="Q51" s="45">
        <v>928.76216067999246</v>
      </c>
      <c r="R51" s="45">
        <v>1035.5867273543877</v>
      </c>
      <c r="S51" s="45">
        <v>973.98323691256007</v>
      </c>
      <c r="T51" s="45">
        <v>970.00197816486912</v>
      </c>
      <c r="U51" s="45">
        <v>997.03905119055423</v>
      </c>
      <c r="V51" s="45">
        <v>1143.4822317627963</v>
      </c>
      <c r="W51" s="45">
        <v>1157.8043814880675</v>
      </c>
      <c r="X51" s="45">
        <v>918.11608930702141</v>
      </c>
      <c r="Y51" s="45">
        <v>1040.0636693580882</v>
      </c>
      <c r="Z51" s="45">
        <v>859.70839288399077</v>
      </c>
      <c r="AA51" s="45">
        <v>717.65650860360893</v>
      </c>
    </row>
    <row r="52" spans="1:27" x14ac:dyDescent="0.25">
      <c r="A52" s="72" t="s">
        <v>3</v>
      </c>
      <c r="B52" s="65"/>
      <c r="C52" s="65"/>
      <c r="D52" s="66">
        <v>5231.0720847369785</v>
      </c>
      <c r="E52" s="66">
        <v>5277.5207287469975</v>
      </c>
      <c r="F52" s="66">
        <v>5065.7068959009594</v>
      </c>
      <c r="G52" s="66">
        <v>4816.1120804284892</v>
      </c>
      <c r="H52" s="66">
        <v>4594.2732218651099</v>
      </c>
      <c r="I52" s="66">
        <v>4409.7142531110367</v>
      </c>
      <c r="J52" s="66">
        <v>4429.8631435358311</v>
      </c>
      <c r="K52" s="66">
        <v>4386.3246739042843</v>
      </c>
      <c r="L52" s="66">
        <v>4140.4078554462176</v>
      </c>
      <c r="M52" s="66">
        <v>3921.2603393366398</v>
      </c>
      <c r="N52" s="66">
        <v>3949.9532547180197</v>
      </c>
      <c r="O52" s="66">
        <v>3942.0829961709924</v>
      </c>
      <c r="P52" s="66">
        <v>3866.6374821948684</v>
      </c>
      <c r="Q52" s="66">
        <v>3655.0202514039511</v>
      </c>
      <c r="R52" s="66">
        <v>3656.9832734126135</v>
      </c>
      <c r="S52" s="66">
        <v>3561.6384350000008</v>
      </c>
      <c r="T52" s="66">
        <v>3659.5866321080748</v>
      </c>
      <c r="U52" s="66">
        <v>3508.3717545737645</v>
      </c>
      <c r="V52" s="66">
        <v>3635.5843321672301</v>
      </c>
      <c r="W52" s="66">
        <v>3590.9585086852135</v>
      </c>
      <c r="X52" s="66">
        <v>3202.3536844321188</v>
      </c>
      <c r="Y52" s="66">
        <v>3004.678421913181</v>
      </c>
      <c r="Z52" s="66">
        <v>3261.2015540918678</v>
      </c>
      <c r="AA52" s="66">
        <v>2553.7000000000007</v>
      </c>
    </row>
    <row r="53" spans="1:27" x14ac:dyDescent="0.25">
      <c r="A53" s="73" t="s">
        <v>21</v>
      </c>
      <c r="B53" s="65"/>
      <c r="C53" s="65"/>
      <c r="D53" s="66">
        <v>3018.0322557657423</v>
      </c>
      <c r="E53" s="66">
        <v>3185.986331227838</v>
      </c>
      <c r="F53" s="66">
        <v>3008.4279270778288</v>
      </c>
      <c r="G53" s="66">
        <v>2786.8671041022012</v>
      </c>
      <c r="H53" s="66">
        <v>2682.0530741676685</v>
      </c>
      <c r="I53" s="66">
        <v>2571.7569007351176</v>
      </c>
      <c r="J53" s="66">
        <v>2587.5217491004023</v>
      </c>
      <c r="K53" s="66">
        <v>2557.5724548416433</v>
      </c>
      <c r="L53" s="66">
        <v>2323.0235380613053</v>
      </c>
      <c r="M53" s="66">
        <v>2277.3537623311918</v>
      </c>
      <c r="N53" s="66">
        <v>2357.6770220871595</v>
      </c>
      <c r="O53" s="66">
        <v>2383.2282272673033</v>
      </c>
      <c r="P53" s="66">
        <v>2384.8944129089869</v>
      </c>
      <c r="Q53" s="66">
        <v>2314.056304445583</v>
      </c>
      <c r="R53" s="66">
        <v>2404.9922256706509</v>
      </c>
      <c r="S53" s="66">
        <v>2350.9743000000003</v>
      </c>
      <c r="T53" s="66">
        <v>2510.3122300109958</v>
      </c>
      <c r="U53" s="66">
        <v>2400.6380011677697</v>
      </c>
      <c r="V53" s="66">
        <v>2616.6060484410546</v>
      </c>
      <c r="W53" s="66">
        <v>2626.6279809819703</v>
      </c>
      <c r="X53" s="66">
        <v>2380.5968908170644</v>
      </c>
      <c r="Y53" s="66">
        <v>2245.5520473983038</v>
      </c>
      <c r="Z53" s="66">
        <v>2504.1311334969223</v>
      </c>
      <c r="AA53" s="66">
        <v>1880.5</v>
      </c>
    </row>
    <row r="54" spans="1:27" x14ac:dyDescent="0.25">
      <c r="A54" s="74" t="s">
        <v>8</v>
      </c>
      <c r="B54" s="44"/>
      <c r="C54" s="44"/>
      <c r="D54" s="45">
        <v>144.65899444427973</v>
      </c>
      <c r="E54" s="45">
        <v>154.60748760876959</v>
      </c>
      <c r="F54" s="45">
        <v>142.52039114400731</v>
      </c>
      <c r="G54" s="45">
        <v>132.82932098984963</v>
      </c>
      <c r="H54" s="45">
        <v>127.61949455152516</v>
      </c>
      <c r="I54" s="45">
        <v>119.80188282689178</v>
      </c>
      <c r="J54" s="45">
        <v>114.21814960853357</v>
      </c>
      <c r="K54" s="45">
        <v>116.78167987522977</v>
      </c>
      <c r="L54" s="45">
        <v>107.0235818620621</v>
      </c>
      <c r="M54" s="45">
        <v>92.333497467646211</v>
      </c>
      <c r="N54" s="45">
        <v>120.18962690190054</v>
      </c>
      <c r="O54" s="45">
        <v>117.04274702756408</v>
      </c>
      <c r="P54" s="45">
        <v>92.855087602414244</v>
      </c>
      <c r="Q54" s="45">
        <v>83.131860532025229</v>
      </c>
      <c r="R54" s="45">
        <v>84.01513959404825</v>
      </c>
      <c r="S54" s="45">
        <v>85.112996389554823</v>
      </c>
      <c r="T54" s="45">
        <v>85.977397384610896</v>
      </c>
      <c r="U54" s="45">
        <v>87.210399827555378</v>
      </c>
      <c r="V54" s="45">
        <v>88.078038081066509</v>
      </c>
      <c r="W54" s="45">
        <v>89.232926971465929</v>
      </c>
      <c r="X54" s="45">
        <v>90.761863100711935</v>
      </c>
      <c r="Y54" s="45">
        <v>92.232695065021446</v>
      </c>
      <c r="Z54" s="45">
        <v>93.13833781922277</v>
      </c>
      <c r="AA54" s="45">
        <v>95.676034459639467</v>
      </c>
    </row>
    <row r="55" spans="1:27" x14ac:dyDescent="0.25">
      <c r="A55" s="74" t="s">
        <v>17</v>
      </c>
      <c r="B55" s="44"/>
      <c r="C55" s="44"/>
      <c r="D55" s="45">
        <v>2873.3732613214625</v>
      </c>
      <c r="E55" s="45">
        <v>3031.3788436190684</v>
      </c>
      <c r="F55" s="45">
        <v>2865.9075359338217</v>
      </c>
      <c r="G55" s="45">
        <v>2654.0377831123515</v>
      </c>
      <c r="H55" s="45">
        <v>2554.4335796161431</v>
      </c>
      <c r="I55" s="45">
        <v>2451.9550179082257</v>
      </c>
      <c r="J55" s="45">
        <v>2473.3035994918687</v>
      </c>
      <c r="K55" s="45">
        <v>2440.7907749664137</v>
      </c>
      <c r="L55" s="45">
        <v>2215.9999561992431</v>
      </c>
      <c r="M55" s="45">
        <v>2185.0202648635454</v>
      </c>
      <c r="N55" s="45">
        <v>2237.4873951852587</v>
      </c>
      <c r="O55" s="45">
        <v>2266.1854802397393</v>
      </c>
      <c r="P55" s="45">
        <v>2292.0393253065727</v>
      </c>
      <c r="Q55" s="45">
        <v>2230.9244439135578</v>
      </c>
      <c r="R55" s="45">
        <v>2320.9770860766025</v>
      </c>
      <c r="S55" s="45">
        <v>2265.8613036104457</v>
      </c>
      <c r="T55" s="45">
        <v>2424.3348326263849</v>
      </c>
      <c r="U55" s="45">
        <v>2313.4276013402146</v>
      </c>
      <c r="V55" s="45">
        <v>2528.528010359988</v>
      </c>
      <c r="W55" s="45">
        <v>2537.3950540105043</v>
      </c>
      <c r="X55" s="45">
        <v>2289.8350277163527</v>
      </c>
      <c r="Y55" s="45">
        <v>2153.3193523332825</v>
      </c>
      <c r="Z55" s="45">
        <v>2410.9927956776996</v>
      </c>
      <c r="AA55" s="45">
        <v>1784.8239655403606</v>
      </c>
    </row>
    <row r="56" spans="1:27" x14ac:dyDescent="0.25">
      <c r="A56" s="73" t="s">
        <v>16</v>
      </c>
      <c r="B56" s="65"/>
      <c r="C56" s="65"/>
      <c r="D56" s="66">
        <v>2213.0398289712361</v>
      </c>
      <c r="E56" s="66">
        <v>2091.5343975191595</v>
      </c>
      <c r="F56" s="66">
        <v>2057.2789688231301</v>
      </c>
      <c r="G56" s="66">
        <v>2029.244976326288</v>
      </c>
      <c r="H56" s="66">
        <v>1912.2201476974415</v>
      </c>
      <c r="I56" s="66">
        <v>1837.9573523759193</v>
      </c>
      <c r="J56" s="66">
        <v>1842.341394435429</v>
      </c>
      <c r="K56" s="66">
        <v>1828.7522190626412</v>
      </c>
      <c r="L56" s="66">
        <v>1817.384317384912</v>
      </c>
      <c r="M56" s="66">
        <v>1643.9065770054478</v>
      </c>
      <c r="N56" s="66">
        <v>1592.27623263086</v>
      </c>
      <c r="O56" s="66">
        <v>1558.8547689036889</v>
      </c>
      <c r="P56" s="66">
        <v>1481.7430692858813</v>
      </c>
      <c r="Q56" s="66">
        <v>1340.9639469583681</v>
      </c>
      <c r="R56" s="66">
        <v>1251.9910477419626</v>
      </c>
      <c r="S56" s="66">
        <v>1210.6641350000007</v>
      </c>
      <c r="T56" s="66">
        <v>1149.2744020970788</v>
      </c>
      <c r="U56" s="66">
        <v>1107.7337534059948</v>
      </c>
      <c r="V56" s="66">
        <v>1018.9782837261754</v>
      </c>
      <c r="W56" s="66">
        <v>964.33052770324321</v>
      </c>
      <c r="X56" s="66">
        <v>821.75679361505422</v>
      </c>
      <c r="Y56" s="66">
        <v>759.12637451487706</v>
      </c>
      <c r="Z56" s="66">
        <v>757.07042059494563</v>
      </c>
      <c r="AA56" s="66">
        <v>673.20000000000073</v>
      </c>
    </row>
    <row r="57" spans="1:27" x14ac:dyDescent="0.25">
      <c r="A57" s="72" t="s">
        <v>2</v>
      </c>
      <c r="B57" s="65"/>
      <c r="C57" s="65"/>
      <c r="D57" s="66">
        <v>6483.0842834931327</v>
      </c>
      <c r="E57" s="66">
        <v>6433.0672318035658</v>
      </c>
      <c r="F57" s="66">
        <v>6566.5345864472456</v>
      </c>
      <c r="G57" s="66">
        <v>6738.6365681194011</v>
      </c>
      <c r="H57" s="66">
        <v>6932.0283863686545</v>
      </c>
      <c r="I57" s="66">
        <v>6708.1007483303711</v>
      </c>
      <c r="J57" s="66">
        <v>6730.3241080458147</v>
      </c>
      <c r="K57" s="66">
        <v>7097.674307226489</v>
      </c>
      <c r="L57" s="66">
        <v>6849.9884006334132</v>
      </c>
      <c r="M57" s="66">
        <v>7142.6726699734791</v>
      </c>
      <c r="N57" s="66">
        <v>7242.7066239457399</v>
      </c>
      <c r="O57" s="66">
        <v>6923.1890585848942</v>
      </c>
      <c r="P57" s="66">
        <v>7339.7846854603822</v>
      </c>
      <c r="Q57" s="66">
        <v>7024.2527163966824</v>
      </c>
      <c r="R57" s="66">
        <v>7391.6710301242465</v>
      </c>
      <c r="S57" s="66">
        <v>7432.6090050000012</v>
      </c>
      <c r="T57" s="66">
        <v>7829.8389834668551</v>
      </c>
      <c r="U57" s="66">
        <v>7883.6337971973535</v>
      </c>
      <c r="V57" s="66">
        <v>7750.8638192731923</v>
      </c>
      <c r="W57" s="66">
        <v>8119.0218848561881</v>
      </c>
      <c r="X57" s="66">
        <v>8040.0858846572764</v>
      </c>
      <c r="Y57" s="66">
        <v>8313.5022010205539</v>
      </c>
      <c r="Z57" s="66">
        <v>8431.4622325541368</v>
      </c>
      <c r="AA57" s="66">
        <v>8939.7999999999993</v>
      </c>
    </row>
    <row r="58" spans="1:27" x14ac:dyDescent="0.25">
      <c r="A58" s="72" t="s">
        <v>269</v>
      </c>
      <c r="B58" s="65"/>
      <c r="C58" s="65"/>
      <c r="D58" s="66">
        <v>4771.8874060637472</v>
      </c>
      <c r="E58" s="66">
        <v>5048.7342945744313</v>
      </c>
      <c r="F58" s="66">
        <v>5485.4472459173148</v>
      </c>
      <c r="G58" s="66">
        <v>5631.1392523829054</v>
      </c>
      <c r="H58" s="66">
        <v>5861.8178009764715</v>
      </c>
      <c r="I58" s="66">
        <v>6235.9428422140018</v>
      </c>
      <c r="J58" s="66">
        <v>6834.8436757684794</v>
      </c>
      <c r="K58" s="66">
        <v>7115.6894406005003</v>
      </c>
      <c r="L58" s="66">
        <v>6901.529334916866</v>
      </c>
      <c r="M58" s="66">
        <v>5529.1882275264379</v>
      </c>
      <c r="N58" s="66">
        <v>5382.0645823699097</v>
      </c>
      <c r="O58" s="66">
        <v>5809.3140002820228</v>
      </c>
      <c r="P58" s="66">
        <v>5939.3478591321727</v>
      </c>
      <c r="Q58" s="66">
        <v>6060.0625895443563</v>
      </c>
      <c r="R58" s="66">
        <v>6090.9543987954403</v>
      </c>
      <c r="S58" s="66">
        <v>5939.4023250000009</v>
      </c>
      <c r="T58" s="66">
        <v>6489.9406269635565</v>
      </c>
      <c r="U58" s="66">
        <v>6330.8817438692104</v>
      </c>
      <c r="V58" s="66">
        <v>7211.5806904857482</v>
      </c>
      <c r="W58" s="66">
        <v>7198.535277503177</v>
      </c>
      <c r="X58" s="66">
        <v>6592.8452181553585</v>
      </c>
      <c r="Y58" s="66">
        <v>6745.428269189305</v>
      </c>
      <c r="Z58" s="66">
        <v>6205.196637823411</v>
      </c>
      <c r="AA58" s="66">
        <v>6568.6</v>
      </c>
    </row>
    <row r="59" spans="1:27" x14ac:dyDescent="0.25">
      <c r="A59" s="72" t="s">
        <v>270</v>
      </c>
      <c r="B59" s="65"/>
      <c r="C59" s="65"/>
      <c r="D59" s="66">
        <v>20998.413170510492</v>
      </c>
      <c r="E59" s="66">
        <v>22111.301990264728</v>
      </c>
      <c r="F59" s="66">
        <v>22056.764764349165</v>
      </c>
      <c r="G59" s="66">
        <v>22056.604779480294</v>
      </c>
      <c r="H59" s="66">
        <v>22553.970159964672</v>
      </c>
      <c r="I59" s="66">
        <v>23177.539914957</v>
      </c>
      <c r="J59" s="66">
        <v>25381.620152167266</v>
      </c>
      <c r="K59" s="66">
        <v>26716.875156859809</v>
      </c>
      <c r="L59" s="66">
        <v>27421.051402556273</v>
      </c>
      <c r="M59" s="66">
        <v>24854.745020362418</v>
      </c>
      <c r="N59" s="66">
        <v>25339.135517826078</v>
      </c>
      <c r="O59" s="66">
        <v>27448.472285797961</v>
      </c>
      <c r="P59" s="66">
        <v>28208.74189999362</v>
      </c>
      <c r="Q59" s="66">
        <v>28292.205363772311</v>
      </c>
      <c r="R59" s="66">
        <v>27934.88997121757</v>
      </c>
      <c r="S59" s="66">
        <v>28255.130795000005</v>
      </c>
      <c r="T59" s="66">
        <v>29199.017789820922</v>
      </c>
      <c r="U59" s="66">
        <v>30394.274776177503</v>
      </c>
      <c r="V59" s="66">
        <v>30906.654733230102</v>
      </c>
      <c r="W59" s="66">
        <v>30550.019404038976</v>
      </c>
      <c r="X59" s="66">
        <v>27295.799976202896</v>
      </c>
      <c r="Y59" s="66">
        <v>30058.59285162426</v>
      </c>
      <c r="Z59" s="66">
        <v>30402.779719316371</v>
      </c>
      <c r="AA59" s="66">
        <v>30088.399999999998</v>
      </c>
    </row>
    <row r="60" spans="1:27" x14ac:dyDescent="0.25">
      <c r="A60" s="72" t="s">
        <v>1</v>
      </c>
      <c r="B60" s="65"/>
      <c r="C60" s="65"/>
      <c r="D60" s="66">
        <v>2648.7056880020727</v>
      </c>
      <c r="E60" s="66">
        <v>2426.7590267275014</v>
      </c>
      <c r="F60" s="66">
        <v>2203.2824601796638</v>
      </c>
      <c r="G60" s="66">
        <v>1921.2799338875841</v>
      </c>
      <c r="H60" s="66">
        <v>2030.466976618661</v>
      </c>
      <c r="I60" s="66">
        <v>1860.813403882189</v>
      </c>
      <c r="J60" s="66">
        <v>1857.5040922881535</v>
      </c>
      <c r="K60" s="66">
        <v>1749.9179954179667</v>
      </c>
      <c r="L60" s="66">
        <v>1602.0168419862009</v>
      </c>
      <c r="M60" s="66">
        <v>1437.4805863488575</v>
      </c>
      <c r="N60" s="66">
        <v>1531.9042632842263</v>
      </c>
      <c r="O60" s="66">
        <v>1514.1802724777904</v>
      </c>
      <c r="P60" s="66">
        <v>1381.8069179582033</v>
      </c>
      <c r="Q60" s="66">
        <v>1325.1232130345211</v>
      </c>
      <c r="R60" s="66">
        <v>1338.2866207786622</v>
      </c>
      <c r="S60" s="66">
        <v>1366.7698300000002</v>
      </c>
      <c r="T60" s="66">
        <v>1276.3570383678918</v>
      </c>
      <c r="U60" s="66">
        <v>1127.590852471779</v>
      </c>
      <c r="V60" s="66">
        <v>1187.4519125996444</v>
      </c>
      <c r="W60" s="66">
        <v>1156.6780492397495</v>
      </c>
      <c r="X60" s="66">
        <v>1037.5080544038369</v>
      </c>
      <c r="Y60" s="66">
        <v>1012.0560361865746</v>
      </c>
      <c r="Z60" s="66">
        <v>1001.9542468466143</v>
      </c>
      <c r="AA60" s="66">
        <v>964.7</v>
      </c>
    </row>
    <row r="61" spans="1:27" x14ac:dyDescent="0.25">
      <c r="A61" s="72" t="s">
        <v>0</v>
      </c>
      <c r="B61" s="65"/>
      <c r="C61" s="65"/>
      <c r="D61" s="66">
        <v>2833.125673749676</v>
      </c>
      <c r="E61" s="66">
        <v>2875.2631699350554</v>
      </c>
      <c r="F61" s="66">
        <v>2828.7192068644476</v>
      </c>
      <c r="G61" s="66">
        <v>2867.6075320931041</v>
      </c>
      <c r="H61" s="66">
        <v>2927.9143379376333</v>
      </c>
      <c r="I61" s="66">
        <v>2790.994552683419</v>
      </c>
      <c r="J61" s="66">
        <v>3169.8871151720414</v>
      </c>
      <c r="K61" s="66">
        <v>3421.1458882582519</v>
      </c>
      <c r="L61" s="66">
        <v>3065.1280341590318</v>
      </c>
      <c r="M61" s="66">
        <v>2673.9528224419364</v>
      </c>
      <c r="N61" s="66">
        <v>2887.6546982008763</v>
      </c>
      <c r="O61" s="66">
        <v>2913.89063466065</v>
      </c>
      <c r="P61" s="66">
        <v>2785.5705136381998</v>
      </c>
      <c r="Q61" s="66">
        <v>2772.9139276115579</v>
      </c>
      <c r="R61" s="66">
        <v>2760.8172110745782</v>
      </c>
      <c r="S61" s="66">
        <v>2948.6074900000003</v>
      </c>
      <c r="T61" s="66">
        <v>3072.2288770420982</v>
      </c>
      <c r="U61" s="66">
        <v>3064.8153269754771</v>
      </c>
      <c r="V61" s="66">
        <v>3300.6712020416353</v>
      </c>
      <c r="W61" s="66">
        <v>3465.0840276797062</v>
      </c>
      <c r="X61" s="66">
        <v>3349.472441125054</v>
      </c>
      <c r="Y61" s="66">
        <v>4013.6979526016962</v>
      </c>
      <c r="Z61" s="66">
        <v>3915.2310689224678</v>
      </c>
      <c r="AA61" s="66">
        <v>2899.9</v>
      </c>
    </row>
    <row r="62" spans="1:27" x14ac:dyDescent="0.25">
      <c r="A62" s="78" t="s">
        <v>271</v>
      </c>
      <c r="B62" s="79"/>
      <c r="C62" s="79"/>
      <c r="D62" s="80">
        <v>6544.8820095879764</v>
      </c>
      <c r="E62" s="80">
        <v>6591.5312710496537</v>
      </c>
      <c r="F62" s="80">
        <v>6751.5983430210617</v>
      </c>
      <c r="G62" s="80">
        <v>6170.031049223925</v>
      </c>
      <c r="H62" s="80">
        <v>6336.4943570745108</v>
      </c>
      <c r="I62" s="80">
        <v>6271.1291320328637</v>
      </c>
      <c r="J62" s="80">
        <v>6648.4749817728552</v>
      </c>
      <c r="K62" s="80">
        <v>7032.9639481470404</v>
      </c>
      <c r="L62" s="80">
        <v>6764.3228367831689</v>
      </c>
      <c r="M62" s="80">
        <v>6005.6627550850553</v>
      </c>
      <c r="N62" s="80">
        <v>6242.4340633326719</v>
      </c>
      <c r="O62" s="80">
        <v>6549.3626492824669</v>
      </c>
      <c r="P62" s="80">
        <v>6349.205843272317</v>
      </c>
      <c r="Q62" s="80">
        <v>6419.5556090062018</v>
      </c>
      <c r="R62" s="80">
        <v>6660.530825881654</v>
      </c>
      <c r="S62" s="80">
        <v>6369.7883550000006</v>
      </c>
      <c r="T62" s="80">
        <v>6582.2414585296892</v>
      </c>
      <c r="U62" s="80">
        <v>6662.6049386920986</v>
      </c>
      <c r="V62" s="80">
        <v>6511.3621704803954</v>
      </c>
      <c r="W62" s="80">
        <v>6469.0997316763169</v>
      </c>
      <c r="X62" s="80">
        <v>5865.2719276568096</v>
      </c>
      <c r="Y62" s="80">
        <v>6103.6009774328013</v>
      </c>
      <c r="Z62" s="80">
        <v>6308.3453269619877</v>
      </c>
      <c r="AA62" s="80">
        <v>6262.6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1.873677864246915E-2</v>
      </c>
      <c r="E66" s="83">
        <f t="shared" ref="E66:S66" si="55">E24/E$23</f>
        <v>1.9122161398696175E-2</v>
      </c>
      <c r="F66" s="83">
        <f t="shared" si="55"/>
        <v>1.7856253151337962E-2</v>
      </c>
      <c r="G66" s="83">
        <f t="shared" si="55"/>
        <v>1.6651729657128838E-2</v>
      </c>
      <c r="H66" s="83">
        <f t="shared" si="55"/>
        <v>1.6763904187592181E-2</v>
      </c>
      <c r="I66" s="83">
        <f t="shared" si="55"/>
        <v>1.4434774773890728E-2</v>
      </c>
      <c r="J66" s="83">
        <f t="shared" si="55"/>
        <v>1.4887382097103869E-2</v>
      </c>
      <c r="K66" s="83">
        <f t="shared" si="55"/>
        <v>1.6398472793352534E-2</v>
      </c>
      <c r="L66" s="83">
        <f t="shared" si="55"/>
        <v>1.5521980448341089E-2</v>
      </c>
      <c r="M66" s="83">
        <f t="shared" si="55"/>
        <v>1.3218227512687648E-2</v>
      </c>
      <c r="N66" s="83">
        <f t="shared" si="55"/>
        <v>1.4531659117405348E-2</v>
      </c>
      <c r="O66" s="83">
        <f t="shared" si="55"/>
        <v>1.6423156019070451E-2</v>
      </c>
      <c r="P66" s="83">
        <f t="shared" si="55"/>
        <v>1.5968110741455856E-2</v>
      </c>
      <c r="Q66" s="83">
        <f t="shared" si="55"/>
        <v>1.4384548255159869E-2</v>
      </c>
      <c r="R66" s="83">
        <f t="shared" si="55"/>
        <v>1.434781142039176E-2</v>
      </c>
      <c r="S66" s="83">
        <f t="shared" si="55"/>
        <v>1.2875618406190514E-2</v>
      </c>
      <c r="T66" s="83">
        <f t="shared" ref="T66:Y66" si="56">T24/T$23</f>
        <v>1.2938558937769505E-2</v>
      </c>
      <c r="U66" s="83">
        <f t="shared" si="56"/>
        <v>1.3503625928236404E-2</v>
      </c>
      <c r="V66" s="83">
        <f t="shared" si="56"/>
        <v>1.2451970343774573E-2</v>
      </c>
      <c r="W66" s="83">
        <f t="shared" si="56"/>
        <v>1.1718743355636659E-2</v>
      </c>
      <c r="X66" s="83">
        <f t="shared" si="56"/>
        <v>1.1965762771492312E-2</v>
      </c>
      <c r="Y66" s="83">
        <f t="shared" si="56"/>
        <v>1.3617100388153698E-2</v>
      </c>
      <c r="Z66" s="83">
        <f t="shared" ref="Z66:AA66" si="57">Z24/Z$23</f>
        <v>1.5023322411388618E-2</v>
      </c>
      <c r="AA66" s="83">
        <f t="shared" si="57"/>
        <v>1.3810815384153454E-2</v>
      </c>
    </row>
    <row r="67" spans="1:27" x14ac:dyDescent="0.25">
      <c r="A67" s="64" t="s">
        <v>56</v>
      </c>
      <c r="B67" s="65"/>
      <c r="C67" s="65"/>
      <c r="D67" s="83">
        <f t="shared" si="51"/>
        <v>2.9880861941443001E-3</v>
      </c>
      <c r="E67" s="83">
        <f t="shared" ref="E67:S67" si="58">E25/E$23</f>
        <v>3.0207657232896958E-3</v>
      </c>
      <c r="F67" s="83">
        <f t="shared" si="58"/>
        <v>3.1263840695268026E-3</v>
      </c>
      <c r="G67" s="83">
        <f t="shared" si="58"/>
        <v>3.0097467023211867E-3</v>
      </c>
      <c r="H67" s="83">
        <f t="shared" si="58"/>
        <v>4.1539868939379802E-3</v>
      </c>
      <c r="I67" s="83">
        <f t="shared" si="58"/>
        <v>4.358711423597437E-3</v>
      </c>
      <c r="J67" s="83">
        <f t="shared" si="58"/>
        <v>4.3726861259557707E-3</v>
      </c>
      <c r="K67" s="83">
        <f t="shared" si="58"/>
        <v>3.9777962023334161E-3</v>
      </c>
      <c r="L67" s="83">
        <f t="shared" si="58"/>
        <v>5.1594015462844709E-3</v>
      </c>
      <c r="M67" s="83">
        <f t="shared" si="58"/>
        <v>4.2132124596712473E-3</v>
      </c>
      <c r="N67" s="83">
        <f t="shared" si="58"/>
        <v>4.5291280515331314E-3</v>
      </c>
      <c r="O67" s="83">
        <f t="shared" si="58"/>
        <v>5.5414885908061998E-3</v>
      </c>
      <c r="P67" s="83">
        <f t="shared" si="58"/>
        <v>5.4057188762907243E-3</v>
      </c>
      <c r="Q67" s="83">
        <f t="shared" si="58"/>
        <v>5.2129661756510938E-3</v>
      </c>
      <c r="R67" s="83">
        <f t="shared" si="58"/>
        <v>4.7645446730155286E-3</v>
      </c>
      <c r="S67" s="83">
        <f t="shared" si="58"/>
        <v>3.9059311703049182E-3</v>
      </c>
      <c r="T67" s="83">
        <f t="shared" ref="T67:Y67" si="59">T25/T$23</f>
        <v>3.3811940153942134E-3</v>
      </c>
      <c r="U67" s="83">
        <f t="shared" si="59"/>
        <v>3.6758339183367516E-3</v>
      </c>
      <c r="V67" s="83">
        <f t="shared" si="59"/>
        <v>3.4272240611489231E-3</v>
      </c>
      <c r="W67" s="83">
        <f t="shared" si="59"/>
        <v>3.0030684179793632E-3</v>
      </c>
      <c r="X67" s="83">
        <f t="shared" si="59"/>
        <v>2.2280190741651587E-3</v>
      </c>
      <c r="Y67" s="83">
        <f t="shared" si="59"/>
        <v>2.7470723813014064E-3</v>
      </c>
      <c r="Z67" s="83">
        <f t="shared" ref="Z67:AA67" si="60">Z25/Z$23</f>
        <v>3.8568066108699557E-3</v>
      </c>
      <c r="AA67" s="83">
        <f t="shared" si="60"/>
        <v>2.9149751456203615E-3</v>
      </c>
    </row>
    <row r="68" spans="1:27" x14ac:dyDescent="0.25">
      <c r="A68" s="64" t="s">
        <v>146</v>
      </c>
      <c r="B68" s="65"/>
      <c r="C68" s="65"/>
      <c r="D68" s="83">
        <f t="shared" si="51"/>
        <v>0.6743672357932603</v>
      </c>
      <c r="E68" s="83">
        <f t="shared" ref="E68:S68" si="61">E26/E$23</f>
        <v>0.67671989745724992</v>
      </c>
      <c r="F68" s="83">
        <f t="shared" si="61"/>
        <v>0.68590189190828799</v>
      </c>
      <c r="G68" s="83">
        <f t="shared" si="61"/>
        <v>0.68785778995407165</v>
      </c>
      <c r="H68" s="83">
        <f t="shared" si="61"/>
        <v>0.68790209659653123</v>
      </c>
      <c r="I68" s="83">
        <f t="shared" si="61"/>
        <v>0.69138342699448263</v>
      </c>
      <c r="J68" s="83">
        <f t="shared" si="61"/>
        <v>0.68985862255369346</v>
      </c>
      <c r="K68" s="83">
        <f t="shared" si="61"/>
        <v>0.68736064000864883</v>
      </c>
      <c r="L68" s="83">
        <f t="shared" si="61"/>
        <v>0.69257093793127811</v>
      </c>
      <c r="M68" s="83">
        <f t="shared" si="61"/>
        <v>0.70697060306490067</v>
      </c>
      <c r="N68" s="83">
        <f t="shared" si="61"/>
        <v>0.70959261559335163</v>
      </c>
      <c r="O68" s="83">
        <f t="shared" si="61"/>
        <v>0.70932038629591154</v>
      </c>
      <c r="P68" s="83">
        <f t="shared" si="61"/>
        <v>0.7083875452863263</v>
      </c>
      <c r="Q68" s="83">
        <f t="shared" si="61"/>
        <v>0.71036494968930386</v>
      </c>
      <c r="R68" s="83">
        <f t="shared" si="61"/>
        <v>0.71264272252686123</v>
      </c>
      <c r="S68" s="83">
        <f t="shared" si="61"/>
        <v>0.71637140705674218</v>
      </c>
      <c r="T68" s="83">
        <f t="shared" ref="T68:Y68" si="62">T26/T$23</f>
        <v>0.71221012402037309</v>
      </c>
      <c r="U68" s="83">
        <f t="shared" si="62"/>
        <v>0.71274941119952129</v>
      </c>
      <c r="V68" s="83">
        <f t="shared" si="62"/>
        <v>0.715324507860012</v>
      </c>
      <c r="W68" s="83">
        <f t="shared" si="62"/>
        <v>0.71851127308874541</v>
      </c>
      <c r="X68" s="83">
        <f t="shared" si="62"/>
        <v>0.71850998499109942</v>
      </c>
      <c r="Y68" s="83">
        <f t="shared" si="62"/>
        <v>0.71465754039126195</v>
      </c>
      <c r="Z68" s="83">
        <f t="shared" ref="Z68:AA68" si="63">Z26/Z$23</f>
        <v>0.71933163968385494</v>
      </c>
      <c r="AA68" s="83">
        <f t="shared" si="63"/>
        <v>0.71557867707180967</v>
      </c>
    </row>
    <row r="69" spans="1:27" x14ac:dyDescent="0.25">
      <c r="A69" s="68" t="s">
        <v>148</v>
      </c>
      <c r="B69" s="69"/>
      <c r="C69" s="69"/>
      <c r="D69" s="84">
        <f t="shared" si="51"/>
        <v>0.28004438838996532</v>
      </c>
      <c r="E69" s="84">
        <f t="shared" ref="E69:S69" si="64">E27/E$23</f>
        <v>0.27939429565132196</v>
      </c>
      <c r="F69" s="84">
        <f t="shared" si="64"/>
        <v>0.28146455255485076</v>
      </c>
      <c r="G69" s="84">
        <f t="shared" si="64"/>
        <v>0.28332859720835801</v>
      </c>
      <c r="H69" s="84">
        <f t="shared" si="64"/>
        <v>0.28148068629464368</v>
      </c>
      <c r="I69" s="84">
        <f t="shared" si="64"/>
        <v>0.279266191395247</v>
      </c>
      <c r="J69" s="84">
        <f t="shared" si="64"/>
        <v>0.27591523263036838</v>
      </c>
      <c r="K69" s="84">
        <f t="shared" si="64"/>
        <v>0.27211377260265052</v>
      </c>
      <c r="L69" s="84">
        <f t="shared" si="64"/>
        <v>0.27608788646551802</v>
      </c>
      <c r="M69" s="84">
        <f t="shared" si="64"/>
        <v>0.29050274944783439</v>
      </c>
      <c r="N69" s="84">
        <f t="shared" si="64"/>
        <v>0.28927316858742813</v>
      </c>
      <c r="O69" s="84">
        <f t="shared" si="64"/>
        <v>0.28453674869431311</v>
      </c>
      <c r="P69" s="84">
        <f t="shared" si="64"/>
        <v>0.28640454942795951</v>
      </c>
      <c r="Q69" s="84">
        <f t="shared" si="64"/>
        <v>0.28745895060754845</v>
      </c>
      <c r="R69" s="84">
        <f t="shared" si="64"/>
        <v>0.28752049115392064</v>
      </c>
      <c r="S69" s="84">
        <f t="shared" si="64"/>
        <v>0.29026321263167865</v>
      </c>
      <c r="T69" s="84">
        <f t="shared" ref="T69:Y69" si="65">T27/T$23</f>
        <v>0.28991253906399606</v>
      </c>
      <c r="U69" s="84">
        <f t="shared" si="65"/>
        <v>0.28991676971893376</v>
      </c>
      <c r="V69" s="84">
        <f t="shared" si="65"/>
        <v>0.28696188914890097</v>
      </c>
      <c r="W69" s="84">
        <f t="shared" si="65"/>
        <v>0.28785805853900281</v>
      </c>
      <c r="X69" s="84">
        <f t="shared" si="65"/>
        <v>0.27815296101751996</v>
      </c>
      <c r="Y69" s="84">
        <f t="shared" si="65"/>
        <v>0.2696266972070146</v>
      </c>
      <c r="Z69" s="84">
        <f t="shared" ref="Z69:AA69" si="66">Z27/Z$23</f>
        <v>0.27622266068901846</v>
      </c>
      <c r="AA69" s="84">
        <f t="shared" si="66"/>
        <v>0.28212063143003252</v>
      </c>
    </row>
    <row r="70" spans="1:27" x14ac:dyDescent="0.25">
      <c r="A70" s="68" t="s">
        <v>150</v>
      </c>
      <c r="B70" s="71"/>
      <c r="C70" s="71"/>
      <c r="D70" s="84">
        <f t="shared" si="51"/>
        <v>0.24819909734456277</v>
      </c>
      <c r="E70" s="84">
        <f t="shared" ref="E70:S70" si="67">E28/E$23</f>
        <v>0.25231609047601555</v>
      </c>
      <c r="F70" s="84">
        <f t="shared" si="67"/>
        <v>0.25851982278768604</v>
      </c>
      <c r="G70" s="84">
        <f t="shared" si="67"/>
        <v>0.26012255634167131</v>
      </c>
      <c r="H70" s="84">
        <f t="shared" si="67"/>
        <v>0.26261085077385515</v>
      </c>
      <c r="I70" s="84">
        <f t="shared" si="67"/>
        <v>0.26844211749876334</v>
      </c>
      <c r="J70" s="84">
        <f t="shared" si="67"/>
        <v>0.27044574432060903</v>
      </c>
      <c r="K70" s="84">
        <f t="shared" si="67"/>
        <v>0.27094245311741094</v>
      </c>
      <c r="L70" s="84">
        <f t="shared" si="67"/>
        <v>0.27236425467076375</v>
      </c>
      <c r="M70" s="84">
        <f t="shared" si="67"/>
        <v>0.27132686170505016</v>
      </c>
      <c r="N70" s="84">
        <f t="shared" si="67"/>
        <v>0.27116984882365303</v>
      </c>
      <c r="O70" s="84">
        <f t="shared" si="67"/>
        <v>0.27537934306646539</v>
      </c>
      <c r="P70" s="84">
        <f t="shared" si="67"/>
        <v>0.27511956870944776</v>
      </c>
      <c r="Q70" s="84">
        <f t="shared" si="67"/>
        <v>0.28226000343465568</v>
      </c>
      <c r="R70" s="84">
        <f t="shared" si="67"/>
        <v>0.28369229553056885</v>
      </c>
      <c r="S70" s="84">
        <f t="shared" si="67"/>
        <v>0.28570695116203754</v>
      </c>
      <c r="T70" s="84">
        <f t="shared" ref="T70:Y70" si="68">T28/T$23</f>
        <v>0.2857064628538708</v>
      </c>
      <c r="U70" s="84">
        <f t="shared" si="68"/>
        <v>0.28972404461662715</v>
      </c>
      <c r="V70" s="84">
        <f t="shared" si="68"/>
        <v>0.29068122135651336</v>
      </c>
      <c r="W70" s="84">
        <f t="shared" si="68"/>
        <v>0.29496777536934865</v>
      </c>
      <c r="X70" s="84">
        <f t="shared" si="68"/>
        <v>0.30239752808784187</v>
      </c>
      <c r="Y70" s="84">
        <f t="shared" si="68"/>
        <v>0.30204657844389871</v>
      </c>
      <c r="Z70" s="84">
        <f t="shared" ref="Z70:AA70" si="69">Z28/Z$23</f>
        <v>0.29061112489078678</v>
      </c>
      <c r="AA70" s="84">
        <f t="shared" si="69"/>
        <v>0.29852877202774547</v>
      </c>
    </row>
    <row r="71" spans="1:27" x14ac:dyDescent="0.25">
      <c r="A71" s="68" t="s">
        <v>152</v>
      </c>
      <c r="B71" s="71"/>
      <c r="C71" s="71"/>
      <c r="D71" s="84">
        <f t="shared" si="51"/>
        <v>0.14612375005873227</v>
      </c>
      <c r="E71" s="84">
        <f t="shared" ref="E71:S71" si="70">E29/E$23</f>
        <v>0.14500951132991252</v>
      </c>
      <c r="F71" s="84">
        <f t="shared" si="70"/>
        <v>0.1459175165657513</v>
      </c>
      <c r="G71" s="84">
        <f t="shared" si="70"/>
        <v>0.14440663640404244</v>
      </c>
      <c r="H71" s="84">
        <f t="shared" si="70"/>
        <v>0.14381055952803243</v>
      </c>
      <c r="I71" s="84">
        <f t="shared" si="70"/>
        <v>0.14367511810047245</v>
      </c>
      <c r="J71" s="84">
        <f t="shared" si="70"/>
        <v>0.14349764560271602</v>
      </c>
      <c r="K71" s="84">
        <f t="shared" si="70"/>
        <v>0.14430441428858737</v>
      </c>
      <c r="L71" s="84">
        <f t="shared" si="70"/>
        <v>0.14411879679499637</v>
      </c>
      <c r="M71" s="84">
        <f t="shared" si="70"/>
        <v>0.1451409919120161</v>
      </c>
      <c r="N71" s="84">
        <f t="shared" si="70"/>
        <v>0.14914959818227047</v>
      </c>
      <c r="O71" s="84">
        <f t="shared" si="70"/>
        <v>0.1494042945351331</v>
      </c>
      <c r="P71" s="84">
        <f t="shared" si="70"/>
        <v>0.14686342714891909</v>
      </c>
      <c r="Q71" s="84">
        <f t="shared" si="70"/>
        <v>0.14064599564709965</v>
      </c>
      <c r="R71" s="84">
        <f t="shared" si="70"/>
        <v>0.14142993584237168</v>
      </c>
      <c r="S71" s="84">
        <f t="shared" si="70"/>
        <v>0.14040124326302567</v>
      </c>
      <c r="T71" s="84">
        <f t="shared" ref="T71:Y71" si="71">T29/T$23</f>
        <v>0.13659112210250635</v>
      </c>
      <c r="U71" s="84">
        <f t="shared" si="71"/>
        <v>0.13310859686396015</v>
      </c>
      <c r="V71" s="84">
        <f t="shared" si="71"/>
        <v>0.13768139735459783</v>
      </c>
      <c r="W71" s="84">
        <f t="shared" si="71"/>
        <v>0.13568543918039377</v>
      </c>
      <c r="X71" s="84">
        <f t="shared" si="71"/>
        <v>0.13795949588573761</v>
      </c>
      <c r="Y71" s="84">
        <f t="shared" si="71"/>
        <v>0.14298426474034873</v>
      </c>
      <c r="Z71" s="84">
        <f t="shared" ref="Z71:AA71" si="72">Z29/Z$23</f>
        <v>0.15249785410404959</v>
      </c>
      <c r="AA71" s="84">
        <f t="shared" si="72"/>
        <v>0.13492927361403159</v>
      </c>
    </row>
    <row r="72" spans="1:27" x14ac:dyDescent="0.25">
      <c r="A72" s="64" t="s">
        <v>154</v>
      </c>
      <c r="B72" s="65"/>
      <c r="C72" s="65"/>
      <c r="D72" s="83">
        <f t="shared" si="51"/>
        <v>3.0519657753265372E-2</v>
      </c>
      <c r="E72" s="83">
        <f t="shared" ref="E72:S72" si="73">E30/E$23</f>
        <v>2.9126917063652436E-2</v>
      </c>
      <c r="F72" s="83">
        <f t="shared" si="73"/>
        <v>2.6921828751234889E-2</v>
      </c>
      <c r="G72" s="83">
        <f t="shared" si="73"/>
        <v>2.7202844589523687E-2</v>
      </c>
      <c r="H72" s="83">
        <f t="shared" si="73"/>
        <v>2.7363105128540222E-2</v>
      </c>
      <c r="I72" s="83">
        <f t="shared" si="73"/>
        <v>2.8047942257332582E-2</v>
      </c>
      <c r="J72" s="83">
        <f t="shared" si="73"/>
        <v>2.5734685187945278E-2</v>
      </c>
      <c r="K72" s="83">
        <f t="shared" si="73"/>
        <v>2.331072836437376E-2</v>
      </c>
      <c r="L72" s="83">
        <f t="shared" si="73"/>
        <v>2.4632340800052843E-2</v>
      </c>
      <c r="M72" s="83">
        <f t="shared" si="73"/>
        <v>2.5133698214818631E-2</v>
      </c>
      <c r="N72" s="83">
        <f t="shared" si="73"/>
        <v>2.3651702067325947E-2</v>
      </c>
      <c r="O72" s="83">
        <f t="shared" si="73"/>
        <v>2.1801992164236672E-2</v>
      </c>
      <c r="P72" s="83">
        <f t="shared" si="73"/>
        <v>2.2016723787119843E-2</v>
      </c>
      <c r="Q72" s="83">
        <f t="shared" si="73"/>
        <v>2.1547908189550928E-2</v>
      </c>
      <c r="R72" s="83">
        <f t="shared" si="73"/>
        <v>1.9074874872350881E-2</v>
      </c>
      <c r="S72" s="83">
        <f t="shared" si="73"/>
        <v>1.8160210317345393E-2</v>
      </c>
      <c r="T72" s="83">
        <f t="shared" ref="T72:Y72" si="74">T30/T$23</f>
        <v>1.9141318526391952E-2</v>
      </c>
      <c r="U72" s="83">
        <f t="shared" si="74"/>
        <v>1.8053183765047283E-2</v>
      </c>
      <c r="V72" s="83">
        <f t="shared" si="74"/>
        <v>1.8051318071866638E-2</v>
      </c>
      <c r="W72" s="83">
        <f t="shared" si="74"/>
        <v>1.8899773488175512E-2</v>
      </c>
      <c r="X72" s="83">
        <f t="shared" si="74"/>
        <v>1.9743228272923484E-2</v>
      </c>
      <c r="Y72" s="83">
        <f t="shared" si="74"/>
        <v>1.9534644152526748E-2</v>
      </c>
      <c r="Z72" s="83">
        <f t="shared" ref="Z72:AA72" si="75">Z30/Z$23</f>
        <v>2.4707297920728712E-2</v>
      </c>
      <c r="AA72" s="83">
        <f t="shared" si="75"/>
        <v>3.4959691707857322E-2</v>
      </c>
    </row>
    <row r="73" spans="1:27" x14ac:dyDescent="0.25">
      <c r="A73" s="64" t="s">
        <v>37</v>
      </c>
      <c r="B73" s="65"/>
      <c r="C73" s="65"/>
      <c r="D73" s="83">
        <f t="shared" si="51"/>
        <v>7.3572383748401041E-2</v>
      </c>
      <c r="E73" s="83">
        <f t="shared" ref="E73:S73" si="76">E31/E$23</f>
        <v>6.9375048475125628E-2</v>
      </c>
      <c r="F73" s="83">
        <f t="shared" si="76"/>
        <v>6.8212889943818994E-2</v>
      </c>
      <c r="G73" s="83">
        <f t="shared" si="76"/>
        <v>7.099524201598624E-2</v>
      </c>
      <c r="H73" s="83">
        <f t="shared" si="76"/>
        <v>7.0419879394358051E-2</v>
      </c>
      <c r="I73" s="83">
        <f t="shared" si="76"/>
        <v>6.8214369028349015E-2</v>
      </c>
      <c r="J73" s="83">
        <f t="shared" si="76"/>
        <v>6.5534759504870033E-2</v>
      </c>
      <c r="K73" s="83">
        <f t="shared" si="76"/>
        <v>6.7224278865453665E-2</v>
      </c>
      <c r="L73" s="83">
        <f t="shared" si="76"/>
        <v>6.8739540845518254E-2</v>
      </c>
      <c r="M73" s="83">
        <f t="shared" si="76"/>
        <v>6.8323739437426728E-2</v>
      </c>
      <c r="N73" s="83">
        <f t="shared" si="76"/>
        <v>6.4208092043651924E-2</v>
      </c>
      <c r="O73" s="83">
        <f t="shared" si="76"/>
        <v>6.115367264481264E-2</v>
      </c>
      <c r="P73" s="83">
        <f t="shared" si="76"/>
        <v>6.2160786159595006E-2</v>
      </c>
      <c r="Q73" s="83">
        <f t="shared" si="76"/>
        <v>6.3369046742859939E-2</v>
      </c>
      <c r="R73" s="83">
        <f t="shared" si="76"/>
        <v>6.3039665694767252E-2</v>
      </c>
      <c r="S73" s="83">
        <f t="shared" si="76"/>
        <v>6.2025910528241981E-2</v>
      </c>
      <c r="T73" s="83">
        <f t="shared" ref="T73:Y73" si="77">T31/T$23</f>
        <v>6.2209285210773853E-2</v>
      </c>
      <c r="U73" s="83">
        <f t="shared" si="77"/>
        <v>6.3955013242573799E-2</v>
      </c>
      <c r="V73" s="83">
        <f t="shared" si="77"/>
        <v>6.4695756516155195E-2</v>
      </c>
      <c r="W73" s="83">
        <f t="shared" si="77"/>
        <v>6.5061038842487415E-2</v>
      </c>
      <c r="X73" s="83">
        <f t="shared" si="77"/>
        <v>6.9828816794061249E-2</v>
      </c>
      <c r="Y73" s="83">
        <f t="shared" si="77"/>
        <v>6.7665406656648386E-2</v>
      </c>
      <c r="Z73" s="83">
        <f t="shared" ref="Z73:AA73" si="78">Z31/Z$23</f>
        <v>6.5601932233293136E-2</v>
      </c>
      <c r="AA73" s="83">
        <f t="shared" si="78"/>
        <v>6.609109188907869E-2</v>
      </c>
    </row>
    <row r="74" spans="1:27" x14ac:dyDescent="0.25">
      <c r="A74" s="64" t="s">
        <v>58</v>
      </c>
      <c r="B74" s="65"/>
      <c r="C74" s="65"/>
      <c r="D74" s="83">
        <f t="shared" si="51"/>
        <v>0.19981585786845982</v>
      </c>
      <c r="E74" s="83">
        <f t="shared" ref="E74:S74" si="79">E32/E$23</f>
        <v>0.20263520988198602</v>
      </c>
      <c r="F74" s="83">
        <f t="shared" si="79"/>
        <v>0.19798075217579336</v>
      </c>
      <c r="G74" s="83">
        <f t="shared" si="79"/>
        <v>0.19428264708096829</v>
      </c>
      <c r="H74" s="83">
        <f t="shared" si="79"/>
        <v>0.19339702779904042</v>
      </c>
      <c r="I74" s="83">
        <f t="shared" si="79"/>
        <v>0.19356077552234732</v>
      </c>
      <c r="J74" s="83">
        <f t="shared" si="79"/>
        <v>0.19961186453043153</v>
      </c>
      <c r="K74" s="83">
        <f t="shared" si="79"/>
        <v>0.20172808376583781</v>
      </c>
      <c r="L74" s="83">
        <f t="shared" si="79"/>
        <v>0.19337579842852526</v>
      </c>
      <c r="M74" s="83">
        <f t="shared" si="79"/>
        <v>0.18214051931049532</v>
      </c>
      <c r="N74" s="83">
        <f t="shared" si="79"/>
        <v>0.18348680312673207</v>
      </c>
      <c r="O74" s="83">
        <f t="shared" si="79"/>
        <v>0.18575930428516257</v>
      </c>
      <c r="P74" s="83">
        <f t="shared" si="79"/>
        <v>0.18606111514921228</v>
      </c>
      <c r="Q74" s="83">
        <f t="shared" si="79"/>
        <v>0.18512058094747424</v>
      </c>
      <c r="R74" s="83">
        <f t="shared" si="79"/>
        <v>0.18613038081261332</v>
      </c>
      <c r="S74" s="83">
        <f t="shared" si="79"/>
        <v>0.18666092252117528</v>
      </c>
      <c r="T74" s="83">
        <f t="shared" ref="T74:Y74" si="80">T32/T$23</f>
        <v>0.19011951928929716</v>
      </c>
      <c r="U74" s="83">
        <f t="shared" si="80"/>
        <v>0.18806293194628459</v>
      </c>
      <c r="V74" s="83">
        <f t="shared" si="80"/>
        <v>0.18604922314704256</v>
      </c>
      <c r="W74" s="83">
        <f t="shared" si="80"/>
        <v>0.18280610280697596</v>
      </c>
      <c r="X74" s="83">
        <f t="shared" si="80"/>
        <v>0.17772418809625823</v>
      </c>
      <c r="Y74" s="83">
        <f t="shared" si="80"/>
        <v>0.18177823603010784</v>
      </c>
      <c r="Z74" s="83">
        <f t="shared" ref="Z74:AA74" si="81">Z32/Z$23</f>
        <v>0.1714790011398647</v>
      </c>
      <c r="AA74" s="83">
        <f t="shared" si="81"/>
        <v>0.16664474880148072</v>
      </c>
    </row>
    <row r="75" spans="1:27" x14ac:dyDescent="0.25">
      <c r="A75" s="85" t="s">
        <v>158</v>
      </c>
      <c r="B75" s="86"/>
      <c r="C75" s="86"/>
      <c r="D75" s="87">
        <f t="shared" si="51"/>
        <v>1.2945381902228341E-2</v>
      </c>
      <c r="E75" s="87">
        <f t="shared" ref="E75:S75" si="82">E33/E$23</f>
        <v>1.3861334606953478E-2</v>
      </c>
      <c r="F75" s="87">
        <f t="shared" si="82"/>
        <v>1.2099643064266368E-2</v>
      </c>
      <c r="G75" s="87">
        <f t="shared" si="82"/>
        <v>1.2247862064610459E-2</v>
      </c>
      <c r="H75" s="87">
        <f t="shared" si="82"/>
        <v>1.3516326568713478E-2</v>
      </c>
      <c r="I75" s="87">
        <f t="shared" si="82"/>
        <v>1.5625703908254743E-2</v>
      </c>
      <c r="J75" s="87">
        <f t="shared" si="82"/>
        <v>1.5929831989295491E-2</v>
      </c>
      <c r="K75" s="87">
        <f t="shared" si="82"/>
        <v>1.6394498176843408E-2</v>
      </c>
      <c r="L75" s="87">
        <f t="shared" si="82"/>
        <v>1.5954746564942949E-2</v>
      </c>
      <c r="M75" s="87">
        <f t="shared" si="82"/>
        <v>1.2449826305222461E-2</v>
      </c>
      <c r="N75" s="87">
        <f t="shared" si="82"/>
        <v>1.3401372245475222E-2</v>
      </c>
      <c r="O75" s="87">
        <f t="shared" si="82"/>
        <v>1.3748872647146672E-2</v>
      </c>
      <c r="P75" s="87">
        <f t="shared" si="82"/>
        <v>1.3977522541321159E-2</v>
      </c>
      <c r="Q75" s="87">
        <f t="shared" si="82"/>
        <v>1.2681239420033855E-2</v>
      </c>
      <c r="R75" s="87">
        <f t="shared" si="82"/>
        <v>1.2943628584269541E-2</v>
      </c>
      <c r="S75" s="87">
        <f t="shared" si="82"/>
        <v>1.4400405995676753E-2</v>
      </c>
      <c r="T75" s="87">
        <f t="shared" ref="T75:Y75" si="83">T33/T$23</f>
        <v>1.2932228299283465E-2</v>
      </c>
      <c r="U75" s="87">
        <f t="shared" si="83"/>
        <v>1.3471760410525916E-2</v>
      </c>
      <c r="V75" s="87">
        <f t="shared" si="83"/>
        <v>1.3884217914900647E-2</v>
      </c>
      <c r="W75" s="87">
        <f t="shared" si="83"/>
        <v>1.2611745788572177E-2</v>
      </c>
      <c r="X75" s="87">
        <f t="shared" si="83"/>
        <v>1.0899483422747901E-2</v>
      </c>
      <c r="Y75" s="87">
        <f t="shared" si="83"/>
        <v>1.0510105456880515E-2</v>
      </c>
      <c r="Z75" s="87">
        <f t="shared" ref="Z75:AA75" si="84">Z33/Z$23</f>
        <v>1.3021172781987406E-2</v>
      </c>
      <c r="AA75" s="87">
        <f t="shared" si="84"/>
        <v>1.2753404465146289E-2</v>
      </c>
    </row>
    <row r="76" spans="1:27" x14ac:dyDescent="0.25">
      <c r="A76" s="88" t="s">
        <v>5</v>
      </c>
      <c r="B76" s="44"/>
      <c r="C76" s="44"/>
      <c r="D76" s="89">
        <f t="shared" si="51"/>
        <v>9.7562109040026952E-3</v>
      </c>
      <c r="E76" s="89">
        <f t="shared" ref="E76:S76" si="85">E34/E$23</f>
        <v>1.0446513270737191E-2</v>
      </c>
      <c r="F76" s="89">
        <f t="shared" si="85"/>
        <v>9.1188248048376455E-3</v>
      </c>
      <c r="G76" s="89">
        <f t="shared" si="85"/>
        <v>9.2305291823723459E-3</v>
      </c>
      <c r="H76" s="89">
        <f t="shared" si="85"/>
        <v>1.0186499992637897E-2</v>
      </c>
      <c r="I76" s="89">
        <f t="shared" si="85"/>
        <v>1.1776219813661197E-2</v>
      </c>
      <c r="J76" s="89">
        <f t="shared" si="85"/>
        <v>1.2005424152542261E-2</v>
      </c>
      <c r="K76" s="89">
        <f t="shared" si="85"/>
        <v>1.2355617090836032E-2</v>
      </c>
      <c r="L76" s="89">
        <f t="shared" si="85"/>
        <v>1.2024200875889336E-2</v>
      </c>
      <c r="M76" s="89">
        <f t="shared" si="85"/>
        <v>9.3739361726038316E-3</v>
      </c>
      <c r="N76" s="89">
        <f t="shared" si="85"/>
        <v>8.9630395922344619E-3</v>
      </c>
      <c r="O76" s="89">
        <f t="shared" si="85"/>
        <v>9.3401671731448612E-3</v>
      </c>
      <c r="P76" s="89">
        <f t="shared" si="85"/>
        <v>9.5306507080032132E-3</v>
      </c>
      <c r="Q76" s="89">
        <f t="shared" si="85"/>
        <v>8.8792480499756236E-3</v>
      </c>
      <c r="R76" s="89">
        <f t="shared" si="85"/>
        <v>8.8060029324792555E-3</v>
      </c>
      <c r="S76" s="89">
        <f t="shared" si="85"/>
        <v>9.98682243236137E-3</v>
      </c>
      <c r="T76" s="89">
        <f t="shared" ref="T76:Y76" si="86">T34/T$23</f>
        <v>8.6480147927781477E-3</v>
      </c>
      <c r="U76" s="89">
        <f t="shared" si="86"/>
        <v>9.0387232938021651E-3</v>
      </c>
      <c r="V76" s="89">
        <f t="shared" si="86"/>
        <v>1.0016793543317793E-2</v>
      </c>
      <c r="W76" s="89">
        <f t="shared" si="86"/>
        <v>8.9505673079473044E-3</v>
      </c>
      <c r="X76" s="89">
        <f t="shared" si="86"/>
        <v>7.8272402992191348E-3</v>
      </c>
      <c r="Y76" s="89">
        <f t="shared" si="86"/>
        <v>7.3734072888033105E-3</v>
      </c>
      <c r="Z76" s="89">
        <f t="shared" ref="Z76:AA76" si="87">Z34/Z$23</f>
        <v>9.3563750677854874E-3</v>
      </c>
      <c r="AA76" s="89">
        <f t="shared" si="87"/>
        <v>8.8954430833913748E-3</v>
      </c>
    </row>
    <row r="77" spans="1:27" x14ac:dyDescent="0.25">
      <c r="A77" s="88" t="s">
        <v>263</v>
      </c>
      <c r="B77" s="44"/>
      <c r="C77" s="44"/>
      <c r="D77" s="89">
        <f>D37/D$23</f>
        <v>3.1891709982256457E-3</v>
      </c>
      <c r="E77" s="89">
        <f t="shared" ref="E77:S77" si="88">E37/E$23</f>
        <v>3.4148213362162868E-3</v>
      </c>
      <c r="F77" s="89">
        <f t="shared" si="88"/>
        <v>2.9808182594287238E-3</v>
      </c>
      <c r="G77" s="89">
        <f t="shared" si="88"/>
        <v>3.0173328822381139E-3</v>
      </c>
      <c r="H77" s="89">
        <f t="shared" si="88"/>
        <v>3.3298265760755802E-3</v>
      </c>
      <c r="I77" s="89">
        <f t="shared" si="88"/>
        <v>3.8494840945935463E-3</v>
      </c>
      <c r="J77" s="89">
        <f t="shared" si="88"/>
        <v>3.9244078367532288E-3</v>
      </c>
      <c r="K77" s="89">
        <f t="shared" si="88"/>
        <v>4.0388810860073733E-3</v>
      </c>
      <c r="L77" s="89">
        <f t="shared" si="88"/>
        <v>3.9305456890536142E-3</v>
      </c>
      <c r="M77" s="89">
        <f t="shared" si="88"/>
        <v>3.0758901326186304E-3</v>
      </c>
      <c r="N77" s="89">
        <f t="shared" si="88"/>
        <v>4.4383326532407598E-3</v>
      </c>
      <c r="O77" s="89">
        <f t="shared" si="88"/>
        <v>4.4087054740018115E-3</v>
      </c>
      <c r="P77" s="89">
        <f t="shared" si="88"/>
        <v>4.4468718333179457E-3</v>
      </c>
      <c r="Q77" s="89">
        <f t="shared" si="88"/>
        <v>3.8019913700582317E-3</v>
      </c>
      <c r="R77" s="89">
        <f t="shared" si="88"/>
        <v>4.1376256517902856E-3</v>
      </c>
      <c r="S77" s="89">
        <f t="shared" si="88"/>
        <v>4.41358356331538E-3</v>
      </c>
      <c r="T77" s="89">
        <f t="shared" ref="T77:Y77" si="89">T37/T$23</f>
        <v>4.284213506505318E-3</v>
      </c>
      <c r="U77" s="89">
        <f t="shared" si="89"/>
        <v>4.4330371167237521E-3</v>
      </c>
      <c r="V77" s="89">
        <f t="shared" si="89"/>
        <v>3.8674243715828547E-3</v>
      </c>
      <c r="W77" s="89">
        <f t="shared" si="89"/>
        <v>3.6611784806248725E-3</v>
      </c>
      <c r="X77" s="89">
        <f t="shared" si="89"/>
        <v>3.0722431235287659E-3</v>
      </c>
      <c r="Y77" s="89">
        <f t="shared" si="89"/>
        <v>3.1366981680772052E-3</v>
      </c>
      <c r="Z77" s="89">
        <f t="shared" ref="Z77:AA77" si="90">Z37/Z$23</f>
        <v>3.6647977142019198E-3</v>
      </c>
      <c r="AA77" s="89">
        <f t="shared" si="90"/>
        <v>3.8579613817549142E-3</v>
      </c>
    </row>
    <row r="78" spans="1:27" x14ac:dyDescent="0.25">
      <c r="A78" s="68" t="s">
        <v>265</v>
      </c>
      <c r="B78" s="44"/>
      <c r="C78" s="44"/>
      <c r="D78" s="89">
        <f>D43/D$23</f>
        <v>1.3479647490297958E-2</v>
      </c>
      <c r="E78" s="89">
        <f t="shared" ref="E78:S78" si="91">E43/E$23</f>
        <v>1.4096056267884771E-2</v>
      </c>
      <c r="F78" s="89">
        <f t="shared" si="91"/>
        <v>1.3117039446281275E-2</v>
      </c>
      <c r="G78" s="89">
        <f t="shared" si="91"/>
        <v>1.3483626365886299E-2</v>
      </c>
      <c r="H78" s="89">
        <f t="shared" si="91"/>
        <v>1.2589380729234732E-2</v>
      </c>
      <c r="I78" s="89">
        <f t="shared" si="91"/>
        <v>1.3685426105077416E-2</v>
      </c>
      <c r="J78" s="89">
        <f t="shared" si="91"/>
        <v>1.4407484048028602E-2</v>
      </c>
      <c r="K78" s="89">
        <f t="shared" si="91"/>
        <v>1.521840915179299E-2</v>
      </c>
      <c r="L78" s="89">
        <f t="shared" si="91"/>
        <v>1.3373893796814198E-2</v>
      </c>
      <c r="M78" s="89">
        <f t="shared" si="91"/>
        <v>1.4818605512709627E-2</v>
      </c>
      <c r="N78" s="89">
        <f t="shared" si="91"/>
        <v>1.482560250750148E-2</v>
      </c>
      <c r="O78" s="89">
        <f t="shared" si="91"/>
        <v>1.5046809988027177E-2</v>
      </c>
      <c r="P78" s="89">
        <f t="shared" si="91"/>
        <v>1.3981436119551988E-2</v>
      </c>
      <c r="Q78" s="89">
        <f t="shared" si="91"/>
        <v>1.4983860623074576E-2</v>
      </c>
      <c r="R78" s="89">
        <f t="shared" si="91"/>
        <v>1.5958481710697449E-2</v>
      </c>
      <c r="S78" s="89">
        <f t="shared" si="91"/>
        <v>1.6992511986350965E-2</v>
      </c>
      <c r="T78" s="89">
        <f t="shared" ref="T78:Y78" si="92">T43/T$23</f>
        <v>1.9221401103240363E-2</v>
      </c>
      <c r="U78" s="89">
        <f t="shared" si="92"/>
        <v>1.7963879210078332E-2</v>
      </c>
      <c r="V78" s="89">
        <f t="shared" si="92"/>
        <v>1.6234580415032479E-2</v>
      </c>
      <c r="W78" s="89">
        <f t="shared" si="92"/>
        <v>1.6395808161531952E-2</v>
      </c>
      <c r="X78" s="89">
        <f t="shared" si="92"/>
        <v>1.7310080553866194E-2</v>
      </c>
      <c r="Y78" s="89">
        <f t="shared" si="92"/>
        <v>1.8463504946256488E-2</v>
      </c>
      <c r="Z78" s="89">
        <f t="shared" ref="Z78:AA78" si="93">Z43/Z$23</f>
        <v>1.4643946836769934E-2</v>
      </c>
      <c r="AA78" s="89">
        <f t="shared" si="93"/>
        <v>1.2197815677193372E-2</v>
      </c>
    </row>
    <row r="79" spans="1:27" x14ac:dyDescent="0.25">
      <c r="A79" s="88" t="s">
        <v>266</v>
      </c>
      <c r="B79" s="44"/>
      <c r="C79" s="44"/>
      <c r="D79" s="89">
        <f>D44/D$23</f>
        <v>7.9179004840594057E-3</v>
      </c>
      <c r="E79" s="89">
        <f t="shared" ref="E79:S79" si="94">E44/E$23</f>
        <v>9.1235289075033369E-3</v>
      </c>
      <c r="F79" s="89">
        <f t="shared" si="94"/>
        <v>8.0758951792750094E-3</v>
      </c>
      <c r="G79" s="89">
        <f t="shared" si="94"/>
        <v>8.1393343679944819E-3</v>
      </c>
      <c r="H79" s="89">
        <f t="shared" si="94"/>
        <v>7.8454343483374735E-3</v>
      </c>
      <c r="I79" s="89">
        <f t="shared" si="94"/>
        <v>7.6067810702037109E-3</v>
      </c>
      <c r="J79" s="89">
        <f t="shared" si="94"/>
        <v>8.5580413074986816E-3</v>
      </c>
      <c r="K79" s="89">
        <f t="shared" si="94"/>
        <v>8.64717567725478E-3</v>
      </c>
      <c r="L79" s="89">
        <f t="shared" si="94"/>
        <v>8.0343970343041068E-3</v>
      </c>
      <c r="M79" s="89">
        <f t="shared" si="94"/>
        <v>8.0270062806399017E-3</v>
      </c>
      <c r="N79" s="89">
        <f t="shared" si="94"/>
        <v>7.968962024348757E-3</v>
      </c>
      <c r="O79" s="89">
        <f t="shared" si="94"/>
        <v>8.3871770063416225E-3</v>
      </c>
      <c r="P79" s="89">
        <f t="shared" si="94"/>
        <v>7.1775024753382302E-3</v>
      </c>
      <c r="Q79" s="89">
        <f t="shared" si="94"/>
        <v>8.0370942812982987E-3</v>
      </c>
      <c r="R79" s="89">
        <f t="shared" si="94"/>
        <v>8.6435103139801892E-3</v>
      </c>
      <c r="S79" s="89">
        <f t="shared" si="94"/>
        <v>9.7019670516867787E-3</v>
      </c>
      <c r="T79" s="89">
        <f t="shared" ref="T79:Y79" si="95">T44/T$23</f>
        <v>1.1710731603401955E-2</v>
      </c>
      <c r="U79" s="89">
        <f t="shared" si="95"/>
        <v>1.0333006916042942E-2</v>
      </c>
      <c r="V79" s="89">
        <f t="shared" si="95"/>
        <v>9.2634691034112638E-3</v>
      </c>
      <c r="W79" s="89">
        <f t="shared" si="95"/>
        <v>8.7843090117269654E-3</v>
      </c>
      <c r="X79" s="89">
        <f t="shared" si="95"/>
        <v>9.3709832822316038E-3</v>
      </c>
      <c r="Y79" s="89">
        <f t="shared" si="95"/>
        <v>1.1223136520209809E-2</v>
      </c>
      <c r="Z79" s="89">
        <f t="shared" ref="Z79:AA79" si="96">Z44/Z$23</f>
        <v>8.0865592050592024E-3</v>
      </c>
      <c r="AA79" s="89">
        <f t="shared" si="96"/>
        <v>5.1427458189441579E-3</v>
      </c>
    </row>
    <row r="80" spans="1:27" x14ac:dyDescent="0.25">
      <c r="A80" s="88" t="s">
        <v>11</v>
      </c>
      <c r="B80" s="44"/>
      <c r="C80" s="44"/>
      <c r="D80" s="89">
        <f>D47/D$23</f>
        <v>5.5617470062385536E-3</v>
      </c>
      <c r="E80" s="89">
        <f t="shared" ref="E80:S80" si="97">E47/E$23</f>
        <v>4.9725273603814331E-3</v>
      </c>
      <c r="F80" s="89">
        <f t="shared" si="97"/>
        <v>5.0411442670062635E-3</v>
      </c>
      <c r="G80" s="89">
        <f t="shared" si="97"/>
        <v>5.3442919978918179E-3</v>
      </c>
      <c r="H80" s="89">
        <f t="shared" si="97"/>
        <v>4.7439463808972605E-3</v>
      </c>
      <c r="I80" s="89">
        <f t="shared" si="97"/>
        <v>6.0786450348737052E-3</v>
      </c>
      <c r="J80" s="89">
        <f t="shared" si="97"/>
        <v>5.8494427405299193E-3</v>
      </c>
      <c r="K80" s="89">
        <f t="shared" si="97"/>
        <v>6.5712334745382092E-3</v>
      </c>
      <c r="L80" s="89">
        <f t="shared" si="97"/>
        <v>5.3394967625100898E-3</v>
      </c>
      <c r="M80" s="89">
        <f t="shared" si="97"/>
        <v>6.7915992320697243E-3</v>
      </c>
      <c r="N80" s="89">
        <f t="shared" si="97"/>
        <v>6.8566404831527242E-3</v>
      </c>
      <c r="O80" s="89">
        <f t="shared" si="97"/>
        <v>6.6596329816855536E-3</v>
      </c>
      <c r="P80" s="89">
        <f t="shared" si="97"/>
        <v>6.8039336442137568E-3</v>
      </c>
      <c r="Q80" s="89">
        <f t="shared" si="97"/>
        <v>6.9467663417762766E-3</v>
      </c>
      <c r="R80" s="89">
        <f t="shared" si="97"/>
        <v>7.3149713967172588E-3</v>
      </c>
      <c r="S80" s="89">
        <f t="shared" si="97"/>
        <v>7.290544934664185E-3</v>
      </c>
      <c r="T80" s="89">
        <f t="shared" ref="T80:Y80" si="98">T47/T$23</f>
        <v>7.5106694998384096E-3</v>
      </c>
      <c r="U80" s="89">
        <f t="shared" si="98"/>
        <v>7.6308722940353893E-3</v>
      </c>
      <c r="V80" s="89">
        <f t="shared" si="98"/>
        <v>6.9711113116212144E-3</v>
      </c>
      <c r="W80" s="89">
        <f t="shared" si="98"/>
        <v>7.611499149804986E-3</v>
      </c>
      <c r="X80" s="89">
        <f t="shared" si="98"/>
        <v>7.9390972716345907E-3</v>
      </c>
      <c r="Y80" s="89">
        <f t="shared" si="98"/>
        <v>7.2403684260466802E-3</v>
      </c>
      <c r="Z80" s="89">
        <f t="shared" ref="Z80:AA80" si="99">Z47/Z$23</f>
        <v>6.5573876317107328E-3</v>
      </c>
      <c r="AA80" s="89">
        <f t="shared" si="99"/>
        <v>7.0550698582492136E-3</v>
      </c>
    </row>
    <row r="81" spans="1:27" x14ac:dyDescent="0.25">
      <c r="A81" s="68" t="s">
        <v>4</v>
      </c>
      <c r="B81" s="44"/>
      <c r="C81" s="44"/>
      <c r="D81" s="89">
        <f>D48/D$23</f>
        <v>1.2240066857108768E-2</v>
      </c>
      <c r="E81" s="89">
        <f t="shared" ref="E81:S81" si="100">E48/E$23</f>
        <v>1.1867731282478335E-2</v>
      </c>
      <c r="F81" s="89">
        <f t="shared" si="100"/>
        <v>1.15645384049696E-2</v>
      </c>
      <c r="G81" s="89">
        <f t="shared" si="100"/>
        <v>1.1799994656679516E-2</v>
      </c>
      <c r="H81" s="89">
        <f t="shared" si="100"/>
        <v>1.1565819688964397E-2</v>
      </c>
      <c r="I81" s="89">
        <f t="shared" si="100"/>
        <v>1.1620256857097869E-2</v>
      </c>
      <c r="J81" s="89">
        <f t="shared" si="100"/>
        <v>1.1569844353628353E-2</v>
      </c>
      <c r="K81" s="89">
        <f t="shared" si="100"/>
        <v>1.1483064556516263E-2</v>
      </c>
      <c r="L81" s="89">
        <f t="shared" si="100"/>
        <v>1.0160211782758324E-2</v>
      </c>
      <c r="M81" s="89">
        <f t="shared" si="100"/>
        <v>9.1972679765853511E-3</v>
      </c>
      <c r="N81" s="89">
        <f t="shared" si="100"/>
        <v>9.458173269881312E-3</v>
      </c>
      <c r="O81" s="89">
        <f t="shared" si="100"/>
        <v>8.9787067525928677E-3</v>
      </c>
      <c r="P81" s="89">
        <f t="shared" si="100"/>
        <v>8.7244332160327197E-3</v>
      </c>
      <c r="Q81" s="89">
        <f t="shared" si="100"/>
        <v>8.744002495382491E-3</v>
      </c>
      <c r="R81" s="89">
        <f t="shared" si="100"/>
        <v>8.8578347507481774E-3</v>
      </c>
      <c r="S81" s="89">
        <f t="shared" si="100"/>
        <v>8.3739899475259814E-3</v>
      </c>
      <c r="T81" s="89">
        <f t="shared" ref="T81:Y81" si="101">T48/T$23</f>
        <v>8.3089630129281108E-3</v>
      </c>
      <c r="U81" s="89">
        <f t="shared" si="101"/>
        <v>8.3049505532956924E-3</v>
      </c>
      <c r="V81" s="89">
        <f t="shared" si="101"/>
        <v>7.7966530697380649E-3</v>
      </c>
      <c r="W81" s="89">
        <f t="shared" si="101"/>
        <v>8.1569393659852839E-3</v>
      </c>
      <c r="X81" s="89">
        <f t="shared" si="101"/>
        <v>7.5693793702109576E-3</v>
      </c>
      <c r="Y81" s="89">
        <f t="shared" si="101"/>
        <v>7.4806198984489298E-3</v>
      </c>
      <c r="Z81" s="89">
        <f t="shared" ref="Z81:AA81" si="102">Z48/Z$23</f>
        <v>6.6934464110896845E-3</v>
      </c>
      <c r="AA81" s="89">
        <f t="shared" si="102"/>
        <v>6.0486325230550732E-3</v>
      </c>
    </row>
    <row r="82" spans="1:27" x14ac:dyDescent="0.25">
      <c r="A82" s="68" t="s">
        <v>3</v>
      </c>
      <c r="B82" s="44"/>
      <c r="C82" s="44"/>
      <c r="D82" s="89">
        <f>D52/D$23</f>
        <v>1.7026284071969589E-2</v>
      </c>
      <c r="E82" s="89">
        <f t="shared" ref="E82:S82" si="103">E52/E$23</f>
        <v>1.6925983075547723E-2</v>
      </c>
      <c r="F82" s="89">
        <f t="shared" si="103"/>
        <v>1.6024740369610841E-2</v>
      </c>
      <c r="G82" s="89">
        <f t="shared" si="103"/>
        <v>1.5038046870635785E-2</v>
      </c>
      <c r="H82" s="89">
        <f t="shared" si="103"/>
        <v>1.3963463584937365E-2</v>
      </c>
      <c r="I82" s="89">
        <f t="shared" si="103"/>
        <v>1.3080594679535242E-2</v>
      </c>
      <c r="J82" s="89">
        <f t="shared" si="103"/>
        <v>1.2689887603491195E-2</v>
      </c>
      <c r="K82" s="89">
        <f t="shared" si="103"/>
        <v>1.2096745345525337E-2</v>
      </c>
      <c r="L82" s="89">
        <f t="shared" si="103"/>
        <v>1.1228495133589181E-2</v>
      </c>
      <c r="M82" s="89">
        <f t="shared" si="103"/>
        <v>1.1077849481270319E-2</v>
      </c>
      <c r="N82" s="89">
        <f t="shared" si="103"/>
        <v>1.0953882613764503E-2</v>
      </c>
      <c r="O82" s="89">
        <f t="shared" si="103"/>
        <v>1.0587361321467242E-2</v>
      </c>
      <c r="P82" s="89">
        <f t="shared" si="103"/>
        <v>1.0337894786651283E-2</v>
      </c>
      <c r="Q82" s="89">
        <f t="shared" si="103"/>
        <v>9.784913450181721E-3</v>
      </c>
      <c r="R82" s="89">
        <f t="shared" si="103"/>
        <v>9.7178584048060474E-3</v>
      </c>
      <c r="S82" s="89">
        <f t="shared" si="103"/>
        <v>9.3636373210604345E-3</v>
      </c>
      <c r="T82" s="89">
        <f t="shared" ref="T82:Y82" si="104">T52/T$23</f>
        <v>9.4250545780170478E-3</v>
      </c>
      <c r="U82" s="89">
        <f t="shared" si="104"/>
        <v>8.823990812926126E-3</v>
      </c>
      <c r="V82" s="89">
        <f t="shared" si="104"/>
        <v>8.9010861528113546E-3</v>
      </c>
      <c r="W82" s="89">
        <f t="shared" si="104"/>
        <v>8.6374597227553453E-3</v>
      </c>
      <c r="X82" s="89">
        <f t="shared" si="104"/>
        <v>8.2075024836291907E-3</v>
      </c>
      <c r="Y82" s="89">
        <f t="shared" si="104"/>
        <v>7.3694587694269932E-3</v>
      </c>
      <c r="Z82" s="89">
        <f t="shared" ref="Z82:AA82" si="105">Z52/Z$23</f>
        <v>7.5122819118046136E-3</v>
      </c>
      <c r="AA82" s="89">
        <f t="shared" si="105"/>
        <v>5.9438922823433805E-3</v>
      </c>
    </row>
    <row r="83" spans="1:27" x14ac:dyDescent="0.25">
      <c r="A83" s="88" t="s">
        <v>21</v>
      </c>
      <c r="B83" s="44"/>
      <c r="C83" s="44"/>
      <c r="D83" s="89">
        <f>D53/D$23</f>
        <v>9.8232013806436435E-3</v>
      </c>
      <c r="E83" s="89">
        <f t="shared" ref="E83:S83" si="106">E53/E$23</f>
        <v>1.0218046217715568E-2</v>
      </c>
      <c r="F83" s="89">
        <f t="shared" si="106"/>
        <v>9.516791524420502E-3</v>
      </c>
      <c r="G83" s="89">
        <f t="shared" si="106"/>
        <v>8.7018402881507018E-3</v>
      </c>
      <c r="H83" s="89">
        <f t="shared" si="106"/>
        <v>8.1516158542277312E-3</v>
      </c>
      <c r="I83" s="89">
        <f t="shared" si="106"/>
        <v>7.6286370730440992E-3</v>
      </c>
      <c r="J83" s="89">
        <f t="shared" si="106"/>
        <v>7.4122741727557064E-3</v>
      </c>
      <c r="K83" s="89">
        <f t="shared" si="106"/>
        <v>7.0533544570952058E-3</v>
      </c>
      <c r="L83" s="89">
        <f t="shared" si="106"/>
        <v>6.2998765829371112E-3</v>
      </c>
      <c r="M83" s="89">
        <f t="shared" si="106"/>
        <v>6.4336922345169922E-3</v>
      </c>
      <c r="N83" s="89">
        <f t="shared" si="106"/>
        <v>6.538233663971868E-3</v>
      </c>
      <c r="O83" s="89">
        <f t="shared" si="106"/>
        <v>6.4007019583573266E-3</v>
      </c>
      <c r="P83" s="89">
        <f t="shared" si="106"/>
        <v>6.3762862775360255E-3</v>
      </c>
      <c r="Q83" s="89">
        <f t="shared" si="106"/>
        <v>6.1949973188657219E-3</v>
      </c>
      <c r="R83" s="89">
        <f t="shared" si="106"/>
        <v>6.3908889284902586E-3</v>
      </c>
      <c r="S83" s="89">
        <f t="shared" si="106"/>
        <v>6.1807707598859427E-3</v>
      </c>
      <c r="T83" s="89">
        <f t="shared" ref="T83:Y83" si="107">T53/T$23</f>
        <v>6.4651645538688265E-3</v>
      </c>
      <c r="U83" s="89">
        <f t="shared" si="107"/>
        <v>6.0379028077197899E-3</v>
      </c>
      <c r="V83" s="89">
        <f t="shared" si="107"/>
        <v>6.4062977879699419E-3</v>
      </c>
      <c r="W83" s="89">
        <f t="shared" si="107"/>
        <v>6.3179213398098216E-3</v>
      </c>
      <c r="X83" s="89">
        <f t="shared" si="107"/>
        <v>6.1013731833827215E-3</v>
      </c>
      <c r="Y83" s="89">
        <f t="shared" si="107"/>
        <v>5.5075788168263192E-3</v>
      </c>
      <c r="Z83" s="89">
        <f t="shared" ref="Z83:AA83" si="108">Z53/Z$23</f>
        <v>5.7683460242904652E-3</v>
      </c>
      <c r="AA83" s="89">
        <f t="shared" si="108"/>
        <v>4.376978281296442E-3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7.2030826913259457E-3</v>
      </c>
      <c r="E84" s="89">
        <f t="shared" ref="E84:S84" si="110">E56/E$23</f>
        <v>6.7079368578321537E-3</v>
      </c>
      <c r="F84" s="89">
        <f t="shared" si="110"/>
        <v>6.5079488451903374E-3</v>
      </c>
      <c r="G84" s="89">
        <f t="shared" si="110"/>
        <v>6.3362065824850841E-3</v>
      </c>
      <c r="H84" s="89">
        <f t="shared" si="110"/>
        <v>5.8118477307096328E-3</v>
      </c>
      <c r="I84" s="89">
        <f t="shared" si="110"/>
        <v>5.4519576064911441E-3</v>
      </c>
      <c r="J84" s="89">
        <f t="shared" si="110"/>
        <v>5.2776134307354877E-3</v>
      </c>
      <c r="K84" s="89">
        <f t="shared" si="110"/>
        <v>5.0433908884301316E-3</v>
      </c>
      <c r="L84" s="89">
        <f t="shared" si="110"/>
        <v>4.92861855065207E-3</v>
      </c>
      <c r="M84" s="89">
        <f t="shared" si="110"/>
        <v>4.6441572467533273E-3</v>
      </c>
      <c r="N84" s="89">
        <f t="shared" si="110"/>
        <v>4.4156489497926337E-3</v>
      </c>
      <c r="O84" s="89">
        <f t="shared" si="110"/>
        <v>4.1866593631099142E-3</v>
      </c>
      <c r="P84" s="89">
        <f t="shared" si="110"/>
        <v>3.961608509115257E-3</v>
      </c>
      <c r="Q84" s="89">
        <f t="shared" si="110"/>
        <v>3.5899161313159996E-3</v>
      </c>
      <c r="R84" s="89">
        <f t="shared" si="110"/>
        <v>3.3269694763157884E-3</v>
      </c>
      <c r="S84" s="89">
        <f t="shared" si="110"/>
        <v>3.1828665611744931E-3</v>
      </c>
      <c r="T84" s="89">
        <f t="shared" ref="T84:Y84" si="111">T56/T$23</f>
        <v>2.9598900241482214E-3</v>
      </c>
      <c r="U84" s="89">
        <f t="shared" si="111"/>
        <v>2.7860880052063362E-3</v>
      </c>
      <c r="V84" s="89">
        <f t="shared" si="111"/>
        <v>2.4947883648414114E-3</v>
      </c>
      <c r="W84" s="89">
        <f t="shared" si="111"/>
        <v>2.3195383829455241E-3</v>
      </c>
      <c r="X84" s="89">
        <f t="shared" si="111"/>
        <v>2.1061293002464683E-3</v>
      </c>
      <c r="Y84" s="89">
        <f t="shared" si="111"/>
        <v>1.8618799526006738E-3</v>
      </c>
      <c r="Z84" s="89">
        <f t="shared" ref="Z84:AA84" si="112">Z56/Z$23</f>
        <v>1.7439358875141482E-3</v>
      </c>
      <c r="AA84" s="89">
        <f t="shared" si="112"/>
        <v>1.5669140010469386E-3</v>
      </c>
    </row>
    <row r="85" spans="1:27" x14ac:dyDescent="0.25">
      <c r="A85" s="68" t="s">
        <v>2</v>
      </c>
      <c r="B85" s="44"/>
      <c r="C85" s="44"/>
      <c r="D85" s="89">
        <f t="shared" si="109"/>
        <v>2.1101379007057903E-2</v>
      </c>
      <c r="E85" s="89">
        <f t="shared" ref="E85:S85" si="113">E57/E$23</f>
        <v>2.0632033995860739E-2</v>
      </c>
      <c r="F85" s="89">
        <f t="shared" si="113"/>
        <v>2.0772424073930141E-2</v>
      </c>
      <c r="G85" s="89">
        <f t="shared" si="113"/>
        <v>2.1041024557415196E-2</v>
      </c>
      <c r="H85" s="89">
        <f t="shared" si="113"/>
        <v>2.1068648133973078E-2</v>
      </c>
      <c r="I85" s="89">
        <f t="shared" si="113"/>
        <v>1.9898329443113507E-2</v>
      </c>
      <c r="J85" s="89">
        <f t="shared" si="113"/>
        <v>1.9279840866144288E-2</v>
      </c>
      <c r="K85" s="89">
        <f t="shared" si="113"/>
        <v>1.9574191384144301E-2</v>
      </c>
      <c r="L85" s="89">
        <f t="shared" si="113"/>
        <v>1.8576687154257508E-2</v>
      </c>
      <c r="M85" s="89">
        <f t="shared" si="113"/>
        <v>2.0178576754568422E-2</v>
      </c>
      <c r="N85" s="89">
        <f t="shared" si="113"/>
        <v>2.0085239760717088E-2</v>
      </c>
      <c r="O85" s="89">
        <f t="shared" si="113"/>
        <v>1.8593800316041725E-2</v>
      </c>
      <c r="P85" s="89">
        <f t="shared" si="113"/>
        <v>1.9623748588888209E-2</v>
      </c>
      <c r="Q85" s="89">
        <f t="shared" si="113"/>
        <v>1.8804739824832557E-2</v>
      </c>
      <c r="R85" s="89">
        <f t="shared" si="113"/>
        <v>1.9642204263795562E-2</v>
      </c>
      <c r="S85" s="89">
        <f t="shared" si="113"/>
        <v>1.9540516630815127E-2</v>
      </c>
      <c r="T85" s="89">
        <f t="shared" ref="T85:Y85" si="114">T57/T$23</f>
        <v>2.0165299301508999E-2</v>
      </c>
      <c r="U85" s="89">
        <f t="shared" si="114"/>
        <v>1.9828318395350576E-2</v>
      </c>
      <c r="V85" s="89">
        <f t="shared" si="114"/>
        <v>1.8976621173007541E-2</v>
      </c>
      <c r="W85" s="89">
        <f t="shared" si="114"/>
        <v>1.9528970983374281E-2</v>
      </c>
      <c r="X85" s="89">
        <f t="shared" si="114"/>
        <v>2.0606413709926795E-2</v>
      </c>
      <c r="Y85" s="89">
        <f t="shared" si="114"/>
        <v>2.0390205904614371E-2</v>
      </c>
      <c r="Z85" s="89">
        <f t="shared" ref="Z85:AA85" si="115">Z57/Z$23</f>
        <v>1.9422142473901175E-2</v>
      </c>
      <c r="AA85" s="89">
        <f t="shared" si="115"/>
        <v>2.080792897587553E-2</v>
      </c>
    </row>
    <row r="86" spans="1:27" x14ac:dyDescent="0.25">
      <c r="A86" s="68" t="s">
        <v>269</v>
      </c>
      <c r="B86" s="44"/>
      <c r="C86" s="44"/>
      <c r="D86" s="89">
        <f t="shared" si="109"/>
        <v>1.5531713044474444E-2</v>
      </c>
      <c r="E86" s="89">
        <f t="shared" ref="E86:S86" si="116">E58/E$23</f>
        <v>1.6192222752897285E-2</v>
      </c>
      <c r="F86" s="89">
        <f t="shared" si="116"/>
        <v>1.735253731283793E-2</v>
      </c>
      <c r="G86" s="89">
        <f t="shared" si="116"/>
        <v>1.7582924690755328E-2</v>
      </c>
      <c r="H86" s="89">
        <f t="shared" si="116"/>
        <v>1.7815936373989507E-2</v>
      </c>
      <c r="I86" s="89">
        <f t="shared" si="116"/>
        <v>1.8497761097831484E-2</v>
      </c>
      <c r="J86" s="89">
        <f t="shared" si="116"/>
        <v>1.9579250018027801E-2</v>
      </c>
      <c r="K86" s="89">
        <f t="shared" si="116"/>
        <v>1.9623874090508378E-2</v>
      </c>
      <c r="L86" s="89">
        <f t="shared" si="116"/>
        <v>1.8716462545955003E-2</v>
      </c>
      <c r="M86" s="89">
        <f t="shared" si="116"/>
        <v>1.562036428025374E-2</v>
      </c>
      <c r="N86" s="89">
        <f t="shared" si="116"/>
        <v>1.492536742923762E-2</v>
      </c>
      <c r="O86" s="89">
        <f t="shared" si="116"/>
        <v>1.5602235267645329E-2</v>
      </c>
      <c r="P86" s="89">
        <f t="shared" si="116"/>
        <v>1.5879521561503483E-2</v>
      </c>
      <c r="Q86" s="89">
        <f t="shared" si="116"/>
        <v>1.6223490941971841E-2</v>
      </c>
      <c r="R86" s="89">
        <f t="shared" si="116"/>
        <v>1.6185754205648557E-2</v>
      </c>
      <c r="S86" s="89">
        <f t="shared" si="116"/>
        <v>1.5614838589072873E-2</v>
      </c>
      <c r="T86" s="89">
        <f t="shared" ref="T86:Y86" si="117">T58/T$23</f>
        <v>1.6714468262768341E-2</v>
      </c>
      <c r="U86" s="89">
        <f t="shared" si="117"/>
        <v>1.5922954080563385E-2</v>
      </c>
      <c r="V86" s="89">
        <f t="shared" si="117"/>
        <v>1.7656281675550958E-2</v>
      </c>
      <c r="W86" s="89">
        <f t="shared" si="117"/>
        <v>1.7314891935365902E-2</v>
      </c>
      <c r="X86" s="89">
        <f t="shared" si="117"/>
        <v>1.6897194636946711E-2</v>
      </c>
      <c r="Y86" s="89">
        <f t="shared" si="117"/>
        <v>1.654425150770901E-2</v>
      </c>
      <c r="Z86" s="89">
        <f t="shared" ref="Z86:AA86" si="118">Z58/Z$23</f>
        <v>1.4293868590557672E-2</v>
      </c>
      <c r="AA86" s="89">
        <f t="shared" si="118"/>
        <v>1.5288816558640688E-2</v>
      </c>
    </row>
    <row r="87" spans="1:27" x14ac:dyDescent="0.25">
      <c r="A87" s="68" t="s">
        <v>270</v>
      </c>
      <c r="B87" s="44"/>
      <c r="C87" s="44"/>
      <c r="D87" s="89">
        <f t="shared" si="109"/>
        <v>6.8346400491186468E-2</v>
      </c>
      <c r="E87" s="89">
        <f t="shared" ref="E87:S87" si="119">E59/E$23</f>
        <v>7.0915026676627024E-2</v>
      </c>
      <c r="F87" s="89">
        <f t="shared" si="119"/>
        <v>6.9773860984393296E-2</v>
      </c>
      <c r="G87" s="89">
        <f t="shared" si="119"/>
        <v>6.8870543488556785E-2</v>
      </c>
      <c r="H87" s="89">
        <f t="shared" si="119"/>
        <v>6.8548718331684189E-2</v>
      </c>
      <c r="I87" s="89">
        <f t="shared" si="119"/>
        <v>6.8751848281872849E-2</v>
      </c>
      <c r="J87" s="89">
        <f t="shared" si="119"/>
        <v>7.2708771465211389E-2</v>
      </c>
      <c r="K87" s="89">
        <f t="shared" si="119"/>
        <v>7.3680645922878124E-2</v>
      </c>
      <c r="L87" s="89">
        <f t="shared" si="119"/>
        <v>7.4363964368027072E-2</v>
      </c>
      <c r="M87" s="89">
        <f t="shared" si="119"/>
        <v>7.0216486640493417E-2</v>
      </c>
      <c r="N87" s="89">
        <f t="shared" si="119"/>
        <v>7.0269671081551147E-2</v>
      </c>
      <c r="O87" s="89">
        <f t="shared" si="119"/>
        <v>7.371912110787468E-2</v>
      </c>
      <c r="P87" s="89">
        <f t="shared" si="119"/>
        <v>7.5419277645961333E-2</v>
      </c>
      <c r="Q87" s="89">
        <f t="shared" si="119"/>
        <v>7.5741517627143581E-2</v>
      </c>
      <c r="R87" s="89">
        <f t="shared" si="119"/>
        <v>7.4232580517329436E-2</v>
      </c>
      <c r="S87" s="89">
        <f t="shared" si="119"/>
        <v>7.42834518584439E-2</v>
      </c>
      <c r="T87" s="89">
        <f t="shared" ref="T87:Y87" si="120">T59/T$23</f>
        <v>7.5200388447977495E-2</v>
      </c>
      <c r="U87" s="89">
        <f t="shared" si="120"/>
        <v>7.6445376987458472E-2</v>
      </c>
      <c r="V87" s="89">
        <f t="shared" si="120"/>
        <v>7.5669485656431668E-2</v>
      </c>
      <c r="W87" s="89">
        <f t="shared" si="120"/>
        <v>7.3483044009994822E-2</v>
      </c>
      <c r="X87" s="89">
        <f t="shared" si="120"/>
        <v>6.9958027180579432E-2</v>
      </c>
      <c r="Y87" s="89">
        <f t="shared" si="120"/>
        <v>7.372355027131039E-2</v>
      </c>
      <c r="Z87" s="89">
        <f t="shared" ref="Z87:AA87" si="121">Z59/Z$23</f>
        <v>7.0033773860873935E-2</v>
      </c>
      <c r="AA87" s="89">
        <f t="shared" si="121"/>
        <v>7.0032583525104955E-2</v>
      </c>
    </row>
    <row r="88" spans="1:27" x14ac:dyDescent="0.25">
      <c r="A88" s="68" t="s">
        <v>1</v>
      </c>
      <c r="B88" s="44"/>
      <c r="C88" s="44"/>
      <c r="D88" s="89">
        <f t="shared" si="109"/>
        <v>8.6211038074870041E-3</v>
      </c>
      <c r="E88" s="89">
        <f t="shared" ref="E88:S88" si="122">E60/E$23</f>
        <v>7.7830641177935355E-3</v>
      </c>
      <c r="F88" s="89">
        <f t="shared" si="122"/>
        <v>6.9698129226280535E-3</v>
      </c>
      <c r="G88" s="89">
        <f t="shared" si="122"/>
        <v>5.9990916355175368E-3</v>
      </c>
      <c r="H88" s="89">
        <f t="shared" si="122"/>
        <v>6.1712376080503336E-3</v>
      </c>
      <c r="I88" s="89">
        <f t="shared" si="122"/>
        <v>5.5197558193837764E-3</v>
      </c>
      <c r="J88" s="89">
        <f t="shared" si="122"/>
        <v>5.3210488429101385E-3</v>
      </c>
      <c r="K88" s="89">
        <f t="shared" si="122"/>
        <v>4.8259793653809306E-3</v>
      </c>
      <c r="L88" s="89">
        <f t="shared" si="122"/>
        <v>4.3445570924875339E-3</v>
      </c>
      <c r="M88" s="89">
        <f t="shared" si="122"/>
        <v>4.0609886081970125E-3</v>
      </c>
      <c r="N88" s="89">
        <f t="shared" si="122"/>
        <v>4.248227356994057E-3</v>
      </c>
      <c r="O88" s="89">
        <f t="shared" si="122"/>
        <v>4.0666758325817644E-3</v>
      </c>
      <c r="P88" s="89">
        <f t="shared" si="122"/>
        <v>3.6944178499014667E-3</v>
      </c>
      <c r="Q88" s="89">
        <f t="shared" si="122"/>
        <v>3.5475086479723264E-3</v>
      </c>
      <c r="R88" s="89">
        <f t="shared" si="122"/>
        <v>3.5562864015063361E-3</v>
      </c>
      <c r="S88" s="89">
        <f t="shared" si="122"/>
        <v>3.5932723725471097E-3</v>
      </c>
      <c r="T88" s="89">
        <f t="shared" ref="T88:Y88" si="123">T60/T$23</f>
        <v>3.2871840338765121E-3</v>
      </c>
      <c r="U88" s="89">
        <f t="shared" si="123"/>
        <v>2.8360310762333492E-3</v>
      </c>
      <c r="V88" s="89">
        <f t="shared" si="123"/>
        <v>2.9072662908274055E-3</v>
      </c>
      <c r="W88" s="89">
        <f t="shared" si="123"/>
        <v>2.7821986910568784E-3</v>
      </c>
      <c r="X88" s="89">
        <f t="shared" si="123"/>
        <v>2.659091022550443E-3</v>
      </c>
      <c r="Y88" s="89">
        <f t="shared" si="123"/>
        <v>2.4822307694005131E-3</v>
      </c>
      <c r="Z88" s="89">
        <f t="shared" ref="Z88:AA88" si="124">Z60/Z$23</f>
        <v>2.3080336005597284E-3</v>
      </c>
      <c r="AA88" s="89">
        <f t="shared" si="124"/>
        <v>2.2453980047682414E-3</v>
      </c>
    </row>
    <row r="89" spans="1:27" x14ac:dyDescent="0.25">
      <c r="A89" s="68" t="s">
        <v>0</v>
      </c>
      <c r="B89" s="44"/>
      <c r="C89" s="44"/>
      <c r="D89" s="89">
        <f t="shared" si="109"/>
        <v>9.2213606984308336E-3</v>
      </c>
      <c r="E89" s="89">
        <f t="shared" ref="E89:S89" si="125">E61/E$23</f>
        <v>9.2214996877181387E-3</v>
      </c>
      <c r="F89" s="89">
        <f t="shared" si="125"/>
        <v>8.9483051033240283E-3</v>
      </c>
      <c r="G89" s="89">
        <f t="shared" si="125"/>
        <v>8.9539478637647579E-3</v>
      </c>
      <c r="H89" s="89">
        <f t="shared" si="125"/>
        <v>8.8988667550361257E-3</v>
      </c>
      <c r="I89" s="89">
        <f t="shared" si="125"/>
        <v>8.2789646677642239E-3</v>
      </c>
      <c r="J89" s="89">
        <f t="shared" si="125"/>
        <v>9.0805313626869579E-3</v>
      </c>
      <c r="K89" s="89">
        <f t="shared" si="125"/>
        <v>9.4349446693635756E-3</v>
      </c>
      <c r="L89" s="89">
        <f t="shared" si="125"/>
        <v>8.3124118243837405E-3</v>
      </c>
      <c r="M89" s="89">
        <f t="shared" si="125"/>
        <v>7.5541138112856874E-3</v>
      </c>
      <c r="N89" s="89">
        <f t="shared" si="125"/>
        <v>8.0079506144525355E-3</v>
      </c>
      <c r="O89" s="89">
        <f t="shared" si="125"/>
        <v>7.8259166614090304E-3</v>
      </c>
      <c r="P89" s="89">
        <f t="shared" si="125"/>
        <v>7.4475393732653505E-3</v>
      </c>
      <c r="Q89" s="89">
        <f t="shared" si="125"/>
        <v>7.4234124355563964E-3</v>
      </c>
      <c r="R89" s="89">
        <f t="shared" si="125"/>
        <v>7.3364379142313802E-3</v>
      </c>
      <c r="S89" s="89">
        <f t="shared" si="125"/>
        <v>7.7519634972499198E-3</v>
      </c>
      <c r="T89" s="89">
        <f t="shared" ref="T89:Y89" si="126">T61/T$23</f>
        <v>7.9123485117776754E-3</v>
      </c>
      <c r="U89" s="89">
        <f t="shared" si="126"/>
        <v>7.7083912938503236E-3</v>
      </c>
      <c r="V89" s="89">
        <f t="shared" si="126"/>
        <v>8.0811105030707351E-3</v>
      </c>
      <c r="W89" s="89">
        <f t="shared" si="126"/>
        <v>8.3346893740648288E-3</v>
      </c>
      <c r="X89" s="89">
        <f t="shared" si="126"/>
        <v>8.5845618842868131E-3</v>
      </c>
      <c r="Y89" s="89">
        <f t="shared" si="126"/>
        <v>9.8442420190171052E-3</v>
      </c>
      <c r="Z89" s="89">
        <f t="shared" ref="Z89:AA89" si="127">Z61/Z$23</f>
        <v>9.0188597827379653E-3</v>
      </c>
      <c r="AA89" s="89">
        <f t="shared" si="127"/>
        <v>6.7496938675520096E-3</v>
      </c>
    </row>
    <row r="90" spans="1:27" x14ac:dyDescent="0.25">
      <c r="A90" s="90" t="s">
        <v>272</v>
      </c>
      <c r="B90" s="47"/>
      <c r="C90" s="47"/>
      <c r="D90" s="91">
        <f t="shared" si="109"/>
        <v>2.1302520498218503E-2</v>
      </c>
      <c r="E90" s="91">
        <f t="shared" ref="E90:S90" si="128">E62/E$23</f>
        <v>2.1140257418225013E-2</v>
      </c>
      <c r="F90" s="91">
        <f t="shared" si="128"/>
        <v>2.1357850493551843E-2</v>
      </c>
      <c r="G90" s="91">
        <f t="shared" si="128"/>
        <v>1.9265584887146643E-2</v>
      </c>
      <c r="H90" s="91">
        <f t="shared" si="128"/>
        <v>1.9258630024457182E-2</v>
      </c>
      <c r="I90" s="91">
        <f t="shared" si="128"/>
        <v>1.8602134662416191E-2</v>
      </c>
      <c r="J90" s="91">
        <f t="shared" si="128"/>
        <v>1.9045373981007339E-2</v>
      </c>
      <c r="K90" s="91">
        <f t="shared" si="128"/>
        <v>1.9395731102884537E-2</v>
      </c>
      <c r="L90" s="91">
        <f t="shared" si="128"/>
        <v>1.8344368165309741E-2</v>
      </c>
      <c r="M90" s="91">
        <f t="shared" si="128"/>
        <v>1.69664399399093E-2</v>
      </c>
      <c r="N90" s="91">
        <f t="shared" si="128"/>
        <v>1.7311316247157083E-2</v>
      </c>
      <c r="O90" s="91">
        <f t="shared" si="128"/>
        <v>1.7589804390376079E-2</v>
      </c>
      <c r="P90" s="91">
        <f t="shared" si="128"/>
        <v>1.697532346613527E-2</v>
      </c>
      <c r="Q90" s="91">
        <f t="shared" si="128"/>
        <v>1.7185895481324934E-2</v>
      </c>
      <c r="R90" s="91">
        <f t="shared" si="128"/>
        <v>1.7699314059580831E-2</v>
      </c>
      <c r="S90" s="91">
        <f t="shared" si="128"/>
        <v>1.6746334322432183E-2</v>
      </c>
      <c r="T90" s="91">
        <f t="shared" ref="T90:Y90" si="129">T62/T$23</f>
        <v>1.6952183737919162E-2</v>
      </c>
      <c r="U90" s="91">
        <f t="shared" si="129"/>
        <v>1.6757279126002386E-2</v>
      </c>
      <c r="V90" s="91">
        <f t="shared" si="129"/>
        <v>1.594192029567168E-2</v>
      </c>
      <c r="W90" s="91">
        <f t="shared" si="129"/>
        <v>1.5560354774274501E-2</v>
      </c>
      <c r="X90" s="91">
        <f t="shared" si="129"/>
        <v>1.5032453831513767E-2</v>
      </c>
      <c r="Y90" s="91">
        <f t="shared" si="129"/>
        <v>1.4970066487043522E-2</v>
      </c>
      <c r="Z90" s="91">
        <f t="shared" ref="Z90:AA90" si="130">Z62/Z$23</f>
        <v>1.4531474889582591E-2</v>
      </c>
      <c r="AA90" s="91">
        <f t="shared" si="130"/>
        <v>1.457658292180117E-2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1.3162770804299173E-2</v>
      </c>
      <c r="F93" s="92">
        <f t="shared" ref="F93:F94" si="132">IF(E16=0,"",F16/E16-1)</f>
        <v>1.4849271131386788E-2</v>
      </c>
      <c r="G93" s="92">
        <f t="shared" ref="G93:G94" si="133">IF(F16=0,"",G16/F16-1)</f>
        <v>1.1414141006239831E-2</v>
      </c>
      <c r="H93" s="92">
        <f t="shared" ref="H93:H94" si="134">IF(G16=0,"",H16/G16-1)</f>
        <v>2.5657236130651073E-2</v>
      </c>
      <c r="I93" s="92">
        <f t="shared" ref="I93:I94" si="135">IF(H16=0,"",I16/H16-1)</f>
        <v>2.3193276023915743E-2</v>
      </c>
      <c r="J93" s="92">
        <f t="shared" ref="J93:J94" si="136">IF(I16=0,"",J16/I16-1)</f>
        <v>3.2699590126949785E-2</v>
      </c>
      <c r="K93" s="92">
        <f t="shared" ref="K93:K94" si="137">IF(J16=0,"",K16/J16-1)</f>
        <v>3.7752336138404674E-2</v>
      </c>
      <c r="L93" s="92">
        <f t="shared" ref="L93:L94" si="138">IF(K16=0,"",L16/K16-1)</f>
        <v>1.4536599860827337E-2</v>
      </c>
      <c r="M93" s="92">
        <f t="shared" ref="M93:M94" si="139">IF(L16=0,"",M16/L16-1)</f>
        <v>-3.587320926303017E-2</v>
      </c>
      <c r="N93" s="92">
        <f t="shared" ref="N93:N94" si="140">IF(M16=0,"",N16/M16-1)</f>
        <v>1.8099142429009563E-2</v>
      </c>
      <c r="O93" s="92">
        <f t="shared" ref="O93:O94" si="141">IF(N16=0,"",O16/N16-1)</f>
        <v>2.9271007622960976E-2</v>
      </c>
      <c r="P93" s="92">
        <f t="shared" ref="P93:P94" si="142">IF(O16=0,"",P16/O16-1)</f>
        <v>6.2772591260251698E-3</v>
      </c>
      <c r="Q93" s="92">
        <f t="shared" ref="Q93:Q94" si="143">IF(P16=0,"",Q16/P16-1)</f>
        <v>-2.5066234499343532E-3</v>
      </c>
      <c r="R93" s="92">
        <f t="shared" ref="R93:R94" si="144">IF(Q16=0,"",R16/Q16-1)</f>
        <v>7.5599578792227007E-3</v>
      </c>
      <c r="S93" s="92">
        <f t="shared" ref="S93:S94" si="145">IF(R16=0,"",S16/R16-1)</f>
        <v>1.3037663606607852E-2</v>
      </c>
      <c r="T93" s="92">
        <f t="shared" ref="T93:T94" si="146">IF(S16=0,"",T16/S16-1)</f>
        <v>2.1169816692297339E-2</v>
      </c>
      <c r="U93" s="92">
        <f t="shared" ref="U93:U94" si="147">IF(T16=0,"",U16/T16-1)</f>
        <v>2.272268907938102E-2</v>
      </c>
      <c r="V93" s="92">
        <f t="shared" ref="V93:V94" si="148">IF(U16=0,"",V16/U16-1)</f>
        <v>2.4845290277208054E-2</v>
      </c>
      <c r="W93" s="92">
        <f t="shared" ref="W93:W94" si="149">IF(V16=0,"",W16/V16-1)</f>
        <v>1.7545011502059671E-2</v>
      </c>
      <c r="X93" s="92">
        <f t="shared" ref="X93:X94" si="150">IF(W16=0,"",X16/W16-1)</f>
        <v>-6.3180696606201181E-2</v>
      </c>
      <c r="Y93" s="92">
        <f t="shared" ref="Y93:Y94" si="151">IF(X16=0,"",Y16/X16-1)</f>
        <v>4.9234931757280664E-2</v>
      </c>
      <c r="Z93" s="92">
        <f t="shared" ref="Z93:Z94" si="152">IF(Y16=0,"",Z16/Y16-1)</f>
        <v>5.3304613853655258E-2</v>
      </c>
      <c r="AA93" s="92">
        <f t="shared" ref="AA93:AA94" si="153">IF(Z16=0,"",AA16/Z16-1)</f>
        <v>-7.8570924197142178E-3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1.5745704079436429E-2</v>
      </c>
      <c r="F94" s="93">
        <f t="shared" si="132"/>
        <v>4.1366468226695652E-3</v>
      </c>
      <c r="G94" s="93">
        <f t="shared" si="133"/>
        <v>2.2673566621240537E-2</v>
      </c>
      <c r="H94" s="93">
        <f t="shared" si="134"/>
        <v>2.0630758853877662E-2</v>
      </c>
      <c r="I94" s="93">
        <f t="shared" si="135"/>
        <v>2.1817685040765644E-2</v>
      </c>
      <c r="J94" s="93">
        <f t="shared" si="136"/>
        <v>1.9491077902635157E-2</v>
      </c>
      <c r="K94" s="93">
        <f t="shared" si="137"/>
        <v>1.204520734403336E-2</v>
      </c>
      <c r="L94" s="93">
        <f t="shared" si="138"/>
        <v>1.0360222343142267E-2</v>
      </c>
      <c r="M94" s="93">
        <f t="shared" si="139"/>
        <v>8.6104656384702327E-3</v>
      </c>
      <c r="N94" s="93">
        <f t="shared" si="140"/>
        <v>1.2641883594300074E-2</v>
      </c>
      <c r="O94" s="93">
        <f t="shared" si="141"/>
        <v>1.1300426454684764E-2</v>
      </c>
      <c r="P94" s="93">
        <f t="shared" si="142"/>
        <v>6.5403729191144677E-3</v>
      </c>
      <c r="Q94" s="93">
        <f t="shared" si="143"/>
        <v>-3.0139489494155347E-3</v>
      </c>
      <c r="R94" s="93">
        <f t="shared" si="144"/>
        <v>1.2937048383321326E-4</v>
      </c>
      <c r="S94" s="93">
        <f t="shared" si="145"/>
        <v>1.1439691274651276E-2</v>
      </c>
      <c r="T94" s="93">
        <f t="shared" si="146"/>
        <v>1.8149032260433406E-2</v>
      </c>
      <c r="U94" s="93">
        <f t="shared" si="147"/>
        <v>1.8784108465775162E-2</v>
      </c>
      <c r="V94" s="93">
        <f t="shared" si="148"/>
        <v>8.4745198354734264E-3</v>
      </c>
      <c r="W94" s="93">
        <f t="shared" si="149"/>
        <v>6.8490257402640253E-3</v>
      </c>
      <c r="X94" s="93">
        <f t="shared" si="150"/>
        <v>-7.5752990796243203E-2</v>
      </c>
      <c r="Y94" s="93">
        <f t="shared" si="151"/>
        <v>4.9173687878013128E-2</v>
      </c>
      <c r="Z94" s="93">
        <f t="shared" si="152"/>
        <v>5.3670510929034299E-2</v>
      </c>
      <c r="AA94" s="93">
        <f t="shared" si="153"/>
        <v>-2.2910568019288702E-3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1.0793108475156243E-2</v>
      </c>
      <c r="F95" s="92">
        <f t="shared" ref="F95:F96" si="155">IF(E20=0,"",F20/E20-1)</f>
        <v>9.4760185082931603E-3</v>
      </c>
      <c r="G95" s="92">
        <f t="shared" ref="G95:G96" si="156">IF(F20=0,"",G20/F20-1)</f>
        <v>6.8400810668427514E-3</v>
      </c>
      <c r="H95" s="92">
        <f t="shared" ref="H95:H96" si="157">IF(G20=0,"",H20/G20-1)</f>
        <v>2.0329030772427537E-2</v>
      </c>
      <c r="I95" s="92">
        <f t="shared" ref="I95:I96" si="158">IF(H20=0,"",I20/H20-1)</f>
        <v>1.5859193962108442E-2</v>
      </c>
      <c r="J95" s="92">
        <f t="shared" ref="J95:J96" si="159">IF(I20=0,"",J20/I20-1)</f>
        <v>2.6076363826938564E-2</v>
      </c>
      <c r="K95" s="92">
        <f t="shared" ref="K95:K96" si="160">IF(J20=0,"",K20/J20-1)</f>
        <v>3.415834591525968E-2</v>
      </c>
      <c r="L95" s="92">
        <f t="shared" ref="L95:L96" si="161">IF(K20=0,"",L20/K20-1)</f>
        <v>1.1483094652825709E-2</v>
      </c>
      <c r="M95" s="92">
        <f t="shared" ref="M95:M96" si="162">IF(L20=0,"",M20/L20-1)</f>
        <v>-3.8997973720219736E-2</v>
      </c>
      <c r="N95" s="92">
        <f t="shared" ref="N95:N96" si="163">IF(M20=0,"",N20/M20-1)</f>
        <v>1.6070658964137063E-2</v>
      </c>
      <c r="O95" s="92">
        <f t="shared" ref="O95:O96" si="164">IF(N20=0,"",O20/N20-1)</f>
        <v>2.6380379645968288E-2</v>
      </c>
      <c r="P95" s="92">
        <f t="shared" ref="P95:P96" si="165">IF(O20=0,"",P20/O20-1)</f>
        <v>2.3329914794230078E-3</v>
      </c>
      <c r="Q95" s="92">
        <f t="shared" ref="Q95:Q96" si="166">IF(P20=0,"",Q20/P20-1)</f>
        <v>-7.668725377430019E-3</v>
      </c>
      <c r="R95" s="92">
        <f t="shared" ref="R95:R96" si="167">IF(Q20=0,"",R20/Q20-1)</f>
        <v>9.3675435666651374E-4</v>
      </c>
      <c r="S95" s="92">
        <f t="shared" ref="S95:S96" si="168">IF(R20=0,"",S20/R20-1)</f>
        <v>3.9349962836032759E-3</v>
      </c>
      <c r="T95" s="92">
        <f t="shared" ref="T95:T96" si="169">IF(S20=0,"",T20/S20-1)</f>
        <v>7.6083593332978428E-3</v>
      </c>
      <c r="U95" s="92">
        <f t="shared" ref="U95:U96" si="170">IF(T20=0,"",U20/T20-1)</f>
        <v>1.4283144374975576E-2</v>
      </c>
      <c r="V95" s="92">
        <f t="shared" ref="V95:V96" si="171">IF(U20=0,"",V20/U20-1)</f>
        <v>1.910646974159369E-2</v>
      </c>
      <c r="W95" s="92">
        <f t="shared" ref="W95:W96" si="172">IF(V20=0,"",W20/V20-1)</f>
        <v>1.3351594999222893E-2</v>
      </c>
      <c r="X95" s="92">
        <f t="shared" ref="X95:X96" si="173">IF(W20=0,"",X20/W20-1)</f>
        <v>-6.763152984604992E-2</v>
      </c>
      <c r="Y95" s="92">
        <f t="shared" ref="Y95:Y96" si="174">IF(X20=0,"",Y20/X20-1)</f>
        <v>4.5523180834652344E-2</v>
      </c>
      <c r="Z95" s="92">
        <f t="shared" ref="Z95:Z96" si="175">IF(Y20=0,"",Z20/Y20-1)</f>
        <v>4.7877336506887191E-2</v>
      </c>
      <c r="AA95" s="92">
        <f t="shared" ref="AA95:AA96" si="176">IF(Z20=0,"",AA20/Z20-1)</f>
        <v>-2.1570147498811809E-2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1.3370000589034037E-2</v>
      </c>
      <c r="F96" s="93">
        <f t="shared" si="155"/>
        <v>-1.1798864054319846E-3</v>
      </c>
      <c r="G96" s="93">
        <f t="shared" si="156"/>
        <v>1.8048586603155226E-2</v>
      </c>
      <c r="H96" s="93">
        <f t="shared" si="157"/>
        <v>1.5328665633526084E-2</v>
      </c>
      <c r="I96" s="93">
        <f t="shared" si="158"/>
        <v>1.4493462990150974E-2</v>
      </c>
      <c r="J96" s="93">
        <f t="shared" si="159"/>
        <v>1.2952564491429452E-2</v>
      </c>
      <c r="K96" s="93">
        <f t="shared" si="160"/>
        <v>8.5402471970779104E-3</v>
      </c>
      <c r="L96" s="93">
        <f t="shared" si="161"/>
        <v>7.3192870025091672E-3</v>
      </c>
      <c r="M96" s="93">
        <f t="shared" si="162"/>
        <v>5.3415282285187438E-3</v>
      </c>
      <c r="N96" s="93">
        <f t="shared" si="163"/>
        <v>1.0624273293786679E-2</v>
      </c>
      <c r="O96" s="93">
        <f t="shared" si="164"/>
        <v>8.4602674642888509E-3</v>
      </c>
      <c r="P96" s="93">
        <f t="shared" si="165"/>
        <v>2.5950739551372504E-3</v>
      </c>
      <c r="Q96" s="93">
        <f t="shared" si="166"/>
        <v>-8.1734254299655751E-3</v>
      </c>
      <c r="R96" s="93">
        <f t="shared" si="167"/>
        <v>-6.4449880124523018E-3</v>
      </c>
      <c r="S96" s="93">
        <f t="shared" si="168"/>
        <v>2.3513825594769777E-3</v>
      </c>
      <c r="T96" s="93">
        <f t="shared" si="169"/>
        <v>4.6276918717886861E-3</v>
      </c>
      <c r="U96" s="93">
        <f t="shared" si="170"/>
        <v>1.0377065071368374E-2</v>
      </c>
      <c r="V96" s="93">
        <f t="shared" si="171"/>
        <v>2.8273706130670373E-3</v>
      </c>
      <c r="W96" s="93">
        <f t="shared" si="172"/>
        <v>2.6996885879233545E-3</v>
      </c>
      <c r="X96" s="93">
        <f t="shared" si="173"/>
        <v>-8.0144093002925243E-2</v>
      </c>
      <c r="Y96" s="93">
        <f t="shared" si="174"/>
        <v>4.546215361041428E-2</v>
      </c>
      <c r="Z96" s="93">
        <f t="shared" si="175"/>
        <v>4.8241348254050243E-2</v>
      </c>
      <c r="AA96" s="93">
        <f t="shared" si="176"/>
        <v>-1.6081043694393005E-2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1.4857851073160289E-2</v>
      </c>
      <c r="F97" s="89">
        <f t="shared" ref="F97:F106" si="178">IF(E23=0,"",F23/E23-1)</f>
        <v>1.3848377155586622E-2</v>
      </c>
      <c r="G97" s="89">
        <f t="shared" ref="G97:G106" si="179">IF(F23=0,"",G23/F23-1)</f>
        <v>1.310881775663475E-2</v>
      </c>
      <c r="H97" s="89">
        <f t="shared" ref="H97:H106" si="180">IF(G23=0,"",H23/G23-1)</f>
        <v>2.7350203364487236E-2</v>
      </c>
      <c r="I97" s="89">
        <f t="shared" ref="I97:I106" si="181">IF(H23=0,"",I23/H23-1)</f>
        <v>2.4611668278346821E-2</v>
      </c>
      <c r="J97" s="89">
        <f t="shared" ref="J97:J106" si="182">IF(I23=0,"",J23/I23-1)</f>
        <v>3.5498738420488785E-2</v>
      </c>
      <c r="K97" s="89">
        <f t="shared" ref="K97:K106" si="183">IF(J23=0,"",K23/J23-1)</f>
        <v>3.8722891612264165E-2</v>
      </c>
      <c r="L97" s="89">
        <f t="shared" ref="L97:L106" si="184">IF(K23=0,"",L23/K23-1)</f>
        <v>1.6925955420908245E-2</v>
      </c>
      <c r="M97" s="89">
        <f t="shared" ref="M97:M106" si="185">IF(L23=0,"",M23/L23-1)</f>
        <v>-4.004992226680526E-2</v>
      </c>
      <c r="N97" s="89">
        <f t="shared" ref="N97:N106" si="186">IF(M23=0,"",N23/M23-1)</f>
        <v>1.8717241688980701E-2</v>
      </c>
      <c r="O97" s="89">
        <f t="shared" ref="O97:O106" si="187">IF(N23=0,"",O23/N23-1)</f>
        <v>3.255728555719295E-2</v>
      </c>
      <c r="P97" s="89">
        <f t="shared" ref="P97:P106" si="188">IF(O23=0,"",P23/O23-1)</f>
        <v>4.5309448823624976E-3</v>
      </c>
      <c r="Q97" s="89">
        <f t="shared" ref="Q97:Q106" si="189">IF(P23=0,"",Q23/P23-1)</f>
        <v>-1.3082775141507463E-3</v>
      </c>
      <c r="R97" s="89">
        <f t="shared" ref="R97:R106" si="190">IF(Q23=0,"",R23/Q23-1)</f>
        <v>7.4409690003833795E-3</v>
      </c>
      <c r="S97" s="89">
        <f t="shared" ref="S97:S106" si="191">IF(R23=0,"",S23/R23-1)</f>
        <v>1.0771151671849832E-2</v>
      </c>
      <c r="T97" s="89">
        <f t="shared" ref="T97:T106" si="192">IF(S23=0,"",T23/S23-1)</f>
        <v>2.0805293303220118E-2</v>
      </c>
      <c r="U97" s="89">
        <f t="shared" ref="U97:U106" si="193">IF(T23=0,"",U23/T23-1)</f>
        <v>2.3982182495111637E-2</v>
      </c>
      <c r="V97" s="89">
        <f t="shared" ref="V97:V106" si="194">IF(U23=0,"",V23/U23-1)</f>
        <v>2.7284321530905098E-2</v>
      </c>
      <c r="W97" s="89">
        <f t="shared" ref="W97:W106" si="195">IF(V23=0,"",W23/V23-1)</f>
        <v>1.7871919248294121E-2</v>
      </c>
      <c r="X97" s="89">
        <f t="shared" ref="X97:X106" si="196">IF(W23=0,"",X23/W23-1)</f>
        <v>-6.1500768753101842E-2</v>
      </c>
      <c r="Y97" s="89">
        <f t="shared" ref="Y97:Y106" si="197">IF(X23=0,"",Y23/X23-1)</f>
        <v>4.4970743711465255E-2</v>
      </c>
      <c r="Z97" s="89">
        <f t="shared" ref="Z97:Z108" si="198">IF(Y23=0,"",Z23/Y23-1)</f>
        <v>6.4739482159754003E-2</v>
      </c>
      <c r="AA97" s="89">
        <f t="shared" ref="AA97:AA108" si="199">IF(Z23=0,"",AA23/Z23-1)</f>
        <v>-1.0323671491198727E-2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3.5731701551316331E-2</v>
      </c>
      <c r="F98" s="83">
        <f t="shared" si="178"/>
        <v>-5.3269507452348153E-2</v>
      </c>
      <c r="G98" s="83">
        <f t="shared" si="179"/>
        <v>-5.5232136128579357E-2</v>
      </c>
      <c r="H98" s="83">
        <f t="shared" si="180"/>
        <v>3.4270957487737785E-2</v>
      </c>
      <c r="I98" s="83">
        <f t="shared" si="181"/>
        <v>-0.11774497773345449</v>
      </c>
      <c r="J98" s="83">
        <f t="shared" si="182"/>
        <v>6.7967157188948635E-2</v>
      </c>
      <c r="K98" s="83">
        <f t="shared" si="183"/>
        <v>0.14415475916681175</v>
      </c>
      <c r="L98" s="83">
        <f t="shared" si="184"/>
        <v>-3.7428363216080562E-2</v>
      </c>
      <c r="M98" s="83">
        <f t="shared" si="185"/>
        <v>-0.18252451286551641</v>
      </c>
      <c r="N98" s="83">
        <f t="shared" si="186"/>
        <v>0.1199422675270394</v>
      </c>
      <c r="O98" s="83">
        <f t="shared" si="187"/>
        <v>0.16695893169021092</v>
      </c>
      <c r="P98" s="83">
        <f t="shared" si="188"/>
        <v>-2.3302138001077055E-2</v>
      </c>
      <c r="Q98" s="83">
        <f t="shared" si="189"/>
        <v>-0.10034884484921447</v>
      </c>
      <c r="R98" s="83">
        <f t="shared" si="190"/>
        <v>4.8680559161287107E-3</v>
      </c>
      <c r="S98" s="83">
        <f t="shared" si="191"/>
        <v>-9.2941546024508437E-2</v>
      </c>
      <c r="T98" s="83">
        <f t="shared" si="192"/>
        <v>2.5795347044504036E-2</v>
      </c>
      <c r="U98" s="83">
        <f t="shared" si="193"/>
        <v>6.8702659708780978E-2</v>
      </c>
      <c r="V98" s="83">
        <f t="shared" si="194"/>
        <v>-5.2720063906714687E-2</v>
      </c>
      <c r="W98" s="83">
        <f t="shared" si="195"/>
        <v>-4.2064873167350858E-2</v>
      </c>
      <c r="X98" s="83">
        <f t="shared" si="196"/>
        <v>-4.1718141482569471E-2</v>
      </c>
      <c r="Y98" s="83">
        <f t="shared" si="197"/>
        <v>0.18918215173908415</v>
      </c>
      <c r="Z98" s="83">
        <f t="shared" si="198"/>
        <v>0.174693882593149</v>
      </c>
      <c r="AA98" s="83">
        <f t="shared" si="199"/>
        <v>-9.0198779682683083E-2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2.5956954167164703E-2</v>
      </c>
      <c r="F99" s="83">
        <f t="shared" si="178"/>
        <v>4.9296670316743674E-2</v>
      </c>
      <c r="G99" s="83">
        <f t="shared" si="179"/>
        <v>-2.4687672555514628E-2</v>
      </c>
      <c r="H99" s="83">
        <f t="shared" si="180"/>
        <v>0.41792639127051001</v>
      </c>
      <c r="I99" s="83">
        <f t="shared" si="181"/>
        <v>7.5108491505687658E-2</v>
      </c>
      <c r="J99" s="83">
        <f t="shared" si="182"/>
        <v>3.8818707387352047E-2</v>
      </c>
      <c r="K99" s="83">
        <f t="shared" si="183"/>
        <v>-5.508242427784027E-2</v>
      </c>
      <c r="L99" s="83">
        <f t="shared" si="184"/>
        <v>0.31900406153981975</v>
      </c>
      <c r="M99" s="83">
        <f t="shared" si="185"/>
        <v>-0.21609636468778148</v>
      </c>
      <c r="N99" s="83">
        <f t="shared" si="186"/>
        <v>9.5102817642867432E-2</v>
      </c>
      <c r="O99" s="83">
        <f t="shared" si="187"/>
        <v>0.26335673272300442</v>
      </c>
      <c r="P99" s="83">
        <f t="shared" si="188"/>
        <v>-2.0080651329332788E-2</v>
      </c>
      <c r="Q99" s="83">
        <f t="shared" si="189"/>
        <v>-3.6918809807994668E-2</v>
      </c>
      <c r="R99" s="83">
        <f t="shared" si="190"/>
        <v>-7.9219519081405898E-2</v>
      </c>
      <c r="S99" s="83">
        <f t="shared" si="191"/>
        <v>-0.17137883715940738</v>
      </c>
      <c r="T99" s="83">
        <f t="shared" si="192"/>
        <v>-0.11633344313895411</v>
      </c>
      <c r="U99" s="83">
        <f t="shared" si="193"/>
        <v>0.11321279437115694</v>
      </c>
      <c r="V99" s="83">
        <f t="shared" si="194"/>
        <v>-4.2194608731171201E-2</v>
      </c>
      <c r="W99" s="83">
        <f t="shared" si="195"/>
        <v>-0.10810062029680401</v>
      </c>
      <c r="X99" s="83">
        <f t="shared" si="196"/>
        <v>-0.30371410261962395</v>
      </c>
      <c r="Y99" s="83">
        <f t="shared" si="197"/>
        <v>0.28841368667069323</v>
      </c>
      <c r="Z99" s="83">
        <f t="shared" si="198"/>
        <v>0.49486205809494166</v>
      </c>
      <c r="AA99" s="83">
        <f t="shared" si="199"/>
        <v>-0.25200244894798007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1.8398380674676584E-2</v>
      </c>
      <c r="F100" s="83">
        <f t="shared" si="178"/>
        <v>2.7604659789236541E-2</v>
      </c>
      <c r="G100" s="83">
        <f t="shared" si="179"/>
        <v>1.5997769631812542E-2</v>
      </c>
      <c r="H100" s="83">
        <f t="shared" si="180"/>
        <v>2.7416377563290961E-2</v>
      </c>
      <c r="I100" s="83">
        <f t="shared" si="181"/>
        <v>2.9797016258126696E-2</v>
      </c>
      <c r="J100" s="83">
        <f t="shared" si="182"/>
        <v>3.3215008418977288E-2</v>
      </c>
      <c r="K100" s="83">
        <f t="shared" si="183"/>
        <v>3.4961669287056685E-2</v>
      </c>
      <c r="L100" s="83">
        <f t="shared" si="184"/>
        <v>2.4634408428823473E-2</v>
      </c>
      <c r="M100" s="83">
        <f t="shared" si="185"/>
        <v>-2.0091014222464842E-2</v>
      </c>
      <c r="N100" s="83">
        <f t="shared" si="186"/>
        <v>2.2495460131271683E-2</v>
      </c>
      <c r="O100" s="83">
        <f t="shared" si="187"/>
        <v>3.2161153553791566E-2</v>
      </c>
      <c r="P100" s="83">
        <f t="shared" si="188"/>
        <v>3.2098667364530709E-3</v>
      </c>
      <c r="Q100" s="83">
        <f t="shared" si="189"/>
        <v>1.4794866446086186E-3</v>
      </c>
      <c r="R100" s="83">
        <f t="shared" si="190"/>
        <v>1.0671310919188937E-2</v>
      </c>
      <c r="S100" s="83">
        <f t="shared" si="191"/>
        <v>1.6059701792905168E-2</v>
      </c>
      <c r="T100" s="83">
        <f t="shared" si="192"/>
        <v>1.4875604166252776E-2</v>
      </c>
      <c r="U100" s="83">
        <f t="shared" si="193"/>
        <v>2.4757544209402571E-2</v>
      </c>
      <c r="V100" s="83">
        <f t="shared" si="194"/>
        <v>3.0995803272148015E-2</v>
      </c>
      <c r="W100" s="83">
        <f t="shared" si="195"/>
        <v>2.2406530888077869E-2</v>
      </c>
      <c r="X100" s="83">
        <f t="shared" si="196"/>
        <v>-6.1502451230045274E-2</v>
      </c>
      <c r="Y100" s="83">
        <f t="shared" si="197"/>
        <v>3.9367910093712322E-2</v>
      </c>
      <c r="Z100" s="83">
        <f t="shared" si="198"/>
        <v>7.1703234417421546E-2</v>
      </c>
      <c r="AA100" s="83">
        <f t="shared" si="199"/>
        <v>-1.5487101061114616E-2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1.2501968409233566E-2</v>
      </c>
      <c r="F101" s="84">
        <f t="shared" si="178"/>
        <v>2.1360794676655859E-2</v>
      </c>
      <c r="G101" s="84">
        <f t="shared" si="179"/>
        <v>1.9818295230862315E-2</v>
      </c>
      <c r="H101" s="84">
        <f t="shared" si="180"/>
        <v>2.0649673761371501E-2</v>
      </c>
      <c r="I101" s="84">
        <f t="shared" si="181"/>
        <v>1.6550733998509148E-2</v>
      </c>
      <c r="J101" s="84">
        <f t="shared" si="182"/>
        <v>2.3073626894475563E-2</v>
      </c>
      <c r="K101" s="84">
        <f t="shared" si="183"/>
        <v>2.4411744254809742E-2</v>
      </c>
      <c r="L101" s="84">
        <f t="shared" si="184"/>
        <v>3.1777756188998474E-2</v>
      </c>
      <c r="M101" s="84">
        <f t="shared" si="185"/>
        <v>1.0070164556041261E-2</v>
      </c>
      <c r="N101" s="84">
        <f t="shared" si="186"/>
        <v>1.4405422868237983E-2</v>
      </c>
      <c r="O101" s="84">
        <f t="shared" si="187"/>
        <v>1.5650688612942165E-2</v>
      </c>
      <c r="P101" s="84">
        <f t="shared" si="188"/>
        <v>1.1125044394751038E-2</v>
      </c>
      <c r="Q101" s="84">
        <f t="shared" si="189"/>
        <v>2.368415933414969E-3</v>
      </c>
      <c r="R101" s="84">
        <f t="shared" si="190"/>
        <v>7.6566466390131094E-3</v>
      </c>
      <c r="S101" s="84">
        <f t="shared" si="191"/>
        <v>2.0413120964760001E-2</v>
      </c>
      <c r="T101" s="84">
        <f t="shared" si="192"/>
        <v>1.9572035285897238E-2</v>
      </c>
      <c r="U101" s="84">
        <f t="shared" si="193"/>
        <v>2.3997125330252667E-2</v>
      </c>
      <c r="V101" s="84">
        <f t="shared" si="194"/>
        <v>1.6814066621077428E-2</v>
      </c>
      <c r="W101" s="84">
        <f t="shared" si="195"/>
        <v>2.1050688595610323E-2</v>
      </c>
      <c r="X101" s="84">
        <f t="shared" si="196"/>
        <v>-9.3142149957837983E-2</v>
      </c>
      <c r="Y101" s="84">
        <f t="shared" si="197"/>
        <v>1.293910111254748E-2</v>
      </c>
      <c r="Z101" s="84">
        <f t="shared" si="198"/>
        <v>9.0786542094554834E-2</v>
      </c>
      <c r="AA101" s="84">
        <f t="shared" si="199"/>
        <v>1.0808128535848116E-2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3.1691767259683479E-2</v>
      </c>
      <c r="F102" s="84">
        <f t="shared" si="178"/>
        <v>3.8776014250109014E-2</v>
      </c>
      <c r="G102" s="84">
        <f t="shared" si="179"/>
        <v>1.9389742285158995E-2</v>
      </c>
      <c r="H102" s="84">
        <f t="shared" si="180"/>
        <v>3.7177685559368401E-2</v>
      </c>
      <c r="I102" s="84">
        <f t="shared" si="181"/>
        <v>4.7363142216220622E-2</v>
      </c>
      <c r="J102" s="84">
        <f t="shared" si="182"/>
        <v>4.3227604015867005E-2</v>
      </c>
      <c r="K102" s="84">
        <f t="shared" si="183"/>
        <v>4.0630641349644669E-2</v>
      </c>
      <c r="L102" s="84">
        <f t="shared" si="184"/>
        <v>2.2262390838932777E-2</v>
      </c>
      <c r="M102" s="84">
        <f t="shared" si="185"/>
        <v>-4.3706222390624383E-2</v>
      </c>
      <c r="N102" s="84">
        <f t="shared" si="186"/>
        <v>1.8127724939915213E-2</v>
      </c>
      <c r="O102" s="84">
        <f t="shared" si="187"/>
        <v>4.8586147054082929E-2</v>
      </c>
      <c r="P102" s="84">
        <f t="shared" si="188"/>
        <v>3.5833379289675893E-3</v>
      </c>
      <c r="Q102" s="84">
        <f t="shared" si="189"/>
        <v>2.4611700074018472E-2</v>
      </c>
      <c r="R102" s="84">
        <f t="shared" si="190"/>
        <v>1.2553098666081342E-2</v>
      </c>
      <c r="S102" s="84">
        <f t="shared" si="191"/>
        <v>1.7949195717894106E-2</v>
      </c>
      <c r="T102" s="84">
        <f t="shared" si="192"/>
        <v>2.080354862196776E-2</v>
      </c>
      <c r="U102" s="84">
        <f t="shared" si="193"/>
        <v>3.8381339240417534E-2</v>
      </c>
      <c r="V102" s="84">
        <f t="shared" si="194"/>
        <v>3.0678215396774178E-2</v>
      </c>
      <c r="W102" s="84">
        <f t="shared" si="195"/>
        <v>3.2882049382069622E-2</v>
      </c>
      <c r="X102" s="84">
        <f t="shared" si="196"/>
        <v>-3.7861517970777081E-2</v>
      </c>
      <c r="Y102" s="84">
        <f t="shared" si="197"/>
        <v>4.3757995337642352E-2</v>
      </c>
      <c r="Z102" s="84">
        <f t="shared" si="198"/>
        <v>2.4428550789068915E-2</v>
      </c>
      <c r="AA102" s="84">
        <f t="shared" si="199"/>
        <v>1.6639879721364936E-2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7.1192464900038388E-3</v>
      </c>
      <c r="F103" s="84">
        <f t="shared" si="178"/>
        <v>2.0196785796930738E-2</v>
      </c>
      <c r="G103" s="84">
        <f t="shared" si="179"/>
        <v>2.6187405511948203E-3</v>
      </c>
      <c r="H103" s="84">
        <f t="shared" si="180"/>
        <v>2.3109541612098106E-2</v>
      </c>
      <c r="I103" s="84">
        <f t="shared" si="181"/>
        <v>2.364668443083473E-2</v>
      </c>
      <c r="J103" s="84">
        <f t="shared" si="182"/>
        <v>3.4219654401204336E-2</v>
      </c>
      <c r="K103" s="84">
        <f t="shared" si="183"/>
        <v>4.4562772111562232E-2</v>
      </c>
      <c r="L103" s="84">
        <f t="shared" si="184"/>
        <v>1.5617892546023526E-2</v>
      </c>
      <c r="M103" s="84">
        <f t="shared" si="185"/>
        <v>-3.324125952562651E-2</v>
      </c>
      <c r="N103" s="84">
        <f t="shared" si="186"/>
        <v>4.6852892884792663E-2</v>
      </c>
      <c r="O103" s="84">
        <f t="shared" si="187"/>
        <v>3.4320539216326162E-2</v>
      </c>
      <c r="P103" s="84">
        <f t="shared" si="188"/>
        <v>-1.2552766962976136E-2</v>
      </c>
      <c r="Q103" s="84">
        <f t="shared" si="189"/>
        <v>-4.3587676112779583E-2</v>
      </c>
      <c r="R103" s="84">
        <f t="shared" si="190"/>
        <v>1.3056297515990911E-2</v>
      </c>
      <c r="S103" s="84">
        <f t="shared" si="191"/>
        <v>3.4192938282551211E-3</v>
      </c>
      <c r="T103" s="84">
        <f t="shared" si="192"/>
        <v>-6.8966825368256268E-3</v>
      </c>
      <c r="U103" s="84">
        <f t="shared" si="193"/>
        <v>-2.1252521570810368E-3</v>
      </c>
      <c r="V103" s="84">
        <f t="shared" si="194"/>
        <v>6.2575552602343043E-2</v>
      </c>
      <c r="W103" s="84">
        <f t="shared" si="195"/>
        <v>3.1158968912290419E-3</v>
      </c>
      <c r="X103" s="84">
        <f t="shared" si="196"/>
        <v>-4.5771737821937442E-2</v>
      </c>
      <c r="Y103" s="84">
        <f t="shared" si="197"/>
        <v>8.3030729457789221E-2</v>
      </c>
      <c r="Z103" s="84">
        <f t="shared" si="198"/>
        <v>0.13558290140579476</v>
      </c>
      <c r="AA103" s="84">
        <f t="shared" si="199"/>
        <v>-0.1243397561018651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-3.1454392490957384E-2</v>
      </c>
      <c r="F104" s="83">
        <f t="shared" si="178"/>
        <v>-6.2906234468556921E-2</v>
      </c>
      <c r="G104" s="83">
        <f t="shared" si="179"/>
        <v>2.3683865474616983E-2</v>
      </c>
      <c r="H104" s="83">
        <f t="shared" si="180"/>
        <v>3.3402647505323291E-2</v>
      </c>
      <c r="I104" s="83">
        <f t="shared" si="181"/>
        <v>5.0255399489941288E-2</v>
      </c>
      <c r="J104" s="83">
        <f t="shared" si="182"/>
        <v>-4.990413195823229E-2</v>
      </c>
      <c r="K104" s="83">
        <f t="shared" si="183"/>
        <v>-5.9114693053542999E-2</v>
      </c>
      <c r="L104" s="83">
        <f t="shared" si="184"/>
        <v>7.4581038858933191E-2</v>
      </c>
      <c r="M104" s="83">
        <f t="shared" si="185"/>
        <v>-2.0511458862811582E-2</v>
      </c>
      <c r="N104" s="83">
        <f t="shared" si="186"/>
        <v>-4.1350919178699153E-2</v>
      </c>
      <c r="O104" s="83">
        <f t="shared" si="187"/>
        <v>-4.8195103051685617E-2</v>
      </c>
      <c r="P104" s="83">
        <f t="shared" si="188"/>
        <v>1.4424745339037814E-2</v>
      </c>
      <c r="Q104" s="83">
        <f t="shared" si="189"/>
        <v>-2.2574032637001307E-2</v>
      </c>
      <c r="R104" s="83">
        <f t="shared" si="190"/>
        <v>-0.10818209099847098</v>
      </c>
      <c r="S104" s="83">
        <f t="shared" si="191"/>
        <v>-3.7696612957967446E-2</v>
      </c>
      <c r="T104" s="83">
        <f t="shared" si="192"/>
        <v>7.5954459287349119E-2</v>
      </c>
      <c r="U104" s="83">
        <f t="shared" si="193"/>
        <v>-3.4228572748014163E-2</v>
      </c>
      <c r="V104" s="83">
        <f t="shared" si="194"/>
        <v>2.7178157577875561E-2</v>
      </c>
      <c r="W104" s="83">
        <f t="shared" si="195"/>
        <v>6.5714350452300785E-2</v>
      </c>
      <c r="X104" s="83">
        <f t="shared" si="196"/>
        <v>-1.9617638906453738E-2</v>
      </c>
      <c r="Y104" s="83">
        <f t="shared" si="197"/>
        <v>3.3930791156375761E-2</v>
      </c>
      <c r="Z104" s="83">
        <f t="shared" si="198"/>
        <v>0.34667595622829639</v>
      </c>
      <c r="AA104" s="83">
        <f t="shared" si="199"/>
        <v>0.40034654725252006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-4.3040213915966019E-2</v>
      </c>
      <c r="F105" s="83">
        <f t="shared" si="178"/>
        <v>-3.1354313874114581E-3</v>
      </c>
      <c r="G105" s="83">
        <f t="shared" si="179"/>
        <v>5.4432758447869212E-2</v>
      </c>
      <c r="H105" s="83">
        <f t="shared" si="180"/>
        <v>1.9024308705166915E-2</v>
      </c>
      <c r="I105" s="83">
        <f t="shared" si="181"/>
        <v>-7.4785834368920057E-3</v>
      </c>
      <c r="J105" s="83">
        <f t="shared" si="182"/>
        <v>-5.177915494888774E-3</v>
      </c>
      <c r="K105" s="83">
        <f t="shared" si="183"/>
        <v>6.5501694936169308E-2</v>
      </c>
      <c r="L105" s="83">
        <f t="shared" si="184"/>
        <v>3.9847870877587344E-2</v>
      </c>
      <c r="M105" s="83">
        <f t="shared" si="185"/>
        <v>-4.5856603386716377E-2</v>
      </c>
      <c r="N105" s="83">
        <f t="shared" si="186"/>
        <v>-4.264768059532309E-2</v>
      </c>
      <c r="O105" s="83">
        <f t="shared" si="187"/>
        <v>-1.6562115176200209E-2</v>
      </c>
      <c r="P105" s="83">
        <f t="shared" si="188"/>
        <v>2.1074132672310286E-2</v>
      </c>
      <c r="Q105" s="83">
        <f t="shared" si="189"/>
        <v>1.8103958360963901E-2</v>
      </c>
      <c r="R105" s="83">
        <f t="shared" si="190"/>
        <v>2.2044698053207412E-3</v>
      </c>
      <c r="S105" s="83">
        <f t="shared" si="191"/>
        <v>-5.4832885427196221E-3</v>
      </c>
      <c r="T105" s="83">
        <f t="shared" si="192"/>
        <v>2.3823223148862649E-2</v>
      </c>
      <c r="U105" s="83">
        <f t="shared" si="193"/>
        <v>5.2717352719118926E-2</v>
      </c>
      <c r="V105" s="83">
        <f t="shared" si="194"/>
        <v>3.9182590527323313E-2</v>
      </c>
      <c r="W105" s="83">
        <f t="shared" si="195"/>
        <v>2.3618982774453068E-2</v>
      </c>
      <c r="X105" s="83">
        <f t="shared" si="196"/>
        <v>7.2739698910326833E-3</v>
      </c>
      <c r="Y105" s="83">
        <f t="shared" si="197"/>
        <v>1.2595853171468052E-2</v>
      </c>
      <c r="Z105" s="83">
        <f t="shared" si="198"/>
        <v>3.2269970816659388E-2</v>
      </c>
      <c r="AA105" s="83">
        <f t="shared" si="199"/>
        <v>-2.9441673255151679E-3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2.9177242718990248E-2</v>
      </c>
      <c r="F106" s="83">
        <f t="shared" si="178"/>
        <v>-9.4393545012712021E-3</v>
      </c>
      <c r="G106" s="83">
        <f t="shared" si="179"/>
        <v>-5.8151576267463367E-3</v>
      </c>
      <c r="H106" s="83">
        <f t="shared" si="180"/>
        <v>2.2667123516326715E-2</v>
      </c>
      <c r="I106" s="83">
        <f t="shared" si="181"/>
        <v>2.547919881831251E-2</v>
      </c>
      <c r="J106" s="83">
        <f t="shared" si="182"/>
        <v>6.787045741692288E-2</v>
      </c>
      <c r="K106" s="83">
        <f t="shared" si="183"/>
        <v>4.9735089552790823E-2</v>
      </c>
      <c r="L106" s="83">
        <f t="shared" si="184"/>
        <v>-2.5178522984061424E-2</v>
      </c>
      <c r="M106" s="83">
        <f t="shared" si="185"/>
        <v>-9.5823742726005134E-2</v>
      </c>
      <c r="N106" s="83">
        <f t="shared" si="186"/>
        <v>2.6247046374939798E-2</v>
      </c>
      <c r="O106" s="83">
        <f t="shared" si="187"/>
        <v>4.5345603777298793E-2</v>
      </c>
      <c r="P106" s="83">
        <f t="shared" si="188"/>
        <v>6.1630480688290579E-3</v>
      </c>
      <c r="Q106" s="83">
        <f t="shared" si="189"/>
        <v>-6.3566387541516001E-3</v>
      </c>
      <c r="R106" s="83">
        <f t="shared" si="190"/>
        <v>1.2936380420471849E-2</v>
      </c>
      <c r="S106" s="83">
        <f t="shared" si="191"/>
        <v>1.3652230254679321E-2</v>
      </c>
      <c r="T106" s="83">
        <f t="shared" si="192"/>
        <v>3.9719556881338436E-2</v>
      </c>
      <c r="U106" s="83">
        <f t="shared" si="193"/>
        <v>1.2905419815182118E-2</v>
      </c>
      <c r="V106" s="83">
        <f t="shared" si="194"/>
        <v>1.6284538340345156E-2</v>
      </c>
      <c r="W106" s="83">
        <f t="shared" si="195"/>
        <v>1.2886679658996592E-4</v>
      </c>
      <c r="X106" s="83">
        <f t="shared" si="196"/>
        <v>-8.7590559936423729E-2</v>
      </c>
      <c r="Y106" s="83">
        <f t="shared" si="197"/>
        <v>6.8807462448828627E-2</v>
      </c>
      <c r="Z106" s="83">
        <f t="shared" si="198"/>
        <v>4.4132172384525603E-3</v>
      </c>
      <c r="AA106" s="83">
        <f t="shared" si="199"/>
        <v>-3.8224143697907387E-2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8.6664291441056251E-2</v>
      </c>
      <c r="F107" s="87">
        <f t="shared" ref="F107:F108" si="201">IF(E33=0,"",F33/E33-1)</f>
        <v>-0.11500560135713633</v>
      </c>
      <c r="G107" s="87">
        <f t="shared" ref="G107:G108" si="202">IF(F33=0,"",G33/F33-1)</f>
        <v>2.5519264528502061E-2</v>
      </c>
      <c r="H107" s="87">
        <f t="shared" ref="H107:H108" si="203">IF(G33=0,"",H33/G33-1)</f>
        <v>0.13374895764310302</v>
      </c>
      <c r="I107" s="87">
        <f t="shared" ref="I107:I108" si="204">IF(H33=0,"",I33/H33-1)</f>
        <v>0.18451403701059577</v>
      </c>
      <c r="J107" s="87">
        <f t="shared" ref="J107:J108" si="205">IF(I33=0,"",J33/I33-1)</f>
        <v>5.5652982100325321E-2</v>
      </c>
      <c r="K107" s="87">
        <f t="shared" ref="K107:K108" si="206">IF(J33=0,"",K33/J33-1)</f>
        <v>6.9021981162521451E-2</v>
      </c>
      <c r="L107" s="87">
        <f t="shared" ref="L107:L108" si="207">IF(K33=0,"",L33/K33-1)</f>
        <v>-1.0351172750748927E-2</v>
      </c>
      <c r="M107" s="87">
        <f t="shared" ref="M107:M108" si="208">IF(L33=0,"",M33/L33-1)</f>
        <v>-0.25093064431852297</v>
      </c>
      <c r="N107" s="87">
        <f t="shared" ref="N107:N108" si="209">IF(M33=0,"",N33/M33-1)</f>
        <v>9.6578268166756853E-2</v>
      </c>
      <c r="O107" s="87">
        <f t="shared" ref="O107:O108" si="210">IF(N33=0,"",O33/N33-1)</f>
        <v>5.9331713198440994E-2</v>
      </c>
      <c r="P107" s="87">
        <f t="shared" ref="P107:P108" si="211">IF(O33=0,"",P33/O33-1)</f>
        <v>2.1236743251221268E-2</v>
      </c>
      <c r="Q107" s="87">
        <f t="shared" ref="Q107:Q108" si="212">IF(P33=0,"",Q33/P33-1)</f>
        <v>-9.3927496649774844E-2</v>
      </c>
      <c r="R107" s="87">
        <f t="shared" ref="R107:R108" si="213">IF(Q33=0,"",R33/Q33-1)</f>
        <v>2.8286060329168805E-2</v>
      </c>
      <c r="S107" s="87">
        <f t="shared" ref="S107:S108" si="214">IF(R33=0,"",S33/R33-1)</f>
        <v>0.12453125937820841</v>
      </c>
      <c r="T107" s="87">
        <f t="shared" ref="T107:T108" si="215">IF(S33=0,"",T33/S33-1)</f>
        <v>-8.326979766559961E-2</v>
      </c>
      <c r="U107" s="87">
        <f t="shared" ref="U107:U108" si="216">IF(T33=0,"",U33/T33-1)</f>
        <v>6.6702683248013761E-2</v>
      </c>
      <c r="V107" s="87">
        <f t="shared" ref="V107:V108" si="217">IF(U33=0,"",V33/U33-1)</f>
        <v>5.8736122530191448E-2</v>
      </c>
      <c r="W107" s="87">
        <f t="shared" ref="W107:W108" si="218">IF(V33=0,"",W33/V33-1)</f>
        <v>-7.5414836502340266E-2</v>
      </c>
      <c r="X107" s="87">
        <f t="shared" ref="X107:X108" si="219">IF(W33=0,"",X33/W33-1)</f>
        <v>-0.18891825249870542</v>
      </c>
      <c r="Y107" s="87">
        <f t="shared" ref="Y107:Y108" si="220">IF(X33=0,"",Y33/X33-1)</f>
        <v>7.6397467462241408E-3</v>
      </c>
      <c r="Z107" s="87">
        <f t="shared" si="198"/>
        <v>0.31912632293614962</v>
      </c>
      <c r="AA107" s="87">
        <f t="shared" si="199"/>
        <v>-3.0675445416577074E-2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8.6664291441056251E-2</v>
      </c>
      <c r="F108" s="89">
        <f t="shared" si="201"/>
        <v>-0.11500560135713633</v>
      </c>
      <c r="G108" s="89">
        <f t="shared" si="202"/>
        <v>2.5519264528502061E-2</v>
      </c>
      <c r="H108" s="89">
        <f t="shared" si="203"/>
        <v>0.13374895764310302</v>
      </c>
      <c r="I108" s="89">
        <f t="shared" si="204"/>
        <v>0.18451403701059577</v>
      </c>
      <c r="J108" s="89">
        <f t="shared" si="205"/>
        <v>5.5652982100325099E-2</v>
      </c>
      <c r="K108" s="89">
        <f t="shared" si="206"/>
        <v>6.9021981162521451E-2</v>
      </c>
      <c r="L108" s="89">
        <f t="shared" si="207"/>
        <v>-1.0351172750748927E-2</v>
      </c>
      <c r="M108" s="89">
        <f t="shared" si="208"/>
        <v>-0.25163336420961901</v>
      </c>
      <c r="N108" s="89">
        <f t="shared" si="209"/>
        <v>-2.5937151435294958E-2</v>
      </c>
      <c r="O108" s="89">
        <f t="shared" si="210"/>
        <v>7.6003019255722171E-2</v>
      </c>
      <c r="P108" s="89">
        <f t="shared" si="211"/>
        <v>2.5017366774891192E-2</v>
      </c>
      <c r="Q108" s="89">
        <f t="shared" si="212"/>
        <v>-6.9567042052771866E-2</v>
      </c>
      <c r="R108" s="89">
        <f t="shared" si="213"/>
        <v>-8.6943428261665456E-4</v>
      </c>
      <c r="S108" s="89">
        <f t="shared" si="214"/>
        <v>0.14630804564792221</v>
      </c>
      <c r="T108" s="89">
        <f t="shared" si="215"/>
        <v>-0.11604122964814456</v>
      </c>
      <c r="U108" s="89">
        <f t="shared" si="216"/>
        <v>7.0244654656013594E-2</v>
      </c>
      <c r="V108" s="89">
        <f t="shared" si="217"/>
        <v>0.13844562164197116</v>
      </c>
      <c r="W108" s="89">
        <f t="shared" si="218"/>
        <v>-9.0474303508132348E-2</v>
      </c>
      <c r="X108" s="89">
        <f t="shared" si="219"/>
        <v>-0.17928565297984722</v>
      </c>
      <c r="Y108" s="89">
        <f t="shared" si="220"/>
        <v>-1.5617944036162457E-2</v>
      </c>
      <c r="Z108" s="89">
        <f t="shared" si="198"/>
        <v>0.35108526551815955</v>
      </c>
      <c r="AA108" s="89">
        <f t="shared" si="199"/>
        <v>-5.9079035689676651E-2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8.6664291441056474E-2</v>
      </c>
      <c r="F109" s="89">
        <f t="shared" ref="F109" si="222">IF(E37=0,"",F37/E37-1)</f>
        <v>-0.11500560135713656</v>
      </c>
      <c r="G109" s="89">
        <f t="shared" ref="G109" si="223">IF(F37=0,"",G37/F37-1)</f>
        <v>2.5519264528502061E-2</v>
      </c>
      <c r="H109" s="89">
        <f t="shared" ref="H109" si="224">IF(G37=0,"",H37/G37-1)</f>
        <v>0.13374895764310302</v>
      </c>
      <c r="I109" s="89">
        <f t="shared" ref="I109" si="225">IF(H37=0,"",I37/H37-1)</f>
        <v>0.18451403701059577</v>
      </c>
      <c r="J109" s="89">
        <f t="shared" ref="J109" si="226">IF(I37=0,"",J37/I37-1)</f>
        <v>5.5652982100325321E-2</v>
      </c>
      <c r="K109" s="89">
        <f t="shared" ref="K109" si="227">IF(J37=0,"",K37/J37-1)</f>
        <v>6.9021981162521007E-2</v>
      </c>
      <c r="L109" s="89">
        <f t="shared" ref="L109" si="228">IF(K37=0,"",L37/K37-1)</f>
        <v>-1.0351172750748927E-2</v>
      </c>
      <c r="M109" s="89">
        <f t="shared" ref="M109" si="229">IF(L37=0,"",M37/L37-1)</f>
        <v>-0.24878090588562429</v>
      </c>
      <c r="N109" s="89">
        <f t="shared" ref="N109" si="230">IF(M37=0,"",N37/M37-1)</f>
        <v>0.46995042191520175</v>
      </c>
      <c r="O109" s="89">
        <f t="shared" ref="O109" si="231">IF(N37=0,"",O37/N37-1)</f>
        <v>2.5664661194900296E-2</v>
      </c>
      <c r="P109" s="89">
        <f t="shared" ref="P109" si="232">IF(O37=0,"",P37/O37-1)</f>
        <v>1.3227213937449855E-2</v>
      </c>
      <c r="Q109" s="89">
        <f t="shared" ref="Q109" si="233">IF(P37=0,"",Q37/P37-1)</f>
        <v>-0.14613745289647362</v>
      </c>
      <c r="R109" s="89">
        <f t="shared" ref="R109" si="234">IF(Q37=0,"",R37/Q37-1)</f>
        <v>9.6376396019174582E-2</v>
      </c>
      <c r="S109" s="89">
        <f t="shared" ref="S109" si="235">IF(R37=0,"",S37/R37-1)</f>
        <v>7.8184281693530089E-2</v>
      </c>
      <c r="T109" s="89">
        <f t="shared" ref="T109" si="236">IF(S37=0,"",T37/S37-1)</f>
        <v>-9.1163422322014798E-3</v>
      </c>
      <c r="U109" s="89">
        <f t="shared" ref="U109" si="237">IF(T37=0,"",U37/T37-1)</f>
        <v>5.9552941274261029E-2</v>
      </c>
      <c r="V109" s="89">
        <f t="shared" ref="V109" si="238">IF(U37=0,"",V37/U37-1)</f>
        <v>-0.10378724178835774</v>
      </c>
      <c r="W109" s="89">
        <f t="shared" ref="W109" si="239">IF(V37=0,"",W37/V37-1)</f>
        <v>-3.6410176714336218E-2</v>
      </c>
      <c r="X109" s="89">
        <f t="shared" ref="X109" si="240">IF(W37=0,"",X37/W37-1)</f>
        <v>-0.21246729027446698</v>
      </c>
      <c r="Y109" s="89">
        <f t="shared" ref="Y109" si="241">IF(X37=0,"",Y37/X37-1)</f>
        <v>6.6894020330399151E-2</v>
      </c>
      <c r="Z109" s="89">
        <f t="shared" ref="Z109" si="242">IF(Y37=0,"",Z37/Y37-1)</f>
        <v>0.24400073304839554</v>
      </c>
      <c r="AA109" s="89">
        <f t="shared" ref="AA109" si="243">IF(Z37=0,"",AA37/Z37-1)</f>
        <v>4.1840056008498605E-2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6.1266133474806361E-2</v>
      </c>
      <c r="F110" s="89">
        <f t="shared" ref="F110:F111" si="245">IF(E43=0,"",F43/E43-1)</f>
        <v>-5.6566680568900574E-2</v>
      </c>
      <c r="G110" s="89">
        <f t="shared" ref="G110:G111" si="246">IF(F43=0,"",G43/F43-1)</f>
        <v>4.1422557472602817E-2</v>
      </c>
      <c r="H110" s="89">
        <f t="shared" ref="H110:H111" si="247">IF(G43=0,"",H43/G43-1)</f>
        <v>-4.0784541083499048E-2</v>
      </c>
      <c r="I110" s="89">
        <f t="shared" ref="I110:I111" si="248">IF(H43=0,"",I43/H43-1)</f>
        <v>0.11381549054762563</v>
      </c>
      <c r="J110" s="89">
        <f t="shared" ref="J110:J111" si="249">IF(I43=0,"",J43/I43-1)</f>
        <v>9.0132776356293132E-2</v>
      </c>
      <c r="K110" s="89">
        <f t="shared" ref="K110:K111" si="250">IF(J43=0,"",K43/J43-1)</f>
        <v>9.718739977032631E-2</v>
      </c>
      <c r="L110" s="89">
        <f t="shared" ref="L110:L111" si="251">IF(K43=0,"",L43/K43-1)</f>
        <v>-0.10632842162607448</v>
      </c>
      <c r="M110" s="89">
        <f t="shared" ref="M110:M111" si="252">IF(L43=0,"",M43/L43-1)</f>
        <v>6.3648457954087245E-2</v>
      </c>
      <c r="N110" s="89">
        <f t="shared" ref="N110:N111" si="253">IF(M43=0,"",N43/M43-1)</f>
        <v>1.9198255859197655E-2</v>
      </c>
      <c r="O110" s="89">
        <f t="shared" ref="O110:O111" si="254">IF(N43=0,"",O43/N43-1)</f>
        <v>4.7963701284377436E-2</v>
      </c>
      <c r="P110" s="89">
        <f t="shared" ref="P110:P111" si="255">IF(O43=0,"",P43/O43-1)</f>
        <v>-6.6593833034280459E-2</v>
      </c>
      <c r="Q110" s="89">
        <f t="shared" ref="Q110:Q111" si="256">IF(P43=0,"",Q43/P43-1)</f>
        <v>7.0294742771084051E-2</v>
      </c>
      <c r="R110" s="89">
        <f t="shared" ref="R110:R111" si="257">IF(Q43=0,"",R43/Q43-1)</f>
        <v>7.2969689376422231E-2</v>
      </c>
      <c r="S110" s="89">
        <f t="shared" ref="S110:S111" si="258">IF(R43=0,"",S43/R43-1)</f>
        <v>7.6264097149567611E-2</v>
      </c>
      <c r="T110" s="89">
        <f t="shared" ref="T110:T111" si="259">IF(S43=0,"",T43/S43-1)</f>
        <v>0.15470320142499849</v>
      </c>
      <c r="U110" s="89">
        <f t="shared" ref="U110:U111" si="260">IF(T43=0,"",U43/T43-1)</f>
        <v>-4.3009812821939719E-2</v>
      </c>
      <c r="V110" s="89">
        <f t="shared" ref="V110:V111" si="261">IF(U43=0,"",V43/U43-1)</f>
        <v>-7.1607544675600376E-2</v>
      </c>
      <c r="W110" s="89">
        <f t="shared" ref="W110:W111" si="262">IF(V43=0,"",W43/V43-1)</f>
        <v>2.7980538724134529E-2</v>
      </c>
      <c r="X110" s="89">
        <f t="shared" ref="X110:X111" si="263">IF(W43=0,"",X43/W43-1)</f>
        <v>-9.167640132513255E-3</v>
      </c>
      <c r="Y110" s="89">
        <f t="shared" ref="Y110:Y111" si="264">IF(X43=0,"",Y43/X43-1)</f>
        <v>0.11460038762793068</v>
      </c>
      <c r="Z110" s="89">
        <f t="shared" ref="Z110:Z111" si="265">IF(Y43=0,"",Z43/Y43-1)</f>
        <v>-0.15552391503441532</v>
      </c>
      <c r="AA110" s="89">
        <f t="shared" ref="AA110:AA111" si="266">IF(Z43=0,"",AA43/Z43-1)</f>
        <v>-0.17563962982164349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0.16938637457156824</v>
      </c>
      <c r="F111" s="89">
        <f t="shared" si="245"/>
        <v>-0.1025694876844343</v>
      </c>
      <c r="G111" s="89">
        <f t="shared" si="246"/>
        <v>2.1067167890742589E-2</v>
      </c>
      <c r="H111" s="89">
        <f t="shared" si="247"/>
        <v>-9.745980587696712E-3</v>
      </c>
      <c r="I111" s="89">
        <f t="shared" si="248"/>
        <v>-6.5563872545565394E-3</v>
      </c>
      <c r="J111" s="89">
        <f t="shared" si="249"/>
        <v>0.16499224776926491</v>
      </c>
      <c r="K111" s="89">
        <f t="shared" si="250"/>
        <v>4.9541478128546146E-2</v>
      </c>
      <c r="L111" s="89">
        <f t="shared" si="251"/>
        <v>-5.5138095339995474E-2</v>
      </c>
      <c r="M111" s="89">
        <f t="shared" si="252"/>
        <v>-4.09329698090376E-2</v>
      </c>
      <c r="N111" s="89">
        <f t="shared" si="253"/>
        <v>1.135077371854698E-2</v>
      </c>
      <c r="O111" s="89">
        <f t="shared" si="254"/>
        <v>8.6746391398890399E-2</v>
      </c>
      <c r="P111" s="89">
        <f t="shared" si="255"/>
        <v>-0.14035159410664122</v>
      </c>
      <c r="Q111" s="89">
        <f t="shared" si="256"/>
        <v>0.11829700639604779</v>
      </c>
      <c r="R111" s="89">
        <f t="shared" si="257"/>
        <v>8.3454554781502654E-2</v>
      </c>
      <c r="S111" s="89">
        <f t="shared" si="258"/>
        <v>0.13454696692553325</v>
      </c>
      <c r="T111" s="89">
        <f t="shared" si="259"/>
        <v>0.23216011201848419</v>
      </c>
      <c r="U111" s="89">
        <f t="shared" si="260"/>
        <v>-9.6485571358068123E-2</v>
      </c>
      <c r="V111" s="89">
        <f t="shared" si="261"/>
        <v>-7.9046723742578595E-2</v>
      </c>
      <c r="W111" s="89">
        <f t="shared" si="262"/>
        <v>-3.4778291672178607E-2</v>
      </c>
      <c r="X111" s="89">
        <f t="shared" si="263"/>
        <v>1.1784187761507692E-3</v>
      </c>
      <c r="Y111" s="89">
        <f t="shared" si="264"/>
        <v>0.2515068016967037</v>
      </c>
      <c r="Z111" s="89">
        <f t="shared" si="265"/>
        <v>-0.23282775319140758</v>
      </c>
      <c r="AA111" s="89">
        <f t="shared" si="266"/>
        <v>-0.37060328484797367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-9.2657680096075778E-2</v>
      </c>
      <c r="F112" s="89">
        <f t="shared" ref="F112:F113" si="268">IF(E47=0,"",F47/E47-1)</f>
        <v>2.7838675123838419E-2</v>
      </c>
      <c r="G112" s="89">
        <f t="shared" ref="G112:G113" si="269">IF(F47=0,"",G47/F47-1)</f>
        <v>7.4031819157952983E-2</v>
      </c>
      <c r="H112" s="89">
        <f t="shared" ref="H112:H113" si="270">IF(G47=0,"",H47/G47-1)</f>
        <v>-8.8056138944584639E-2</v>
      </c>
      <c r="I112" s="89">
        <f t="shared" ref="I112:I113" si="271">IF(H47=0,"",I47/H47-1)</f>
        <v>0.3128838587074918</v>
      </c>
      <c r="J112" s="89">
        <f t="shared" ref="J112:J113" si="272">IF(I47=0,"",J47/I47-1)</f>
        <v>-3.5459311192587162E-3</v>
      </c>
      <c r="K112" s="89">
        <f t="shared" ref="K112:K113" si="273">IF(J47=0,"",K47/J47-1)</f>
        <v>0.1668958803267595</v>
      </c>
      <c r="L112" s="89">
        <f t="shared" ref="L112:L113" si="274">IF(K47=0,"",L47/K47-1)</f>
        <v>-0.17369046957139178</v>
      </c>
      <c r="M112" s="89">
        <f t="shared" ref="M112:M113" si="275">IF(L47=0,"",M47/L47-1)</f>
        <v>0.22101323415601892</v>
      </c>
      <c r="N112" s="89">
        <f t="shared" ref="N112:N113" si="276">IF(M47=0,"",N47/M47-1)</f>
        <v>2.8473212504573242E-2</v>
      </c>
      <c r="O112" s="89">
        <f t="shared" ref="O112:O113" si="277">IF(N47=0,"",O47/N47-1)</f>
        <v>2.8894720778120941E-3</v>
      </c>
      <c r="P112" s="89">
        <f t="shared" ref="P112:P113" si="278">IF(O47=0,"",P47/O47-1)</f>
        <v>2.629708143601972E-2</v>
      </c>
      <c r="Q112" s="89">
        <f t="shared" ref="Q112:Q113" si="279">IF(P47=0,"",Q47/P47-1)</f>
        <v>1.9656922944164101E-2</v>
      </c>
      <c r="R112" s="89">
        <f t="shared" ref="R112:R113" si="280">IF(Q47=0,"",R47/Q47-1)</f>
        <v>6.0839174595669343E-2</v>
      </c>
      <c r="S112" s="89">
        <f t="shared" ref="S112:S113" si="281">IF(R47=0,"",S47/R47-1)</f>
        <v>7.3959418669646837E-3</v>
      </c>
      <c r="T112" s="89">
        <f t="shared" ref="T112:T113" si="282">IF(S47=0,"",T47/S47-1)</f>
        <v>5.1626627418797977E-2</v>
      </c>
      <c r="U112" s="89">
        <f t="shared" ref="U112:U113" si="283">IF(T47=0,"",U47/T47-1)</f>
        <v>4.037027140602456E-2</v>
      </c>
      <c r="V112" s="89">
        <f t="shared" ref="V112:V113" si="284">IF(U47=0,"",V47/U47-1)</f>
        <v>-6.1534110632043837E-2</v>
      </c>
      <c r="W112" s="89">
        <f t="shared" ref="W112:W113" si="285">IF(V47=0,"",W47/V47-1)</f>
        <v>0.11137678078001878</v>
      </c>
      <c r="X112" s="89">
        <f t="shared" ref="X112:X113" si="286">IF(W47=0,"",X47/W47-1)</f>
        <v>-2.1107860674948964E-2</v>
      </c>
      <c r="Y112" s="89">
        <f t="shared" ref="Y112:Y113" si="287">IF(X47=0,"",Y47/X47-1)</f>
        <v>-4.6998302194470654E-2</v>
      </c>
      <c r="Z112" s="89">
        <f t="shared" ref="Z112:Z113" si="288">IF(Y47=0,"",Z47/Y47-1)</f>
        <v>-3.5696928599438627E-2</v>
      </c>
      <c r="AA112" s="89">
        <f t="shared" ref="AA112:AA113" si="289">IF(Z47=0,"",AA47/Z47-1)</f>
        <v>6.4789215894443197E-2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-1.6013522879186559E-2</v>
      </c>
      <c r="F113" s="89">
        <f t="shared" si="268"/>
        <v>-1.2053086191599172E-2</v>
      </c>
      <c r="G113" s="89">
        <f t="shared" si="269"/>
        <v>3.3735910378051681E-2</v>
      </c>
      <c r="H113" s="89">
        <f t="shared" si="270"/>
        <v>6.9620839030246628E-3</v>
      </c>
      <c r="I113" s="89">
        <f t="shared" si="271"/>
        <v>2.943423677392909E-2</v>
      </c>
      <c r="J113" s="89">
        <f t="shared" si="272"/>
        <v>3.1006403665305271E-2</v>
      </c>
      <c r="K113" s="89">
        <f t="shared" si="273"/>
        <v>3.0931934445106668E-2</v>
      </c>
      <c r="L113" s="89">
        <f t="shared" si="274"/>
        <v>-0.10022424557413967</v>
      </c>
      <c r="M113" s="89">
        <f t="shared" si="275"/>
        <v>-0.13103011060865599</v>
      </c>
      <c r="N113" s="89">
        <f t="shared" si="276"/>
        <v>4.7615901748160105E-2</v>
      </c>
      <c r="O113" s="89">
        <f t="shared" si="277"/>
        <v>-1.9786505519615138E-2</v>
      </c>
      <c r="P113" s="89">
        <f t="shared" si="278"/>
        <v>-2.3916986760530667E-2</v>
      </c>
      <c r="Q113" s="89">
        <f t="shared" si="279"/>
        <v>9.3183101985871986E-4</v>
      </c>
      <c r="R113" s="89">
        <f t="shared" si="280"/>
        <v>2.0556161694994968E-2</v>
      </c>
      <c r="S113" s="89">
        <f t="shared" si="281"/>
        <v>-4.4440577011848004E-2</v>
      </c>
      <c r="T113" s="89">
        <f t="shared" si="282"/>
        <v>1.2878386361517835E-2</v>
      </c>
      <c r="U113" s="89">
        <f t="shared" si="283"/>
        <v>2.3487693933159415E-2</v>
      </c>
      <c r="V113" s="89">
        <f t="shared" si="284"/>
        <v>-3.5589747638013813E-2</v>
      </c>
      <c r="W113" s="89">
        <f t="shared" si="285"/>
        <v>6.4908166797056133E-2</v>
      </c>
      <c r="X113" s="89">
        <f t="shared" si="286"/>
        <v>-0.12910266936855763</v>
      </c>
      <c r="Y113" s="89">
        <f t="shared" si="287"/>
        <v>3.2717288483204321E-2</v>
      </c>
      <c r="Z113" s="89">
        <f t="shared" si="288"/>
        <v>-4.7301324976370185E-2</v>
      </c>
      <c r="AA113" s="89">
        <f t="shared" si="289"/>
        <v>-0.10566424824165754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8.8793737225578706E-3</v>
      </c>
      <c r="F114" s="89">
        <f t="shared" ref="F114:F115" si="291">IF(E52=0,"",F52/E52-1)</f>
        <v>-4.013510201717907E-2</v>
      </c>
      <c r="G114" s="89">
        <f t="shared" ref="G114:G115" si="292">IF(F52=0,"",G52/F52-1)</f>
        <v>-4.92714680500832E-2</v>
      </c>
      <c r="H114" s="89">
        <f t="shared" ref="H114:H115" si="293">IF(G52=0,"",H52/G52-1)</f>
        <v>-4.6061813940103002E-2</v>
      </c>
      <c r="I114" s="89">
        <f t="shared" ref="I114:I115" si="294">IF(H52=0,"",I52/H52-1)</f>
        <v>-4.0171526559569459E-2</v>
      </c>
      <c r="J114" s="89">
        <f t="shared" ref="J114:J115" si="295">IF(I52=0,"",J52/I52-1)</f>
        <v>4.5692054560177997E-3</v>
      </c>
      <c r="K114" s="89">
        <f t="shared" ref="K114:K115" si="296">IF(J52=0,"",K52/J52-1)</f>
        <v>-9.8284006121225342E-3</v>
      </c>
      <c r="L114" s="89">
        <f t="shared" ref="L114:L115" si="297">IF(K52=0,"",L52/K52-1)</f>
        <v>-5.606443588663379E-2</v>
      </c>
      <c r="M114" s="89">
        <f t="shared" ref="M114:M115" si="298">IF(L52=0,"",M52/L52-1)</f>
        <v>-5.2928968295071432E-2</v>
      </c>
      <c r="N114" s="89">
        <f t="shared" ref="N114:N115" si="299">IF(M52=0,"",N52/M52-1)</f>
        <v>7.317268658125764E-3</v>
      </c>
      <c r="O114" s="89">
        <f t="shared" ref="O114:O115" si="300">IF(N52=0,"",O52/N52-1)</f>
        <v>-1.9924940979052508E-3</v>
      </c>
      <c r="P114" s="89">
        <f t="shared" ref="P114:P115" si="301">IF(O52=0,"",P52/O52-1)</f>
        <v>-1.9138489486245081E-2</v>
      </c>
      <c r="Q114" s="89">
        <f t="shared" ref="Q114:Q115" si="302">IF(P52=0,"",Q52/P52-1)</f>
        <v>-5.4729007248642936E-2</v>
      </c>
      <c r="R114" s="89">
        <f t="shared" ref="R114:R115" si="303">IF(Q52=0,"",R52/Q52-1)</f>
        <v>5.3707554914605993E-4</v>
      </c>
      <c r="S114" s="89">
        <f t="shared" ref="S114:S115" si="304">IF(R52=0,"",S52/R52-1)</f>
        <v>-2.6071991935483818E-2</v>
      </c>
      <c r="T114" s="89">
        <f t="shared" ref="T114:T115" si="305">IF(S52=0,"",T52/S52-1)</f>
        <v>2.7500881657594123E-2</v>
      </c>
      <c r="U114" s="89">
        <f t="shared" ref="U114:U115" si="306">IF(T52=0,"",U52/T52-1)</f>
        <v>-4.1320207098691997E-2</v>
      </c>
      <c r="V114" s="89">
        <f t="shared" ref="V114:V115" si="307">IF(U52=0,"",V52/U52-1)</f>
        <v>3.6259720033266829E-2</v>
      </c>
      <c r="W114" s="89">
        <f t="shared" ref="W114:W115" si="308">IF(V52=0,"",W52/V52-1)</f>
        <v>-1.2274732038856206E-2</v>
      </c>
      <c r="X114" s="89">
        <f t="shared" ref="X114:X115" si="309">IF(W52=0,"",X52/W52-1)</f>
        <v>-0.10821757570108426</v>
      </c>
      <c r="Y114" s="89">
        <f t="shared" ref="Y114:Y115" si="310">IF(X52=0,"",Y52/X52-1)</f>
        <v>-6.1728116878505324E-2</v>
      </c>
      <c r="Z114" s="89">
        <f t="shared" ref="Z114:Z115" si="311">IF(Y52=0,"",Z52/Y52-1)</f>
        <v>8.5374571304489111E-2</v>
      </c>
      <c r="AA114" s="89">
        <f t="shared" ref="AA114:AA115" si="312">IF(Z52=0,"",AA52/Z52-1)</f>
        <v>-0.21694505609570702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5.565019232025481E-2</v>
      </c>
      <c r="F115" s="89">
        <f t="shared" si="291"/>
        <v>-5.5731062751163907E-2</v>
      </c>
      <c r="G115" s="89">
        <f t="shared" si="292"/>
        <v>-7.3646711287790767E-2</v>
      </c>
      <c r="H115" s="89">
        <f t="shared" si="293"/>
        <v>-3.760998498286805E-2</v>
      </c>
      <c r="I115" s="89">
        <f t="shared" si="294"/>
        <v>-4.1123784795638163E-2</v>
      </c>
      <c r="J115" s="89">
        <f t="shared" si="295"/>
        <v>6.1299916647559183E-3</v>
      </c>
      <c r="K115" s="89">
        <f t="shared" si="296"/>
        <v>-1.1574509187863402E-2</v>
      </c>
      <c r="L115" s="89">
        <f t="shared" si="297"/>
        <v>-9.1707633281834289E-2</v>
      </c>
      <c r="M115" s="89">
        <f t="shared" si="298"/>
        <v>-1.9659626767375538E-2</v>
      </c>
      <c r="N115" s="89">
        <f t="shared" si="299"/>
        <v>3.527043583854339E-2</v>
      </c>
      <c r="O115" s="89">
        <f t="shared" si="300"/>
        <v>1.0837449294697876E-2</v>
      </c>
      <c r="P115" s="89">
        <f t="shared" si="301"/>
        <v>6.9912970256913454E-4</v>
      </c>
      <c r="Q115" s="89">
        <f t="shared" si="302"/>
        <v>-2.9702827965871537E-2</v>
      </c>
      <c r="R115" s="89">
        <f t="shared" si="303"/>
        <v>3.929719473565485E-2</v>
      </c>
      <c r="S115" s="89">
        <f t="shared" si="304"/>
        <v>-2.2460748560460431E-2</v>
      </c>
      <c r="T115" s="89">
        <f t="shared" si="305"/>
        <v>6.7775275132099688E-2</v>
      </c>
      <c r="U115" s="89">
        <f t="shared" si="306"/>
        <v>-4.3689477162267454E-2</v>
      </c>
      <c r="V115" s="89">
        <f t="shared" si="307"/>
        <v>8.9962771216747006E-2</v>
      </c>
      <c r="W115" s="89">
        <f t="shared" si="308"/>
        <v>3.8301266432090308E-3</v>
      </c>
      <c r="X115" s="89">
        <f t="shared" si="309"/>
        <v>-9.3668038240012463E-2</v>
      </c>
      <c r="Y115" s="89">
        <f t="shared" si="310"/>
        <v>-5.6727303954602237E-2</v>
      </c>
      <c r="Z115" s="89">
        <f t="shared" si="311"/>
        <v>0.11515167791288028</v>
      </c>
      <c r="AA115" s="89">
        <f t="shared" si="312"/>
        <v>-0.24904092487602503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-5.4904313000349481E-2</v>
      </c>
      <c r="F116" s="89">
        <f t="shared" ref="F116:F122" si="314">IF(E56=0,"",F56/E56-1)</f>
        <v>-1.637813307620517E-2</v>
      </c>
      <c r="G116" s="89">
        <f t="shared" ref="G116:G122" si="315">IF(F56=0,"",G56/F56-1)</f>
        <v>-1.3626733623237741E-2</v>
      </c>
      <c r="H116" s="89">
        <f t="shared" ref="H116:H122" si="316">IF(G56=0,"",H56/G56-1)</f>
        <v>-5.7669147882138061E-2</v>
      </c>
      <c r="I116" s="89">
        <f t="shared" ref="I116:I122" si="317">IF(H56=0,"",I56/H56-1)</f>
        <v>-3.8835902555960478E-2</v>
      </c>
      <c r="J116" s="89">
        <f t="shared" ref="J116:J122" si="318">IF(I56=0,"",J56/I56-1)</f>
        <v>2.3852795353724865E-3</v>
      </c>
      <c r="K116" s="89">
        <f t="shared" ref="K116:K122" si="319">IF(J56=0,"",K56/J56-1)</f>
        <v>-7.3760354154948082E-3</v>
      </c>
      <c r="L116" s="89">
        <f t="shared" ref="L116:L122" si="320">IF(K56=0,"",L56/K56-1)</f>
        <v>-6.2162066349020773E-3</v>
      </c>
      <c r="M116" s="89">
        <f t="shared" ref="M116:M122" si="321">IF(L56=0,"",M56/L56-1)</f>
        <v>-9.5454626035887946E-2</v>
      </c>
      <c r="N116" s="89">
        <f t="shared" ref="N116:N122" si="322">IF(M56=0,"",N56/M56-1)</f>
        <v>-3.1407103722790652E-2</v>
      </c>
      <c r="O116" s="89">
        <f t="shared" ref="O116:O122" si="323">IF(N56=0,"",O56/N56-1)</f>
        <v>-2.0989739746319125E-2</v>
      </c>
      <c r="P116" s="89">
        <f t="shared" ref="P116:P122" si="324">IF(O56=0,"",P56/O56-1)</f>
        <v>-4.9466891435972937E-2</v>
      </c>
      <c r="Q116" s="89">
        <f t="shared" ref="Q116:Q122" si="325">IF(P56=0,"",Q56/P56-1)</f>
        <v>-9.5009131640724331E-2</v>
      </c>
      <c r="R116" s="89">
        <f t="shared" ref="R116:R122" si="326">IF(Q56=0,"",R56/Q56-1)</f>
        <v>-6.6349956252155451E-2</v>
      </c>
      <c r="S116" s="89">
        <f t="shared" ref="S116:S122" si="327">IF(R56=0,"",S56/R56-1)</f>
        <v>-3.3008952273658299E-2</v>
      </c>
      <c r="T116" s="89">
        <f t="shared" ref="T116:T122" si="328">IF(S56=0,"",T56/S56-1)</f>
        <v>-5.070748453527274E-2</v>
      </c>
      <c r="U116" s="89">
        <f t="shared" ref="U116:U122" si="329">IF(T56=0,"",U56/T56-1)</f>
        <v>-3.6145109136064391E-2</v>
      </c>
      <c r="V116" s="89">
        <f t="shared" ref="V116:V122" si="330">IF(U56=0,"",V56/U56-1)</f>
        <v>-8.0123467761923139E-2</v>
      </c>
      <c r="W116" s="89">
        <f t="shared" ref="W116:W122" si="331">IF(V56=0,"",W56/V56-1)</f>
        <v>-5.3629951585521085E-2</v>
      </c>
      <c r="X116" s="89">
        <f t="shared" ref="X116:X122" si="332">IF(W56=0,"",X56/W56-1)</f>
        <v>-0.14784737182152519</v>
      </c>
      <c r="Y116" s="89">
        <f t="shared" ref="Y116:Y122" si="333">IF(X56=0,"",Y56/X56-1)</f>
        <v>-7.6215273894669977E-2</v>
      </c>
      <c r="Z116" s="89">
        <f t="shared" ref="Z116:Z122" si="334">IF(Y56=0,"",Z56/Y56-1)</f>
        <v>-2.7083157547322934E-3</v>
      </c>
      <c r="AA116" s="89">
        <f t="shared" ref="AA116:AA122" si="335">IF(Z56=0,"",AA56/Z56-1)</f>
        <v>-0.11078285231251683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-7.7150087061057526E-3</v>
      </c>
      <c r="F117" s="89">
        <f t="shared" si="314"/>
        <v>2.0747079089092679E-2</v>
      </c>
      <c r="G117" s="89">
        <f t="shared" si="315"/>
        <v>2.6208950764891936E-2</v>
      </c>
      <c r="H117" s="89">
        <f t="shared" si="316"/>
        <v>2.8698953607944055E-2</v>
      </c>
      <c r="I117" s="89">
        <f t="shared" si="317"/>
        <v>-3.2303335410256206E-2</v>
      </c>
      <c r="J117" s="89">
        <f t="shared" si="318"/>
        <v>3.3129138260148405E-3</v>
      </c>
      <c r="K117" s="89">
        <f t="shared" si="319"/>
        <v>5.4581353480662731E-2</v>
      </c>
      <c r="L117" s="89">
        <f t="shared" si="320"/>
        <v>-3.4896769825137564E-2</v>
      </c>
      <c r="M117" s="89">
        <f t="shared" si="321"/>
        <v>4.2727702913044618E-2</v>
      </c>
      <c r="N117" s="89">
        <f t="shared" si="322"/>
        <v>1.4005115255076195E-2</v>
      </c>
      <c r="O117" s="89">
        <f t="shared" si="323"/>
        <v>-4.4115768034074576E-2</v>
      </c>
      <c r="P117" s="89">
        <f t="shared" si="324"/>
        <v>6.0173949223429224E-2</v>
      </c>
      <c r="Q117" s="89">
        <f t="shared" si="325"/>
        <v>-4.298926774905909E-2</v>
      </c>
      <c r="R117" s="89">
        <f t="shared" si="326"/>
        <v>5.230710348303691E-2</v>
      </c>
      <c r="S117" s="89">
        <f t="shared" si="327"/>
        <v>5.5383924296570353E-3</v>
      </c>
      <c r="T117" s="89">
        <f t="shared" si="328"/>
        <v>5.3444218335665594E-2</v>
      </c>
      <c r="U117" s="89">
        <f t="shared" si="329"/>
        <v>6.8704878662368962E-3</v>
      </c>
      <c r="V117" s="89">
        <f t="shared" si="330"/>
        <v>-1.6841215781910224E-2</v>
      </c>
      <c r="W117" s="89">
        <f t="shared" si="331"/>
        <v>4.7498972265199502E-2</v>
      </c>
      <c r="X117" s="89">
        <f t="shared" si="332"/>
        <v>-9.7223534211855478E-3</v>
      </c>
      <c r="Y117" s="89">
        <f t="shared" si="333"/>
        <v>3.4006641258028436E-2</v>
      </c>
      <c r="Z117" s="89">
        <f t="shared" si="334"/>
        <v>1.4188969784491245E-2</v>
      </c>
      <c r="AA117" s="89">
        <f t="shared" si="335"/>
        <v>6.02905822768387E-2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5.8016223970181802E-2</v>
      </c>
      <c r="F118" s="89">
        <f t="shared" si="314"/>
        <v>8.6499491924578509E-2</v>
      </c>
      <c r="G118" s="89">
        <f t="shared" si="315"/>
        <v>2.6559731583240653E-2</v>
      </c>
      <c r="H118" s="89">
        <f t="shared" si="316"/>
        <v>4.0964809828837101E-2</v>
      </c>
      <c r="I118" s="89">
        <f t="shared" si="317"/>
        <v>6.3824065151804499E-2</v>
      </c>
      <c r="J118" s="89">
        <f t="shared" si="318"/>
        <v>9.6040141596590578E-2</v>
      </c>
      <c r="K118" s="89">
        <f t="shared" si="319"/>
        <v>4.1090298206482911E-2</v>
      </c>
      <c r="L118" s="89">
        <f t="shared" si="320"/>
        <v>-3.0096887655282623E-2</v>
      </c>
      <c r="M118" s="89">
        <f t="shared" si="321"/>
        <v>-0.1988459428039161</v>
      </c>
      <c r="N118" s="89">
        <f t="shared" si="322"/>
        <v>-2.6608543442975918E-2</v>
      </c>
      <c r="O118" s="89">
        <f t="shared" si="323"/>
        <v>7.9383926256042958E-2</v>
      </c>
      <c r="P118" s="89">
        <f t="shared" si="324"/>
        <v>2.2383685723277758E-2</v>
      </c>
      <c r="Q118" s="89">
        <f t="shared" si="325"/>
        <v>2.0324576582355869E-2</v>
      </c>
      <c r="R118" s="89">
        <f t="shared" si="326"/>
        <v>5.09760564261863E-3</v>
      </c>
      <c r="S118" s="89">
        <f t="shared" si="327"/>
        <v>-2.488149867374001E-2</v>
      </c>
      <c r="T118" s="89">
        <f t="shared" si="328"/>
        <v>9.2692542420681256E-2</v>
      </c>
      <c r="U118" s="89">
        <f t="shared" si="329"/>
        <v>-2.4508526693373556E-2</v>
      </c>
      <c r="V118" s="89">
        <f t="shared" si="330"/>
        <v>0.13911157754121706</v>
      </c>
      <c r="W118" s="89">
        <f t="shared" si="331"/>
        <v>-1.8089533408094383E-3</v>
      </c>
      <c r="X118" s="89">
        <f t="shared" si="332"/>
        <v>-8.4140736413519823E-2</v>
      </c>
      <c r="Y118" s="89">
        <f t="shared" si="333"/>
        <v>2.3143733241873132E-2</v>
      </c>
      <c r="Z118" s="89">
        <f t="shared" si="334"/>
        <v>-8.0088559214761545E-2</v>
      </c>
      <c r="AA118" s="89">
        <f t="shared" si="335"/>
        <v>5.8564358776559189E-2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5.2998710460519183E-2</v>
      </c>
      <c r="F119" s="89">
        <f t="shared" si="314"/>
        <v>-2.4664864122236896E-3</v>
      </c>
      <c r="G119" s="89">
        <f t="shared" si="315"/>
        <v>-7.2533243465899844E-6</v>
      </c>
      <c r="H119" s="89">
        <f t="shared" si="316"/>
        <v>2.2549498685631164E-2</v>
      </c>
      <c r="I119" s="89">
        <f t="shared" si="317"/>
        <v>2.7647893056949258E-2</v>
      </c>
      <c r="J119" s="89">
        <f t="shared" si="318"/>
        <v>9.5095521150970974E-2</v>
      </c>
      <c r="K119" s="89">
        <f t="shared" si="319"/>
        <v>5.2607162060083423E-2</v>
      </c>
      <c r="L119" s="89">
        <f t="shared" si="320"/>
        <v>2.6356983800018163E-2</v>
      </c>
      <c r="M119" s="89">
        <f t="shared" si="321"/>
        <v>-9.3588912566445859E-2</v>
      </c>
      <c r="N119" s="89">
        <f t="shared" si="322"/>
        <v>1.9488854022313262E-2</v>
      </c>
      <c r="O119" s="89">
        <f t="shared" si="323"/>
        <v>8.3244227747547361E-2</v>
      </c>
      <c r="P119" s="89">
        <f t="shared" si="324"/>
        <v>2.7698066627519724E-2</v>
      </c>
      <c r="Q119" s="89">
        <f t="shared" si="325"/>
        <v>2.958780085782875E-3</v>
      </c>
      <c r="R119" s="89">
        <f t="shared" si="326"/>
        <v>-1.2629464121318601E-2</v>
      </c>
      <c r="S119" s="89">
        <f t="shared" si="327"/>
        <v>1.1463829788210811E-2</v>
      </c>
      <c r="T119" s="89">
        <f t="shared" si="328"/>
        <v>3.3405861812111803E-2</v>
      </c>
      <c r="U119" s="89">
        <f t="shared" si="329"/>
        <v>4.0934835375635803E-2</v>
      </c>
      <c r="V119" s="89">
        <f t="shared" si="330"/>
        <v>1.6857778671336865E-2</v>
      </c>
      <c r="W119" s="89">
        <f t="shared" si="331"/>
        <v>-1.1539111310150285E-2</v>
      </c>
      <c r="X119" s="89">
        <f t="shared" si="332"/>
        <v>-0.10652102654330375</v>
      </c>
      <c r="Y119" s="89">
        <f t="shared" si="333"/>
        <v>0.10121677612783042</v>
      </c>
      <c r="Z119" s="89">
        <f t="shared" si="334"/>
        <v>1.1450531613076187E-2</v>
      </c>
      <c r="AA119" s="89">
        <f t="shared" si="335"/>
        <v>-1.0340492620042663E-2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-8.3794383906045211E-2</v>
      </c>
      <c r="F120" s="89">
        <f t="shared" si="314"/>
        <v>-9.2088486778679868E-2</v>
      </c>
      <c r="G120" s="89">
        <f t="shared" si="315"/>
        <v>-0.12799199893284863</v>
      </c>
      <c r="H120" s="89">
        <f t="shared" si="316"/>
        <v>5.6830366468328286E-2</v>
      </c>
      <c r="I120" s="89">
        <f t="shared" si="317"/>
        <v>-8.3553967973907239E-2</v>
      </c>
      <c r="J120" s="89">
        <f t="shared" si="318"/>
        <v>-1.7784220530286943E-3</v>
      </c>
      <c r="K120" s="89">
        <f t="shared" si="319"/>
        <v>-5.7919709203793746E-2</v>
      </c>
      <c r="L120" s="89">
        <f t="shared" si="320"/>
        <v>-8.451890535387041E-2</v>
      </c>
      <c r="M120" s="89">
        <f t="shared" si="321"/>
        <v>-0.10270569654770245</v>
      </c>
      <c r="N120" s="89">
        <f t="shared" si="322"/>
        <v>6.5686923240612982E-2</v>
      </c>
      <c r="O120" s="89">
        <f t="shared" si="323"/>
        <v>-1.1569907618402819E-2</v>
      </c>
      <c r="P120" s="89">
        <f t="shared" si="324"/>
        <v>-8.7422453538489542E-2</v>
      </c>
      <c r="Q120" s="89">
        <f t="shared" si="325"/>
        <v>-4.1021436632724062E-2</v>
      </c>
      <c r="R120" s="89">
        <f t="shared" si="326"/>
        <v>9.9337236074801272E-3</v>
      </c>
      <c r="S120" s="89">
        <f t="shared" si="327"/>
        <v>2.1283340040241461E-2</v>
      </c>
      <c r="T120" s="89">
        <f t="shared" si="328"/>
        <v>-6.6150707783847018E-2</v>
      </c>
      <c r="U120" s="89">
        <f t="shared" si="329"/>
        <v>-0.11655530656715274</v>
      </c>
      <c r="V120" s="89">
        <f t="shared" si="330"/>
        <v>5.3087571610433537E-2</v>
      </c>
      <c r="W120" s="89">
        <f t="shared" si="331"/>
        <v>-2.5915881757706538E-2</v>
      </c>
      <c r="X120" s="89">
        <f t="shared" si="332"/>
        <v>-0.10302780009894674</v>
      </c>
      <c r="Y120" s="89">
        <f t="shared" si="333"/>
        <v>-2.4531875303741457E-2</v>
      </c>
      <c r="Z120" s="89">
        <f t="shared" si="334"/>
        <v>-9.9814525863842762E-3</v>
      </c>
      <c r="AA120" s="89">
        <f t="shared" si="335"/>
        <v>-3.7181584851665783E-2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1.4873147554238075E-2</v>
      </c>
      <c r="F121" s="89">
        <f t="shared" si="314"/>
        <v>-1.6187722764751E-2</v>
      </c>
      <c r="G121" s="89">
        <f t="shared" si="315"/>
        <v>1.374767956263967E-2</v>
      </c>
      <c r="H121" s="89">
        <f t="shared" si="316"/>
        <v>2.1030355503533826E-2</v>
      </c>
      <c r="I121" s="89">
        <f t="shared" si="317"/>
        <v>-4.6763589863307975E-2</v>
      </c>
      <c r="J121" s="89">
        <f t="shared" si="318"/>
        <v>0.13575539304594253</v>
      </c>
      <c r="K121" s="89">
        <f t="shared" si="319"/>
        <v>7.9264265242635856E-2</v>
      </c>
      <c r="L121" s="89">
        <f t="shared" si="320"/>
        <v>-0.10406392060657588</v>
      </c>
      <c r="M121" s="89">
        <f t="shared" si="321"/>
        <v>-0.12762116536656221</v>
      </c>
      <c r="N121" s="89">
        <f t="shared" si="322"/>
        <v>7.9919837764295565E-2</v>
      </c>
      <c r="O121" s="89">
        <f t="shared" si="323"/>
        <v>9.0855518411254721E-3</v>
      </c>
      <c r="P121" s="89">
        <f t="shared" si="324"/>
        <v>-4.4037384072032726E-2</v>
      </c>
      <c r="Q121" s="89">
        <f t="shared" si="325"/>
        <v>-4.5436243543917065E-3</v>
      </c>
      <c r="R121" s="89">
        <f t="shared" si="326"/>
        <v>-4.3624565539253091E-3</v>
      </c>
      <c r="S121" s="89">
        <f t="shared" si="327"/>
        <v>6.801981607914187E-2</v>
      </c>
      <c r="T121" s="89">
        <f t="shared" si="328"/>
        <v>4.1925345255803492E-2</v>
      </c>
      <c r="U121" s="89">
        <f t="shared" si="329"/>
        <v>-2.4130852105520573E-3</v>
      </c>
      <c r="V121" s="89">
        <f t="shared" si="330"/>
        <v>7.6955982629763664E-2</v>
      </c>
      <c r="W121" s="89">
        <f t="shared" si="331"/>
        <v>4.9811936898281006E-2</v>
      </c>
      <c r="X121" s="89">
        <f t="shared" si="332"/>
        <v>-3.3364728136785815E-2</v>
      </c>
      <c r="Y121" s="89">
        <f t="shared" si="333"/>
        <v>0.19830750159972532</v>
      </c>
      <c r="Z121" s="89">
        <f t="shared" si="334"/>
        <v>-2.4532708948714399E-2</v>
      </c>
      <c r="AA121" s="89">
        <f t="shared" si="335"/>
        <v>-0.25932851753802166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7.1275939571313618E-3</v>
      </c>
      <c r="F122" s="91">
        <f t="shared" si="314"/>
        <v>2.4283746126553485E-2</v>
      </c>
      <c r="G122" s="91">
        <f t="shared" si="315"/>
        <v>-8.6137720914379656E-2</v>
      </c>
      <c r="H122" s="91">
        <f t="shared" si="316"/>
        <v>2.697933065855862E-2</v>
      </c>
      <c r="I122" s="91">
        <f t="shared" si="317"/>
        <v>-1.0315676359542336E-2</v>
      </c>
      <c r="J122" s="91">
        <f t="shared" si="318"/>
        <v>6.0171915104173523E-2</v>
      </c>
      <c r="K122" s="91">
        <f t="shared" si="319"/>
        <v>5.7831151869907282E-2</v>
      </c>
      <c r="L122" s="91">
        <f t="shared" si="320"/>
        <v>-3.8197424776313493E-2</v>
      </c>
      <c r="M122" s="91">
        <f t="shared" si="321"/>
        <v>-0.11215610194898695</v>
      </c>
      <c r="N122" s="91">
        <f t="shared" si="322"/>
        <v>3.9424675993859237E-2</v>
      </c>
      <c r="O122" s="91">
        <f t="shared" si="323"/>
        <v>4.9168094181828437E-2</v>
      </c>
      <c r="P122" s="91">
        <f t="shared" si="324"/>
        <v>-3.0561264771630681E-2</v>
      </c>
      <c r="Q122" s="91">
        <f t="shared" si="325"/>
        <v>1.1080088985999437E-2</v>
      </c>
      <c r="R122" s="91">
        <f t="shared" si="326"/>
        <v>3.7537678860103618E-2</v>
      </c>
      <c r="S122" s="91">
        <f t="shared" si="327"/>
        <v>-4.3651546473124858E-2</v>
      </c>
      <c r="T122" s="91">
        <f t="shared" si="328"/>
        <v>3.3353243732646476E-2</v>
      </c>
      <c r="U122" s="91">
        <f t="shared" si="329"/>
        <v>1.2209135849653441E-2</v>
      </c>
      <c r="V122" s="91">
        <f t="shared" si="330"/>
        <v>-2.2700245565121735E-2</v>
      </c>
      <c r="W122" s="91">
        <f t="shared" si="331"/>
        <v>-6.4905679791054105E-3</v>
      </c>
      <c r="X122" s="91">
        <f t="shared" si="332"/>
        <v>-9.3340314582387673E-2</v>
      </c>
      <c r="Y122" s="91">
        <f t="shared" si="333"/>
        <v>4.0633930142639496E-2</v>
      </c>
      <c r="Z122" s="91">
        <f t="shared" si="334"/>
        <v>3.354484513096434E-2</v>
      </c>
      <c r="AA122" s="91">
        <f t="shared" si="335"/>
        <v>-7.2515571978076787E-3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2025-11-06T10:18:37Z</dcterms:created>
  <dcterms:modified xsi:type="dcterms:W3CDTF">2025-11-06T10:18:37Z</dcterms:modified>
</cp:coreProperties>
</file>