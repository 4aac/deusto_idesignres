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A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Y45" i="3"/>
  <c r="X45" i="3"/>
  <c r="Y39" i="12"/>
  <c r="X48" i="13"/>
  <c r="X83" i="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Y7" i="18"/>
  <c r="X31" i="3"/>
  <c r="Y3" i="18"/>
  <c r="Y17" i="18" s="1"/>
  <c r="X10" i="19"/>
  <c r="Y4" i="19"/>
  <c r="X3" i="20"/>
  <c r="Y90" i="3"/>
  <c r="X90" i="3"/>
  <c r="Y85" i="3"/>
  <c r="X85" i="3"/>
  <c r="X84" i="3"/>
  <c r="Y44" i="3"/>
  <c r="X44" i="3"/>
  <c r="Y31" i="3"/>
  <c r="Y30" i="3"/>
  <c r="Y25" i="3"/>
  <c r="Y10" i="3"/>
  <c r="Y57" i="8" l="1"/>
  <c r="Y79" i="8" s="1"/>
  <c r="Y29" i="9"/>
  <c r="X91" i="8"/>
  <c r="Y91" i="8"/>
  <c r="X31" i="9"/>
  <c r="X25" i="9"/>
  <c r="Y42" i="3"/>
  <c r="Y53" i="9"/>
  <c r="X29" i="9"/>
  <c r="Y43" i="9"/>
  <c r="X90" i="8"/>
  <c r="X27" i="9"/>
  <c r="X41" i="12"/>
  <c r="X46" i="3"/>
  <c r="X43" i="3" s="1"/>
  <c r="Y69" i="11"/>
  <c r="Y15" i="14"/>
  <c r="X75" i="3"/>
  <c r="Y41" i="12"/>
  <c r="X53" i="3"/>
  <c r="Y44" i="12"/>
  <c r="Y75" i="3"/>
  <c r="Y54" i="3"/>
  <c r="X55" i="3"/>
  <c r="X207" i="3" s="1"/>
  <c r="X19" i="12"/>
  <c r="X69" i="12" s="1"/>
  <c r="Y55" i="3"/>
  <c r="Y207" i="3" s="1"/>
  <c r="X227" i="3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X23" i="3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11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20" i="19" s="1"/>
  <c r="Y10" i="19"/>
  <c r="Y11" i="20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21" i="20"/>
  <c r="Y21" i="14"/>
  <c r="Y27" i="14"/>
  <c r="X14" i="14"/>
  <c r="X20" i="14" s="1"/>
  <c r="X4" i="14"/>
  <c r="Y91" i="3"/>
  <c r="Y243" i="3" s="1"/>
  <c r="Y19" i="20"/>
  <c r="Y3" i="20"/>
  <c r="Y23" i="20" s="1"/>
  <c r="Y15" i="20"/>
  <c r="Y23" i="18"/>
  <c r="Y21" i="18"/>
  <c r="Y28" i="11"/>
  <c r="Y80" i="11" s="1"/>
  <c r="Y101" i="11"/>
  <c r="X4" i="10"/>
  <c r="X23" i="10"/>
  <c r="X7" i="18"/>
  <c r="X13" i="20" s="1"/>
  <c r="X110" i="11"/>
  <c r="X111" i="11"/>
  <c r="Y120" i="11"/>
  <c r="Y123" i="11"/>
  <c r="Y121" i="11"/>
  <c r="Y28" i="3"/>
  <c r="Y84" i="3"/>
  <c r="Y192" i="3"/>
  <c r="Y237" i="3"/>
  <c r="Y242" i="3"/>
  <c r="X23" i="20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Y13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" i="8"/>
  <c r="X108" i="8" s="1"/>
  <c r="X41" i="10"/>
  <c r="X19" i="20"/>
  <c r="X11" i="20"/>
  <c r="Y22" i="18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X22" i="20"/>
  <c r="X22" i="17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44" i="10" l="1"/>
  <c r="X96" i="8"/>
  <c r="X48" i="9"/>
  <c r="X36" i="8"/>
  <c r="X43" i="11"/>
  <c r="X41" i="9"/>
  <c r="X11" i="17"/>
  <c r="X41" i="3"/>
  <c r="X39" i="3" s="1"/>
  <c r="Y198" i="3"/>
  <c r="X117" i="11"/>
  <c r="X116" i="11"/>
  <c r="X24" i="19"/>
  <c r="Y25" i="19"/>
  <c r="Y3" i="19"/>
  <c r="Y28" i="19" s="1"/>
  <c r="Y10" i="17"/>
  <c r="Y52" i="3"/>
  <c r="X205" i="3"/>
  <c r="X52" i="3"/>
  <c r="X198" i="3"/>
  <c r="X76" i="11"/>
  <c r="Y13" i="3"/>
  <c r="X192" i="3"/>
  <c r="X22" i="10"/>
  <c r="X113" i="8"/>
  <c r="X25" i="8"/>
  <c r="Y36" i="8"/>
  <c r="X112" i="8"/>
  <c r="X100" i="8"/>
  <c r="X111" i="8"/>
  <c r="X233" i="3"/>
  <c r="Y13" i="15"/>
  <c r="X23" i="15"/>
  <c r="Y18" i="15"/>
  <c r="X86" i="3"/>
  <c r="X238" i="3" s="1"/>
  <c r="Y17" i="15"/>
  <c r="X22" i="15"/>
  <c r="Y20" i="16"/>
  <c r="Y57" i="3"/>
  <c r="Y209" i="3" s="1"/>
  <c r="Y3" i="16"/>
  <c r="Y27" i="16" s="1"/>
  <c r="X3" i="16"/>
  <c r="X28" i="16" s="1"/>
  <c r="X10" i="20"/>
  <c r="X3" i="19"/>
  <c r="X23" i="19" s="1"/>
  <c r="X60" i="3"/>
  <c r="X212" i="3" s="1"/>
  <c r="X89" i="3"/>
  <c r="X181" i="3" s="1"/>
  <c r="X122" i="11"/>
  <c r="X13" i="11"/>
  <c r="X80" i="11"/>
  <c r="X25" i="14"/>
  <c r="Y206" i="3"/>
  <c r="Y20" i="14"/>
  <c r="X22" i="3"/>
  <c r="Y25" i="14"/>
  <c r="X118" i="11"/>
  <c r="Y22" i="13"/>
  <c r="Y197" i="3"/>
  <c r="Y227" i="3"/>
  <c r="Y73" i="3"/>
  <c r="Y3" i="12"/>
  <c r="Y51" i="12" s="1"/>
  <c r="X235" i="3"/>
  <c r="X224" i="3"/>
  <c r="Y111" i="11"/>
  <c r="Y42" i="13"/>
  <c r="Y12" i="14"/>
  <c r="Y18" i="14" s="1"/>
  <c r="X183" i="3"/>
  <c r="X13" i="3"/>
  <c r="X195" i="3" s="1"/>
  <c r="X37" i="9"/>
  <c r="X3" i="12"/>
  <c r="X51" i="12" s="1"/>
  <c r="Y23" i="10"/>
  <c r="Y22" i="10"/>
  <c r="Y117" i="11"/>
  <c r="Y29" i="19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24" i="9" s="1"/>
  <c r="X49" i="10"/>
  <c r="X38" i="10"/>
  <c r="X8" i="10"/>
  <c r="X60" i="10" s="1"/>
  <c r="Y44" i="10"/>
  <c r="Y55" i="10"/>
  <c r="Y33" i="10"/>
  <c r="Y81" i="3"/>
  <c r="X105" i="8"/>
  <c r="X94" i="8"/>
  <c r="X106" i="8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X107" i="8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Y204" i="3"/>
  <c r="X13" i="18"/>
  <c r="X17" i="18"/>
  <c r="X19" i="18"/>
  <c r="Y27" i="19"/>
  <c r="Y23" i="19"/>
  <c r="X109" i="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9" i="20"/>
  <c r="Y22" i="20"/>
  <c r="Y13" i="17"/>
  <c r="Y21" i="17"/>
  <c r="Y17" i="17"/>
  <c r="X33" i="10"/>
  <c r="X193" i="3"/>
  <c r="Y82" i="3"/>
  <c r="Y234" i="3" s="1"/>
  <c r="Y26" i="8"/>
  <c r="X56" i="8"/>
  <c r="X78" i="8" s="1"/>
  <c r="Y110" i="11"/>
  <c r="Y90" i="11"/>
  <c r="X21" i="18"/>
  <c r="X22" i="18"/>
  <c r="Y86" i="3"/>
  <c r="X46" i="9"/>
  <c r="X35" i="9"/>
  <c r="X10" i="9"/>
  <c r="X57" i="9" s="1"/>
  <c r="Y22" i="17"/>
  <c r="X23" i="18"/>
  <c r="X28" i="19"/>
  <c r="Y19" i="19" l="1"/>
  <c r="X95" i="11"/>
  <c r="X204" i="3"/>
  <c r="X59" i="3"/>
  <c r="X153" i="3" s="1"/>
  <c r="Y225" i="3"/>
  <c r="X19" i="19"/>
  <c r="Y195" i="3"/>
  <c r="X27" i="19"/>
  <c r="Y53" i="12"/>
  <c r="Y48" i="12"/>
  <c r="X234" i="3"/>
  <c r="Y24" i="14"/>
  <c r="X27" i="16"/>
  <c r="X23" i="16"/>
  <c r="X9" i="17"/>
  <c r="X29" i="16"/>
  <c r="Y9" i="17"/>
  <c r="X19" i="16"/>
  <c r="X56" i="3"/>
  <c r="X208" i="3" s="1"/>
  <c r="Y52" i="12"/>
  <c r="Y55" i="12"/>
  <c r="Y47" i="12"/>
  <c r="Y17" i="12"/>
  <c r="Y67" i="12" s="1"/>
  <c r="X62" i="10"/>
  <c r="Y56" i="3"/>
  <c r="Y208" i="3" s="1"/>
  <c r="Y28" i="16"/>
  <c r="Y29" i="16"/>
  <c r="Y19" i="16"/>
  <c r="Y23" i="16"/>
  <c r="X29" i="19"/>
  <c r="X9" i="20"/>
  <c r="X182" i="3"/>
  <c r="Y37" i="12"/>
  <c r="Y50" i="12"/>
  <c r="X49" i="12"/>
  <c r="Y54" i="12"/>
  <c r="Y49" i="12"/>
  <c r="X225" i="3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6" i="1"/>
  <c r="B25" i="1"/>
  <c r="B24" i="1"/>
  <c r="S242" i="3" l="1"/>
  <c r="C242" i="3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8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F20" i="19"/>
  <c r="L20" i="19"/>
  <c r="L10" i="20"/>
  <c r="Q25" i="19"/>
  <c r="Q14" i="20"/>
  <c r="Q3" i="20"/>
  <c r="Q22" i="20" s="1"/>
  <c r="C19" i="20"/>
  <c r="E14" i="18"/>
  <c r="M14" i="18"/>
  <c r="E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M23" i="20"/>
  <c r="R3" i="20"/>
  <c r="E13" i="18" l="1"/>
  <c r="Q21" i="19"/>
  <c r="F24" i="19"/>
  <c r="N29" i="3"/>
  <c r="N241" i="3" s="1"/>
  <c r="I21" i="18"/>
  <c r="R25" i="19"/>
  <c r="P10" i="20"/>
  <c r="R21" i="19"/>
  <c r="W24" i="19"/>
  <c r="U19" i="18"/>
  <c r="N13" i="20"/>
  <c r="H20" i="19"/>
  <c r="K23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1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U123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3" i="19"/>
  <c r="J17" i="18"/>
  <c r="J13" i="18"/>
  <c r="N9" i="20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7" i="19" l="1"/>
  <c r="N19" i="19"/>
  <c r="E27" i="19"/>
  <c r="N121" i="3"/>
  <c r="W9" i="20"/>
  <c r="M9" i="20"/>
  <c r="M27" i="19"/>
  <c r="M19" i="19"/>
  <c r="H27" i="19"/>
  <c r="H19" i="19"/>
  <c r="H23" i="19"/>
  <c r="W29" i="19"/>
  <c r="Q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9" i="1"/>
  <c r="B18" i="1"/>
  <c r="B17" i="1"/>
  <c r="B15" i="1"/>
  <c r="B16" i="1"/>
  <c r="B8" i="1"/>
  <c r="B20" i="1"/>
  <c r="B4" i="1"/>
  <c r="B21" i="1"/>
  <c r="B12" i="1"/>
  <c r="B13" i="1"/>
  <c r="B22" i="1"/>
  <c r="B7" i="1"/>
  <c r="B11" i="1"/>
  <c r="B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M221" i="3" l="1"/>
  <c r="K221" i="3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43" i="11" s="1"/>
  <c r="T95" i="11" s="1"/>
  <c r="T58" i="11"/>
  <c r="T53" i="11" s="1"/>
  <c r="U102" i="11"/>
  <c r="U103" i="11"/>
  <c r="T100" i="11" l="1"/>
  <c r="U48" i="1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X58" i="4" s="1"/>
  <c r="W4" i="7"/>
  <c r="T47" i="7"/>
  <c r="T6" i="7"/>
  <c r="T58" i="4"/>
  <c r="U34" i="7"/>
  <c r="U114" i="4"/>
  <c r="T31" i="7"/>
  <c r="Y6" i="7"/>
  <c r="W36" i="7"/>
  <c r="X44" i="7"/>
  <c r="V35" i="7"/>
  <c r="X13" i="7" l="1"/>
  <c r="V42" i="7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 s="1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265" i="4" s="1"/>
  <c r="I184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 s="1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Y19" i="3" l="1"/>
  <c r="F170" i="3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 s="1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 s="1"/>
  <c r="U77" i="3"/>
  <c r="U170" i="3" s="1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<sst xmlns="http://schemas.openxmlformats.org/spreadsheetml/2006/main" count="2657" uniqueCount="1169">
  <si>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</si>
  <si>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</si>
  <si>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</si>
  <si>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</si>
  <si>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</si>
  <si>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</si>
  <si>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</si>
  <si>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</si>
  <si>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</si>
  <si>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</si>
  <si>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</si>
  <si>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</si>
  <si>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</si>
  <si>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</si>
  <si>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</si>
  <si>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</si>
  <si>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</si>
  <si>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</si>
  <si>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</si>
  <si>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</si>
  <si>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</si>
  <si>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</si>
  <si>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</si>
  <si>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</si>
  <si>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</si>
  <si>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</si>
  <si>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</si>
  <si>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</si>
  <si>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</si>
  <si>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</si>
  <si>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</si>
  <si>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</si>
  <si>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</si>
  <si>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</si>
  <si>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</si>
  <si>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</si>
  <si>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</si>
  <si>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</si>
  <si>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</si>
  <si>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</si>
  <si>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</si>
  <si>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</si>
  <si>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</si>
  <si>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</si>
  <si>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</si>
  <si>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</si>
  <si>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</si>
  <si>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</si>
  <si>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</si>
  <si>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</si>
  <si>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</si>
  <si>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</si>
  <si>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</si>
  <si>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</si>
  <si>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</si>
  <si>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</si>
  <si>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</si>
  <si>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</si>
  <si>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</si>
  <si>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</si>
  <si>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</si>
  <si>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</si>
  <si>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</si>
  <si>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</si>
  <si>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</si>
  <si>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</si>
  <si>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</si>
  <si>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</si>
  <si>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</si>
  <si>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</si>
  <si>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</si>
  <si>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</si>
  <si>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</si>
  <si>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</si>
  <si>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</si>
  <si>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</si>
  <si>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</si>
  <si>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</si>
  <si>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</si>
  <si>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</si>
  <si>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</si>
  <si>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</si>
  <si>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</si>
  <si>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</si>
  <si>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</si>
  <si>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</si>
  <si>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</si>
  <si>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</si>
  <si>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</si>
  <si>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</si>
  <si>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</si>
  <si>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</si>
  <si>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</si>
  <si>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</si>
  <si>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</si>
  <si>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</si>
  <si>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</si>
  <si>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</si>
  <si>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</si>
  <si>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</si>
  <si>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</si>
  <si>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</si>
  <si>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</si>
  <si>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</si>
  <si>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</si>
  <si>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</si>
  <si>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</si>
  <si>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</si>
  <si>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</si>
  <si>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</si>
  <si>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</si>
  <si>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</si>
  <si>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</si>
  <si>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</si>
  <si>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</si>
  <si>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</si>
  <si>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</si>
  <si>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</si>
  <si>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</si>
  <si>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</si>
  <si>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</si>
  <si>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</si>
  <si>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</si>
  <si>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</si>
  <si>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</si>
  <si>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</si>
  <si>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</si>
  <si>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</si>
  <si>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</si>
  <si>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</si>
  <si>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</si>
  <si>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</si>
  <si>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</si>
  <si>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</si>
  <si>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</si>
  <si>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</si>
  <si>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</si>
  <si>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</si>
  <si>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</si>
  <si>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</si>
  <si>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</si>
  <si>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</si>
  <si>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</si>
  <si>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</si>
  <si>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</si>
  <si>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</si>
  <si>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</si>
  <si>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</si>
  <si>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</si>
  <si>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</si>
  <si>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</si>
  <si>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</si>
  <si>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</si>
  <si>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</si>
  <si>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</si>
  <si>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</si>
  <si>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</si>
  <si>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</si>
  <si>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</si>
  <si>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</si>
  <si>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</si>
  <si>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</si>
  <si>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</si>
  <si>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</si>
  <si>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</si>
  <si>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</si>
  <si>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</si>
  <si>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</si>
  <si>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</si>
  <si>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</si>
  <si>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</si>
  <si>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</si>
  <si>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</si>
  <si>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</si>
  <si>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</si>
  <si>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</si>
  <si>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</si>
  <si>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</si>
  <si>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</si>
  <si>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</si>
  <si>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</si>
  <si>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</si>
  <si>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</si>
  <si>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</si>
  <si>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</si>
  <si>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</si>
  <si>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</si>
  <si>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AT</t>
  </si>
  <si>
    <t>Austria</t>
  </si>
  <si>
    <t>Aviation - AT - Austria</t>
  </si>
  <si>
    <t>Activity.Mpkm.AT.Tr.Avia.Passenger</t>
  </si>
  <si>
    <t>Activity.Mpkm.AT.Tr.Avia.Passenger.Domestic</t>
  </si>
  <si>
    <t>Activity.Mpkm.AT.Tr.Avia.Passenger.IntraEEAwCHUK</t>
  </si>
  <si>
    <t>Activity.Mpkm.AT.Tr.Avia.Passenger.ExtraEEAwCHUK</t>
  </si>
  <si>
    <t>Activity.Mtkm.AT.Tr.Avia.Freight</t>
  </si>
  <si>
    <t>Activity.Mtkm.AT.Tr.Avia.Freight.Domestic</t>
  </si>
  <si>
    <t>Activity.Mtkm.AT.Tr.Avia.Freight.IntraEEAwCHUK</t>
  </si>
  <si>
    <t>Activity.Mtkm.AT.Tr.Avia.Freight.ExtraEEAwCHUK</t>
  </si>
  <si>
    <t>VehicleKm.Mkm.AT.Tr.Avia</t>
  </si>
  <si>
    <t>VehicleKm.Mkm.AT.Tr.Avia.Passenger</t>
  </si>
  <si>
    <t>VehicleKm.Mkm.AT.Tr.Avia.Passenger.Domestic</t>
  </si>
  <si>
    <t>VehicleKm.Mkm.AT.Tr.Avia.Passenger.IntraEEAwCHUK</t>
  </si>
  <si>
    <t>VehicleKm.Mkm.AT.Tr.Avia.Passenger.ExtraEEAwCHUK</t>
  </si>
  <si>
    <t>VehicleKm.Mkm.AT.Tr.Avia.Freight</t>
  </si>
  <si>
    <t>VehicleKm.Mkm.AT.Tr.Avia.Freight.Domestic</t>
  </si>
  <si>
    <t>VehicleKm.Mkm.AT.Tr.Avia.Freight.IntraEEAwCHUK</t>
  </si>
  <si>
    <t>VehicleKm.Mkm.AT.Tr.Avia.Freight.ExtraEEAwCHUK</t>
  </si>
  <si>
    <t>Flights.number.AT.Tr.Avia</t>
  </si>
  <si>
    <t>Flights.number.AT.Tr.Avia.Passenger</t>
  </si>
  <si>
    <t>Flights.number.AT.Tr.Avia.Passenger.Domestic</t>
  </si>
  <si>
    <t>Flights.number.AT.Tr.Avia.Passenger.IntraEEAwCHUK</t>
  </si>
  <si>
    <t>Flights.number.AT.Tr.Avia.Passenger.ExtraEEAwCHUK</t>
  </si>
  <si>
    <t>Flights.number.AT.Tr.Avia.Freight</t>
  </si>
  <si>
    <t>Flights.number.AT.Tr.Avia.Freight.Domestic</t>
  </si>
  <si>
    <t>Flights.number.AT.Tr.Avia.Freight.IntraEEAwCHUK</t>
  </si>
  <si>
    <t>Flights.number.AT.Tr.Avia.Freight.ExtraEEAwCHUK</t>
  </si>
  <si>
    <t>VolCarried.passenger.AT.Tr.Avia.Passenger</t>
  </si>
  <si>
    <t>VolCarried.passenger.AT.Tr.Avia.Passenger.Domestic</t>
  </si>
  <si>
    <t>VolCarried.passenger.AT.Tr.Avia.Passenger.IntraEEAwCHUK</t>
  </si>
  <si>
    <t>VolCarried.passenger.AT.Tr.Avia.Passenger.ExtraEEAwCHUK</t>
  </si>
  <si>
    <t>VolCarried.t.AT.Tr.Avia.Freight</t>
  </si>
  <si>
    <t>VolCarried.t.AT.Tr.Avia.Freight.Domestic</t>
  </si>
  <si>
    <t>VolCarried.t.AT.Tr.Avia.Freight.IntraEEAwCHUK</t>
  </si>
  <si>
    <t>VolCarried.t.AT.Tr.Avia.Freight.ExtraEEAwCHUK</t>
  </si>
  <si>
    <t>Stock.number.AT.Tr.Avia</t>
  </si>
  <si>
    <t>Stock.number.AT.Tr.Avia.Passenger</t>
  </si>
  <si>
    <t>Stock.number.AT.Tr.Avia.Passenger.Domestic</t>
  </si>
  <si>
    <t>Stock.number.AT.Tr.Avia.Passenger.IntraEEAwCHUK</t>
  </si>
  <si>
    <t>Stock.number.AT.Tr.Avia.Passenger.ExtraEEAwCHUK</t>
  </si>
  <si>
    <t>Stock.number.AT.Tr.Avia.Freight</t>
  </si>
  <si>
    <t>Stock.number.AT.Tr.Avia.Freight.Domestic</t>
  </si>
  <si>
    <t>Stock.number.AT.Tr.Avia.Freight.IntraEEAwCHUK</t>
  </si>
  <si>
    <t>Stock.number.AT.Tr.Avia.Freight.ExtraEEAwCHUK</t>
  </si>
  <si>
    <t>StockNew.number.AT.Tr.Avia</t>
  </si>
  <si>
    <t>StockNew.number.AT.Tr.Avia.Passenger</t>
  </si>
  <si>
    <t>StockNew.number.AT.Tr.Avia.Passenger.Domestic</t>
  </si>
  <si>
    <t>StockNew.number.AT.Tr.Avia.Passenger.IntraEEAwCHUK</t>
  </si>
  <si>
    <t>StockNew.number.AT.Tr.Avia.Passenger.ExtraEEAwCHUK</t>
  </si>
  <si>
    <t>StockNew.number.AT.Tr.Avia.Freight</t>
  </si>
  <si>
    <t>StockNew.number.AT.Tr.Avia.Freight.Domestic</t>
  </si>
  <si>
    <t>StockNew.number.AT.Tr.Avia.Freight.IntraEEAwCHUK</t>
  </si>
  <si>
    <t>StockNew.number.AT.Tr.Avia.Freight.ExtraEEAwCHUK</t>
  </si>
  <si>
    <t>Load.passenger_per_movement.AT.Tr.Avia.Passenger</t>
  </si>
  <si>
    <t>Load.passenger_per_movement.AT.Tr.Avia.Passenger.Domestic</t>
  </si>
  <si>
    <t>Load.passenger_per_movement.AT.Tr.Avia.Passenger.IntraEEAwCHUK</t>
  </si>
  <si>
    <t>Load.passenger_per_movement.AT.Tr.Avia.Passenger.ExtraEEAwCHUK</t>
  </si>
  <si>
    <t>Load.t_per_movement.AT.Tr.Avia.Freight</t>
  </si>
  <si>
    <t>Load.t_per_movement.AT.Tr.Avia.Freight.Domestic</t>
  </si>
  <si>
    <t>Load.t_per_movement.AT.Tr.Avia.Freight.IntraEEAwCHUK</t>
  </si>
  <si>
    <t>Load.t_per_movement.AT.Tr.Avia.Freight.ExtraEEAwCHUK</t>
  </si>
  <si>
    <t>VehicleKm_per_flight.km.AT.Tr.Avia</t>
  </si>
  <si>
    <t>VehicleKm_per_flight.km.AT.Tr.Avia.Passenger</t>
  </si>
  <si>
    <t>VehicleKm_per_flight.km.AT.Tr.Avia.Passenger.Domestic</t>
  </si>
  <si>
    <t>VehicleKm_per_flight.km.AT.Tr.Avia.Passenger.IntraEEAwCHUK</t>
  </si>
  <si>
    <t>VehicleKm_per_flight.km.AT.Tr.Avia.Passenger.ExtraEEAwCHUK</t>
  </si>
  <si>
    <t>VehicleKm_per_flight.km.AT.Tr.Avia.Freight</t>
  </si>
  <si>
    <t>VehicleKm_per_flight.km.AT.Tr.Avia.Freight.Domestic</t>
  </si>
  <si>
    <t>VehicleKm_per_flight.km.AT.Tr.Avia.Freight.IntraEEAwCHUK</t>
  </si>
  <si>
    <t>VehicleKm_per_flight.km.AT.Tr.Avia.Freight.ExtraEEAwCHUK</t>
  </si>
  <si>
    <t>Activity_per_flight.pkm.AT.Tr.Avia.Passenger</t>
  </si>
  <si>
    <t>Activity_per_flight.pkm.AT.Tr.Avia.Passenger.Domestic</t>
  </si>
  <si>
    <t>Activity_per_flight.pkm.AT.Tr.Avia.Passenger.IntraEEAwCHUK</t>
  </si>
  <si>
    <t>Activity_per_flight.pkm.AT.Tr.Avia.Passenger.ExtraEEAwCHUK</t>
  </si>
  <si>
    <t>Activity_per_flight.tkm.AT.Tr.Avia.Freight</t>
  </si>
  <si>
    <t>Activity_per_flight.tkm.AT.Tr.Avia.Freight.Domestic</t>
  </si>
  <si>
    <t>Activity_per_flight.tkm.AT.Tr.Avia.Freight.IntraEEAwCHUK</t>
  </si>
  <si>
    <t>Activity_per_flight.tkm.AT.Tr.Avia.Freight.ExtraEEAwCHUK</t>
  </si>
  <si>
    <t>Flights_per_vehicle.number.AT.Tr.Avia</t>
  </si>
  <si>
    <t>Flights_per_vehicle.number.AT.Tr.Avia.Passenger</t>
  </si>
  <si>
    <t>Flights_per_vehicle.number.AT.Tr.Avia.Passenger.Domestic</t>
  </si>
  <si>
    <t>Flights_per_vehicle.number.AT.Tr.Avia.Passenger.IntraEEAwCHUK</t>
  </si>
  <si>
    <t>Flights_per_vehicle.number.AT.Tr.Avia.Passenger.ExtraEEAwCHUK</t>
  </si>
  <si>
    <t>Flights_per_vehicle.number.AT.Tr.Avia.Freight</t>
  </si>
  <si>
    <t>Flights_per_vehicle.number.AT.Tr.Avia.Freight.Domestic</t>
  </si>
  <si>
    <t>Flights_per_vehicle.number.AT.Tr.Avia.Freight.IntraEEAwCHUK</t>
  </si>
  <si>
    <t>Flights_per_vehicle.number.AT.Tr.Avia.Freight.ExtraEEAwCHUK</t>
  </si>
  <si>
    <t>Aviation / energy consumption - AT - Austria</t>
  </si>
  <si>
    <t>FEC.ktoe.AT.Tr.Avia</t>
  </si>
  <si>
    <t>FEC.ktoe.AT.Tr.Avia.Domestic</t>
  </si>
  <si>
    <t>FEC.ktoe.AT.Tr.Avia.International</t>
  </si>
  <si>
    <t>FEC.ktoe.AT.Tr.Avia.Passenger</t>
  </si>
  <si>
    <t>FEC.ktoe.AT.Tr.Avia.Passenger.Domestic</t>
  </si>
  <si>
    <t>FEC.ktoe.AT.Tr.Avia.Passenger.IntraEEAwCHUK</t>
  </si>
  <si>
    <t>FEC.ktoe.AT.Tr.Avia.Passenger.ExtraEEAwCHUK</t>
  </si>
  <si>
    <t>FEC.ktoe.AT.Tr.Avia.Freight</t>
  </si>
  <si>
    <t>FEC.ktoe.AT.Tr.Avia.Freight.Domestic</t>
  </si>
  <si>
    <t>FEC.ktoe.AT.Tr.Avia.Freight.IntraEEAwCHUK</t>
  </si>
  <si>
    <t>FEC.ktoe.AT.Tr.Avia.Freight.ExtraEEAwCHUK</t>
  </si>
  <si>
    <t>Eff.kgoe_per_100km.AT.Tr.Avia</t>
  </si>
  <si>
    <t>Eff.kgoe_per_100km.AT.Tr.Avia.Passenger</t>
  </si>
  <si>
    <t>Eff.kgoe_per_100km.AT.Tr.Avia.Passenger.Domestic</t>
  </si>
  <si>
    <t>Eff.kgoe_per_100km.AT.Tr.Avia.Passenger.IntraEEAwCHUK</t>
  </si>
  <si>
    <t>Eff.kgoe_per_100km.AT.Tr.Avia.Passenger.ExtraEEAwCHUK</t>
  </si>
  <si>
    <t>Eff.kgoe_per_100km.AT.Tr.Avia.Freight</t>
  </si>
  <si>
    <t>Eff.kgoe_per_100km.AT.Tr.Avia.Freight.Domestic</t>
  </si>
  <si>
    <t>Eff.kgoe_per_100km.AT.Tr.Avia.Freight.IntraEEAwCHUK</t>
  </si>
  <si>
    <t>Eff.kgoe_per_100km.AT.Tr.Avia.Freight.ExtraEEAwCHUK</t>
  </si>
  <si>
    <t>Eff.kgoe_per_kpkm.AT.Tr.Avia.Passenger</t>
  </si>
  <si>
    <t>Eff.kgoe_per_kpkm.AT.Tr.Avia.Passenger.Domestic</t>
  </si>
  <si>
    <t>Eff.kgoe_per_kpkm.AT.Tr.Avia.Passenger.IntraEEAwCHUK</t>
  </si>
  <si>
    <t>Eff.kgoe_per_kpkm.AT.Tr.Avia.Passenger.ExtraEEAwCHUK</t>
  </si>
  <si>
    <t>Eff.kgoe_per_ktkm.AT.Tr.Avia.Freight</t>
  </si>
  <si>
    <t>Eff.kgoe_per_ktkm.AT.Tr.Avia.Freight.Domestic</t>
  </si>
  <si>
    <t>Eff.kgoe_per_ktkm.AT.Tr.Avia.Freight.IntraEEAwCHUK</t>
  </si>
  <si>
    <t>Eff.kgoe_per_ktkm.AT.Tr.Avia.Freight.ExtraEEAwCHUK</t>
  </si>
  <si>
    <t>FEC_per_flight.kgoe.AT.Tr.Avia</t>
  </si>
  <si>
    <t>FEC_per_flight.kgoe.AT.Tr.Avia.Passenger</t>
  </si>
  <si>
    <t>FEC_per_flight.kgoe.AT.Tr.Avia.Passenger.Domestic</t>
  </si>
  <si>
    <t>FEC_per_flight.kgoe.AT.Tr.Avia.Passenger.IntraEEAwCHUK</t>
  </si>
  <si>
    <t>FEC_per_flight.kgoe.AT.Tr.Avia.Passenger.ExtraEEAwCHUK</t>
  </si>
  <si>
    <t>FEC_per_flight.kgoe.AT.Tr.Avia.Freight</t>
  </si>
  <si>
    <t>FEC_per_flight.kgoe.AT.Tr.Avia.Freight.Domestic</t>
  </si>
  <si>
    <t>FEC_per_flight.kgoe.AT.Tr.Avia.Freight.IntraEEAwCHUK</t>
  </si>
  <si>
    <t>FEC_per_flight.kgoe.AT.Tr.Avia.Freight.ExtraEEAwCHUK</t>
  </si>
  <si>
    <t>Eff_theor.kgoe_per_100km.AT.Tr.Avia</t>
  </si>
  <si>
    <t>Eff_theor.kgoe_per_100km.AT.Tr.Avia.Passenger</t>
  </si>
  <si>
    <t>Eff_theor.kgoe_per_100km.AT.Tr.Avia.Passenger.Domestic</t>
  </si>
  <si>
    <t>Eff_theor.kgoe_per_100km.AT.Tr.Avia.Passenger.IntraEEAwCHUK</t>
  </si>
  <si>
    <t>Eff_theor.kgoe_per_100km.AT.Tr.Avia.Passenger.ExtraEEAwCHUK</t>
  </si>
  <si>
    <t>Eff_theor.kgoe_per_100km.AT.Tr.Avia.Freight</t>
  </si>
  <si>
    <t>Eff_theor.kgoe_per_100km.AT.Tr.Avia.Freight.Domestic</t>
  </si>
  <si>
    <t>Eff_theor.kgoe_per_100km.AT.Tr.Avia.Freight.IntraEEAwCHUK</t>
  </si>
  <si>
    <t>Eff_theor.kgoe_per_100km.AT.Tr.Avia.Freight.ExtraEEAwCHUK</t>
  </si>
  <si>
    <t>Aviation / CO2 emissions - AT - Austria</t>
  </si>
  <si>
    <t>EMI.ktCO2.AT.Tr.Avia</t>
  </si>
  <si>
    <t>EMI.ktCO2.AT.Tr.Avia.Domestic</t>
  </si>
  <si>
    <t>EMI.ktCO2.AT.Tr.Avia.International</t>
  </si>
  <si>
    <t>EMI.ktCO2.AT.Tr.Avia.Passenger</t>
  </si>
  <si>
    <t>EMI.ktCO2.AT.Tr.Avia.Passenger.Domestic</t>
  </si>
  <si>
    <t>EMI.ktCO2.AT.Tr.Avia.Passenger.IntraEEAwCHUK</t>
  </si>
  <si>
    <t>EMI.ktCO2.AT.Tr.Avia.Passenger.ExtraEEAwCHUK</t>
  </si>
  <si>
    <t>EMI.ktCO2.AT.Tr.Avia.Freight</t>
  </si>
  <si>
    <t>EMI.ktCO2.AT.Tr.Avia.Freight.Domestic</t>
  </si>
  <si>
    <t>EMI.ktCO2.AT.Tr.Avia.Freight.IntraEEAwCHUK</t>
  </si>
  <si>
    <t>EMI.ktCO2.AT.Tr.Avia.Freight.ExtraEEAwCHUK</t>
  </si>
  <si>
    <t>EMIint.gCO2_per_km.AT.Tr.Avia</t>
  </si>
  <si>
    <t>EMIint.gCO2_per_km.AT.Tr.Avia.Passenger</t>
  </si>
  <si>
    <t>EMIint.gCO2_per_km.AT.Tr.Avia.Passenger.Domestic</t>
  </si>
  <si>
    <t>EMIint.gCO2_per_km.AT.Tr.Avia.Passenger.IntraEEAwCHUK</t>
  </si>
  <si>
    <t>EMIint.gCO2_per_km.AT.Tr.Avia.Passenger.ExtraEEAwCHUK</t>
  </si>
  <si>
    <t>EMIint.gCO2_per_km.AT.Tr.Avia.Freight</t>
  </si>
  <si>
    <t>EMIint.gCO2_per_km.AT.Tr.Avia.Freight.Domestic</t>
  </si>
  <si>
    <t>EMIint.gCO2_per_km.AT.Tr.Avia.Freight.IntraEEAwCHUK</t>
  </si>
  <si>
    <t>EMIint.gCO2_per_km.AT.Tr.Avia.Freight.ExtraEEAwCHUK</t>
  </si>
  <si>
    <t>EMIint.gCO2_per_pkm.AT.Tr.Avia.Passenger</t>
  </si>
  <si>
    <t>EMIint.gCO2_per_pkm.AT.Tr.Avia.Passenger.Domestic</t>
  </si>
  <si>
    <t>EMIint.gCO2_per_pkm.AT.Tr.Avia.Passenger.IntraEEAwCHUK</t>
  </si>
  <si>
    <t>EMIint.gCO2_per_pkm.AT.Tr.Avia.Passenger.ExtraEEAwCHUK</t>
  </si>
  <si>
    <t>EMIint.gCO2_per_tkm.AT.Tr.Avia.Freight</t>
  </si>
  <si>
    <t>EMIint.gCO2_per_tkm.AT.Tr.Avia.Freight.Domestic</t>
  </si>
  <si>
    <t>EMIint.gCO2_per_tkm.AT.Tr.Avia.Freight.IntraEEAwCHUK</t>
  </si>
  <si>
    <t>EMIint.gCO2_per_tkm.AT.Tr.Avia.Freight.ExtraEEAwCHUK</t>
  </si>
  <si>
    <t>EMI_per_flight.kgCO2.AT.Tr.Avia</t>
  </si>
  <si>
    <t>EMI_per_flight.kgCO2.AT.Tr.Avia.Passenger</t>
  </si>
  <si>
    <t>EMI_per_flight.kgCO2.AT.Tr.Avia.Passenger.Domestic</t>
  </si>
  <si>
    <t>EMI_per_flight.kgCO2.AT.Tr.Avia.Passenger.IntraEEAwCHUK</t>
  </si>
  <si>
    <t>EMI_per_flight.kgCO2.AT.Tr.Avia.Passenger.ExtraEEAwCHUK</t>
  </si>
  <si>
    <t>EMI_per_flight.kgCO2.AT.Tr.Avia.Freight</t>
  </si>
  <si>
    <t>EMI_per_flight.kgCO2.AT.Tr.Avia.Freight.Domestic</t>
  </si>
  <si>
    <t>EMI_per_flight.kgCO2.AT.Tr.Avia.Freight.IntraEEAwCHUK</t>
  </si>
  <si>
    <t>EMI_per_flight.kgCO2.AT.Tr.Avia.Freight.ExtraEEAwCHUK</t>
  </si>
  <si>
    <t>Aviation / passenger transport specific data - AT - Austria</t>
  </si>
  <si>
    <t>TrCap.seats.AT.Tr.Avia.Passenger</t>
  </si>
  <si>
    <t>TrCap.seats.AT.Tr.Avia.Passenger.Domestic</t>
  </si>
  <si>
    <t>TrCap.seats.AT.Tr.Avia.Passenger.IntraEEAwCHUK</t>
  </si>
  <si>
    <t>TrCap.seats.AT.Tr.Avia.Passenger.ExtraEEAwCHUK</t>
  </si>
  <si>
    <t>TrCap_per_flight.seats.AT.Tr.Avia.Passenger</t>
  </si>
  <si>
    <t>TrCap_per_flight.seats.AT.Tr.Avia.Passenger.Domestic</t>
  </si>
  <si>
    <t>TrCap_per_flight.seats.AT.Tr.Avia.Passenger.IntraEEAwCHUK</t>
  </si>
  <si>
    <t>TrCap_per_flight.seats.AT.Tr.Avia.Passenger.ExtraEEAwCHUK</t>
  </si>
  <si>
    <t>Transport overview - AT - Austria</t>
  </si>
  <si>
    <t>Activity.Mpkm.AT.Tr</t>
  </si>
  <si>
    <t>Activity.Mpkm.AT.Tr.Road.Passenger</t>
  </si>
  <si>
    <t>Activity.Mpkm.AT.Tr.Road.Passenger.P2W</t>
  </si>
  <si>
    <t>Activity.Mpkm.AT.Tr.Road.Passenger.Car</t>
  </si>
  <si>
    <t>Activity.Mpkm.AT.Tr.Road.Passenger.Bus</t>
  </si>
  <si>
    <t>Activity.Mpkm.AT.Tr.Rail.Passenger</t>
  </si>
  <si>
    <t>Activity.Mpkm.AT.Tr.Rail.Passenger.MTU</t>
  </si>
  <si>
    <t>Activity.Mpkm.AT.Tr.Rail.Passenger.CPT</t>
  </si>
  <si>
    <t>Activity.Mpkm.AT.Tr.Rail.Passenger.HST</t>
  </si>
  <si>
    <t>Activity.Mtkm.AT.Tr</t>
  </si>
  <si>
    <t>Activity.Mtkm.AT.Tr.Road.Freight</t>
  </si>
  <si>
    <t>Activity.Mtkm.AT.Tr.Road.Freight.LCV</t>
  </si>
  <si>
    <t>Activity.Mtkm.AT.Tr.Road.Freight.HGV_All</t>
  </si>
  <si>
    <t>Activity.Mtkm.AT.Tr.Rail.Freight</t>
  </si>
  <si>
    <t>Activity.Mtkm.AT.Tr.DNavi.Freight</t>
  </si>
  <si>
    <t>Activity.Mtkm.AT.Tr.DNavi.Freight.DCS</t>
  </si>
  <si>
    <t>Activity.Mtkm.AT.Tr.DNavi.Freight.IWW</t>
  </si>
  <si>
    <t>Activity.Mtkm.AT.MBunk.Freight</t>
  </si>
  <si>
    <t>Activity.Mtkm.AT.MBunk.Freight.IntraEEA</t>
  </si>
  <si>
    <t>Activity.Mtkm.AT.MBunk.Freight.ExtraEEA</t>
  </si>
  <si>
    <t>FEC.ktoe.AT.Tr.Road.Passenger</t>
  </si>
  <si>
    <t>FEC.ktoe.AT.Tr.Road.Passenger.P2W</t>
  </si>
  <si>
    <t>FEC.ktoe.AT.Tr.Road.Passenger.Car</t>
  </si>
  <si>
    <t>FEC.ktoe.AT.Tr.Road.Passenger.Bus</t>
  </si>
  <si>
    <t>FEC.ktoe.AT.Tr.Rail.Passenger</t>
  </si>
  <si>
    <t>FEC.ktoe.AT.Tr.Rail.Passenger.MTU</t>
  </si>
  <si>
    <t>FEC.ktoe.AT.Tr.Rail.Passenger.CPT</t>
  </si>
  <si>
    <t>FEC.ktoe.AT.Tr.Rail.Passenger.HST</t>
  </si>
  <si>
    <t>FEC.ktoe.AT.Tr.Road.Freight</t>
  </si>
  <si>
    <t>FEC.ktoe.AT.Tr.Road.Freight.LCV</t>
  </si>
  <si>
    <t>FEC.ktoe.AT.Tr.Road.Freight.HGV_All</t>
  </si>
  <si>
    <t>FEC.ktoe.AT.Tr.Rail.Freight</t>
  </si>
  <si>
    <t>EMI.ktCO2.AT.Tr.Road.Passenger</t>
  </si>
  <si>
    <t>EMI.ktCO2.AT.Tr.Road.Passenger.P2W</t>
  </si>
  <si>
    <t>EMI.ktCO2.AT.Tr.Road.Passenger.Car</t>
  </si>
  <si>
    <t>EMI.ktCO2.AT.Tr.Road.Passenger.Bus</t>
  </si>
  <si>
    <t>EMI.ktCO2.AT.Tr.Rail.Passenger</t>
  </si>
  <si>
    <t>EMI.ktCO2.AT.Tr.Rail.Passenger.MTU</t>
  </si>
  <si>
    <t>EMI.ktCO2.AT.Tr.Rail.Passenger.CPT</t>
  </si>
  <si>
    <t>EMI.ktCO2.AT.Tr.Rail.Passenger.HST</t>
  </si>
  <si>
    <t>EMI.ktCO2.AT.Tr.Road.Freight</t>
  </si>
  <si>
    <t>EMI.ktCO2.AT.Tr.Road.Freight.LCV</t>
  </si>
  <si>
    <t>EMI.ktCO2.AT.Tr.Road.Freight.HGV_All</t>
  </si>
  <si>
    <t>EMI.ktCO2.AT.Tr.Rail.Freight</t>
  </si>
  <si>
    <t>Eff.kgoe_per_kpkm.AT.Tr</t>
  </si>
  <si>
    <t>Eff.kgoe_per_kpkm.AT.Tr.Road.Passenger</t>
  </si>
  <si>
    <t>Eff.kgoe_per_kpkm.AT.Tr.Road.Passenger.P2W</t>
  </si>
  <si>
    <t>Eff.kgoe_per_kpkm.AT.Tr.Road.Passenger.Car</t>
  </si>
  <si>
    <t>Eff.kgoe_per_kpkm.AT.Tr.Road.Passenger.Bus</t>
  </si>
  <si>
    <t>Eff.kgoe_per_kpkm.AT.Tr.Rail.Passenger</t>
  </si>
  <si>
    <t>Eff.kgoe_per_kpkm.AT.Tr.Rail.Passenger.MTU</t>
  </si>
  <si>
    <t>Eff.kgoe_per_kpkm.AT.Tr.Rail.Passenger.CPT</t>
  </si>
  <si>
    <t>Eff.kgoe_per_kpkm.AT.Tr.Rail.Passenger.HST</t>
  </si>
  <si>
    <t>Eff.kgoe_per_ktkm.AT.Tr</t>
  </si>
  <si>
    <t>Eff.kgoe_per_ktkm.AT.Tr.Road.Freight</t>
  </si>
  <si>
    <t>Eff.kgoe_per_ktkm.AT.Tr.Road.Freight.LCV</t>
  </si>
  <si>
    <t>Eff.kgoe_per_ktkm.AT.Tr.Road.Freight.HGV_All</t>
  </si>
  <si>
    <t>Eff.kgoe_per_ktkm.AT.Tr.Rail.Freight</t>
  </si>
  <si>
    <t>Eff.kgoe_per_ktkm.AT.Tr.DNavi.Freight</t>
  </si>
  <si>
    <t>Eff.kgoe_per_ktkm.AT.Tr.DNavi.Freight.DCS</t>
  </si>
  <si>
    <t>Eff.kgoe_per_ktkm.AT.Tr.DNavi.Freight.IWW</t>
  </si>
  <si>
    <t>Eff.kgoe_per_ktkm.AT.MBunk.Freight</t>
  </si>
  <si>
    <t>Eff.kgoe_per_ktkm.AT.MBunk.Freight.IntraEEA</t>
  </si>
  <si>
    <t>Eff.kgoe_per_ktkm.AT.MBunk.Freight.ExtraEEA</t>
  </si>
  <si>
    <t>EMIint.gCO2_per_pkm.AT.Tr</t>
  </si>
  <si>
    <t>EMIint.gCO2_per_pkm.AT.Tr.Road.Passenger</t>
  </si>
  <si>
    <t>EMIint.gCO2_per_pkm.AT.Tr.Road.Passenger.P2W</t>
  </si>
  <si>
    <t>EMIint.gCO2_per_pkm.AT.Tr.Road.Passenger.Car</t>
  </si>
  <si>
    <t>EMIint.gCO2_per_pkm.AT.Tr.Road.Passenger.Bus</t>
  </si>
  <si>
    <t>EMIint.gCO2_per_pkm.AT.Tr.Rail.Passenger</t>
  </si>
  <si>
    <t>EMIint.gCO2_per_pkm.AT.Tr.Rail.Passenger.MTU</t>
  </si>
  <si>
    <t>EMIint.gCO2_per_pkm.AT.Tr.Rail.Passenger.CPT</t>
  </si>
  <si>
    <t>EMIint.gCO2_per_pkm.AT.Tr.Rail.Passenger.HST</t>
  </si>
  <si>
    <t>EMIint.gCO2_per_tkm.AT.Tr</t>
  </si>
  <si>
    <t>EMIint.gCO2_per_tkm.AT.Tr.Road.Freight</t>
  </si>
  <si>
    <t>EMIint.gCO2_per_tkm.AT.Tr.Road.Freight.LCV</t>
  </si>
  <si>
    <t>EMIint.gCO2_per_tkm.AT.Tr.Road.Freight.HGV_All</t>
  </si>
  <si>
    <t>EMIint.gCO2_per_tkm.AT.Tr.Rail.Freight</t>
  </si>
  <si>
    <t>EMIint.gCO2_per_tkm.AT.Tr.DNavi.Freight</t>
  </si>
  <si>
    <t>EMIint.gCO2_per_tkm.AT.Tr.DNavi.Freight.DCS</t>
  </si>
  <si>
    <t>EMIint.gCO2_per_tkm.AT.Tr.DNavi.Freight.IWW</t>
  </si>
  <si>
    <t>EMIint.gCO2_per_tkm.AT.MBunk.Freight</t>
  </si>
  <si>
    <t>EMIint.gCO2_per_tkm.AT.MBunk.Freight.IntraEEA</t>
  </si>
  <si>
    <t>EMIint.gCO2_per_tkm.AT.MBunk.Freight.ExtraEEA</t>
  </si>
  <si>
    <t>Road transport - AT - Austria</t>
  </si>
  <si>
    <t>Activity.Mpkm.AT.Tr.Road.Passenger.Car.ICE.Gasoline</t>
  </si>
  <si>
    <t>Activity.Mpkm.AT.Tr.Road.Passenger.Car.ICE.Diesel</t>
  </si>
  <si>
    <t>Activity.Mpkm.AT.Tr.Road.Passenger.Car.ICE.LPG</t>
  </si>
  <si>
    <t>Activity.Mpkm.AT.Tr.Road.Passenger.Car.ICE.NGas</t>
  </si>
  <si>
    <t>Activity.Mpkm.AT.Tr.Road.Passenger.Car.PHEV.Gasoline</t>
  </si>
  <si>
    <t>Activity.Mpkm.AT.Tr.Road.Passenger.Car.BEV</t>
  </si>
  <si>
    <t>Activity.Mpkm.AT.Tr.Road.Passenger.Bus.ICE.Gasoline</t>
  </si>
  <si>
    <t>Activity.Mpkm.AT.Tr.Road.Passenger.Bus.ICE.Diesel</t>
  </si>
  <si>
    <t>Activity.Mpkm.AT.Tr.Road.Passenger.Bus.ICE.LPG</t>
  </si>
  <si>
    <t>Activity.Mpkm.AT.Tr.Road.Passenger.Bus.ICE.NGas</t>
  </si>
  <si>
    <t>Activity.Mpkm.AT.Tr.Road.Passenger.Bus.BEV</t>
  </si>
  <si>
    <t>Activity.Mtkm.AT.Tr.Road.Freight.LCV.ICE.Gasoline</t>
  </si>
  <si>
    <t>Activity.Mtkm.AT.Tr.Road.Freight.LCV.ICE.Diesel</t>
  </si>
  <si>
    <t>Activity.Mtkm.AT.Tr.Road.Freight.LCV.ICE.LPG</t>
  </si>
  <si>
    <t>Activity.Mtkm.AT.Tr.Road.Freight.LCV.ICE.NGas</t>
  </si>
  <si>
    <t>Activity.Mtkm.AT.Tr.Road.Freight.LCV.BEV</t>
  </si>
  <si>
    <t>Activity.Mtkm.AT.Tr.Road.Freight.HGV_Domestic</t>
  </si>
  <si>
    <t>Activity.Mtkm.AT.Tr.Road.Freight.HGV_International</t>
  </si>
  <si>
    <t>VehicleKm.Mkm.AT.Tr.Road</t>
  </si>
  <si>
    <t>VehicleKm.Mkm.AT.Tr.Road.Passenger</t>
  </si>
  <si>
    <t>VehicleKm.Mkm.AT.Tr.Road.Passenger.P2W</t>
  </si>
  <si>
    <t>VehicleKm.Mkm.AT.Tr.Road.Passenger.Car</t>
  </si>
  <si>
    <t>VehicleKm.Mkm.AT.Tr.Road.Passenger.Car.ICE.Gasoline</t>
  </si>
  <si>
    <t>VehicleKm.Mkm.AT.Tr.Road.Passenger.Car.ICE.Diesel</t>
  </si>
  <si>
    <t>VehicleKm.Mkm.AT.Tr.Road.Passenger.Car.ICE.LPG</t>
  </si>
  <si>
    <t>VehicleKm.Mkm.AT.Tr.Road.Passenger.Car.ICE.NGas</t>
  </si>
  <si>
    <t>VehicleKm.Mkm.AT.Tr.Road.Passenger.Car.PHEV.Gasoline</t>
  </si>
  <si>
    <t>VehicleKm.Mkm.AT.Tr.Road.Passenger.Car.BEV</t>
  </si>
  <si>
    <t>VehicleKm.Mkm.AT.Tr.Road.Passenger.Bus</t>
  </si>
  <si>
    <t>VehicleKm.Mkm.AT.Tr.Road.Passenger.Bus.ICE.Gasoline</t>
  </si>
  <si>
    <t>VehicleKm.Mkm.AT.Tr.Road.Passenger.Bus.ICE.Diesel</t>
  </si>
  <si>
    <t>VehicleKm.Mkm.AT.Tr.Road.Passenger.Bus.ICE.LPG</t>
  </si>
  <si>
    <t>VehicleKm.Mkm.AT.Tr.Road.Passenger.Bus.ICE.NGas</t>
  </si>
  <si>
    <t>VehicleKm.Mkm.AT.Tr.Road.Passenger.Bus.BEV</t>
  </si>
  <si>
    <t>VehicleKm.Mkm.AT.Tr.Road.Freight</t>
  </si>
  <si>
    <t>VehicleKm.Mkm.AT.Tr.Road.Freight.LCV</t>
  </si>
  <si>
    <t>VehicleKm.Mkm.AT.Tr.Road.Freight.LCV.ICE.Gasoline</t>
  </si>
  <si>
    <t>VehicleKm.Mkm.AT.Tr.Road.Freight.LCV.ICE.Diesel</t>
  </si>
  <si>
    <t>VehicleKm.Mkm.AT.Tr.Road.Freight.LCV.ICE.LPG</t>
  </si>
  <si>
    <t>VehicleKm.Mkm.AT.Tr.Road.Freight.LCV.ICE.NGas</t>
  </si>
  <si>
    <t>VehicleKm.Mkm.AT.Tr.Road.Freight.LCV.BEV</t>
  </si>
  <si>
    <t>VehicleKm.Mkm.AT.Tr.Road.Freight.HGV_All</t>
  </si>
  <si>
    <t>VehicleKm.Mkm.AT.Tr.Road.Freight.HGV_Domestic</t>
  </si>
  <si>
    <t>VehicleKm.Mkm.AT.Tr.Road.Freight.HGV_International</t>
  </si>
  <si>
    <t>Stock.number.AT.Tr.Road</t>
  </si>
  <si>
    <t>Stock.number.AT.Tr.Road.Passenger</t>
  </si>
  <si>
    <t>Stock.number.AT.Tr.Road.Passenger.P2W</t>
  </si>
  <si>
    <t>Stock.number.AT.Tr.Road.Passenger.Car</t>
  </si>
  <si>
    <t>Stock.number.AT.Tr.Road.Passenger.Car.ICE.Gasoline</t>
  </si>
  <si>
    <t>Stock.number.AT.Tr.Road.Passenger.Car.ICE.Diesel</t>
  </si>
  <si>
    <t>Stock.number.AT.Tr.Road.Passenger.Car.ICE.LPG</t>
  </si>
  <si>
    <t>Stock.number.AT.Tr.Road.Passenger.Car.ICE.NGas</t>
  </si>
  <si>
    <t>Stock.number.AT.Tr.Road.Passenger.Car.PHEV.Gasoline</t>
  </si>
  <si>
    <t>Stock.number.AT.Tr.Road.Passenger.Car.BEV</t>
  </si>
  <si>
    <t>Stock.number.AT.Tr.Road.Passenger.Bus</t>
  </si>
  <si>
    <t>Stock.number.AT.Tr.Road.Passenger.Bus.ICE.Gasoline</t>
  </si>
  <si>
    <t>Stock.number.AT.Tr.Road.Passenger.Bus.ICE.Diesel</t>
  </si>
  <si>
    <t>Stock.number.AT.Tr.Road.Passenger.Bus.ICE.LPG</t>
  </si>
  <si>
    <t>Stock.number.AT.Tr.Road.Passenger.Bus.ICE.NGas</t>
  </si>
  <si>
    <t>Stock.number.AT.Tr.Road.Passenger.Bus.BEV</t>
  </si>
  <si>
    <t>Stock.number.AT.Tr.Road.Freight</t>
  </si>
  <si>
    <t>Stock.number.AT.Tr.Road.Freight.LCV</t>
  </si>
  <si>
    <t>Stock.number.AT.Tr.Road.Freight.LCV.ICE.Gasoline</t>
  </si>
  <si>
    <t>Stock.number.AT.Tr.Road.Freight.LCV.ICE.Diesel</t>
  </si>
  <si>
    <t>Stock.number.AT.Tr.Road.Freight.LCV.ICE.LPG</t>
  </si>
  <si>
    <t>Stock.number.AT.Tr.Road.Freight.LCV.ICE.NGas</t>
  </si>
  <si>
    <t>Stock.number.AT.Tr.Road.Freight.LCV.BEV</t>
  </si>
  <si>
    <t>Stock.number.AT.Tr.Road.Freight.HGV_All</t>
  </si>
  <si>
    <t>Stock.number.AT.Tr.Road.Freight.HGV_Domestic</t>
  </si>
  <si>
    <t>Stock.number.AT.Tr.Road.Freight.HGV_International</t>
  </si>
  <si>
    <t>StockNew.number.AT.Tr.Road</t>
  </si>
  <si>
    <t>StockNew.number.AT.Tr.Road.Passenger</t>
  </si>
  <si>
    <t>StockNew.number.AT.Tr.Road.Passenger.P2W</t>
  </si>
  <si>
    <t>StockNew.number.AT.Tr.Road.Passenger.Car</t>
  </si>
  <si>
    <t>StockNew.number.AT.Tr.Road.Passenger.Car.ICE.Gasoline</t>
  </si>
  <si>
    <t>StockNew.number.AT.Tr.Road.Passenger.Car.ICE.Diesel</t>
  </si>
  <si>
    <t>StockNew.number.AT.Tr.Road.Passenger.Car.ICE.LPG</t>
  </si>
  <si>
    <t>StockNew.number.AT.Tr.Road.Passenger.Car.ICE.NGas</t>
  </si>
  <si>
    <t>StockNew.number.AT.Tr.Road.Passenger.Car.PHEV.Gasoline</t>
  </si>
  <si>
    <t>StockNew.number.AT.Tr.Road.Passenger.Car.BEV</t>
  </si>
  <si>
    <t>StockNew.number.AT.Tr.Road.Passenger.Bus</t>
  </si>
  <si>
    <t>StockNew.number.AT.Tr.Road.Passenger.Bus.ICE.Gasoline</t>
  </si>
  <si>
    <t>StockNew.number.AT.Tr.Road.Passenger.Bus.ICE.Diesel</t>
  </si>
  <si>
    <t>StockNew.number.AT.Tr.Road.Passenger.Bus.ICE.LPG</t>
  </si>
  <si>
    <t>StockNew.number.AT.Tr.Road.Passenger.Bus.ICE.NGas</t>
  </si>
  <si>
    <t>StockNew.number.AT.Tr.Road.Passenger.Bus.BEV</t>
  </si>
  <si>
    <t>StockNew.number.AT.Tr.Road.Freight</t>
  </si>
  <si>
    <t>StockNew.number.AT.Tr.Road.Freight.LCV</t>
  </si>
  <si>
    <t>StockNew.number.AT.Tr.Road.Freight.LCV.ICE.Gasoline</t>
  </si>
  <si>
    <t>StockNew.number.AT.Tr.Road.Freight.LCV.ICE.Diesel</t>
  </si>
  <si>
    <t>StockNew.number.AT.Tr.Road.Freight.LCV.ICE.LPG</t>
  </si>
  <si>
    <t>StockNew.number.AT.Tr.Road.Freight.LCV.ICE.NGas</t>
  </si>
  <si>
    <t>StockNew.number.AT.Tr.Road.Freight.LCV.BEV</t>
  </si>
  <si>
    <t>StockNew.number.AT.Tr.Road.Freight.HGV_All</t>
  </si>
  <si>
    <t>StockNew.number.AT.Tr.Road.Freight.HGV_Domestic</t>
  </si>
  <si>
    <t>StockNew.number.AT.Tr.Road.Freight.HGV_International</t>
  </si>
  <si>
    <t>Load.passenger_per_movement.AT.Tr.Road.Passenger</t>
  </si>
  <si>
    <t>Load.passenger_per_movement.AT.Tr.Road.Passenger.P2W</t>
  </si>
  <si>
    <t>Load.passenger_per_movement.AT.Tr.Road.Passenger.Car</t>
  </si>
  <si>
    <t>Load.passenger_per_movement.AT.Tr.Road.Passenger.Car.ICE.Gasoline</t>
  </si>
  <si>
    <t>Load.passenger_per_movement.AT.Tr.Road.Passenger.Car.ICE.Diesel</t>
  </si>
  <si>
    <t>Load.passenger_per_movement.AT.Tr.Road.Passenger.Car.ICE.LPG</t>
  </si>
  <si>
    <t>Load.passenger_per_movement.AT.Tr.Road.Passenger.Car.ICE.NGas</t>
  </si>
  <si>
    <t>Load.passenger_per_movement.AT.Tr.Road.Passenger.Car.PHEV.Gasoline</t>
  </si>
  <si>
    <t>Load.passenger_per_movement.AT.Tr.Road.Passenger.Car.BEV</t>
  </si>
  <si>
    <t>Load.passenger_per_movement.AT.Tr.Road.Passenger.Bus</t>
  </si>
  <si>
    <t>Load.passenger_per_movement.AT.Tr.Road.Passenger.Bus.ICE.Gasoline</t>
  </si>
  <si>
    <t>Load.passenger_per_movement.AT.Tr.Road.Passenger.Bus.ICE.Diesel</t>
  </si>
  <si>
    <t>Load.passenger_per_movement.AT.Tr.Road.Passenger.Bus.ICE.LPG</t>
  </si>
  <si>
    <t>Load.passenger_per_movement.AT.Tr.Road.Passenger.Bus.ICE.NGas</t>
  </si>
  <si>
    <t>Load.passenger_per_movement.AT.Tr.Road.Passenger.Bus.BEV</t>
  </si>
  <si>
    <t>Load.t_per_movement.AT.Tr.Road.Freight</t>
  </si>
  <si>
    <t>Load.t_per_movement.AT.Tr.Road.Freight.LCV</t>
  </si>
  <si>
    <t>Load.t_per_movement.AT.Tr.Road.Freight.LCV.ICE.Gasoline</t>
  </si>
  <si>
    <t>Load.t_per_movement.AT.Tr.Road.Freight.LCV.ICE.Diesel</t>
  </si>
  <si>
    <t>Load.t_per_movement.AT.Tr.Road.Freight.LCV.ICE.LPG</t>
  </si>
  <si>
    <t>Load.t_per_movement.AT.Tr.Road.Freight.LCV.ICE.NGas</t>
  </si>
  <si>
    <t>Load.t_per_movement.AT.Tr.Road.Freight.LCV.BEV</t>
  </si>
  <si>
    <t>Load.t_per_movement.AT.Tr.Road.Freight.HGV_All</t>
  </si>
  <si>
    <t>Load.t_per_movement.AT.Tr.Road.Freight.HGV_Domestic</t>
  </si>
  <si>
    <t>Load.t_per_movement.AT.Tr.Road.Freight.HGV_International</t>
  </si>
  <si>
    <t>VehicleKm_per_vehicle.km.AT.Tr.Road</t>
  </si>
  <si>
    <t>VehicleKm_per_vehicle.km.AT.Tr.Road.Passenger</t>
  </si>
  <si>
    <t>VehicleKm_per_vehicle.km.AT.Tr.Road.Passenger.P2W</t>
  </si>
  <si>
    <t>VehicleKm_per_vehicle.km.AT.Tr.Road.Passenger.Car</t>
  </si>
  <si>
    <t>VehicleKm_per_vehicle.km.AT.Tr.Road.Passenger.Car.ICE.Gasoline</t>
  </si>
  <si>
    <t>VehicleKm_per_vehicle.km.AT.Tr.Road.Passenger.Car.ICE.Diesel</t>
  </si>
  <si>
    <t>VehicleKm_per_vehicle.km.AT.Tr.Road.Passenger.Car.ICE.LPG</t>
  </si>
  <si>
    <t>VehicleKm_per_vehicle.km.AT.Tr.Road.Passenger.Car.ICE.NGas</t>
  </si>
  <si>
    <t>VehicleKm_per_vehicle.km.AT.Tr.Road.Passenger.Car.PHEV.Gasoline</t>
  </si>
  <si>
    <t>VehicleKm_per_vehicle.km.AT.Tr.Road.Passenger.Car.BEV</t>
  </si>
  <si>
    <t>VehicleKm_per_vehicle.km.AT.Tr.Road.Passenger.Bus</t>
  </si>
  <si>
    <t>VehicleKm_per_vehicle.km.AT.Tr.Road.Passenger.Bus.ICE.Gasoline</t>
  </si>
  <si>
    <t>VehicleKm_per_vehicle.km.AT.Tr.Road.Passenger.Bus.ICE.Diesel</t>
  </si>
  <si>
    <t>VehicleKm_per_vehicle.km.AT.Tr.Road.Passenger.Bus.ICE.LPG</t>
  </si>
  <si>
    <t>VehicleKm_per_vehicle.km.AT.Tr.Road.Passenger.Bus.ICE.NGas</t>
  </si>
  <si>
    <t>VehicleKm_per_vehicle.km.AT.Tr.Road.Passenger.Bus.BEV</t>
  </si>
  <si>
    <t>VehicleKm_per_vehicle.km.AT.Tr.Road.Freight</t>
  </si>
  <si>
    <t>VehicleKm_per_vehicle.km.AT.Tr.Road.Freight.LCV</t>
  </si>
  <si>
    <t>VehicleKm_per_vehicle.km.AT.Tr.Road.Freight.LCV.ICE.Gasoline</t>
  </si>
  <si>
    <t>VehicleKm_per_vehicle.km.AT.Tr.Road.Freight.LCV.ICE.Diesel</t>
  </si>
  <si>
    <t>VehicleKm_per_vehicle.km.AT.Tr.Road.Freight.LCV.ICE.LPG</t>
  </si>
  <si>
    <t>VehicleKm_per_vehicle.km.AT.Tr.Road.Freight.LCV.ICE.NGas</t>
  </si>
  <si>
    <t>VehicleKm_per_vehicle.km.AT.Tr.Road.Freight.LCV.BEV</t>
  </si>
  <si>
    <t>VehicleKm_per_vehicle.km.AT.Tr.Road.Freight.HGV_All</t>
  </si>
  <si>
    <t>VehicleKm_per_vehicle.km.AT.Tr.Road.Freight.HGV_Domestic</t>
  </si>
  <si>
    <t>VehicleKm_per_vehicle.km.AT.Tr.Road.Freight.HGV_International</t>
  </si>
  <si>
    <t>Activity_per_vehicle.pkm.AT.Tr.Road.Passenger</t>
  </si>
  <si>
    <t>Activity_per_vehicle.pkm.AT.Tr.Road.Passenger.P2W</t>
  </si>
  <si>
    <t>Activity_per_vehicle.pkm.AT.Tr.Road.Passenger.Car</t>
  </si>
  <si>
    <t>Activity_per_vehicle.pkm.AT.Tr.Road.Passenger.Car.ICE.Gasoline</t>
  </si>
  <si>
    <t>Activity_per_vehicle.pkm.AT.Tr.Road.Passenger.Car.ICE.Diesel</t>
  </si>
  <si>
    <t>Activity_per_vehicle.pkm.AT.Tr.Road.Passenger.Car.ICE.LPG</t>
  </si>
  <si>
    <t>Activity_per_vehicle.pkm.AT.Tr.Road.Passenger.Car.ICE.NGas</t>
  </si>
  <si>
    <t>Activity_per_vehicle.pkm.AT.Tr.Road.Passenger.Car.PHEV.Gasoline</t>
  </si>
  <si>
    <t>Activity_per_vehicle.pkm.AT.Tr.Road.Passenger.Car.BEV</t>
  </si>
  <si>
    <t>Activity_per_vehicle.pkm.AT.Tr.Road.Passenger.Bus</t>
  </si>
  <si>
    <t>Activity_per_vehicle.pkm.AT.Tr.Road.Passenger.Bus.ICE.Gasoline</t>
  </si>
  <si>
    <t>Activity_per_vehicle.pkm.AT.Tr.Road.Passenger.Bus.ICE.Diesel</t>
  </si>
  <si>
    <t>Activity_per_vehicle.pkm.AT.Tr.Road.Passenger.Bus.ICE.LPG</t>
  </si>
  <si>
    <t>Activity_per_vehicle.pkm.AT.Tr.Road.Passenger.Bus.ICE.NGas</t>
  </si>
  <si>
    <t>Activity_per_vehicle.pkm.AT.Tr.Road.Passenger.Bus.BEV</t>
  </si>
  <si>
    <t>Activity_per_vehicle.tkm.AT.Tr.Road.Freight</t>
  </si>
  <si>
    <t>Activity_per_vehicle.tkm.AT.Tr.Road.Freight.LCV</t>
  </si>
  <si>
    <t>Activity_per_vehicle.tkm.AT.Tr.Road.Freight.LCV.ICE.Gasoline</t>
  </si>
  <si>
    <t>Activity_per_vehicle.tkm.AT.Tr.Road.Freight.LCV.ICE.Diesel</t>
  </si>
  <si>
    <t>Activity_per_vehicle.tkm.AT.Tr.Road.Freight.LCV.ICE.LPG</t>
  </si>
  <si>
    <t>Activity_per_vehicle.tkm.AT.Tr.Road.Freight.LCV.ICE.NGas</t>
  </si>
  <si>
    <t>Activity_per_vehicle.tkm.AT.Tr.Road.Freight.LCV.BEV</t>
  </si>
  <si>
    <t>Activity_per_vehicle.tkm.AT.Tr.Road.Freight.HGV_All</t>
  </si>
  <si>
    <t>Activity_per_vehicle.tkm.AT.Tr.Road.Freight.HGV_Domestic</t>
  </si>
  <si>
    <t>Activity_per_vehicle.tkm.AT.Tr.Road.Freight.HGV_International</t>
  </si>
  <si>
    <t>Road transport / energy consumption - AT - Austria</t>
  </si>
  <si>
    <t>FEC.ktoe.AT.ES.Tr.Road</t>
  </si>
  <si>
    <t>FEC.ktoe.AT.ES.Tr.Road.LPG</t>
  </si>
  <si>
    <t>FEC.ktoe.AT.ES.Tr.Road.Gasoline</t>
  </si>
  <si>
    <t>FEC.ktoe.AT.ES.Tr.Road.Diesel</t>
  </si>
  <si>
    <t>FEC.ktoe.AT.ES.Tr.Road.NG</t>
  </si>
  <si>
    <t>FEC.ktoe.AT.ES.Tr.Road.Biogas</t>
  </si>
  <si>
    <t>FEC.ktoe.AT.ES.Tr.Road.Biogasoline</t>
  </si>
  <si>
    <t>FEC.ktoe.AT.ES.Tr.Road.Biodiesel</t>
  </si>
  <si>
    <t>FEC.ktoe.AT.ES.Tr.Road.OthLiqBio</t>
  </si>
  <si>
    <t>FEC.ktoe.AT.ES.Tr.Road.Elec</t>
  </si>
  <si>
    <t>FEC.ktoe.AT.Tr.Road</t>
  </si>
  <si>
    <t>FEC.ktoe.AT.Tr.Road.Passenger.P2W.Total.Total.Biogasoline</t>
  </si>
  <si>
    <t>FEC.ktoe.AT.Tr.Road.Passenger.Car.ICE.Gasoline</t>
  </si>
  <si>
    <t>FEC.ktoe.AT.Tr.Road.Passenger.Car.ICE.Gasoline.Biogasoline</t>
  </si>
  <si>
    <t>FEC.ktoe.AT.Tr.Road.Passenger.Car.ICE.Diesel</t>
  </si>
  <si>
    <t>FEC.ktoe.AT.Tr.Road.Passenger.Car.ICE.Diesel.BioDiesel_OthLiqBio</t>
  </si>
  <si>
    <t>FEC.ktoe.AT.Tr.Road.Passenger.Car.ICE.LPG</t>
  </si>
  <si>
    <t>FEC.ktoe.AT.Tr.Road.Passenger.Car.ICE.NGas</t>
  </si>
  <si>
    <t>FEC.ktoe.AT.Tr.Road.Passenger.Car.ICE.NGas.Biogas</t>
  </si>
  <si>
    <t>FEC.ktoe.AT.Tr.Road.Passenger.Car.PHEV.Gasoline</t>
  </si>
  <si>
    <t>FEC.ktoe.AT.Tr.Road.Passenger.Car.PHEV.Gasoline.Biogasoline</t>
  </si>
  <si>
    <t>FEC.ktoe.AT.Tr.Road.Passenger.Car.PHEV.Gasoline.Elec</t>
  </si>
  <si>
    <t>FEC.ktoe.AT.Tr.Road.Passenger.Car.BEV</t>
  </si>
  <si>
    <t>FEC.ktoe.AT.Tr.Road.Passenger.Bus.ICE.Gasoline</t>
  </si>
  <si>
    <t>FEC.ktoe.AT.Tr.Road.Passenger.Bus.ICE.Gasoline.Biogasoline</t>
  </si>
  <si>
    <t>FEC.ktoe.AT.Tr.Road.Passenger.Bus.ICE.Diesel</t>
  </si>
  <si>
    <t>FEC.ktoe.AT.Tr.Road.Passenger.Bus.ICE.Diesel.BioDiesel_OthLiqBio</t>
  </si>
  <si>
    <t>FEC.ktoe.AT.Tr.Road.Passenger.Bus.ICE.LPG</t>
  </si>
  <si>
    <t>FEC.ktoe.AT.Tr.Road.Passenger.Bus.ICE.NGas</t>
  </si>
  <si>
    <t>FEC.ktoe.AT.Tr.Road.Passenger.Bus.ICE.NGas.Biogas</t>
  </si>
  <si>
    <t>FEC.ktoe.AT.Tr.Road.Passenger.Bus.BEV</t>
  </si>
  <si>
    <t>FEC.ktoe.AT.Tr.Road.Freight.LCV.ICE.Gasoline</t>
  </si>
  <si>
    <t>FEC.ktoe.AT.Tr.Road.Freight.LCV.ICE.Gasoline.Biogasoline</t>
  </si>
  <si>
    <t>FEC.ktoe.AT.Tr.Road.Freight.LCV.ICE.Diesel</t>
  </si>
  <si>
    <t>FEC.ktoe.AT.Tr.Road.Freight.LCV.ICE.Diesel.BioDiesel_OthLiqBio</t>
  </si>
  <si>
    <t>FEC.ktoe.AT.Tr.Road.Freight.LCV.ICE.LPG</t>
  </si>
  <si>
    <t>FEC.ktoe.AT.Tr.Road.Freight.LCV.ICE.NGas</t>
  </si>
  <si>
    <t>FEC.ktoe.AT.Tr.Road.Freight.LCV.ICE.NGas.Biogas</t>
  </si>
  <si>
    <t>FEC.ktoe.AT.Tr.Road.Freight.LCV.BEV</t>
  </si>
  <si>
    <t>FEC.ktoe.AT.Tr.Road.Freight.HGV_Domestic</t>
  </si>
  <si>
    <t>FEC.ktoe.AT.Tr.Road.Freight.HGV_Domestic.Total.Total.BioDiesel_OthLiqBio</t>
  </si>
  <si>
    <t>FEC.ktoe.AT.Tr.Road.Freight.HGV_International</t>
  </si>
  <si>
    <t>FEC.ktoe.AT.Tr.Road.Freight.HGV_International.Total.Total.BioDiesel_OthLiqBio</t>
  </si>
  <si>
    <t>Eff.kgoe_per_100km.AT.Tr.Road</t>
  </si>
  <si>
    <t>Eff.kgoe_per_100km.AT.Tr.Road.Passenger</t>
  </si>
  <si>
    <t>Eff.kgoe_per_100km.AT.Tr.Road.Passenger.P2W</t>
  </si>
  <si>
    <t>Eff.kgoe_per_100km.AT.Tr.Road.Passenger.Car</t>
  </si>
  <si>
    <t>Eff.kgoe_per_100km.AT.Tr.Road.Passenger.Car.ICE.Gasoline</t>
  </si>
  <si>
    <t>Eff.kgoe_per_100km.AT.Tr.Road.Passenger.Car.ICE.Diesel</t>
  </si>
  <si>
    <t>Eff.kgoe_per_100km.AT.Tr.Road.Passenger.Car.ICE.LPG</t>
  </si>
  <si>
    <t>Eff.kgoe_per_100km.AT.Tr.Road.Passenger.Car.ICE.NGas</t>
  </si>
  <si>
    <t>Eff.kgoe_per_100km.AT.Tr.Road.Passenger.Car.PHEV.Gasoline</t>
  </si>
  <si>
    <t>Eff.kgoe_per_100km.AT.Tr.Road.Passenger.Car.BEV</t>
  </si>
  <si>
    <t>Eff.kgoe_per_100km.AT.Tr.Road.Passenger.Bus</t>
  </si>
  <si>
    <t>Eff.kgoe_per_100km.AT.Tr.Road.Passenger.Bus.ICE.Gasoline</t>
  </si>
  <si>
    <t>Eff.kgoe_per_100km.AT.Tr.Road.Passenger.Bus.ICE.Diesel</t>
  </si>
  <si>
    <t>Eff.kgoe_per_100km.AT.Tr.Road.Passenger.Bus.ICE.LPG</t>
  </si>
  <si>
    <t>Eff.kgoe_per_100km.AT.Tr.Road.Passenger.Bus.ICE.NGas</t>
  </si>
  <si>
    <t>Eff.kgoe_per_100km.AT.Tr.Road.Passenger.Bus.BEV</t>
  </si>
  <si>
    <t>Eff.kgoe_per_100km.AT.Tr.Road.Freight</t>
  </si>
  <si>
    <t>Eff.kgoe_per_100km.AT.Tr.Road.Freight.LCV</t>
  </si>
  <si>
    <t>Eff.kgoe_per_100km.AT.Tr.Road.Freight.LCV.ICE.Gasoline</t>
  </si>
  <si>
    <t>Eff.kgoe_per_100km.AT.Tr.Road.Freight.LCV.ICE.Diesel</t>
  </si>
  <si>
    <t>Eff.kgoe_per_100km.AT.Tr.Road.Freight.LCV.ICE.LPG</t>
  </si>
  <si>
    <t>Eff.kgoe_per_100km.AT.Tr.Road.Freight.LCV.ICE.NGas</t>
  </si>
  <si>
    <t>Eff.kgoe_per_100km.AT.Tr.Road.Freight.LCV.BEV</t>
  </si>
  <si>
    <t>Eff.kgoe_per_100km.AT.Tr.Road.Freight.HGV_All</t>
  </si>
  <si>
    <t>Eff.kgoe_per_100km.AT.Tr.Road.Freight.HGV_Domestic</t>
  </si>
  <si>
    <t>Eff.kgoe_per_100km.AT.Tr.Road.Freight.HGV_International</t>
  </si>
  <si>
    <t>Eff.kgoe_per_kpkm.AT.Tr.Road.Passenger.Car.ICE.Gasoline</t>
  </si>
  <si>
    <t>Eff.kgoe_per_kpkm.AT.Tr.Road.Passenger.Car.ICE.Diesel</t>
  </si>
  <si>
    <t>Eff.kgoe_per_kpkm.AT.Tr.Road.Passenger.Car.ICE.LPG</t>
  </si>
  <si>
    <t>Eff.kgoe_per_kpkm.AT.Tr.Road.Passenger.Car.ICE.NGas</t>
  </si>
  <si>
    <t>Eff.kgoe_per_kpkm.AT.Tr.Road.Passenger.Car.PHEV.Gasoline</t>
  </si>
  <si>
    <t>Eff.kgoe_per_kpkm.AT.Tr.Road.Passenger.Car.BEV</t>
  </si>
  <si>
    <t>Eff.kgoe_per_kpkm.AT.Tr.Road.Passenger.Bus.ICE.Gasoline</t>
  </si>
  <si>
    <t>Eff.kgoe_per_kpkm.AT.Tr.Road.Passenger.Bus.ICE.Diesel</t>
  </si>
  <si>
    <t>Eff.kgoe_per_kpkm.AT.Tr.Road.Passenger.Bus.ICE.LPG</t>
  </si>
  <si>
    <t>Eff.kgoe_per_kpkm.AT.Tr.Road.Passenger.Bus.ICE.NGas</t>
  </si>
  <si>
    <t>Eff.kgoe_per_kpkm.AT.Tr.Road.Passenger.Bus.BEV</t>
  </si>
  <si>
    <t>Eff.kgoe_per_ktkm.AT.Tr.Road.Freight.LCV.ICE.Gasoline</t>
  </si>
  <si>
    <t>Eff.kgoe_per_ktkm.AT.Tr.Road.Freight.LCV.ICE.Diesel</t>
  </si>
  <si>
    <t>Eff.kgoe_per_ktkm.AT.Tr.Road.Freight.LCV.ICE.LPG</t>
  </si>
  <si>
    <t>Eff.kgoe_per_ktkm.AT.Tr.Road.Freight.LCV.ICE.NGas</t>
  </si>
  <si>
    <t>Eff.kgoe_per_ktkm.AT.Tr.Road.Freight.LCV.BEV</t>
  </si>
  <si>
    <t>Eff.kgoe_per_ktkm.AT.Tr.Road.Freight.HGV_Domestic</t>
  </si>
  <si>
    <t>Eff.kgoe_per_ktkm.AT.Tr.Road.Freight.HGV_International</t>
  </si>
  <si>
    <t>FEC_per_vehicle.kgoe.AT.Tr.Road.Passenger.P2W</t>
  </si>
  <si>
    <t>FEC_per_vehicle.kgoe.AT.Tr.Road.Passenger.Car</t>
  </si>
  <si>
    <t>FEC_per_vehicle.kgoe.AT.Tr.Road.Passenger.Car.ICE.Gasoline</t>
  </si>
  <si>
    <t>FEC_per_vehicle.kgoe.AT.Tr.Road.Passenger.Car.ICE.Diesel</t>
  </si>
  <si>
    <t>FEC_per_vehicle.kgoe.AT.Tr.Road.Passenger.Car.ICE.LPG</t>
  </si>
  <si>
    <t>FEC_per_vehicle.kgoe.AT.Tr.Road.Passenger.Car.ICE.NGas</t>
  </si>
  <si>
    <t>FEC_per_vehicle.kgoe.AT.Tr.Road.Passenger.Car.PHEV.Gasoline</t>
  </si>
  <si>
    <t>FEC_per_vehicle.kgoe.AT.Tr.Road.Passenger.Car.BEV</t>
  </si>
  <si>
    <t>FEC_per_vehicle.kgoe.AT.Tr.Road.Passenger.Bus</t>
  </si>
  <si>
    <t>FEC_per_vehicle.kgoe.AT.Tr.Road.Passenger.Bus.ICE.Gasoline</t>
  </si>
  <si>
    <t>FEC_per_vehicle.kgoe.AT.Tr.Road.Passenger.Bus.ICE.Diesel</t>
  </si>
  <si>
    <t>FEC_per_vehicle.kgoe.AT.Tr.Road.Passenger.Bus.ICE.LPG</t>
  </si>
  <si>
    <t>FEC_per_vehicle.kgoe.AT.Tr.Road.Passenger.Bus.ICE.NGas</t>
  </si>
  <si>
    <t>FEC_per_vehicle.kgoe.AT.Tr.Road.Passenger.Bus.BEV</t>
  </si>
  <si>
    <t>FEC_per_vehicle.kgoe.AT.Tr.Road.Freight.LCV</t>
  </si>
  <si>
    <t>FEC_per_vehicle.kgoe.AT.Tr.Road.Freight.LCV.ICE.Gasoline</t>
  </si>
  <si>
    <t>FEC_per_vehicle.kgoe.AT.Tr.Road.Freight.LCV.ICE.Diesel</t>
  </si>
  <si>
    <t>FEC_per_vehicle.kgoe.AT.Tr.Road.Freight.LCV.ICE.LPG</t>
  </si>
  <si>
    <t>FEC_per_vehicle.kgoe.AT.Tr.Road.Freight.LCV.ICE.NGas</t>
  </si>
  <si>
    <t>FEC_per_vehicle.kgoe.AT.Tr.Road.Freight.LCV.BEV</t>
  </si>
  <si>
    <t>FEC_per_vehicle.kgoe.AT.Tr.Road.Freight.HGV_All</t>
  </si>
  <si>
    <t>FEC_per_vehicle.kgoe.AT.Tr.Road.Freight.HGV_Domestic</t>
  </si>
  <si>
    <t>FEC_per_vehicle.kgoe.AT.Tr.Road.Freight.HGV_International</t>
  </si>
  <si>
    <t>Road transport / CO2 emissions - AT - Austria</t>
  </si>
  <si>
    <t>EMI.ktCO2.AT.ES.Tr.Road</t>
  </si>
  <si>
    <t>EMI.ktCO2.AT.ES.Tr.Road.LPG</t>
  </si>
  <si>
    <t>EMI.ktCO2.AT.ES.Tr.Road.Gasoline</t>
  </si>
  <si>
    <t>EMI.ktCO2.AT.ES.Tr.Road.Diesel</t>
  </si>
  <si>
    <t>EMI.ktCO2.AT.ES.Tr.Road.NG</t>
  </si>
  <si>
    <t>EMI.ktCO2.AT.ES.Tr.Road.Biogas</t>
  </si>
  <si>
    <t>EMI.ktCO2.AT.ES.Tr.Road.Biogasoline</t>
  </si>
  <si>
    <t>EMI.ktCO2.AT.ES.Tr.Road.Biodiesel</t>
  </si>
  <si>
    <t>EMI.ktCO2.AT.ES.Tr.Road.OthLiqBio</t>
  </si>
  <si>
    <t>EMI.ktCO2.AT.ES.Tr.Road.Elec</t>
  </si>
  <si>
    <t>EMI.ktCO2.AT.Tr.Road</t>
  </si>
  <si>
    <t>EMI.ktCO2.AT.Tr.Road.Passenger.Car.ICE.Gasoline</t>
  </si>
  <si>
    <t>EMI.ktCO2.AT.Tr.Road.Passenger.Car.ICE.Diesel</t>
  </si>
  <si>
    <t>EMI.ktCO2.AT.Tr.Road.Passenger.Car.ICE.LPG</t>
  </si>
  <si>
    <t>EMI.ktCO2.AT.Tr.Road.Passenger.Car.ICE.NGas</t>
  </si>
  <si>
    <t>EMI.ktCO2.AT.Tr.Road.Passenger.Car.PHEV.Gasoline</t>
  </si>
  <si>
    <t>EMI.ktCO2.AT.Tr.Road.Passenger.Car.BEV</t>
  </si>
  <si>
    <t>EMI.ktCO2.AT.Tr.Road.Passenger.Bus.ICE.Gasoline</t>
  </si>
  <si>
    <t>EMI.ktCO2.AT.Tr.Road.Passenger.Bus.ICE.Diesel</t>
  </si>
  <si>
    <t>EMI.ktCO2.AT.Tr.Road.Passenger.Bus.ICE.LPG</t>
  </si>
  <si>
    <t>EMI.ktCO2.AT.Tr.Road.Passenger.Bus.ICE.NGas</t>
  </si>
  <si>
    <t>EMI.ktCO2.AT.Tr.Road.Passenger.Bus.BEV</t>
  </si>
  <si>
    <t>EMI.ktCO2.AT.Tr.Road.Freight.LCV.ICE.Gasoline</t>
  </si>
  <si>
    <t>EMI.ktCO2.AT.Tr.Road.Freight.LCV.ICE.Diesel</t>
  </si>
  <si>
    <t>EMI.ktCO2.AT.Tr.Road.Freight.LCV.ICE.LPG</t>
  </si>
  <si>
    <t>EMI.ktCO2.AT.Tr.Road.Freight.LCV.ICE.NGas</t>
  </si>
  <si>
    <t>EMI.ktCO2.AT.Tr.Road.Freight.LCV.BEV</t>
  </si>
  <si>
    <t>EMI.ktCO2.AT.Tr.Road.Freight.HGV_Domestic</t>
  </si>
  <si>
    <t>EMI.ktCO2.AT.Tr.Road.Freight.HGV_International</t>
  </si>
  <si>
    <t>EMIint.gCO2_per_km.AT.Tr.Road</t>
  </si>
  <si>
    <t>EMIint.gCO2_per_km.AT.Tr.Road.Passenger</t>
  </si>
  <si>
    <t>EMIint.gCO2_per_km.AT.Tr.Road.Passenger.P2W</t>
  </si>
  <si>
    <t>EMIint.gCO2_per_km.AT.Tr.Road.Passenger.Car</t>
  </si>
  <si>
    <t>EMIint.gCO2_per_km.AT.Tr.Road.Passenger.Car.ICE.Gasoline</t>
  </si>
  <si>
    <t>EMIint.gCO2_per_km.AT.Tr.Road.Passenger.Car.ICE.Diesel</t>
  </si>
  <si>
    <t>EMIint.gCO2_per_km.AT.Tr.Road.Passenger.Car.ICE.LPG</t>
  </si>
  <si>
    <t>EMIint.gCO2_per_km.AT.Tr.Road.Passenger.Car.ICE.NGas</t>
  </si>
  <si>
    <t>EMIint.gCO2_per_km.AT.Tr.Road.Passenger.Car.PHEV.Gasoline</t>
  </si>
  <si>
    <t>EMIint.gCO2_per_km.AT.Tr.Road.Passenger.Car.BEV</t>
  </si>
  <si>
    <t>EMIint.gCO2_per_km.AT.Tr.Road.Passenger.Bus</t>
  </si>
  <si>
    <t>EMIint.gCO2_per_km.AT.Tr.Road.Passenger.Bus.ICE.Gasoline</t>
  </si>
  <si>
    <t>EMIint.gCO2_per_km.AT.Tr.Road.Passenger.Bus.ICE.Diesel</t>
  </si>
  <si>
    <t>EMIint.gCO2_per_km.AT.Tr.Road.Passenger.Bus.ICE.LPG</t>
  </si>
  <si>
    <t>EMIint.gCO2_per_km.AT.Tr.Road.Passenger.Bus.ICE.NGas</t>
  </si>
  <si>
    <t>EMIint.gCO2_per_km.AT.Tr.Road.Passenger.Bus.BEV</t>
  </si>
  <si>
    <t>EMIint.gCO2_per_km.AT.Tr.Road.Freight</t>
  </si>
  <si>
    <t>EMIint.gCO2_per_km.AT.Tr.Road.Freight.LCV</t>
  </si>
  <si>
    <t>EMIint.gCO2_per_km.AT.Tr.Road.Freight.LCV.ICE.Gasoline</t>
  </si>
  <si>
    <t>EMIint.gCO2_per_km.AT.Tr.Road.Freight.LCV.ICE.Diesel</t>
  </si>
  <si>
    <t>EMIint.gCO2_per_km.AT.Tr.Road.Freight.LCV.ICE.LPG</t>
  </si>
  <si>
    <t>EMIint.gCO2_per_km.AT.Tr.Road.Freight.LCV.ICE.NGas</t>
  </si>
  <si>
    <t>EMIint.gCO2_per_km.AT.Tr.Road.Freight.LCV.BEV</t>
  </si>
  <si>
    <t>EMIint.gCO2_per_km.AT.Tr.Road.Freight.HGV_All</t>
  </si>
  <si>
    <t>EMIint.gCO2_per_km.AT.Tr.Road.Freight.HGV_Domestic</t>
  </si>
  <si>
    <t>EMIint.gCO2_per_km.AT.Tr.Road.Freight.HGV_International</t>
  </si>
  <si>
    <t>EMIint.gCO2_per_pkm.AT.Tr.Road.Passenger.Car.ICE.Gasoline</t>
  </si>
  <si>
    <t>EMIint.gCO2_per_pkm.AT.Tr.Road.Passenger.Car.ICE.Diesel</t>
  </si>
  <si>
    <t>EMIint.gCO2_per_pkm.AT.Tr.Road.Passenger.Car.ICE.LPG</t>
  </si>
  <si>
    <t>EMIint.gCO2_per_pkm.AT.Tr.Road.Passenger.Car.ICE.NGas</t>
  </si>
  <si>
    <t>EMIint.gCO2_per_pkm.AT.Tr.Road.Passenger.Car.PHEV.Gasoline</t>
  </si>
  <si>
    <t>EMIint.gCO2_per_pkm.AT.Tr.Road.Passenger.Car.BEV</t>
  </si>
  <si>
    <t>EMIint.gCO2_per_pkm.AT.Tr.Road.Passenger.Bus.ICE.Gasoline</t>
  </si>
  <si>
    <t>EMIint.gCO2_per_pkm.AT.Tr.Road.Passenger.Bus.ICE.Diesel</t>
  </si>
  <si>
    <t>EMIint.gCO2_per_pkm.AT.Tr.Road.Passenger.Bus.ICE.LPG</t>
  </si>
  <si>
    <t>EMIint.gCO2_per_pkm.AT.Tr.Road.Passenger.Bus.ICE.NGas</t>
  </si>
  <si>
    <t>EMIint.gCO2_per_pkm.AT.Tr.Road.Passenger.Bus.BEV</t>
  </si>
  <si>
    <t>EMIint.gCO2_per_tkm.AT.Tr.Road.Freight.LCV.ICE.Gasoline</t>
  </si>
  <si>
    <t>EMIint.gCO2_per_tkm.AT.Tr.Road.Freight.LCV.ICE.Diesel</t>
  </si>
  <si>
    <t>EMIint.gCO2_per_tkm.AT.Tr.Road.Freight.LCV.ICE.LPG</t>
  </si>
  <si>
    <t>EMIint.gCO2_per_tkm.AT.Tr.Road.Freight.LCV.ICE.NGas</t>
  </si>
  <si>
    <t>EMIint.gCO2_per_tkm.AT.Tr.Road.Freight.LCV.BEV</t>
  </si>
  <si>
    <t>EMIint.gCO2_per_tkm.AT.Tr.Road.Freight.HGV_Domestic</t>
  </si>
  <si>
    <t>EMIint.gCO2_per_tkm.AT.Tr.Road.Freight.HGV_International</t>
  </si>
  <si>
    <t>EMI_per_vehicle.kgCO2.AT.Tr.Road.Passenger.P2W</t>
  </si>
  <si>
    <t>EMI_per_vehicle.kgCO2.AT.Tr.Road.Passenger.Car</t>
  </si>
  <si>
    <t>EMI_per_vehicle.kgCO2.AT.Tr.Road.Passenger.Car.ICE.Gasoline</t>
  </si>
  <si>
    <t>EMI_per_vehicle.kgCO2.AT.Tr.Road.Passenger.Car.ICE.Diesel</t>
  </si>
  <si>
    <t>EMI_per_vehicle.kgCO2.AT.Tr.Road.Passenger.Car.ICE.LPG</t>
  </si>
  <si>
    <t>EMI_per_vehicle.kgCO2.AT.Tr.Road.Passenger.Car.ICE.NGas</t>
  </si>
  <si>
    <t>EMI_per_vehicle.kgCO2.AT.Tr.Road.Passenger.Car.PHEV.Gasoline</t>
  </si>
  <si>
    <t>EMI_per_vehicle.kgCO2.AT.Tr.Road.Passenger.Car.BEV</t>
  </si>
  <si>
    <t>EMI_per_vehicle.kgCO2.AT.Tr.Road.Passenger.Bus</t>
  </si>
  <si>
    <t>EMI_per_vehicle.kgCO2.AT.Tr.Road.Passenger.Bus.ICE.Gasoline</t>
  </si>
  <si>
    <t>EMI_per_vehicle.kgCO2.AT.Tr.Road.Passenger.Bus.ICE.Diesel</t>
  </si>
  <si>
    <t>EMI_per_vehicle.kgCO2.AT.Tr.Road.Passenger.Bus.ICE.LPG</t>
  </si>
  <si>
    <t>EMI_per_vehicle.kgCO2.AT.Tr.Road.Passenger.Bus.ICE.NGas</t>
  </si>
  <si>
    <t>EMI_per_vehicle.kgCO2.AT.Tr.Road.Passenger.Bus.BEV</t>
  </si>
  <si>
    <t>EMI_per_vehicle.kgCO2.AT.Tr.Road.Freight.LCV</t>
  </si>
  <si>
    <t>EMI_per_vehicle.kgCO2.AT.Tr.Road.Freight.LCV.ICE.Gasoline</t>
  </si>
  <si>
    <t>EMI_per_vehicle.kgCO2.AT.Tr.Road.Freight.LCV.ICE.Diesel</t>
  </si>
  <si>
    <t>EMI_per_vehicle.kgCO2.AT.Tr.Road.Freight.LCV.ICE.LPG</t>
  </si>
  <si>
    <t>EMI_per_vehicle.kgCO2.AT.Tr.Road.Freight.LCV.ICE.NGas</t>
  </si>
  <si>
    <t>EMI_per_vehicle.kgCO2.AT.Tr.Road.Freight.LCV.BEV</t>
  </si>
  <si>
    <t>EMI_per_vehicle.kgCO2.AT.Tr.Road.Freight.HGV_All</t>
  </si>
  <si>
    <t>EMI_per_vehicle.kgCO2.AT.Tr.Road.Freight.HGV_Domestic</t>
  </si>
  <si>
    <t>EMI_per_vehicle.kgCO2.AT.Tr.Road.Freight.HGV_International</t>
  </si>
  <si>
    <t>Road transport / technologies - AT - Austria</t>
  </si>
  <si>
    <t>Stock.number.AT.Tr.Road.Freight.HGV_all</t>
  </si>
  <si>
    <t>StockVin.number.AT.Tr.Road</t>
  </si>
  <si>
    <t>StockVin.number.AT.Tr.Road.Passenger</t>
  </si>
  <si>
    <t>StockVin.number.AT.Tr.Road.Passenger.P2W</t>
  </si>
  <si>
    <t>StockVin.number.AT.Tr.Road.Passenger.Car</t>
  </si>
  <si>
    <t>StockVin.number.AT.Tr.Road.Passenger.Car.ICE.Gasoline</t>
  </si>
  <si>
    <t>StockVin.number.AT.Tr.Road.Passenger.Car.ICE.Diesel</t>
  </si>
  <si>
    <t>StockVin.number.AT.Tr.Road.Passenger.Car.ICE.LPG</t>
  </si>
  <si>
    <t>StockVin.number.AT.Tr.Road.Passenger.Car.ICE.NGas</t>
  </si>
  <si>
    <t>StockVin.number.AT.Tr.Road.Passenger.Car.PHEV.Gasoline</t>
  </si>
  <si>
    <t>StockVin.number.AT.Tr.Road.Passenger.Car.BEV</t>
  </si>
  <si>
    <t>StockVin.number.AT.Tr.Road.Passenger.Bus</t>
  </si>
  <si>
    <t>StockVin.number.AT.Tr.Road.Passenger.Bus.ICE.Gasoline</t>
  </si>
  <si>
    <t>StockVin.number.AT.Tr.Road.Passenger.Bus.ICE.Diesel</t>
  </si>
  <si>
    <t>StockVin.number.AT.Tr.Road.Passenger.Bus.ICE.LPG</t>
  </si>
  <si>
    <t>StockVin.number.AT.Tr.Road.Passenger.Bus.ICE.NGas</t>
  </si>
  <si>
    <t>StockVin.number.AT.Tr.Road.Passenger.Bus.BEV</t>
  </si>
  <si>
    <t>StockVin.number.AT.Tr.Road.Freight</t>
  </si>
  <si>
    <t>StockVin.number.AT.Tr.Road.Freight.LCV</t>
  </si>
  <si>
    <t>StockVin.number.AT.Tr.Road.Freight.LCV.ICE.Gasoline</t>
  </si>
  <si>
    <t>StockVin.number.AT.Tr.Road.Freight.LCV.ICE.Diesel</t>
  </si>
  <si>
    <t>StockVin.number.AT.Tr.Road.Freight.LCV.ICE.LPG</t>
  </si>
  <si>
    <t>StockVin.number.AT.Tr.Road.Freight.LCV.ICE.NGas</t>
  </si>
  <si>
    <t>StockVin.number.AT.Tr.Road.Freight.LCV.BEV</t>
  </si>
  <si>
    <t>StockVin.number.AT.Tr.Road.Freight.HGV_All</t>
  </si>
  <si>
    <t>StockVin.number.AT.Tr.Road.Freight.HGV_Domestic</t>
  </si>
  <si>
    <t>StockVin.number.AT.Tr.Road.Freight.HGV_International</t>
  </si>
  <si>
    <t>Eff_test_stock.kgoe_per_100km.AT.Tr.Road.Passenger.P2W</t>
  </si>
  <si>
    <t>Eff_test_stock.kgoe_per_100km.AT.Tr.Road.Passenger.Car</t>
  </si>
  <si>
    <t>Eff_test_stock.kgoe_per_100km.AT.Tr.Road.Passenger.Car.ICE.Gasoline</t>
  </si>
  <si>
    <t>Eff_test_stock.kgoe_per_100km.AT.Tr.Road.Passenger.Car.ICE.Diesel</t>
  </si>
  <si>
    <t>Eff_test_stock.kgoe_per_100km.AT.Tr.Road.Passenger.Car.ICE.LPG</t>
  </si>
  <si>
    <t>Eff_test_stock.kgoe_per_100km.AT.Tr.Road.Passenger.Car.ICE.NGas</t>
  </si>
  <si>
    <t>Eff_test_stock.kgoe_per_100km.AT.Tr.Road.Passenger.Car.PHEV.Gasoline</t>
  </si>
  <si>
    <t>Eff_test_stock.kgoe_per_100km.AT.Tr.Road.Passenger.Car.BEV</t>
  </si>
  <si>
    <t>Eff_test_stock.kgoe_per_100km.AT.Tr.Road.Passenger.Bus</t>
  </si>
  <si>
    <t>Eff_test_stock.kgoe_per_100km.AT.Tr.Road.Passenger.Bus.ICE.Gasoline</t>
  </si>
  <si>
    <t>Eff_test_stock.kgoe_per_100km.AT.Tr.Road.Passenger.Bus.ICE.Diesel</t>
  </si>
  <si>
    <t>Eff_test_stock.kgoe_per_100km.AT.Tr.Road.Passenger.Bus.ICE.LPG</t>
  </si>
  <si>
    <t>Eff_test_stock.kgoe_per_100km.AT.Tr.Road.Passenger.Bus.ICE.NGas</t>
  </si>
  <si>
    <t>Eff_test_stock.kgoe_per_100km.AT.Tr.Road.Passenger.Bus.BEV</t>
  </si>
  <si>
    <t>Eff_test_stock.kgoe_per_100km.AT.Tr.Road.Freight.LCV</t>
  </si>
  <si>
    <t>Eff_test_stock.kgoe_per_100km.AT.Tr.Road.Freight.LCV.ICE.Gasoline</t>
  </si>
  <si>
    <t>Eff_test_stock.kgoe_per_100km.AT.Tr.Road.Freight.LCV.ICE.Diesel</t>
  </si>
  <si>
    <t>Eff_test_stock.kgoe_per_100km.AT.Tr.Road.Freight.LCV.ICE.LPG</t>
  </si>
  <si>
    <t>Eff_test_stock.kgoe_per_100km.AT.Tr.Road.Freight.LCV.ICE.NGas</t>
  </si>
  <si>
    <t>Eff_test_stock.kgoe_per_100km.AT.Tr.Road.Freight.LCV.BEV</t>
  </si>
  <si>
    <t>Eff_test_stock.kgoe_per_100km.AT.Tr.Road.Freight.HGV_All</t>
  </si>
  <si>
    <t>Eff_test_stock.kgoe_per_100km.AT.Tr.Road.Freight.HGV_Domestic</t>
  </si>
  <si>
    <t>Eff_test_stock.kgoe_per_100km.AT.Tr.Road.Freight.HGV_International</t>
  </si>
  <si>
    <t>Eff_test_new.kgoe_per_100km.AT.Tr.Road.Passenger.P2W</t>
  </si>
  <si>
    <t>Eff_test_new.kgoe_per_100km.AT.Tr.Road.Passenger.Car</t>
  </si>
  <si>
    <t>Eff_test_new.kgoe_per_100km.AT.Tr.Road.Passenger.Car.ICE.Gasoline</t>
  </si>
  <si>
    <t>Eff_test_new.kgoe_per_100km.AT.Tr.Road.Passenger.Car.ICE.Diesel</t>
  </si>
  <si>
    <t>Eff_test_new.kgoe_per_100km.AT.Tr.Road.Passenger.Car.ICE.LPG</t>
  </si>
  <si>
    <t>Eff_test_new.kgoe_per_100km.AT.Tr.Road.Passenger.Car.ICE.NGas</t>
  </si>
  <si>
    <t>Eff_test_new.kgoe_per_100km.AT.Tr.Road.Passenger.Car.PHEV.Gasoline</t>
  </si>
  <si>
    <t>Eff_test_new.kgoe_per_100km.AT.Tr.Road.Passenger.Car.BEV</t>
  </si>
  <si>
    <t>Eff_test_new.kgoe_per_100km.AT.Tr.Road.Passenger.Bus</t>
  </si>
  <si>
    <t>Eff_test_new.kgoe_per_100km.AT.Tr.Road.Passenger.Bus.ICE.Gasoline</t>
  </si>
  <si>
    <t>Eff_test_new.kgoe_per_100km.AT.Tr.Road.Passenger.Bus.ICE.Diesel</t>
  </si>
  <si>
    <t>Eff_test_new.kgoe_per_100km.AT.Tr.Road.Passenger.Bus.ICE.LPG</t>
  </si>
  <si>
    <t>Eff_test_new.kgoe_per_100km.AT.Tr.Road.Passenger.Bus.ICE.NGas</t>
  </si>
  <si>
    <t>Eff_test_new.kgoe_per_100km.AT.Tr.Road.Passenger.Bus.BEV</t>
  </si>
  <si>
    <t>Eff_test_new.kgoe_per_100km.AT.Tr.Road.Freight.LCV</t>
  </si>
  <si>
    <t>Eff_test_new.kgoe_per_100km.AT.Tr.Road.Freight.LCV.ICE.Gasoline</t>
  </si>
  <si>
    <t>Eff_test_new.kgoe_per_100km.AT.Tr.Road.Freight.LCV.ICE.Diesel</t>
  </si>
  <si>
    <t>Eff_test_new.kgoe_per_100km.AT.Tr.Road.Freight.LCV.ICE.LPG</t>
  </si>
  <si>
    <t>Eff_test_new.kgoe_per_100km.AT.Tr.Road.Freight.LCV.ICE.NGas</t>
  </si>
  <si>
    <t>Eff_test_new.kgoe_per_100km.AT.Tr.Road.Freight.LCV.BEV</t>
  </si>
  <si>
    <t>Eff_test_new.kgoe_per_100km.AT.Tr.Road.Freight.HGV_All</t>
  </si>
  <si>
    <t>Eff_test_new.kgoe_per_100km.AT.Tr.Road.Freight.HGV_Domestic</t>
  </si>
  <si>
    <t>Eff_test_new.kgoe_per_100km.AT.Tr.Road.Freight.HGV_International</t>
  </si>
  <si>
    <t>EMIint_test_stock.gCO2_per_km.AT.Tr.Road.Passenger.P2W</t>
  </si>
  <si>
    <t>EMIint_test_stock.gCO2_per_km.AT.Tr.Road.Passenger.Car</t>
  </si>
  <si>
    <t>EMIint_test_stock.gCO2_per_km.AT.Tr.Road.Passenger.Car.ICE.Gasoline</t>
  </si>
  <si>
    <t>EMIint_test_stock.gCO2_per_km.AT.Tr.Road.Passenger.Car.ICE.Diesel</t>
  </si>
  <si>
    <t>EMIint_test_stock.gCO2_per_km.AT.Tr.Road.Passenger.Car.ICE.LPG</t>
  </si>
  <si>
    <t>EMIint_test_stock.gCO2_per_km.AT.Tr.Road.Passenger.Car.ICE.NGas</t>
  </si>
  <si>
    <t>EMIint_test_stock.gCO2_per_km.AT.Tr.Road.Passenger.Car.PHEV.Gasoline</t>
  </si>
  <si>
    <t>EMIint_test_stock.gCO2_per_km.AT.Tr.Road.Passenger.Car.BEV</t>
  </si>
  <si>
    <t>EMIint_test_stock.gCO2_per_km.AT.Tr.Road.Passenger.Bus</t>
  </si>
  <si>
    <t>EMIint_test_stock.gCO2_per_km.AT.Tr.Road.Passenger.Bus.ICE.Gasoline</t>
  </si>
  <si>
    <t>EMIint_test_stock.gCO2_per_km.AT.Tr.Road.Passenger.Bus.ICE.Diesel</t>
  </si>
  <si>
    <t>EMIint_test_stock.gCO2_per_km.AT.Tr.Road.Passenger.Bus.ICE.LPG</t>
  </si>
  <si>
    <t>EMIint_test_stock.gCO2_per_km.AT.Tr.Road.Passenger.Bus.ICE.NGas</t>
  </si>
  <si>
    <t>EMIint_test_stock.gCO2_per_km.AT.Tr.Road.Passenger.Bus.BEV</t>
  </si>
  <si>
    <t>EMIint_test_stock.gCO2_per_km.AT.Tr.Road.Freight.LCV</t>
  </si>
  <si>
    <t>EMIint_test_stock.gCO2_per_km.AT.Tr.Road.Freight.LCV.ICE.Gasoline</t>
  </si>
  <si>
    <t>EMIint_test_stock.gCO2_per_km.AT.Tr.Road.Freight.LCV.ICE.Diesel</t>
  </si>
  <si>
    <t>EMIint_test_stock.gCO2_per_km.AT.Tr.Road.Freight.LCV.ICE.LPG</t>
  </si>
  <si>
    <t>EMIint_test_stock.gCO2_per_km.AT.Tr.Road.Freight.LCV.ICE.NGas</t>
  </si>
  <si>
    <t>EMIint_test_stock.gCO2_per_km.AT.Tr.Road.Freight.LCV.BEV</t>
  </si>
  <si>
    <t>EMIint_test_stock.gCO2_per_km.AT.Tr.Road.Freight.HGV_All</t>
  </si>
  <si>
    <t>EMIint_test_stock.gCO2_per_km.AT.Tr.Road.Freight.HGV_Domestic</t>
  </si>
  <si>
    <t>EMIint_test_stock.gCO2_per_km.AT.Tr.Road.Freight.HGV_International</t>
  </si>
  <si>
    <t>EMIint_test_new.gCO2_per_km.AT.Tr.Road.Passenger.P2W</t>
  </si>
  <si>
    <t>EMIint_test_new.gCO2_per_km.AT.Tr.Road.Passenger.Car</t>
  </si>
  <si>
    <t>EMIint_test_new.gCO2_per_km.AT.Tr.Road.Passenger.Car.ICE.Gasoline</t>
  </si>
  <si>
    <t>EMIint_test_new.gCO2_per_km.AT.Tr.Road.Passenger.Car.ICE.Diesel</t>
  </si>
  <si>
    <t>EMIint_test_new.gCO2_per_km.AT.Tr.Road.Passenger.Car.ICE.LPG</t>
  </si>
  <si>
    <t>EMIint_test_new.gCO2_per_km.AT.Tr.Road.Passenger.Car.ICE.NGas</t>
  </si>
  <si>
    <t>EMIint_test_new.gCO2_per_km.AT.Tr.Road.Passenger.Car.PHEV.Gasoline</t>
  </si>
  <si>
    <t>EMIint_test_new.gCO2_per_km.AT.Tr.Road.Passenger.Car.BEV</t>
  </si>
  <si>
    <t>EMIint_test_new.gCO2_per_km.AT.Tr.Road.Passenger.Bus</t>
  </si>
  <si>
    <t>EMIint_test_new.gCO2_per_km.AT.Tr.Road.Passenger.Bus.ICE.Gasoline</t>
  </si>
  <si>
    <t>EMIint_test_new.gCO2_per_km.AT.Tr.Road.Passenger.Bus.ICE.Diesel</t>
  </si>
  <si>
    <t>EMIint_test_new.gCO2_per_km.AT.Tr.Road.Passenger.Bus.ICE.LPG</t>
  </si>
  <si>
    <t>EMIint_test_new.gCO2_per_km.AT.Tr.Road.Passenger.Bus.ICE.NGas</t>
  </si>
  <si>
    <t>EMIint_test_new.gCO2_per_km.AT.Tr.Road.Passenger.Bus.BEV</t>
  </si>
  <si>
    <t>EMIint_test_new.gCO2_per_km.AT.Tr.Road.Freight.LCV</t>
  </si>
  <si>
    <t>EMIint_test_new.gCO2_per_km.AT.Tr.Road.Freight.LCV.ICE.Gasoline</t>
  </si>
  <si>
    <t>EMIint_test_new.gCO2_per_km.AT.Tr.Road.Freight.LCV.ICE.Diesel</t>
  </si>
  <si>
    <t>EMIint_test_new.gCO2_per_km.AT.Tr.Road.Freight.LCV.ICE.LPG</t>
  </si>
  <si>
    <t>EMIint_test_new.gCO2_per_km.AT.Tr.Road.Freight.LCV.ICE.NGas</t>
  </si>
  <si>
    <t>EMIint_test_new.gCO2_per_km.AT.Tr.Road.Freight.LCV.BEV</t>
  </si>
  <si>
    <t>EMIint_test_new.gCO2_per_km.AT.Tr.Road.Freight.HGV_All</t>
  </si>
  <si>
    <t>EMIint_test_new.gCO2_per_km.AT.Tr.Road.Freight.HGV_Domestic</t>
  </si>
  <si>
    <t>EMIint_test_new.gCO2_per_km.AT.Tr.Road.Freight.HGV_International</t>
  </si>
  <si>
    <t>FEC.ktoe.AT.MBunk</t>
  </si>
  <si>
    <t>FEC.ktoe.AT.MBunk.IntraEEA</t>
  </si>
  <si>
    <t>FEC.ktoe.AT.MBunk.ExtraEEA</t>
  </si>
  <si>
    <t>EMI.ktCO2.AT.MBunk</t>
  </si>
  <si>
    <t>EMI.ktCO2.AT.MBunk.IntraEEA</t>
  </si>
  <si>
    <t>EMI.ktCO2.AT.MBunk.ExtraEEA</t>
  </si>
  <si>
    <t>International maritime bunkers - AT - Austria</t>
  </si>
  <si>
    <t>VehicleKm.Mkm.AT.MBunk.Freight</t>
  </si>
  <si>
    <t>VehicleKm.Mkm.AT.MBunk.Freight.IntraEEA</t>
  </si>
  <si>
    <t>VehicleKm.Mkm.AT.MBunk.Freight.ExtraEEA</t>
  </si>
  <si>
    <t>Load.t_per_movement.AT.MBunk.Freight</t>
  </si>
  <si>
    <t>Load.t_per_movement.AT.MBunk.Freight.IntraEEA</t>
  </si>
  <si>
    <t>Load.t_per_movement.AT.MBunk.Freight.ExtraEEA</t>
  </si>
  <si>
    <t>International maritime bunkers / energy consumption - AT - Austria</t>
  </si>
  <si>
    <t>FEC.ktoe.AT.ES.MBunk</t>
  </si>
  <si>
    <t>FEC.ktoe.AT.ES.MBunk.IntraEEA</t>
  </si>
  <si>
    <t>FEC.ktoe.AT.ES.MBunk.IntraEEA.Diesel</t>
  </si>
  <si>
    <t>FEC.ktoe.AT.ES.MBunk.IntraEEA.RFO_Other</t>
  </si>
  <si>
    <t>FEC.ktoe.AT.ES.MBunk.IntraEEA.LiqBio</t>
  </si>
  <si>
    <t>FEC.ktoe.AT.ES.MBunk.IntraEEA.NG</t>
  </si>
  <si>
    <t>FEC.ktoe.AT.ES.MBunk.IntraEEA.Biogas</t>
  </si>
  <si>
    <t>FEC.ktoe.AT.ES.MBunk.ExtraEEA</t>
  </si>
  <si>
    <t>FEC.ktoe.AT.ES.MBunk.ExtraEEA.Diesel</t>
  </si>
  <si>
    <t>FEC.ktoe.AT.ES.MBunk.ExtraEEA.RFO_Other</t>
  </si>
  <si>
    <t>FEC.ktoe.AT.ES.MBunk.ExtraEEA.LiqBio</t>
  </si>
  <si>
    <t>FEC.ktoe.AT.ES.MBunk.ExtraEEA.NG</t>
  </si>
  <si>
    <t>FEC.ktoe.AT.ES.MBunk.ExtraEEA.Biogas</t>
  </si>
  <si>
    <t>Eff.kgoe_per_100km.AT.MBunk.Freight</t>
  </si>
  <si>
    <t>Eff.kgoe_per_100km.AT.MBunk.Freight.IntraEEA</t>
  </si>
  <si>
    <t>Eff.kgoe_per_100km.AT.MBunk.Freight.ExtraEEA</t>
  </si>
  <si>
    <t>International maritime bunkers / CO2 emissions - AT - Austria</t>
  </si>
  <si>
    <t>EMI.ktCO2.AT.ES.MBunk</t>
  </si>
  <si>
    <t>EMI.ktCO2.AT.ES.MBunk.IntraEEA</t>
  </si>
  <si>
    <t>EMI.ktCO2.AT.ES.MBunk.ExtraEEA</t>
  </si>
  <si>
    <t>EMIint.gCO2_per_km.AT.MBunk.Freight</t>
  </si>
  <si>
    <t>EMIint.gCO2_per_km.AT.MBunk.Freight.IntraEEA</t>
  </si>
  <si>
    <t>EMIint.gCO2_per_km.AT.MBunk.Freight.ExtraEEA</t>
  </si>
  <si>
    <t>FEC.ktoe.AT.Tr.DNavi</t>
  </si>
  <si>
    <t>FEC.ktoe.AT.Tr.Dnavi.DCS</t>
  </si>
  <si>
    <t>FEC.ktoe.AT.Tr.Dnavi.IWW</t>
  </si>
  <si>
    <t>EMI.ktCO2.AT.Tr.DNavi</t>
  </si>
  <si>
    <t>EMI.ktCO2.AT.Tr.Dnavi.DCS</t>
  </si>
  <si>
    <t>EMI.ktCO2.AT.Tr.Dnavi.IWW</t>
  </si>
  <si>
    <t>Domestic navigation - AT - Austria</t>
  </si>
  <si>
    <t>VehicleKm.Mkm.AT.Tr.DNavi.Freight</t>
  </si>
  <si>
    <t>VehicleKm.Mkm.AT.Tr.DNavi.Freight.DCS</t>
  </si>
  <si>
    <t>VehicleKm.Mkm.AT.Tr.DNavi.Freight.IWW</t>
  </si>
  <si>
    <t>Load.t_per_movement.AT.Tr.DNavi.Freight</t>
  </si>
  <si>
    <t>Load.t_per_movement.AT.Tr.DNavi.Freight.DCS</t>
  </si>
  <si>
    <t>Load.t_per_movement.AT.Tr.DNavi.Freight.IWW</t>
  </si>
  <si>
    <t>Domestic navigation / energy consumption - AT - Austria</t>
  </si>
  <si>
    <t>FEC.ktoe.AT.ES.Tr.DNavi</t>
  </si>
  <si>
    <t>FEC.ktoe.AT.ES.Tr.DNavi.DCS</t>
  </si>
  <si>
    <t>FEC.ktoe.AT.ES.Tr.DNavi.DCS.Diesel</t>
  </si>
  <si>
    <t>FEC.ktoe.AT.ES.Tr.DNavi.DCS.RFO_Other</t>
  </si>
  <si>
    <t>FEC.ktoe.AT.ES.Tr.DNavi.DCS.LiqBio</t>
  </si>
  <si>
    <t>FEC.ktoe.AT.ES.Tr.DNavi.DCS.NG</t>
  </si>
  <si>
    <t>FEC.ktoe.AT.ES.Tr.DNavi.DCS.Biogas</t>
  </si>
  <si>
    <t>FEC.ktoe.AT.ES.Tr.DNavi.IWW</t>
  </si>
  <si>
    <t>FEC.ktoe.AT.ES.Tr.DNavi.IWW.Diesel</t>
  </si>
  <si>
    <t>FEC.ktoe.AT.ES.Tr.DNavi.IWW.RFO_Other</t>
  </si>
  <si>
    <t>FEC.ktoe.AT.ES.Tr.DNavi.IWW.LiqBio</t>
  </si>
  <si>
    <t>FEC.ktoe.AT.ES.Tr.DNavi.IWW.NG</t>
  </si>
  <si>
    <t>FEC.ktoe.AT.ES.Tr.DNavi.IWW.Biogas</t>
  </si>
  <si>
    <t>Eff.kgoe_per_100km.AT.Tr.DNavi.Freight</t>
  </si>
  <si>
    <t>Eff.kgoe_per_100km.AT.Tr.DNavi.Freight.DCS</t>
  </si>
  <si>
    <t>Eff.kgoe_per_100km.AT.Tr.DNavi.Freight.IWW</t>
  </si>
  <si>
    <t>Domestic navigation / CO2 emissions - AT - Austria</t>
  </si>
  <si>
    <t>EMI.ktCO2.AT.ES.Tr.DNavi</t>
  </si>
  <si>
    <t>EMI.ktCO2.AT.ES.Tr.DNavi.DCS</t>
  </si>
  <si>
    <t>EMI.ktCO2.AT.ES.Tr.DNavi.IWW</t>
  </si>
  <si>
    <t>EMIint.gCO2_per_km.AT.Tr.DNavi.Freight</t>
  </si>
  <si>
    <t>EMIint.gCO2_per_km.AT.Tr.DNavi.Freight.DCS</t>
  </si>
  <si>
    <t>EMIint.gCO2_per_km.AT.Tr.DNavi.Freight.IWW</t>
  </si>
  <si>
    <t>Rail, metro and tram - AT - Austria</t>
  </si>
  <si>
    <t>Activity.Mpkm.AT.Tr.Rail.Passenger.CPT.Diesel</t>
  </si>
  <si>
    <t>Activity.Mpkm.AT.Tr.Rail.Passenger.CPT.Elc</t>
  </si>
  <si>
    <t>Activity.Mtkm.AT.Tr.Rail.Freight.Diesel</t>
  </si>
  <si>
    <t>Activity.Mtkm.AT.Tr.Rail.Freight.Elc</t>
  </si>
  <si>
    <t>VehicleKm.Mkm.AT.Tr.Rail</t>
  </si>
  <si>
    <t>VehicleKm.Mkm.AT.Tr.Rail.Passenger</t>
  </si>
  <si>
    <t>VehicleKm.Mkm.AT.Tr.Rail.Passenger.MTU</t>
  </si>
  <si>
    <t>VehicleKm.Mkm.AT.Tr.Rail.Passenger.CPT</t>
  </si>
  <si>
    <t>VehicleKm.Mkm.AT.Tr.Rail.Passenger.CPT.Diesel</t>
  </si>
  <si>
    <t>VehicleKm.Mkm.AT.Tr.Rail.Passenger.CPT.Elc</t>
  </si>
  <si>
    <t>VehicleKm.Mkm.AT.Tr.Rail.Passenger.HST</t>
  </si>
  <si>
    <t>VehicleKm.Mkm.AT.Tr.Rail.Freight</t>
  </si>
  <si>
    <t>VehicleKm.Mkm.AT.Tr.Rail.Freight.Diesel</t>
  </si>
  <si>
    <t>VehicleKm.Mkm.AT.Tr.Rail.Freight.Elc</t>
  </si>
  <si>
    <t>Stock.number.AT.Tr.Rail</t>
  </si>
  <si>
    <t>Stock.number.AT.Tr.Rail.Passenger</t>
  </si>
  <si>
    <t>Stock.number.AT.Tr.Rail.Passenger.MTU</t>
  </si>
  <si>
    <t>Stock.number.AT.Tr.Rail.Passenger.CPT</t>
  </si>
  <si>
    <t>Stock.number.AT.Tr.Rail.Passenger.CPT.Diesel</t>
  </si>
  <si>
    <t>Stock.number.AT.Tr.Rail.Passenger.CPT.Elc</t>
  </si>
  <si>
    <t>Stock.number.AT.Tr.Rail.Passenger.HST</t>
  </si>
  <si>
    <t>Stock.number.AT.Tr.Rail.Freight</t>
  </si>
  <si>
    <t>Stock.number.AT.Tr.Rail.Freight.Diesel</t>
  </si>
  <si>
    <t>Stock.number.AT.Tr.Rail.Freight.Elc</t>
  </si>
  <si>
    <t>StockNew.number.AT.Tr.Rail</t>
  </si>
  <si>
    <t>StockNew.number.AT.Tr.Rail.Passenger</t>
  </si>
  <si>
    <t>StockNew.number.AT.Tr.Rail.Passenger.MTU</t>
  </si>
  <si>
    <t>StockNew.number.AT.Tr.Rail.Passenger.CPT</t>
  </si>
  <si>
    <t>StockNew.number.AT.Tr.Rail.Passenger.CPT.Diesel</t>
  </si>
  <si>
    <t>StockNew.number.AT.Tr.Rail.Passenger.CPT.Elc</t>
  </si>
  <si>
    <t>StockNew.number.AT.Tr.Rail.Passenger.HST</t>
  </si>
  <si>
    <t>StockNew.number.AT.Tr.Rail.Freight</t>
  </si>
  <si>
    <t>StockNew.number.AT.Tr.Rail.Freight.Diesel</t>
  </si>
  <si>
    <t>StockNew.number.AT.Tr.Rail.Freight.Elc</t>
  </si>
  <si>
    <t>Load.passenger_per_movement.AT.Tr.Rail.Passenger</t>
  </si>
  <si>
    <t>Load.passenger_per_movement.AT.Tr.Rail.Passenger.MTU</t>
  </si>
  <si>
    <t>Load.passenger_per_movement.AT.Tr.Rail.Passenger.CPT</t>
  </si>
  <si>
    <t>Load.passenger_per_movement.AT.Tr.Rail.Passenger.CPT.Diesel</t>
  </si>
  <si>
    <t>Load.passenger_per_movement.AT.Tr.Rail.Passenger.CPT.Elc</t>
  </si>
  <si>
    <t>Load.passenger_per_movement.AT.Tr.Rail.Passenger.HST</t>
  </si>
  <si>
    <t>Load.t_per_movement.AT.Tr.Rail.Freight</t>
  </si>
  <si>
    <t>Load.t_per_movement.AT.Tr.Rail.Freight.Diesel</t>
  </si>
  <si>
    <t>Load.t_per_movement.AT.Tr.Rail.Freight.Elc</t>
  </si>
  <si>
    <t>TrCap.seats.AT.Tr.Rail.Passenger</t>
  </si>
  <si>
    <t>TrCap.seats.AT.Tr.Rail.Passenger.MTU</t>
  </si>
  <si>
    <t>TrCap.seats.AT.Tr.Rail.Passenger.CPT</t>
  </si>
  <si>
    <t>TrCap.seats.AT.Tr.Rail.Passenger.CPT.Diesel</t>
  </si>
  <si>
    <t>TrCap.seats.AT.Tr.Rail.Passenger.CPT.Elc</t>
  </si>
  <si>
    <t>TrCap.seats.AT.Tr.Rail.Passenger.HST</t>
  </si>
  <si>
    <t>TrCap.t.AT.Tr.Rail.Freight</t>
  </si>
  <si>
    <t>TrCap.t.AT.Tr.Rail.Freight.Diesel</t>
  </si>
  <si>
    <t>TrCap.t.AT.Tr.Rail.Freight.Elc</t>
  </si>
  <si>
    <t>VehicleKm_per_vehicle.km.AT.Tr.Rail</t>
  </si>
  <si>
    <t>VehicleKm_per_vehicle.km.AT.Tr.Rail.Passenger</t>
  </si>
  <si>
    <t>VehicleKm_per_vehicle.km.AT.Tr.Rail.Passenger.MTU</t>
  </si>
  <si>
    <t>VehicleKm_per_vehicle.km.AT.Tr.Rail.Passenger.CPT</t>
  </si>
  <si>
    <t>VehicleKm_per_vehicle.km.AT.Tr.Rail.Passenger.CPT.Diesel</t>
  </si>
  <si>
    <t>VehicleKm_per_vehicle.km.AT.Tr.Rail.Passenger.CPT.Elc</t>
  </si>
  <si>
    <t>VehicleKm_per_vehicle.km.AT.Tr.Rail.Passenger.HST</t>
  </si>
  <si>
    <t>VehicleKm_per_vehicle.km.AT.Tr.Rail.Freight</t>
  </si>
  <si>
    <t>VehicleKm_per_vehicle.km.AT.Tr.Rail.Freight.Diesel</t>
  </si>
  <si>
    <t>VehicleKm_per_vehicle.km.AT.Tr.Rail.Freight.Elc</t>
  </si>
  <si>
    <t>Activity_per_vehicle.pkm.AT.Tr.Rail.Passenger</t>
  </si>
  <si>
    <t>Activity_per_vehicle.pkm.AT.Tr.Rail.Passenger.MTU</t>
  </si>
  <si>
    <t>Activity_per_vehicle.pkm.AT.Tr.Rail.Passenger.CPT</t>
  </si>
  <si>
    <t>Activity_per_vehicle.pkm.AT.Tr.Rail.Passenger.CPT.Diesel</t>
  </si>
  <si>
    <t>Activity_per_vehicle.pkm.AT.Tr.Rail.Passenger.CPT.Elc</t>
  </si>
  <si>
    <t>Activity_per_vehicle.pkm.AT.Tr.Rail.Passenger.HST</t>
  </si>
  <si>
    <t>Activity_per_vehicle.tkm.AT.Tr.Rail.Freight</t>
  </si>
  <si>
    <t>Activity_per_vehicle.tkm.AT.Tr.Rail.Freight.Diesel</t>
  </si>
  <si>
    <t>Activity_per_vehicle.tkm.AT.Tr.Rail.Freight.Elc</t>
  </si>
  <si>
    <t>Rail, metro and tram / energy consumption - AT - Austria</t>
  </si>
  <si>
    <t>FEC.ktoe.AT.ES.Tr.Rail</t>
  </si>
  <si>
    <t>FEC.ktoe.AT.ES.Tr.Rail.Diesel</t>
  </si>
  <si>
    <t>FEC.ktoe.AT.ES.Tr.Rail.LiqBio</t>
  </si>
  <si>
    <t>FEC.ktoe.AT.ES.Tr.Rail.Elec</t>
  </si>
  <si>
    <t>FEC.ktoe.AT.Tr.Rail</t>
  </si>
  <si>
    <t>FEC.ktoe.AT.Tr.Rail.Passenger.CPT.Diesel</t>
  </si>
  <si>
    <t>FEC.ktoe.AT.Tr.Rail.Passenger.CPT.Elc</t>
  </si>
  <si>
    <t>FEC.ktoe.AT.Tr.Rail.Freight.Diesel</t>
  </si>
  <si>
    <t>FEC.ktoe.AT.Tr.Rail.Freight.Elc</t>
  </si>
  <si>
    <t>Eff.kgoe_per_100km.AT.Tr.Rail</t>
  </si>
  <si>
    <t>Eff.kgoe_per_100km.AT.Tr.Rail.Passenger</t>
  </si>
  <si>
    <t>Eff.kgoe_per_100km.AT.Tr.Rail.Passenger.MTU</t>
  </si>
  <si>
    <t>Eff.kgoe_per_100km.AT.Tr.Rail.Passenger.CPT</t>
  </si>
  <si>
    <t>Eff.kgoe_per_100km.AT.Tr.Rail.Passenger.CPT.Diesel</t>
  </si>
  <si>
    <t>Eff.kgoe_per_100km.AT.Tr.Rail.Passenger.CPT.Elc</t>
  </si>
  <si>
    <t>Eff.kgoe_per_100km.AT.Tr.Rail.Passenger.HST</t>
  </si>
  <si>
    <t>Eff.kgoe_per_100km.AT.Tr.Rail.Freight</t>
  </si>
  <si>
    <t>Eff.kgoe_per_100km.AT.Tr.Rail.Freight.Diesel</t>
  </si>
  <si>
    <t>Eff.kgoe_per_100km.AT.Tr.Rail.Freight.Elc</t>
  </si>
  <si>
    <t>Eff.kgoe_per_kpkm.AT.Tr.Rail.Passenger.CPT.Diesel</t>
  </si>
  <si>
    <t>Eff.kgoe_per_kpkm.AT.Tr.Rail.Passenger.CPT.Elc</t>
  </si>
  <si>
    <t>Eff.kgoe_per_ktkm.AT.Tr.Rail.Freight.Diesel</t>
  </si>
  <si>
    <t>Eff.kgoe_per_ktkm.AT.Tr.Rail.Freight.Elc</t>
  </si>
  <si>
    <t>FEC_per_vehicle.kgoe.AT.Tr.Rail</t>
  </si>
  <si>
    <t>FEC_per_vehicle.kgoe.AT.Tr.Rail.Passenger</t>
  </si>
  <si>
    <t>FEC_per_vehicle.kgoe.AT.Tr.Rail.Passenger.MTU</t>
  </si>
  <si>
    <t>FEC_per_vehicle.kgoe.AT.Tr.Rail.Passenger.CPT</t>
  </si>
  <si>
    <t>FEC_per_vehicle.kgoe.AT.Tr.Rail.Passenger.CPT.Diesel</t>
  </si>
  <si>
    <t>FEC_per_vehicle.kgoe.AT.Tr.Rail.Passenger.CPT.Elc</t>
  </si>
  <si>
    <t>FEC_per_vehicle.kgoe.AT.Tr.Rail.Passenger.HST</t>
  </si>
  <si>
    <t>FEC_per_vehicle.kgoe.AT.Tr.Rail.Freight</t>
  </si>
  <si>
    <t>FEC_per_vehicle.kgoe.AT.Tr.Rail.Freight.Diesel</t>
  </si>
  <si>
    <t>FEC_per_vehicle.kgoe.AT.Tr.Rail.Freight.Elc</t>
  </si>
  <si>
    <t>Rail, metro and tram / CO2 emissions - AT - Austria</t>
  </si>
  <si>
    <t>EMI.ktCO2.AT.ES.Tr.Rail</t>
  </si>
  <si>
    <t>EMI.ktCO2.AT.ES.Tr.Rail.Diesel</t>
  </si>
  <si>
    <t>EMI.ktCO2.AT.ES.Tr.Rail.Elec</t>
  </si>
  <si>
    <t>EMI.ktCO2.AT.Tr.Rail</t>
  </si>
  <si>
    <t>EMI.ktCO2.AT.Tr.Rail.Passenger.CPT.Diesel</t>
  </si>
  <si>
    <t>EMI.ktCO2.AT.Tr.Rail.Passenger.CPT.Elc</t>
  </si>
  <si>
    <t>EMI.ktCO2.AT.Tr.Rail.Freight.Diesel</t>
  </si>
  <si>
    <t>EMI.ktCO2.AT.Tr.Rail.Freight.Elc</t>
  </si>
  <si>
    <t>EMIint.gCO2_per_km.AT.Tr.Rail</t>
  </si>
  <si>
    <t>EMIint.gCO2_per_km.AT.Tr.Rail.Passenger</t>
  </si>
  <si>
    <t>EMIint.gCO2_per_km.AT.Tr.Rail.Passenger.MTU</t>
  </si>
  <si>
    <t>EMIint.gCO2_per_km.AT.Tr.Rail.Passenger.CPT</t>
  </si>
  <si>
    <t>EMIint.gCO2_per_km.AT.Tr.Rail.Passenger.CPT.Diesel</t>
  </si>
  <si>
    <t>EMIint.gCO2_per_km.AT.Tr.Rail.Passenger.CPT.Elc</t>
  </si>
  <si>
    <t>EMIint.gCO2_per_km.AT.Tr.Rail.Passenger.HST</t>
  </si>
  <si>
    <t>EMIint.gCO2_per_km.AT.Tr.Rail.Freight</t>
  </si>
  <si>
    <t>EMIint.gCO2_per_km.AT.Tr.Rail.Freight.Diesel</t>
  </si>
  <si>
    <t>EMIint.gCO2_per_km.AT.Tr.Rail.Freight.Elc</t>
  </si>
  <si>
    <t>EMIint.gCO2_per_pkm.AT.Tr.Rail.Passenger.CPT.Diesel</t>
  </si>
  <si>
    <t>EMIint.gCO2_per_pkm.AT.Tr.Rail.Passenger.CPT.Elc</t>
  </si>
  <si>
    <t>EMIint.gCO2_per_tkm.AT.Tr.Rail.Freight.Diesel</t>
  </si>
  <si>
    <t>EMIint.gCO2_per_tkm.AT.Tr.Rail.Freight.Elc</t>
  </si>
  <si>
    <t>EMI_per_vehicle.tCO2.AT.Tr.Rail</t>
  </si>
  <si>
    <t>EMI_per_vehicle.tCO2.AT.Tr.Rail.Passenger</t>
  </si>
  <si>
    <t>EMI_per_vehicle.tCO2.AT.Tr.Rail.Passenger.MTU</t>
  </si>
  <si>
    <t>EMI_per_vehicle.tCO2.AT.Tr.Rail.Passenger.CPT</t>
  </si>
  <si>
    <t>EMI_per_vehicle.tCO2.AT.Tr.Rail.Passenger.CPT.Diesel</t>
  </si>
  <si>
    <t>EMI_per_vehicle.tCO2.AT.Tr.Rail.Passenger.CPT.Elc</t>
  </si>
  <si>
    <t>EMI_per_vehicle.tCO2.AT.Tr.Rail.Passenger.HST</t>
  </si>
  <si>
    <t>EMI_per_vehicle.tCO2.AT.Tr.Rail.Freight</t>
  </si>
  <si>
    <t>EMI_per_vehicle.tCO2.AT.Tr.Rail.Freight.Diesel</t>
  </si>
  <si>
    <t>EMI_per_vehicle.tCO2.AT.Tr.Rail.Freight.Elc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</si>
</sst>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45967.471458333333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105383.83855251469</v>
      </c>
      <c r="C4" s="28">
        <f t="shared" si="0"/>
        <v>105958.37620699668</v>
      </c>
      <c r="D4" s="28">
        <f t="shared" si="0"/>
        <v>107600.66988293918</v>
      </c>
      <c r="E4" s="28">
        <f t="shared" si="0"/>
        <v>109169.83087397841</v>
      </c>
      <c r="F4" s="28">
        <f t="shared" si="0"/>
        <v>112292.44957056532</v>
      </c>
      <c r="G4" s="28">
        <f t="shared" si="0"/>
        <v>115291.76029399631</v>
      </c>
      <c r="H4" s="28">
        <f t="shared" si="0"/>
        <v>115880.62886130009</v>
      </c>
      <c r="I4" s="28">
        <f t="shared" si="0"/>
        <v>118041.5625075999</v>
      </c>
      <c r="J4" s="28">
        <f t="shared" si="0"/>
        <v>120355.8966996926</v>
      </c>
      <c r="K4" s="28">
        <f t="shared" si="0"/>
        <v>116583.70631547879</v>
      </c>
      <c r="L4" s="28">
        <f t="shared" si="0"/>
        <v>119094.47559846498</v>
      </c>
      <c r="M4" s="28">
        <f t="shared" si="0"/>
        <v>121779.76701530974</v>
      </c>
      <c r="N4" s="28">
        <f t="shared" si="0"/>
        <v>122295.02893909214</v>
      </c>
      <c r="O4" s="28">
        <f t="shared" si="0"/>
        <v>123866.87135813522</v>
      </c>
      <c r="P4" s="28">
        <f t="shared" si="0"/>
        <v>127148.12059121355</v>
      </c>
      <c r="Q4" s="28">
        <f t="shared" si="0"/>
        <v>129931.89532477329</v>
      </c>
      <c r="R4" s="28">
        <f t="shared" ref="R4:V4" si="1">R5+R9+R13</f>
        <v>132792.03894786938</v>
      </c>
      <c r="S4" s="28">
        <f t="shared" si="1"/>
        <v>135201.63098381023</v>
      </c>
      <c r="T4" s="28">
        <f t="shared" si="1"/>
        <v>140112.33917683209</v>
      </c>
      <c r="U4" s="28">
        <f t="shared" si="1"/>
        <v>145758.98772509047</v>
      </c>
      <c r="V4" s="28">
        <f t="shared" si="1"/>
        <v>99080.02755800134</v>
      </c>
      <c r="W4" s="28">
        <f t="shared" ref="W4:Y4" si="2">W5+W9+W13</f>
        <v>107335.19213337396</v>
      </c>
      <c r="X4" s="28">
        <f t="shared" si="2"/>
        <v>131535.41855644292</v>
      </c>
      <c r="Y4" s="28">
        <f t="shared" si="2"/>
        <v>142965.6815050127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77126.732303532335</v>
      </c>
      <c r="C5" s="137">
        <f t="shared" si="3"/>
        <v>77577.212897103411</v>
      </c>
      <c r="D5" s="137">
        <f t="shared" si="3"/>
        <v>78482.92871681237</v>
      </c>
      <c r="E5" s="137">
        <f t="shared" si="3"/>
        <v>79703.787333369808</v>
      </c>
      <c r="F5" s="137">
        <f t="shared" si="3"/>
        <v>80503.508080029977</v>
      </c>
      <c r="G5" s="137">
        <f t="shared" si="3"/>
        <v>81458.965583794707</v>
      </c>
      <c r="H5" s="137">
        <f t="shared" si="3"/>
        <v>82034.997338463319</v>
      </c>
      <c r="I5" s="137">
        <f t="shared" si="3"/>
        <v>83429.077080569317</v>
      </c>
      <c r="J5" s="137">
        <f t="shared" si="3"/>
        <v>84466.551290637086</v>
      </c>
      <c r="K5" s="137">
        <f t="shared" si="3"/>
        <v>82878.966048830553</v>
      </c>
      <c r="L5" s="137">
        <f t="shared" si="3"/>
        <v>84007.031734257936</v>
      </c>
      <c r="M5" s="137">
        <f t="shared" si="3"/>
        <v>85324.778120131174</v>
      </c>
      <c r="N5" s="137">
        <f t="shared" si="3"/>
        <v>84955.208527913943</v>
      </c>
      <c r="O5" s="137">
        <f t="shared" si="3"/>
        <v>85770.884405262841</v>
      </c>
      <c r="P5" s="137">
        <f t="shared" si="3"/>
        <v>87716.840711820754</v>
      </c>
      <c r="Q5" s="137">
        <f t="shared" si="3"/>
        <v>89679.788955198397</v>
      </c>
      <c r="R5" s="137">
        <f t="shared" ref="R5:V5" si="4">R6+R7+R8</f>
        <v>92122.060870944159</v>
      </c>
      <c r="S5" s="137">
        <f t="shared" si="4"/>
        <v>93640.147193047742</v>
      </c>
      <c r="T5" s="137">
        <f t="shared" si="4"/>
        <v>94452.252174593537</v>
      </c>
      <c r="U5" s="137">
        <f t="shared" si="4"/>
        <v>94994.34140430906</v>
      </c>
      <c r="V5" s="137">
        <f t="shared" si="4"/>
        <v>78366.833245907066</v>
      </c>
      <c r="W5" s="137">
        <f t="shared" ref="W5:Y5" si="5">W6+W7+W8</f>
        <v>83892.703183287871</v>
      </c>
      <c r="X5" s="137">
        <f t="shared" si="5"/>
        <v>90752.084059819041</v>
      </c>
      <c r="Y5" s="137">
        <f t="shared" si="5"/>
        <v>93235.724831926942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1034.7172579180008</v>
      </c>
      <c r="C6" s="102">
        <f>TrRoad_act!C$5</f>
        <v>1067.0930613208909</v>
      </c>
      <c r="D6" s="102">
        <f>TrRoad_act!D$5</f>
        <v>1103.2237232936818</v>
      </c>
      <c r="E6" s="102">
        <f>TrRoad_act!E$5</f>
        <v>1136.0906668131479</v>
      </c>
      <c r="F6" s="102">
        <f>TrRoad_act!F$5</f>
        <v>1199.7300665401106</v>
      </c>
      <c r="G6" s="102">
        <f>TrRoad_act!G$5</f>
        <v>1234.196669530048</v>
      </c>
      <c r="H6" s="102">
        <f>TrRoad_act!H$5</f>
        <v>1275.1842655610967</v>
      </c>
      <c r="I6" s="102">
        <f>TrRoad_act!I$5</f>
        <v>1329.1344351714433</v>
      </c>
      <c r="J6" s="102">
        <f>TrRoad_act!J$5</f>
        <v>1385.8376524371122</v>
      </c>
      <c r="K6" s="102">
        <f>TrRoad_act!K$5</f>
        <v>1439.4770900339015</v>
      </c>
      <c r="L6" s="102">
        <f>TrRoad_act!L$5</f>
        <v>1484.8025179237477</v>
      </c>
      <c r="M6" s="102">
        <f>TrRoad_act!M$5</f>
        <v>1533.2905876136563</v>
      </c>
      <c r="N6" s="102">
        <f>TrRoad_act!N$5</f>
        <v>1599.3578230168278</v>
      </c>
      <c r="O6" s="102">
        <f>TrRoad_act!O$5</f>
        <v>1632.0486165722871</v>
      </c>
      <c r="P6" s="102">
        <f>TrRoad_act!P$5</f>
        <v>1681.1096566601136</v>
      </c>
      <c r="Q6" s="102">
        <f>TrRoad_act!Q$5</f>
        <v>1744.0617862191309</v>
      </c>
      <c r="R6" s="102">
        <f>TrRoad_act!R$5</f>
        <v>1796.3556846979061</v>
      </c>
      <c r="S6" s="102">
        <f>TrRoad_act!S$5</f>
        <v>1695.104881255693</v>
      </c>
      <c r="T6" s="102">
        <f>TrRoad_act!T$5</f>
        <v>1615.1493084088756</v>
      </c>
      <c r="U6" s="102">
        <f>TrRoad_act!U$5</f>
        <v>1714.564630156792</v>
      </c>
      <c r="V6" s="102">
        <f>TrRoad_act!V$5</f>
        <v>1537.2826879978122</v>
      </c>
      <c r="W6" s="102">
        <f>TrRoad_act!W$5</f>
        <v>1600.1565855143731</v>
      </c>
      <c r="X6" s="102">
        <f>TrRoad_act!X$5</f>
        <v>1619.1259613043746</v>
      </c>
      <c r="Y6" s="102">
        <f>TrRoad_act!Y$5</f>
        <v>1748.9029688897401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66668.163625038811</v>
      </c>
      <c r="C7" s="102">
        <f>TrRoad_act!C$6</f>
        <v>67104.197984476501</v>
      </c>
      <c r="D7" s="102">
        <f>TrRoad_act!D$6</f>
        <v>67959.869481503105</v>
      </c>
      <c r="E7" s="102">
        <f>TrRoad_act!E$6</f>
        <v>68941.248012873097</v>
      </c>
      <c r="F7" s="102">
        <f>TrRoad_act!F$6</f>
        <v>69607.542929514311</v>
      </c>
      <c r="G7" s="102">
        <f>TrRoad_act!G$6</f>
        <v>70556.755557561017</v>
      </c>
      <c r="H7" s="102">
        <f>TrRoad_act!H$6</f>
        <v>70893.193824100803</v>
      </c>
      <c r="I7" s="102">
        <f>TrRoad_act!I$6</f>
        <v>72022.932222632182</v>
      </c>
      <c r="J7" s="102">
        <f>TrRoad_act!J$6</f>
        <v>73280.79928084409</v>
      </c>
      <c r="K7" s="102">
        <f>TrRoad_act!K$6</f>
        <v>72675.149788321389</v>
      </c>
      <c r="L7" s="102">
        <f>TrRoad_act!L$6</f>
        <v>73442.117538393097</v>
      </c>
      <c r="M7" s="102">
        <f>TrRoad_act!M$6</f>
        <v>74447.747151517906</v>
      </c>
      <c r="N7" s="102">
        <f>TrRoad_act!N$6</f>
        <v>74150.051934482806</v>
      </c>
      <c r="O7" s="102">
        <f>TrRoad_act!O$6</f>
        <v>74902.691291254203</v>
      </c>
      <c r="P7" s="102">
        <f>TrRoad_act!P$6</f>
        <v>76593.516412012003</v>
      </c>
      <c r="Q7" s="102">
        <f>TrRoad_act!Q$6</f>
        <v>78347.120464677297</v>
      </c>
      <c r="R7" s="102">
        <f>TrRoad_act!R$6</f>
        <v>80444.38388248632</v>
      </c>
      <c r="S7" s="102">
        <f>TrRoad_act!S$6</f>
        <v>81794.759313510105</v>
      </c>
      <c r="T7" s="102">
        <f>TrRoad_act!T$6</f>
        <v>83203.652677073696</v>
      </c>
      <c r="U7" s="102">
        <f>TrRoad_act!U$6</f>
        <v>83769.343136871001</v>
      </c>
      <c r="V7" s="102">
        <f>TrRoad_act!V$6</f>
        <v>69042.201792103908</v>
      </c>
      <c r="W7" s="102">
        <f>TrRoad_act!W$6</f>
        <v>74228.112229061095</v>
      </c>
      <c r="X7" s="102">
        <f>TrRoad_act!X$6</f>
        <v>79452.917605497394</v>
      </c>
      <c r="Y7" s="102">
        <f>TrRoad_act!Y$6</f>
        <v>81411.196276286399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9423.8514205755255</v>
      </c>
      <c r="C8" s="102">
        <f>TrRoad_act!C$13</f>
        <v>9405.921851306015</v>
      </c>
      <c r="D8" s="102">
        <f>TrRoad_act!D$13</f>
        <v>9419.8355120155957</v>
      </c>
      <c r="E8" s="102">
        <f>TrRoad_act!E$13</f>
        <v>9626.4486536835611</v>
      </c>
      <c r="F8" s="102">
        <f>TrRoad_act!F$13</f>
        <v>9696.2350839755509</v>
      </c>
      <c r="G8" s="102">
        <f>TrRoad_act!G$13</f>
        <v>9668.0133567036337</v>
      </c>
      <c r="H8" s="102">
        <f>TrRoad_act!H$13</f>
        <v>9866.619248801424</v>
      </c>
      <c r="I8" s="102">
        <f>TrRoad_act!I$13</f>
        <v>10077.010422765679</v>
      </c>
      <c r="J8" s="102">
        <f>TrRoad_act!J$13</f>
        <v>9799.9143573558868</v>
      </c>
      <c r="K8" s="102">
        <f>TrRoad_act!K$13</f>
        <v>8764.3391704752539</v>
      </c>
      <c r="L8" s="102">
        <f>TrRoad_act!L$13</f>
        <v>9080.1116779410877</v>
      </c>
      <c r="M8" s="102">
        <f>TrRoad_act!M$13</f>
        <v>9343.7403809996213</v>
      </c>
      <c r="N8" s="102">
        <f>TrRoad_act!N$13</f>
        <v>9205.7987704143034</v>
      </c>
      <c r="O8" s="102">
        <f>TrRoad_act!O$13</f>
        <v>9236.1444974363512</v>
      </c>
      <c r="P8" s="102">
        <f>TrRoad_act!P$13</f>
        <v>9442.2146431486271</v>
      </c>
      <c r="Q8" s="102">
        <f>TrRoad_act!Q$13</f>
        <v>9588.6067043019666</v>
      </c>
      <c r="R8" s="102">
        <f>TrRoad_act!R$13</f>
        <v>9881.3213037599326</v>
      </c>
      <c r="S8" s="102">
        <f>TrRoad_act!S$13</f>
        <v>10150.282998281935</v>
      </c>
      <c r="T8" s="102">
        <f>TrRoad_act!T$13</f>
        <v>9633.4501891109667</v>
      </c>
      <c r="U8" s="102">
        <f>TrRoad_act!U$13</f>
        <v>9510.4336372812722</v>
      </c>
      <c r="V8" s="102">
        <f>TrRoad_act!V$13</f>
        <v>7787.3487658053555</v>
      </c>
      <c r="W8" s="102">
        <f>TrRoad_act!W$13</f>
        <v>8064.4343687123992</v>
      </c>
      <c r="X8" s="102">
        <f>TrRoad_act!X$13</f>
        <v>9680.0404930172663</v>
      </c>
      <c r="Y8" s="102">
        <f>TrRoad_act!Y$13</f>
        <v>10075.625586750806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14700.109038074523</v>
      </c>
      <c r="C9" s="110">
        <f t="shared" si="6"/>
        <v>14816.272078825818</v>
      </c>
      <c r="D9" s="110">
        <f t="shared" si="6"/>
        <v>14960.394390880374</v>
      </c>
      <c r="E9" s="110">
        <f t="shared" si="6"/>
        <v>14919.060873259317</v>
      </c>
      <c r="F9" s="110">
        <f t="shared" si="6"/>
        <v>14615.49764190213</v>
      </c>
      <c r="G9" s="110">
        <f t="shared" si="6"/>
        <v>15122.253047456506</v>
      </c>
      <c r="H9" s="110">
        <f t="shared" si="6"/>
        <v>15440.193801324818</v>
      </c>
      <c r="I9" s="110">
        <f t="shared" si="6"/>
        <v>15796.320178627555</v>
      </c>
      <c r="J9" s="110">
        <f t="shared" si="6"/>
        <v>17090.632454850285</v>
      </c>
      <c r="K9" s="110">
        <f t="shared" si="6"/>
        <v>17006.130905844089</v>
      </c>
      <c r="L9" s="110">
        <f t="shared" si="6"/>
        <v>17181.81580782606</v>
      </c>
      <c r="M9" s="110">
        <f t="shared" si="6"/>
        <v>17793.687437379693</v>
      </c>
      <c r="N9" s="110">
        <f t="shared" si="6"/>
        <v>18323.746071455411</v>
      </c>
      <c r="O9" s="110">
        <f t="shared" si="6"/>
        <v>19013.99198737097</v>
      </c>
      <c r="P9" s="110">
        <f t="shared" si="6"/>
        <v>18991.058362987264</v>
      </c>
      <c r="Q9" s="110">
        <f t="shared" si="6"/>
        <v>19286.04298832206</v>
      </c>
      <c r="R9" s="110">
        <f t="shared" ref="R9:V9" si="7">R10+R11+R12</f>
        <v>19682.330292979968</v>
      </c>
      <c r="S9" s="110">
        <f t="shared" si="7"/>
        <v>19750.634034161165</v>
      </c>
      <c r="T9" s="110">
        <f t="shared" si="7"/>
        <v>20313.954294048272</v>
      </c>
      <c r="U9" s="110">
        <f t="shared" si="7"/>
        <v>20621.066240924036</v>
      </c>
      <c r="V9" s="110">
        <f t="shared" si="7"/>
        <v>13270.25299273923</v>
      </c>
      <c r="W9" s="110">
        <f t="shared" ref="W9:Y9" si="8">W10+W11+W12</f>
        <v>14570.015642376191</v>
      </c>
      <c r="X9" s="110">
        <f t="shared" si="8"/>
        <v>19406.560454821531</v>
      </c>
      <c r="Y9" s="110">
        <f t="shared" si="8"/>
        <v>21262.415631866643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5960.3240131662324</v>
      </c>
      <c r="C10" s="102">
        <f>TrRail_act!C$5</f>
        <v>6055.3407693842382</v>
      </c>
      <c r="D10" s="102">
        <f>TrRail_act!D$5</f>
        <v>6150.5417770758531</v>
      </c>
      <c r="E10" s="102">
        <f>TrRail_act!E$5</f>
        <v>6245.9273099058164</v>
      </c>
      <c r="F10" s="102">
        <f>TrRail_act!F$5</f>
        <v>6341.4976419021305</v>
      </c>
      <c r="G10" s="102">
        <f>TrRail_act!G$5</f>
        <v>6437.2530474565074</v>
      </c>
      <c r="H10" s="102">
        <f>TrRail_act!H$5</f>
        <v>6533.1938013248173</v>
      </c>
      <c r="I10" s="102">
        <f>TrRail_act!I$5</f>
        <v>6629.3201786275549</v>
      </c>
      <c r="J10" s="102">
        <f>TrRail_act!J$5</f>
        <v>6725.6324548502835</v>
      </c>
      <c r="K10" s="102">
        <f>TrRail_act!K$5</f>
        <v>6822.1309058440929</v>
      </c>
      <c r="L10" s="102">
        <f>TrRail_act!L$5</f>
        <v>6918.8158078260594</v>
      </c>
      <c r="M10" s="102">
        <f>TrRail_act!M$5</f>
        <v>7015.6874373796945</v>
      </c>
      <c r="N10" s="102">
        <f>TrRail_act!N$5</f>
        <v>7112.7460714554118</v>
      </c>
      <c r="O10" s="102">
        <f>TrRail_act!O$5</f>
        <v>7209.9919873709687</v>
      </c>
      <c r="P10" s="102">
        <f>TrRail_act!P$5</f>
        <v>7010.0583629872626</v>
      </c>
      <c r="Q10" s="102">
        <f>TrRail_act!Q$5</f>
        <v>7182.0429883220604</v>
      </c>
      <c r="R10" s="102">
        <f>TrRail_act!R$5</f>
        <v>7185.3302929799684</v>
      </c>
      <c r="S10" s="102">
        <f>TrRail_act!S$5</f>
        <v>7188.6340341611676</v>
      </c>
      <c r="T10" s="102">
        <f>TrRail_act!T$5</f>
        <v>7191.9542940482734</v>
      </c>
      <c r="U10" s="102">
        <f>TrRail_act!U$5</f>
        <v>7369.0662409240376</v>
      </c>
      <c r="V10" s="102">
        <f>TrRail_act!V$5</f>
        <v>5895.2529927392297</v>
      </c>
      <c r="W10" s="102">
        <f>TrRail_act!W$5</f>
        <v>6190.0156423761919</v>
      </c>
      <c r="X10" s="102">
        <f>TrRail_act!X$5</f>
        <v>6551.5604548215269</v>
      </c>
      <c r="Y10" s="102">
        <f>TrRail_act!Y$5</f>
        <v>6827.4156318666437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8739.7850249082894</v>
      </c>
      <c r="C11" s="102">
        <f>TrRail_act!C$6</f>
        <v>8760.9313094415793</v>
      </c>
      <c r="D11" s="102">
        <f>TrRail_act!D$6</f>
        <v>8809.8526138045199</v>
      </c>
      <c r="E11" s="102">
        <f>TrRail_act!E$6</f>
        <v>8673.1335633535</v>
      </c>
      <c r="F11" s="102">
        <f>TrRail_act!F$6</f>
        <v>8274</v>
      </c>
      <c r="G11" s="102">
        <f>TrRail_act!G$6</f>
        <v>8685</v>
      </c>
      <c r="H11" s="102">
        <f>TrRail_act!H$6</f>
        <v>8907</v>
      </c>
      <c r="I11" s="102">
        <f>TrRail_act!I$6</f>
        <v>8972.4705366538055</v>
      </c>
      <c r="J11" s="102">
        <f>TrRail_act!J$6</f>
        <v>10144.700509397506</v>
      </c>
      <c r="K11" s="102">
        <f>TrRail_act!K$6</f>
        <v>9967.5475144914799</v>
      </c>
      <c r="L11" s="102">
        <f>TrRail_act!L$6</f>
        <v>10049.921242278655</v>
      </c>
      <c r="M11" s="102">
        <f>TrRail_act!M$6</f>
        <v>10313.566181818182</v>
      </c>
      <c r="N11" s="102">
        <f>TrRail_act!N$6</f>
        <v>10733.636183974129</v>
      </c>
      <c r="O11" s="102">
        <f>TrRail_act!O$6</f>
        <v>11298.205749412402</v>
      </c>
      <c r="P11" s="102">
        <f>TrRail_act!P$6</f>
        <v>11467.621406617249</v>
      </c>
      <c r="Q11" s="102">
        <f>TrRail_act!Q$6</f>
        <v>11584.505613908004</v>
      </c>
      <c r="R11" s="102">
        <f>TrRail_act!R$6</f>
        <v>11918.919868876343</v>
      </c>
      <c r="S11" s="102">
        <f>TrRail_act!S$6</f>
        <v>11984.698027863215</v>
      </c>
      <c r="T11" s="102">
        <f>TrRail_act!T$6</f>
        <v>12518.853420195439</v>
      </c>
      <c r="U11" s="102">
        <f>TrRail_act!U$6</f>
        <v>12652.532858414959</v>
      </c>
      <c r="V11" s="102">
        <f>TrRail_act!V$6</f>
        <v>7040.9086855716068</v>
      </c>
      <c r="W11" s="102">
        <f>TrRail_act!W$6</f>
        <v>8000.1106550062468</v>
      </c>
      <c r="X11" s="102">
        <f>TrRail_act!X$6</f>
        <v>12269.319282511211</v>
      </c>
      <c r="Y11" s="102">
        <f>TrRail_act!Y$6</f>
        <v>13777.56948180025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194.52946334619432</v>
      </c>
      <c r="J12" s="102">
        <f>TrRail_act!J$9</f>
        <v>220.2994906024943</v>
      </c>
      <c r="K12" s="102">
        <f>TrRail_act!K$9</f>
        <v>216.45248550851923</v>
      </c>
      <c r="L12" s="102">
        <f>TrRail_act!L$9</f>
        <v>213.07875772134526</v>
      </c>
      <c r="M12" s="102">
        <f>TrRail_act!M$9</f>
        <v>464.4338181818182</v>
      </c>
      <c r="N12" s="102">
        <f>TrRail_act!N$9</f>
        <v>477.36381602587142</v>
      </c>
      <c r="O12" s="102">
        <f>TrRail_act!O$9</f>
        <v>505.79425058759722</v>
      </c>
      <c r="P12" s="102">
        <f>TrRail_act!P$9</f>
        <v>513.37859338275166</v>
      </c>
      <c r="Q12" s="102">
        <f>TrRail_act!Q$9</f>
        <v>519.49438609199558</v>
      </c>
      <c r="R12" s="102">
        <f>TrRail_act!R$9</f>
        <v>578.08013112365688</v>
      </c>
      <c r="S12" s="102">
        <f>TrRail_act!S$9</f>
        <v>577.30197213678298</v>
      </c>
      <c r="T12" s="102">
        <f>TrRail_act!T$9</f>
        <v>603.14657980456025</v>
      </c>
      <c r="U12" s="102">
        <f>TrRail_act!U$9</f>
        <v>599.46714158504005</v>
      </c>
      <c r="V12" s="102">
        <f>TrRail_act!V$9</f>
        <v>334.09131442839305</v>
      </c>
      <c r="W12" s="102">
        <f>TrRail_act!W$9</f>
        <v>379.88934499375341</v>
      </c>
      <c r="X12" s="102">
        <f>TrRail_act!X$9</f>
        <v>585.68071748878924</v>
      </c>
      <c r="Y12" s="102">
        <f>TrRail_act!Y$9</f>
        <v>657.43051819974892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13556.997210907819</v>
      </c>
      <c r="C13" s="110">
        <f t="shared" ref="C13:V13" si="10">C14+C15+C16</f>
        <v>13564.891231067448</v>
      </c>
      <c r="D13" s="110">
        <f t="shared" si="10"/>
        <v>14157.346775246435</v>
      </c>
      <c r="E13" s="110">
        <f t="shared" si="10"/>
        <v>14546.982667349283</v>
      </c>
      <c r="F13" s="110">
        <f t="shared" si="10"/>
        <v>17173.443848633226</v>
      </c>
      <c r="G13" s="110">
        <f t="shared" si="10"/>
        <v>18710.541662745087</v>
      </c>
      <c r="H13" s="110">
        <f t="shared" si="10"/>
        <v>18405.437721511957</v>
      </c>
      <c r="I13" s="110">
        <f t="shared" si="10"/>
        <v>18816.16524840302</v>
      </c>
      <c r="J13" s="110">
        <f t="shared" si="10"/>
        <v>18798.712954205224</v>
      </c>
      <c r="K13" s="110">
        <f t="shared" si="10"/>
        <v>16698.609360804152</v>
      </c>
      <c r="L13" s="110">
        <f t="shared" si="10"/>
        <v>17905.628056380985</v>
      </c>
      <c r="M13" s="110">
        <f t="shared" si="10"/>
        <v>18661.301457798883</v>
      </c>
      <c r="N13" s="110">
        <f t="shared" si="10"/>
        <v>19016.074339722793</v>
      </c>
      <c r="O13" s="110">
        <f t="shared" si="10"/>
        <v>19081.994965501413</v>
      </c>
      <c r="P13" s="110">
        <f t="shared" si="10"/>
        <v>20440.221516405516</v>
      </c>
      <c r="Q13" s="110">
        <f t="shared" si="10"/>
        <v>20966.063381252821</v>
      </c>
      <c r="R13" s="110">
        <f t="shared" si="10"/>
        <v>20987.647783945264</v>
      </c>
      <c r="S13" s="110">
        <f t="shared" si="10"/>
        <v>21810.849756601325</v>
      </c>
      <c r="T13" s="110">
        <f t="shared" si="10"/>
        <v>25346.132708190275</v>
      </c>
      <c r="U13" s="110">
        <f t="shared" si="10"/>
        <v>30143.580079857362</v>
      </c>
      <c r="V13" s="110">
        <f t="shared" si="10"/>
        <v>7442.9413193550445</v>
      </c>
      <c r="W13" s="110">
        <f t="shared" ref="W13:Y13" si="11">W14+W15+W16</f>
        <v>8872.4733077098881</v>
      </c>
      <c r="X13" s="110">
        <f t="shared" si="11"/>
        <v>21376.774041802335</v>
      </c>
      <c r="Y13" s="110">
        <f t="shared" si="11"/>
        <v>28467.54104121912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157.73010977986456</v>
      </c>
      <c r="C14" s="102">
        <f>TrAvia_act!C$5</f>
        <v>161.6706720296161</v>
      </c>
      <c r="D14" s="102">
        <f>TrAvia_act!D$5</f>
        <v>164.77891671145522</v>
      </c>
      <c r="E14" s="102">
        <f>TrAvia_act!E$5</f>
        <v>169.57291546636549</v>
      </c>
      <c r="F14" s="102">
        <f>TrAvia_act!F$5</f>
        <v>176.9205698250168</v>
      </c>
      <c r="G14" s="102">
        <f>TrAvia_act!G$5</f>
        <v>176.76307214720245</v>
      </c>
      <c r="H14" s="102">
        <f>TrAvia_act!H$5</f>
        <v>222.22347415220128</v>
      </c>
      <c r="I14" s="102">
        <f>TrAvia_act!I$5</f>
        <v>239.27197635652539</v>
      </c>
      <c r="J14" s="102">
        <f>TrAvia_act!J$5</f>
        <v>254.91024629023923</v>
      </c>
      <c r="K14" s="102">
        <f>TrAvia_act!K$5</f>
        <v>253.19715721549841</v>
      </c>
      <c r="L14" s="102">
        <f>TrAvia_act!L$5</f>
        <v>273.91358864677414</v>
      </c>
      <c r="M14" s="102">
        <f>TrAvia_act!M$5</f>
        <v>214.35635078544078</v>
      </c>
      <c r="N14" s="102">
        <f>TrAvia_act!N$5</f>
        <v>199.03830850251691</v>
      </c>
      <c r="O14" s="102">
        <f>TrAvia_act!O$5</f>
        <v>190.16316407123657</v>
      </c>
      <c r="P14" s="102">
        <f>TrAvia_act!P$5</f>
        <v>178.54922045539277</v>
      </c>
      <c r="Q14" s="102">
        <f>TrAvia_act!Q$5</f>
        <v>162.94319937007094</v>
      </c>
      <c r="R14" s="102">
        <f>TrAvia_act!R$5</f>
        <v>156.4305711148541</v>
      </c>
      <c r="S14" s="102">
        <f>TrAvia_act!S$5</f>
        <v>167.92680319809793</v>
      </c>
      <c r="T14" s="102">
        <f>TrAvia_act!T$5</f>
        <v>184.04799250286447</v>
      </c>
      <c r="U14" s="102">
        <f>TrAvia_act!U$5</f>
        <v>174.94500495564222</v>
      </c>
      <c r="V14" s="102">
        <f>TrAvia_act!V$5</f>
        <v>44.97552719827641</v>
      </c>
      <c r="W14" s="102">
        <f>TrAvia_act!W$5</f>
        <v>32.685958448531302</v>
      </c>
      <c r="X14" s="102">
        <f>TrAvia_act!X$5</f>
        <v>72.223238344160052</v>
      </c>
      <c r="Y14" s="102">
        <f>TrAvia_act!Y$5</f>
        <v>81.445386437117307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6152.2971345716414</v>
      </c>
      <c r="C15" s="102">
        <f>TrAvia_act!C$6</f>
        <v>6147.9535135985998</v>
      </c>
      <c r="D15" s="102">
        <f>TrAvia_act!D$6</f>
        <v>6288.8131270261247</v>
      </c>
      <c r="E15" s="102">
        <f>TrAvia_act!E$6</f>
        <v>6674.18953204441</v>
      </c>
      <c r="F15" s="102">
        <f>TrAvia_act!F$6</f>
        <v>7395.0010590480388</v>
      </c>
      <c r="G15" s="102">
        <f>TrAvia_act!G$6</f>
        <v>7750.9805055047746</v>
      </c>
      <c r="H15" s="102">
        <f>TrAvia_act!H$6</f>
        <v>8014.0555930683613</v>
      </c>
      <c r="I15" s="102">
        <f>TrAvia_act!I$6</f>
        <v>8416.4650449701385</v>
      </c>
      <c r="J15" s="102">
        <f>TrAvia_act!J$6</f>
        <v>8348.8353529856195</v>
      </c>
      <c r="K15" s="102">
        <f>TrAvia_act!K$6</f>
        <v>7585.2525710399013</v>
      </c>
      <c r="L15" s="102">
        <f>TrAvia_act!L$6</f>
        <v>8053.221960277112</v>
      </c>
      <c r="M15" s="102">
        <f>TrAvia_act!M$6</f>
        <v>8690.087345060896</v>
      </c>
      <c r="N15" s="102">
        <f>TrAvia_act!N$6</f>
        <v>8877.8997455986082</v>
      </c>
      <c r="O15" s="102">
        <f>TrAvia_act!O$6</f>
        <v>8749.6069040402817</v>
      </c>
      <c r="P15" s="102">
        <f>TrAvia_act!P$6</f>
        <v>9101.8208266513193</v>
      </c>
      <c r="Q15" s="102">
        <f>TrAvia_act!Q$6</f>
        <v>9333.3286223853647</v>
      </c>
      <c r="R15" s="102">
        <f>TrAvia_act!R$6</f>
        <v>9841.1967630690106</v>
      </c>
      <c r="S15" s="102">
        <f>TrAvia_act!S$6</f>
        <v>10099.005798214599</v>
      </c>
      <c r="T15" s="102">
        <f>TrAvia_act!T$6</f>
        <v>11149.098232634444</v>
      </c>
      <c r="U15" s="102">
        <f>TrAvia_act!U$6</f>
        <v>13103.377682886836</v>
      </c>
      <c r="V15" s="102">
        <f>TrAvia_act!V$6</f>
        <v>3701.6698502209233</v>
      </c>
      <c r="W15" s="102">
        <f>TrAvia_act!W$6</f>
        <v>4437.0147707804872</v>
      </c>
      <c r="X15" s="102">
        <f>TrAvia_act!X$6</f>
        <v>10549.444763355481</v>
      </c>
      <c r="Y15" s="102">
        <f>TrAvia_act!Y$6</f>
        <v>13000.303875640462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7246.969966556313</v>
      </c>
      <c r="C16" s="102">
        <f>TrAvia_act!C$7</f>
        <v>7255.2670454392319</v>
      </c>
      <c r="D16" s="102">
        <f>TrAvia_act!D$7</f>
        <v>7703.7547315088559</v>
      </c>
      <c r="E16" s="102">
        <f>TrAvia_act!E$7</f>
        <v>7703.2202198385066</v>
      </c>
      <c r="F16" s="102">
        <f>TrAvia_act!F$7</f>
        <v>9601.5222197601688</v>
      </c>
      <c r="G16" s="102">
        <f>TrAvia_act!G$7</f>
        <v>10782.798085093111</v>
      </c>
      <c r="H16" s="102">
        <f>TrAvia_act!H$7</f>
        <v>10169.158654291394</v>
      </c>
      <c r="I16" s="102">
        <f>TrAvia_act!I$7</f>
        <v>10160.428227076356</v>
      </c>
      <c r="J16" s="102">
        <f>TrAvia_act!J$7</f>
        <v>10194.967354929366</v>
      </c>
      <c r="K16" s="102">
        <f>TrAvia_act!K$7</f>
        <v>8860.1596325487535</v>
      </c>
      <c r="L16" s="102">
        <f>TrAvia_act!L$7</f>
        <v>9578.4925074570965</v>
      </c>
      <c r="M16" s="102">
        <f>TrAvia_act!M$7</f>
        <v>9756.8577619525458</v>
      </c>
      <c r="N16" s="102">
        <f>TrAvia_act!N$7</f>
        <v>9939.1362856216674</v>
      </c>
      <c r="O16" s="102">
        <f>TrAvia_act!O$7</f>
        <v>10142.224897389893</v>
      </c>
      <c r="P16" s="102">
        <f>TrAvia_act!P$7</f>
        <v>11159.851469298805</v>
      </c>
      <c r="Q16" s="102">
        <f>TrAvia_act!Q$7</f>
        <v>11469.791559497386</v>
      </c>
      <c r="R16" s="102">
        <f>TrAvia_act!R$7</f>
        <v>10990.020449761398</v>
      </c>
      <c r="S16" s="102">
        <f>TrAvia_act!S$7</f>
        <v>11543.917155188628</v>
      </c>
      <c r="T16" s="102">
        <f>TrAvia_act!T$7</f>
        <v>14012.986483052966</v>
      </c>
      <c r="U16" s="102">
        <f>TrAvia_act!U$7</f>
        <v>16865.257392014886</v>
      </c>
      <c r="V16" s="102">
        <f>TrAvia_act!V$7</f>
        <v>3696.2959419358449</v>
      </c>
      <c r="W16" s="102">
        <f>TrAvia_act!W$7</f>
        <v>4402.7725784808699</v>
      </c>
      <c r="X16" s="102">
        <f>TrAvia_act!X$7</f>
        <v>10755.106040102693</v>
      </c>
      <c r="Y16" s="102">
        <f>TrAvia_act!Y$7</f>
        <v>15385.791779141542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46173.484808151901</v>
      </c>
      <c r="C17" s="28">
        <f t="shared" si="12"/>
        <v>47665.364259372313</v>
      </c>
      <c r="D17" s="28">
        <f t="shared" si="12"/>
        <v>49331.584613794068</v>
      </c>
      <c r="E17" s="28">
        <f t="shared" si="12"/>
        <v>49140.729196530323</v>
      </c>
      <c r="F17" s="28">
        <f t="shared" si="12"/>
        <v>52537.601251314074</v>
      </c>
      <c r="G17" s="28">
        <f t="shared" si="12"/>
        <v>53615.657938983175</v>
      </c>
      <c r="H17" s="28">
        <f t="shared" si="12"/>
        <v>58772.788958966652</v>
      </c>
      <c r="I17" s="28">
        <f t="shared" si="12"/>
        <v>63013.170056573472</v>
      </c>
      <c r="J17" s="28">
        <f t="shared" si="12"/>
        <v>65866.22394593549</v>
      </c>
      <c r="K17" s="28">
        <f t="shared" si="12"/>
        <v>55960.933920112249</v>
      </c>
      <c r="L17" s="28">
        <f t="shared" si="12"/>
        <v>60546.430884501802</v>
      </c>
      <c r="M17" s="28">
        <f t="shared" si="12"/>
        <v>62071.610722860045</v>
      </c>
      <c r="N17" s="28">
        <f t="shared" si="12"/>
        <v>60257.144652849092</v>
      </c>
      <c r="O17" s="28">
        <f t="shared" si="12"/>
        <v>60784.134282002356</v>
      </c>
      <c r="P17" s="28">
        <f t="shared" si="12"/>
        <v>63277.846741915208</v>
      </c>
      <c r="Q17" s="28">
        <f t="shared" si="12"/>
        <v>64821.532244875692</v>
      </c>
      <c r="R17" s="28">
        <f t="shared" ref="R17:V17" si="13">R18+R21+R22+R26</f>
        <v>67205.764012792555</v>
      </c>
      <c r="S17" s="28">
        <f t="shared" si="13"/>
        <v>70895.227737445384</v>
      </c>
      <c r="T17" s="28">
        <f t="shared" si="13"/>
        <v>70653.837500840978</v>
      </c>
      <c r="U17" s="28">
        <f t="shared" si="13"/>
        <v>71461.333441241193</v>
      </c>
      <c r="V17" s="28">
        <f t="shared" si="13"/>
        <v>69700.777742802602</v>
      </c>
      <c r="W17" s="28">
        <f t="shared" ref="W17:Y17" si="14">W18+W21+W22+W26</f>
        <v>73731.228272537846</v>
      </c>
      <c r="X17" s="28">
        <f t="shared" si="14"/>
        <v>74060.842132453588</v>
      </c>
      <c r="Y17" s="28">
        <f t="shared" si="14"/>
        <v>69590.349800904951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26992.424831487086</v>
      </c>
      <c r="C18" s="137">
        <f t="shared" si="15"/>
        <v>28092.361593556721</v>
      </c>
      <c r="D18" s="137">
        <f t="shared" si="15"/>
        <v>29217.445678586359</v>
      </c>
      <c r="E18" s="137">
        <f t="shared" si="15"/>
        <v>29858.606706296519</v>
      </c>
      <c r="F18" s="137">
        <f t="shared" si="15"/>
        <v>31859.35082822496</v>
      </c>
      <c r="G18" s="137">
        <f t="shared" si="15"/>
        <v>32692.453852625047</v>
      </c>
      <c r="H18" s="137">
        <f t="shared" si="15"/>
        <v>35760.035884252924</v>
      </c>
      <c r="I18" s="137">
        <f t="shared" si="15"/>
        <v>38875.877615398829</v>
      </c>
      <c r="J18" s="137">
        <f t="shared" si="15"/>
        <v>41439.202328556355</v>
      </c>
      <c r="K18" s="137">
        <f t="shared" si="15"/>
        <v>36057.333605883796</v>
      </c>
      <c r="L18" s="137">
        <f t="shared" si="15"/>
        <v>38194.720919977575</v>
      </c>
      <c r="M18" s="137">
        <f t="shared" si="15"/>
        <v>39417.982482943255</v>
      </c>
      <c r="N18" s="137">
        <f t="shared" si="15"/>
        <v>38361.241764076825</v>
      </c>
      <c r="O18" s="137">
        <f t="shared" si="15"/>
        <v>38918.021480298376</v>
      </c>
      <c r="P18" s="137">
        <f t="shared" si="15"/>
        <v>40051.492841321044</v>
      </c>
      <c r="Q18" s="137">
        <f t="shared" si="15"/>
        <v>41831.117374587309</v>
      </c>
      <c r="R18" s="137">
        <f t="shared" ref="R18:V18" si="16">R19+R20</f>
        <v>43498.563511832079</v>
      </c>
      <c r="S18" s="137">
        <f t="shared" si="16"/>
        <v>46204.360299965032</v>
      </c>
      <c r="T18" s="137">
        <f t="shared" si="16"/>
        <v>46675.072817404216</v>
      </c>
      <c r="U18" s="137">
        <f t="shared" si="16"/>
        <v>47483.32125065213</v>
      </c>
      <c r="V18" s="137">
        <f t="shared" si="16"/>
        <v>47419.933859336874</v>
      </c>
      <c r="W18" s="137">
        <f t="shared" ref="W18:Y18" si="17">W19+W20</f>
        <v>50273.805344285953</v>
      </c>
      <c r="X18" s="137">
        <f t="shared" si="17"/>
        <v>50436.066178706053</v>
      </c>
      <c r="Y18" s="137">
        <f t="shared" si="17"/>
        <v>47967.090746037058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266.07937466990899</v>
      </c>
      <c r="C19" s="102">
        <f>TrRoad_act!C$20</f>
        <v>280.16649362307413</v>
      </c>
      <c r="D19" s="102">
        <f>TrRoad_act!D$20</f>
        <v>290.73078980791342</v>
      </c>
      <c r="E19" s="102">
        <f>TrRoad_act!E$20</f>
        <v>297.04188203659703</v>
      </c>
      <c r="F19" s="102">
        <f>TrRoad_act!F$20</f>
        <v>301.92373017768915</v>
      </c>
      <c r="G19" s="102">
        <f>TrRoad_act!G$20</f>
        <v>311.07312660262039</v>
      </c>
      <c r="H19" s="102">
        <f>TrRoad_act!H$20</f>
        <v>319.53810814388731</v>
      </c>
      <c r="I19" s="102">
        <f>TrRoad_act!I$20</f>
        <v>328.2536707649013</v>
      </c>
      <c r="J19" s="102">
        <f>TrRoad_act!J$20</f>
        <v>328.15846218731463</v>
      </c>
      <c r="K19" s="102">
        <f>TrRoad_act!K$20</f>
        <v>328.3478866249169</v>
      </c>
      <c r="L19" s="102">
        <f>TrRoad_act!L$20</f>
        <v>333.2845988766789</v>
      </c>
      <c r="M19" s="102">
        <f>TrRoad_act!M$20</f>
        <v>339.80832462490639</v>
      </c>
      <c r="N19" s="102">
        <f>TrRoad_act!N$20</f>
        <v>341.38754398912585</v>
      </c>
      <c r="O19" s="102">
        <f>TrRoad_act!O$20</f>
        <v>353.81492144613867</v>
      </c>
      <c r="P19" s="102">
        <f>TrRoad_act!P$20</f>
        <v>370.23788849285233</v>
      </c>
      <c r="Q19" s="102">
        <f>TrRoad_act!Q$20</f>
        <v>382.02892847991774</v>
      </c>
      <c r="R19" s="102">
        <f>TrRoad_act!R$20</f>
        <v>392.45531143330521</v>
      </c>
      <c r="S19" s="102">
        <f>TrRoad_act!S$20</f>
        <v>401.54925769537635</v>
      </c>
      <c r="T19" s="102">
        <f>TrRoad_act!T$20</f>
        <v>413.07281740421627</v>
      </c>
      <c r="U19" s="102">
        <f>TrRoad_act!U$20</f>
        <v>426.32125065213029</v>
      </c>
      <c r="V19" s="102">
        <f>TrRoad_act!V$20</f>
        <v>432.93385933687165</v>
      </c>
      <c r="W19" s="102">
        <f>TrRoad_act!W$20</f>
        <v>463.80534428594945</v>
      </c>
      <c r="X19" s="102">
        <f>TrRoad_act!X$20</f>
        <v>477.06617870604958</v>
      </c>
      <c r="Y19" s="102">
        <f>TrRoad_act!Y$20</f>
        <v>486.09074603705824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26726.345456817176</v>
      </c>
      <c r="C20" s="102">
        <f>TrRoad_act!C$26</f>
        <v>27812.195099933648</v>
      </c>
      <c r="D20" s="102">
        <f>TrRoad_act!D$26</f>
        <v>28926.714888778446</v>
      </c>
      <c r="E20" s="102">
        <f>TrRoad_act!E$26</f>
        <v>29561.564824259924</v>
      </c>
      <c r="F20" s="102">
        <f>TrRoad_act!F$26</f>
        <v>31557.427098047272</v>
      </c>
      <c r="G20" s="102">
        <f>TrRoad_act!G$26</f>
        <v>32381.380726022428</v>
      </c>
      <c r="H20" s="102">
        <f>TrRoad_act!H$26</f>
        <v>35440.497776109034</v>
      </c>
      <c r="I20" s="102">
        <f>TrRoad_act!I$26</f>
        <v>38547.623944633931</v>
      </c>
      <c r="J20" s="102">
        <f>TrRoad_act!J$26</f>
        <v>41111.043866369044</v>
      </c>
      <c r="K20" s="102">
        <f>TrRoad_act!K$26</f>
        <v>35728.985719258882</v>
      </c>
      <c r="L20" s="102">
        <f>TrRoad_act!L$26</f>
        <v>37861.436321100897</v>
      </c>
      <c r="M20" s="102">
        <f>TrRoad_act!M$26</f>
        <v>39078.174158318347</v>
      </c>
      <c r="N20" s="102">
        <f>TrRoad_act!N$26</f>
        <v>38019.854220087698</v>
      </c>
      <c r="O20" s="102">
        <f>TrRoad_act!O$26</f>
        <v>38564.206558852238</v>
      </c>
      <c r="P20" s="102">
        <f>TrRoad_act!P$26</f>
        <v>39681.254952828189</v>
      </c>
      <c r="Q20" s="102">
        <f>TrRoad_act!Q$26</f>
        <v>41449.088446107395</v>
      </c>
      <c r="R20" s="102">
        <f>TrRoad_act!R$26</f>
        <v>43106.108200398776</v>
      </c>
      <c r="S20" s="102">
        <f>TrRoad_act!S$26</f>
        <v>45802.811042269655</v>
      </c>
      <c r="T20" s="102">
        <f>TrRoad_act!T$26</f>
        <v>46262</v>
      </c>
      <c r="U20" s="102">
        <f>TrRoad_act!U$26</f>
        <v>47057</v>
      </c>
      <c r="V20" s="102">
        <f>TrRoad_act!V$26</f>
        <v>46987</v>
      </c>
      <c r="W20" s="102">
        <f>TrRoad_act!W$26</f>
        <v>49810</v>
      </c>
      <c r="X20" s="102">
        <f>TrRoad_act!X$26</f>
        <v>49959</v>
      </c>
      <c r="Y20" s="102">
        <f>TrRoad_act!Y$26</f>
        <v>47481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16600</v>
      </c>
      <c r="C21" s="110">
        <f>TrRail_act!C$10</f>
        <v>16893</v>
      </c>
      <c r="D21" s="110">
        <f>TrRail_act!D$10</f>
        <v>17130</v>
      </c>
      <c r="E21" s="110">
        <f>TrRail_act!E$10</f>
        <v>16866</v>
      </c>
      <c r="F21" s="110">
        <f>TrRail_act!F$10</f>
        <v>18757</v>
      </c>
      <c r="G21" s="110">
        <f>TrRail_act!G$10</f>
        <v>18957</v>
      </c>
      <c r="H21" s="110">
        <f>TrRail_act!H$10</f>
        <v>20980</v>
      </c>
      <c r="I21" s="110">
        <f>TrRail_act!I$10</f>
        <v>21371</v>
      </c>
      <c r="J21" s="110">
        <f>TrRail_act!J$10</f>
        <v>21915</v>
      </c>
      <c r="K21" s="110">
        <f>TrRail_act!K$10</f>
        <v>17767</v>
      </c>
      <c r="L21" s="110">
        <f>TrRail_act!L$10</f>
        <v>19833</v>
      </c>
      <c r="M21" s="110">
        <f>TrRail_act!M$10</f>
        <v>20345</v>
      </c>
      <c r="N21" s="110">
        <f>TrRail_act!N$10</f>
        <v>19499</v>
      </c>
      <c r="O21" s="110">
        <f>TrRail_act!O$10</f>
        <v>19278</v>
      </c>
      <c r="P21" s="110">
        <f>TrRail_act!P$10</f>
        <v>20746</v>
      </c>
      <c r="Q21" s="110">
        <f>TrRail_act!Q$10</f>
        <v>20814</v>
      </c>
      <c r="R21" s="110">
        <f>TrRail_act!R$10</f>
        <v>21361</v>
      </c>
      <c r="S21" s="110">
        <f>TrRail_act!S$10</f>
        <v>22256</v>
      </c>
      <c r="T21" s="110">
        <f>TrRail_act!T$10</f>
        <v>21996</v>
      </c>
      <c r="U21" s="110">
        <f>TrRail_act!U$10</f>
        <v>21736</v>
      </c>
      <c r="V21" s="110">
        <f>TrRail_act!V$10</f>
        <v>20498</v>
      </c>
      <c r="W21" s="110">
        <f>TrRail_act!W$10</f>
        <v>21779</v>
      </c>
      <c r="X21" s="110">
        <f>TrRail_act!X$10</f>
        <v>22167</v>
      </c>
      <c r="Y21" s="110">
        <f>TrRail_act!Y$10</f>
        <v>20205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137.05997666481613</v>
      </c>
      <c r="C22" s="110">
        <f t="shared" ref="C22:V22" si="19">C23+C24+C25</f>
        <v>123.00266581559336</v>
      </c>
      <c r="D22" s="110">
        <f t="shared" si="19"/>
        <v>138.13893520771055</v>
      </c>
      <c r="E22" s="110">
        <f t="shared" si="19"/>
        <v>140.12249023380949</v>
      </c>
      <c r="F22" s="110">
        <f t="shared" si="19"/>
        <v>174.25042308911409</v>
      </c>
      <c r="G22" s="110">
        <f t="shared" si="19"/>
        <v>213.20408635812939</v>
      </c>
      <c r="H22" s="110">
        <f t="shared" si="19"/>
        <v>195.75307471372713</v>
      </c>
      <c r="I22" s="110">
        <f t="shared" si="19"/>
        <v>169.29244117464347</v>
      </c>
      <c r="J22" s="110">
        <f t="shared" si="19"/>
        <v>153.02161737914156</v>
      </c>
      <c r="K22" s="110">
        <f t="shared" si="19"/>
        <v>133.60031422845594</v>
      </c>
      <c r="L22" s="110">
        <f t="shared" si="19"/>
        <v>143.70996452422801</v>
      </c>
      <c r="M22" s="110">
        <f t="shared" si="19"/>
        <v>185.62823991679099</v>
      </c>
      <c r="N22" s="110">
        <f t="shared" si="19"/>
        <v>205.90288877226794</v>
      </c>
      <c r="O22" s="110">
        <f t="shared" si="19"/>
        <v>235.11280170397882</v>
      </c>
      <c r="P22" s="110">
        <f t="shared" si="19"/>
        <v>303.35390059416733</v>
      </c>
      <c r="Q22" s="110">
        <f t="shared" si="19"/>
        <v>370.41487028838003</v>
      </c>
      <c r="R22" s="110">
        <f t="shared" si="19"/>
        <v>384.20050096047072</v>
      </c>
      <c r="S22" s="110">
        <f t="shared" si="19"/>
        <v>412.86743748035042</v>
      </c>
      <c r="T22" s="110">
        <f t="shared" si="19"/>
        <v>493.76468343676731</v>
      </c>
      <c r="U22" s="110">
        <f t="shared" si="19"/>
        <v>527.01219058905212</v>
      </c>
      <c r="V22" s="110">
        <f t="shared" si="19"/>
        <v>176.84388346573161</v>
      </c>
      <c r="W22" s="110">
        <f t="shared" ref="W22:Y22" si="20">W23+W24+W25</f>
        <v>172.42292825189668</v>
      </c>
      <c r="X22" s="110">
        <f t="shared" si="20"/>
        <v>224.77595374753622</v>
      </c>
      <c r="Y22" s="110">
        <f t="shared" si="20"/>
        <v>231.2590548679012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0.28801273010216366</v>
      </c>
      <c r="C23" s="102">
        <f>TrAvia_act!C$9</f>
        <v>0.17715884575593069</v>
      </c>
      <c r="D23" s="102">
        <f>TrAvia_act!D$9</f>
        <v>0.18217740497561377</v>
      </c>
      <c r="E23" s="102">
        <f>TrAvia_act!E$9</f>
        <v>0.19378083324847151</v>
      </c>
      <c r="F23" s="102">
        <f>TrAvia_act!F$9</f>
        <v>0.2360001586379202</v>
      </c>
      <c r="G23" s="102">
        <f>TrAvia_act!G$9</f>
        <v>0.24124954713272115</v>
      </c>
      <c r="H23" s="102">
        <f>TrAvia_act!H$9</f>
        <v>0.2387271929481945</v>
      </c>
      <c r="I23" s="102">
        <f>TrAvia_act!I$9</f>
        <v>0.21276301929892277</v>
      </c>
      <c r="J23" s="102">
        <f>TrAvia_act!J$9</f>
        <v>0.22503387062388769</v>
      </c>
      <c r="K23" s="102">
        <f>TrAvia_act!K$9</f>
        <v>0.21629151338098909</v>
      </c>
      <c r="L23" s="102">
        <f>TrAvia_act!L$9</f>
        <v>0.18957172639026551</v>
      </c>
      <c r="M23" s="102">
        <f>TrAvia_act!M$9</f>
        <v>0.14504913997046329</v>
      </c>
      <c r="N23" s="102">
        <f>TrAvia_act!N$9</f>
        <v>0.11128334716758893</v>
      </c>
      <c r="O23" s="102">
        <f>TrAvia_act!O$9</f>
        <v>8.2766665470793754E-2</v>
      </c>
      <c r="P23" s="102">
        <f>TrAvia_act!P$9</f>
        <v>5.6643408476688639E-2</v>
      </c>
      <c r="Q23" s="102">
        <f>TrAvia_act!Q$9</f>
        <v>5.1504268667046917E-2</v>
      </c>
      <c r="R23" s="102">
        <f>TrAvia_act!R$9</f>
        <v>3.237733860229404E-2</v>
      </c>
      <c r="S23" s="102">
        <f>TrAvia_act!S$9</f>
        <v>2.2563753626521157E-2</v>
      </c>
      <c r="T23" s="102">
        <f>TrAvia_act!T$9</f>
        <v>2.1363160597074212E-2</v>
      </c>
      <c r="U23" s="102">
        <f>TrAvia_act!U$9</f>
        <v>7.0960202864536071E-3</v>
      </c>
      <c r="V23" s="102">
        <f>TrAvia_act!V$9</f>
        <v>2.9143152930297535E-3</v>
      </c>
      <c r="W23" s="102">
        <f>TrAvia_act!W$9</f>
        <v>2.8440696259453978E-3</v>
      </c>
      <c r="X23" s="102">
        <f>TrAvia_act!X$9</f>
        <v>3.1269284119620441E-3</v>
      </c>
      <c r="Y23" s="102">
        <f>TrAvia_act!Y$9</f>
        <v>4.8996118612024166E-3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35.608811303033669</v>
      </c>
      <c r="C24" s="102">
        <f>TrAvia_act!C$10</f>
        <v>33.854526200574441</v>
      </c>
      <c r="D24" s="102">
        <f>TrAvia_act!D$10</f>
        <v>41.819726933355383</v>
      </c>
      <c r="E24" s="102">
        <f>TrAvia_act!E$10</f>
        <v>45.62612925517459</v>
      </c>
      <c r="F24" s="102">
        <f>TrAvia_act!F$10</f>
        <v>65.855565233430099</v>
      </c>
      <c r="G24" s="102">
        <f>TrAvia_act!G$10</f>
        <v>68.477135071405854</v>
      </c>
      <c r="H24" s="102">
        <f>TrAvia_act!H$10</f>
        <v>65.241122416840625</v>
      </c>
      <c r="I24" s="102">
        <f>TrAvia_act!I$10</f>
        <v>54.742604761911515</v>
      </c>
      <c r="J24" s="102">
        <f>TrAvia_act!J$10</f>
        <v>49.207499546323412</v>
      </c>
      <c r="K24" s="102">
        <f>TrAvia_act!K$10</f>
        <v>44.873478363582969</v>
      </c>
      <c r="L24" s="102">
        <f>TrAvia_act!L$10</f>
        <v>47.531469954283239</v>
      </c>
      <c r="M24" s="102">
        <f>TrAvia_act!M$10</f>
        <v>49.394195976869042</v>
      </c>
      <c r="N24" s="102">
        <f>TrAvia_act!N$10</f>
        <v>46.399448871252801</v>
      </c>
      <c r="O24" s="102">
        <f>TrAvia_act!O$10</f>
        <v>49.838332327825498</v>
      </c>
      <c r="P24" s="102">
        <f>TrAvia_act!P$10</f>
        <v>65.264561724064009</v>
      </c>
      <c r="Q24" s="102">
        <f>TrAvia_act!Q$10</f>
        <v>61.907536932351682</v>
      </c>
      <c r="R24" s="102">
        <f>TrAvia_act!R$10</f>
        <v>55.929326456969648</v>
      </c>
      <c r="S24" s="102">
        <f>TrAvia_act!S$10</f>
        <v>61.05583917746975</v>
      </c>
      <c r="T24" s="102">
        <f>TrAvia_act!T$10</f>
        <v>62.870411792544395</v>
      </c>
      <c r="U24" s="102">
        <f>TrAvia_act!U$10</f>
        <v>71.476066252006362</v>
      </c>
      <c r="V24" s="102">
        <f>TrAvia_act!V$10</f>
        <v>55.862164123684039</v>
      </c>
      <c r="W24" s="102">
        <f>TrAvia_act!W$10</f>
        <v>62.033659023889534</v>
      </c>
      <c r="X24" s="102">
        <f>TrAvia_act!X$10</f>
        <v>71.829397279135833</v>
      </c>
      <c r="Y24" s="102">
        <f>TrAvia_act!Y$10</f>
        <v>69.767715639184118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101.1631526316803</v>
      </c>
      <c r="C25" s="102">
        <f>TrAvia_act!C$11</f>
        <v>88.970980769262979</v>
      </c>
      <c r="D25" s="102">
        <f>TrAvia_act!D$11</f>
        <v>96.137030869379544</v>
      </c>
      <c r="E25" s="102">
        <f>TrAvia_act!E$11</f>
        <v>94.302580145386415</v>
      </c>
      <c r="F25" s="102">
        <f>TrAvia_act!F$11</f>
        <v>108.15885769704607</v>
      </c>
      <c r="G25" s="102">
        <f>TrAvia_act!G$11</f>
        <v>144.48570173959081</v>
      </c>
      <c r="H25" s="102">
        <f>TrAvia_act!H$11</f>
        <v>130.27322510393833</v>
      </c>
      <c r="I25" s="102">
        <f>TrAvia_act!I$11</f>
        <v>114.33707339343303</v>
      </c>
      <c r="J25" s="102">
        <f>TrAvia_act!J$11</f>
        <v>103.58908396219425</v>
      </c>
      <c r="K25" s="102">
        <f>TrAvia_act!K$11</f>
        <v>88.510544351491987</v>
      </c>
      <c r="L25" s="102">
        <f>TrAvia_act!L$11</f>
        <v>95.988922843554505</v>
      </c>
      <c r="M25" s="102">
        <f>TrAvia_act!M$11</f>
        <v>136.08899479995148</v>
      </c>
      <c r="N25" s="102">
        <f>TrAvia_act!N$11</f>
        <v>159.39215655384757</v>
      </c>
      <c r="O25" s="102">
        <f>TrAvia_act!O$11</f>
        <v>185.19170271068253</v>
      </c>
      <c r="P25" s="102">
        <f>TrAvia_act!P$11</f>
        <v>238.03269546162662</v>
      </c>
      <c r="Q25" s="102">
        <f>TrAvia_act!Q$11</f>
        <v>308.45582908736128</v>
      </c>
      <c r="R25" s="102">
        <f>TrAvia_act!R$11</f>
        <v>328.23879716489876</v>
      </c>
      <c r="S25" s="102">
        <f>TrAvia_act!S$11</f>
        <v>351.78903454925415</v>
      </c>
      <c r="T25" s="102">
        <f>TrAvia_act!T$11</f>
        <v>430.87290848362585</v>
      </c>
      <c r="U25" s="102">
        <f>TrAvia_act!U$11</f>
        <v>455.52902831675931</v>
      </c>
      <c r="V25" s="102">
        <f>TrAvia_act!V$11</f>
        <v>120.97880502675454</v>
      </c>
      <c r="W25" s="102">
        <f>TrAvia_act!W$11</f>
        <v>110.38642515838121</v>
      </c>
      <c r="X25" s="102">
        <f>TrAvia_act!X$11</f>
        <v>152.94342953998841</v>
      </c>
      <c r="Y25" s="102">
        <f>TrAvia_act!Y$11</f>
        <v>161.48643961685588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2444</v>
      </c>
      <c r="C26" s="110">
        <f t="shared" si="21"/>
        <v>2557</v>
      </c>
      <c r="D26" s="110">
        <f t="shared" si="21"/>
        <v>2846</v>
      </c>
      <c r="E26" s="110">
        <f t="shared" si="21"/>
        <v>2276</v>
      </c>
      <c r="F26" s="110">
        <f t="shared" si="21"/>
        <v>1747</v>
      </c>
      <c r="G26" s="110">
        <f t="shared" si="21"/>
        <v>1753</v>
      </c>
      <c r="H26" s="110">
        <f t="shared" si="21"/>
        <v>1837</v>
      </c>
      <c r="I26" s="110">
        <f t="shared" si="21"/>
        <v>2597</v>
      </c>
      <c r="J26" s="110">
        <f t="shared" si="21"/>
        <v>2359</v>
      </c>
      <c r="K26" s="110">
        <f t="shared" si="21"/>
        <v>2003</v>
      </c>
      <c r="L26" s="110">
        <f t="shared" si="21"/>
        <v>2375</v>
      </c>
      <c r="M26" s="110">
        <f t="shared" si="21"/>
        <v>2123</v>
      </c>
      <c r="N26" s="110">
        <f t="shared" si="21"/>
        <v>2191</v>
      </c>
      <c r="O26" s="110">
        <f t="shared" si="21"/>
        <v>2353</v>
      </c>
      <c r="P26" s="110">
        <f t="shared" si="21"/>
        <v>2177</v>
      </c>
      <c r="Q26" s="110">
        <f t="shared" si="21"/>
        <v>1806</v>
      </c>
      <c r="R26" s="110">
        <f t="shared" ref="R26:V26" si="22">R27+R28</f>
        <v>1962</v>
      </c>
      <c r="S26" s="110">
        <f t="shared" si="22"/>
        <v>2021.9999999999998</v>
      </c>
      <c r="T26" s="110">
        <f t="shared" si="22"/>
        <v>1489</v>
      </c>
      <c r="U26" s="110">
        <f t="shared" si="22"/>
        <v>1715</v>
      </c>
      <c r="V26" s="110">
        <f t="shared" si="22"/>
        <v>1606</v>
      </c>
      <c r="W26" s="110">
        <f t="shared" ref="W26:Y26" si="23">W27+W28</f>
        <v>1506</v>
      </c>
      <c r="X26" s="110">
        <f t="shared" si="23"/>
        <v>1233</v>
      </c>
      <c r="Y26" s="110">
        <f t="shared" si="23"/>
        <v>1187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X27" s="102">
        <f>TrNavi_act!X4</f>
        <v>0</v>
      </c>
      <c r="Y27" s="102">
        <f>TrNavi_act!Y4</f>
        <v>0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2444</v>
      </c>
      <c r="C28" s="169">
        <f>TrNavi_act!C5</f>
        <v>2557</v>
      </c>
      <c r="D28" s="169">
        <f>TrNavi_act!D5</f>
        <v>2846</v>
      </c>
      <c r="E28" s="169">
        <f>TrNavi_act!E5</f>
        <v>2276</v>
      </c>
      <c r="F28" s="169">
        <f>TrNavi_act!F5</f>
        <v>1747</v>
      </c>
      <c r="G28" s="169">
        <f>TrNavi_act!G5</f>
        <v>1753</v>
      </c>
      <c r="H28" s="169">
        <f>TrNavi_act!H5</f>
        <v>1837</v>
      </c>
      <c r="I28" s="169">
        <f>TrNavi_act!I5</f>
        <v>2597</v>
      </c>
      <c r="J28" s="169">
        <f>TrNavi_act!J5</f>
        <v>2359</v>
      </c>
      <c r="K28" s="169">
        <f>TrNavi_act!K5</f>
        <v>2003</v>
      </c>
      <c r="L28" s="169">
        <f>TrNavi_act!L5</f>
        <v>2375</v>
      </c>
      <c r="M28" s="169">
        <f>TrNavi_act!M5</f>
        <v>2123</v>
      </c>
      <c r="N28" s="169">
        <f>TrNavi_act!N5</f>
        <v>2191</v>
      </c>
      <c r="O28" s="169">
        <f>TrNavi_act!O5</f>
        <v>2353</v>
      </c>
      <c r="P28" s="169">
        <f>TrNavi_act!P5</f>
        <v>2177</v>
      </c>
      <c r="Q28" s="169">
        <f>TrNavi_act!Q5</f>
        <v>1806</v>
      </c>
      <c r="R28" s="169">
        <f>TrNavi_act!R5</f>
        <v>1962</v>
      </c>
      <c r="S28" s="169">
        <f>TrNavi_act!S5</f>
        <v>2021.9999999999998</v>
      </c>
      <c r="T28" s="169">
        <f>TrNavi_act!T5</f>
        <v>1489</v>
      </c>
      <c r="U28" s="169">
        <f>TrNavi_act!U5</f>
        <v>1715</v>
      </c>
      <c r="V28" s="169">
        <f>TrNavi_act!V5</f>
        <v>1606</v>
      </c>
      <c r="W28" s="169">
        <f>TrNavi_act!W5</f>
        <v>1506</v>
      </c>
      <c r="X28" s="169">
        <f>TrNavi_act!X5</f>
        <v>1233</v>
      </c>
      <c r="Y28" s="169">
        <f>TrNavi_act!Y5</f>
        <v>1187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X29" s="28">
        <f t="shared" ref="X29:Y29" si="25">X30+X31</f>
        <v>0</v>
      </c>
      <c r="Y29" s="28">
        <f t="shared" si="25"/>
        <v>0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X30" s="102">
        <f>MBunk_act!X$4</f>
        <v>0</v>
      </c>
      <c r="Y30" s="102">
        <f>MBunk_act!Y$4</f>
        <v>0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X31" s="86">
        <f>MBunk_act!X$5</f>
        <v>0</v>
      </c>
      <c r="Y31" s="86">
        <f>MBunk_act!Y$5</f>
        <v>0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4782.8035345017361</v>
      </c>
      <c r="C34" s="28">
        <f t="shared" si="26"/>
        <v>4935.2989360196707</v>
      </c>
      <c r="D34" s="28">
        <f t="shared" si="26"/>
        <v>5350.3112031338369</v>
      </c>
      <c r="E34" s="28">
        <f t="shared" si="26"/>
        <v>5615.6801764845704</v>
      </c>
      <c r="F34" s="28">
        <f t="shared" si="26"/>
        <v>5782.2690124062974</v>
      </c>
      <c r="G34" s="28">
        <f t="shared" si="26"/>
        <v>5996.0799416788705</v>
      </c>
      <c r="H34" s="28">
        <f t="shared" si="26"/>
        <v>5967.6944321437531</v>
      </c>
      <c r="I34" s="28">
        <f t="shared" si="26"/>
        <v>6120.7179622783815</v>
      </c>
      <c r="J34" s="28">
        <f t="shared" si="26"/>
        <v>5953.5812175572974</v>
      </c>
      <c r="K34" s="28">
        <f t="shared" si="26"/>
        <v>5796.9928297794713</v>
      </c>
      <c r="L34" s="28">
        <f t="shared" si="26"/>
        <v>5907.5916959504593</v>
      </c>
      <c r="M34" s="28">
        <f t="shared" si="26"/>
        <v>5778.925117603455</v>
      </c>
      <c r="N34" s="28">
        <f t="shared" si="26"/>
        <v>5693.4448966596674</v>
      </c>
      <c r="O34" s="28">
        <f t="shared" si="26"/>
        <v>5740.6030287195099</v>
      </c>
      <c r="P34" s="28">
        <f t="shared" si="26"/>
        <v>5799.0951551697408</v>
      </c>
      <c r="Q34" s="28">
        <f t="shared" si="26"/>
        <v>5952.3899608679621</v>
      </c>
      <c r="R34" s="28">
        <f t="shared" ref="R34:V34" si="27">R35+R39+R43</f>
        <v>6092.5272702843768</v>
      </c>
      <c r="S34" s="28">
        <f t="shared" si="27"/>
        <v>6078.6510272220939</v>
      </c>
      <c r="T34" s="28">
        <f t="shared" si="27"/>
        <v>6214.4599661735019</v>
      </c>
      <c r="U34" s="28">
        <f t="shared" si="27"/>
        <v>6274.2390485435662</v>
      </c>
      <c r="V34" s="28">
        <f t="shared" si="27"/>
        <v>4733.8334781071853</v>
      </c>
      <c r="W34" s="28">
        <f t="shared" ref="W34:Y34" si="28">W35+W39+W43</f>
        <v>4963.6751943934023</v>
      </c>
      <c r="X34" s="28">
        <f t="shared" si="28"/>
        <v>5214.0617602040302</v>
      </c>
      <c r="Y34" s="28">
        <f t="shared" si="28"/>
        <v>5551.4555221046712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4025.6625492046323</v>
      </c>
      <c r="C35" s="137">
        <f t="shared" si="29"/>
        <v>4201.2509809271132</v>
      </c>
      <c r="D35" s="137">
        <f t="shared" si="29"/>
        <v>4656.6203265703853</v>
      </c>
      <c r="E35" s="137">
        <f t="shared" si="29"/>
        <v>4954.66763268882</v>
      </c>
      <c r="F35" s="137">
        <f t="shared" si="29"/>
        <v>5040.0828448237098</v>
      </c>
      <c r="G35" s="137">
        <f t="shared" si="29"/>
        <v>5187.209534611221</v>
      </c>
      <c r="H35" s="137">
        <f t="shared" si="29"/>
        <v>5129.1564281608571</v>
      </c>
      <c r="I35" s="137">
        <f t="shared" si="29"/>
        <v>5237.2869438198604</v>
      </c>
      <c r="J35" s="137">
        <f t="shared" si="29"/>
        <v>5058.8661671781574</v>
      </c>
      <c r="K35" s="137">
        <f t="shared" si="29"/>
        <v>4986.4828946771886</v>
      </c>
      <c r="L35" s="137">
        <f t="shared" si="29"/>
        <v>5052.2197339155664</v>
      </c>
      <c r="M35" s="137">
        <f t="shared" si="29"/>
        <v>4909.9960555338403</v>
      </c>
      <c r="N35" s="137">
        <f t="shared" si="29"/>
        <v>4846.9212055654862</v>
      </c>
      <c r="O35" s="137">
        <f t="shared" si="29"/>
        <v>4933.9582333198623</v>
      </c>
      <c r="P35" s="137">
        <f t="shared" si="29"/>
        <v>4991.1805020569118</v>
      </c>
      <c r="Q35" s="137">
        <f t="shared" si="29"/>
        <v>5106.1142821592803</v>
      </c>
      <c r="R35" s="137">
        <f t="shared" ref="R35:V35" si="30">R36+R37+R38</f>
        <v>5181.3832675094436</v>
      </c>
      <c r="S35" s="137">
        <f t="shared" si="30"/>
        <v>5194.6481619574433</v>
      </c>
      <c r="T35" s="137">
        <f t="shared" si="30"/>
        <v>5243.8847901491526</v>
      </c>
      <c r="U35" s="137">
        <f t="shared" si="30"/>
        <v>5186.2197869076199</v>
      </c>
      <c r="V35" s="137">
        <f t="shared" si="30"/>
        <v>4304.0465616709689</v>
      </c>
      <c r="W35" s="137">
        <f t="shared" ref="W35:Y35" si="31">W36+W37+W38</f>
        <v>4448.8424600371536</v>
      </c>
      <c r="X35" s="137">
        <f t="shared" si="31"/>
        <v>4487.5658040483331</v>
      </c>
      <c r="Y35" s="137">
        <f t="shared" si="31"/>
        <v>4571.9649334591095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33.000303593944274</v>
      </c>
      <c r="C36" s="102">
        <f>TrRoad_ene!C$19</f>
        <v>33.832976219695347</v>
      </c>
      <c r="D36" s="102">
        <f>TrRoad_ene!D$19</f>
        <v>34.869690530444821</v>
      </c>
      <c r="E36" s="102">
        <f>TrRoad_ene!E$19</f>
        <v>35.85996547951315</v>
      </c>
      <c r="F36" s="102">
        <f>TrRoad_ene!F$19</f>
        <v>37.515154093892356</v>
      </c>
      <c r="G36" s="102">
        <f>TrRoad_ene!G$19</f>
        <v>38.433479539764441</v>
      </c>
      <c r="H36" s="102">
        <f>TrRoad_ene!H$19</f>
        <v>39.519213817919514</v>
      </c>
      <c r="I36" s="102">
        <f>TrRoad_ene!I$19</f>
        <v>40.929284240460149</v>
      </c>
      <c r="J36" s="102">
        <f>TrRoad_ene!J$19</f>
        <v>42.435705499565223</v>
      </c>
      <c r="K36" s="102">
        <f>TrRoad_ene!K$19</f>
        <v>43.947031772267714</v>
      </c>
      <c r="L36" s="102">
        <f>TrRoad_ene!L$19</f>
        <v>45.194622615862706</v>
      </c>
      <c r="M36" s="102">
        <f>TrRoad_ene!M$19</f>
        <v>46.678930109743852</v>
      </c>
      <c r="N36" s="102">
        <f>TrRoad_ene!N$19</f>
        <v>48.657310010485666</v>
      </c>
      <c r="O36" s="102">
        <f>TrRoad_ene!O$19</f>
        <v>50.133353238041252</v>
      </c>
      <c r="P36" s="102">
        <f>TrRoad_ene!P$19</f>
        <v>52.002467822347519</v>
      </c>
      <c r="Q36" s="102">
        <f>TrRoad_ene!Q$19</f>
        <v>53.561851642686037</v>
      </c>
      <c r="R36" s="102">
        <f>TrRoad_ene!R$19</f>
        <v>54.639460248912393</v>
      </c>
      <c r="S36" s="102">
        <f>TrRoad_ene!S$19</f>
        <v>54.057634012853093</v>
      </c>
      <c r="T36" s="102">
        <f>TrRoad_ene!T$19</f>
        <v>51.701770081529773</v>
      </c>
      <c r="U36" s="102">
        <f>TrRoad_ene!U$19</f>
        <v>54.974676189090424</v>
      </c>
      <c r="V36" s="102">
        <f>TrRoad_ene!V$19</f>
        <v>49.649070272355345</v>
      </c>
      <c r="W36" s="102">
        <f>TrRoad_ene!W$19</f>
        <v>49.484196731667019</v>
      </c>
      <c r="X36" s="102">
        <f>TrRoad_ene!X$19</f>
        <v>50.379921543898959</v>
      </c>
      <c r="Y36" s="102">
        <f>TrRoad_ene!Y$19</f>
        <v>54.708370613482337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3734.91663855262</v>
      </c>
      <c r="C37" s="102">
        <f>TrRoad_ene!C$21</f>
        <v>3908.9858481067226</v>
      </c>
      <c r="D37" s="102">
        <f>TrRoad_ene!D$21</f>
        <v>4354.5594473164265</v>
      </c>
      <c r="E37" s="102">
        <f>TrRoad_ene!E$21</f>
        <v>4643.8168487761241</v>
      </c>
      <c r="F37" s="102">
        <f>TrRoad_ene!F$21</f>
        <v>4730.4772334134796</v>
      </c>
      <c r="G37" s="102">
        <f>TrRoad_ene!G$21</f>
        <v>4878.3108332961274</v>
      </c>
      <c r="H37" s="102">
        <f>TrRoad_ene!H$21</f>
        <v>4824.1926653068276</v>
      </c>
      <c r="I37" s="102">
        <f>TrRoad_ene!I$21</f>
        <v>4915.9159065501026</v>
      </c>
      <c r="J37" s="102">
        <f>TrRoad_ene!J$21</f>
        <v>4744.3648898423398</v>
      </c>
      <c r="K37" s="102">
        <f>TrRoad_ene!K$21</f>
        <v>4692.3671205709215</v>
      </c>
      <c r="L37" s="102">
        <f>TrRoad_ene!L$21</f>
        <v>4735.7445442642775</v>
      </c>
      <c r="M37" s="102">
        <f>TrRoad_ene!M$21</f>
        <v>4594.731259452532</v>
      </c>
      <c r="N37" s="102">
        <f>TrRoad_ene!N$21</f>
        <v>4529.7978018307813</v>
      </c>
      <c r="O37" s="102">
        <f>TrRoad_ene!O$21</f>
        <v>4615.8066403735756</v>
      </c>
      <c r="P37" s="102">
        <f>TrRoad_ene!P$21</f>
        <v>4663.2681885695174</v>
      </c>
      <c r="Q37" s="102">
        <f>TrRoad_ene!Q$21</f>
        <v>4771.0986179048605</v>
      </c>
      <c r="R37" s="102">
        <f>TrRoad_ene!R$21</f>
        <v>4833.5675706062666</v>
      </c>
      <c r="S37" s="102">
        <f>TrRoad_ene!S$21</f>
        <v>4838.4002009257856</v>
      </c>
      <c r="T37" s="102">
        <f>TrRoad_ene!T$21</f>
        <v>4901.2094428083456</v>
      </c>
      <c r="U37" s="102">
        <f>TrRoad_ene!U$21</f>
        <v>4843.3530142083036</v>
      </c>
      <c r="V37" s="102">
        <f>TrRoad_ene!V$21</f>
        <v>3968.1843930396972</v>
      </c>
      <c r="W37" s="102">
        <f>TrRoad_ene!W$21</f>
        <v>4114.6817501032174</v>
      </c>
      <c r="X37" s="102">
        <f>TrRoad_ene!X$21</f>
        <v>4158.8338693924443</v>
      </c>
      <c r="Y37" s="102">
        <f>TrRoad_ene!Y$21</f>
        <v>4242.4445847164361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257.74560705806806</v>
      </c>
      <c r="C38" s="102">
        <f>TrRoad_ene!C$33</f>
        <v>258.43215660069558</v>
      </c>
      <c r="D38" s="102">
        <f>TrRoad_ene!D$33</f>
        <v>267.19118872351362</v>
      </c>
      <c r="E38" s="102">
        <f>TrRoad_ene!E$33</f>
        <v>274.99081843318243</v>
      </c>
      <c r="F38" s="102">
        <f>TrRoad_ene!F$33</f>
        <v>272.09045731633802</v>
      </c>
      <c r="G38" s="102">
        <f>TrRoad_ene!G$33</f>
        <v>270.46522177532933</v>
      </c>
      <c r="H38" s="102">
        <f>TrRoad_ene!H$33</f>
        <v>265.44454903611063</v>
      </c>
      <c r="I38" s="102">
        <f>TrRoad_ene!I$33</f>
        <v>280.44175302929733</v>
      </c>
      <c r="J38" s="102">
        <f>TrRoad_ene!J$33</f>
        <v>272.0655718362521</v>
      </c>
      <c r="K38" s="102">
        <f>TrRoad_ene!K$33</f>
        <v>250.16874233399898</v>
      </c>
      <c r="L38" s="102">
        <f>TrRoad_ene!L$33</f>
        <v>271.28056703542643</v>
      </c>
      <c r="M38" s="102">
        <f>TrRoad_ene!M$33</f>
        <v>268.58586597156398</v>
      </c>
      <c r="N38" s="102">
        <f>TrRoad_ene!N$33</f>
        <v>268.46609372421887</v>
      </c>
      <c r="O38" s="102">
        <f>TrRoad_ene!O$33</f>
        <v>268.01823970824574</v>
      </c>
      <c r="P38" s="102">
        <f>TrRoad_ene!P$33</f>
        <v>275.90984566504693</v>
      </c>
      <c r="Q38" s="102">
        <f>TrRoad_ene!Q$33</f>
        <v>281.45381261173407</v>
      </c>
      <c r="R38" s="102">
        <f>TrRoad_ene!R$33</f>
        <v>293.17623665426453</v>
      </c>
      <c r="S38" s="102">
        <f>TrRoad_ene!S$33</f>
        <v>302.19032701880485</v>
      </c>
      <c r="T38" s="102">
        <f>TrRoad_ene!T$33</f>
        <v>290.97357725927719</v>
      </c>
      <c r="U38" s="102">
        <f>TrRoad_ene!U$33</f>
        <v>287.89209651022622</v>
      </c>
      <c r="V38" s="102">
        <f>TrRoad_ene!V$33</f>
        <v>286.21309835891634</v>
      </c>
      <c r="W38" s="102">
        <f>TrRoad_ene!W$33</f>
        <v>284.67651320226918</v>
      </c>
      <c r="X38" s="102">
        <f>TrRoad_ene!X$33</f>
        <v>278.35201311198938</v>
      </c>
      <c r="Y38" s="102">
        <f>TrRoad_ene!Y$33</f>
        <v>274.811978129191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175.60512771616445</v>
      </c>
      <c r="C39" s="110">
        <f t="shared" si="32"/>
        <v>167.72973794252204</v>
      </c>
      <c r="D39" s="110">
        <f t="shared" si="32"/>
        <v>162.74283767644684</v>
      </c>
      <c r="E39" s="110">
        <f t="shared" si="32"/>
        <v>158.54253708862052</v>
      </c>
      <c r="F39" s="110">
        <f t="shared" si="32"/>
        <v>152.85621965333922</v>
      </c>
      <c r="G39" s="110">
        <f t="shared" si="32"/>
        <v>146.41626069371034</v>
      </c>
      <c r="H39" s="110">
        <f t="shared" si="32"/>
        <v>145.89128389036983</v>
      </c>
      <c r="I39" s="110">
        <f t="shared" si="32"/>
        <v>147.16622654164664</v>
      </c>
      <c r="J39" s="110">
        <f t="shared" si="32"/>
        <v>156.07104472267841</v>
      </c>
      <c r="K39" s="110">
        <f t="shared" si="32"/>
        <v>165.01636851568924</v>
      </c>
      <c r="L39" s="110">
        <f t="shared" si="32"/>
        <v>166.59815398548753</v>
      </c>
      <c r="M39" s="110">
        <f t="shared" si="32"/>
        <v>150.3051444771821</v>
      </c>
      <c r="N39" s="110">
        <f t="shared" si="32"/>
        <v>150.60185152093618</v>
      </c>
      <c r="O39" s="110">
        <f t="shared" si="32"/>
        <v>144.65726263684883</v>
      </c>
      <c r="P39" s="110">
        <f t="shared" si="32"/>
        <v>147.32848873714718</v>
      </c>
      <c r="Q39" s="110">
        <f t="shared" si="32"/>
        <v>139.87331371417017</v>
      </c>
      <c r="R39" s="110">
        <f t="shared" ref="R39:V39" si="33">R40+R41+R42</f>
        <v>141.43487007026749</v>
      </c>
      <c r="S39" s="110">
        <f t="shared" si="33"/>
        <v>144.15629281949666</v>
      </c>
      <c r="T39" s="110">
        <f t="shared" si="33"/>
        <v>140.7039235902555</v>
      </c>
      <c r="U39" s="110">
        <f t="shared" si="33"/>
        <v>136.13983453100971</v>
      </c>
      <c r="V39" s="110">
        <f t="shared" si="33"/>
        <v>111.63229705675911</v>
      </c>
      <c r="W39" s="110">
        <f t="shared" ref="W39:Y39" si="34">W40+W41+W42</f>
        <v>113.66433134410345</v>
      </c>
      <c r="X39" s="110">
        <f t="shared" si="34"/>
        <v>112.63964130739389</v>
      </c>
      <c r="Y39" s="110">
        <f t="shared" si="34"/>
        <v>117.3253504112962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33.30262473542362</v>
      </c>
      <c r="C40" s="102">
        <f>TrRail_ene!C$12</f>
        <v>35.428042185742804</v>
      </c>
      <c r="D40" s="102">
        <f>TrRail_ene!D$12</f>
        <v>35.451386756740533</v>
      </c>
      <c r="E40" s="102">
        <f>TrRail_ene!E$12</f>
        <v>36.104595326354669</v>
      </c>
      <c r="F40" s="102">
        <f>TrRail_ene!F$12</f>
        <v>36.037848056075966</v>
      </c>
      <c r="G40" s="102">
        <f>TrRail_ene!G$12</f>
        <v>34.353287758287955</v>
      </c>
      <c r="H40" s="102">
        <f>TrRail_ene!H$12</f>
        <v>34.503261640111731</v>
      </c>
      <c r="I40" s="102">
        <f>TrRail_ene!I$12</f>
        <v>34.862817592163736</v>
      </c>
      <c r="J40" s="102">
        <f>TrRail_ene!J$12</f>
        <v>32.754658868250793</v>
      </c>
      <c r="K40" s="102">
        <f>TrRail_ene!K$12</f>
        <v>33.163261161952484</v>
      </c>
      <c r="L40" s="102">
        <f>TrRail_ene!L$12</f>
        <v>33.581622092933863</v>
      </c>
      <c r="M40" s="102">
        <f>TrRail_ene!M$12</f>
        <v>31.381435753818732</v>
      </c>
      <c r="N40" s="102">
        <f>TrRail_ene!N$12</f>
        <v>32.065998683147129</v>
      </c>
      <c r="O40" s="102">
        <f>TrRail_ene!O$12</f>
        <v>31.680364225401515</v>
      </c>
      <c r="P40" s="102">
        <f>TrRail_ene!P$12</f>
        <v>30.159718393862295</v>
      </c>
      <c r="Q40" s="102">
        <f>TrRail_ene!Q$12</f>
        <v>30.651340085165021</v>
      </c>
      <c r="R40" s="102">
        <f>TrRail_ene!R$12</f>
        <v>30.26733815402136</v>
      </c>
      <c r="S40" s="102">
        <f>TrRail_ene!S$12</f>
        <v>30.269940423305709</v>
      </c>
      <c r="T40" s="102">
        <f>TrRail_ene!T$12</f>
        <v>29.742843746115337</v>
      </c>
      <c r="U40" s="102">
        <f>TrRail_ene!U$12</f>
        <v>30.778952533889719</v>
      </c>
      <c r="V40" s="102">
        <f>TrRail_ene!V$12</f>
        <v>34.274041795738761</v>
      </c>
      <c r="W40" s="102">
        <f>TrRail_ene!W$12</f>
        <v>35.462064294676381</v>
      </c>
      <c r="X40" s="102">
        <f>TrRail_ene!X$12</f>
        <v>34.737758369654479</v>
      </c>
      <c r="Y40" s="102">
        <f>TrRail_ene!Y$12</f>
        <v>27.94215997799153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142.30250298074083</v>
      </c>
      <c r="C41" s="102">
        <f>TrRail_ene!C$13</f>
        <v>132.30169575677922</v>
      </c>
      <c r="D41" s="102">
        <f>TrRail_ene!D$13</f>
        <v>127.29145091970631</v>
      </c>
      <c r="E41" s="102">
        <f>TrRail_ene!E$13</f>
        <v>122.43794176226587</v>
      </c>
      <c r="F41" s="102">
        <f>TrRail_ene!F$13</f>
        <v>116.81837159726325</v>
      </c>
      <c r="G41" s="102">
        <f>TrRail_ene!G$13</f>
        <v>112.06297293542238</v>
      </c>
      <c r="H41" s="102">
        <f>TrRail_ene!H$13</f>
        <v>111.38802225025812</v>
      </c>
      <c r="I41" s="102">
        <f>TrRail_ene!I$13</f>
        <v>110.80835649325783</v>
      </c>
      <c r="J41" s="102">
        <f>TrRail_ene!J$13</f>
        <v>121.74532575345421</v>
      </c>
      <c r="K41" s="102">
        <f>TrRail_ene!K$13</f>
        <v>130.3356004413607</v>
      </c>
      <c r="L41" s="102">
        <f>TrRail_ene!L$13</f>
        <v>131.6225667319386</v>
      </c>
      <c r="M41" s="102">
        <f>TrRail_ene!M$13</f>
        <v>115.92540077404637</v>
      </c>
      <c r="N41" s="102">
        <f>TrRail_ene!N$13</f>
        <v>115.77094147600067</v>
      </c>
      <c r="O41" s="102">
        <f>TrRail_ene!O$13</f>
        <v>110.15760422952368</v>
      </c>
      <c r="P41" s="102">
        <f>TrRail_ene!P$13</f>
        <v>114.42534496634943</v>
      </c>
      <c r="Q41" s="102">
        <f>TrRail_ene!Q$13</f>
        <v>106.6713181181312</v>
      </c>
      <c r="R41" s="102">
        <f>TrRail_ene!R$13</f>
        <v>108.54417134157441</v>
      </c>
      <c r="S41" s="102">
        <f>TrRail_ene!S$13</f>
        <v>111.39977208360254</v>
      </c>
      <c r="T41" s="102">
        <f>TrRail_ene!T$13</f>
        <v>108.47878173684086</v>
      </c>
      <c r="U41" s="102">
        <f>TrRail_ene!U$13</f>
        <v>102.95183336867416</v>
      </c>
      <c r="V41" s="102">
        <f>TrRail_ene!V$13</f>
        <v>74.868789963586991</v>
      </c>
      <c r="W41" s="102">
        <f>TrRail_ene!W$13</f>
        <v>75.407084438150449</v>
      </c>
      <c r="X41" s="102">
        <f>TrRail_ene!X$13</f>
        <v>75.439594770951089</v>
      </c>
      <c r="Y41" s="102">
        <f>TrRail_ene!Y$13</f>
        <v>86.84634528790842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1.4950524562250751</v>
      </c>
      <c r="J42" s="102">
        <f>TrRail_ene!J$16</f>
        <v>1.571060100973408</v>
      </c>
      <c r="K42" s="102">
        <f>TrRail_ene!K$16</f>
        <v>1.5175069123760498</v>
      </c>
      <c r="L42" s="102">
        <f>TrRail_ene!L$16</f>
        <v>1.3939651606150709</v>
      </c>
      <c r="M42" s="102">
        <f>TrRail_ene!M$16</f>
        <v>2.9983079493169909</v>
      </c>
      <c r="N42" s="102">
        <f>TrRail_ene!N$16</f>
        <v>2.7649113617883994</v>
      </c>
      <c r="O42" s="102">
        <f>TrRail_ene!O$16</f>
        <v>2.8192941819236204</v>
      </c>
      <c r="P42" s="102">
        <f>TrRail_ene!P$16</f>
        <v>2.74342537693544</v>
      </c>
      <c r="Q42" s="102">
        <f>TrRail_ene!Q$16</f>
        <v>2.5506555108739559</v>
      </c>
      <c r="R42" s="102">
        <f>TrRail_ene!R$16</f>
        <v>2.6233605746717208</v>
      </c>
      <c r="S42" s="102">
        <f>TrRail_ene!S$16</f>
        <v>2.4865803125884174</v>
      </c>
      <c r="T42" s="102">
        <f>TrRail_ene!T$16</f>
        <v>2.4822981072993016</v>
      </c>
      <c r="U42" s="102">
        <f>TrRail_ene!U$16</f>
        <v>2.4090486284458401</v>
      </c>
      <c r="V42" s="102">
        <f>TrRail_ene!V$16</f>
        <v>2.4894652974333549</v>
      </c>
      <c r="W42" s="102">
        <f>TrRail_ene!W$16</f>
        <v>2.795182611276616</v>
      </c>
      <c r="X42" s="102">
        <f>TrRail_ene!X$16</f>
        <v>2.462288166788329</v>
      </c>
      <c r="Y42" s="102">
        <f>TrRail_ene!Y$16</f>
        <v>2.5368451453962502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581.53585758093914</v>
      </c>
      <c r="C43" s="110">
        <f t="shared" si="35"/>
        <v>566.31821715003593</v>
      </c>
      <c r="D43" s="110">
        <f t="shared" si="35"/>
        <v>530.94803888700494</v>
      </c>
      <c r="E43" s="110">
        <f t="shared" si="35"/>
        <v>502.47000670712964</v>
      </c>
      <c r="F43" s="110">
        <f t="shared" si="35"/>
        <v>589.32994792924842</v>
      </c>
      <c r="G43" s="110">
        <f t="shared" si="35"/>
        <v>662.45414637393924</v>
      </c>
      <c r="H43" s="110">
        <f t="shared" si="35"/>
        <v>692.64672009252604</v>
      </c>
      <c r="I43" s="110">
        <f t="shared" si="35"/>
        <v>736.2647919168752</v>
      </c>
      <c r="J43" s="110">
        <f t="shared" si="35"/>
        <v>738.64400565646201</v>
      </c>
      <c r="K43" s="110">
        <f t="shared" si="35"/>
        <v>645.49356658659326</v>
      </c>
      <c r="L43" s="110">
        <f t="shared" si="35"/>
        <v>688.77380804940526</v>
      </c>
      <c r="M43" s="110">
        <f t="shared" si="35"/>
        <v>718.62391759243314</v>
      </c>
      <c r="N43" s="110">
        <f t="shared" si="35"/>
        <v>695.92183957324471</v>
      </c>
      <c r="O43" s="110">
        <f t="shared" si="35"/>
        <v>661.98753276279876</v>
      </c>
      <c r="P43" s="110">
        <f t="shared" si="35"/>
        <v>660.58616437568162</v>
      </c>
      <c r="Q43" s="110">
        <f t="shared" si="35"/>
        <v>706.40236499451203</v>
      </c>
      <c r="R43" s="110">
        <f t="shared" ref="R43:V43" si="36">R44+R45+R46</f>
        <v>769.70913270466554</v>
      </c>
      <c r="S43" s="110">
        <f t="shared" si="36"/>
        <v>739.84657244515404</v>
      </c>
      <c r="T43" s="110">
        <f t="shared" si="36"/>
        <v>829.87125243409355</v>
      </c>
      <c r="U43" s="110">
        <f t="shared" si="36"/>
        <v>951.87942710493689</v>
      </c>
      <c r="V43" s="110">
        <f t="shared" si="36"/>
        <v>318.15461937945713</v>
      </c>
      <c r="W43" s="110">
        <f t="shared" ref="W43:Y43" si="37">W44+W45+W46</f>
        <v>401.16840301214484</v>
      </c>
      <c r="X43" s="110">
        <f t="shared" si="37"/>
        <v>613.85631484830367</v>
      </c>
      <c r="Y43" s="110">
        <f t="shared" si="37"/>
        <v>862.16523823426553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34.935283356307032</v>
      </c>
      <c r="C44" s="102">
        <f>TrAvia_ene!C$7</f>
        <v>32.934431310873471</v>
      </c>
      <c r="D44" s="102">
        <f>TrAvia_ene!D$7</f>
        <v>33.956989989309442</v>
      </c>
      <c r="E44" s="102">
        <f>TrAvia_ene!E$7</f>
        <v>32.937689483442718</v>
      </c>
      <c r="F44" s="102">
        <f>TrAvia_ene!F$7</f>
        <v>34.939510361407848</v>
      </c>
      <c r="G44" s="102">
        <f>TrAvia_ene!G$7</f>
        <v>35.335140009482743</v>
      </c>
      <c r="H44" s="102">
        <f>TrAvia_ene!H$7</f>
        <v>37.147653020166636</v>
      </c>
      <c r="I44" s="102">
        <f>TrAvia_ene!I$7</f>
        <v>37.987501094214842</v>
      </c>
      <c r="J44" s="102">
        <f>TrAvia_ene!J$7</f>
        <v>37.211415933149404</v>
      </c>
      <c r="K44" s="102">
        <f>TrAvia_ene!K$7</f>
        <v>36.32302653355331</v>
      </c>
      <c r="L44" s="102">
        <f>TrAvia_ene!L$7</f>
        <v>35.288520832878618</v>
      </c>
      <c r="M44" s="102">
        <f>TrAvia_ene!M$7</f>
        <v>34.897880127790508</v>
      </c>
      <c r="N44" s="102">
        <f>TrAvia_ene!N$7</f>
        <v>32.808833115156737</v>
      </c>
      <c r="O44" s="102">
        <f>TrAvia_ene!O$7</f>
        <v>32.628585555585794</v>
      </c>
      <c r="P44" s="102">
        <f>TrAvia_ene!P$7</f>
        <v>31.617711359184199</v>
      </c>
      <c r="Q44" s="102">
        <f>TrAvia_ene!Q$7</f>
        <v>31.800895798072474</v>
      </c>
      <c r="R44" s="102">
        <f>TrAvia_ene!R$7</f>
        <v>31.241318617613963</v>
      </c>
      <c r="S44" s="102">
        <f>TrAvia_ene!S$7</f>
        <v>29.787570901462303</v>
      </c>
      <c r="T44" s="102">
        <f>TrAvia_ene!T$7</f>
        <v>31.144761514736803</v>
      </c>
      <c r="U44" s="102">
        <f>TrAvia_ene!U$7</f>
        <v>25.80409350399486</v>
      </c>
      <c r="V44" s="102">
        <f>TrAvia_ene!V$7</f>
        <v>16.680431071522818</v>
      </c>
      <c r="W44" s="102">
        <f>TrAvia_ene!W$7</f>
        <v>16.424451478857868</v>
      </c>
      <c r="X44" s="102">
        <f>TrAvia_ene!X$7</f>
        <v>18.137611549409051</v>
      </c>
      <c r="Y44" s="102">
        <f>TrAvia_ene!Y$7</f>
        <v>18.482785868284243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276.83978492455276</v>
      </c>
      <c r="C45" s="102">
        <f>TrAvia_ene!C$8</f>
        <v>265.5130107124748</v>
      </c>
      <c r="D45" s="102">
        <f>TrAvia_ene!D$8</f>
        <v>249.58857407635045</v>
      </c>
      <c r="E45" s="102">
        <f>TrAvia_ene!E$8</f>
        <v>238.50914764517205</v>
      </c>
      <c r="F45" s="102">
        <f>TrAvia_ene!F$8</f>
        <v>265.91333382935363</v>
      </c>
      <c r="G45" s="102">
        <f>TrAvia_ene!G$8</f>
        <v>300.32485326988501</v>
      </c>
      <c r="H45" s="102">
        <f>TrAvia_ene!H$8</f>
        <v>316.53643025955262</v>
      </c>
      <c r="I45" s="102">
        <f>TrAvia_ene!I$8</f>
        <v>342.6609824020461</v>
      </c>
      <c r="J45" s="102">
        <f>TrAvia_ene!J$8</f>
        <v>339.84863403000071</v>
      </c>
      <c r="K45" s="102">
        <f>TrAvia_ene!K$8</f>
        <v>288.29810225366731</v>
      </c>
      <c r="L45" s="102">
        <f>TrAvia_ene!L$8</f>
        <v>307.85762420722648</v>
      </c>
      <c r="M45" s="102">
        <f>TrAvia_ene!M$8</f>
        <v>322.49613939898194</v>
      </c>
      <c r="N45" s="102">
        <f>TrAvia_ene!N$8</f>
        <v>308.46684583261481</v>
      </c>
      <c r="O45" s="102">
        <f>TrAvia_ene!O$8</f>
        <v>290.95886445786851</v>
      </c>
      <c r="P45" s="102">
        <f>TrAvia_ene!P$8</f>
        <v>292.98888297131015</v>
      </c>
      <c r="Q45" s="102">
        <f>TrAvia_ene!Q$8</f>
        <v>316.61238573706845</v>
      </c>
      <c r="R45" s="102">
        <f>TrAvia_ene!R$8</f>
        <v>360.29286650891453</v>
      </c>
      <c r="S45" s="102">
        <f>TrAvia_ene!S$8</f>
        <v>352.8600814349337</v>
      </c>
      <c r="T45" s="102">
        <f>TrAvia_ene!T$8</f>
        <v>395.79235384000651</v>
      </c>
      <c r="U45" s="102">
        <f>TrAvia_ene!U$8</f>
        <v>449.26086301431229</v>
      </c>
      <c r="V45" s="102">
        <f>TrAvia_ene!V$8</f>
        <v>125.87474956249631</v>
      </c>
      <c r="W45" s="102">
        <f>TrAvia_ene!W$8</f>
        <v>173.61596126165347</v>
      </c>
      <c r="X45" s="102">
        <f>TrAvia_ene!X$8</f>
        <v>299.81770090755236</v>
      </c>
      <c r="Y45" s="102">
        <f>TrAvia_ene!Y$8</f>
        <v>415.39394445391582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269.76078930007941</v>
      </c>
      <c r="C46" s="102">
        <f>TrAvia_ene!C$9</f>
        <v>267.8707751266877</v>
      </c>
      <c r="D46" s="102">
        <f>TrAvia_ene!D$9</f>
        <v>247.40247482134501</v>
      </c>
      <c r="E46" s="102">
        <f>TrAvia_ene!E$9</f>
        <v>231.02316957851488</v>
      </c>
      <c r="F46" s="102">
        <f>TrAvia_ene!F$9</f>
        <v>288.47710373848702</v>
      </c>
      <c r="G46" s="102">
        <f>TrAvia_ene!G$9</f>
        <v>326.79415309457153</v>
      </c>
      <c r="H46" s="102">
        <f>TrAvia_ene!H$9</f>
        <v>338.96263681280686</v>
      </c>
      <c r="I46" s="102">
        <f>TrAvia_ene!I$9</f>
        <v>355.61630842061425</v>
      </c>
      <c r="J46" s="102">
        <f>TrAvia_ene!J$9</f>
        <v>361.58395569331196</v>
      </c>
      <c r="K46" s="102">
        <f>TrAvia_ene!K$9</f>
        <v>320.87243779937262</v>
      </c>
      <c r="L46" s="102">
        <f>TrAvia_ene!L$9</f>
        <v>345.62766300930014</v>
      </c>
      <c r="M46" s="102">
        <f>TrAvia_ene!M$9</f>
        <v>361.22989806566073</v>
      </c>
      <c r="N46" s="102">
        <f>TrAvia_ene!N$9</f>
        <v>354.64616062547316</v>
      </c>
      <c r="O46" s="102">
        <f>TrAvia_ene!O$9</f>
        <v>338.40008274934439</v>
      </c>
      <c r="P46" s="102">
        <f>TrAvia_ene!P$9</f>
        <v>335.97957004518736</v>
      </c>
      <c r="Q46" s="102">
        <f>TrAvia_ene!Q$9</f>
        <v>357.9890834593711</v>
      </c>
      <c r="R46" s="102">
        <f>TrAvia_ene!R$9</f>
        <v>378.17494757813711</v>
      </c>
      <c r="S46" s="102">
        <f>TrAvia_ene!S$9</f>
        <v>357.19892010875805</v>
      </c>
      <c r="T46" s="102">
        <f>TrAvia_ene!T$9</f>
        <v>402.93413707935031</v>
      </c>
      <c r="U46" s="102">
        <f>TrAvia_ene!U$9</f>
        <v>476.81447058662968</v>
      </c>
      <c r="V46" s="102">
        <f>TrAvia_ene!V$9</f>
        <v>175.59943874543799</v>
      </c>
      <c r="W46" s="102">
        <f>TrAvia_ene!W$9</f>
        <v>211.12799027163354</v>
      </c>
      <c r="X46" s="102">
        <f>TrAvia_ene!X$9</f>
        <v>295.90100239134227</v>
      </c>
      <c r="Y46" s="102">
        <f>TrAvia_ene!Y$9</f>
        <v>428.28850791206548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1995.3273350092156</v>
      </c>
      <c r="C47" s="28">
        <f t="shared" si="38"/>
        <v>2252.0461561876582</v>
      </c>
      <c r="D47" s="28">
        <f t="shared" si="38"/>
        <v>2484.505222060307</v>
      </c>
      <c r="E47" s="28">
        <f t="shared" si="38"/>
        <v>2662.1248213233798</v>
      </c>
      <c r="F47" s="28">
        <f t="shared" si="38"/>
        <v>2694.5610905207054</v>
      </c>
      <c r="G47" s="28">
        <f t="shared" si="38"/>
        <v>2822.8393681469524</v>
      </c>
      <c r="H47" s="28">
        <f t="shared" si="38"/>
        <v>2686.5295257949383</v>
      </c>
      <c r="I47" s="28">
        <f t="shared" si="38"/>
        <v>2690.6148741658158</v>
      </c>
      <c r="J47" s="28">
        <f t="shared" si="38"/>
        <v>2606.8741496440107</v>
      </c>
      <c r="K47" s="28">
        <f t="shared" si="38"/>
        <v>2468.9576051728382</v>
      </c>
      <c r="L47" s="28">
        <f t="shared" si="38"/>
        <v>2663.9661100275671</v>
      </c>
      <c r="M47" s="28">
        <f t="shared" si="38"/>
        <v>2487.3403425560809</v>
      </c>
      <c r="N47" s="28">
        <f t="shared" si="38"/>
        <v>2516.1446891363798</v>
      </c>
      <c r="O47" s="28">
        <f t="shared" si="38"/>
        <v>2872.6845023803776</v>
      </c>
      <c r="P47" s="28">
        <f t="shared" si="38"/>
        <v>2790.8554367989677</v>
      </c>
      <c r="Q47" s="28">
        <f t="shared" si="38"/>
        <v>2878.5450947772447</v>
      </c>
      <c r="R47" s="28">
        <f t="shared" ref="R47:V47" si="39">R48+R51+R52+R56</f>
        <v>2946.6007189516754</v>
      </c>
      <c r="S47" s="28">
        <f t="shared" si="39"/>
        <v>3027.4892062963991</v>
      </c>
      <c r="T47" s="28">
        <f t="shared" si="39"/>
        <v>3111.4840132903691</v>
      </c>
      <c r="U47" s="28">
        <f t="shared" si="39"/>
        <v>3197.0840016191673</v>
      </c>
      <c r="V47" s="28">
        <f t="shared" si="39"/>
        <v>3015.6531095075929</v>
      </c>
      <c r="W47" s="28">
        <f t="shared" ref="W47:Y47" si="40">W48+W51+W52+W56</f>
        <v>3175.3717241551303</v>
      </c>
      <c r="X47" s="28">
        <f t="shared" si="40"/>
        <v>2794.7835641111892</v>
      </c>
      <c r="Y47" s="28">
        <f t="shared" si="40"/>
        <v>2599.5959922176917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1861.3345283888646</v>
      </c>
      <c r="C48" s="137">
        <f t="shared" si="41"/>
        <v>2119.6952290790123</v>
      </c>
      <c r="D48" s="137">
        <f t="shared" si="41"/>
        <v>2352.8856944965019</v>
      </c>
      <c r="E48" s="137">
        <f t="shared" si="41"/>
        <v>2536.7539601320277</v>
      </c>
      <c r="F48" s="137">
        <f t="shared" si="41"/>
        <v>2549.2175074584093</v>
      </c>
      <c r="G48" s="137">
        <f t="shared" si="41"/>
        <v>2676.1469205284452</v>
      </c>
      <c r="H48" s="137">
        <f t="shared" si="41"/>
        <v>2535.4138754356163</v>
      </c>
      <c r="I48" s="137">
        <f t="shared" si="41"/>
        <v>2544.8468384540884</v>
      </c>
      <c r="J48" s="137">
        <f t="shared" si="41"/>
        <v>2464.804333299162</v>
      </c>
      <c r="K48" s="137">
        <f t="shared" si="41"/>
        <v>2347.1501714015185</v>
      </c>
      <c r="L48" s="137">
        <f t="shared" si="41"/>
        <v>2532.3174357769913</v>
      </c>
      <c r="M48" s="137">
        <f t="shared" si="41"/>
        <v>2353.6097313668824</v>
      </c>
      <c r="N48" s="137">
        <f t="shared" si="41"/>
        <v>2390.0028600241981</v>
      </c>
      <c r="O48" s="137">
        <f t="shared" si="41"/>
        <v>2743.8661851402999</v>
      </c>
      <c r="P48" s="137">
        <f t="shared" si="41"/>
        <v>2663.2125662660533</v>
      </c>
      <c r="Q48" s="137">
        <f t="shared" si="41"/>
        <v>2751.4722782150757</v>
      </c>
      <c r="R48" s="137">
        <f t="shared" ref="R48:V48" si="42">R49+R50</f>
        <v>2817.7421421909248</v>
      </c>
      <c r="S48" s="137">
        <f t="shared" si="42"/>
        <v>2892.8770242695628</v>
      </c>
      <c r="T48" s="137">
        <f t="shared" si="42"/>
        <v>2974.6144773628694</v>
      </c>
      <c r="U48" s="137">
        <f t="shared" si="42"/>
        <v>3051.9271669524487</v>
      </c>
      <c r="V48" s="137">
        <f t="shared" si="42"/>
        <v>2900.9247206987529</v>
      </c>
      <c r="W48" s="137">
        <f t="shared" ref="W48:Y48" si="43">W49+W50</f>
        <v>3048.0541575655488</v>
      </c>
      <c r="X48" s="137">
        <f t="shared" si="43"/>
        <v>2665.4796922359324</v>
      </c>
      <c r="Y48" s="137">
        <f t="shared" si="43"/>
        <v>2477.5474579053857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431.04385881026911</v>
      </c>
      <c r="C49" s="102">
        <f>TrRoad_ene!C$43</f>
        <v>439.93056112004859</v>
      </c>
      <c r="D49" s="102">
        <f>TrRoad_ene!D$43</f>
        <v>452.19429123880604</v>
      </c>
      <c r="E49" s="102">
        <f>TrRoad_ene!E$43</f>
        <v>453.92658576771566</v>
      </c>
      <c r="F49" s="102">
        <f>TrRoad_ene!F$43</f>
        <v>452.42614863411472</v>
      </c>
      <c r="G49" s="102">
        <f>TrRoad_ene!G$43</f>
        <v>460.84660187192122</v>
      </c>
      <c r="H49" s="102">
        <f>TrRoad_ene!H$43</f>
        <v>469.08546422413201</v>
      </c>
      <c r="I49" s="102">
        <f>TrRoad_ene!I$43</f>
        <v>477.80822039113207</v>
      </c>
      <c r="J49" s="102">
        <f>TrRoad_ene!J$43</f>
        <v>470.47761923509728</v>
      </c>
      <c r="K49" s="102">
        <f>TrRoad_ene!K$43</f>
        <v>465.89752609969349</v>
      </c>
      <c r="L49" s="102">
        <f>TrRoad_ene!L$43</f>
        <v>468.31691941568556</v>
      </c>
      <c r="M49" s="102">
        <f>TrRoad_ene!M$43</f>
        <v>474.98648557640723</v>
      </c>
      <c r="N49" s="102">
        <f>TrRoad_ene!N$43</f>
        <v>471.37445810182169</v>
      </c>
      <c r="O49" s="102">
        <f>TrRoad_ene!O$43</f>
        <v>484.48514726782702</v>
      </c>
      <c r="P49" s="102">
        <f>TrRoad_ene!P$43</f>
        <v>506.40084005390378</v>
      </c>
      <c r="Q49" s="102">
        <f>TrRoad_ene!Q$43</f>
        <v>520.66146171413311</v>
      </c>
      <c r="R49" s="102">
        <f>TrRoad_ene!R$43</f>
        <v>530.33682074612875</v>
      </c>
      <c r="S49" s="102">
        <f>TrRoad_ene!S$43</f>
        <v>534.60733862514087</v>
      </c>
      <c r="T49" s="102">
        <f>TrRoad_ene!T$43</f>
        <v>543.55537532079836</v>
      </c>
      <c r="U49" s="102">
        <f>TrRoad_ene!U$43</f>
        <v>558.88311694999163</v>
      </c>
      <c r="V49" s="102">
        <f>TrRoad_ene!V$43</f>
        <v>566.00745755161995</v>
      </c>
      <c r="W49" s="102">
        <f>TrRoad_ene!W$43</f>
        <v>609.25880363906583</v>
      </c>
      <c r="X49" s="102">
        <f>TrRoad_ene!X$43</f>
        <v>618.90203731034683</v>
      </c>
      <c r="Y49" s="102">
        <f>TrRoad_ene!Y$43</f>
        <v>625.90191867805515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1430.2906695785955</v>
      </c>
      <c r="C50" s="102">
        <f>TrRoad_ene!C$52</f>
        <v>1679.7646679589636</v>
      </c>
      <c r="D50" s="102">
        <f>TrRoad_ene!D$52</f>
        <v>1900.6914032576956</v>
      </c>
      <c r="E50" s="102">
        <f>TrRoad_ene!E$52</f>
        <v>2082.8273743643122</v>
      </c>
      <c r="F50" s="102">
        <f>TrRoad_ene!F$52</f>
        <v>2096.7913588242945</v>
      </c>
      <c r="G50" s="102">
        <f>TrRoad_ene!G$52</f>
        <v>2215.3003186565238</v>
      </c>
      <c r="H50" s="102">
        <f>TrRoad_ene!H$52</f>
        <v>2066.3284112114843</v>
      </c>
      <c r="I50" s="102">
        <f>TrRoad_ene!I$52</f>
        <v>2067.0386180629562</v>
      </c>
      <c r="J50" s="102">
        <f>TrRoad_ene!J$52</f>
        <v>1994.3267140640646</v>
      </c>
      <c r="K50" s="102">
        <f>TrRoad_ene!K$52</f>
        <v>1881.2526453018249</v>
      </c>
      <c r="L50" s="102">
        <f>TrRoad_ene!L$52</f>
        <v>2064.0005163613059</v>
      </c>
      <c r="M50" s="102">
        <f>TrRoad_ene!M$52</f>
        <v>1878.623245790475</v>
      </c>
      <c r="N50" s="102">
        <f>TrRoad_ene!N$52</f>
        <v>1918.6284019223763</v>
      </c>
      <c r="O50" s="102">
        <f>TrRoad_ene!O$52</f>
        <v>2259.3810378724729</v>
      </c>
      <c r="P50" s="102">
        <f>TrRoad_ene!P$52</f>
        <v>2156.8117262121496</v>
      </c>
      <c r="Q50" s="102">
        <f>TrRoad_ene!Q$52</f>
        <v>2230.8108165009426</v>
      </c>
      <c r="R50" s="102">
        <f>TrRoad_ene!R$52</f>
        <v>2287.4053214447958</v>
      </c>
      <c r="S50" s="102">
        <f>TrRoad_ene!S$52</f>
        <v>2358.2696856444218</v>
      </c>
      <c r="T50" s="102">
        <f>TrRoad_ene!T$52</f>
        <v>2431.0591020420711</v>
      </c>
      <c r="U50" s="102">
        <f>TrRoad_ene!U$52</f>
        <v>2493.044050002457</v>
      </c>
      <c r="V50" s="102">
        <f>TrRoad_ene!V$52</f>
        <v>2334.9172631471329</v>
      </c>
      <c r="W50" s="102">
        <f>TrRoad_ene!W$52</f>
        <v>2438.7953539264831</v>
      </c>
      <c r="X50" s="102">
        <f>TrRoad_ene!X$52</f>
        <v>2046.5776549255854</v>
      </c>
      <c r="Y50" s="102">
        <f>TrRoad_ene!Y$52</f>
        <v>1851.6455392273306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90.289713212468357</v>
      </c>
      <c r="C51" s="110">
        <f>TrRail_ene!C$17</f>
        <v>87.933030759111674</v>
      </c>
      <c r="D51" s="110">
        <f>TrRail_ene!D$17</f>
        <v>83.932398780990823</v>
      </c>
      <c r="E51" s="110">
        <f>TrRail_ene!E$17</f>
        <v>82.235622842591837</v>
      </c>
      <c r="F51" s="110">
        <f>TrRail_ene!F$17</f>
        <v>90.91944672671238</v>
      </c>
      <c r="G51" s="110">
        <f>TrRail_ene!G$17</f>
        <v>89.768949968370464</v>
      </c>
      <c r="H51" s="110">
        <f>TrRail_ene!H$17</f>
        <v>94.962284467325745</v>
      </c>
      <c r="I51" s="110">
        <f>TrRail_ene!I$17</f>
        <v>89.642371910631923</v>
      </c>
      <c r="J51" s="110">
        <f>TrRail_ene!J$17</f>
        <v>89.238585543873569</v>
      </c>
      <c r="K51" s="110">
        <f>TrRail_ene!K$17</f>
        <v>73.986297004517127</v>
      </c>
      <c r="L51" s="110">
        <f>TrRail_ene!L$17</f>
        <v>78.398062695509921</v>
      </c>
      <c r="M51" s="110">
        <f>TrRail_ene!M$17</f>
        <v>78.504829727461058</v>
      </c>
      <c r="N51" s="110">
        <f>TrRail_ene!N$17</f>
        <v>71.851974790327716</v>
      </c>
      <c r="O51" s="110">
        <f>TrRail_ene!O$17</f>
        <v>70.612728764698886</v>
      </c>
      <c r="P51" s="110">
        <f>TrRail_ene!P$17</f>
        <v>67.586214616249194</v>
      </c>
      <c r="Q51" s="110">
        <f>TrRail_ene!Q$17</f>
        <v>66.083006148254597</v>
      </c>
      <c r="R51" s="110">
        <f>TrRail_ene!R$17</f>
        <v>64.780263205742841</v>
      </c>
      <c r="S51" s="110">
        <f>TrRail_ene!S$17</f>
        <v>66.347318530460328</v>
      </c>
      <c r="T51" s="110">
        <f>TrRail_ene!T$17</f>
        <v>66.65626557569459</v>
      </c>
      <c r="U51" s="110">
        <f>TrRail_ene!U$17</f>
        <v>68.196966844742661</v>
      </c>
      <c r="V51" s="110">
        <f>TrRail_ene!V$17</f>
        <v>76.488769151323467</v>
      </c>
      <c r="W51" s="110">
        <f>TrRail_ene!W$17</f>
        <v>77.009701330015233</v>
      </c>
      <c r="X51" s="110">
        <f>TrRail_ene!X$17</f>
        <v>77.017882338349878</v>
      </c>
      <c r="Y51" s="110">
        <f>TrRail_ene!Y$17</f>
        <v>66.871038238746763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8.960531069103812</v>
      </c>
      <c r="C52" s="110">
        <f t="shared" si="44"/>
        <v>7.6308800124747522</v>
      </c>
      <c r="D52" s="110">
        <f t="shared" si="44"/>
        <v>8.8555724629519474</v>
      </c>
      <c r="E52" s="110">
        <f t="shared" si="44"/>
        <v>8.39267600998134</v>
      </c>
      <c r="F52" s="110">
        <f t="shared" si="44"/>
        <v>12.525856026039364</v>
      </c>
      <c r="G52" s="110">
        <f t="shared" si="44"/>
        <v>15.380935311357417</v>
      </c>
      <c r="H52" s="110">
        <f t="shared" si="44"/>
        <v>16.733245513664524</v>
      </c>
      <c r="I52" s="110">
        <f t="shared" si="44"/>
        <v>15.562207223279435</v>
      </c>
      <c r="J52" s="110">
        <f t="shared" si="44"/>
        <v>14.431918677157785</v>
      </c>
      <c r="K52" s="110">
        <f t="shared" si="44"/>
        <v>12.047104092684211</v>
      </c>
      <c r="L52" s="110">
        <f t="shared" si="44"/>
        <v>13.686295132022025</v>
      </c>
      <c r="M52" s="110">
        <f t="shared" si="44"/>
        <v>17.057509750645281</v>
      </c>
      <c r="N52" s="110">
        <f t="shared" si="44"/>
        <v>17.406191381183483</v>
      </c>
      <c r="O52" s="110">
        <f t="shared" si="44"/>
        <v>18.959328802119657</v>
      </c>
      <c r="P52" s="110">
        <f t="shared" si="44"/>
        <v>20.192425478144489</v>
      </c>
      <c r="Q52" s="110">
        <f t="shared" si="44"/>
        <v>23.898408866192899</v>
      </c>
      <c r="R52" s="110">
        <f t="shared" si="44"/>
        <v>24.831623959134902</v>
      </c>
      <c r="S52" s="110">
        <f t="shared" si="44"/>
        <v>27.352309756049713</v>
      </c>
      <c r="T52" s="110">
        <f t="shared" si="44"/>
        <v>31.928661581383523</v>
      </c>
      <c r="U52" s="110">
        <f t="shared" si="44"/>
        <v>33.827967564022615</v>
      </c>
      <c r="V52" s="110">
        <f t="shared" si="44"/>
        <v>16.658622237051908</v>
      </c>
      <c r="W52" s="110">
        <f t="shared" ref="W52:Y52" si="45">W53+W54+W55</f>
        <v>18.585079361027926</v>
      </c>
      <c r="X52" s="110">
        <f t="shared" si="45"/>
        <v>18.392180422547646</v>
      </c>
      <c r="Y52" s="110">
        <f t="shared" si="45"/>
        <v>21.113867526697277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0.19420933500853202</v>
      </c>
      <c r="C53" s="102">
        <f>TrAvia_ene!C$11</f>
        <v>0.12661770030451863</v>
      </c>
      <c r="D53" s="102">
        <f>TrAvia_ene!D$11</f>
        <v>0.12151387999409029</v>
      </c>
      <c r="E53" s="102">
        <f>TrAvia_ene!E$11</f>
        <v>0.12335952773527492</v>
      </c>
      <c r="F53" s="102">
        <f>TrAvia_ene!F$11</f>
        <v>0.17321534796446639</v>
      </c>
      <c r="G53" s="102">
        <f>TrAvia_ene!G$11</f>
        <v>0.18042318914150213</v>
      </c>
      <c r="H53" s="102">
        <f>TrAvia_ene!H$11</f>
        <v>0.18768661869836853</v>
      </c>
      <c r="I53" s="102">
        <f>TrAvia_ene!I$11</f>
        <v>0.16615324800355433</v>
      </c>
      <c r="J53" s="102">
        <f>TrAvia_ene!J$11</f>
        <v>0.16622809092625374</v>
      </c>
      <c r="K53" s="102">
        <f>TrAvia_ene!K$11</f>
        <v>0.15521938218185413</v>
      </c>
      <c r="L53" s="102">
        <f>TrAvia_ene!L$11</f>
        <v>0.12583858242662327</v>
      </c>
      <c r="M53" s="102">
        <f>TrAvia_ene!M$11</f>
        <v>0.11587739585522615</v>
      </c>
      <c r="N53" s="102">
        <f>TrAvia_ene!N$11</f>
        <v>7.9043067130446107E-2</v>
      </c>
      <c r="O53" s="102">
        <f>TrAvia_ene!O$11</f>
        <v>6.2042131430534428E-2</v>
      </c>
      <c r="P53" s="102">
        <f>TrAvia_ene!P$11</f>
        <v>4.1531977015285181E-2</v>
      </c>
      <c r="Q53" s="102">
        <f>TrAvia_ene!Q$11</f>
        <v>4.3902138298973624E-2</v>
      </c>
      <c r="R53" s="102">
        <f>TrAvia_ene!R$11</f>
        <v>2.6781124432467187E-2</v>
      </c>
      <c r="S53" s="102">
        <f>TrAvia_ene!S$11</f>
        <v>2.0597628202358189E-2</v>
      </c>
      <c r="T53" s="102">
        <f>TrAvia_ene!T$11</f>
        <v>2.1790505899476821E-2</v>
      </c>
      <c r="U53" s="102">
        <f>TrAvia_ene!U$11</f>
        <v>4.9348708976614166E-3</v>
      </c>
      <c r="V53" s="102">
        <f>TrAvia_ene!V$11</f>
        <v>4.7795905580054832E-3</v>
      </c>
      <c r="W53" s="102">
        <f>TrAvia_ene!W$11</f>
        <v>6.1590112539100933E-3</v>
      </c>
      <c r="X53" s="102">
        <f>TrAvia_ene!X$11</f>
        <v>4.3488977104711854E-3</v>
      </c>
      <c r="Y53" s="102">
        <f>TrAvia_ene!Y$11</f>
        <v>4.3164532978646909E-3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5.155990076956475</v>
      </c>
      <c r="C54" s="102">
        <f>TrAvia_ene!C$12</f>
        <v>4.5384795872185943</v>
      </c>
      <c r="D54" s="102">
        <f>TrAvia_ene!D$12</f>
        <v>5.543658620552355</v>
      </c>
      <c r="E54" s="102">
        <f>TrAvia_ene!E$12</f>
        <v>5.1978946094402492</v>
      </c>
      <c r="F54" s="102">
        <f>TrAvia_ene!F$12</f>
        <v>8.7196817528754273</v>
      </c>
      <c r="G54" s="102">
        <f>TrAvia_ene!G$12</f>
        <v>10.128211038969864</v>
      </c>
      <c r="H54" s="102">
        <f>TrAvia_ene!H$12</f>
        <v>11.456530432912212</v>
      </c>
      <c r="I54" s="102">
        <f>TrAvia_ene!I$12</f>
        <v>10.295327150053145</v>
      </c>
      <c r="J54" s="102">
        <f>TrAvia_ene!J$12</f>
        <v>9.499099038988259</v>
      </c>
      <c r="K54" s="102">
        <f>TrAvia_ene!K$12</f>
        <v>8.278133464901023</v>
      </c>
      <c r="L54" s="102">
        <f>TrAvia_ene!L$12</f>
        <v>9.5045647541196381</v>
      </c>
      <c r="M54" s="102">
        <f>TrAvia_ene!M$12</f>
        <v>10.368051811946707</v>
      </c>
      <c r="N54" s="102">
        <f>TrAvia_ene!N$12</f>
        <v>9.0543075111705384</v>
      </c>
      <c r="O54" s="102">
        <f>TrAvia_ene!O$12</f>
        <v>9.7737297036956328</v>
      </c>
      <c r="P54" s="102">
        <f>TrAvia_ene!P$12</f>
        <v>10.54582250155571</v>
      </c>
      <c r="Q54" s="102">
        <f>TrAvia_ene!Q$12</f>
        <v>9.9971190638185963</v>
      </c>
      <c r="R54" s="102">
        <f>TrAvia_ene!R$12</f>
        <v>9.0391156180721381</v>
      </c>
      <c r="S54" s="102">
        <f>TrAvia_ene!S$12</f>
        <v>10.607071823922627</v>
      </c>
      <c r="T54" s="102">
        <f>TrAvia_ene!T$12</f>
        <v>10.816265098168163</v>
      </c>
      <c r="U54" s="102">
        <f>TrAvia_ene!U$12</f>
        <v>11.255946916952222</v>
      </c>
      <c r="V54" s="102">
        <f>TrAvia_ene!V$12</f>
        <v>8.9965989033064258</v>
      </c>
      <c r="W54" s="102">
        <f>TrAvia_ene!W$12</f>
        <v>12.530318826124546</v>
      </c>
      <c r="X54" s="102">
        <f>TrAvia_ene!X$12</f>
        <v>11.724052086211852</v>
      </c>
      <c r="Y54" s="102">
        <f>TrAvia_ene!Y$12</f>
        <v>13.20067085455331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3.610331657138806</v>
      </c>
      <c r="C55" s="102">
        <f>TrAvia_ene!C$13</f>
        <v>2.9657827249516391</v>
      </c>
      <c r="D55" s="102">
        <f>TrAvia_ene!D$13</f>
        <v>3.1903999624055022</v>
      </c>
      <c r="E55" s="102">
        <f>TrAvia_ene!E$13</f>
        <v>3.071421872805816</v>
      </c>
      <c r="F55" s="102">
        <f>TrAvia_ene!F$13</f>
        <v>3.6329589251994703</v>
      </c>
      <c r="G55" s="102">
        <f>TrAvia_ene!G$13</f>
        <v>5.0723010832460513</v>
      </c>
      <c r="H55" s="102">
        <f>TrAvia_ene!H$13</f>
        <v>5.0890284620539443</v>
      </c>
      <c r="I55" s="102">
        <f>TrAvia_ene!I$13</f>
        <v>5.1007268252227345</v>
      </c>
      <c r="J55" s="102">
        <f>TrAvia_ene!J$13</f>
        <v>4.7665915472432729</v>
      </c>
      <c r="K55" s="102">
        <f>TrAvia_ene!K$13</f>
        <v>3.6137512456013337</v>
      </c>
      <c r="L55" s="102">
        <f>TrAvia_ene!L$13</f>
        <v>4.0558917954757634</v>
      </c>
      <c r="M55" s="102">
        <f>TrAvia_ene!M$13</f>
        <v>6.5735805428433487</v>
      </c>
      <c r="N55" s="102">
        <f>TrAvia_ene!N$13</f>
        <v>8.2728408028825005</v>
      </c>
      <c r="O55" s="102">
        <f>TrAvia_ene!O$13</f>
        <v>9.1235569669934922</v>
      </c>
      <c r="P55" s="102">
        <f>TrAvia_ene!P$13</f>
        <v>9.6050709995734938</v>
      </c>
      <c r="Q55" s="102">
        <f>TrAvia_ene!Q$13</f>
        <v>13.857387664075329</v>
      </c>
      <c r="R55" s="102">
        <f>TrAvia_ene!R$13</f>
        <v>15.765727216630296</v>
      </c>
      <c r="S55" s="102">
        <f>TrAvia_ene!S$13</f>
        <v>16.724640303924726</v>
      </c>
      <c r="T55" s="102">
        <f>TrAvia_ene!T$13</f>
        <v>21.090605977315885</v>
      </c>
      <c r="U55" s="102">
        <f>TrAvia_ene!U$13</f>
        <v>22.567085776172728</v>
      </c>
      <c r="V55" s="102">
        <f>TrAvia_ene!V$13</f>
        <v>7.6572437431874762</v>
      </c>
      <c r="W55" s="102">
        <f>TrAvia_ene!W$13</f>
        <v>6.048601523649471</v>
      </c>
      <c r="X55" s="102">
        <f>TrAvia_ene!X$13</f>
        <v>6.6637794386253209</v>
      </c>
      <c r="Y55" s="102">
        <f>TrAvia_ene!Y$13</f>
        <v>7.9088802188461029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34.742562338779024</v>
      </c>
      <c r="C56" s="110">
        <f t="shared" si="46"/>
        <v>36.787016337059327</v>
      </c>
      <c r="D56" s="110">
        <f t="shared" si="46"/>
        <v>38.831556319862415</v>
      </c>
      <c r="E56" s="110">
        <f t="shared" si="46"/>
        <v>34.742562338779024</v>
      </c>
      <c r="F56" s="110">
        <f t="shared" si="46"/>
        <v>41.898280309544276</v>
      </c>
      <c r="G56" s="110">
        <f t="shared" si="46"/>
        <v>41.542562338779014</v>
      </c>
      <c r="H56" s="110">
        <f t="shared" si="46"/>
        <v>39.420120378331895</v>
      </c>
      <c r="I56" s="110">
        <f t="shared" si="46"/>
        <v>40.563456577815991</v>
      </c>
      <c r="J56" s="110">
        <f t="shared" si="46"/>
        <v>38.399312123817722</v>
      </c>
      <c r="K56" s="110">
        <f t="shared" si="46"/>
        <v>35.774032674118658</v>
      </c>
      <c r="L56" s="110">
        <f t="shared" si="46"/>
        <v>39.564316423043849</v>
      </c>
      <c r="M56" s="110">
        <f t="shared" si="46"/>
        <v>38.16827171109199</v>
      </c>
      <c r="N56" s="110">
        <f t="shared" si="46"/>
        <v>36.883662940670668</v>
      </c>
      <c r="O56" s="110">
        <f t="shared" si="46"/>
        <v>39.246259673258812</v>
      </c>
      <c r="P56" s="110">
        <f t="shared" si="46"/>
        <v>39.864230438521062</v>
      </c>
      <c r="Q56" s="110">
        <f t="shared" si="46"/>
        <v>37.091401547721411</v>
      </c>
      <c r="R56" s="110">
        <f t="shared" ref="R56:V56" si="47">R57+R58</f>
        <v>39.246689595872738</v>
      </c>
      <c r="S56" s="110">
        <f t="shared" si="47"/>
        <v>40.912553740326736</v>
      </c>
      <c r="T56" s="110">
        <f t="shared" si="47"/>
        <v>38.284608770421322</v>
      </c>
      <c r="U56" s="110">
        <f t="shared" si="47"/>
        <v>43.131900257953561</v>
      </c>
      <c r="V56" s="110">
        <f t="shared" si="47"/>
        <v>21.580997420464314</v>
      </c>
      <c r="W56" s="110">
        <f t="shared" ref="W56:Y56" si="48">W57+W58</f>
        <v>31.722785898538262</v>
      </c>
      <c r="X56" s="110">
        <f t="shared" si="48"/>
        <v>33.893809114359414</v>
      </c>
      <c r="Y56" s="110">
        <f t="shared" si="48"/>
        <v>34.063628546861558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X57" s="102">
        <f>TrNavi_ene!X4</f>
        <v>0</v>
      </c>
      <c r="Y57" s="102">
        <f>TrNavi_ene!Y4</f>
        <v>0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34.742562338779024</v>
      </c>
      <c r="C58" s="169">
        <f>TrNavi_ene!C10</f>
        <v>36.787016337059327</v>
      </c>
      <c r="D58" s="169">
        <f>TrNavi_ene!D10</f>
        <v>38.831556319862415</v>
      </c>
      <c r="E58" s="169">
        <f>TrNavi_ene!E10</f>
        <v>34.742562338779024</v>
      </c>
      <c r="F58" s="169">
        <f>TrNavi_ene!F10</f>
        <v>41.898280309544276</v>
      </c>
      <c r="G58" s="169">
        <f>TrNavi_ene!G10</f>
        <v>41.542562338779014</v>
      </c>
      <c r="H58" s="169">
        <f>TrNavi_ene!H10</f>
        <v>39.420120378331895</v>
      </c>
      <c r="I58" s="169">
        <f>TrNavi_ene!I10</f>
        <v>40.563456577815991</v>
      </c>
      <c r="J58" s="169">
        <f>TrNavi_ene!J10</f>
        <v>38.399312123817722</v>
      </c>
      <c r="K58" s="169">
        <f>TrNavi_ene!K10</f>
        <v>35.774032674118658</v>
      </c>
      <c r="L58" s="169">
        <f>TrNavi_ene!L10</f>
        <v>39.564316423043849</v>
      </c>
      <c r="M58" s="169">
        <f>TrNavi_ene!M10</f>
        <v>38.16827171109199</v>
      </c>
      <c r="N58" s="169">
        <f>TrNavi_ene!N10</f>
        <v>36.883662940670668</v>
      </c>
      <c r="O58" s="169">
        <f>TrNavi_ene!O10</f>
        <v>39.246259673258812</v>
      </c>
      <c r="P58" s="169">
        <f>TrNavi_ene!P10</f>
        <v>39.864230438521062</v>
      </c>
      <c r="Q58" s="169">
        <f>TrNavi_ene!Q10</f>
        <v>37.091401547721411</v>
      </c>
      <c r="R58" s="169">
        <f>TrNavi_ene!R10</f>
        <v>39.246689595872738</v>
      </c>
      <c r="S58" s="169">
        <f>TrNavi_ene!S10</f>
        <v>40.912553740326736</v>
      </c>
      <c r="T58" s="169">
        <f>TrNavi_ene!T10</f>
        <v>38.284608770421322</v>
      </c>
      <c r="U58" s="169">
        <f>TrNavi_ene!U10</f>
        <v>43.131900257953561</v>
      </c>
      <c r="V58" s="169">
        <f>TrNavi_ene!V10</f>
        <v>21.580997420464314</v>
      </c>
      <c r="W58" s="169">
        <f>TrNavi_ene!W10</f>
        <v>31.722785898538262</v>
      </c>
      <c r="X58" s="169">
        <f>TrNavi_ene!X10</f>
        <v>33.893809114359414</v>
      </c>
      <c r="Y58" s="169">
        <f>TrNavi_ene!Y10</f>
        <v>34.063628546861558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0</v>
      </c>
      <c r="C59" s="28">
        <f t="shared" ref="C59:W59" si="49">C60+C61</f>
        <v>0</v>
      </c>
      <c r="D59" s="28">
        <f t="shared" si="49"/>
        <v>0</v>
      </c>
      <c r="E59" s="28">
        <f t="shared" si="49"/>
        <v>0</v>
      </c>
      <c r="F59" s="28">
        <f t="shared" si="49"/>
        <v>0</v>
      </c>
      <c r="G59" s="28">
        <f t="shared" si="49"/>
        <v>0</v>
      </c>
      <c r="H59" s="28">
        <f t="shared" si="49"/>
        <v>0</v>
      </c>
      <c r="I59" s="28">
        <f t="shared" si="49"/>
        <v>0</v>
      </c>
      <c r="J59" s="28">
        <f t="shared" si="49"/>
        <v>0</v>
      </c>
      <c r="K59" s="28">
        <f t="shared" si="49"/>
        <v>0</v>
      </c>
      <c r="L59" s="28">
        <f t="shared" si="49"/>
        <v>0</v>
      </c>
      <c r="M59" s="28">
        <f t="shared" si="49"/>
        <v>0</v>
      </c>
      <c r="N59" s="28">
        <f t="shared" si="49"/>
        <v>0</v>
      </c>
      <c r="O59" s="28">
        <f t="shared" si="49"/>
        <v>0</v>
      </c>
      <c r="P59" s="28">
        <f t="shared" si="49"/>
        <v>0</v>
      </c>
      <c r="Q59" s="28">
        <f t="shared" si="49"/>
        <v>0</v>
      </c>
      <c r="R59" s="28">
        <f t="shared" si="49"/>
        <v>0</v>
      </c>
      <c r="S59" s="28">
        <f t="shared" si="49"/>
        <v>0</v>
      </c>
      <c r="T59" s="28">
        <f t="shared" si="49"/>
        <v>0</v>
      </c>
      <c r="U59" s="28">
        <f t="shared" si="49"/>
        <v>0</v>
      </c>
      <c r="V59" s="28">
        <f t="shared" si="49"/>
        <v>0</v>
      </c>
      <c r="W59" s="28">
        <f t="shared" si="49"/>
        <v>0</v>
      </c>
      <c r="X59" s="28">
        <f t="shared" ref="X59:Y59" si="50">X60+X61</f>
        <v>0</v>
      </c>
      <c r="Y59" s="28">
        <f t="shared" si="50"/>
        <v>0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X60" s="102">
        <f>MBunk_ene!X$4</f>
        <v>0</v>
      </c>
      <c r="Y60" s="102">
        <f>MBunk_ene!Y$4</f>
        <v>0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X61" s="86">
        <f>MBunk_ene!X$10</f>
        <v>0</v>
      </c>
      <c r="Y61" s="86">
        <f>MBunk_ene!Y$10</f>
        <v>0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13907.774061561242</v>
      </c>
      <c r="C64" s="28">
        <f t="shared" si="51"/>
        <v>14401.987621540697</v>
      </c>
      <c r="D64" s="28">
        <f t="shared" si="51"/>
        <v>15670.616438579211</v>
      </c>
      <c r="E64" s="28">
        <f t="shared" si="51"/>
        <v>16501.654928623575</v>
      </c>
      <c r="F64" s="28">
        <f t="shared" si="51"/>
        <v>17035.901535434856</v>
      </c>
      <c r="G64" s="28">
        <f t="shared" si="51"/>
        <v>17643.440925244278</v>
      </c>
      <c r="H64" s="28">
        <f t="shared" si="51"/>
        <v>17250.713462380001</v>
      </c>
      <c r="I64" s="28">
        <f t="shared" si="51"/>
        <v>17586.038962739898</v>
      </c>
      <c r="J64" s="28">
        <f t="shared" si="51"/>
        <v>16900.812822640277</v>
      </c>
      <c r="K64" s="28">
        <f t="shared" si="51"/>
        <v>16168.365500024876</v>
      </c>
      <c r="L64" s="28">
        <f t="shared" si="51"/>
        <v>16542.82486197722</v>
      </c>
      <c r="M64" s="28">
        <f t="shared" si="51"/>
        <v>16170.831296043005</v>
      </c>
      <c r="N64" s="28">
        <f t="shared" si="51"/>
        <v>15938.158964867385</v>
      </c>
      <c r="O64" s="28">
        <f t="shared" si="51"/>
        <v>16121.851803184447</v>
      </c>
      <c r="P64" s="28">
        <f t="shared" si="51"/>
        <v>16128.300627930597</v>
      </c>
      <c r="Q64" s="28">
        <f t="shared" si="51"/>
        <v>16499.771615095862</v>
      </c>
      <c r="R64" s="28">
        <f t="shared" ref="R64:V64" si="52">R65+R69+R73</f>
        <v>17119.862675876819</v>
      </c>
      <c r="S64" s="28">
        <f t="shared" si="52"/>
        <v>17198.334512587258</v>
      </c>
      <c r="T64" s="28">
        <f t="shared" si="52"/>
        <v>17586.384730526188</v>
      </c>
      <c r="U64" s="28">
        <f t="shared" si="52"/>
        <v>17796.183582360041</v>
      </c>
      <c r="V64" s="28">
        <f t="shared" si="52"/>
        <v>13316.038700434839</v>
      </c>
      <c r="W64" s="28">
        <f t="shared" ref="W64:Y64" si="53">W65+W69+W73</f>
        <v>13958.811944261575</v>
      </c>
      <c r="X64" s="28">
        <f t="shared" si="53"/>
        <v>14668.156646371672</v>
      </c>
      <c r="Y64" s="28">
        <f t="shared" si="53"/>
        <v>15391.106993404585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12059.421744625461</v>
      </c>
      <c r="C65" s="137">
        <f t="shared" si="54"/>
        <v>12599.169290659333</v>
      </c>
      <c r="D65" s="137">
        <f t="shared" si="54"/>
        <v>13972.487177176255</v>
      </c>
      <c r="E65" s="137">
        <f t="shared" si="54"/>
        <v>14882.906355260158</v>
      </c>
      <c r="F65" s="137">
        <f t="shared" si="54"/>
        <v>15156.481659649678</v>
      </c>
      <c r="G65" s="137">
        <f t="shared" si="54"/>
        <v>15533.245249093618</v>
      </c>
      <c r="H65" s="137">
        <f t="shared" si="54"/>
        <v>15057.006321599029</v>
      </c>
      <c r="I65" s="137">
        <f t="shared" si="54"/>
        <v>15261.78359670801</v>
      </c>
      <c r="J65" s="137">
        <f t="shared" si="54"/>
        <v>14550.6943532594</v>
      </c>
      <c r="K65" s="137">
        <f t="shared" si="54"/>
        <v>14093.828373303224</v>
      </c>
      <c r="L65" s="137">
        <f t="shared" si="54"/>
        <v>14342.402822176929</v>
      </c>
      <c r="M65" s="137">
        <f t="shared" si="54"/>
        <v>13901.068304778122</v>
      </c>
      <c r="N65" s="137">
        <f t="shared" si="54"/>
        <v>13732.027464609075</v>
      </c>
      <c r="O65" s="137">
        <f t="shared" si="54"/>
        <v>14033.054735510075</v>
      </c>
      <c r="P65" s="137">
        <f t="shared" si="54"/>
        <v>14036.363780118674</v>
      </c>
      <c r="Q65" s="137">
        <f t="shared" si="54"/>
        <v>14295.183753094676</v>
      </c>
      <c r="R65" s="137">
        <f t="shared" ref="R65:V65" si="55">R66+R67+R68</f>
        <v>14723.840285084074</v>
      </c>
      <c r="S65" s="137">
        <f t="shared" si="55"/>
        <v>14885.74599348544</v>
      </c>
      <c r="T65" s="137">
        <f t="shared" si="55"/>
        <v>15004.701233057691</v>
      </c>
      <c r="U65" s="137">
        <f t="shared" si="55"/>
        <v>14849.071968284734</v>
      </c>
      <c r="V65" s="137">
        <f t="shared" si="55"/>
        <v>12319.178738800463</v>
      </c>
      <c r="W65" s="137">
        <f t="shared" ref="W65:Y65" si="56">W66+W67+W68</f>
        <v>12712.618697378488</v>
      </c>
      <c r="X65" s="137">
        <f t="shared" si="56"/>
        <v>12781.916567132932</v>
      </c>
      <c r="Y65" s="137">
        <f t="shared" si="56"/>
        <v>12741.531129202753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95.748810063378244</v>
      </c>
      <c r="C66" s="102">
        <f>TrRoad_emi!C$19</f>
        <v>98.164770051777992</v>
      </c>
      <c r="D66" s="102">
        <f>TrRoad_emi!D$19</f>
        <v>101.17274727681641</v>
      </c>
      <c r="E66" s="102">
        <f>TrRoad_emi!E$19</f>
        <v>104.04598290445058</v>
      </c>
      <c r="F66" s="102">
        <f>TrRoad_emi!F$19</f>
        <v>108.8484338820938</v>
      </c>
      <c r="G66" s="102">
        <f>TrRoad_emi!G$19</f>
        <v>111.52496490971674</v>
      </c>
      <c r="H66" s="102">
        <f>TrRoad_emi!H$19</f>
        <v>114.6783849669454</v>
      </c>
      <c r="I66" s="102">
        <f>TrRoad_emi!I$19</f>
        <v>117.99844142562365</v>
      </c>
      <c r="J66" s="102">
        <f>TrRoad_emi!J$19</f>
        <v>119.75492202336835</v>
      </c>
      <c r="K66" s="102">
        <f>TrRoad_emi!K$19</f>
        <v>122.17042885804462</v>
      </c>
      <c r="L66" s="102">
        <f>TrRoad_emi!L$19</f>
        <v>125.6123028939959</v>
      </c>
      <c r="M66" s="102">
        <f>TrRoad_emi!M$19</f>
        <v>129.36366201547776</v>
      </c>
      <c r="N66" s="102">
        <f>TrRoad_emi!N$19</f>
        <v>134.67295830803741</v>
      </c>
      <c r="O66" s="102">
        <f>TrRoad_emi!O$19</f>
        <v>139.61819462337905</v>
      </c>
      <c r="P66" s="102">
        <f>TrRoad_emi!P$19</f>
        <v>145.02110976154592</v>
      </c>
      <c r="Q66" s="102">
        <f>TrRoad_emi!Q$19</f>
        <v>149.72219723545049</v>
      </c>
      <c r="R66" s="102">
        <f>TrRoad_emi!R$19</f>
        <v>152.92981696367653</v>
      </c>
      <c r="S66" s="102">
        <f>TrRoad_emi!S$19</f>
        <v>151.35265301093037</v>
      </c>
      <c r="T66" s="102">
        <f>TrRoad_emi!T$19</f>
        <v>144.79696164147276</v>
      </c>
      <c r="U66" s="102">
        <f>TrRoad_emi!U$19</f>
        <v>154.04033139959586</v>
      </c>
      <c r="V66" s="102">
        <f>TrRoad_emi!V$19</f>
        <v>138.16818894451123</v>
      </c>
      <c r="W66" s="102">
        <f>TrRoad_emi!W$19</f>
        <v>138.38983611633185</v>
      </c>
      <c r="X66" s="102">
        <f>TrRoad_emi!X$19</f>
        <v>141.09797581241395</v>
      </c>
      <c r="Y66" s="102">
        <f>TrRoad_emi!Y$19</f>
        <v>149.12342115218473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11172.142684952065</v>
      </c>
      <c r="C67" s="102">
        <f>TrRoad_emi!C$20</f>
        <v>11707.157968596952</v>
      </c>
      <c r="D67" s="102">
        <f>TrRoad_emi!D$20</f>
        <v>13050.267854418362</v>
      </c>
      <c r="E67" s="102">
        <f>TrRoad_emi!E$20</f>
        <v>13933.542684999828</v>
      </c>
      <c r="F67" s="102">
        <f>TrRoad_emi!F$20</f>
        <v>14211.304618644879</v>
      </c>
      <c r="G67" s="102">
        <f>TrRoad_emi!G$20</f>
        <v>14598.422010269051</v>
      </c>
      <c r="H67" s="102">
        <f>TrRoad_emi!H$20</f>
        <v>14161.021947932488</v>
      </c>
      <c r="I67" s="102">
        <f>TrRoad_emi!I$20</f>
        <v>14325.447428026897</v>
      </c>
      <c r="J67" s="102">
        <f>TrRoad_emi!J$20</f>
        <v>13643.821843489843</v>
      </c>
      <c r="K67" s="102">
        <f>TrRoad_emi!K$20</f>
        <v>13264.548083293223</v>
      </c>
      <c r="L67" s="102">
        <f>TrRoad_emi!L$20</f>
        <v>13446.068010970506</v>
      </c>
      <c r="M67" s="102">
        <f>TrRoad_emi!M$20</f>
        <v>13011.105608523694</v>
      </c>
      <c r="N67" s="102">
        <f>TrRoad_emi!N$20</f>
        <v>12836.610225837532</v>
      </c>
      <c r="O67" s="102">
        <f>TrRoad_emi!O$20</f>
        <v>13133.551550947668</v>
      </c>
      <c r="P67" s="102">
        <f>TrRoad_emi!P$20</f>
        <v>13122.826756525717</v>
      </c>
      <c r="Q67" s="102">
        <f>TrRoad_emi!Q$20</f>
        <v>13366.863564747497</v>
      </c>
      <c r="R67" s="102">
        <f>TrRoad_emi!R$20</f>
        <v>13742.762386419587</v>
      </c>
      <c r="S67" s="102">
        <f>TrRoad_emi!S$20</f>
        <v>13869.812006663911</v>
      </c>
      <c r="T67" s="102">
        <f>TrRoad_emi!T$20</f>
        <v>14029.310397796804</v>
      </c>
      <c r="U67" s="102">
        <f>TrRoad_emi!U$20</f>
        <v>13872.933375437065</v>
      </c>
      <c r="V67" s="102">
        <f>TrRoad_emi!V$20</f>
        <v>11361.501347047202</v>
      </c>
      <c r="W67" s="102">
        <f>TrRoad_emi!W$20</f>
        <v>11759.393385176303</v>
      </c>
      <c r="X67" s="102">
        <f>TrRoad_emi!X$20</f>
        <v>11845.87944714689</v>
      </c>
      <c r="Y67" s="102">
        <f>TrRoad_emi!Y$20</f>
        <v>11818.528311814425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791.53024961001677</v>
      </c>
      <c r="C68" s="102">
        <f>TrRoad_emi!C$27</f>
        <v>793.84655201060139</v>
      </c>
      <c r="D68" s="102">
        <f>TrRoad_emi!D$27</f>
        <v>821.04657548107662</v>
      </c>
      <c r="E68" s="102">
        <f>TrRoad_emi!E$27</f>
        <v>845.31768735587957</v>
      </c>
      <c r="F68" s="102">
        <f>TrRoad_emi!F$27</f>
        <v>836.32860712270451</v>
      </c>
      <c r="G68" s="102">
        <f>TrRoad_emi!G$27</f>
        <v>823.29827391485014</v>
      </c>
      <c r="H68" s="102">
        <f>TrRoad_emi!H$27</f>
        <v>781.30598869959658</v>
      </c>
      <c r="I68" s="102">
        <f>TrRoad_emi!I$27</f>
        <v>818.33772725548977</v>
      </c>
      <c r="J68" s="102">
        <f>TrRoad_emi!J$27</f>
        <v>787.11758774618841</v>
      </c>
      <c r="K68" s="102">
        <f>TrRoad_emi!K$27</f>
        <v>707.10986115195715</v>
      </c>
      <c r="L68" s="102">
        <f>TrRoad_emi!L$27</f>
        <v>770.72250831242593</v>
      </c>
      <c r="M68" s="102">
        <f>TrRoad_emi!M$27</f>
        <v>760.59903423895082</v>
      </c>
      <c r="N68" s="102">
        <f>TrRoad_emi!N$27</f>
        <v>760.74428046350442</v>
      </c>
      <c r="O68" s="102">
        <f>TrRoad_emi!O$27</f>
        <v>759.88498993902704</v>
      </c>
      <c r="P68" s="102">
        <f>TrRoad_emi!P$27</f>
        <v>768.51591383141033</v>
      </c>
      <c r="Q68" s="102">
        <f>TrRoad_emi!Q$27</f>
        <v>778.59799111172902</v>
      </c>
      <c r="R68" s="102">
        <f>TrRoad_emi!R$27</f>
        <v>828.14808170081096</v>
      </c>
      <c r="S68" s="102">
        <f>TrRoad_emi!S$27</f>
        <v>864.58133381059861</v>
      </c>
      <c r="T68" s="102">
        <f>TrRoad_emi!T$27</f>
        <v>830.59387361941424</v>
      </c>
      <c r="U68" s="102">
        <f>TrRoad_emi!U$27</f>
        <v>822.09826144807357</v>
      </c>
      <c r="V68" s="102">
        <f>TrRoad_emi!V$27</f>
        <v>819.50920280874846</v>
      </c>
      <c r="W68" s="102">
        <f>TrRoad_emi!W$27</f>
        <v>814.83547608585206</v>
      </c>
      <c r="X68" s="102">
        <f>TrRoad_emi!X$27</f>
        <v>794.93914417362873</v>
      </c>
      <c r="Y68" s="102">
        <f>TrRoad_emi!Y$27</f>
        <v>773.87939623614409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97.910562062538858</v>
      </c>
      <c r="C69" s="110">
        <f t="shared" si="57"/>
        <v>98.186653967833678</v>
      </c>
      <c r="D69" s="110">
        <f t="shared" si="57"/>
        <v>100.05344939504177</v>
      </c>
      <c r="E69" s="110">
        <f t="shared" si="57"/>
        <v>106.31976770323159</v>
      </c>
      <c r="F69" s="110">
        <f t="shared" si="57"/>
        <v>105.59613383763572</v>
      </c>
      <c r="G69" s="110">
        <f t="shared" si="57"/>
        <v>116.22830195416743</v>
      </c>
      <c r="H69" s="110">
        <f t="shared" si="57"/>
        <v>108.85731589774267</v>
      </c>
      <c r="I69" s="110">
        <f t="shared" si="57"/>
        <v>108.10084724227362</v>
      </c>
      <c r="J69" s="110">
        <f t="shared" si="57"/>
        <v>126.80836551250736</v>
      </c>
      <c r="K69" s="110">
        <f t="shared" si="57"/>
        <v>131.66528880446171</v>
      </c>
      <c r="L69" s="110">
        <f t="shared" si="57"/>
        <v>127.2354114293248</v>
      </c>
      <c r="M69" s="110">
        <f t="shared" si="57"/>
        <v>106.83759682644258</v>
      </c>
      <c r="N69" s="110">
        <f t="shared" si="57"/>
        <v>111.39869964712817</v>
      </c>
      <c r="O69" s="110">
        <f t="shared" si="57"/>
        <v>96.195069913291761</v>
      </c>
      <c r="P69" s="110">
        <f t="shared" si="57"/>
        <v>103.56038292625554</v>
      </c>
      <c r="Q69" s="110">
        <f t="shared" si="57"/>
        <v>78.312762676766042</v>
      </c>
      <c r="R69" s="110">
        <f t="shared" ref="R69:V69" si="58">R70+R71+R72</f>
        <v>79.224757609135082</v>
      </c>
      <c r="S69" s="110">
        <f t="shared" si="58"/>
        <v>85.614808664053271</v>
      </c>
      <c r="T69" s="110">
        <f t="shared" si="58"/>
        <v>83.700465571410859</v>
      </c>
      <c r="U69" s="110">
        <f t="shared" si="58"/>
        <v>81.838173817531739</v>
      </c>
      <c r="V69" s="110">
        <f t="shared" si="58"/>
        <v>39.26434372036087</v>
      </c>
      <c r="W69" s="110">
        <f t="shared" ref="W69:Y69" si="59">W70+W71+W72</f>
        <v>39.181556329227902</v>
      </c>
      <c r="X69" s="110">
        <f t="shared" si="59"/>
        <v>38.875900444924312</v>
      </c>
      <c r="Y69" s="110">
        <f t="shared" si="59"/>
        <v>54.60092550468633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97.910562062538858</v>
      </c>
      <c r="C71" s="102">
        <f>TrRail_emi!C$11</f>
        <v>98.186653967833678</v>
      </c>
      <c r="D71" s="102">
        <f>TrRail_emi!D$11</f>
        <v>100.05344939504177</v>
      </c>
      <c r="E71" s="102">
        <f>TrRail_emi!E$11</f>
        <v>106.31976770323159</v>
      </c>
      <c r="F71" s="102">
        <f>TrRail_emi!F$11</f>
        <v>105.59613383763572</v>
      </c>
      <c r="G71" s="102">
        <f>TrRail_emi!G$11</f>
        <v>116.22830195416743</v>
      </c>
      <c r="H71" s="102">
        <f>TrRail_emi!H$11</f>
        <v>108.85731589774267</v>
      </c>
      <c r="I71" s="102">
        <f>TrRail_emi!I$11</f>
        <v>108.10084724227362</v>
      </c>
      <c r="J71" s="102">
        <f>TrRail_emi!J$11</f>
        <v>126.80836551250736</v>
      </c>
      <c r="K71" s="102">
        <f>TrRail_emi!K$11</f>
        <v>131.66528880446171</v>
      </c>
      <c r="L71" s="102">
        <f>TrRail_emi!L$11</f>
        <v>127.2354114293248</v>
      </c>
      <c r="M71" s="102">
        <f>TrRail_emi!M$11</f>
        <v>106.83759682644258</v>
      </c>
      <c r="N71" s="102">
        <f>TrRail_emi!N$11</f>
        <v>111.39869964712817</v>
      </c>
      <c r="O71" s="102">
        <f>TrRail_emi!O$11</f>
        <v>96.195069913291761</v>
      </c>
      <c r="P71" s="102">
        <f>TrRail_emi!P$11</f>
        <v>103.56038292625554</v>
      </c>
      <c r="Q71" s="102">
        <f>TrRail_emi!Q$11</f>
        <v>78.312762676766042</v>
      </c>
      <c r="R71" s="102">
        <f>TrRail_emi!R$11</f>
        <v>79.224757609135082</v>
      </c>
      <c r="S71" s="102">
        <f>TrRail_emi!S$11</f>
        <v>85.614808664053271</v>
      </c>
      <c r="T71" s="102">
        <f>TrRail_emi!T$11</f>
        <v>83.700465571410859</v>
      </c>
      <c r="U71" s="102">
        <f>TrRail_emi!U$11</f>
        <v>81.838173817531739</v>
      </c>
      <c r="V71" s="102">
        <f>TrRail_emi!V$11</f>
        <v>39.26434372036087</v>
      </c>
      <c r="W71" s="102">
        <f>TrRail_emi!W$11</f>
        <v>39.181556329227902</v>
      </c>
      <c r="X71" s="102">
        <f>TrRail_emi!X$11</f>
        <v>38.875900444924312</v>
      </c>
      <c r="Y71" s="102">
        <f>TrRail_emi!Y$11</f>
        <v>54.60092550468633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1750.4417548732422</v>
      </c>
      <c r="C73" s="110">
        <f t="shared" si="60"/>
        <v>1704.6316769135301</v>
      </c>
      <c r="D73" s="110">
        <f t="shared" si="60"/>
        <v>1598.075812007914</v>
      </c>
      <c r="E73" s="110">
        <f t="shared" si="60"/>
        <v>1512.4288056601836</v>
      </c>
      <c r="F73" s="110">
        <f t="shared" si="60"/>
        <v>1773.8237419475413</v>
      </c>
      <c r="G73" s="110">
        <f t="shared" si="60"/>
        <v>1993.9673741964921</v>
      </c>
      <c r="H73" s="110">
        <f t="shared" si="60"/>
        <v>2084.8498248832311</v>
      </c>
      <c r="I73" s="110">
        <f t="shared" si="60"/>
        <v>2216.1545187896154</v>
      </c>
      <c r="J73" s="110">
        <f t="shared" si="60"/>
        <v>2223.3101038683726</v>
      </c>
      <c r="K73" s="110">
        <f t="shared" si="60"/>
        <v>1942.8718379171905</v>
      </c>
      <c r="L73" s="110">
        <f t="shared" si="60"/>
        <v>2073.1866283709678</v>
      </c>
      <c r="M73" s="110">
        <f t="shared" si="60"/>
        <v>2162.9253944384409</v>
      </c>
      <c r="N73" s="110">
        <f t="shared" si="60"/>
        <v>2094.732800611182</v>
      </c>
      <c r="O73" s="110">
        <f t="shared" si="60"/>
        <v>1992.6019977610797</v>
      </c>
      <c r="P73" s="110">
        <f t="shared" si="60"/>
        <v>1988.3764648856668</v>
      </c>
      <c r="Q73" s="110">
        <f t="shared" si="60"/>
        <v>2126.2750993244208</v>
      </c>
      <c r="R73" s="110">
        <f t="shared" ref="R73:V73" si="61">R74+R75+R76</f>
        <v>2316.7976331836094</v>
      </c>
      <c r="S73" s="110">
        <f t="shared" si="61"/>
        <v>2226.9737104377646</v>
      </c>
      <c r="T73" s="110">
        <f t="shared" si="61"/>
        <v>2497.9830318970862</v>
      </c>
      <c r="U73" s="110">
        <f t="shared" si="61"/>
        <v>2865.2734402577744</v>
      </c>
      <c r="V73" s="110">
        <f t="shared" si="61"/>
        <v>957.59561791401575</v>
      </c>
      <c r="W73" s="110">
        <f t="shared" ref="W73:Y73" si="62">W74+W75+W76</f>
        <v>1207.0116905538598</v>
      </c>
      <c r="X73" s="110">
        <f t="shared" si="62"/>
        <v>1847.3641787938166</v>
      </c>
      <c r="Y73" s="110">
        <f t="shared" si="62"/>
        <v>2594.9749386971453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105.00501755954922</v>
      </c>
      <c r="C74" s="102">
        <f>TrAvia_emi!C$7</f>
        <v>98.981559271069202</v>
      </c>
      <c r="D74" s="102">
        <f>TrAvia_emi!D$7</f>
        <v>101.97908519353123</v>
      </c>
      <c r="E74" s="102">
        <f>TrAvia_emi!E$7</f>
        <v>98.991351424400605</v>
      </c>
      <c r="F74" s="102">
        <f>TrAvia_emi!F$7</f>
        <v>104.93710734504441</v>
      </c>
      <c r="G74" s="102">
        <f>TrAvia_emi!G$7</f>
        <v>106.14525984271029</v>
      </c>
      <c r="H74" s="102">
        <f>TrAvia_emi!H$7</f>
        <v>111.59495268388936</v>
      </c>
      <c r="I74" s="102">
        <f>TrAvia_emi!I$7</f>
        <v>114.12396607508448</v>
      </c>
      <c r="J74" s="102">
        <f>TrAvia_emi!J$7</f>
        <v>111.78112584445867</v>
      </c>
      <c r="K74" s="102">
        <f>TrAvia_emi!K$7</f>
        <v>109.08015682655514</v>
      </c>
      <c r="L74" s="102">
        <f>TrAvia_emi!L$7</f>
        <v>105.99385619841509</v>
      </c>
      <c r="M74" s="102">
        <f>TrAvia_emi!M$7</f>
        <v>104.6986135790826</v>
      </c>
      <c r="N74" s="102">
        <f>TrAvia_emi!N$7</f>
        <v>98.557616630739531</v>
      </c>
      <c r="O74" s="102">
        <f>TrAvia_emi!O$7</f>
        <v>98.036968880892218</v>
      </c>
      <c r="P74" s="102">
        <f>TrAvia_emi!P$7</f>
        <v>94.986944260335974</v>
      </c>
      <c r="Q74" s="102">
        <f>TrAvia_emi!Q$7</f>
        <v>95.516090268862698</v>
      </c>
      <c r="R74" s="102">
        <f>TrAvia_emi!R$7</f>
        <v>93.781178533468051</v>
      </c>
      <c r="S74" s="102">
        <f>TrAvia_emi!S$7</f>
        <v>89.476565547975056</v>
      </c>
      <c r="T74" s="102">
        <f>TrAvia_emi!T$7</f>
        <v>93.56932799882982</v>
      </c>
      <c r="U74" s="102">
        <f>TrAvia_emi!U$7</f>
        <v>77.500343625789313</v>
      </c>
      <c r="V74" s="102">
        <f>TrAvia_emi!V$7</f>
        <v>50.065095288108608</v>
      </c>
      <c r="W74" s="102">
        <f>TrAvia_emi!W$7</f>
        <v>49.262821875847195</v>
      </c>
      <c r="X74" s="102">
        <f>TrAvia_emi!X$7</f>
        <v>54.450350711554009</v>
      </c>
      <c r="Y74" s="102">
        <f>TrAvia_emi!Y$7</f>
        <v>55.490997921924844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833.37335148440252</v>
      </c>
      <c r="C75" s="102">
        <f>TrAvia_emi!C$8</f>
        <v>799.27625886746148</v>
      </c>
      <c r="D75" s="102">
        <f>TrAvia_emi!D$8</f>
        <v>751.33878075691939</v>
      </c>
      <c r="E75" s="102">
        <f>TrAvia_emi!E$8</f>
        <v>717.98628144041948</v>
      </c>
      <c r="F75" s="102">
        <f>TrAvia_emi!F$8</f>
        <v>800.48135522917471</v>
      </c>
      <c r="G75" s="102">
        <f>TrAvia_emi!G$8</f>
        <v>904.0706687869847</v>
      </c>
      <c r="H75" s="102">
        <f>TrAvia_emi!H$8</f>
        <v>952.87252814549004</v>
      </c>
      <c r="I75" s="102">
        <f>TrAvia_emi!I$8</f>
        <v>1031.5155078059179</v>
      </c>
      <c r="J75" s="102">
        <f>TrAvia_emi!J$8</f>
        <v>1023.0494696279443</v>
      </c>
      <c r="K75" s="102">
        <f>TrAvia_emi!K$8</f>
        <v>867.86642955675575</v>
      </c>
      <c r="L75" s="102">
        <f>TrAvia_emi!L$8</f>
        <v>926.74663844115673</v>
      </c>
      <c r="M75" s="102">
        <f>TrAvia_emi!M$8</f>
        <v>970.8130953972377</v>
      </c>
      <c r="N75" s="102">
        <f>TrAvia_emi!N$8</f>
        <v>928.58058390490226</v>
      </c>
      <c r="O75" s="102">
        <f>TrAvia_emi!O$8</f>
        <v>875.87614649907459</v>
      </c>
      <c r="P75" s="102">
        <f>TrAvia_emi!P$8</f>
        <v>881.9871299062587</v>
      </c>
      <c r="Q75" s="102">
        <f>TrAvia_emi!Q$8</f>
        <v>953.10117761824586</v>
      </c>
      <c r="R75" s="102">
        <f>TrAvia_emi!R$8</f>
        <v>1084.5929307461574</v>
      </c>
      <c r="S75" s="102">
        <f>TrAvia_emi!S$8</f>
        <v>1062.2179494563302</v>
      </c>
      <c r="T75" s="102">
        <f>TrAvia_emi!T$8</f>
        <v>1191.4573640542271</v>
      </c>
      <c r="U75" s="102">
        <f>TrAvia_emi!U$8</f>
        <v>1352.4141091319241</v>
      </c>
      <c r="V75" s="102">
        <f>TrAvia_emi!V$8</f>
        <v>378.92191665567867</v>
      </c>
      <c r="W75" s="102">
        <f>TrAvia_emi!W$8</f>
        <v>522.43493870165412</v>
      </c>
      <c r="X75" s="102">
        <f>TrAvia_emi!X$8</f>
        <v>902.35088957963217</v>
      </c>
      <c r="Y75" s="102">
        <f>TrAvia_emi!Y$8</f>
        <v>1250.3356542236031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812.06338582929061</v>
      </c>
      <c r="C76" s="102">
        <f>TrAvia_emi!C$9</f>
        <v>806.37385877499935</v>
      </c>
      <c r="D76" s="102">
        <f>TrAvia_emi!D$9</f>
        <v>744.75794605746341</v>
      </c>
      <c r="E76" s="102">
        <f>TrAvia_emi!E$9</f>
        <v>695.45117279536339</v>
      </c>
      <c r="F76" s="102">
        <f>TrAvia_emi!F$9</f>
        <v>868.40527937332206</v>
      </c>
      <c r="G76" s="102">
        <f>TrAvia_emi!G$9</f>
        <v>983.75144556679709</v>
      </c>
      <c r="H76" s="102">
        <f>TrAvia_emi!H$9</f>
        <v>1020.3823440538516</v>
      </c>
      <c r="I76" s="102">
        <f>TrAvia_emi!I$9</f>
        <v>1070.5150449086132</v>
      </c>
      <c r="J76" s="102">
        <f>TrAvia_emi!J$9</f>
        <v>1088.4795083959696</v>
      </c>
      <c r="K76" s="102">
        <f>TrAvia_emi!K$9</f>
        <v>965.92525153387965</v>
      </c>
      <c r="L76" s="102">
        <f>TrAvia_emi!L$9</f>
        <v>1040.4461337313962</v>
      </c>
      <c r="M76" s="102">
        <f>TrAvia_emi!M$9</f>
        <v>1087.4136854621204</v>
      </c>
      <c r="N76" s="102">
        <f>TrAvia_emi!N$9</f>
        <v>1067.59460007554</v>
      </c>
      <c r="O76" s="102">
        <f>TrAvia_emi!O$9</f>
        <v>1018.6888823811129</v>
      </c>
      <c r="P76" s="102">
        <f>TrAvia_emi!P$9</f>
        <v>1011.4023907190723</v>
      </c>
      <c r="Q76" s="102">
        <f>TrAvia_emi!Q$9</f>
        <v>1077.6578314373126</v>
      </c>
      <c r="R76" s="102">
        <f>TrAvia_emi!R$9</f>
        <v>1138.423523903984</v>
      </c>
      <c r="S76" s="102">
        <f>TrAvia_emi!S$9</f>
        <v>1075.2791954334593</v>
      </c>
      <c r="T76" s="102">
        <f>TrAvia_emi!T$9</f>
        <v>1212.9563398440293</v>
      </c>
      <c r="U76" s="102">
        <f>TrAvia_emi!U$9</f>
        <v>1435.3589875000612</v>
      </c>
      <c r="V76" s="102">
        <f>TrAvia_emi!V$9</f>
        <v>528.6086059702285</v>
      </c>
      <c r="W76" s="102">
        <f>TrAvia_emi!W$9</f>
        <v>635.31392997635851</v>
      </c>
      <c r="X76" s="102">
        <f>TrAvia_emi!X$9</f>
        <v>890.56293850263035</v>
      </c>
      <c r="Y76" s="102">
        <f>TrAvia_emi!Y$9</f>
        <v>1289.148286551617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5914.0576396811757</v>
      </c>
      <c r="C77" s="28">
        <f t="shared" si="63"/>
        <v>6715.6679576074375</v>
      </c>
      <c r="D77" s="28">
        <f t="shared" si="63"/>
        <v>7452.8309220314386</v>
      </c>
      <c r="E77" s="28">
        <f t="shared" si="63"/>
        <v>8009.855480387072</v>
      </c>
      <c r="F77" s="28">
        <f t="shared" si="63"/>
        <v>8089.7878265251456</v>
      </c>
      <c r="G77" s="28">
        <f t="shared" si="63"/>
        <v>8413.2766480158007</v>
      </c>
      <c r="H77" s="28">
        <f t="shared" si="63"/>
        <v>7731.3272767737353</v>
      </c>
      <c r="I77" s="28">
        <f t="shared" si="63"/>
        <v>7696.2115690623068</v>
      </c>
      <c r="J77" s="28">
        <f t="shared" si="63"/>
        <v>7373.5188355597447</v>
      </c>
      <c r="K77" s="28">
        <f t="shared" si="63"/>
        <v>6877.6185503414554</v>
      </c>
      <c r="L77" s="28">
        <f t="shared" si="63"/>
        <v>7472.8704906736912</v>
      </c>
      <c r="M77" s="28">
        <f t="shared" si="63"/>
        <v>6937.5518851710704</v>
      </c>
      <c r="N77" s="28">
        <f t="shared" si="63"/>
        <v>7049.0252939678758</v>
      </c>
      <c r="O77" s="28">
        <f t="shared" si="63"/>
        <v>8090.7298384640317</v>
      </c>
      <c r="P77" s="28">
        <f t="shared" si="63"/>
        <v>7735.0551837801886</v>
      </c>
      <c r="Q77" s="28">
        <f t="shared" si="63"/>
        <v>7924.0848474765462</v>
      </c>
      <c r="R77" s="28">
        <f t="shared" si="63"/>
        <v>8285.4109957783148</v>
      </c>
      <c r="S77" s="28">
        <f t="shared" si="63"/>
        <v>8614.3611434831564</v>
      </c>
      <c r="T77" s="28">
        <f t="shared" si="63"/>
        <v>8841.7481319510753</v>
      </c>
      <c r="U77" s="28">
        <f t="shared" si="63"/>
        <v>9101.9012203642833</v>
      </c>
      <c r="V77" s="28">
        <f t="shared" si="63"/>
        <v>8613.2048653269449</v>
      </c>
      <c r="W77" s="28">
        <f t="shared" si="63"/>
        <v>9071.343331397582</v>
      </c>
      <c r="X77" s="28">
        <f t="shared" si="63"/>
        <v>7950.8650916736588</v>
      </c>
      <c r="Y77" s="28">
        <f t="shared" si="63"/>
        <v>7297.421614758483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5738.7797664945419</v>
      </c>
      <c r="C78" s="137">
        <f t="shared" si="64"/>
        <v>6538.3254741406708</v>
      </c>
      <c r="D78" s="137">
        <f t="shared" si="64"/>
        <v>7264.0778360237482</v>
      </c>
      <c r="E78" s="137">
        <f t="shared" si="64"/>
        <v>7835.1656852198412</v>
      </c>
      <c r="F78" s="137">
        <f t="shared" si="64"/>
        <v>7875.8306757103228</v>
      </c>
      <c r="G78" s="137">
        <f t="shared" si="64"/>
        <v>8191.0967091463808</v>
      </c>
      <c r="H78" s="137">
        <f t="shared" si="64"/>
        <v>7506.3879734409702</v>
      </c>
      <c r="I78" s="137">
        <f t="shared" si="64"/>
        <v>7471.4853098919903</v>
      </c>
      <c r="J78" s="137">
        <f t="shared" si="64"/>
        <v>7177.880351620598</v>
      </c>
      <c r="K78" s="137">
        <f t="shared" si="64"/>
        <v>6704.8655338167764</v>
      </c>
      <c r="L78" s="137">
        <f t="shared" si="64"/>
        <v>7283.3488231030642</v>
      </c>
      <c r="M78" s="137">
        <f t="shared" si="64"/>
        <v>6746.1569444218767</v>
      </c>
      <c r="N78" s="137">
        <f t="shared" si="64"/>
        <v>6861.2638748309264</v>
      </c>
      <c r="O78" s="137">
        <f t="shared" si="64"/>
        <v>7894.8944338899228</v>
      </c>
      <c r="P78" s="137">
        <f t="shared" si="64"/>
        <v>7531.134535361326</v>
      </c>
      <c r="Q78" s="137">
        <f t="shared" si="64"/>
        <v>7721.7376357453268</v>
      </c>
      <c r="R78" s="137">
        <f t="shared" ref="R78:V78" si="65">R79+R80</f>
        <v>8074.0472740359237</v>
      </c>
      <c r="S78" s="137">
        <f t="shared" si="65"/>
        <v>8388.2056448345593</v>
      </c>
      <c r="T78" s="137">
        <f t="shared" si="65"/>
        <v>8612.6679830223147</v>
      </c>
      <c r="U78" s="137">
        <f t="shared" si="65"/>
        <v>8850.2172092297023</v>
      </c>
      <c r="V78" s="137">
        <f t="shared" si="65"/>
        <v>8449.3745446096837</v>
      </c>
      <c r="W78" s="137">
        <f t="shared" ref="W78:Y78" si="66">W79+W80</f>
        <v>8870.3748313307042</v>
      </c>
      <c r="X78" s="137">
        <f t="shared" si="66"/>
        <v>7744.0581189980276</v>
      </c>
      <c r="Y78" s="137">
        <f t="shared" si="66"/>
        <v>7104.5734403585911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1319.5258870790765</v>
      </c>
      <c r="C79" s="102">
        <f>TrRoad_emi!C$34</f>
        <v>1348.0674442857087</v>
      </c>
      <c r="D79" s="102">
        <f>TrRoad_emi!D$34</f>
        <v>1389.7636743956098</v>
      </c>
      <c r="E79" s="102">
        <f>TrRoad_emi!E$34</f>
        <v>1396.4235869836612</v>
      </c>
      <c r="F79" s="102">
        <f>TrRoad_emi!F$34</f>
        <v>1392.8336267953355</v>
      </c>
      <c r="G79" s="102">
        <f>TrRoad_emi!G$34</f>
        <v>1406.6249609721858</v>
      </c>
      <c r="H79" s="102">
        <f>TrRoad_emi!H$34</f>
        <v>1387.3305735798051</v>
      </c>
      <c r="I79" s="102">
        <f>TrRoad_emi!I$34</f>
        <v>1401.4982105949884</v>
      </c>
      <c r="J79" s="102">
        <f>TrRoad_emi!J$34</f>
        <v>1368.0925231631256</v>
      </c>
      <c r="K79" s="102">
        <f>TrRoad_emi!K$34</f>
        <v>1329.2952855551384</v>
      </c>
      <c r="L79" s="102">
        <f>TrRoad_emi!L$34</f>
        <v>1344.9944957138591</v>
      </c>
      <c r="M79" s="102">
        <f>TrRoad_emi!M$34</f>
        <v>1359.5072575226466</v>
      </c>
      <c r="N79" s="102">
        <f>TrRoad_emi!N$34</f>
        <v>1350.9644021677896</v>
      </c>
      <c r="O79" s="102">
        <f>TrRoad_emi!O$34</f>
        <v>1391.4246654473211</v>
      </c>
      <c r="P79" s="102">
        <f>TrRoad_emi!P$34</f>
        <v>1430.3003666506775</v>
      </c>
      <c r="Q79" s="102">
        <f>TrRoad_emi!Q$34</f>
        <v>1459.9035592722335</v>
      </c>
      <c r="R79" s="102">
        <f>TrRoad_emi!R$34</f>
        <v>1516.6484266086798</v>
      </c>
      <c r="S79" s="102">
        <f>TrRoad_emi!S$34</f>
        <v>1546.3965028510463</v>
      </c>
      <c r="T79" s="102">
        <f>TrRoad_emi!T$34</f>
        <v>1569.8180683828841</v>
      </c>
      <c r="U79" s="102">
        <f>TrRoad_emi!U$34</f>
        <v>1616.3828738993232</v>
      </c>
      <c r="V79" s="102">
        <f>TrRoad_emi!V$34</f>
        <v>1643.2929830747516</v>
      </c>
      <c r="W79" s="102">
        <f>TrRoad_emi!W$34</f>
        <v>1766.1096964146661</v>
      </c>
      <c r="X79" s="102">
        <f>TrRoad_emi!X$34</f>
        <v>1789.8075784065541</v>
      </c>
      <c r="Y79" s="102">
        <f>TrRoad_emi!Y$34</f>
        <v>1783.6746351751924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4419.2538794154652</v>
      </c>
      <c r="C80" s="102">
        <f>TrRoad_emi!C$40</f>
        <v>5190.2580298549619</v>
      </c>
      <c r="D80" s="102">
        <f>TrRoad_emi!D$40</f>
        <v>5874.3141616281382</v>
      </c>
      <c r="E80" s="102">
        <f>TrRoad_emi!E$40</f>
        <v>6438.74209823618</v>
      </c>
      <c r="F80" s="102">
        <f>TrRoad_emi!F$40</f>
        <v>6482.9970489149873</v>
      </c>
      <c r="G80" s="102">
        <f>TrRoad_emi!G$40</f>
        <v>6784.4717481741955</v>
      </c>
      <c r="H80" s="102">
        <f>TrRoad_emi!H$40</f>
        <v>6119.0573998611653</v>
      </c>
      <c r="I80" s="102">
        <f>TrRoad_emi!I$40</f>
        <v>6069.9870992970018</v>
      </c>
      <c r="J80" s="102">
        <f>TrRoad_emi!J$40</f>
        <v>5809.7878284574726</v>
      </c>
      <c r="K80" s="102">
        <f>TrRoad_emi!K$40</f>
        <v>5375.570248261638</v>
      </c>
      <c r="L80" s="102">
        <f>TrRoad_emi!L$40</f>
        <v>5938.3543273892055</v>
      </c>
      <c r="M80" s="102">
        <f>TrRoad_emi!M$40</f>
        <v>5386.6496868992299</v>
      </c>
      <c r="N80" s="102">
        <f>TrRoad_emi!N$40</f>
        <v>5510.2994726631368</v>
      </c>
      <c r="O80" s="102">
        <f>TrRoad_emi!O$40</f>
        <v>6503.4697684426019</v>
      </c>
      <c r="P80" s="102">
        <f>TrRoad_emi!P$40</f>
        <v>6100.8341687106486</v>
      </c>
      <c r="Q80" s="102">
        <f>TrRoad_emi!Q$40</f>
        <v>6261.8340764730929</v>
      </c>
      <c r="R80" s="102">
        <f>TrRoad_emi!R$40</f>
        <v>6557.3988474272437</v>
      </c>
      <c r="S80" s="102">
        <f>TrRoad_emi!S$40</f>
        <v>6841.8091419835127</v>
      </c>
      <c r="T80" s="102">
        <f>TrRoad_emi!T$40</f>
        <v>7042.8499146394297</v>
      </c>
      <c r="U80" s="102">
        <f>TrRoad_emi!U$40</f>
        <v>7233.8343353303799</v>
      </c>
      <c r="V80" s="102">
        <f>TrRoad_emi!V$40</f>
        <v>6806.0815615349329</v>
      </c>
      <c r="W80" s="102">
        <f>TrRoad_emi!W$40</f>
        <v>7104.2651349160387</v>
      </c>
      <c r="X80" s="102">
        <f>TrRoad_emi!X$40</f>
        <v>5954.2505405914735</v>
      </c>
      <c r="Y80" s="102">
        <f>TrRoad_emi!Y$40</f>
        <v>5320.8988051833985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41.132260459875155</v>
      </c>
      <c r="C81" s="110">
        <f>TrRail_emi!C$15</f>
        <v>40.856504060297127</v>
      </c>
      <c r="D81" s="110">
        <f>TrRail_emi!D$15</f>
        <v>42.237630215604028</v>
      </c>
      <c r="E81" s="110">
        <f>TrRail_emi!E$15</f>
        <v>42.253310827414175</v>
      </c>
      <c r="F81" s="110">
        <f>TrRail_emi!F$15</f>
        <v>46.879076522364237</v>
      </c>
      <c r="G81" s="110">
        <f>TrRail_emi!G$15</f>
        <v>47.546981465913795</v>
      </c>
      <c r="H81" s="110">
        <f>TrRail_emi!H$15</f>
        <v>52.821235695995533</v>
      </c>
      <c r="I81" s="110">
        <f>TrRail_emi!I$15</f>
        <v>52.577781919932072</v>
      </c>
      <c r="J81" s="110">
        <f>TrRail_emi!J$15</f>
        <v>33.597603287518368</v>
      </c>
      <c r="K81" s="110">
        <f>TrRail_emi!K$15</f>
        <v>26.014971521869768</v>
      </c>
      <c r="L81" s="110">
        <f>TrRail_emi!L$15</f>
        <v>26.084633421594944</v>
      </c>
      <c r="M81" s="110">
        <f>TrRail_emi!M$15</f>
        <v>22.133393227633949</v>
      </c>
      <c r="N81" s="110">
        <f>TrRail_emi!N$15</f>
        <v>21.415887548130641</v>
      </c>
      <c r="O81" s="110">
        <f>TrRail_emi!O$15</f>
        <v>17.478247775188912</v>
      </c>
      <c r="P81" s="110">
        <f>TrRail_emi!P$15</f>
        <v>19.931023304528722</v>
      </c>
      <c r="Q81" s="110">
        <f>TrRail_emi!Q$15</f>
        <v>15.798352135640952</v>
      </c>
      <c r="R81" s="110">
        <f>TrRail_emi!R$15</f>
        <v>15.308311086000048</v>
      </c>
      <c r="S81" s="110">
        <f>TrRail_emi!S$15</f>
        <v>17.339198046362124</v>
      </c>
      <c r="T81" s="110">
        <f>TrRail_emi!T$15</f>
        <v>14.649755145847093</v>
      </c>
      <c r="U81" s="110">
        <f>TrRail_emi!U$15</f>
        <v>16.493495672355646</v>
      </c>
      <c r="V81" s="110">
        <f>TrRail_emi!V$15</f>
        <v>47.180769031276633</v>
      </c>
      <c r="W81" s="110">
        <f>TrRail_emi!W$15</f>
        <v>47.073358100737202</v>
      </c>
      <c r="X81" s="110">
        <f>TrRail_emi!X$15</f>
        <v>46.740844189447273</v>
      </c>
      <c r="Y81" s="110">
        <f>TrRail_emi!Y$15</f>
        <v>24.053170297037852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26.973074166757776</v>
      </c>
      <c r="C82" s="110">
        <f t="shared" si="67"/>
        <v>22.970688326470139</v>
      </c>
      <c r="D82" s="110">
        <f t="shared" si="67"/>
        <v>26.657145432085784</v>
      </c>
      <c r="E82" s="110">
        <f t="shared" si="67"/>
        <v>25.263945779816392</v>
      </c>
      <c r="F82" s="110">
        <f t="shared" si="67"/>
        <v>37.705501772458703</v>
      </c>
      <c r="G82" s="110">
        <f t="shared" si="67"/>
        <v>46.300225083507804</v>
      </c>
      <c r="H82" s="110">
        <f t="shared" si="67"/>
        <v>50.371075956769111</v>
      </c>
      <c r="I82" s="110">
        <f t="shared" si="67"/>
        <v>46.846048890385077</v>
      </c>
      <c r="J82" s="110">
        <f t="shared" si="67"/>
        <v>43.4434800116275</v>
      </c>
      <c r="K82" s="110">
        <f t="shared" si="67"/>
        <v>36.264382762809461</v>
      </c>
      <c r="L82" s="110">
        <f t="shared" si="67"/>
        <v>41.19914034903222</v>
      </c>
      <c r="M82" s="110">
        <f t="shared" si="67"/>
        <v>51.347200441559536</v>
      </c>
      <c r="N82" s="110">
        <f t="shared" si="67"/>
        <v>52.397519068818845</v>
      </c>
      <c r="O82" s="110">
        <f t="shared" si="67"/>
        <v>57.073089838920609</v>
      </c>
      <c r="P82" s="110">
        <f t="shared" si="67"/>
        <v>60.785191794333514</v>
      </c>
      <c r="Q82" s="110">
        <f t="shared" si="67"/>
        <v>71.941304035578256</v>
      </c>
      <c r="R82" s="110">
        <f t="shared" si="67"/>
        <v>74.750639016390792</v>
      </c>
      <c r="S82" s="110">
        <f t="shared" si="67"/>
        <v>82.338776082235427</v>
      </c>
      <c r="T82" s="110">
        <f t="shared" si="67"/>
        <v>96.115013542913701</v>
      </c>
      <c r="U82" s="110">
        <f t="shared" si="67"/>
        <v>101.83260794222554</v>
      </c>
      <c r="V82" s="110">
        <f t="shared" si="67"/>
        <v>50.147561325984341</v>
      </c>
      <c r="W82" s="110">
        <f t="shared" ref="W82:Y82" si="68">W83+W84+W85</f>
        <v>55.925067406139995</v>
      </c>
      <c r="X82" s="110">
        <f t="shared" si="68"/>
        <v>55.354271646183584</v>
      </c>
      <c r="Y82" s="110">
        <f t="shared" si="68"/>
        <v>63.552702022854973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0.58373520045079708</v>
      </c>
      <c r="C83" s="102">
        <f>TrAvia_emi!C$11</f>
        <v>0.38053844893081284</v>
      </c>
      <c r="D83" s="102">
        <f>TrAvia_emi!D$11</f>
        <v>0.36492852646878166</v>
      </c>
      <c r="E83" s="102">
        <f>TrAvia_emi!E$11</f>
        <v>0.37074629559943006</v>
      </c>
      <c r="F83" s="102">
        <f>TrAvia_emi!F$11</f>
        <v>0.52023389495559091</v>
      </c>
      <c r="G83" s="102">
        <f>TrAvia_emi!G$11</f>
        <v>0.54198359728971546</v>
      </c>
      <c r="H83" s="102">
        <f>TrAvia_emi!H$11</f>
        <v>0.56382779611064826</v>
      </c>
      <c r="I83" s="102">
        <f>TrAvia_emi!I$11</f>
        <v>0.4991659649155098</v>
      </c>
      <c r="J83" s="102">
        <f>TrAvia_emi!J$11</f>
        <v>0.4993403955413277</v>
      </c>
      <c r="K83" s="102">
        <f>TrAvia_emi!K$11</f>
        <v>0.46613281344486396</v>
      </c>
      <c r="L83" s="102">
        <f>TrAvia_emi!L$11</f>
        <v>0.3779732415849143</v>
      </c>
      <c r="M83" s="102">
        <f>TrAvia_emi!M$11</f>
        <v>0.34764870091737682</v>
      </c>
      <c r="N83" s="102">
        <f>TrAvia_emi!N$11</f>
        <v>0.23744508926047186</v>
      </c>
      <c r="O83" s="102">
        <f>TrAvia_emi!O$11</f>
        <v>0.18641391910775795</v>
      </c>
      <c r="P83" s="102">
        <f>TrAvia_emi!P$11</f>
        <v>0.12477169966404036</v>
      </c>
      <c r="Q83" s="102">
        <f>TrAvia_emi!Q$11</f>
        <v>0.13186297113727938</v>
      </c>
      <c r="R83" s="102">
        <f>TrAvia_emi!R$11</f>
        <v>8.0392426531964586E-2</v>
      </c>
      <c r="S83" s="102">
        <f>TrAvia_emi!S$11</f>
        <v>6.1871612024955253E-2</v>
      </c>
      <c r="T83" s="102">
        <f>TrAvia_emi!T$11</f>
        <v>6.5466001170175064E-2</v>
      </c>
      <c r="U83" s="102">
        <f>TrAvia_emi!U$11</f>
        <v>1.4821454210683958E-2</v>
      </c>
      <c r="V83" s="102">
        <f>TrAvia_emi!V$11</f>
        <v>1.4345591891399662E-2</v>
      </c>
      <c r="W83" s="102">
        <f>TrAvia_emi!W$11</f>
        <v>1.8473084152811532E-2</v>
      </c>
      <c r="X83" s="102">
        <f>TrAvia_emi!X$11</f>
        <v>1.3055688446009614E-2</v>
      </c>
      <c r="Y83" s="102">
        <f>TrAvia_emi!Y$11</f>
        <v>1.2959318075145252E-2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15.521124363770786</v>
      </c>
      <c r="C84" s="102">
        <f>TrAvia_emi!C$12</f>
        <v>13.662226855416337</v>
      </c>
      <c r="D84" s="102">
        <f>TrAvia_emi!D$12</f>
        <v>16.688126547108066</v>
      </c>
      <c r="E84" s="102">
        <f>TrAvia_emi!E$12</f>
        <v>15.647269963428386</v>
      </c>
      <c r="F84" s="102">
        <f>TrAvia_emi!F$12</f>
        <v>26.248938201753027</v>
      </c>
      <c r="G84" s="102">
        <f>TrAvia_emi!G$12</f>
        <v>30.489046870152539</v>
      </c>
      <c r="H84" s="102">
        <f>TrAvia_emi!H$12</f>
        <v>34.487698962275616</v>
      </c>
      <c r="I84" s="102">
        <f>TrAvia_emi!I$12</f>
        <v>30.992118036814773</v>
      </c>
      <c r="J84" s="102">
        <f>TrAvia_emi!J$12</f>
        <v>28.595225228777515</v>
      </c>
      <c r="K84" s="102">
        <f>TrAvia_emi!K$12</f>
        <v>24.919741328219438</v>
      </c>
      <c r="L84" s="102">
        <f>TrAvia_emi!L$12</f>
        <v>28.611678721322093</v>
      </c>
      <c r="M84" s="102">
        <f>TrAvia_emi!M$12</f>
        <v>31.211041755579839</v>
      </c>
      <c r="N84" s="102">
        <f>TrAvia_emi!N$12</f>
        <v>27.256265200505787</v>
      </c>
      <c r="O84" s="102">
        <f>TrAvia_emi!O$12</f>
        <v>29.421948445348242</v>
      </c>
      <c r="P84" s="102">
        <f>TrAvia_emi!P$12</f>
        <v>31.746186498000181</v>
      </c>
      <c r="Q84" s="102">
        <f>TrAvia_emi!Q$12</f>
        <v>30.094419491308511</v>
      </c>
      <c r="R84" s="102">
        <f>TrAvia_emi!R$12</f>
        <v>27.210532904946245</v>
      </c>
      <c r="S84" s="102">
        <f>TrAvia_emi!S$12</f>
        <v>31.930565896615068</v>
      </c>
      <c r="T84" s="102">
        <f>TrAvia_emi!T$12</f>
        <v>32.56030233465453</v>
      </c>
      <c r="U84" s="102">
        <f>TrAvia_emi!U$12</f>
        <v>33.883880558812926</v>
      </c>
      <c r="V84" s="102">
        <f>TrAvia_emi!V$12</f>
        <v>27.082544447333245</v>
      </c>
      <c r="W84" s="102">
        <f>TrAvia_emi!W$12</f>
        <v>37.705498390051737</v>
      </c>
      <c r="X84" s="102">
        <f>TrAvia_emi!X$12</f>
        <v>35.285471129448979</v>
      </c>
      <c r="Y84" s="102">
        <f>TrAvia_emi!Y$12</f>
        <v>39.734015503804407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10.868214602536193</v>
      </c>
      <c r="C85" s="102">
        <f>TrAvia_emi!C$13</f>
        <v>8.9279230221229895</v>
      </c>
      <c r="D85" s="102">
        <f>TrAvia_emi!D$13</f>
        <v>9.6040903585089392</v>
      </c>
      <c r="E85" s="102">
        <f>TrAvia_emi!E$13</f>
        <v>9.2459295207885752</v>
      </c>
      <c r="F85" s="102">
        <f>TrAvia_emi!F$13</f>
        <v>10.936329675750081</v>
      </c>
      <c r="G85" s="102">
        <f>TrAvia_emi!G$13</f>
        <v>15.269194616065553</v>
      </c>
      <c r="H85" s="102">
        <f>TrAvia_emi!H$13</f>
        <v>15.319549198382845</v>
      </c>
      <c r="I85" s="102">
        <f>TrAvia_emi!I$13</f>
        <v>15.354764888654799</v>
      </c>
      <c r="J85" s="102">
        <f>TrAvia_emi!J$13</f>
        <v>14.34891438730866</v>
      </c>
      <c r="K85" s="102">
        <f>TrAvia_emi!K$13</f>
        <v>10.878508621145158</v>
      </c>
      <c r="L85" s="102">
        <f>TrAvia_emi!L$13</f>
        <v>12.209488386125214</v>
      </c>
      <c r="M85" s="102">
        <f>TrAvia_emi!M$13</f>
        <v>19.788509985062323</v>
      </c>
      <c r="N85" s="102">
        <f>TrAvia_emi!N$13</f>
        <v>24.903808779052586</v>
      </c>
      <c r="O85" s="102">
        <f>TrAvia_emi!O$13</f>
        <v>27.46472747446461</v>
      </c>
      <c r="P85" s="102">
        <f>TrAvia_emi!P$13</f>
        <v>28.914233596669295</v>
      </c>
      <c r="Q85" s="102">
        <f>TrAvia_emi!Q$13</f>
        <v>41.715021573132468</v>
      </c>
      <c r="R85" s="102">
        <f>TrAvia_emi!R$13</f>
        <v>47.459713684912579</v>
      </c>
      <c r="S85" s="102">
        <f>TrAvia_emi!S$13</f>
        <v>50.346338573595403</v>
      </c>
      <c r="T85" s="102">
        <f>TrAvia_emi!T$13</f>
        <v>63.489245207088999</v>
      </c>
      <c r="U85" s="102">
        <f>TrAvia_emi!U$13</f>
        <v>67.933905929201927</v>
      </c>
      <c r="V85" s="102">
        <f>TrAvia_emi!V$13</f>
        <v>23.050671286759702</v>
      </c>
      <c r="W85" s="102">
        <f>TrAvia_emi!W$13</f>
        <v>18.201095931935448</v>
      </c>
      <c r="X85" s="102">
        <f>TrAvia_emi!X$13</f>
        <v>20.055744828288596</v>
      </c>
      <c r="Y85" s="102">
        <f>TrAvia_emi!Y$13</f>
        <v>23.805727200975419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107.17253856000001</v>
      </c>
      <c r="C86" s="110">
        <f t="shared" si="69"/>
        <v>113.51529108</v>
      </c>
      <c r="D86" s="110">
        <f t="shared" si="69"/>
        <v>119.85831035999998</v>
      </c>
      <c r="E86" s="110">
        <f t="shared" si="69"/>
        <v>107.17253856000001</v>
      </c>
      <c r="F86" s="110">
        <f t="shared" si="69"/>
        <v>129.37257252000001</v>
      </c>
      <c r="G86" s="110">
        <f t="shared" si="69"/>
        <v>128.33273231999999</v>
      </c>
      <c r="H86" s="110">
        <f t="shared" si="69"/>
        <v>121.74699167999999</v>
      </c>
      <c r="I86" s="110">
        <f t="shared" si="69"/>
        <v>125.30242835999999</v>
      </c>
      <c r="J86" s="110">
        <f t="shared" si="69"/>
        <v>118.59740064000002</v>
      </c>
      <c r="K86" s="110">
        <f t="shared" si="69"/>
        <v>110.47366223999998</v>
      </c>
      <c r="L86" s="110">
        <f t="shared" si="69"/>
        <v>122.23789379999999</v>
      </c>
      <c r="M86" s="110">
        <f t="shared" si="69"/>
        <v>117.91434707999997</v>
      </c>
      <c r="N86" s="110">
        <f t="shared" si="69"/>
        <v>113.94801251999996</v>
      </c>
      <c r="O86" s="110">
        <f t="shared" si="69"/>
        <v>121.28406696</v>
      </c>
      <c r="P86" s="110">
        <f t="shared" si="69"/>
        <v>123.20443331999998</v>
      </c>
      <c r="Q86" s="110">
        <f t="shared" si="69"/>
        <v>114.60755555999998</v>
      </c>
      <c r="R86" s="110">
        <f t="shared" ref="R86:V86" si="70">R87+R88</f>
        <v>121.30477164</v>
      </c>
      <c r="S86" s="110">
        <f t="shared" si="70"/>
        <v>126.47752451999999</v>
      </c>
      <c r="T86" s="110">
        <f t="shared" si="70"/>
        <v>118.31538024000001</v>
      </c>
      <c r="U86" s="110">
        <f t="shared" si="70"/>
        <v>133.35790751999997</v>
      </c>
      <c r="V86" s="110">
        <f t="shared" si="70"/>
        <v>66.501990359999994</v>
      </c>
      <c r="W86" s="110">
        <f t="shared" ref="W86:Y86" si="71">W87+W88</f>
        <v>97.97007456</v>
      </c>
      <c r="X86" s="110">
        <f t="shared" si="71"/>
        <v>104.71185684000001</v>
      </c>
      <c r="Y86" s="110">
        <f t="shared" si="71"/>
        <v>105.24230207999999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X87" s="102">
        <f>TrNavi_emi!X$4</f>
        <v>0</v>
      </c>
      <c r="Y87" s="102">
        <f>TrNavi_emi!Y$4</f>
        <v>0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107.17253856000001</v>
      </c>
      <c r="C88" s="169">
        <f>TrNavi_emi!C$5</f>
        <v>113.51529108</v>
      </c>
      <c r="D88" s="169">
        <f>TrNavi_emi!D$5</f>
        <v>119.85831035999998</v>
      </c>
      <c r="E88" s="169">
        <f>TrNavi_emi!E$5</f>
        <v>107.17253856000001</v>
      </c>
      <c r="F88" s="169">
        <f>TrNavi_emi!F$5</f>
        <v>129.37257252000001</v>
      </c>
      <c r="G88" s="169">
        <f>TrNavi_emi!G$5</f>
        <v>128.33273231999999</v>
      </c>
      <c r="H88" s="169">
        <f>TrNavi_emi!H$5</f>
        <v>121.74699167999999</v>
      </c>
      <c r="I88" s="169">
        <f>TrNavi_emi!I$5</f>
        <v>125.30242835999999</v>
      </c>
      <c r="J88" s="169">
        <f>TrNavi_emi!J$5</f>
        <v>118.59740064000002</v>
      </c>
      <c r="K88" s="169">
        <f>TrNavi_emi!K$5</f>
        <v>110.47366223999998</v>
      </c>
      <c r="L88" s="169">
        <f>TrNavi_emi!L$5</f>
        <v>122.23789379999999</v>
      </c>
      <c r="M88" s="169">
        <f>TrNavi_emi!M$5</f>
        <v>117.91434707999997</v>
      </c>
      <c r="N88" s="169">
        <f>TrNavi_emi!N$5</f>
        <v>113.94801251999996</v>
      </c>
      <c r="O88" s="169">
        <f>TrNavi_emi!O$5</f>
        <v>121.28406696</v>
      </c>
      <c r="P88" s="169">
        <f>TrNavi_emi!P$5</f>
        <v>123.20443331999998</v>
      </c>
      <c r="Q88" s="169">
        <f>TrNavi_emi!Q$5</f>
        <v>114.60755555999998</v>
      </c>
      <c r="R88" s="169">
        <f>TrNavi_emi!R$5</f>
        <v>121.30477164</v>
      </c>
      <c r="S88" s="169">
        <f>TrNavi_emi!S$5</f>
        <v>126.47752451999999</v>
      </c>
      <c r="T88" s="169">
        <f>TrNavi_emi!T$5</f>
        <v>118.31538024000001</v>
      </c>
      <c r="U88" s="169">
        <f>TrNavi_emi!U$5</f>
        <v>133.35790751999997</v>
      </c>
      <c r="V88" s="169">
        <f>TrNavi_emi!V$5</f>
        <v>66.501990359999994</v>
      </c>
      <c r="W88" s="169">
        <f>TrNavi_emi!W$5</f>
        <v>97.97007456</v>
      </c>
      <c r="X88" s="169">
        <f>TrNavi_emi!X$5</f>
        <v>104.71185684000001</v>
      </c>
      <c r="Y88" s="169">
        <f>TrNavi_emi!Y$5</f>
        <v>105.24230207999999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X89" s="28">
        <f t="shared" ref="X89:Y89" si="73">X90+X91</f>
        <v>0</v>
      </c>
      <c r="Y89" s="28">
        <f t="shared" si="73"/>
        <v>0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X90" s="102">
        <f>MBunk_emi!X$4</f>
        <v>0</v>
      </c>
      <c r="Y90" s="102">
        <f>MBunk_emi!Y$4</f>
        <v>0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X91" s="86">
        <f>MBunk_emi!X$5</f>
        <v>0</v>
      </c>
      <c r="Y91" s="86">
        <f>MBunk_emi!Y$5</f>
        <v>0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0.7318648984787044</v>
      </c>
      <c r="C97" s="139">
        <f t="shared" si="75"/>
        <v>0.73214799692240662</v>
      </c>
      <c r="D97" s="139">
        <f t="shared" si="75"/>
        <v>0.72939070734592493</v>
      </c>
      <c r="E97" s="139">
        <f t="shared" si="75"/>
        <v>0.7300898672763988</v>
      </c>
      <c r="F97" s="139">
        <f t="shared" si="75"/>
        <v>0.71690935933712119</v>
      </c>
      <c r="G97" s="139">
        <f t="shared" si="75"/>
        <v>0.70654629069824859</v>
      </c>
      <c r="H97" s="139">
        <f t="shared" si="75"/>
        <v>0.70792675311291842</v>
      </c>
      <c r="I97" s="139">
        <f t="shared" si="75"/>
        <v>0.70677713263239705</v>
      </c>
      <c r="J97" s="139">
        <f t="shared" si="75"/>
        <v>0.70180650559560676</v>
      </c>
      <c r="K97" s="139">
        <f t="shared" si="75"/>
        <v>0.71089664815216747</v>
      </c>
      <c r="L97" s="139">
        <f t="shared" si="75"/>
        <v>0.70538143194394076</v>
      </c>
      <c r="M97" s="139">
        <f t="shared" si="75"/>
        <v>0.70064822926951753</v>
      </c>
      <c r="N97" s="139">
        <f t="shared" si="75"/>
        <v>0.69467425834802388</v>
      </c>
      <c r="O97" s="139">
        <f t="shared" si="75"/>
        <v>0.69244410119372612</v>
      </c>
      <c r="P97" s="139">
        <f t="shared" si="75"/>
        <v>0.6898791763807034</v>
      </c>
      <c r="Q97" s="139">
        <f t="shared" si="75"/>
        <v>0.69020611706646695</v>
      </c>
      <c r="R97" s="139">
        <f t="shared" si="75"/>
        <v>0.69373180501512466</v>
      </c>
      <c r="S97" s="139">
        <f t="shared" si="75"/>
        <v>0.69259628387368133</v>
      </c>
      <c r="T97" s="139">
        <f t="shared" si="75"/>
        <v>0.67411801651093584</v>
      </c>
      <c r="U97" s="139">
        <f t="shared" si="75"/>
        <v>0.65172201650764516</v>
      </c>
      <c r="V97" s="139">
        <f t="shared" si="75"/>
        <v>0.79094480671224288</v>
      </c>
      <c r="W97" s="139">
        <f t="shared" si="75"/>
        <v>0.78159550018826429</v>
      </c>
      <c r="X97" s="139">
        <f t="shared" si="75"/>
        <v>0.68994408544704311</v>
      </c>
      <c r="Y97" s="139">
        <f t="shared" si="75"/>
        <v>0.6521545859847343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9.8185573056572828E-3</v>
      </c>
      <c r="C98" s="140">
        <f t="shared" si="76"/>
        <v>1.0070870274911105E-2</v>
      </c>
      <c r="D98" s="140">
        <f t="shared" si="76"/>
        <v>1.0252944749265037E-2</v>
      </c>
      <c r="E98" s="140">
        <f t="shared" si="76"/>
        <v>1.0406635768490002E-2</v>
      </c>
      <c r="F98" s="140">
        <f t="shared" si="76"/>
        <v>1.0683978051313167E-2</v>
      </c>
      <c r="G98" s="140">
        <f t="shared" si="76"/>
        <v>1.0704985910379211E-2</v>
      </c>
      <c r="H98" s="140">
        <f t="shared" si="76"/>
        <v>1.1004291900136225E-2</v>
      </c>
      <c r="I98" s="140">
        <f t="shared" si="76"/>
        <v>1.1259885136524428E-2</v>
      </c>
      <c r="J98" s="140">
        <f t="shared" si="76"/>
        <v>1.1514497340292357E-2</v>
      </c>
      <c r="K98" s="140">
        <f t="shared" si="76"/>
        <v>1.2347154980119056E-2</v>
      </c>
      <c r="L98" s="140">
        <f t="shared" si="76"/>
        <v>1.2467434030524296E-2</v>
      </c>
      <c r="M98" s="140">
        <f t="shared" si="76"/>
        <v>1.2590684193219849E-2</v>
      </c>
      <c r="N98" s="140">
        <f t="shared" si="76"/>
        <v>1.3077864545200546E-2</v>
      </c>
      <c r="O98" s="140">
        <f t="shared" si="76"/>
        <v>1.317582819907963E-2</v>
      </c>
      <c r="P98" s="140">
        <f t="shared" si="76"/>
        <v>1.3221663433507998E-2</v>
      </c>
      <c r="Q98" s="140">
        <f t="shared" si="76"/>
        <v>1.3422891907023555E-2</v>
      </c>
      <c r="R98" s="140">
        <f t="shared" si="76"/>
        <v>1.3527585681571676E-2</v>
      </c>
      <c r="S98" s="140">
        <f t="shared" si="76"/>
        <v>1.2537606750163199E-2</v>
      </c>
      <c r="T98" s="140">
        <f t="shared" si="76"/>
        <v>1.1527530822038723E-2</v>
      </c>
      <c r="U98" s="140">
        <f t="shared" si="76"/>
        <v>1.1763011371830846E-2</v>
      </c>
      <c r="V98" s="140">
        <f t="shared" si="76"/>
        <v>1.5515565809647041E-2</v>
      </c>
      <c r="W98" s="140">
        <f t="shared" si="76"/>
        <v>1.490803299188238E-2</v>
      </c>
      <c r="X98" s="140">
        <f t="shared" si="76"/>
        <v>1.2309429498714025E-2</v>
      </c>
      <c r="Y98" s="140">
        <f t="shared" si="76"/>
        <v>1.2233026489146764E-2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0.63262227435202834</v>
      </c>
      <c r="C99" s="140">
        <f t="shared" si="77"/>
        <v>0.63330715689134409</v>
      </c>
      <c r="D99" s="140">
        <f t="shared" si="77"/>
        <v>0.63159336791711373</v>
      </c>
      <c r="E99" s="140">
        <f t="shared" si="77"/>
        <v>0.63150457833406659</v>
      </c>
      <c r="F99" s="140">
        <f t="shared" si="77"/>
        <v>0.61987732207918811</v>
      </c>
      <c r="G99" s="140">
        <f t="shared" si="77"/>
        <v>0.61198437232322478</v>
      </c>
      <c r="H99" s="140">
        <f t="shared" si="77"/>
        <v>0.61177777960589363</v>
      </c>
      <c r="I99" s="140">
        <f t="shared" si="77"/>
        <v>0.61014892291005651</v>
      </c>
      <c r="J99" s="140">
        <f t="shared" si="77"/>
        <v>0.60886754442693836</v>
      </c>
      <c r="K99" s="140">
        <f t="shared" si="77"/>
        <v>0.62337312893158836</v>
      </c>
      <c r="L99" s="140">
        <f t="shared" si="77"/>
        <v>0.61667106865651877</v>
      </c>
      <c r="M99" s="140">
        <f t="shared" si="77"/>
        <v>0.61133100330335322</v>
      </c>
      <c r="N99" s="140">
        <f t="shared" si="77"/>
        <v>0.60632106290610166</v>
      </c>
      <c r="O99" s="140">
        <f t="shared" si="77"/>
        <v>0.60470318229552034</v>
      </c>
      <c r="P99" s="140">
        <f t="shared" si="77"/>
        <v>0.60239597766657771</v>
      </c>
      <c r="Q99" s="140">
        <f t="shared" si="77"/>
        <v>0.60298605102960701</v>
      </c>
      <c r="R99" s="140">
        <f t="shared" si="77"/>
        <v>0.60579221856866461</v>
      </c>
      <c r="S99" s="140">
        <f t="shared" si="77"/>
        <v>0.60498352511224252</v>
      </c>
      <c r="T99" s="140">
        <f t="shared" si="77"/>
        <v>0.59383529791808387</v>
      </c>
      <c r="U99" s="140">
        <f t="shared" si="77"/>
        <v>0.57471133989256717</v>
      </c>
      <c r="V99" s="140">
        <f t="shared" si="77"/>
        <v>0.69683268660464071</v>
      </c>
      <c r="W99" s="140">
        <f t="shared" si="77"/>
        <v>0.69155428665768592</v>
      </c>
      <c r="X99" s="140">
        <f t="shared" si="77"/>
        <v>0.60404200235546057</v>
      </c>
      <c r="Y99" s="140">
        <f t="shared" si="77"/>
        <v>0.5694457258501715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8.9424066821018749E-2</v>
      </c>
      <c r="C100" s="140">
        <f t="shared" si="78"/>
        <v>8.8769969756151479E-2</v>
      </c>
      <c r="D100" s="140">
        <f t="shared" si="78"/>
        <v>8.7544394679546278E-2</v>
      </c>
      <c r="E100" s="140">
        <f t="shared" si="78"/>
        <v>8.8178653173842284E-2</v>
      </c>
      <c r="F100" s="140">
        <f t="shared" si="78"/>
        <v>8.6348059206619879E-2</v>
      </c>
      <c r="G100" s="140">
        <f t="shared" si="78"/>
        <v>8.3856932464644526E-2</v>
      </c>
      <c r="H100" s="140">
        <f t="shared" si="78"/>
        <v>8.5144681606888609E-2</v>
      </c>
      <c r="I100" s="140">
        <f t="shared" si="78"/>
        <v>8.536832458581603E-2</v>
      </c>
      <c r="J100" s="140">
        <f t="shared" si="78"/>
        <v>8.1424463828376065E-2</v>
      </c>
      <c r="K100" s="140">
        <f t="shared" si="78"/>
        <v>7.5176364240460036E-2</v>
      </c>
      <c r="L100" s="140">
        <f t="shared" si="78"/>
        <v>7.6242929256897643E-2</v>
      </c>
      <c r="M100" s="140">
        <f t="shared" si="78"/>
        <v>7.6726541772944579E-2</v>
      </c>
      <c r="N100" s="140">
        <f t="shared" si="78"/>
        <v>7.5275330896721587E-2</v>
      </c>
      <c r="O100" s="140">
        <f t="shared" si="78"/>
        <v>7.4565090699126216E-2</v>
      </c>
      <c r="P100" s="140">
        <f t="shared" si="78"/>
        <v>7.4261535280617602E-2</v>
      </c>
      <c r="Q100" s="140">
        <f t="shared" si="78"/>
        <v>7.3797174129836371E-2</v>
      </c>
      <c r="R100" s="140">
        <f t="shared" si="78"/>
        <v>7.4412000764888298E-2</v>
      </c>
      <c r="S100" s="140">
        <f t="shared" si="78"/>
        <v>7.5075152011275542E-2</v>
      </c>
      <c r="T100" s="140">
        <f t="shared" si="78"/>
        <v>6.875518777081327E-2</v>
      </c>
      <c r="U100" s="140">
        <f t="shared" si="78"/>
        <v>6.5247665243247141E-2</v>
      </c>
      <c r="V100" s="140">
        <f t="shared" si="78"/>
        <v>7.8596554297955257E-2</v>
      </c>
      <c r="W100" s="140">
        <f t="shared" si="78"/>
        <v>7.5133180538695915E-2</v>
      </c>
      <c r="X100" s="140">
        <f t="shared" si="78"/>
        <v>7.3592653592868457E-2</v>
      </c>
      <c r="Y100" s="140">
        <f t="shared" si="78"/>
        <v>7.0475833645416028E-2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0.13949111400747838</v>
      </c>
      <c r="C101" s="124">
        <f t="shared" si="79"/>
        <v>0.13983106016914842</v>
      </c>
      <c r="D101" s="124">
        <f t="shared" si="79"/>
        <v>0.13903625699687625</v>
      </c>
      <c r="E101" s="124">
        <f t="shared" si="79"/>
        <v>0.13665919195644194</v>
      </c>
      <c r="F101" s="124">
        <f t="shared" si="79"/>
        <v>0.13015565781845068</v>
      </c>
      <c r="G101" s="124">
        <f t="shared" si="79"/>
        <v>0.13116508073859273</v>
      </c>
      <c r="H101" s="124">
        <f t="shared" si="79"/>
        <v>0.13324223343493849</v>
      </c>
      <c r="I101" s="124">
        <f t="shared" si="79"/>
        <v>0.13381998546156601</v>
      </c>
      <c r="J101" s="124">
        <f t="shared" si="79"/>
        <v>0.14200079035175295</v>
      </c>
      <c r="K101" s="124">
        <f t="shared" si="79"/>
        <v>0.14587056324856426</v>
      </c>
      <c r="L101" s="124">
        <f t="shared" si="79"/>
        <v>0.14427046864672133</v>
      </c>
      <c r="M101" s="124">
        <f t="shared" si="79"/>
        <v>0.14611365971116311</v>
      </c>
      <c r="N101" s="124">
        <f t="shared" si="79"/>
        <v>0.1498323049629546</v>
      </c>
      <c r="O101" s="124">
        <f t="shared" si="79"/>
        <v>0.15350344913771155</v>
      </c>
      <c r="P101" s="124">
        <f t="shared" si="79"/>
        <v>0.14936169150344186</v>
      </c>
      <c r="Q101" s="124">
        <f t="shared" si="79"/>
        <v>0.14843193767100321</v>
      </c>
      <c r="R101" s="124">
        <f t="shared" si="79"/>
        <v>0.14821920386889101</v>
      </c>
      <c r="S101" s="124">
        <f t="shared" si="79"/>
        <v>0.14608280899012388</v>
      </c>
      <c r="T101" s="124">
        <f t="shared" si="79"/>
        <v>0.14498333561051011</v>
      </c>
      <c r="U101" s="124">
        <f t="shared" si="79"/>
        <v>0.14147372016480048</v>
      </c>
      <c r="V101" s="124">
        <f t="shared" si="79"/>
        <v>0.13393469218577719</v>
      </c>
      <c r="W101" s="124">
        <f t="shared" si="79"/>
        <v>0.13574313654995457</v>
      </c>
      <c r="X101" s="124">
        <f t="shared" si="79"/>
        <v>0.14753866804699464</v>
      </c>
      <c r="Y101" s="124">
        <f t="shared" si="79"/>
        <v>0.14872391337582044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5.6558236016389686E-2</v>
      </c>
      <c r="C102" s="140">
        <f t="shared" si="80"/>
        <v>5.7148297153541978E-2</v>
      </c>
      <c r="D102" s="140">
        <f t="shared" si="80"/>
        <v>5.7160813067122583E-2</v>
      </c>
      <c r="E102" s="140">
        <f t="shared" si="80"/>
        <v>5.7212942988946115E-2</v>
      </c>
      <c r="F102" s="140">
        <f t="shared" si="80"/>
        <v>5.6473054654641683E-2</v>
      </c>
      <c r="G102" s="140">
        <f t="shared" si="80"/>
        <v>5.5834458863680998E-2</v>
      </c>
      <c r="H102" s="140">
        <f t="shared" si="80"/>
        <v>5.6378653322157329E-2</v>
      </c>
      <c r="I102" s="140">
        <f t="shared" si="80"/>
        <v>5.6160898227696182E-2</v>
      </c>
      <c r="J102" s="140">
        <f t="shared" si="80"/>
        <v>5.5881204322143205E-2</v>
      </c>
      <c r="K102" s="140">
        <f t="shared" si="80"/>
        <v>5.8517018556462894E-2</v>
      </c>
      <c r="L102" s="140">
        <f t="shared" si="80"/>
        <v>5.8095186809112048E-2</v>
      </c>
      <c r="M102" s="140">
        <f t="shared" si="80"/>
        <v>5.7609630970124177E-2</v>
      </c>
      <c r="N102" s="140">
        <f t="shared" si="80"/>
        <v>5.8160549395657339E-2</v>
      </c>
      <c r="O102" s="140">
        <f t="shared" si="80"/>
        <v>5.8207589392685805E-2</v>
      </c>
      <c r="P102" s="140">
        <f t="shared" si="80"/>
        <v>5.5133008104184957E-2</v>
      </c>
      <c r="Q102" s="140">
        <f t="shared" si="80"/>
        <v>5.5275442341313298E-2</v>
      </c>
      <c r="R102" s="140">
        <f t="shared" si="80"/>
        <v>5.4109646556453117E-2</v>
      </c>
      <c r="S102" s="140">
        <f t="shared" si="80"/>
        <v>5.3169728662681395E-2</v>
      </c>
      <c r="T102" s="140">
        <f t="shared" si="80"/>
        <v>5.132991381274063E-2</v>
      </c>
      <c r="U102" s="140">
        <f t="shared" si="80"/>
        <v>5.0556513570350153E-2</v>
      </c>
      <c r="V102" s="140">
        <f t="shared" si="80"/>
        <v>5.9499912727498536E-2</v>
      </c>
      <c r="W102" s="140">
        <f t="shared" si="80"/>
        <v>5.7669954460830716E-2</v>
      </c>
      <c r="X102" s="140">
        <f t="shared" si="80"/>
        <v>4.9808336999438665E-2</v>
      </c>
      <c r="Y102" s="140">
        <f t="shared" si="80"/>
        <v>4.7755626105466846E-2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8.2932877991088699E-2</v>
      </c>
      <c r="C103" s="140">
        <f t="shared" si="81"/>
        <v>8.2682763015606453E-2</v>
      </c>
      <c r="D103" s="140">
        <f t="shared" si="81"/>
        <v>8.1875443929753655E-2</v>
      </c>
      <c r="E103" s="140">
        <f t="shared" si="81"/>
        <v>7.9446248967495817E-2</v>
      </c>
      <c r="F103" s="140">
        <f t="shared" si="81"/>
        <v>7.3682603163809007E-2</v>
      </c>
      <c r="G103" s="140">
        <f t="shared" si="81"/>
        <v>7.5330621874911741E-2</v>
      </c>
      <c r="H103" s="140">
        <f t="shared" si="81"/>
        <v>7.686358011278116E-2</v>
      </c>
      <c r="I103" s="140">
        <f t="shared" si="81"/>
        <v>7.6011112916911178E-2</v>
      </c>
      <c r="J103" s="140">
        <f t="shared" si="81"/>
        <v>8.4289185553659843E-2</v>
      </c>
      <c r="K103" s="140">
        <f t="shared" si="81"/>
        <v>8.5496917446757234E-2</v>
      </c>
      <c r="L103" s="140">
        <f t="shared" si="81"/>
        <v>8.4386124476190136E-2</v>
      </c>
      <c r="M103" s="140">
        <f t="shared" si="81"/>
        <v>8.4690309684379628E-2</v>
      </c>
      <c r="N103" s="140">
        <f t="shared" si="81"/>
        <v>8.7768376826828448E-2</v>
      </c>
      <c r="O103" s="140">
        <f t="shared" si="81"/>
        <v>9.1212489873470665E-2</v>
      </c>
      <c r="P103" s="140">
        <f t="shared" si="81"/>
        <v>9.0191041387753773E-2</v>
      </c>
      <c r="Q103" s="140">
        <f t="shared" si="81"/>
        <v>8.9158290079212443E-2</v>
      </c>
      <c r="R103" s="140">
        <f t="shared" si="81"/>
        <v>8.9756283308183804E-2</v>
      </c>
      <c r="S103" s="140">
        <f t="shared" si="81"/>
        <v>8.8643146836729553E-2</v>
      </c>
      <c r="T103" s="140">
        <f t="shared" si="81"/>
        <v>8.9348686159580304E-2</v>
      </c>
      <c r="U103" s="140">
        <f t="shared" si="81"/>
        <v>8.6804478103801999E-2</v>
      </c>
      <c r="V103" s="140">
        <f t="shared" si="81"/>
        <v>7.1062845450359471E-2</v>
      </c>
      <c r="W103" s="140">
        <f t="shared" si="81"/>
        <v>7.4533901658883378E-2</v>
      </c>
      <c r="X103" s="140">
        <f t="shared" si="81"/>
        <v>9.3277684574716621E-2</v>
      </c>
      <c r="Y103" s="140">
        <f t="shared" si="81"/>
        <v>9.6369767462810133E-2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1.647974316958655E-3</v>
      </c>
      <c r="J104" s="140">
        <f t="shared" si="82"/>
        <v>1.8304004759498998E-3</v>
      </c>
      <c r="K104" s="140">
        <f t="shared" si="82"/>
        <v>1.8566272453441539E-3</v>
      </c>
      <c r="L104" s="140">
        <f t="shared" si="82"/>
        <v>1.7891573614191357E-3</v>
      </c>
      <c r="M104" s="140">
        <f t="shared" si="82"/>
        <v>3.8137190566593145E-3</v>
      </c>
      <c r="N104" s="140">
        <f t="shared" si="82"/>
        <v>3.9033787404688203E-3</v>
      </c>
      <c r="O104" s="140">
        <f t="shared" si="82"/>
        <v>4.0833698715550719E-3</v>
      </c>
      <c r="P104" s="140">
        <f t="shared" si="82"/>
        <v>4.0376420115031432E-3</v>
      </c>
      <c r="Q104" s="140">
        <f t="shared" si="82"/>
        <v>3.9982052504774542E-3</v>
      </c>
      <c r="R104" s="140">
        <f t="shared" si="82"/>
        <v>4.3532740042540935E-3</v>
      </c>
      <c r="S104" s="140">
        <f t="shared" si="82"/>
        <v>4.2699334907129356E-3</v>
      </c>
      <c r="T104" s="140">
        <f t="shared" si="82"/>
        <v>4.3047356381891878E-3</v>
      </c>
      <c r="U104" s="140">
        <f t="shared" si="82"/>
        <v>4.1127284906483322E-3</v>
      </c>
      <c r="V104" s="140">
        <f t="shared" si="82"/>
        <v>3.3719340079191675E-3</v>
      </c>
      <c r="W104" s="140">
        <f t="shared" si="82"/>
        <v>3.5392804302404896E-3</v>
      </c>
      <c r="X104" s="140">
        <f t="shared" si="82"/>
        <v>4.45264647283932E-3</v>
      </c>
      <c r="Y104" s="140">
        <f t="shared" si="82"/>
        <v>4.5985198075434485E-3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0.12864398751381712</v>
      </c>
      <c r="C105" s="124">
        <f t="shared" si="83"/>
        <v>0.1280209429084449</v>
      </c>
      <c r="D105" s="124">
        <f t="shared" si="83"/>
        <v>0.1315730356571988</v>
      </c>
      <c r="E105" s="124">
        <f t="shared" si="83"/>
        <v>0.13325094076715918</v>
      </c>
      <c r="F105" s="124">
        <f t="shared" si="83"/>
        <v>0.15293498284442819</v>
      </c>
      <c r="G105" s="124">
        <f t="shared" si="83"/>
        <v>0.16228862856315862</v>
      </c>
      <c r="H105" s="124">
        <f t="shared" si="83"/>
        <v>0.15883101345214309</v>
      </c>
      <c r="I105" s="124">
        <f t="shared" si="83"/>
        <v>0.15940288190603691</v>
      </c>
      <c r="J105" s="124">
        <f t="shared" si="83"/>
        <v>0.15619270405264021</v>
      </c>
      <c r="K105" s="124">
        <f t="shared" si="83"/>
        <v>0.14323278859926827</v>
      </c>
      <c r="L105" s="124">
        <f t="shared" si="83"/>
        <v>0.15034809940933794</v>
      </c>
      <c r="M105" s="124">
        <f t="shared" si="83"/>
        <v>0.15323811101931939</v>
      </c>
      <c r="N105" s="124">
        <f t="shared" si="83"/>
        <v>0.15549343668902163</v>
      </c>
      <c r="O105" s="124">
        <f t="shared" si="83"/>
        <v>0.15405244966856235</v>
      </c>
      <c r="P105" s="124">
        <f t="shared" si="83"/>
        <v>0.16075913211585463</v>
      </c>
      <c r="Q105" s="124">
        <f t="shared" si="83"/>
        <v>0.16136194526252981</v>
      </c>
      <c r="R105" s="124">
        <f t="shared" si="83"/>
        <v>0.15804899111598442</v>
      </c>
      <c r="S105" s="124">
        <f t="shared" si="83"/>
        <v>0.16132090713619476</v>
      </c>
      <c r="T105" s="124">
        <f t="shared" si="83"/>
        <v>0.180898647878554</v>
      </c>
      <c r="U105" s="124">
        <f t="shared" si="83"/>
        <v>0.20680426332755428</v>
      </c>
      <c r="V105" s="124">
        <f t="shared" si="83"/>
        <v>7.5120501101979958E-2</v>
      </c>
      <c r="W105" s="124">
        <f t="shared" si="83"/>
        <v>8.2661363261781043E-2</v>
      </c>
      <c r="X105" s="124">
        <f t="shared" si="83"/>
        <v>0.16251724650596208</v>
      </c>
      <c r="Y105" s="124">
        <f t="shared" si="83"/>
        <v>0.19912150063944528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1.4967201038256427E-3</v>
      </c>
      <c r="C106" s="140">
        <f t="shared" si="84"/>
        <v>1.5257941638684778E-3</v>
      </c>
      <c r="D106" s="140">
        <f t="shared" si="84"/>
        <v>1.5313930377080492E-3</v>
      </c>
      <c r="E106" s="140">
        <f t="shared" si="84"/>
        <v>1.5532946612522845E-3</v>
      </c>
      <c r="F106" s="140">
        <f t="shared" si="84"/>
        <v>1.5755339784785684E-3</v>
      </c>
      <c r="G106" s="140">
        <f t="shared" si="84"/>
        <v>1.5331804432203399E-3</v>
      </c>
      <c r="H106" s="140">
        <f t="shared" si="84"/>
        <v>1.9176930289029163E-3</v>
      </c>
      <c r="I106" s="140">
        <f t="shared" si="84"/>
        <v>2.0270146486846131E-3</v>
      </c>
      <c r="J106" s="140">
        <f t="shared" si="84"/>
        <v>2.1179705629735903E-3</v>
      </c>
      <c r="K106" s="140">
        <f t="shared" si="84"/>
        <v>2.1718056941022255E-3</v>
      </c>
      <c r="L106" s="140">
        <f t="shared" si="84"/>
        <v>2.2999688883159636E-3</v>
      </c>
      <c r="M106" s="140">
        <f t="shared" si="84"/>
        <v>1.7601967554962774E-3</v>
      </c>
      <c r="N106" s="140">
        <f t="shared" si="84"/>
        <v>1.6275257484230697E-3</v>
      </c>
      <c r="O106" s="140">
        <f t="shared" si="84"/>
        <v>1.5352221460524294E-3</v>
      </c>
      <c r="P106" s="140">
        <f t="shared" si="84"/>
        <v>1.404261577954706E-3</v>
      </c>
      <c r="Q106" s="140">
        <f t="shared" si="84"/>
        <v>1.2540662087840999E-3</v>
      </c>
      <c r="R106" s="140">
        <f t="shared" si="84"/>
        <v>1.1780116666200492E-3</v>
      </c>
      <c r="S106" s="140">
        <f t="shared" si="84"/>
        <v>1.2420471704088125E-3</v>
      </c>
      <c r="T106" s="140">
        <f t="shared" si="84"/>
        <v>1.31357447591095E-3</v>
      </c>
      <c r="U106" s="140">
        <f t="shared" si="84"/>
        <v>1.2002347689570828E-3</v>
      </c>
      <c r="V106" s="140">
        <f t="shared" si="84"/>
        <v>4.5393131498623965E-4</v>
      </c>
      <c r="W106" s="140">
        <f t="shared" si="84"/>
        <v>3.0452228946416715E-4</v>
      </c>
      <c r="X106" s="140">
        <f t="shared" si="84"/>
        <v>5.4907825691958754E-4</v>
      </c>
      <c r="Y106" s="140">
        <f t="shared" si="84"/>
        <v>5.6968487527729963E-4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5.8379892202406726E-2</v>
      </c>
      <c r="C107" s="140">
        <f t="shared" si="85"/>
        <v>5.8022345506580503E-2</v>
      </c>
      <c r="D107" s="140">
        <f t="shared" si="85"/>
        <v>5.8445854787594204E-2</v>
      </c>
      <c r="E107" s="140">
        <f t="shared" si="85"/>
        <v>6.1135842005185903E-2</v>
      </c>
      <c r="F107" s="140">
        <f t="shared" si="85"/>
        <v>6.5854837857116752E-2</v>
      </c>
      <c r="G107" s="140">
        <f t="shared" si="85"/>
        <v>6.7229266738053253E-2</v>
      </c>
      <c r="H107" s="140">
        <f t="shared" si="85"/>
        <v>6.9157853834747041E-2</v>
      </c>
      <c r="I107" s="140">
        <f t="shared" si="85"/>
        <v>7.1300861037215252E-2</v>
      </c>
      <c r="J107" s="140">
        <f t="shared" si="85"/>
        <v>6.9367896230438236E-2</v>
      </c>
      <c r="K107" s="140">
        <f t="shared" si="85"/>
        <v>6.5062715972624807E-2</v>
      </c>
      <c r="L107" s="140">
        <f t="shared" si="85"/>
        <v>6.7620449393715712E-2</v>
      </c>
      <c r="M107" s="140">
        <f t="shared" si="85"/>
        <v>7.1359040652199696E-2</v>
      </c>
      <c r="N107" s="140">
        <f t="shared" si="85"/>
        <v>7.2594117869011349E-2</v>
      </c>
      <c r="O107" s="140">
        <f t="shared" si="85"/>
        <v>7.0637183357466243E-2</v>
      </c>
      <c r="P107" s="140">
        <f t="shared" si="85"/>
        <v>7.1584391372280273E-2</v>
      </c>
      <c r="Q107" s="140">
        <f t="shared" si="85"/>
        <v>7.183246730185916E-2</v>
      </c>
      <c r="R107" s="140">
        <f t="shared" si="85"/>
        <v>7.4109840025367801E-2</v>
      </c>
      <c r="S107" s="140">
        <f t="shared" si="85"/>
        <v>7.4695887355263543E-2</v>
      </c>
      <c r="T107" s="140">
        <f t="shared" si="85"/>
        <v>7.9572565115506783E-2</v>
      </c>
      <c r="U107" s="140">
        <f t="shared" si="85"/>
        <v>8.989756232116905E-2</v>
      </c>
      <c r="V107" s="140">
        <f t="shared" si="85"/>
        <v>3.7360403922515766E-2</v>
      </c>
      <c r="W107" s="140">
        <f t="shared" si="85"/>
        <v>4.1337931041918512E-2</v>
      </c>
      <c r="X107" s="140">
        <f t="shared" si="85"/>
        <v>8.020231264804642E-2</v>
      </c>
      <c r="Y107" s="140">
        <f t="shared" si="85"/>
        <v>9.0933038885871648E-2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6.8767375207584761E-2</v>
      </c>
      <c r="C108" s="140">
        <f t="shared" si="86"/>
        <v>6.8472803237995913E-2</v>
      </c>
      <c r="D108" s="140">
        <f t="shared" si="86"/>
        <v>7.159578783189656E-2</v>
      </c>
      <c r="E108" s="140">
        <f t="shared" si="86"/>
        <v>7.0561804100720993E-2</v>
      </c>
      <c r="F108" s="140">
        <f t="shared" si="86"/>
        <v>8.5504611008832859E-2</v>
      </c>
      <c r="G108" s="140">
        <f t="shared" si="86"/>
        <v>9.3526181381885037E-2</v>
      </c>
      <c r="H108" s="140">
        <f t="shared" si="86"/>
        <v>8.7755466588493133E-2</v>
      </c>
      <c r="I108" s="140">
        <f t="shared" si="86"/>
        <v>8.6075006220137043E-2</v>
      </c>
      <c r="J108" s="140">
        <f t="shared" si="86"/>
        <v>8.4706837259228396E-2</v>
      </c>
      <c r="K108" s="140">
        <f t="shared" si="86"/>
        <v>7.5998266932541261E-2</v>
      </c>
      <c r="L108" s="140">
        <f t="shared" si="86"/>
        <v>8.042768112730625E-2</v>
      </c>
      <c r="M108" s="140">
        <f t="shared" si="86"/>
        <v>8.0118873611623398E-2</v>
      </c>
      <c r="N108" s="140">
        <f t="shared" si="86"/>
        <v>8.1271793071587217E-2</v>
      </c>
      <c r="O108" s="140">
        <f t="shared" si="86"/>
        <v>8.1880044165043658E-2</v>
      </c>
      <c r="P108" s="140">
        <f t="shared" si="86"/>
        <v>8.7770479165619655E-2</v>
      </c>
      <c r="Q108" s="140">
        <f t="shared" si="86"/>
        <v>8.8275411751886551E-2</v>
      </c>
      <c r="R108" s="140">
        <f t="shared" si="86"/>
        <v>8.2761139423996544E-2</v>
      </c>
      <c r="S108" s="140">
        <f t="shared" si="86"/>
        <v>8.5382972610522426E-2</v>
      </c>
      <c r="T108" s="140">
        <f t="shared" si="86"/>
        <v>0.10001250828713626</v>
      </c>
      <c r="U108" s="140">
        <f t="shared" si="86"/>
        <v>0.11570646623742817</v>
      </c>
      <c r="V108" s="140">
        <f t="shared" si="86"/>
        <v>3.7306165864477957E-2</v>
      </c>
      <c r="W108" s="140">
        <f t="shared" si="86"/>
        <v>4.1018909930398369E-2</v>
      </c>
      <c r="X108" s="140">
        <f t="shared" si="86"/>
        <v>8.1765855600996085E-2</v>
      </c>
      <c r="Y108" s="140">
        <f t="shared" si="86"/>
        <v>0.10761877687829635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0.58458712708471139</v>
      </c>
      <c r="C110" s="139">
        <f t="shared" si="88"/>
        <v>0.58936634661368392</v>
      </c>
      <c r="D110" s="139">
        <f t="shared" si="88"/>
        <v>0.59226651459350432</v>
      </c>
      <c r="E110" s="139">
        <f t="shared" si="88"/>
        <v>0.60761423760892719</v>
      </c>
      <c r="F110" s="139">
        <f t="shared" si="88"/>
        <v>0.60641045783239089</v>
      </c>
      <c r="G110" s="139">
        <f t="shared" si="88"/>
        <v>0.60975571520227179</v>
      </c>
      <c r="H110" s="139">
        <f t="shared" si="88"/>
        <v>0.6084454475900315</v>
      </c>
      <c r="I110" s="139">
        <f t="shared" si="88"/>
        <v>0.61694845030802159</v>
      </c>
      <c r="J110" s="139">
        <f t="shared" si="88"/>
        <v>0.6291419159320657</v>
      </c>
      <c r="K110" s="139">
        <f t="shared" si="88"/>
        <v>0.64433044768977421</v>
      </c>
      <c r="L110" s="139">
        <f t="shared" si="88"/>
        <v>0.63083356627309239</v>
      </c>
      <c r="M110" s="139">
        <f t="shared" si="88"/>
        <v>0.63504043191239767</v>
      </c>
      <c r="N110" s="139">
        <f t="shared" si="88"/>
        <v>0.63662561485583136</v>
      </c>
      <c r="O110" s="139">
        <f t="shared" si="88"/>
        <v>0.64026611450517368</v>
      </c>
      <c r="P110" s="139">
        <f t="shared" si="88"/>
        <v>0.63294651925617684</v>
      </c>
      <c r="Q110" s="139">
        <f t="shared" si="88"/>
        <v>0.64532750038308706</v>
      </c>
      <c r="R110" s="139">
        <f t="shared" si="88"/>
        <v>0.64724453550668914</v>
      </c>
      <c r="S110" s="139">
        <f t="shared" si="88"/>
        <v>0.65172736973325007</v>
      </c>
      <c r="T110" s="139">
        <f t="shared" si="88"/>
        <v>0.66061624489750681</v>
      </c>
      <c r="U110" s="139">
        <f t="shared" si="88"/>
        <v>0.66446173005846731</v>
      </c>
      <c r="V110" s="139">
        <f t="shared" si="88"/>
        <v>0.68033579244004239</v>
      </c>
      <c r="W110" s="139">
        <f t="shared" si="88"/>
        <v>0.68185226968490753</v>
      </c>
      <c r="X110" s="139">
        <f t="shared" si="88"/>
        <v>0.68100854279382927</v>
      </c>
      <c r="Y110" s="139">
        <f t="shared" si="88"/>
        <v>0.68927790826269553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5.7626011070087751E-3</v>
      </c>
      <c r="C111" s="140">
        <f t="shared" si="89"/>
        <v>5.8777793472539284E-3</v>
      </c>
      <c r="D111" s="140">
        <f t="shared" si="89"/>
        <v>5.8934005887704543E-3</v>
      </c>
      <c r="E111" s="140">
        <f t="shared" si="89"/>
        <v>6.0447186456803791E-3</v>
      </c>
      <c r="F111" s="140">
        <f t="shared" si="89"/>
        <v>5.746812244689938E-3</v>
      </c>
      <c r="G111" s="140">
        <f t="shared" si="89"/>
        <v>5.8019082215988917E-3</v>
      </c>
      <c r="H111" s="140">
        <f t="shared" si="89"/>
        <v>5.4368375876628714E-3</v>
      </c>
      <c r="I111" s="140">
        <f t="shared" si="89"/>
        <v>5.2092867327606894E-3</v>
      </c>
      <c r="J111" s="140">
        <f t="shared" si="89"/>
        <v>4.982196375135679E-3</v>
      </c>
      <c r="K111" s="140">
        <f t="shared" si="89"/>
        <v>5.8674483005171814E-3</v>
      </c>
      <c r="L111" s="140">
        <f t="shared" si="89"/>
        <v>5.5046118162183936E-3</v>
      </c>
      <c r="M111" s="140">
        <f t="shared" si="89"/>
        <v>5.4744563685014871E-3</v>
      </c>
      <c r="N111" s="140">
        <f t="shared" si="89"/>
        <v>5.6655114668295896E-3</v>
      </c>
      <c r="O111" s="140">
        <f t="shared" si="89"/>
        <v>5.8208433109312235E-3</v>
      </c>
      <c r="P111" s="140">
        <f t="shared" si="89"/>
        <v>5.8509874712220095E-3</v>
      </c>
      <c r="Q111" s="140">
        <f t="shared" si="89"/>
        <v>5.8935498012717543E-3</v>
      </c>
      <c r="R111" s="140">
        <f t="shared" si="89"/>
        <v>5.8396079145622342E-3</v>
      </c>
      <c r="S111" s="140">
        <f t="shared" si="89"/>
        <v>5.6639814908625566E-3</v>
      </c>
      <c r="T111" s="140">
        <f t="shared" si="89"/>
        <v>5.8464314468311728E-3</v>
      </c>
      <c r="U111" s="140">
        <f t="shared" si="89"/>
        <v>5.9657612043115781E-3</v>
      </c>
      <c r="V111" s="140">
        <f t="shared" si="89"/>
        <v>6.211320351896317E-3</v>
      </c>
      <c r="W111" s="140">
        <f t="shared" si="89"/>
        <v>6.2904871538495685E-3</v>
      </c>
      <c r="X111" s="140">
        <f t="shared" si="89"/>
        <v>6.4415440733558496E-3</v>
      </c>
      <c r="Y111" s="140">
        <f t="shared" si="89"/>
        <v>6.9850309335668425E-3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0.57882452597770262</v>
      </c>
      <c r="C112" s="140">
        <f t="shared" si="90"/>
        <v>0.58348856726642995</v>
      </c>
      <c r="D112" s="140">
        <f t="shared" si="90"/>
        <v>0.58637311400473391</v>
      </c>
      <c r="E112" s="140">
        <f t="shared" si="90"/>
        <v>0.60156951896324684</v>
      </c>
      <c r="F112" s="140">
        <f t="shared" si="90"/>
        <v>0.60066364558770102</v>
      </c>
      <c r="G112" s="140">
        <f t="shared" si="90"/>
        <v>0.60395380698067291</v>
      </c>
      <c r="H112" s="140">
        <f t="shared" si="90"/>
        <v>0.60300861000236849</v>
      </c>
      <c r="I112" s="140">
        <f t="shared" si="90"/>
        <v>0.61173916357526092</v>
      </c>
      <c r="J112" s="140">
        <f t="shared" si="90"/>
        <v>0.62415971955693006</v>
      </c>
      <c r="K112" s="140">
        <f t="shared" si="90"/>
        <v>0.6384629993892571</v>
      </c>
      <c r="L112" s="140">
        <f t="shared" si="90"/>
        <v>0.62532895445687398</v>
      </c>
      <c r="M112" s="140">
        <f t="shared" si="90"/>
        <v>0.62956597554389615</v>
      </c>
      <c r="N112" s="140">
        <f t="shared" si="90"/>
        <v>0.63096010338900177</v>
      </c>
      <c r="O112" s="140">
        <f t="shared" si="90"/>
        <v>0.63444527119424254</v>
      </c>
      <c r="P112" s="140">
        <f t="shared" si="90"/>
        <v>0.62709553178495481</v>
      </c>
      <c r="Q112" s="140">
        <f t="shared" si="90"/>
        <v>0.6394339505818154</v>
      </c>
      <c r="R112" s="140">
        <f t="shared" si="90"/>
        <v>0.64140492759212686</v>
      </c>
      <c r="S112" s="140">
        <f t="shared" si="90"/>
        <v>0.64606338824238752</v>
      </c>
      <c r="T112" s="140">
        <f t="shared" si="90"/>
        <v>0.65476981345067564</v>
      </c>
      <c r="U112" s="140">
        <f t="shared" si="90"/>
        <v>0.65849596885415573</v>
      </c>
      <c r="V112" s="140">
        <f t="shared" si="90"/>
        <v>0.67412447208814597</v>
      </c>
      <c r="W112" s="140">
        <f t="shared" si="90"/>
        <v>0.67556178253105792</v>
      </c>
      <c r="X112" s="140">
        <f t="shared" si="90"/>
        <v>0.67456699872047332</v>
      </c>
      <c r="Y112" s="140">
        <f t="shared" si="90"/>
        <v>0.68229287732912869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0.35951369208912903</v>
      </c>
      <c r="C113" s="124">
        <f t="shared" si="91"/>
        <v>0.35440828497766858</v>
      </c>
      <c r="D113" s="124">
        <f t="shared" si="91"/>
        <v>0.34724203842440771</v>
      </c>
      <c r="E113" s="124">
        <f t="shared" si="91"/>
        <v>0.34321835014997815</v>
      </c>
      <c r="F113" s="124">
        <f t="shared" si="91"/>
        <v>0.35702048729396163</v>
      </c>
      <c r="G113" s="124">
        <f t="shared" si="91"/>
        <v>0.35357208563166093</v>
      </c>
      <c r="H113" s="124">
        <f t="shared" si="91"/>
        <v>0.35696791613288231</v>
      </c>
      <c r="I113" s="124">
        <f t="shared" si="91"/>
        <v>0.33915132314106766</v>
      </c>
      <c r="J113" s="124">
        <f t="shared" si="91"/>
        <v>0.33271984770203822</v>
      </c>
      <c r="K113" s="124">
        <f t="shared" si="91"/>
        <v>0.31748934042744015</v>
      </c>
      <c r="L113" s="124">
        <f t="shared" si="91"/>
        <v>0.3275667898217382</v>
      </c>
      <c r="M113" s="124">
        <f t="shared" si="91"/>
        <v>0.3277665870608259</v>
      </c>
      <c r="N113" s="124">
        <f t="shared" si="91"/>
        <v>0.32359648158466209</v>
      </c>
      <c r="O113" s="124">
        <f t="shared" si="91"/>
        <v>0.31715512983308286</v>
      </c>
      <c r="P113" s="124">
        <f t="shared" si="91"/>
        <v>0.32785565672951167</v>
      </c>
      <c r="Q113" s="124">
        <f t="shared" si="91"/>
        <v>0.32109700710824218</v>
      </c>
      <c r="R113" s="124">
        <f t="shared" si="91"/>
        <v>0.31784476099302961</v>
      </c>
      <c r="S113" s="124">
        <f t="shared" si="91"/>
        <v>0.31392804156611581</v>
      </c>
      <c r="T113" s="124">
        <f t="shared" si="91"/>
        <v>0.31132066959191262</v>
      </c>
      <c r="U113" s="124">
        <f t="shared" si="91"/>
        <v>0.30416448942801133</v>
      </c>
      <c r="V113" s="124">
        <f t="shared" si="91"/>
        <v>0.29408567111888007</v>
      </c>
      <c r="W113" s="124">
        <f t="shared" si="91"/>
        <v>0.29538365913960873</v>
      </c>
      <c r="X113" s="124">
        <f t="shared" si="91"/>
        <v>0.2993079657446453</v>
      </c>
      <c r="Y113" s="124">
        <f t="shared" si="91"/>
        <v>0.29034198071723522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2.9683697740010796E-3</v>
      </c>
      <c r="C114" s="124">
        <f t="shared" si="92"/>
        <v>2.5805460154730208E-3</v>
      </c>
      <c r="D114" s="124">
        <f t="shared" si="92"/>
        <v>2.8002128107006766E-3</v>
      </c>
      <c r="E114" s="124">
        <f t="shared" si="92"/>
        <v>2.8514532145710019E-3</v>
      </c>
      <c r="F114" s="124">
        <f t="shared" si="92"/>
        <v>3.3166802240472623E-3</v>
      </c>
      <c r="G114" s="124">
        <f t="shared" si="92"/>
        <v>3.9765265326178485E-3</v>
      </c>
      <c r="H114" s="124">
        <f t="shared" si="92"/>
        <v>3.330675269645548E-3</v>
      </c>
      <c r="I114" s="124">
        <f t="shared" si="92"/>
        <v>2.686619972025722E-3</v>
      </c>
      <c r="J114" s="124">
        <f t="shared" si="92"/>
        <v>2.3232183084420511E-3</v>
      </c>
      <c r="K114" s="124">
        <f t="shared" si="92"/>
        <v>2.3873853574205676E-3</v>
      </c>
      <c r="L114" s="124">
        <f t="shared" si="92"/>
        <v>2.3735497274541043E-3</v>
      </c>
      <c r="M114" s="124">
        <f t="shared" si="92"/>
        <v>2.9905497497977264E-3</v>
      </c>
      <c r="N114" s="124">
        <f t="shared" si="92"/>
        <v>3.417070124356322E-3</v>
      </c>
      <c r="O114" s="124">
        <f t="shared" si="92"/>
        <v>3.8679962210729987E-3</v>
      </c>
      <c r="P114" s="124">
        <f t="shared" si="92"/>
        <v>4.7939984720312221E-3</v>
      </c>
      <c r="Q114" s="124">
        <f t="shared" si="92"/>
        <v>5.7143800441042843E-3</v>
      </c>
      <c r="R114" s="124">
        <f t="shared" si="92"/>
        <v>5.7167790085287697E-3</v>
      </c>
      <c r="S114" s="124">
        <f t="shared" si="92"/>
        <v>5.8236280587089847E-3</v>
      </c>
      <c r="T114" s="124">
        <f t="shared" si="92"/>
        <v>6.9885048130738847E-3</v>
      </c>
      <c r="U114" s="124">
        <f t="shared" si="92"/>
        <v>7.374788087636034E-3</v>
      </c>
      <c r="V114" s="124">
        <f t="shared" si="92"/>
        <v>2.5371866597857689E-3</v>
      </c>
      <c r="W114" s="124">
        <f t="shared" si="92"/>
        <v>2.3385332414992176E-3</v>
      </c>
      <c r="X114" s="124">
        <f t="shared" si="92"/>
        <v>3.0350175244501982E-3</v>
      </c>
      <c r="Y114" s="124">
        <f t="shared" si="92"/>
        <v>3.3231483320535619E-3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6.237621684801126E-6</v>
      </c>
      <c r="C115" s="140">
        <f t="shared" si="93"/>
        <v>3.7167206945470141E-6</v>
      </c>
      <c r="D115" s="140">
        <f t="shared" si="93"/>
        <v>3.6929161388558647E-6</v>
      </c>
      <c r="E115" s="140">
        <f t="shared" si="93"/>
        <v>3.9433853835069622E-6</v>
      </c>
      <c r="F115" s="140">
        <f t="shared" si="93"/>
        <v>4.4920238651363503E-6</v>
      </c>
      <c r="G115" s="140">
        <f t="shared" si="93"/>
        <v>4.4996099349796858E-6</v>
      </c>
      <c r="H115" s="140">
        <f t="shared" si="93"/>
        <v>4.061865995756411E-6</v>
      </c>
      <c r="I115" s="140">
        <f t="shared" si="93"/>
        <v>3.3764849333544605E-6</v>
      </c>
      <c r="J115" s="140">
        <f t="shared" si="93"/>
        <v>3.4165290970467755E-6</v>
      </c>
      <c r="K115" s="140">
        <f t="shared" si="93"/>
        <v>3.8650447415648717E-6</v>
      </c>
      <c r="L115" s="140">
        <f t="shared" si="93"/>
        <v>3.1310140601333212E-6</v>
      </c>
      <c r="M115" s="140">
        <f t="shared" si="93"/>
        <v>2.3368032226211244E-6</v>
      </c>
      <c r="N115" s="140">
        <f t="shared" si="93"/>
        <v>1.8468075082002282E-6</v>
      </c>
      <c r="O115" s="140">
        <f t="shared" si="93"/>
        <v>1.3616491613881589E-6</v>
      </c>
      <c r="P115" s="140">
        <f t="shared" si="93"/>
        <v>8.9515385546721017E-7</v>
      </c>
      <c r="Q115" s="140">
        <f t="shared" si="93"/>
        <v>7.9455494005417401E-7</v>
      </c>
      <c r="R115" s="140">
        <f t="shared" ref="R115:V116" si="94">IF(R23=0,0,R23/R$17)</f>
        <v>4.817643111107411E-7</v>
      </c>
      <c r="S115" s="140">
        <f t="shared" si="94"/>
        <v>3.1826900549757949E-7</v>
      </c>
      <c r="T115" s="140">
        <f t="shared" si="94"/>
        <v>3.0236376894347641E-7</v>
      </c>
      <c r="U115" s="140">
        <f t="shared" si="94"/>
        <v>9.9298738838791499E-8</v>
      </c>
      <c r="V115" s="140">
        <f t="shared" si="94"/>
        <v>4.1811804507887137E-8</v>
      </c>
      <c r="W115" s="140">
        <f t="shared" ref="W115:Y120" si="95">IF(W23=0,0,W23/W$17)</f>
        <v>3.8573474124595704E-8</v>
      </c>
      <c r="X115" s="140">
        <f t="shared" si="95"/>
        <v>4.2221075563382212E-8</v>
      </c>
      <c r="Y115" s="140">
        <f t="shared" si="95"/>
        <v>7.0406484163680724E-8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7.7119609773847859E-4</v>
      </c>
      <c r="C116" s="140">
        <f t="shared" si="96"/>
        <v>7.1025422183609377E-4</v>
      </c>
      <c r="D116" s="140">
        <f t="shared" si="96"/>
        <v>8.4772721696966884E-4</v>
      </c>
      <c r="E116" s="140">
        <f t="shared" si="96"/>
        <v>9.2847888098486161E-4</v>
      </c>
      <c r="F116" s="140">
        <f t="shared" si="96"/>
        <v>1.2534939484277067E-3</v>
      </c>
      <c r="G116" s="140">
        <f t="shared" si="96"/>
        <v>1.2771853914268039E-3</v>
      </c>
      <c r="H116" s="140">
        <f t="shared" si="96"/>
        <v>1.1100566022549988E-3</v>
      </c>
      <c r="I116" s="140">
        <f t="shared" si="96"/>
        <v>8.6874862370459049E-4</v>
      </c>
      <c r="J116" s="140">
        <f t="shared" si="96"/>
        <v>7.4708244375317552E-4</v>
      </c>
      <c r="K116" s="140">
        <f t="shared" si="96"/>
        <v>8.0187150606962133E-4</v>
      </c>
      <c r="L116" s="140">
        <f t="shared" si="96"/>
        <v>7.8504164919240469E-4</v>
      </c>
      <c r="M116" s="140">
        <f t="shared" si="96"/>
        <v>7.957614665004641E-4</v>
      </c>
      <c r="N116" s="140">
        <f t="shared" si="96"/>
        <v>7.7002402185777873E-4</v>
      </c>
      <c r="O116" s="140">
        <f t="shared" si="96"/>
        <v>8.199233717240288E-4</v>
      </c>
      <c r="P116" s="140">
        <f t="shared" si="96"/>
        <v>1.0313966906973274E-3</v>
      </c>
      <c r="Q116" s="140">
        <f t="shared" si="96"/>
        <v>9.550458742395067E-4</v>
      </c>
      <c r="R116" s="140">
        <f t="shared" si="94"/>
        <v>8.3221026170201043E-4</v>
      </c>
      <c r="S116" s="140">
        <f t="shared" si="94"/>
        <v>8.612122582296372E-4</v>
      </c>
      <c r="T116" s="140">
        <f t="shared" si="94"/>
        <v>8.898371838868067E-4</v>
      </c>
      <c r="U116" s="140">
        <f t="shared" si="94"/>
        <v>1.0002061647894842E-3</v>
      </c>
      <c r="V116" s="140">
        <f t="shared" si="94"/>
        <v>8.0145682634728485E-4</v>
      </c>
      <c r="W116" s="140">
        <f t="shared" si="95"/>
        <v>8.4134850967883278E-4</v>
      </c>
      <c r="X116" s="140">
        <f t="shared" si="95"/>
        <v>9.6987011234186417E-4</v>
      </c>
      <c r="Y116" s="140">
        <f t="shared" si="95"/>
        <v>1.0025487131302918E-3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2.1909360545777998E-3</v>
      </c>
      <c r="C117" s="140">
        <f t="shared" si="97"/>
        <v>1.8665750729423799E-3</v>
      </c>
      <c r="D117" s="140">
        <f t="shared" si="97"/>
        <v>1.9487926775921518E-3</v>
      </c>
      <c r="E117" s="140">
        <f t="shared" si="97"/>
        <v>1.9190309482026333E-3</v>
      </c>
      <c r="F117" s="140">
        <f t="shared" si="97"/>
        <v>2.0586942517544192E-3</v>
      </c>
      <c r="G117" s="140">
        <f t="shared" si="97"/>
        <v>2.6948415312560647E-3</v>
      </c>
      <c r="H117" s="140">
        <f t="shared" si="97"/>
        <v>2.2165568013947931E-3</v>
      </c>
      <c r="I117" s="140">
        <f t="shared" si="97"/>
        <v>1.8144948633877769E-3</v>
      </c>
      <c r="J117" s="140">
        <f t="shared" si="97"/>
        <v>1.5727193355918286E-3</v>
      </c>
      <c r="K117" s="140">
        <f t="shared" si="97"/>
        <v>1.5816488066093812E-3</v>
      </c>
      <c r="L117" s="140">
        <f t="shared" si="97"/>
        <v>1.5853770642015662E-3</v>
      </c>
      <c r="M117" s="140">
        <f t="shared" si="97"/>
        <v>2.1924514800746413E-3</v>
      </c>
      <c r="N117" s="140">
        <f t="shared" si="97"/>
        <v>2.6451992949903438E-3</v>
      </c>
      <c r="O117" s="140">
        <f t="shared" si="97"/>
        <v>3.0467112001875819E-3</v>
      </c>
      <c r="P117" s="140">
        <f t="shared" si="97"/>
        <v>3.7617066274784269E-3</v>
      </c>
      <c r="Q117" s="140">
        <f t="shared" si="97"/>
        <v>4.7585396149247231E-3</v>
      </c>
      <c r="R117" s="140">
        <f t="shared" ref="R117:V120" si="98">IF(R25=0,0,R25/R$17)</f>
        <v>4.8840869825156489E-3</v>
      </c>
      <c r="S117" s="140">
        <f t="shared" si="98"/>
        <v>4.9620975314738497E-3</v>
      </c>
      <c r="T117" s="140">
        <f t="shared" si="98"/>
        <v>6.0983652654181351E-3</v>
      </c>
      <c r="U117" s="140">
        <f t="shared" si="98"/>
        <v>6.3744826241077116E-3</v>
      </c>
      <c r="V117" s="140">
        <f t="shared" si="98"/>
        <v>1.7356880216339765E-3</v>
      </c>
      <c r="W117" s="140">
        <f t="shared" si="95"/>
        <v>1.4971461583462603E-3</v>
      </c>
      <c r="X117" s="140">
        <f t="shared" si="95"/>
        <v>2.0651051910327701E-3</v>
      </c>
      <c r="Y117" s="140">
        <f t="shared" si="95"/>
        <v>2.3205292124391062E-3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5.2930811052158515E-2</v>
      </c>
      <c r="C118" s="124">
        <f t="shared" si="99"/>
        <v>5.3644822393174599E-2</v>
      </c>
      <c r="D118" s="124">
        <f t="shared" si="99"/>
        <v>5.7691234171387294E-2</v>
      </c>
      <c r="E118" s="124">
        <f t="shared" si="99"/>
        <v>4.6315959026523794E-2</v>
      </c>
      <c r="F118" s="124">
        <f t="shared" si="99"/>
        <v>3.3252374649600201E-2</v>
      </c>
      <c r="G118" s="124">
        <f t="shared" si="99"/>
        <v>3.2695672633449469E-2</v>
      </c>
      <c r="H118" s="124">
        <f t="shared" si="99"/>
        <v>3.1255961007440651E-2</v>
      </c>
      <c r="I118" s="124">
        <f t="shared" si="99"/>
        <v>4.1213606578885065E-2</v>
      </c>
      <c r="J118" s="124">
        <f t="shared" si="99"/>
        <v>3.581501805745417E-2</v>
      </c>
      <c r="K118" s="124">
        <f t="shared" si="99"/>
        <v>3.5792826525365147E-2</v>
      </c>
      <c r="L118" s="124">
        <f t="shared" si="99"/>
        <v>3.9226094177715332E-2</v>
      </c>
      <c r="M118" s="124">
        <f t="shared" si="99"/>
        <v>3.4202431276978786E-2</v>
      </c>
      <c r="N118" s="124">
        <f t="shared" si="99"/>
        <v>3.6360833435150244E-2</v>
      </c>
      <c r="O118" s="124">
        <f t="shared" si="99"/>
        <v>3.87107594406704E-2</v>
      </c>
      <c r="P118" s="124">
        <f t="shared" si="99"/>
        <v>3.4403825542280289E-2</v>
      </c>
      <c r="Q118" s="124">
        <f t="shared" si="99"/>
        <v>2.7861112464566417E-2</v>
      </c>
      <c r="R118" s="124">
        <f t="shared" si="98"/>
        <v>2.9193924491752451E-2</v>
      </c>
      <c r="S118" s="124">
        <f t="shared" si="98"/>
        <v>2.8520960641925146E-2</v>
      </c>
      <c r="T118" s="124">
        <f t="shared" si="98"/>
        <v>2.1074580697506725E-2</v>
      </c>
      <c r="U118" s="124">
        <f t="shared" si="98"/>
        <v>2.3998992425885143E-2</v>
      </c>
      <c r="V118" s="124">
        <f t="shared" si="98"/>
        <v>2.3041349781291898E-2</v>
      </c>
      <c r="W118" s="124">
        <f t="shared" si="95"/>
        <v>2.0425537933984605E-2</v>
      </c>
      <c r="X118" s="124">
        <f t="shared" si="95"/>
        <v>1.6648473937075275E-2</v>
      </c>
      <c r="Y118" s="124">
        <f t="shared" si="95"/>
        <v>1.705696268801575E-2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0</v>
      </c>
      <c r="J119" s="140">
        <f t="shared" si="100"/>
        <v>0</v>
      </c>
      <c r="K119" s="140">
        <f t="shared" si="100"/>
        <v>0</v>
      </c>
      <c r="L119" s="140">
        <f t="shared" si="100"/>
        <v>0</v>
      </c>
      <c r="M119" s="140">
        <f t="shared" si="100"/>
        <v>0</v>
      </c>
      <c r="N119" s="140">
        <f t="shared" si="100"/>
        <v>0</v>
      </c>
      <c r="O119" s="140">
        <f t="shared" si="100"/>
        <v>0</v>
      </c>
      <c r="P119" s="140">
        <f t="shared" si="100"/>
        <v>0</v>
      </c>
      <c r="Q119" s="140">
        <f t="shared" si="100"/>
        <v>0</v>
      </c>
      <c r="R119" s="140">
        <f t="shared" si="98"/>
        <v>0</v>
      </c>
      <c r="S119" s="140">
        <f t="shared" si="98"/>
        <v>0</v>
      </c>
      <c r="T119" s="140">
        <f t="shared" si="98"/>
        <v>0</v>
      </c>
      <c r="U119" s="140">
        <f t="shared" si="98"/>
        <v>0</v>
      </c>
      <c r="V119" s="140">
        <f t="shared" si="98"/>
        <v>0</v>
      </c>
      <c r="W119" s="140">
        <f t="shared" si="95"/>
        <v>0</v>
      </c>
      <c r="X119" s="140">
        <f t="shared" si="95"/>
        <v>0</v>
      </c>
      <c r="Y119" s="140">
        <f t="shared" si="95"/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5.2930811052158515E-2</v>
      </c>
      <c r="C120" s="127">
        <f t="shared" si="101"/>
        <v>5.3644822393174599E-2</v>
      </c>
      <c r="D120" s="127">
        <f t="shared" si="101"/>
        <v>5.7691234171387294E-2</v>
      </c>
      <c r="E120" s="127">
        <f t="shared" si="101"/>
        <v>4.6315959026523794E-2</v>
      </c>
      <c r="F120" s="127">
        <f t="shared" si="101"/>
        <v>3.3252374649600201E-2</v>
      </c>
      <c r="G120" s="127">
        <f t="shared" si="101"/>
        <v>3.2695672633449469E-2</v>
      </c>
      <c r="H120" s="127">
        <f t="shared" si="101"/>
        <v>3.1255961007440651E-2</v>
      </c>
      <c r="I120" s="127">
        <f t="shared" si="101"/>
        <v>4.1213606578885065E-2</v>
      </c>
      <c r="J120" s="127">
        <f t="shared" si="101"/>
        <v>3.581501805745417E-2</v>
      </c>
      <c r="K120" s="127">
        <f t="shared" si="101"/>
        <v>3.5792826525365147E-2</v>
      </c>
      <c r="L120" s="127">
        <f t="shared" si="101"/>
        <v>3.9226094177715332E-2</v>
      </c>
      <c r="M120" s="127">
        <f t="shared" si="101"/>
        <v>3.4202431276978786E-2</v>
      </c>
      <c r="N120" s="127">
        <f t="shared" si="101"/>
        <v>3.6360833435150244E-2</v>
      </c>
      <c r="O120" s="127">
        <f t="shared" si="101"/>
        <v>3.87107594406704E-2</v>
      </c>
      <c r="P120" s="127">
        <f t="shared" si="101"/>
        <v>3.4403825542280289E-2</v>
      </c>
      <c r="Q120" s="127">
        <f t="shared" si="101"/>
        <v>2.7861112464566417E-2</v>
      </c>
      <c r="R120" s="127">
        <f t="shared" si="98"/>
        <v>2.9193924491752451E-2</v>
      </c>
      <c r="S120" s="127">
        <f t="shared" si="98"/>
        <v>2.8520960641925146E-2</v>
      </c>
      <c r="T120" s="127">
        <f t="shared" si="98"/>
        <v>2.1074580697506725E-2</v>
      </c>
      <c r="U120" s="127">
        <f t="shared" si="98"/>
        <v>2.3998992425885143E-2</v>
      </c>
      <c r="V120" s="127">
        <f t="shared" si="98"/>
        <v>2.3041349781291898E-2</v>
      </c>
      <c r="W120" s="127">
        <f t="shared" si="95"/>
        <v>2.0425537933984605E-2</v>
      </c>
      <c r="X120" s="127">
        <f t="shared" si="95"/>
        <v>1.6648473937075275E-2</v>
      </c>
      <c r="Y120" s="127">
        <f t="shared" si="95"/>
        <v>1.705696268801575E-2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0</v>
      </c>
      <c r="C121" s="31">
        <f t="shared" si="102"/>
        <v>0</v>
      </c>
      <c r="D121" s="31">
        <f t="shared" si="102"/>
        <v>0</v>
      </c>
      <c r="E121" s="31">
        <f t="shared" si="102"/>
        <v>0</v>
      </c>
      <c r="F121" s="31">
        <f t="shared" si="102"/>
        <v>0</v>
      </c>
      <c r="G121" s="31">
        <f t="shared" si="102"/>
        <v>0</v>
      </c>
      <c r="H121" s="31">
        <f t="shared" si="102"/>
        <v>0</v>
      </c>
      <c r="I121" s="31">
        <f t="shared" si="102"/>
        <v>0</v>
      </c>
      <c r="J121" s="31">
        <f t="shared" si="102"/>
        <v>0</v>
      </c>
      <c r="K121" s="31">
        <f t="shared" si="102"/>
        <v>0</v>
      </c>
      <c r="L121" s="31">
        <f t="shared" si="102"/>
        <v>0</v>
      </c>
      <c r="M121" s="31">
        <f t="shared" si="102"/>
        <v>0</v>
      </c>
      <c r="N121" s="31">
        <f t="shared" si="102"/>
        <v>0</v>
      </c>
      <c r="O121" s="31">
        <f t="shared" si="102"/>
        <v>0</v>
      </c>
      <c r="P121" s="31">
        <f t="shared" si="102"/>
        <v>0</v>
      </c>
      <c r="Q121" s="31">
        <f t="shared" si="102"/>
        <v>0</v>
      </c>
      <c r="R121" s="31">
        <f t="shared" si="102"/>
        <v>0</v>
      </c>
      <c r="S121" s="31">
        <f t="shared" si="102"/>
        <v>0</v>
      </c>
      <c r="T121" s="31">
        <f t="shared" si="102"/>
        <v>0</v>
      </c>
      <c r="U121" s="31">
        <f t="shared" si="102"/>
        <v>0</v>
      </c>
      <c r="V121" s="31">
        <f t="shared" si="102"/>
        <v>0</v>
      </c>
      <c r="W121" s="31">
        <f t="shared" si="102"/>
        <v>0</v>
      </c>
      <c r="X121" s="31">
        <f t="shared" si="102"/>
        <v>0</v>
      </c>
      <c r="Y121" s="31">
        <f t="shared" si="102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</v>
      </c>
      <c r="C122" s="140">
        <f t="shared" si="103"/>
        <v>0</v>
      </c>
      <c r="D122" s="140">
        <f t="shared" si="103"/>
        <v>0</v>
      </c>
      <c r="E122" s="140">
        <f t="shared" si="103"/>
        <v>0</v>
      </c>
      <c r="F122" s="140">
        <f t="shared" si="103"/>
        <v>0</v>
      </c>
      <c r="G122" s="140">
        <f t="shared" si="103"/>
        <v>0</v>
      </c>
      <c r="H122" s="140">
        <f t="shared" si="103"/>
        <v>0</v>
      </c>
      <c r="I122" s="140">
        <f t="shared" si="103"/>
        <v>0</v>
      </c>
      <c r="J122" s="140">
        <f t="shared" si="103"/>
        <v>0</v>
      </c>
      <c r="K122" s="140">
        <f t="shared" si="103"/>
        <v>0</v>
      </c>
      <c r="L122" s="140">
        <f t="shared" si="103"/>
        <v>0</v>
      </c>
      <c r="M122" s="140">
        <f t="shared" si="103"/>
        <v>0</v>
      </c>
      <c r="N122" s="140">
        <f t="shared" si="103"/>
        <v>0</v>
      </c>
      <c r="O122" s="140">
        <f t="shared" si="103"/>
        <v>0</v>
      </c>
      <c r="P122" s="140">
        <f t="shared" si="103"/>
        <v>0</v>
      </c>
      <c r="Q122" s="140">
        <f t="shared" si="103"/>
        <v>0</v>
      </c>
      <c r="R122" s="140">
        <f t="shared" si="103"/>
        <v>0</v>
      </c>
      <c r="S122" s="140">
        <f t="shared" si="103"/>
        <v>0</v>
      </c>
      <c r="T122" s="140">
        <f t="shared" si="103"/>
        <v>0</v>
      </c>
      <c r="U122" s="140">
        <f t="shared" si="103"/>
        <v>0</v>
      </c>
      <c r="V122" s="140">
        <f t="shared" si="103"/>
        <v>0</v>
      </c>
      <c r="W122" s="140">
        <f t="shared" si="103"/>
        <v>0</v>
      </c>
      <c r="X122" s="140">
        <f t="shared" si="103"/>
        <v>0</v>
      </c>
      <c r="Y122" s="140">
        <f t="shared" si="103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</v>
      </c>
      <c r="C123" s="127">
        <f t="shared" si="104"/>
        <v>0</v>
      </c>
      <c r="D123" s="127">
        <f t="shared" si="104"/>
        <v>0</v>
      </c>
      <c r="E123" s="127">
        <f t="shared" si="104"/>
        <v>0</v>
      </c>
      <c r="F123" s="127">
        <f t="shared" si="104"/>
        <v>0</v>
      </c>
      <c r="G123" s="127">
        <f t="shared" si="104"/>
        <v>0</v>
      </c>
      <c r="H123" s="127">
        <f t="shared" si="104"/>
        <v>0</v>
      </c>
      <c r="I123" s="127">
        <f t="shared" si="104"/>
        <v>0</v>
      </c>
      <c r="J123" s="127">
        <f t="shared" si="104"/>
        <v>0</v>
      </c>
      <c r="K123" s="127">
        <f t="shared" si="104"/>
        <v>0</v>
      </c>
      <c r="L123" s="127">
        <f t="shared" si="104"/>
        <v>0</v>
      </c>
      <c r="M123" s="127">
        <f t="shared" si="104"/>
        <v>0</v>
      </c>
      <c r="N123" s="127">
        <f t="shared" si="104"/>
        <v>0</v>
      </c>
      <c r="O123" s="127">
        <f t="shared" si="104"/>
        <v>0</v>
      </c>
      <c r="P123" s="127">
        <f t="shared" si="104"/>
        <v>0</v>
      </c>
      <c r="Q123" s="127">
        <f t="shared" si="104"/>
        <v>0</v>
      </c>
      <c r="R123" s="127">
        <f t="shared" si="104"/>
        <v>0</v>
      </c>
      <c r="S123" s="127">
        <f t="shared" si="104"/>
        <v>0</v>
      </c>
      <c r="T123" s="127">
        <f t="shared" si="104"/>
        <v>0</v>
      </c>
      <c r="U123" s="127">
        <f t="shared" si="104"/>
        <v>0</v>
      </c>
      <c r="V123" s="127">
        <f t="shared" si="104"/>
        <v>0</v>
      </c>
      <c r="W123" s="127">
        <f t="shared" si="104"/>
        <v>0</v>
      </c>
      <c r="X123" s="127">
        <f t="shared" si="104"/>
        <v>0</v>
      </c>
      <c r="Y123" s="127">
        <f t="shared" si="104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0.84169515226052849</v>
      </c>
      <c r="C127" s="139">
        <f t="shared" ref="C127:Y127" si="107">IF(C35=0,0,C35/C$34)</f>
        <v>0.85126575621687295</v>
      </c>
      <c r="D127" s="139">
        <f t="shared" si="107"/>
        <v>0.87034569574997134</v>
      </c>
      <c r="E127" s="139">
        <f t="shared" si="107"/>
        <v>0.88229163288826296</v>
      </c>
      <c r="F127" s="139">
        <f t="shared" si="107"/>
        <v>0.87164447624450359</v>
      </c>
      <c r="G127" s="139">
        <f t="shared" si="107"/>
        <v>0.86510012959547533</v>
      </c>
      <c r="H127" s="139">
        <f t="shared" si="107"/>
        <v>0.85948710787431004</v>
      </c>
      <c r="I127" s="139">
        <f t="shared" si="107"/>
        <v>0.85566545887213663</v>
      </c>
      <c r="J127" s="139">
        <f t="shared" si="107"/>
        <v>0.84971817504721403</v>
      </c>
      <c r="K127" s="139">
        <f t="shared" si="107"/>
        <v>0.86018441648941701</v>
      </c>
      <c r="L127" s="139">
        <f t="shared" si="107"/>
        <v>0.85520800927707408</v>
      </c>
      <c r="M127" s="139">
        <f t="shared" si="107"/>
        <v>0.84963829009953262</v>
      </c>
      <c r="N127" s="139">
        <f t="shared" si="107"/>
        <v>0.85131608253715862</v>
      </c>
      <c r="O127" s="139">
        <f t="shared" si="107"/>
        <v>0.85948431003431069</v>
      </c>
      <c r="P127" s="139">
        <f t="shared" si="107"/>
        <v>0.86068263556727564</v>
      </c>
      <c r="Q127" s="139">
        <f t="shared" si="107"/>
        <v>0.85782590114689328</v>
      </c>
      <c r="R127" s="139">
        <f t="shared" si="107"/>
        <v>0.85044892499391234</v>
      </c>
      <c r="S127" s="139">
        <f t="shared" si="107"/>
        <v>0.8545725258275545</v>
      </c>
      <c r="T127" s="139">
        <f t="shared" si="107"/>
        <v>0.84381986828986333</v>
      </c>
      <c r="U127" s="139">
        <f t="shared" si="107"/>
        <v>0.82658944722730843</v>
      </c>
      <c r="V127" s="139">
        <f t="shared" si="107"/>
        <v>0.90920954055019576</v>
      </c>
      <c r="W127" s="139">
        <f t="shared" si="107"/>
        <v>0.89627993085893987</v>
      </c>
      <c r="X127" s="139">
        <f t="shared" si="107"/>
        <v>0.86066602400059244</v>
      </c>
      <c r="Y127" s="139">
        <f t="shared" si="107"/>
        <v>0.82356148135467422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6.8997823882770435E-3</v>
      </c>
      <c r="C128" s="140">
        <f t="shared" ref="C128:Y128" si="108">IF(C36=0,0,C36/C$34)</f>
        <v>6.855304340892006E-3</v>
      </c>
      <c r="D128" s="140">
        <f t="shared" si="108"/>
        <v>6.5173200598164461E-3</v>
      </c>
      <c r="E128" s="140">
        <f t="shared" si="108"/>
        <v>6.3856851445485228E-3</v>
      </c>
      <c r="F128" s="140">
        <f t="shared" si="108"/>
        <v>6.4879641561817244E-3</v>
      </c>
      <c r="G128" s="140">
        <f t="shared" si="108"/>
        <v>6.4097677004958794E-3</v>
      </c>
      <c r="H128" s="140">
        <f t="shared" si="108"/>
        <v>6.6221912444205311E-3</v>
      </c>
      <c r="I128" s="140">
        <f t="shared" si="108"/>
        <v>6.6870070623585142E-3</v>
      </c>
      <c r="J128" s="140">
        <f t="shared" si="108"/>
        <v>7.1277612497199164E-3</v>
      </c>
      <c r="K128" s="140">
        <f t="shared" si="108"/>
        <v>7.5810050249690477E-3</v>
      </c>
      <c r="L128" s="140">
        <f t="shared" si="108"/>
        <v>7.6502617211752725E-3</v>
      </c>
      <c r="M128" s="140">
        <f t="shared" si="108"/>
        <v>8.0774415933428465E-3</v>
      </c>
      <c r="N128" s="140">
        <f t="shared" si="108"/>
        <v>8.5461984604492808E-3</v>
      </c>
      <c r="O128" s="140">
        <f t="shared" si="108"/>
        <v>8.7331161878343496E-3</v>
      </c>
      <c r="P128" s="140">
        <f t="shared" si="108"/>
        <v>8.9673417026083259E-3</v>
      </c>
      <c r="Q128" s="140">
        <f t="shared" si="108"/>
        <v>8.9983774575944937E-3</v>
      </c>
      <c r="R128" s="140">
        <f t="shared" si="108"/>
        <v>8.968275040049517E-3</v>
      </c>
      <c r="S128" s="140">
        <f t="shared" si="108"/>
        <v>8.8930313273070227E-3</v>
      </c>
      <c r="T128" s="140">
        <f t="shared" si="108"/>
        <v>8.3195917847974608E-3</v>
      </c>
      <c r="U128" s="140">
        <f t="shared" si="108"/>
        <v>8.761967110872456E-3</v>
      </c>
      <c r="V128" s="140">
        <f t="shared" si="108"/>
        <v>1.048813197632956E-2</v>
      </c>
      <c r="W128" s="140">
        <f t="shared" si="108"/>
        <v>9.9692656738621169E-3</v>
      </c>
      <c r="X128" s="140">
        <f t="shared" si="108"/>
        <v>9.6623177593369268E-3</v>
      </c>
      <c r="Y128" s="140">
        <f t="shared" si="108"/>
        <v>9.8547795971066828E-3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0.78090530200750075</v>
      </c>
      <c r="C129" s="140">
        <f t="shared" ref="C129:Y129" si="109">IF(C37=0,0,C37/C$34)</f>
        <v>0.79204641882530591</v>
      </c>
      <c r="D129" s="140">
        <f t="shared" si="109"/>
        <v>0.81388900233800066</v>
      </c>
      <c r="E129" s="140">
        <f t="shared" si="109"/>
        <v>0.82693755748803432</v>
      </c>
      <c r="F129" s="140">
        <f t="shared" si="109"/>
        <v>0.81810051093504665</v>
      </c>
      <c r="G129" s="140">
        <f t="shared" si="109"/>
        <v>0.81358335458253184</v>
      </c>
      <c r="H129" s="140">
        <f t="shared" si="109"/>
        <v>0.80838466516018492</v>
      </c>
      <c r="I129" s="140">
        <f t="shared" si="109"/>
        <v>0.80316001110435054</v>
      </c>
      <c r="J129" s="140">
        <f t="shared" si="109"/>
        <v>0.79689261244157705</v>
      </c>
      <c r="K129" s="140">
        <f t="shared" si="109"/>
        <v>0.80944849482407044</v>
      </c>
      <c r="L129" s="140">
        <f t="shared" si="109"/>
        <v>0.8016370778485824</v>
      </c>
      <c r="M129" s="140">
        <f t="shared" si="109"/>
        <v>0.79508406251126273</v>
      </c>
      <c r="N129" s="140">
        <f t="shared" si="109"/>
        <v>0.79561634195992736</v>
      </c>
      <c r="O129" s="140">
        <f t="shared" si="109"/>
        <v>0.80406302565798049</v>
      </c>
      <c r="P129" s="140">
        <f t="shared" si="109"/>
        <v>0.8041372082698689</v>
      </c>
      <c r="Q129" s="140">
        <f t="shared" si="109"/>
        <v>0.80154335473160954</v>
      </c>
      <c r="R129" s="140">
        <f t="shared" si="109"/>
        <v>0.79336002223272006</v>
      </c>
      <c r="S129" s="140">
        <f t="shared" si="109"/>
        <v>0.79596610814766655</v>
      </c>
      <c r="T129" s="140">
        <f t="shared" si="109"/>
        <v>0.78867825514792422</v>
      </c>
      <c r="U129" s="140">
        <f t="shared" si="109"/>
        <v>0.77194269723156106</v>
      </c>
      <c r="V129" s="140">
        <f t="shared" si="109"/>
        <v>0.83826024117484765</v>
      </c>
      <c r="W129" s="140">
        <f t="shared" si="109"/>
        <v>0.82895870276742833</v>
      </c>
      <c r="X129" s="140">
        <f t="shared" si="109"/>
        <v>0.79761883549873913</v>
      </c>
      <c r="Y129" s="140">
        <f t="shared" si="109"/>
        <v>0.76420401241151226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5.3890067864750694E-2</v>
      </c>
      <c r="C130" s="140">
        <f t="shared" ref="C130:Y130" si="110">IF(C38=0,0,C38/C$34)</f>
        <v>5.236403305067508E-2</v>
      </c>
      <c r="D130" s="140">
        <f t="shared" si="110"/>
        <v>4.9939373352154127E-2</v>
      </c>
      <c r="E130" s="140">
        <f t="shared" si="110"/>
        <v>4.8968390255680005E-2</v>
      </c>
      <c r="F130" s="140">
        <f t="shared" si="110"/>
        <v>4.705600115327517E-2</v>
      </c>
      <c r="G130" s="140">
        <f t="shared" si="110"/>
        <v>4.5107007312447621E-2</v>
      </c>
      <c r="H130" s="140">
        <f t="shared" si="110"/>
        <v>4.4480251469704683E-2</v>
      </c>
      <c r="I130" s="140">
        <f t="shared" si="110"/>
        <v>4.5818440705427545E-2</v>
      </c>
      <c r="J130" s="140">
        <f t="shared" si="110"/>
        <v>4.5697801355917042E-2</v>
      </c>
      <c r="K130" s="140">
        <f t="shared" si="110"/>
        <v>4.3154916640377468E-2</v>
      </c>
      <c r="L130" s="140">
        <f t="shared" si="110"/>
        <v>4.5920669707316446E-2</v>
      </c>
      <c r="M130" s="140">
        <f t="shared" si="110"/>
        <v>4.6476785994926974E-2</v>
      </c>
      <c r="N130" s="140">
        <f t="shared" si="110"/>
        <v>4.7153542116781945E-2</v>
      </c>
      <c r="O130" s="140">
        <f t="shared" si="110"/>
        <v>4.668816818849595E-2</v>
      </c>
      <c r="P130" s="140">
        <f t="shared" si="110"/>
        <v>4.7578085594798453E-2</v>
      </c>
      <c r="Q130" s="140">
        <f t="shared" si="110"/>
        <v>4.7284168957689256E-2</v>
      </c>
      <c r="R130" s="140">
        <f t="shared" si="110"/>
        <v>4.8120627721142749E-2</v>
      </c>
      <c r="S130" s="140">
        <f t="shared" si="110"/>
        <v>4.9713386352580921E-2</v>
      </c>
      <c r="T130" s="140">
        <f t="shared" si="110"/>
        <v>4.6822021357141606E-2</v>
      </c>
      <c r="U130" s="140">
        <f t="shared" si="110"/>
        <v>4.5884782884874999E-2</v>
      </c>
      <c r="V130" s="140">
        <f t="shared" si="110"/>
        <v>6.0461167399018467E-2</v>
      </c>
      <c r="W130" s="140">
        <f t="shared" si="110"/>
        <v>5.7351962417649435E-2</v>
      </c>
      <c r="X130" s="140">
        <f t="shared" si="110"/>
        <v>5.3384870742516341E-2</v>
      </c>
      <c r="Y130" s="140">
        <f t="shared" si="110"/>
        <v>4.950268934605534E-2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3.671594002333585E-2</v>
      </c>
      <c r="C131" s="124">
        <f t="shared" ref="C131:Y131" si="111">IF(C39=0,0,C39/C$34)</f>
        <v>3.3985730168919905E-2</v>
      </c>
      <c r="D131" s="124">
        <f t="shared" si="111"/>
        <v>3.0417452648571826E-2</v>
      </c>
      <c r="E131" s="124">
        <f t="shared" si="111"/>
        <v>2.823211652125612E-2</v>
      </c>
      <c r="F131" s="124">
        <f t="shared" si="111"/>
        <v>2.6435335216223009E-2</v>
      </c>
      <c r="G131" s="124">
        <f t="shared" si="111"/>
        <v>2.4418663880040693E-2</v>
      </c>
      <c r="H131" s="124">
        <f t="shared" si="111"/>
        <v>2.4446842168150663E-2</v>
      </c>
      <c r="I131" s="124">
        <f t="shared" si="111"/>
        <v>2.4043948348645254E-2</v>
      </c>
      <c r="J131" s="124">
        <f t="shared" si="111"/>
        <v>2.6214649472223545E-2</v>
      </c>
      <c r="K131" s="124">
        <f t="shared" si="111"/>
        <v>2.8465856929819039E-2</v>
      </c>
      <c r="L131" s="124">
        <f t="shared" si="111"/>
        <v>2.8200688632507787E-2</v>
      </c>
      <c r="M131" s="124">
        <f t="shared" si="111"/>
        <v>2.6009187075176063E-2</v>
      </c>
      <c r="N131" s="124">
        <f t="shared" si="111"/>
        <v>2.6451797506513847E-2</v>
      </c>
      <c r="O131" s="124">
        <f t="shared" si="111"/>
        <v>2.519896636523147E-2</v>
      </c>
      <c r="P131" s="124">
        <f t="shared" si="111"/>
        <v>2.5405427018352633E-2</v>
      </c>
      <c r="Q131" s="124">
        <f t="shared" si="111"/>
        <v>2.3498681140469869E-2</v>
      </c>
      <c r="R131" s="124">
        <f t="shared" si="111"/>
        <v>2.3214482889572004E-2</v>
      </c>
      <c r="S131" s="124">
        <f t="shared" si="111"/>
        <v>2.371517828115479E-2</v>
      </c>
      <c r="T131" s="124">
        <f t="shared" si="111"/>
        <v>2.2641375816423948E-2</v>
      </c>
      <c r="U131" s="124">
        <f t="shared" si="111"/>
        <v>2.1698222442227754E-2</v>
      </c>
      <c r="V131" s="124">
        <f t="shared" si="111"/>
        <v>2.358179635448332E-2</v>
      </c>
      <c r="W131" s="124">
        <f t="shared" si="111"/>
        <v>2.2899228271924442E-2</v>
      </c>
      <c r="X131" s="124">
        <f t="shared" si="111"/>
        <v>2.160305084360685E-2</v>
      </c>
      <c r="Y131" s="124">
        <f t="shared" si="111"/>
        <v>2.1134160211521563E-2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6.9629924154710294E-3</v>
      </c>
      <c r="C132" s="140">
        <f t="shared" ref="C132:Y132" si="112">IF(C40=0,0,C40/C$34)</f>
        <v>7.1784997514893392E-3</v>
      </c>
      <c r="D132" s="140">
        <f t="shared" si="112"/>
        <v>6.6260420021877599E-3</v>
      </c>
      <c r="E132" s="140">
        <f t="shared" si="112"/>
        <v>6.4292470710032908E-3</v>
      </c>
      <c r="F132" s="140">
        <f t="shared" si="112"/>
        <v>6.2324751717282656E-3</v>
      </c>
      <c r="G132" s="140">
        <f t="shared" si="112"/>
        <v>5.7292911522906107E-3</v>
      </c>
      <c r="H132" s="140">
        <f t="shared" si="112"/>
        <v>5.7816736484138731E-3</v>
      </c>
      <c r="I132" s="140">
        <f t="shared" si="112"/>
        <v>5.6958706163265805E-3</v>
      </c>
      <c r="J132" s="140">
        <f t="shared" si="112"/>
        <v>5.5016733074298675E-3</v>
      </c>
      <c r="K132" s="140">
        <f t="shared" si="112"/>
        <v>5.7207697397159071E-3</v>
      </c>
      <c r="L132" s="140">
        <f t="shared" si="112"/>
        <v>5.6844859667524788E-3</v>
      </c>
      <c r="M132" s="140">
        <f t="shared" si="112"/>
        <v>5.4303239988741621E-3</v>
      </c>
      <c r="N132" s="140">
        <f t="shared" si="112"/>
        <v>5.6320908106022392E-3</v>
      </c>
      <c r="O132" s="140">
        <f t="shared" si="112"/>
        <v>5.5186474429443503E-3</v>
      </c>
      <c r="P132" s="140">
        <f t="shared" si="112"/>
        <v>5.2007628064139801E-3</v>
      </c>
      <c r="Q132" s="140">
        <f t="shared" si="112"/>
        <v>5.1494173410465737E-3</v>
      </c>
      <c r="R132" s="140">
        <f t="shared" si="112"/>
        <v>4.9679446330338035E-3</v>
      </c>
      <c r="S132" s="140">
        <f t="shared" si="112"/>
        <v>4.9797134738854857E-3</v>
      </c>
      <c r="T132" s="140">
        <f t="shared" si="112"/>
        <v>4.7860705367821733E-3</v>
      </c>
      <c r="U132" s="140">
        <f t="shared" si="112"/>
        <v>4.9056072450784942E-3</v>
      </c>
      <c r="V132" s="140">
        <f t="shared" si="112"/>
        <v>7.2402297111311097E-3</v>
      </c>
      <c r="W132" s="140">
        <f t="shared" si="112"/>
        <v>7.1443160371838363E-3</v>
      </c>
      <c r="X132" s="140">
        <f t="shared" si="112"/>
        <v>6.6623219990963748E-3</v>
      </c>
      <c r="Y132" s="140">
        <f t="shared" si="112"/>
        <v>5.0333034042571384E-3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2.9752947607864819E-2</v>
      </c>
      <c r="C133" s="140">
        <f t="shared" ref="C133:Y133" si="113">IF(C41=0,0,C41/C$34)</f>
        <v>2.6807230417430567E-2</v>
      </c>
      <c r="D133" s="140">
        <f t="shared" si="113"/>
        <v>2.3791410646384067E-2</v>
      </c>
      <c r="E133" s="140">
        <f t="shared" si="113"/>
        <v>2.1802869450252831E-2</v>
      </c>
      <c r="F133" s="140">
        <f t="shared" si="113"/>
        <v>2.0202860044494741E-2</v>
      </c>
      <c r="G133" s="140">
        <f t="shared" si="113"/>
        <v>1.8689372727750082E-2</v>
      </c>
      <c r="H133" s="140">
        <f t="shared" si="113"/>
        <v>1.8665168519736791E-2</v>
      </c>
      <c r="I133" s="140">
        <f t="shared" si="113"/>
        <v>1.8103816770542788E-2</v>
      </c>
      <c r="J133" s="140">
        <f t="shared" si="113"/>
        <v>2.0449091278779138E-2</v>
      </c>
      <c r="K133" s="140">
        <f t="shared" si="113"/>
        <v>2.24833123428788E-2</v>
      </c>
      <c r="L133" s="140">
        <f t="shared" si="113"/>
        <v>2.2280241002803791E-2</v>
      </c>
      <c r="M133" s="140">
        <f t="shared" si="113"/>
        <v>2.0060028191215103E-2</v>
      </c>
      <c r="N133" s="140">
        <f t="shared" si="113"/>
        <v>2.0334076043121669E-2</v>
      </c>
      <c r="O133" s="140">
        <f t="shared" si="113"/>
        <v>1.9189204283664826E-2</v>
      </c>
      <c r="P133" s="140">
        <f t="shared" si="113"/>
        <v>1.9731586032752411E-2</v>
      </c>
      <c r="Q133" s="140">
        <f t="shared" si="113"/>
        <v>1.7920754322113777E-2</v>
      </c>
      <c r="R133" s="140">
        <f t="shared" si="113"/>
        <v>1.7815951661141759E-2</v>
      </c>
      <c r="S133" s="140">
        <f t="shared" si="113"/>
        <v>1.8326397022089217E-2</v>
      </c>
      <c r="T133" s="140">
        <f t="shared" si="113"/>
        <v>1.7455866209986334E-2</v>
      </c>
      <c r="U133" s="140">
        <f t="shared" si="113"/>
        <v>1.6408656503544009E-2</v>
      </c>
      <c r="V133" s="140">
        <f t="shared" si="113"/>
        <v>1.5815678838268545E-2</v>
      </c>
      <c r="W133" s="140">
        <f t="shared" si="113"/>
        <v>1.5191784612201192E-2</v>
      </c>
      <c r="X133" s="140">
        <f t="shared" si="113"/>
        <v>1.4468488913334061E-2</v>
      </c>
      <c r="Y133" s="140">
        <f t="shared" si="113"/>
        <v>1.5643887434944843E-2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2.4426096177588869E-4</v>
      </c>
      <c r="J134" s="140">
        <f t="shared" si="114"/>
        <v>2.6388488601453906E-4</v>
      </c>
      <c r="K134" s="140">
        <f t="shared" si="114"/>
        <v>2.6177484722432866E-4</v>
      </c>
      <c r="L134" s="140">
        <f t="shared" si="114"/>
        <v>2.3596166295152172E-4</v>
      </c>
      <c r="M134" s="140">
        <f t="shared" si="114"/>
        <v>5.1883488508679652E-4</v>
      </c>
      <c r="N134" s="140">
        <f t="shared" si="114"/>
        <v>4.8563065278994219E-4</v>
      </c>
      <c r="O134" s="140">
        <f t="shared" si="114"/>
        <v>4.911146386222926E-4</v>
      </c>
      <c r="P134" s="140">
        <f t="shared" si="114"/>
        <v>4.730781791862388E-4</v>
      </c>
      <c r="Q134" s="140">
        <f t="shared" si="114"/>
        <v>4.2850947730951856E-4</v>
      </c>
      <c r="R134" s="140">
        <f t="shared" si="114"/>
        <v>4.3058659539644081E-4</v>
      </c>
      <c r="S134" s="140">
        <f t="shared" si="114"/>
        <v>4.090677851800894E-4</v>
      </c>
      <c r="T134" s="140">
        <f t="shared" si="114"/>
        <v>3.9943906965543693E-4</v>
      </c>
      <c r="U134" s="140">
        <f t="shared" si="114"/>
        <v>3.8395869360525092E-4</v>
      </c>
      <c r="V134" s="140">
        <f t="shared" si="114"/>
        <v>5.2588780508366407E-4</v>
      </c>
      <c r="W134" s="140">
        <f t="shared" si="114"/>
        <v>5.631276225394131E-4</v>
      </c>
      <c r="X134" s="140">
        <f t="shared" si="114"/>
        <v>4.7223993117641511E-4</v>
      </c>
      <c r="Y134" s="140">
        <f t="shared" si="114"/>
        <v>4.5696937231958222E-4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0.12158890771613567</v>
      </c>
      <c r="C135" s="124">
        <f t="shared" ref="C135:Y135" si="115">IF(C43=0,0,C43/C$34)</f>
        <v>0.11474851361420729</v>
      </c>
      <c r="D135" s="124">
        <f t="shared" si="115"/>
        <v>9.9236851601456913E-2</v>
      </c>
      <c r="E135" s="124">
        <f t="shared" si="115"/>
        <v>8.9476250590480935E-2</v>
      </c>
      <c r="F135" s="124">
        <f t="shared" si="115"/>
        <v>0.10192018853927347</v>
      </c>
      <c r="G135" s="124">
        <f t="shared" si="115"/>
        <v>0.110481206524484</v>
      </c>
      <c r="H135" s="124">
        <f t="shared" si="115"/>
        <v>0.11606604995753932</v>
      </c>
      <c r="I135" s="124">
        <f t="shared" si="115"/>
        <v>0.12029059277921823</v>
      </c>
      <c r="J135" s="124">
        <f t="shared" si="115"/>
        <v>0.12406717548056248</v>
      </c>
      <c r="K135" s="124">
        <f t="shared" si="115"/>
        <v>0.11134972658076396</v>
      </c>
      <c r="L135" s="124">
        <f t="shared" si="115"/>
        <v>0.11659130209041808</v>
      </c>
      <c r="M135" s="124">
        <f t="shared" si="115"/>
        <v>0.12435252282529136</v>
      </c>
      <c r="N135" s="124">
        <f t="shared" si="115"/>
        <v>0.12223211995632743</v>
      </c>
      <c r="O135" s="124">
        <f t="shared" si="115"/>
        <v>0.11531672360045782</v>
      </c>
      <c r="P135" s="124">
        <f t="shared" si="115"/>
        <v>0.11391193741437169</v>
      </c>
      <c r="Q135" s="124">
        <f t="shared" si="115"/>
        <v>0.11867541771263694</v>
      </c>
      <c r="R135" s="124">
        <f t="shared" si="115"/>
        <v>0.1263365921165156</v>
      </c>
      <c r="S135" s="124">
        <f t="shared" si="115"/>
        <v>0.12171229589129076</v>
      </c>
      <c r="T135" s="124">
        <f t="shared" si="115"/>
        <v>0.13353875589371272</v>
      </c>
      <c r="U135" s="124">
        <f t="shared" si="115"/>
        <v>0.15171233033046388</v>
      </c>
      <c r="V135" s="124">
        <f t="shared" si="115"/>
        <v>6.7208663095320934E-2</v>
      </c>
      <c r="W135" s="124">
        <f t="shared" si="115"/>
        <v>8.0820840869135588E-2</v>
      </c>
      <c r="X135" s="124">
        <f t="shared" si="115"/>
        <v>0.1177309251558008</v>
      </c>
      <c r="Y135" s="124">
        <f t="shared" si="115"/>
        <v>0.15530435843380422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7.3043525840637584E-3</v>
      </c>
      <c r="C136" s="140">
        <f t="shared" ref="C136:Y136" si="116">IF(C44=0,0,C44/C$34)</f>
        <v>6.6732394000504382E-3</v>
      </c>
      <c r="D136" s="140">
        <f t="shared" si="116"/>
        <v>6.3467317507474742E-3</v>
      </c>
      <c r="E136" s="140">
        <f t="shared" si="116"/>
        <v>5.8653072198391809E-3</v>
      </c>
      <c r="F136" s="140">
        <f t="shared" si="116"/>
        <v>6.0425259161139815E-3</v>
      </c>
      <c r="G136" s="140">
        <f t="shared" si="116"/>
        <v>5.8930401784451679E-3</v>
      </c>
      <c r="H136" s="140">
        <f t="shared" si="116"/>
        <v>6.2247914068921627E-3</v>
      </c>
      <c r="I136" s="140">
        <f t="shared" si="116"/>
        <v>6.2063799260690554E-3</v>
      </c>
      <c r="J136" s="140">
        <f t="shared" si="116"/>
        <v>6.2502575464011096E-3</v>
      </c>
      <c r="K136" s="140">
        <f t="shared" si="116"/>
        <v>6.2658394792141064E-3</v>
      </c>
      <c r="L136" s="140">
        <f t="shared" si="116"/>
        <v>5.9734190595921209E-3</v>
      </c>
      <c r="M136" s="140">
        <f t="shared" si="116"/>
        <v>6.0388185376353881E-3</v>
      </c>
      <c r="N136" s="140">
        <f t="shared" si="116"/>
        <v>5.7625626858012827E-3</v>
      </c>
      <c r="O136" s="140">
        <f t="shared" si="116"/>
        <v>5.6838254434854862E-3</v>
      </c>
      <c r="P136" s="140">
        <f t="shared" si="116"/>
        <v>5.4521801269285675E-3</v>
      </c>
      <c r="Q136" s="140">
        <f t="shared" si="116"/>
        <v>5.3425424085345626E-3</v>
      </c>
      <c r="R136" s="140">
        <f t="shared" si="116"/>
        <v>5.1278094018536472E-3</v>
      </c>
      <c r="S136" s="140">
        <f t="shared" si="116"/>
        <v>4.9003587750085136E-3</v>
      </c>
      <c r="T136" s="140">
        <f t="shared" si="116"/>
        <v>5.0116601738950314E-3</v>
      </c>
      <c r="U136" s="140">
        <f t="shared" si="116"/>
        <v>4.1127048721525429E-3</v>
      </c>
      <c r="V136" s="140">
        <f t="shared" si="116"/>
        <v>3.5236624077855097E-3</v>
      </c>
      <c r="W136" s="140">
        <f t="shared" si="116"/>
        <v>3.3089295402345636E-3</v>
      </c>
      <c r="X136" s="140">
        <f t="shared" si="116"/>
        <v>3.4785954565868648E-3</v>
      </c>
      <c r="Y136" s="140">
        <f t="shared" si="116"/>
        <v>3.3293585429424529E-3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5.7882324232536857E-2</v>
      </c>
      <c r="C137" s="140">
        <f t="shared" ref="C137:Y137" si="117">IF(C45=0,0,C45/C$34)</f>
        <v>5.37987696701938E-2</v>
      </c>
      <c r="D137" s="140">
        <f t="shared" si="117"/>
        <v>4.6649356383262154E-2</v>
      </c>
      <c r="E137" s="140">
        <f t="shared" si="117"/>
        <v>4.247199629421905E-2</v>
      </c>
      <c r="F137" s="140">
        <f t="shared" si="117"/>
        <v>4.5987714037312409E-2</v>
      </c>
      <c r="G137" s="140">
        <f t="shared" si="117"/>
        <v>5.0086866117698164E-2</v>
      </c>
      <c r="H137" s="140">
        <f t="shared" si="117"/>
        <v>5.3041661877758779E-2</v>
      </c>
      <c r="I137" s="140">
        <f t="shared" si="117"/>
        <v>5.5983788913955064E-2</v>
      </c>
      <c r="J137" s="140">
        <f t="shared" si="117"/>
        <v>5.7083060029109275E-2</v>
      </c>
      <c r="K137" s="140">
        <f t="shared" si="117"/>
        <v>4.9732354467071978E-2</v>
      </c>
      <c r="L137" s="140">
        <f t="shared" si="117"/>
        <v>5.2112204101420374E-2</v>
      </c>
      <c r="M137" s="140">
        <f t="shared" si="117"/>
        <v>5.5805557752705827E-2</v>
      </c>
      <c r="N137" s="140">
        <f t="shared" si="117"/>
        <v>5.4179297671536557E-2</v>
      </c>
      <c r="O137" s="140">
        <f t="shared" si="117"/>
        <v>5.0684372878988179E-2</v>
      </c>
      <c r="P137" s="140">
        <f t="shared" si="117"/>
        <v>5.0523206660976802E-2</v>
      </c>
      <c r="Q137" s="140">
        <f t="shared" si="117"/>
        <v>5.3190800303497057E-2</v>
      </c>
      <c r="R137" s="140">
        <f t="shared" si="117"/>
        <v>5.9136849213002766E-2</v>
      </c>
      <c r="S137" s="140">
        <f t="shared" si="117"/>
        <v>5.8049076983481412E-2</v>
      </c>
      <c r="T137" s="140">
        <f t="shared" si="117"/>
        <v>6.3688937734635062E-2</v>
      </c>
      <c r="U137" s="140">
        <f t="shared" si="117"/>
        <v>7.1604039874540462E-2</v>
      </c>
      <c r="V137" s="140">
        <f t="shared" si="117"/>
        <v>2.6590447286461604E-2</v>
      </c>
      <c r="W137" s="140">
        <f t="shared" si="117"/>
        <v>3.4977300984108936E-2</v>
      </c>
      <c r="X137" s="140">
        <f t="shared" si="117"/>
        <v>5.7501754811554104E-2</v>
      </c>
      <c r="Y137" s="140">
        <f t="shared" si="117"/>
        <v>7.4826132137762569E-2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5.6402230899535076E-2</v>
      </c>
      <c r="C138" s="140">
        <f t="shared" ref="C138:Y138" si="118">IF(C46=0,0,C46/C$34)</f>
        <v>5.4276504543963058E-2</v>
      </c>
      <c r="D138" s="140">
        <f t="shared" si="118"/>
        <v>4.6240763467447279E-2</v>
      </c>
      <c r="E138" s="140">
        <f t="shared" si="118"/>
        <v>4.1138947076422711E-2</v>
      </c>
      <c r="F138" s="140">
        <f t="shared" si="118"/>
        <v>4.988994858584709E-2</v>
      </c>
      <c r="G138" s="140">
        <f t="shared" si="118"/>
        <v>5.4501300228340668E-2</v>
      </c>
      <c r="H138" s="140">
        <f t="shared" si="118"/>
        <v>5.6799596672888385E-2</v>
      </c>
      <c r="I138" s="140">
        <f t="shared" si="118"/>
        <v>5.810042393919411E-2</v>
      </c>
      <c r="J138" s="140">
        <f t="shared" si="118"/>
        <v>6.0733857905052098E-2</v>
      </c>
      <c r="K138" s="140">
        <f t="shared" si="118"/>
        <v>5.5351532634477868E-2</v>
      </c>
      <c r="L138" s="140">
        <f t="shared" si="118"/>
        <v>5.8505678929405579E-2</v>
      </c>
      <c r="M138" s="140">
        <f t="shared" si="118"/>
        <v>6.250814653495014E-2</v>
      </c>
      <c r="N138" s="140">
        <f t="shared" si="118"/>
        <v>6.2290259598989595E-2</v>
      </c>
      <c r="O138" s="140">
        <f t="shared" si="118"/>
        <v>5.8948525277984151E-2</v>
      </c>
      <c r="P138" s="140">
        <f t="shared" si="118"/>
        <v>5.793655062646634E-2</v>
      </c>
      <c r="Q138" s="140">
        <f t="shared" si="118"/>
        <v>6.0142075000605311E-2</v>
      </c>
      <c r="R138" s="140">
        <f t="shared" si="118"/>
        <v>6.2071933501659203E-2</v>
      </c>
      <c r="S138" s="140">
        <f t="shared" si="118"/>
        <v>5.876286013280084E-2</v>
      </c>
      <c r="T138" s="140">
        <f t="shared" si="118"/>
        <v>6.4838157985182637E-2</v>
      </c>
      <c r="U138" s="140">
        <f t="shared" si="118"/>
        <v>7.5995585583770869E-2</v>
      </c>
      <c r="V138" s="140">
        <f t="shared" si="118"/>
        <v>3.7094553401073815E-2</v>
      </c>
      <c r="W138" s="140">
        <f t="shared" si="118"/>
        <v>4.2534610344792098E-2</v>
      </c>
      <c r="X138" s="140">
        <f t="shared" si="118"/>
        <v>5.6750574887659833E-2</v>
      </c>
      <c r="Y138" s="140">
        <f t="shared" si="118"/>
        <v>7.714886775309919E-2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0.93284670426282101</v>
      </c>
      <c r="C140" s="139">
        <f t="shared" ref="C140:Y140" si="121">IF(C48=0,0,C48/C$47)</f>
        <v>0.94123081059195779</v>
      </c>
      <c r="D140" s="139">
        <f t="shared" si="121"/>
        <v>0.94702384748676116</v>
      </c>
      <c r="E140" s="139">
        <f t="shared" si="121"/>
        <v>0.95290571644607236</v>
      </c>
      <c r="F140" s="139">
        <f t="shared" si="121"/>
        <v>0.94606038676443238</v>
      </c>
      <c r="G140" s="139">
        <f t="shared" si="121"/>
        <v>0.94803372474048953</v>
      </c>
      <c r="H140" s="139">
        <f t="shared" si="121"/>
        <v>0.94375060876555705</v>
      </c>
      <c r="I140" s="139">
        <f t="shared" si="121"/>
        <v>0.94582352267827974</v>
      </c>
      <c r="J140" s="139">
        <f t="shared" si="121"/>
        <v>0.94550185080309712</v>
      </c>
      <c r="K140" s="139">
        <f t="shared" si="121"/>
        <v>0.95066442877912738</v>
      </c>
      <c r="L140" s="139">
        <f t="shared" si="121"/>
        <v>0.95058170081254767</v>
      </c>
      <c r="M140" s="139">
        <f t="shared" si="121"/>
        <v>0.94623549946053143</v>
      </c>
      <c r="N140" s="139">
        <f t="shared" si="121"/>
        <v>0.94986702090034514</v>
      </c>
      <c r="O140" s="139">
        <f t="shared" si="121"/>
        <v>0.9551575130741522</v>
      </c>
      <c r="P140" s="139">
        <f t="shared" si="121"/>
        <v>0.95426389025749137</v>
      </c>
      <c r="Q140" s="139">
        <f t="shared" si="121"/>
        <v>0.9558551933778191</v>
      </c>
      <c r="R140" s="139">
        <f t="shared" si="121"/>
        <v>0.95626873504375065</v>
      </c>
      <c r="S140" s="139">
        <f t="shared" si="121"/>
        <v>0.9555366929973268</v>
      </c>
      <c r="T140" s="139">
        <f t="shared" si="121"/>
        <v>0.95601149311940015</v>
      </c>
      <c r="U140" s="139">
        <f t="shared" si="121"/>
        <v>0.95459711581140694</v>
      </c>
      <c r="V140" s="139">
        <f t="shared" si="121"/>
        <v>0.96195570755564341</v>
      </c>
      <c r="W140" s="139">
        <f t="shared" si="121"/>
        <v>0.95990467332656726</v>
      </c>
      <c r="X140" s="139">
        <f t="shared" si="121"/>
        <v>0.95373385133085298</v>
      </c>
      <c r="Y140" s="139">
        <f t="shared" si="121"/>
        <v>0.9530509607347919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0.21602663946278183</v>
      </c>
      <c r="C141" s="140">
        <f t="shared" ref="C141:Y141" si="122">IF(C49=0,0,C49/C$47)</f>
        <v>0.19534704469147218</v>
      </c>
      <c r="D141" s="140">
        <f t="shared" si="122"/>
        <v>0.18200577210452321</v>
      </c>
      <c r="E141" s="140">
        <f t="shared" si="122"/>
        <v>0.17051288584660068</v>
      </c>
      <c r="F141" s="140">
        <f t="shared" si="122"/>
        <v>0.16790346681161586</v>
      </c>
      <c r="G141" s="140">
        <f t="shared" si="122"/>
        <v>0.16325640313513237</v>
      </c>
      <c r="H141" s="140">
        <f t="shared" si="122"/>
        <v>0.1746064801150215</v>
      </c>
      <c r="I141" s="140">
        <f t="shared" si="122"/>
        <v>0.17758328216306662</v>
      </c>
      <c r="J141" s="140">
        <f t="shared" si="122"/>
        <v>0.18047576991752545</v>
      </c>
      <c r="K141" s="140">
        <f t="shared" si="122"/>
        <v>0.18870211668421036</v>
      </c>
      <c r="L141" s="140">
        <f t="shared" si="122"/>
        <v>0.17579687581342368</v>
      </c>
      <c r="M141" s="140">
        <f t="shared" si="122"/>
        <v>0.19096159759476017</v>
      </c>
      <c r="N141" s="140">
        <f t="shared" si="122"/>
        <v>0.18733996504136344</v>
      </c>
      <c r="O141" s="140">
        <f t="shared" si="122"/>
        <v>0.16865240400272657</v>
      </c>
      <c r="P141" s="140">
        <f t="shared" si="122"/>
        <v>0.18145004337262671</v>
      </c>
      <c r="Q141" s="140">
        <f t="shared" si="122"/>
        <v>0.18087660417716137</v>
      </c>
      <c r="R141" s="140">
        <f t="shared" si="122"/>
        <v>0.17998258716736107</v>
      </c>
      <c r="S141" s="140">
        <f t="shared" si="122"/>
        <v>0.17658439128809941</v>
      </c>
      <c r="T141" s="140">
        <f t="shared" si="122"/>
        <v>0.17469328879694065</v>
      </c>
      <c r="U141" s="140">
        <f t="shared" si="122"/>
        <v>0.17481026981679074</v>
      </c>
      <c r="V141" s="140">
        <f t="shared" si="122"/>
        <v>0.18768984263048735</v>
      </c>
      <c r="W141" s="140">
        <f t="shared" si="122"/>
        <v>0.19187007272390166</v>
      </c>
      <c r="X141" s="140">
        <f t="shared" si="122"/>
        <v>0.22144900422984029</v>
      </c>
      <c r="Y141" s="140">
        <f t="shared" si="122"/>
        <v>0.2407689196905185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0.71682006480003924</v>
      </c>
      <c r="C142" s="140">
        <f t="shared" ref="C142:Y142" si="123">IF(C50=0,0,C50/C$47)</f>
        <v>0.74588376590048555</v>
      </c>
      <c r="D142" s="140">
        <f t="shared" si="123"/>
        <v>0.76501807538223787</v>
      </c>
      <c r="E142" s="140">
        <f t="shared" si="123"/>
        <v>0.78239283059947173</v>
      </c>
      <c r="F142" s="140">
        <f t="shared" si="123"/>
        <v>0.77815691995281655</v>
      </c>
      <c r="G142" s="140">
        <f t="shared" si="123"/>
        <v>0.78477732160535707</v>
      </c>
      <c r="H142" s="140">
        <f t="shared" si="123"/>
        <v>0.76914412865053561</v>
      </c>
      <c r="I142" s="140">
        <f t="shared" si="123"/>
        <v>0.76824024051521311</v>
      </c>
      <c r="J142" s="140">
        <f t="shared" si="123"/>
        <v>0.76502608088557156</v>
      </c>
      <c r="K142" s="140">
        <f t="shared" si="123"/>
        <v>0.76196231209491694</v>
      </c>
      <c r="L142" s="140">
        <f t="shared" si="123"/>
        <v>0.77478482499912404</v>
      </c>
      <c r="M142" s="140">
        <f t="shared" si="123"/>
        <v>0.75527390186577115</v>
      </c>
      <c r="N142" s="140">
        <f t="shared" si="123"/>
        <v>0.76252705585898162</v>
      </c>
      <c r="O142" s="140">
        <f t="shared" si="123"/>
        <v>0.78650510907142568</v>
      </c>
      <c r="P142" s="140">
        <f t="shared" si="123"/>
        <v>0.77281384688486465</v>
      </c>
      <c r="Q142" s="140">
        <f t="shared" si="123"/>
        <v>0.77497858920065765</v>
      </c>
      <c r="R142" s="140">
        <f t="shared" si="123"/>
        <v>0.7762861478763895</v>
      </c>
      <c r="S142" s="140">
        <f t="shared" si="123"/>
        <v>0.77895230170922736</v>
      </c>
      <c r="T142" s="140">
        <f t="shared" si="123"/>
        <v>0.78131820432245958</v>
      </c>
      <c r="U142" s="140">
        <f t="shared" si="123"/>
        <v>0.77978684599461623</v>
      </c>
      <c r="V142" s="140">
        <f t="shared" si="123"/>
        <v>0.77426586492515603</v>
      </c>
      <c r="W142" s="140">
        <f t="shared" si="123"/>
        <v>0.7680346006026656</v>
      </c>
      <c r="X142" s="140">
        <f t="shared" si="123"/>
        <v>0.73228484710101271</v>
      </c>
      <c r="Y142" s="140">
        <f t="shared" si="123"/>
        <v>0.7122820410442734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4.5250576999713854E-2</v>
      </c>
      <c r="C143" s="124">
        <f t="shared" ref="C143:Y143" si="124">IF(C51=0,0,C51/C$47)</f>
        <v>3.9045838611037956E-2</v>
      </c>
      <c r="D143" s="124">
        <f t="shared" si="124"/>
        <v>3.3782339451630866E-2</v>
      </c>
      <c r="E143" s="124">
        <f t="shared" si="124"/>
        <v>3.0890971822166984E-2</v>
      </c>
      <c r="F143" s="124">
        <f t="shared" si="124"/>
        <v>3.374183908710076E-2</v>
      </c>
      <c r="G143" s="124">
        <f t="shared" si="124"/>
        <v>3.1800941626834091E-2</v>
      </c>
      <c r="H143" s="124">
        <f t="shared" si="124"/>
        <v>3.5347567765601461E-2</v>
      </c>
      <c r="I143" s="124">
        <f t="shared" si="124"/>
        <v>3.3316686372078491E-2</v>
      </c>
      <c r="J143" s="124">
        <f t="shared" si="124"/>
        <v>3.4232026719072647E-2</v>
      </c>
      <c r="K143" s="124">
        <f t="shared" si="124"/>
        <v>2.996661297444099E-2</v>
      </c>
      <c r="L143" s="124">
        <f t="shared" si="124"/>
        <v>2.9429076593883038E-2</v>
      </c>
      <c r="M143" s="124">
        <f t="shared" si="124"/>
        <v>3.1561756300220116E-2</v>
      </c>
      <c r="N143" s="124">
        <f t="shared" si="124"/>
        <v>2.8556376388271049E-2</v>
      </c>
      <c r="O143" s="124">
        <f t="shared" si="124"/>
        <v>2.4580746234467248E-2</v>
      </c>
      <c r="P143" s="124">
        <f t="shared" si="124"/>
        <v>2.4217024545624143E-2</v>
      </c>
      <c r="Q143" s="124">
        <f t="shared" si="124"/>
        <v>2.2957085601387255E-2</v>
      </c>
      <c r="R143" s="124">
        <f t="shared" si="124"/>
        <v>2.1984744247530757E-2</v>
      </c>
      <c r="S143" s="124">
        <f t="shared" si="124"/>
        <v>2.1914964516628156E-2</v>
      </c>
      <c r="T143" s="124">
        <f t="shared" si="124"/>
        <v>2.142266047036704E-2</v>
      </c>
      <c r="U143" s="124">
        <f t="shared" si="124"/>
        <v>2.1330989992819776E-2</v>
      </c>
      <c r="V143" s="124">
        <f t="shared" si="124"/>
        <v>2.5363915004074471E-2</v>
      </c>
      <c r="W143" s="124">
        <f t="shared" si="124"/>
        <v>2.4252184632180401E-2</v>
      </c>
      <c r="X143" s="124">
        <f t="shared" si="124"/>
        <v>2.7557726947933976E-2</v>
      </c>
      <c r="Y143" s="124">
        <f t="shared" si="124"/>
        <v>2.5723627224744139E-2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4.4907574370810829E-3</v>
      </c>
      <c r="C144" s="124">
        <f t="shared" ref="C144:Y144" si="125">IF(C52=0,0,C52/C$47)</f>
        <v>3.3884207885830236E-3</v>
      </c>
      <c r="D144" s="124">
        <f t="shared" si="125"/>
        <v>3.5643203259634743E-3</v>
      </c>
      <c r="E144" s="124">
        <f t="shared" si="125"/>
        <v>3.1526230260717912E-3</v>
      </c>
      <c r="F144" s="124">
        <f t="shared" si="125"/>
        <v>4.6485700658650975E-3</v>
      </c>
      <c r="G144" s="124">
        <f t="shared" si="125"/>
        <v>5.4487462109663728E-3</v>
      </c>
      <c r="H144" s="124">
        <f t="shared" si="125"/>
        <v>6.228573091417334E-3</v>
      </c>
      <c r="I144" s="124">
        <f t="shared" si="125"/>
        <v>5.7838850787235987E-3</v>
      </c>
      <c r="J144" s="124">
        <f t="shared" si="125"/>
        <v>5.5361010346926713E-3</v>
      </c>
      <c r="K144" s="124">
        <f t="shared" si="125"/>
        <v>4.8794293054865391E-3</v>
      </c>
      <c r="L144" s="124">
        <f t="shared" si="125"/>
        <v>5.1375635299956562E-3</v>
      </c>
      <c r="M144" s="124">
        <f t="shared" si="125"/>
        <v>6.857730507887138E-3</v>
      </c>
      <c r="N144" s="124">
        <f t="shared" si="125"/>
        <v>6.917802245767447E-3</v>
      </c>
      <c r="O144" s="124">
        <f t="shared" si="125"/>
        <v>6.5998646166710922E-3</v>
      </c>
      <c r="P144" s="124">
        <f t="shared" si="125"/>
        <v>7.2352101122459536E-3</v>
      </c>
      <c r="Q144" s="124">
        <f t="shared" si="125"/>
        <v>8.302252728141564E-3</v>
      </c>
      <c r="R144" s="124">
        <f t="shared" si="125"/>
        <v>8.4272103103162736E-3</v>
      </c>
      <c r="S144" s="124">
        <f t="shared" si="125"/>
        <v>9.034651452815734E-3</v>
      </c>
      <c r="T144" s="124">
        <f t="shared" si="125"/>
        <v>1.0261554115336502E-2</v>
      </c>
      <c r="U144" s="124">
        <f t="shared" si="125"/>
        <v>1.0580881686840382E-2</v>
      </c>
      <c r="V144" s="124">
        <f t="shared" si="125"/>
        <v>5.5240512194627018E-3</v>
      </c>
      <c r="W144" s="124">
        <f t="shared" si="125"/>
        <v>5.8528830560689235E-3</v>
      </c>
      <c r="X144" s="124">
        <f t="shared" si="125"/>
        <v>6.5808961590901648E-3</v>
      </c>
      <c r="Y144" s="124">
        <f t="shared" si="125"/>
        <v>8.1219803346000811E-3</v>
      </c>
      <c r="DA144" s="176"/>
    </row>
    <row r="145" spans="1:105" ht="11.45" customHeight="1" x14ac:dyDescent="0.25">
      <c r="A145" s="128" t="s">
        <v>27</v>
      </c>
      <c r="B145" s="140">
        <f t="shared" si="119"/>
        <v>9.7332067576588906E-5</v>
      </c>
      <c r="C145" s="140">
        <f t="shared" ref="C145:Y145" si="126">IF(C53=0,0,C53/C$47)</f>
        <v>5.6223403750685758E-5</v>
      </c>
      <c r="D145" s="140">
        <f t="shared" si="126"/>
        <v>4.8908683674781488E-5</v>
      </c>
      <c r="E145" s="140">
        <f t="shared" si="126"/>
        <v>4.6338746683542493E-5</v>
      </c>
      <c r="F145" s="140">
        <f t="shared" si="126"/>
        <v>6.4283325612407514E-5</v>
      </c>
      <c r="G145" s="140">
        <f t="shared" si="126"/>
        <v>6.3915499825248858E-5</v>
      </c>
      <c r="H145" s="140">
        <f t="shared" si="126"/>
        <v>6.9862109050460735E-5</v>
      </c>
      <c r="I145" s="140">
        <f t="shared" si="126"/>
        <v>6.1752891355388657E-5</v>
      </c>
      <c r="J145" s="140">
        <f t="shared" si="126"/>
        <v>6.3765291833882157E-5</v>
      </c>
      <c r="K145" s="140">
        <f t="shared" si="126"/>
        <v>6.2868386989167472E-5</v>
      </c>
      <c r="L145" s="140">
        <f t="shared" si="126"/>
        <v>4.7237306042651225E-5</v>
      </c>
      <c r="M145" s="140">
        <f t="shared" si="126"/>
        <v>4.6586867857474759E-5</v>
      </c>
      <c r="N145" s="140">
        <f t="shared" si="126"/>
        <v>3.1414356841925564E-5</v>
      </c>
      <c r="O145" s="140">
        <f t="shared" si="126"/>
        <v>2.1597266034305117E-5</v>
      </c>
      <c r="P145" s="140">
        <f t="shared" si="126"/>
        <v>1.4881450492799865E-5</v>
      </c>
      <c r="Q145" s="140">
        <f t="shared" si="126"/>
        <v>1.5251502704831164E-5</v>
      </c>
      <c r="R145" s="140">
        <f t="shared" si="126"/>
        <v>9.0888203007006738E-6</v>
      </c>
      <c r="S145" s="140">
        <f t="shared" si="126"/>
        <v>6.8035348101391802E-6</v>
      </c>
      <c r="T145" s="140">
        <f t="shared" si="126"/>
        <v>7.0032517623105312E-6</v>
      </c>
      <c r="U145" s="140">
        <f t="shared" si="126"/>
        <v>1.5435537180637559E-6</v>
      </c>
      <c r="V145" s="140">
        <f t="shared" si="126"/>
        <v>1.5849271731342842E-6</v>
      </c>
      <c r="W145" s="140">
        <f t="shared" si="126"/>
        <v>1.9396189765936204E-6</v>
      </c>
      <c r="X145" s="140">
        <f t="shared" si="126"/>
        <v>1.5560767446599191E-6</v>
      </c>
      <c r="Y145" s="140">
        <f t="shared" si="126"/>
        <v>1.6604323559455729E-6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2.5840321968689222E-3</v>
      </c>
      <c r="C146" s="140">
        <f t="shared" ref="C146:Y146" si="127">IF(C54=0,0,C54/C$47)</f>
        <v>2.0152693472772734E-3</v>
      </c>
      <c r="D146" s="140">
        <f t="shared" si="127"/>
        <v>2.2312928028201955E-3</v>
      </c>
      <c r="E146" s="140">
        <f t="shared" si="127"/>
        <v>1.952536022280241E-3</v>
      </c>
      <c r="F146" s="140">
        <f t="shared" si="127"/>
        <v>3.2360304554054139E-3</v>
      </c>
      <c r="G146" s="140">
        <f t="shared" si="127"/>
        <v>3.5879516040682501E-3</v>
      </c>
      <c r="H146" s="140">
        <f t="shared" si="127"/>
        <v>4.2644349607593645E-3</v>
      </c>
      <c r="I146" s="140">
        <f t="shared" si="127"/>
        <v>3.8263845371943302E-3</v>
      </c>
      <c r="J146" s="140">
        <f t="shared" si="127"/>
        <v>3.6438656006027126E-3</v>
      </c>
      <c r="K146" s="140">
        <f t="shared" si="127"/>
        <v>3.3528860307512312E-3</v>
      </c>
      <c r="L146" s="140">
        <f t="shared" si="127"/>
        <v>3.5678249503036221E-3</v>
      </c>
      <c r="M146" s="140">
        <f t="shared" si="127"/>
        <v>4.1683285695001118E-3</v>
      </c>
      <c r="N146" s="140">
        <f t="shared" si="127"/>
        <v>3.5984844394136421E-3</v>
      </c>
      <c r="O146" s="140">
        <f t="shared" si="127"/>
        <v>3.4022983364852205E-3</v>
      </c>
      <c r="P146" s="140">
        <f t="shared" si="127"/>
        <v>3.778706113725285E-3</v>
      </c>
      <c r="Q146" s="140">
        <f t="shared" si="127"/>
        <v>3.4729763594661422E-3</v>
      </c>
      <c r="R146" s="140">
        <f t="shared" si="127"/>
        <v>3.0676418287469984E-3</v>
      </c>
      <c r="S146" s="140">
        <f t="shared" si="127"/>
        <v>3.5035869993731588E-3</v>
      </c>
      <c r="T146" s="140">
        <f t="shared" si="127"/>
        <v>3.4762399716558564E-3</v>
      </c>
      <c r="U146" s="140">
        <f t="shared" si="127"/>
        <v>3.5206916400231064E-3</v>
      </c>
      <c r="V146" s="140">
        <f t="shared" si="127"/>
        <v>2.9833003255389091E-3</v>
      </c>
      <c r="W146" s="140">
        <f t="shared" si="127"/>
        <v>3.946095107796704E-3</v>
      </c>
      <c r="X146" s="140">
        <f t="shared" si="127"/>
        <v>4.1949767548244447E-3</v>
      </c>
      <c r="Y146" s="140">
        <f t="shared" si="127"/>
        <v>5.0779701515434091E-3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1.8093931726355721E-3</v>
      </c>
      <c r="C147" s="140">
        <f t="shared" ref="C147:Y147" si="128">IF(C55=0,0,C55/C$47)</f>
        <v>1.3169280375550645E-3</v>
      </c>
      <c r="D147" s="140">
        <f t="shared" si="128"/>
        <v>1.2841188394684972E-3</v>
      </c>
      <c r="E147" s="140">
        <f t="shared" si="128"/>
        <v>1.1537482571080079E-3</v>
      </c>
      <c r="F147" s="140">
        <f t="shared" si="128"/>
        <v>1.3482562848472757E-3</v>
      </c>
      <c r="G147" s="140">
        <f t="shared" si="128"/>
        <v>1.7968791070728739E-3</v>
      </c>
      <c r="H147" s="140">
        <f t="shared" si="128"/>
        <v>1.8942760216075093E-3</v>
      </c>
      <c r="I147" s="140">
        <f t="shared" si="128"/>
        <v>1.8957476501738797E-3</v>
      </c>
      <c r="J147" s="140">
        <f t="shared" si="128"/>
        <v>1.8284701422560765E-3</v>
      </c>
      <c r="K147" s="140">
        <f t="shared" si="128"/>
        <v>1.4636748877461404E-3</v>
      </c>
      <c r="L147" s="140">
        <f t="shared" si="128"/>
        <v>1.522501273649383E-3</v>
      </c>
      <c r="M147" s="140">
        <f t="shared" si="128"/>
        <v>2.642815070529552E-3</v>
      </c>
      <c r="N147" s="140">
        <f t="shared" si="128"/>
        <v>3.28790344951188E-3</v>
      </c>
      <c r="O147" s="140">
        <f t="shared" si="128"/>
        <v>3.1759690141515669E-3</v>
      </c>
      <c r="P147" s="140">
        <f t="shared" si="128"/>
        <v>3.4416225480278688E-3</v>
      </c>
      <c r="Q147" s="140">
        <f t="shared" si="128"/>
        <v>4.8140248659705913E-3</v>
      </c>
      <c r="R147" s="140">
        <f t="shared" si="128"/>
        <v>5.3504796612685738E-3</v>
      </c>
      <c r="S147" s="140">
        <f t="shared" si="128"/>
        <v>5.5242609186324345E-3</v>
      </c>
      <c r="T147" s="140">
        <f t="shared" si="128"/>
        <v>6.7783108919183361E-3</v>
      </c>
      <c r="U147" s="140">
        <f t="shared" si="128"/>
        <v>7.0586464930992108E-3</v>
      </c>
      <c r="V147" s="140">
        <f t="shared" si="128"/>
        <v>2.5391659667506582E-3</v>
      </c>
      <c r="W147" s="140">
        <f t="shared" si="128"/>
        <v>1.9048483292956259E-3</v>
      </c>
      <c r="X147" s="140">
        <f t="shared" si="128"/>
        <v>2.3843633275210593E-3</v>
      </c>
      <c r="Y147" s="140">
        <f t="shared" si="128"/>
        <v>3.042349750700727E-3</v>
      </c>
      <c r="DA147" s="175"/>
    </row>
    <row r="148" spans="1:105" ht="11.45" customHeight="1" x14ac:dyDescent="0.25">
      <c r="A148" s="109" t="s">
        <v>141</v>
      </c>
      <c r="B148" s="124">
        <f t="shared" si="119"/>
        <v>1.741196130038411E-2</v>
      </c>
      <c r="C148" s="124">
        <f t="shared" ref="C148:Y148" si="129">IF(C56=0,0,C56/C$47)</f>
        <v>1.6334930008421171E-2</v>
      </c>
      <c r="D148" s="124">
        <f t="shared" si="129"/>
        <v>1.5629492735644509E-2</v>
      </c>
      <c r="E148" s="124">
        <f t="shared" si="129"/>
        <v>1.3050688705688866E-2</v>
      </c>
      <c r="F148" s="124">
        <f t="shared" si="129"/>
        <v>1.5549204082601712E-2</v>
      </c>
      <c r="G148" s="124">
        <f t="shared" si="129"/>
        <v>1.4716587421709918E-2</v>
      </c>
      <c r="H148" s="124">
        <f t="shared" si="129"/>
        <v>1.4673250377424223E-2</v>
      </c>
      <c r="I148" s="124">
        <f t="shared" si="129"/>
        <v>1.5075905870918102E-2</v>
      </c>
      <c r="J148" s="124">
        <f t="shared" si="129"/>
        <v>1.4730021443137734E-2</v>
      </c>
      <c r="K148" s="124">
        <f t="shared" si="129"/>
        <v>1.4489528940945228E-2</v>
      </c>
      <c r="L148" s="124">
        <f t="shared" si="129"/>
        <v>1.485165906357361E-2</v>
      </c>
      <c r="M148" s="124">
        <f t="shared" si="129"/>
        <v>1.5345013731361302E-2</v>
      </c>
      <c r="N148" s="124">
        <f t="shared" si="129"/>
        <v>1.4658800465616429E-2</v>
      </c>
      <c r="O148" s="124">
        <f t="shared" si="129"/>
        <v>1.366187607470935E-2</v>
      </c>
      <c r="P148" s="124">
        <f t="shared" si="129"/>
        <v>1.428387508463864E-2</v>
      </c>
      <c r="Q148" s="124">
        <f t="shared" si="129"/>
        <v>1.2885468292652096E-2</v>
      </c>
      <c r="R148" s="124">
        <f t="shared" si="129"/>
        <v>1.3319310398402298E-2</v>
      </c>
      <c r="S148" s="124">
        <f t="shared" si="129"/>
        <v>1.3513691033229497E-2</v>
      </c>
      <c r="T148" s="124">
        <f t="shared" si="129"/>
        <v>1.2304292294896177E-2</v>
      </c>
      <c r="U148" s="124">
        <f t="shared" si="129"/>
        <v>1.3491012508932938E-2</v>
      </c>
      <c r="V148" s="124">
        <f t="shared" si="129"/>
        <v>7.1563262208192572E-3</v>
      </c>
      <c r="W148" s="124">
        <f t="shared" si="129"/>
        <v>9.9902589851834523E-3</v>
      </c>
      <c r="X148" s="124">
        <f t="shared" si="129"/>
        <v>1.2127525562122907E-2</v>
      </c>
      <c r="Y148" s="124">
        <f t="shared" si="129"/>
        <v>1.310343170586372E-2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0</v>
      </c>
      <c r="J149" s="140">
        <f t="shared" si="130"/>
        <v>0</v>
      </c>
      <c r="K149" s="140">
        <f t="shared" si="130"/>
        <v>0</v>
      </c>
      <c r="L149" s="140">
        <f t="shared" si="130"/>
        <v>0</v>
      </c>
      <c r="M149" s="140">
        <f t="shared" si="130"/>
        <v>0</v>
      </c>
      <c r="N149" s="140">
        <f t="shared" si="130"/>
        <v>0</v>
      </c>
      <c r="O149" s="140">
        <f t="shared" si="130"/>
        <v>0</v>
      </c>
      <c r="P149" s="140">
        <f t="shared" si="130"/>
        <v>0</v>
      </c>
      <c r="Q149" s="140">
        <f t="shared" si="130"/>
        <v>0</v>
      </c>
      <c r="R149" s="140">
        <f t="shared" si="130"/>
        <v>0</v>
      </c>
      <c r="S149" s="140">
        <f t="shared" si="130"/>
        <v>0</v>
      </c>
      <c r="T149" s="140">
        <f t="shared" si="130"/>
        <v>0</v>
      </c>
      <c r="U149" s="140">
        <f t="shared" si="130"/>
        <v>0</v>
      </c>
      <c r="V149" s="140">
        <f t="shared" si="130"/>
        <v>0</v>
      </c>
      <c r="W149" s="140">
        <f t="shared" si="130"/>
        <v>0</v>
      </c>
      <c r="X149" s="140">
        <f t="shared" si="130"/>
        <v>0</v>
      </c>
      <c r="Y149" s="140">
        <f t="shared" si="130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1.741196130038411E-2</v>
      </c>
      <c r="C150" s="127">
        <f t="shared" ref="C150:Y150" si="131">IF(C58=0,0,C58/C$47)</f>
        <v>1.6334930008421171E-2</v>
      </c>
      <c r="D150" s="127">
        <f t="shared" si="131"/>
        <v>1.5629492735644509E-2</v>
      </c>
      <c r="E150" s="127">
        <f t="shared" si="131"/>
        <v>1.3050688705688866E-2</v>
      </c>
      <c r="F150" s="127">
        <f t="shared" si="131"/>
        <v>1.5549204082601712E-2</v>
      </c>
      <c r="G150" s="127">
        <f t="shared" si="131"/>
        <v>1.4716587421709918E-2</v>
      </c>
      <c r="H150" s="127">
        <f t="shared" si="131"/>
        <v>1.4673250377424223E-2</v>
      </c>
      <c r="I150" s="127">
        <f t="shared" si="131"/>
        <v>1.5075905870918102E-2</v>
      </c>
      <c r="J150" s="127">
        <f t="shared" si="131"/>
        <v>1.4730021443137734E-2</v>
      </c>
      <c r="K150" s="127">
        <f t="shared" si="131"/>
        <v>1.4489528940945228E-2</v>
      </c>
      <c r="L150" s="127">
        <f t="shared" si="131"/>
        <v>1.485165906357361E-2</v>
      </c>
      <c r="M150" s="127">
        <f t="shared" si="131"/>
        <v>1.5345013731361302E-2</v>
      </c>
      <c r="N150" s="127">
        <f t="shared" si="131"/>
        <v>1.4658800465616429E-2</v>
      </c>
      <c r="O150" s="127">
        <f t="shared" si="131"/>
        <v>1.366187607470935E-2</v>
      </c>
      <c r="P150" s="127">
        <f t="shared" si="131"/>
        <v>1.428387508463864E-2</v>
      </c>
      <c r="Q150" s="127">
        <f t="shared" si="131"/>
        <v>1.2885468292652096E-2</v>
      </c>
      <c r="R150" s="127">
        <f t="shared" si="131"/>
        <v>1.3319310398402298E-2</v>
      </c>
      <c r="S150" s="127">
        <f t="shared" si="131"/>
        <v>1.3513691033229497E-2</v>
      </c>
      <c r="T150" s="127">
        <f t="shared" si="131"/>
        <v>1.2304292294896177E-2</v>
      </c>
      <c r="U150" s="127">
        <f t="shared" si="131"/>
        <v>1.3491012508932938E-2</v>
      </c>
      <c r="V150" s="127">
        <f t="shared" si="131"/>
        <v>7.1563262208192572E-3</v>
      </c>
      <c r="W150" s="127">
        <f t="shared" si="131"/>
        <v>9.9902589851834523E-3</v>
      </c>
      <c r="X150" s="127">
        <f t="shared" si="131"/>
        <v>1.2127525562122907E-2</v>
      </c>
      <c r="Y150" s="127">
        <f t="shared" si="131"/>
        <v>1.310343170586372E-2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0</v>
      </c>
      <c r="C151" s="31">
        <f t="shared" si="132"/>
        <v>0</v>
      </c>
      <c r="D151" s="31">
        <f t="shared" si="132"/>
        <v>0</v>
      </c>
      <c r="E151" s="31">
        <f t="shared" si="132"/>
        <v>0</v>
      </c>
      <c r="F151" s="31">
        <f t="shared" si="132"/>
        <v>0</v>
      </c>
      <c r="G151" s="31">
        <f t="shared" si="132"/>
        <v>0</v>
      </c>
      <c r="H151" s="31">
        <f t="shared" si="132"/>
        <v>0</v>
      </c>
      <c r="I151" s="31">
        <f t="shared" si="132"/>
        <v>0</v>
      </c>
      <c r="J151" s="31">
        <f t="shared" si="132"/>
        <v>0</v>
      </c>
      <c r="K151" s="31">
        <f t="shared" si="132"/>
        <v>0</v>
      </c>
      <c r="L151" s="31">
        <f t="shared" si="132"/>
        <v>0</v>
      </c>
      <c r="M151" s="31">
        <f t="shared" si="132"/>
        <v>0</v>
      </c>
      <c r="N151" s="31">
        <f t="shared" si="132"/>
        <v>0</v>
      </c>
      <c r="O151" s="31">
        <f t="shared" si="132"/>
        <v>0</v>
      </c>
      <c r="P151" s="31">
        <f t="shared" si="132"/>
        <v>0</v>
      </c>
      <c r="Q151" s="31">
        <f t="shared" si="132"/>
        <v>0</v>
      </c>
      <c r="R151" s="31">
        <f t="shared" si="132"/>
        <v>0</v>
      </c>
      <c r="S151" s="31">
        <f t="shared" si="132"/>
        <v>0</v>
      </c>
      <c r="T151" s="31">
        <f t="shared" si="132"/>
        <v>0</v>
      </c>
      <c r="U151" s="31">
        <f t="shared" si="132"/>
        <v>0</v>
      </c>
      <c r="V151" s="31">
        <f t="shared" si="132"/>
        <v>0</v>
      </c>
      <c r="W151" s="31">
        <f t="shared" si="132"/>
        <v>0</v>
      </c>
      <c r="X151" s="31">
        <f t="shared" si="132"/>
        <v>0</v>
      </c>
      <c r="Y151" s="31">
        <f t="shared" si="132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</v>
      </c>
      <c r="C152" s="140">
        <f t="shared" si="133"/>
        <v>0</v>
      </c>
      <c r="D152" s="140">
        <f t="shared" si="133"/>
        <v>0</v>
      </c>
      <c r="E152" s="140">
        <f t="shared" si="133"/>
        <v>0</v>
      </c>
      <c r="F152" s="140">
        <f t="shared" si="133"/>
        <v>0</v>
      </c>
      <c r="G152" s="140">
        <f t="shared" si="133"/>
        <v>0</v>
      </c>
      <c r="H152" s="140">
        <f t="shared" si="133"/>
        <v>0</v>
      </c>
      <c r="I152" s="140">
        <f t="shared" si="133"/>
        <v>0</v>
      </c>
      <c r="J152" s="140">
        <f t="shared" si="133"/>
        <v>0</v>
      </c>
      <c r="K152" s="140">
        <f t="shared" si="133"/>
        <v>0</v>
      </c>
      <c r="L152" s="140">
        <f t="shared" si="133"/>
        <v>0</v>
      </c>
      <c r="M152" s="140">
        <f t="shared" si="133"/>
        <v>0</v>
      </c>
      <c r="N152" s="140">
        <f t="shared" si="133"/>
        <v>0</v>
      </c>
      <c r="O152" s="140">
        <f t="shared" si="133"/>
        <v>0</v>
      </c>
      <c r="P152" s="140">
        <f t="shared" si="133"/>
        <v>0</v>
      </c>
      <c r="Q152" s="140">
        <f t="shared" si="133"/>
        <v>0</v>
      </c>
      <c r="R152" s="140">
        <f t="shared" si="133"/>
        <v>0</v>
      </c>
      <c r="S152" s="140">
        <f t="shared" si="133"/>
        <v>0</v>
      </c>
      <c r="T152" s="140">
        <f t="shared" si="133"/>
        <v>0</v>
      </c>
      <c r="U152" s="140">
        <f t="shared" si="133"/>
        <v>0</v>
      </c>
      <c r="V152" s="140">
        <f t="shared" si="133"/>
        <v>0</v>
      </c>
      <c r="W152" s="140">
        <f t="shared" si="133"/>
        <v>0</v>
      </c>
      <c r="X152" s="140">
        <f t="shared" si="133"/>
        <v>0</v>
      </c>
      <c r="Y152" s="140">
        <f t="shared" si="133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</v>
      </c>
      <c r="C153" s="127">
        <f t="shared" si="134"/>
        <v>0</v>
      </c>
      <c r="D153" s="127">
        <f t="shared" si="134"/>
        <v>0</v>
      </c>
      <c r="E153" s="127">
        <f t="shared" si="134"/>
        <v>0</v>
      </c>
      <c r="F153" s="127">
        <f t="shared" si="134"/>
        <v>0</v>
      </c>
      <c r="G153" s="127">
        <f t="shared" si="134"/>
        <v>0</v>
      </c>
      <c r="H153" s="127">
        <f t="shared" si="134"/>
        <v>0</v>
      </c>
      <c r="I153" s="127">
        <f t="shared" si="134"/>
        <v>0</v>
      </c>
      <c r="J153" s="127">
        <f t="shared" si="134"/>
        <v>0</v>
      </c>
      <c r="K153" s="127">
        <f t="shared" si="134"/>
        <v>0</v>
      </c>
      <c r="L153" s="127">
        <f t="shared" si="134"/>
        <v>0</v>
      </c>
      <c r="M153" s="127">
        <f t="shared" si="134"/>
        <v>0</v>
      </c>
      <c r="N153" s="127">
        <f t="shared" si="134"/>
        <v>0</v>
      </c>
      <c r="O153" s="127">
        <f t="shared" si="134"/>
        <v>0</v>
      </c>
      <c r="P153" s="127">
        <f t="shared" si="134"/>
        <v>0</v>
      </c>
      <c r="Q153" s="127">
        <f t="shared" si="134"/>
        <v>0</v>
      </c>
      <c r="R153" s="127">
        <f t="shared" si="134"/>
        <v>0</v>
      </c>
      <c r="S153" s="127">
        <f t="shared" si="134"/>
        <v>0</v>
      </c>
      <c r="T153" s="127">
        <f t="shared" si="134"/>
        <v>0</v>
      </c>
      <c r="U153" s="127">
        <f t="shared" si="134"/>
        <v>0</v>
      </c>
      <c r="V153" s="127">
        <f t="shared" si="134"/>
        <v>0</v>
      </c>
      <c r="W153" s="127">
        <f t="shared" si="134"/>
        <v>0</v>
      </c>
      <c r="X153" s="127">
        <f t="shared" si="134"/>
        <v>0</v>
      </c>
      <c r="Y153" s="127">
        <f t="shared" si="134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0.86709934251489473</v>
      </c>
      <c r="C157" s="139">
        <f t="shared" ref="C157:W157" si="138">IF(C65=0,0,C65/C$64)</f>
        <v>0.87482156086671448</v>
      </c>
      <c r="D157" s="139">
        <f t="shared" si="138"/>
        <v>0.89163609050998394</v>
      </c>
      <c r="E157" s="139">
        <f t="shared" si="138"/>
        <v>0.90190386477203843</v>
      </c>
      <c r="F157" s="139">
        <f t="shared" si="138"/>
        <v>0.88967887188852535</v>
      </c>
      <c r="G157" s="139">
        <f t="shared" si="138"/>
        <v>0.88039772484904644</v>
      </c>
      <c r="H157" s="139">
        <f t="shared" si="138"/>
        <v>0.87283383115921764</v>
      </c>
      <c r="I157" s="139">
        <f t="shared" si="138"/>
        <v>0.86783519751341609</v>
      </c>
      <c r="J157" s="139">
        <f t="shared" si="138"/>
        <v>0.86094642346238726</v>
      </c>
      <c r="K157" s="139">
        <f t="shared" si="138"/>
        <v>0.87169159883734315</v>
      </c>
      <c r="L157" s="139">
        <f t="shared" si="138"/>
        <v>0.86698631834893924</v>
      </c>
      <c r="M157" s="139">
        <f t="shared" si="138"/>
        <v>0.85963844716997995</v>
      </c>
      <c r="N157" s="139">
        <f t="shared" si="138"/>
        <v>0.86158178588121093</v>
      </c>
      <c r="O157" s="139">
        <f t="shared" si="138"/>
        <v>0.8704369018414011</v>
      </c>
      <c r="P157" s="139">
        <f t="shared" si="138"/>
        <v>0.87029403183437948</v>
      </c>
      <c r="Q157" s="139">
        <f t="shared" si="138"/>
        <v>0.8663867650153303</v>
      </c>
      <c r="R157" s="139">
        <f t="shared" si="138"/>
        <v>0.86004429847624175</v>
      </c>
      <c r="S157" s="139">
        <f t="shared" si="138"/>
        <v>0.86553415870535244</v>
      </c>
      <c r="T157" s="139">
        <f t="shared" si="138"/>
        <v>0.85319987382129492</v>
      </c>
      <c r="U157" s="139">
        <f t="shared" si="138"/>
        <v>0.83439642547874437</v>
      </c>
      <c r="V157" s="139">
        <f t="shared" si="138"/>
        <v>0.92513840008576853</v>
      </c>
      <c r="W157" s="139">
        <f t="shared" si="138"/>
        <v>0.91072354496505747</v>
      </c>
      <c r="X157" s="139">
        <f t="shared" ref="X157:Y157" si="139">IF(X65=0,0,X65/X$64)</f>
        <v>0.87140578569527882</v>
      </c>
      <c r="Y157" s="139">
        <f t="shared" si="139"/>
        <v>0.82785020821847111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6.8845531743294509E-3</v>
      </c>
      <c r="C158" s="140">
        <f t="shared" ref="C158:W158" si="140">IF(C66=0,0,C66/C$64)</f>
        <v>6.8160571048509564E-3</v>
      </c>
      <c r="D158" s="140">
        <f t="shared" si="140"/>
        <v>6.4562072381365307E-3</v>
      </c>
      <c r="E158" s="140">
        <f t="shared" si="140"/>
        <v>6.3051847438630928E-3</v>
      </c>
      <c r="F158" s="140">
        <f t="shared" si="140"/>
        <v>6.3893556590291336E-3</v>
      </c>
      <c r="G158" s="140">
        <f t="shared" si="140"/>
        <v>6.3210439155406781E-3</v>
      </c>
      <c r="H158" s="140">
        <f t="shared" si="140"/>
        <v>6.6477473651761505E-3</v>
      </c>
      <c r="I158" s="140">
        <f t="shared" si="140"/>
        <v>6.7097793696255714E-3</v>
      </c>
      <c r="J158" s="140">
        <f t="shared" si="140"/>
        <v>7.0857492642569849E-3</v>
      </c>
      <c r="K158" s="140">
        <f t="shared" si="140"/>
        <v>7.5561397259269435E-3</v>
      </c>
      <c r="L158" s="140">
        <f t="shared" si="140"/>
        <v>7.5931592060016857E-3</v>
      </c>
      <c r="M158" s="140">
        <f t="shared" si="140"/>
        <v>7.9998152010362627E-3</v>
      </c>
      <c r="N158" s="140">
        <f t="shared" si="140"/>
        <v>8.4497186033153596E-3</v>
      </c>
      <c r="O158" s="140">
        <f t="shared" si="140"/>
        <v>8.6601834781660225E-3</v>
      </c>
      <c r="P158" s="140">
        <f t="shared" si="140"/>
        <v>8.9917166790902878E-3</v>
      </c>
      <c r="Q158" s="140">
        <f t="shared" si="140"/>
        <v>9.0741981603228768E-3</v>
      </c>
      <c r="R158" s="140">
        <f t="shared" si="140"/>
        <v>8.9328880645267207E-3</v>
      </c>
      <c r="S158" s="140">
        <f t="shared" si="140"/>
        <v>8.8004250004648493E-3</v>
      </c>
      <c r="T158" s="140">
        <f t="shared" si="140"/>
        <v>8.2334694628928666E-3</v>
      </c>
      <c r="U158" s="140">
        <f t="shared" si="140"/>
        <v>8.6558070547375077E-3</v>
      </c>
      <c r="V158" s="140">
        <f t="shared" si="140"/>
        <v>1.037607294878163E-2</v>
      </c>
      <c r="W158" s="140">
        <f t="shared" si="140"/>
        <v>9.9141557797992608E-3</v>
      </c>
      <c r="X158" s="140">
        <f t="shared" ref="X158:Y158" si="141">IF(X66=0,0,X66/X$64)</f>
        <v>9.6193393085501362E-3</v>
      </c>
      <c r="Y158" s="140">
        <f t="shared" si="141"/>
        <v>9.6889340848638952E-3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0.80330199753747766</v>
      </c>
      <c r="C159" s="140">
        <f t="shared" ref="C159:W159" si="142">IF(C67=0,0,C67/C$64)</f>
        <v>0.81288487924311537</v>
      </c>
      <c r="D159" s="140">
        <f t="shared" si="142"/>
        <v>0.83278586426824541</v>
      </c>
      <c r="E159" s="140">
        <f t="shared" si="142"/>
        <v>0.84437244296212188</v>
      </c>
      <c r="F159" s="140">
        <f t="shared" si="142"/>
        <v>0.83419739126134385</v>
      </c>
      <c r="G159" s="140">
        <f t="shared" si="142"/>
        <v>0.82741354547125745</v>
      </c>
      <c r="H159" s="140">
        <f t="shared" si="142"/>
        <v>0.82089485625128211</v>
      </c>
      <c r="I159" s="140">
        <f t="shared" si="142"/>
        <v>0.81459204419930376</v>
      </c>
      <c r="J159" s="140">
        <f t="shared" si="142"/>
        <v>0.80728790897042657</v>
      </c>
      <c r="K159" s="140">
        <f t="shared" si="142"/>
        <v>0.82040130050701876</v>
      </c>
      <c r="L159" s="140">
        <f t="shared" si="142"/>
        <v>0.8128036247228585</v>
      </c>
      <c r="M159" s="140">
        <f t="shared" si="142"/>
        <v>0.80460338558522382</v>
      </c>
      <c r="N159" s="140">
        <f t="shared" si="142"/>
        <v>0.80540106634231579</v>
      </c>
      <c r="O159" s="140">
        <f t="shared" si="142"/>
        <v>0.81464286555180221</v>
      </c>
      <c r="P159" s="140">
        <f t="shared" si="142"/>
        <v>0.81365216703611831</v>
      </c>
      <c r="Q159" s="140">
        <f t="shared" si="142"/>
        <v>0.81012415665911242</v>
      </c>
      <c r="R159" s="140">
        <f t="shared" si="142"/>
        <v>0.80273788678131031</v>
      </c>
      <c r="S159" s="140">
        <f t="shared" si="142"/>
        <v>0.80646250929197583</v>
      </c>
      <c r="T159" s="140">
        <f t="shared" si="142"/>
        <v>0.79773703423222242</v>
      </c>
      <c r="U159" s="140">
        <f t="shared" si="142"/>
        <v>0.77954541833273816</v>
      </c>
      <c r="V159" s="140">
        <f t="shared" si="142"/>
        <v>0.85321930963419235</v>
      </c>
      <c r="W159" s="140">
        <f t="shared" si="142"/>
        <v>0.84243511784042291</v>
      </c>
      <c r="X159" s="140">
        <f t="shared" ref="X159:Y159" si="143">IF(X67=0,0,X67/X$64)</f>
        <v>0.80759155582628017</v>
      </c>
      <c r="Y159" s="140">
        <f t="shared" si="143"/>
        <v>0.76788032965263087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5.6912791803087587E-2</v>
      </c>
      <c r="C160" s="140">
        <f t="shared" ref="C160:W160" si="144">IF(C68=0,0,C68/C$64)</f>
        <v>5.5120624518748003E-2</v>
      </c>
      <c r="D160" s="140">
        <f t="shared" si="144"/>
        <v>5.2394019003601973E-2</v>
      </c>
      <c r="E160" s="140">
        <f t="shared" si="144"/>
        <v>5.1226237066053386E-2</v>
      </c>
      <c r="F160" s="140">
        <f t="shared" si="144"/>
        <v>4.909212496815224E-2</v>
      </c>
      <c r="G160" s="140">
        <f t="shared" si="144"/>
        <v>4.6663135462248352E-2</v>
      </c>
      <c r="H160" s="140">
        <f t="shared" si="144"/>
        <v>4.5291227542759466E-2</v>
      </c>
      <c r="I160" s="140">
        <f t="shared" si="144"/>
        <v>4.6533373944486763E-2</v>
      </c>
      <c r="J160" s="140">
        <f t="shared" si="144"/>
        <v>4.6572765227703608E-2</v>
      </c>
      <c r="K160" s="140">
        <f t="shared" si="144"/>
        <v>4.3734158604397534E-2</v>
      </c>
      <c r="L160" s="140">
        <f t="shared" si="144"/>
        <v>4.6589534420078973E-2</v>
      </c>
      <c r="M160" s="140">
        <f t="shared" si="144"/>
        <v>4.7035246383719871E-2</v>
      </c>
      <c r="N160" s="140">
        <f t="shared" si="144"/>
        <v>4.7731000935579783E-2</v>
      </c>
      <c r="O160" s="140">
        <f t="shared" si="144"/>
        <v>4.713385281143273E-2</v>
      </c>
      <c r="P160" s="140">
        <f t="shared" si="144"/>
        <v>4.7650148119170919E-2</v>
      </c>
      <c r="Q160" s="140">
        <f t="shared" si="144"/>
        <v>4.7188410195895029E-2</v>
      </c>
      <c r="R160" s="140">
        <f t="shared" si="144"/>
        <v>4.8373523630404716E-2</v>
      </c>
      <c r="S160" s="140">
        <f t="shared" si="144"/>
        <v>5.0271224412911708E-2</v>
      </c>
      <c r="T160" s="140">
        <f t="shared" si="144"/>
        <v>4.722937012617958E-2</v>
      </c>
      <c r="U160" s="140">
        <f t="shared" si="144"/>
        <v>4.6195200091268727E-2</v>
      </c>
      <c r="V160" s="140">
        <f t="shared" si="144"/>
        <v>6.1543017502794367E-2</v>
      </c>
      <c r="W160" s="140">
        <f t="shared" si="144"/>
        <v>5.8374271344835221E-2</v>
      </c>
      <c r="X160" s="140">
        <f t="shared" ref="X160:Y160" si="145">IF(X68=0,0,X68/X$64)</f>
        <v>5.4194890560448544E-2</v>
      </c>
      <c r="Y160" s="140">
        <f t="shared" si="145"/>
        <v>5.028094448097644E-2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7.0399879685382047E-3</v>
      </c>
      <c r="C161" s="124">
        <f t="shared" ref="C161:W161" si="146">IF(C69=0,0,C69/C$64)</f>
        <v>6.8175766115073123E-3</v>
      </c>
      <c r="D161" s="124">
        <f t="shared" si="146"/>
        <v>6.3847807000573355E-3</v>
      </c>
      <c r="E161" s="124">
        <f t="shared" si="146"/>
        <v>6.4429760628923697E-3</v>
      </c>
      <c r="F161" s="124">
        <f t="shared" si="146"/>
        <v>6.1984470629860497E-3</v>
      </c>
      <c r="G161" s="124">
        <f t="shared" si="146"/>
        <v>6.587621000156931E-3</v>
      </c>
      <c r="H161" s="124">
        <f t="shared" si="146"/>
        <v>6.3103080423390287E-3</v>
      </c>
      <c r="I161" s="124">
        <f t="shared" si="146"/>
        <v>6.1469696201236863E-3</v>
      </c>
      <c r="J161" s="124">
        <f t="shared" si="146"/>
        <v>7.5030927117679964E-3</v>
      </c>
      <c r="K161" s="124">
        <f t="shared" si="146"/>
        <v>8.143388940846194E-3</v>
      </c>
      <c r="L161" s="124">
        <f t="shared" si="146"/>
        <v>7.6912747666070284E-3</v>
      </c>
      <c r="M161" s="124">
        <f t="shared" si="146"/>
        <v>6.606809190606403E-3</v>
      </c>
      <c r="N161" s="124">
        <f t="shared" si="146"/>
        <v>6.9894333399914783E-3</v>
      </c>
      <c r="O161" s="124">
        <f t="shared" si="146"/>
        <v>5.9667506616262874E-3</v>
      </c>
      <c r="P161" s="124">
        <f t="shared" si="146"/>
        <v>6.4210350064353465E-3</v>
      </c>
      <c r="Q161" s="124">
        <f t="shared" si="146"/>
        <v>4.7462937368852216E-3</v>
      </c>
      <c r="R161" s="124">
        <f t="shared" si="146"/>
        <v>4.6276514659646635E-3</v>
      </c>
      <c r="S161" s="124">
        <f t="shared" si="146"/>
        <v>4.9780871863721919E-3</v>
      </c>
      <c r="T161" s="124">
        <f t="shared" si="146"/>
        <v>4.7593901108125324E-3</v>
      </c>
      <c r="U161" s="124">
        <f t="shared" si="146"/>
        <v>4.5986361872919481E-3</v>
      </c>
      <c r="V161" s="124">
        <f t="shared" si="146"/>
        <v>2.9486504660788258E-3</v>
      </c>
      <c r="W161" s="124">
        <f t="shared" si="146"/>
        <v>2.806940625440213E-3</v>
      </c>
      <c r="X161" s="124">
        <f t="shared" ref="X161:Y161" si="147">IF(X69=0,0,X69/X$64)</f>
        <v>2.6503603269426965E-3</v>
      </c>
      <c r="Y161" s="124">
        <f t="shared" si="147"/>
        <v>3.547563247275455E-3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7.0399879685382047E-3</v>
      </c>
      <c r="C163" s="140">
        <f t="shared" ref="C163:W163" si="150">IF(C71=0,0,C71/C$64)</f>
        <v>6.8175766115073123E-3</v>
      </c>
      <c r="D163" s="140">
        <f t="shared" si="150"/>
        <v>6.3847807000573355E-3</v>
      </c>
      <c r="E163" s="140">
        <f t="shared" si="150"/>
        <v>6.4429760628923697E-3</v>
      </c>
      <c r="F163" s="140">
        <f t="shared" si="150"/>
        <v>6.1984470629860497E-3</v>
      </c>
      <c r="G163" s="140">
        <f t="shared" si="150"/>
        <v>6.587621000156931E-3</v>
      </c>
      <c r="H163" s="140">
        <f t="shared" si="150"/>
        <v>6.3103080423390287E-3</v>
      </c>
      <c r="I163" s="140">
        <f t="shared" si="150"/>
        <v>6.1469696201236863E-3</v>
      </c>
      <c r="J163" s="140">
        <f t="shared" si="150"/>
        <v>7.5030927117679964E-3</v>
      </c>
      <c r="K163" s="140">
        <f t="shared" si="150"/>
        <v>8.143388940846194E-3</v>
      </c>
      <c r="L163" s="140">
        <f t="shared" si="150"/>
        <v>7.6912747666070284E-3</v>
      </c>
      <c r="M163" s="140">
        <f t="shared" si="150"/>
        <v>6.606809190606403E-3</v>
      </c>
      <c r="N163" s="140">
        <f t="shared" si="150"/>
        <v>6.9894333399914783E-3</v>
      </c>
      <c r="O163" s="140">
        <f t="shared" si="150"/>
        <v>5.9667506616262874E-3</v>
      </c>
      <c r="P163" s="140">
        <f t="shared" si="150"/>
        <v>6.4210350064353465E-3</v>
      </c>
      <c r="Q163" s="140">
        <f t="shared" si="150"/>
        <v>4.7462937368852216E-3</v>
      </c>
      <c r="R163" s="140">
        <f t="shared" si="150"/>
        <v>4.6276514659646635E-3</v>
      </c>
      <c r="S163" s="140">
        <f t="shared" si="150"/>
        <v>4.9780871863721919E-3</v>
      </c>
      <c r="T163" s="140">
        <f t="shared" si="150"/>
        <v>4.7593901108125324E-3</v>
      </c>
      <c r="U163" s="140">
        <f t="shared" si="150"/>
        <v>4.5986361872919481E-3</v>
      </c>
      <c r="V163" s="140">
        <f t="shared" si="150"/>
        <v>2.9486504660788258E-3</v>
      </c>
      <c r="W163" s="140">
        <f t="shared" si="150"/>
        <v>2.806940625440213E-3</v>
      </c>
      <c r="X163" s="140">
        <f t="shared" ref="X163:Y163" si="151">IF(X71=0,0,X71/X$64)</f>
        <v>2.6503603269426965E-3</v>
      </c>
      <c r="Y163" s="140">
        <f t="shared" si="151"/>
        <v>3.547563247275455E-3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0.12586066951656699</v>
      </c>
      <c r="C165" s="124">
        <f t="shared" ref="C165:W165" si="154">IF(C73=0,0,C73/C$64)</f>
        <v>0.11836086252177822</v>
      </c>
      <c r="D165" s="124">
        <f t="shared" si="154"/>
        <v>0.10197912878995875</v>
      </c>
      <c r="E165" s="124">
        <f t="shared" si="154"/>
        <v>9.1653159165069109E-2</v>
      </c>
      <c r="F165" s="124">
        <f t="shared" si="154"/>
        <v>0.10412268104848864</v>
      </c>
      <c r="G165" s="124">
        <f t="shared" si="154"/>
        <v>0.11301465415079655</v>
      </c>
      <c r="H165" s="124">
        <f t="shared" si="154"/>
        <v>0.1208558607984434</v>
      </c>
      <c r="I165" s="124">
        <f t="shared" si="154"/>
        <v>0.12601783286646032</v>
      </c>
      <c r="J165" s="124">
        <f t="shared" si="154"/>
        <v>0.13155048382584494</v>
      </c>
      <c r="K165" s="124">
        <f t="shared" si="154"/>
        <v>0.12016501222181063</v>
      </c>
      <c r="L165" s="124">
        <f t="shared" si="154"/>
        <v>0.12532240688445381</v>
      </c>
      <c r="M165" s="124">
        <f t="shared" si="154"/>
        <v>0.13375474363941375</v>
      </c>
      <c r="N165" s="124">
        <f t="shared" si="154"/>
        <v>0.13142878077879752</v>
      </c>
      <c r="O165" s="124">
        <f t="shared" si="154"/>
        <v>0.12359634749697263</v>
      </c>
      <c r="P165" s="124">
        <f t="shared" si="154"/>
        <v>0.12328493315918509</v>
      </c>
      <c r="Q165" s="124">
        <f t="shared" si="154"/>
        <v>0.1288669412477845</v>
      </c>
      <c r="R165" s="124">
        <f t="shared" si="154"/>
        <v>0.13532805005779355</v>
      </c>
      <c r="S165" s="124">
        <f t="shared" si="154"/>
        <v>0.12948775410827534</v>
      </c>
      <c r="T165" s="124">
        <f t="shared" si="154"/>
        <v>0.14204073606789258</v>
      </c>
      <c r="U165" s="124">
        <f t="shared" si="154"/>
        <v>0.16100493833396362</v>
      </c>
      <c r="V165" s="124">
        <f t="shared" si="154"/>
        <v>7.1912949448152713E-2</v>
      </c>
      <c r="W165" s="124">
        <f t="shared" si="154"/>
        <v>8.6469514409502346E-2</v>
      </c>
      <c r="X165" s="124">
        <f t="shared" ref="X165:Y165" si="155">IF(X73=0,0,X73/X$64)</f>
        <v>0.1259438539777786</v>
      </c>
      <c r="Y165" s="124">
        <f t="shared" si="155"/>
        <v>0.16860222853425338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7.5500951550374618E-3</v>
      </c>
      <c r="C166" s="140">
        <f t="shared" ref="C166:W166" si="156">IF(C74=0,0,C74/C$64)</f>
        <v>6.872770750269562E-3</v>
      </c>
      <c r="D166" s="140">
        <f t="shared" si="156"/>
        <v>6.5076626432174515E-3</v>
      </c>
      <c r="E166" s="140">
        <f t="shared" si="156"/>
        <v>5.9988741645961453E-3</v>
      </c>
      <c r="F166" s="140">
        <f t="shared" si="156"/>
        <v>6.1597624949154654E-3</v>
      </c>
      <c r="G166" s="140">
        <f t="shared" si="156"/>
        <v>6.0161314503474998E-3</v>
      </c>
      <c r="H166" s="140">
        <f t="shared" si="156"/>
        <v>6.4690050604140703E-3</v>
      </c>
      <c r="I166" s="140">
        <f t="shared" si="156"/>
        <v>6.4894639615482811E-3</v>
      </c>
      <c r="J166" s="140">
        <f t="shared" si="156"/>
        <v>6.6139496968286061E-3</v>
      </c>
      <c r="K166" s="140">
        <f t="shared" si="156"/>
        <v>6.746517254721098E-3</v>
      </c>
      <c r="L166" s="140">
        <f t="shared" si="156"/>
        <v>6.4072404249431534E-3</v>
      </c>
      <c r="M166" s="140">
        <f t="shared" si="156"/>
        <v>6.4745350231130237E-3</v>
      </c>
      <c r="N166" s="140">
        <f t="shared" si="156"/>
        <v>6.1837516395708498E-3</v>
      </c>
      <c r="O166" s="140">
        <f t="shared" si="156"/>
        <v>6.0809992597455585E-3</v>
      </c>
      <c r="P166" s="140">
        <f t="shared" si="156"/>
        <v>5.8894576962336565E-3</v>
      </c>
      <c r="Q166" s="140">
        <f t="shared" si="156"/>
        <v>5.78893408327384E-3</v>
      </c>
      <c r="R166" s="140">
        <f t="shared" si="156"/>
        <v>5.4779165177307656E-3</v>
      </c>
      <c r="S166" s="140">
        <f t="shared" si="156"/>
        <v>5.2026296780358708E-3</v>
      </c>
      <c r="T166" s="140">
        <f t="shared" si="156"/>
        <v>5.3205550448588539E-3</v>
      </c>
      <c r="U166" s="140">
        <f t="shared" si="156"/>
        <v>4.3548856004502739E-3</v>
      </c>
      <c r="V166" s="140">
        <f t="shared" si="156"/>
        <v>3.7597589203817589E-3</v>
      </c>
      <c r="W166" s="140">
        <f t="shared" si="156"/>
        <v>3.5291557814917758E-3</v>
      </c>
      <c r="X166" s="140">
        <f t="shared" ref="X166:Y166" si="157">IF(X74=0,0,X74/X$64)</f>
        <v>3.7121467969203135E-3</v>
      </c>
      <c r="Y166" s="140">
        <f t="shared" si="157"/>
        <v>3.6053935526342527E-3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5.992140423014973E-2</v>
      </c>
      <c r="C167" s="140">
        <f t="shared" ref="C167:W167" si="158">IF(C75=0,0,C75/C$64)</f>
        <v>5.5497635456372964E-2</v>
      </c>
      <c r="D167" s="140">
        <f t="shared" si="158"/>
        <v>4.7945706775593837E-2</v>
      </c>
      <c r="E167" s="140">
        <f t="shared" si="158"/>
        <v>4.3509956095070745E-2</v>
      </c>
      <c r="F167" s="140">
        <f t="shared" si="158"/>
        <v>4.6987906895573736E-2</v>
      </c>
      <c r="G167" s="140">
        <f t="shared" si="158"/>
        <v>5.1241176401902316E-2</v>
      </c>
      <c r="H167" s="140">
        <f t="shared" si="158"/>
        <v>5.5236702541230816E-2</v>
      </c>
      <c r="I167" s="140">
        <f t="shared" si="158"/>
        <v>5.8655363495521799E-2</v>
      </c>
      <c r="J167" s="140">
        <f t="shared" si="158"/>
        <v>6.0532560200741964E-2</v>
      </c>
      <c r="K167" s="140">
        <f t="shared" si="158"/>
        <v>5.36768190671729E-2</v>
      </c>
      <c r="L167" s="140">
        <f t="shared" si="158"/>
        <v>5.6021063281110672E-2</v>
      </c>
      <c r="M167" s="140">
        <f t="shared" si="158"/>
        <v>6.0034829231988537E-2</v>
      </c>
      <c r="N167" s="140">
        <f t="shared" si="158"/>
        <v>5.8261470848156305E-2</v>
      </c>
      <c r="O167" s="140">
        <f t="shared" si="158"/>
        <v>5.4328507493541678E-2</v>
      </c>
      <c r="P167" s="140">
        <f t="shared" si="158"/>
        <v>5.4685682655174157E-2</v>
      </c>
      <c r="Q167" s="140">
        <f t="shared" si="158"/>
        <v>5.7764507282406313E-2</v>
      </c>
      <c r="R167" s="140">
        <f t="shared" si="158"/>
        <v>6.3352898985248929E-2</v>
      </c>
      <c r="S167" s="140">
        <f t="shared" si="158"/>
        <v>6.1762838063122064E-2</v>
      </c>
      <c r="T167" s="140">
        <f t="shared" si="158"/>
        <v>6.7748851302343732E-2</v>
      </c>
      <c r="U167" s="140">
        <f t="shared" si="158"/>
        <v>7.5994614399936058E-2</v>
      </c>
      <c r="V167" s="140">
        <f t="shared" si="158"/>
        <v>2.8456054024783274E-2</v>
      </c>
      <c r="W167" s="140">
        <f t="shared" si="158"/>
        <v>3.7426891399337574E-2</v>
      </c>
      <c r="X167" s="140">
        <f t="shared" ref="X167:Y167" si="159">IF(X75=0,0,X75/X$64)</f>
        <v>6.1517674738143631E-2</v>
      </c>
      <c r="Y167" s="140">
        <f t="shared" si="159"/>
        <v>8.1237538973603293E-2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5.8389170131379814E-2</v>
      </c>
      <c r="C168" s="140">
        <f t="shared" ref="C168:W168" si="160">IF(C76=0,0,C76/C$64)</f>
        <v>5.5990456315135689E-2</v>
      </c>
      <c r="D168" s="140">
        <f t="shared" si="160"/>
        <v>4.7525759371147461E-2</v>
      </c>
      <c r="E168" s="140">
        <f t="shared" si="160"/>
        <v>4.2144328905402213E-2</v>
      </c>
      <c r="F168" s="140">
        <f t="shared" si="160"/>
        <v>5.0975011657999426E-2</v>
      </c>
      <c r="G168" s="140">
        <f t="shared" si="160"/>
        <v>5.5757346298546735E-2</v>
      </c>
      <c r="H168" s="140">
        <f t="shared" si="160"/>
        <v>5.9150153196798519E-2</v>
      </c>
      <c r="I168" s="140">
        <f t="shared" si="160"/>
        <v>6.0873005409390231E-2</v>
      </c>
      <c r="J168" s="140">
        <f t="shared" si="160"/>
        <v>6.4403973928274363E-2</v>
      </c>
      <c r="K168" s="140">
        <f t="shared" si="160"/>
        <v>5.9741675899916628E-2</v>
      </c>
      <c r="L168" s="140">
        <f t="shared" si="160"/>
        <v>6.289410317840001E-2</v>
      </c>
      <c r="M168" s="140">
        <f t="shared" si="160"/>
        <v>6.7245379384312173E-2</v>
      </c>
      <c r="N168" s="140">
        <f t="shared" si="160"/>
        <v>6.6983558291070347E-2</v>
      </c>
      <c r="O168" s="140">
        <f t="shared" si="160"/>
        <v>6.3186840743685399E-2</v>
      </c>
      <c r="P168" s="140">
        <f t="shared" si="160"/>
        <v>6.2709792807777304E-2</v>
      </c>
      <c r="Q168" s="140">
        <f t="shared" si="160"/>
        <v>6.5313499882104359E-2</v>
      </c>
      <c r="R168" s="140">
        <f t="shared" si="160"/>
        <v>6.649723455481385E-2</v>
      </c>
      <c r="S168" s="140">
        <f t="shared" si="160"/>
        <v>6.2522286367117416E-2</v>
      </c>
      <c r="T168" s="140">
        <f t="shared" si="160"/>
        <v>6.8971329720689978E-2</v>
      </c>
      <c r="U168" s="140">
        <f t="shared" si="160"/>
        <v>8.0655438333577301E-2</v>
      </c>
      <c r="V168" s="140">
        <f t="shared" si="160"/>
        <v>3.969713650298768E-2</v>
      </c>
      <c r="W168" s="140">
        <f t="shared" si="160"/>
        <v>4.5513467228673006E-2</v>
      </c>
      <c r="X168" s="140">
        <f t="shared" ref="X168:Y168" si="161">IF(X76=0,0,X76/X$64)</f>
        <v>6.0714032442714658E-2</v>
      </c>
      <c r="Y168" s="140">
        <f t="shared" si="161"/>
        <v>8.3759296008015821E-2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0.97036250170938765</v>
      </c>
      <c r="C170" s="139">
        <f t="shared" ref="C170:W170" si="165">IF(C78=0,0,C78/C$77)</f>
        <v>0.97359272605699998</v>
      </c>
      <c r="D170" s="139">
        <f t="shared" si="165"/>
        <v>0.97467363905308591</v>
      </c>
      <c r="E170" s="139">
        <f t="shared" si="165"/>
        <v>0.97819064331497918</v>
      </c>
      <c r="F170" s="139">
        <f t="shared" si="165"/>
        <v>0.97355219254165226</v>
      </c>
      <c r="G170" s="139">
        <f t="shared" si="165"/>
        <v>0.97359174692991712</v>
      </c>
      <c r="H170" s="139">
        <f t="shared" si="165"/>
        <v>0.9709054738882259</v>
      </c>
      <c r="I170" s="139">
        <f t="shared" si="165"/>
        <v>0.97080040521836941</v>
      </c>
      <c r="J170" s="139">
        <f t="shared" si="165"/>
        <v>0.97346741924687918</v>
      </c>
      <c r="K170" s="139">
        <f t="shared" si="165"/>
        <v>0.97488185550562378</v>
      </c>
      <c r="L170" s="139">
        <f t="shared" si="165"/>
        <v>0.97463870572798572</v>
      </c>
      <c r="M170" s="139">
        <f t="shared" si="165"/>
        <v>0.9724117464031804</v>
      </c>
      <c r="N170" s="139">
        <f t="shared" si="165"/>
        <v>0.97336349192878846</v>
      </c>
      <c r="O170" s="139">
        <f t="shared" si="165"/>
        <v>0.97579508789885794</v>
      </c>
      <c r="P170" s="139">
        <f t="shared" si="165"/>
        <v>0.97363682047847977</v>
      </c>
      <c r="Q170" s="139">
        <f t="shared" si="165"/>
        <v>0.97446428002400076</v>
      </c>
      <c r="R170" s="139">
        <f t="shared" si="165"/>
        <v>0.9744896515272341</v>
      </c>
      <c r="S170" s="139">
        <f t="shared" si="165"/>
        <v>0.97374668940833931</v>
      </c>
      <c r="T170" s="139">
        <f t="shared" si="165"/>
        <v>0.97409107955688734</v>
      </c>
      <c r="U170" s="139">
        <f t="shared" si="165"/>
        <v>0.97234819352120938</v>
      </c>
      <c r="V170" s="139">
        <f t="shared" si="165"/>
        <v>0.98097916823309617</v>
      </c>
      <c r="W170" s="139">
        <f t="shared" si="165"/>
        <v>0.97784578394566002</v>
      </c>
      <c r="X170" s="139">
        <f t="shared" ref="X170:Y170" si="166">IF(X78=0,0,X78/X$77)</f>
        <v>0.97398937470436964</v>
      </c>
      <c r="Y170" s="139">
        <f t="shared" si="166"/>
        <v>0.97357310779332373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0.22311684590720551</v>
      </c>
      <c r="C171" s="140">
        <f t="shared" ref="C171:W171" si="167">IF(C79=0,0,C79/C$77)</f>
        <v>0.20073467788987873</v>
      </c>
      <c r="D171" s="140">
        <f t="shared" si="167"/>
        <v>0.18647460125350571</v>
      </c>
      <c r="E171" s="140">
        <f t="shared" si="167"/>
        <v>0.17433817506482399</v>
      </c>
      <c r="F171" s="140">
        <f t="shared" si="167"/>
        <v>0.17217183647616227</v>
      </c>
      <c r="G171" s="140">
        <f t="shared" si="167"/>
        <v>0.16719109804904922</v>
      </c>
      <c r="H171" s="140">
        <f t="shared" si="167"/>
        <v>0.1794427430006216</v>
      </c>
      <c r="I171" s="140">
        <f t="shared" si="167"/>
        <v>0.18210234971044911</v>
      </c>
      <c r="J171" s="140">
        <f t="shared" si="167"/>
        <v>0.18554133429012523</v>
      </c>
      <c r="K171" s="140">
        <f t="shared" si="167"/>
        <v>0.1932784256389361</v>
      </c>
      <c r="L171" s="140">
        <f t="shared" si="167"/>
        <v>0.17998364850460638</v>
      </c>
      <c r="M171" s="140">
        <f t="shared" si="167"/>
        <v>0.19596354449306191</v>
      </c>
      <c r="N171" s="140">
        <f t="shared" si="167"/>
        <v>0.1916526534986138</v>
      </c>
      <c r="O171" s="140">
        <f t="shared" si="167"/>
        <v>0.17197764518503231</v>
      </c>
      <c r="P171" s="140">
        <f t="shared" si="167"/>
        <v>0.18491146251288634</v>
      </c>
      <c r="Q171" s="140">
        <f t="shared" si="167"/>
        <v>0.18423623514545595</v>
      </c>
      <c r="R171" s="140">
        <f t="shared" si="167"/>
        <v>0.18305047599708224</v>
      </c>
      <c r="S171" s="140">
        <f t="shared" si="167"/>
        <v>0.1795137767147027</v>
      </c>
      <c r="T171" s="140">
        <f t="shared" si="167"/>
        <v>0.17754611926911767</v>
      </c>
      <c r="U171" s="140">
        <f t="shared" si="167"/>
        <v>0.17758738913611624</v>
      </c>
      <c r="V171" s="140">
        <f t="shared" si="167"/>
        <v>0.19078763465733201</v>
      </c>
      <c r="W171" s="140">
        <f t="shared" si="167"/>
        <v>0.19469108729484824</v>
      </c>
      <c r="X171" s="140">
        <f t="shared" ref="X171:Y171" si="168">IF(X79=0,0,X79/X$77)</f>
        <v>0.22510853319356211</v>
      </c>
      <c r="Y171" s="140">
        <f t="shared" si="168"/>
        <v>0.24442532298912886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0.74724565580218205</v>
      </c>
      <c r="C172" s="140">
        <f t="shared" ref="C172:W172" si="169">IF(C80=0,0,C80/C$77)</f>
        <v>0.77285804816712123</v>
      </c>
      <c r="D172" s="140">
        <f t="shared" si="169"/>
        <v>0.78819903779958023</v>
      </c>
      <c r="E172" s="140">
        <f t="shared" si="169"/>
        <v>0.80385246825015511</v>
      </c>
      <c r="F172" s="140">
        <f t="shared" si="169"/>
        <v>0.80138035606548996</v>
      </c>
      <c r="G172" s="140">
        <f t="shared" si="169"/>
        <v>0.80640064888086793</v>
      </c>
      <c r="H172" s="140">
        <f t="shared" si="169"/>
        <v>0.79146273088760433</v>
      </c>
      <c r="I172" s="140">
        <f t="shared" si="169"/>
        <v>0.78869805550792027</v>
      </c>
      <c r="J172" s="140">
        <f t="shared" si="169"/>
        <v>0.78792608495675387</v>
      </c>
      <c r="K172" s="140">
        <f t="shared" si="169"/>
        <v>0.78160342986668774</v>
      </c>
      <c r="L172" s="140">
        <f t="shared" si="169"/>
        <v>0.79465505722337948</v>
      </c>
      <c r="M172" s="140">
        <f t="shared" si="169"/>
        <v>0.77644820191011843</v>
      </c>
      <c r="N172" s="140">
        <f t="shared" si="169"/>
        <v>0.78171083843017475</v>
      </c>
      <c r="O172" s="140">
        <f t="shared" si="169"/>
        <v>0.80381744271382571</v>
      </c>
      <c r="P172" s="140">
        <f t="shared" si="169"/>
        <v>0.78872535796559351</v>
      </c>
      <c r="Q172" s="140">
        <f t="shared" si="169"/>
        <v>0.79022804487854481</v>
      </c>
      <c r="R172" s="140">
        <f t="shared" si="169"/>
        <v>0.79143917553015186</v>
      </c>
      <c r="S172" s="140">
        <f t="shared" si="169"/>
        <v>0.79423291269363649</v>
      </c>
      <c r="T172" s="140">
        <f t="shared" si="169"/>
        <v>0.79654496028776955</v>
      </c>
      <c r="U172" s="140">
        <f t="shared" si="169"/>
        <v>0.79476080438509322</v>
      </c>
      <c r="V172" s="140">
        <f t="shared" si="169"/>
        <v>0.79019153357576433</v>
      </c>
      <c r="W172" s="140">
        <f t="shared" si="169"/>
        <v>0.78315469665081194</v>
      </c>
      <c r="X172" s="140">
        <f t="shared" ref="X172:Y172" si="170">IF(X80=0,0,X80/X$77)</f>
        <v>0.74888084151080758</v>
      </c>
      <c r="Y172" s="140">
        <f t="shared" si="170"/>
        <v>0.72914778480419484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6.9549982374017879E-3</v>
      </c>
      <c r="C173" s="124">
        <f t="shared" ref="C173:W173" si="171">IF(C81=0,0,C81/C$77)</f>
        <v>6.0837588037710097E-3</v>
      </c>
      <c r="D173" s="124">
        <f t="shared" si="171"/>
        <v>5.6673270408892093E-3</v>
      </c>
      <c r="E173" s="124">
        <f t="shared" si="171"/>
        <v>5.2751651925400664E-3</v>
      </c>
      <c r="F173" s="124">
        <f t="shared" si="171"/>
        <v>5.7948462342430167E-3</v>
      </c>
      <c r="G173" s="124">
        <f t="shared" si="171"/>
        <v>5.6514225616398038E-3</v>
      </c>
      <c r="H173" s="124">
        <f t="shared" si="171"/>
        <v>6.832104476378823E-3</v>
      </c>
      <c r="I173" s="124">
        <f t="shared" si="171"/>
        <v>6.8316445627985842E-3</v>
      </c>
      <c r="J173" s="124">
        <f t="shared" si="171"/>
        <v>4.5565223384918469E-3</v>
      </c>
      <c r="K173" s="124">
        <f t="shared" si="171"/>
        <v>3.7825551579300939E-3</v>
      </c>
      <c r="L173" s="124">
        <f t="shared" si="171"/>
        <v>3.4905774767740386E-3</v>
      </c>
      <c r="M173" s="124">
        <f t="shared" si="171"/>
        <v>3.1903751631672545E-3</v>
      </c>
      <c r="N173" s="124">
        <f t="shared" si="171"/>
        <v>3.0381345867005255E-3</v>
      </c>
      <c r="O173" s="124">
        <f t="shared" si="171"/>
        <v>2.160280731670931E-3</v>
      </c>
      <c r="P173" s="124">
        <f t="shared" si="171"/>
        <v>2.576713783028017E-3</v>
      </c>
      <c r="Q173" s="124">
        <f t="shared" si="171"/>
        <v>1.993713146657181E-3</v>
      </c>
      <c r="R173" s="124">
        <f t="shared" si="171"/>
        <v>1.8476224165343311E-3</v>
      </c>
      <c r="S173" s="124">
        <f t="shared" si="171"/>
        <v>2.0128246027251119E-3</v>
      </c>
      <c r="T173" s="124">
        <f t="shared" si="171"/>
        <v>1.6568844675531815E-3</v>
      </c>
      <c r="U173" s="124">
        <f t="shared" si="171"/>
        <v>1.8120934597107758E-3</v>
      </c>
      <c r="V173" s="124">
        <f t="shared" si="171"/>
        <v>5.4777251637431849E-3</v>
      </c>
      <c r="W173" s="124">
        <f t="shared" si="171"/>
        <v>5.189237842846018E-3</v>
      </c>
      <c r="X173" s="124">
        <f t="shared" ref="X173:Y173" si="172">IF(X81=0,0,X81/X$77)</f>
        <v>5.8787117691627587E-3</v>
      </c>
      <c r="Y173" s="124">
        <f t="shared" si="172"/>
        <v>3.2961190358512566E-3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4.5608405954277922E-3</v>
      </c>
      <c r="C174" s="124">
        <f t="shared" ref="C174:W174" si="173">IF(C82=0,0,C82/C$77)</f>
        <v>3.4204621895353219E-3</v>
      </c>
      <c r="D174" s="124">
        <f t="shared" si="173"/>
        <v>3.576781187036479E-3</v>
      </c>
      <c r="E174" s="124">
        <f t="shared" si="173"/>
        <v>3.1541075668191114E-3</v>
      </c>
      <c r="F174" s="124">
        <f t="shared" si="173"/>
        <v>4.660876475502642E-3</v>
      </c>
      <c r="G174" s="124">
        <f t="shared" si="173"/>
        <v>5.5032334036498511E-3</v>
      </c>
      <c r="H174" s="124">
        <f t="shared" si="173"/>
        <v>6.5151912671052832E-3</v>
      </c>
      <c r="I174" s="124">
        <f t="shared" si="173"/>
        <v>6.0868972311909457E-3</v>
      </c>
      <c r="J174" s="124">
        <f t="shared" si="173"/>
        <v>5.8918246471570289E-3</v>
      </c>
      <c r="K174" s="124">
        <f t="shared" si="173"/>
        <v>5.272811002437614E-3</v>
      </c>
      <c r="L174" s="124">
        <f t="shared" si="173"/>
        <v>5.5131612946390102E-3</v>
      </c>
      <c r="M174" s="124">
        <f t="shared" si="173"/>
        <v>7.4013429076204146E-3</v>
      </c>
      <c r="N174" s="124">
        <f t="shared" si="173"/>
        <v>7.4332999079542864E-3</v>
      </c>
      <c r="O174" s="124">
        <f t="shared" si="173"/>
        <v>7.0541336787183512E-3</v>
      </c>
      <c r="P174" s="124">
        <f t="shared" si="173"/>
        <v>7.8584044134287958E-3</v>
      </c>
      <c r="Q174" s="124">
        <f t="shared" si="173"/>
        <v>9.0788154620136639E-3</v>
      </c>
      <c r="R174" s="124">
        <f t="shared" si="173"/>
        <v>9.0219590862153573E-3</v>
      </c>
      <c r="S174" s="124">
        <f t="shared" si="173"/>
        <v>9.5583148547847292E-3</v>
      </c>
      <c r="T174" s="124">
        <f t="shared" si="173"/>
        <v>1.087058940251721E-2</v>
      </c>
      <c r="U174" s="124">
        <f t="shared" si="173"/>
        <v>1.1188059008417794E-2</v>
      </c>
      <c r="V174" s="124">
        <f t="shared" si="173"/>
        <v>5.8221721310562158E-3</v>
      </c>
      <c r="W174" s="124">
        <f t="shared" si="173"/>
        <v>6.165025990425595E-3</v>
      </c>
      <c r="X174" s="124">
        <f t="shared" ref="X174:Y174" si="174">IF(X82=0,0,X82/X$77)</f>
        <v>6.9620438792442774E-3</v>
      </c>
      <c r="Y174" s="124">
        <f t="shared" si="174"/>
        <v>8.7089256148122837E-3</v>
      </c>
      <c r="DA174" s="176"/>
    </row>
    <row r="175" spans="1:105" ht="11.45" customHeight="1" x14ac:dyDescent="0.25">
      <c r="A175" s="128" t="s">
        <v>27</v>
      </c>
      <c r="B175" s="140">
        <f t="shared" si="162"/>
        <v>9.870299479906084E-5</v>
      </c>
      <c r="C175" s="140">
        <f t="shared" ref="C175:W175" si="175">IF(C83=0,0,C83/C$77)</f>
        <v>5.6664273953530256E-5</v>
      </c>
      <c r="D175" s="140">
        <f t="shared" si="175"/>
        <v>4.896508860680179E-5</v>
      </c>
      <c r="E175" s="140">
        <f t="shared" si="175"/>
        <v>4.6286265277474639E-5</v>
      </c>
      <c r="F175" s="140">
        <f t="shared" si="175"/>
        <v>6.4307483225929058E-5</v>
      </c>
      <c r="G175" s="140">
        <f t="shared" si="175"/>
        <v>6.4420037515055173E-5</v>
      </c>
      <c r="H175" s="140">
        <f t="shared" si="175"/>
        <v>7.2927684461694694E-5</v>
      </c>
      <c r="I175" s="140">
        <f t="shared" si="175"/>
        <v>6.4858659411350781E-5</v>
      </c>
      <c r="J175" s="140">
        <f t="shared" si="175"/>
        <v>6.7720773036232624E-5</v>
      </c>
      <c r="K175" s="140">
        <f t="shared" si="175"/>
        <v>6.7775322232972883E-5</v>
      </c>
      <c r="L175" s="140">
        <f t="shared" si="175"/>
        <v>5.0579391420824611E-5</v>
      </c>
      <c r="M175" s="140">
        <f t="shared" si="175"/>
        <v>5.0111149678097765E-5</v>
      </c>
      <c r="N175" s="140">
        <f t="shared" si="175"/>
        <v>3.3684811638236402E-5</v>
      </c>
      <c r="O175" s="140">
        <f t="shared" si="175"/>
        <v>2.3040433042459286E-5</v>
      </c>
      <c r="P175" s="140">
        <f t="shared" si="175"/>
        <v>1.6130679962785133E-5</v>
      </c>
      <c r="Q175" s="140">
        <f t="shared" si="175"/>
        <v>1.6640782333277465E-5</v>
      </c>
      <c r="R175" s="140">
        <f t="shared" si="175"/>
        <v>9.7028894007704777E-6</v>
      </c>
      <c r="S175" s="140">
        <f t="shared" si="175"/>
        <v>7.1823796326163662E-6</v>
      </c>
      <c r="T175" s="140">
        <f t="shared" si="175"/>
        <v>7.4041920436076625E-6</v>
      </c>
      <c r="U175" s="140">
        <f t="shared" si="175"/>
        <v>1.628391019836926E-6</v>
      </c>
      <c r="V175" s="140">
        <f t="shared" si="175"/>
        <v>1.6655347359899495E-6</v>
      </c>
      <c r="W175" s="140">
        <f t="shared" si="175"/>
        <v>2.0364221127947831E-6</v>
      </c>
      <c r="X175" s="140">
        <f t="shared" ref="X175:Y175" si="176">IF(X83=0,0,X83/X$77)</f>
        <v>1.6420462799301993E-6</v>
      </c>
      <c r="Y175" s="140">
        <f t="shared" si="176"/>
        <v>1.7758762970383967E-6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2.6244459065853007E-3</v>
      </c>
      <c r="C176" s="140">
        <f t="shared" ref="C176:W176" si="177">IF(C84=0,0,C84/C$77)</f>
        <v>2.034380934504052E-3</v>
      </c>
      <c r="D176" s="140">
        <f t="shared" si="177"/>
        <v>2.2391661264951034E-3</v>
      </c>
      <c r="E176" s="140">
        <f t="shared" si="177"/>
        <v>1.9535021576534413E-3</v>
      </c>
      <c r="F176" s="140">
        <f t="shared" si="177"/>
        <v>3.2447004500769324E-3</v>
      </c>
      <c r="G176" s="140">
        <f t="shared" si="177"/>
        <v>3.6239206370734427E-3</v>
      </c>
      <c r="H176" s="140">
        <f t="shared" si="177"/>
        <v>4.4607733869813943E-3</v>
      </c>
      <c r="I176" s="140">
        <f t="shared" si="177"/>
        <v>4.0269316609484532E-3</v>
      </c>
      <c r="J176" s="140">
        <f t="shared" si="177"/>
        <v>3.8780975361279823E-3</v>
      </c>
      <c r="K176" s="140">
        <f t="shared" si="177"/>
        <v>3.6233096014000716E-3</v>
      </c>
      <c r="L176" s="140">
        <f t="shared" si="177"/>
        <v>3.8287400747851986E-3</v>
      </c>
      <c r="M176" s="140">
        <f t="shared" si="177"/>
        <v>4.4988552550205858E-3</v>
      </c>
      <c r="N176" s="140">
        <f t="shared" si="177"/>
        <v>3.8666714990837144E-3</v>
      </c>
      <c r="O176" s="140">
        <f t="shared" si="177"/>
        <v>3.6365011603123549E-3</v>
      </c>
      <c r="P176" s="140">
        <f t="shared" si="177"/>
        <v>4.1041965110435764E-3</v>
      </c>
      <c r="Q176" s="140">
        <f t="shared" si="177"/>
        <v>3.7978416524517894E-3</v>
      </c>
      <c r="R176" s="140">
        <f t="shared" si="177"/>
        <v>3.2841500462452485E-3</v>
      </c>
      <c r="S176" s="140">
        <f t="shared" si="177"/>
        <v>3.7066667353238187E-3</v>
      </c>
      <c r="T176" s="140">
        <f t="shared" si="177"/>
        <v>3.682563883152547E-3</v>
      </c>
      <c r="U176" s="140">
        <f t="shared" si="177"/>
        <v>3.7227255864964001E-3</v>
      </c>
      <c r="V176" s="140">
        <f t="shared" si="177"/>
        <v>3.1443051536317115E-3</v>
      </c>
      <c r="W176" s="140">
        <f t="shared" si="177"/>
        <v>4.1565506907390547E-3</v>
      </c>
      <c r="X176" s="140">
        <f t="shared" ref="X176:Y176" si="178">IF(X84=0,0,X84/X$77)</f>
        <v>4.4379411199418775E-3</v>
      </c>
      <c r="Y176" s="140">
        <f t="shared" si="178"/>
        <v>5.4449389937187356E-3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1.8376916940434308E-3</v>
      </c>
      <c r="C177" s="140">
        <f t="shared" ref="C177:W177" si="179">IF(C85=0,0,C85/C$77)</f>
        <v>1.3294169810777396E-3</v>
      </c>
      <c r="D177" s="140">
        <f t="shared" si="179"/>
        <v>1.2886499719345741E-3</v>
      </c>
      <c r="E177" s="140">
        <f t="shared" si="179"/>
        <v>1.1543191438881954E-3</v>
      </c>
      <c r="F177" s="140">
        <f t="shared" si="179"/>
        <v>1.3518685421997807E-3</v>
      </c>
      <c r="G177" s="140">
        <f t="shared" si="179"/>
        <v>1.8148927290613534E-3</v>
      </c>
      <c r="H177" s="140">
        <f t="shared" si="179"/>
        <v>1.9814901956621937E-3</v>
      </c>
      <c r="I177" s="140">
        <f t="shared" si="179"/>
        <v>1.9951069108311427E-3</v>
      </c>
      <c r="J177" s="140">
        <f t="shared" si="179"/>
        <v>1.9460063379928144E-3</v>
      </c>
      <c r="K177" s="140">
        <f t="shared" si="179"/>
        <v>1.5817260788045695E-3</v>
      </c>
      <c r="L177" s="140">
        <f t="shared" si="179"/>
        <v>1.6338418284329867E-3</v>
      </c>
      <c r="M177" s="140">
        <f t="shared" si="179"/>
        <v>2.8523765029217314E-3</v>
      </c>
      <c r="N177" s="140">
        <f t="shared" si="179"/>
        <v>3.532943597232335E-3</v>
      </c>
      <c r="O177" s="140">
        <f t="shared" si="179"/>
        <v>3.3945920853635371E-3</v>
      </c>
      <c r="P177" s="140">
        <f t="shared" si="179"/>
        <v>3.7380772224224336E-3</v>
      </c>
      <c r="Q177" s="140">
        <f t="shared" si="179"/>
        <v>5.2643330272285974E-3</v>
      </c>
      <c r="R177" s="140">
        <f t="shared" si="179"/>
        <v>5.7281061505693367E-3</v>
      </c>
      <c r="S177" s="140">
        <f t="shared" si="179"/>
        <v>5.8444657398282951E-3</v>
      </c>
      <c r="T177" s="140">
        <f t="shared" si="179"/>
        <v>7.1806213273210564E-3</v>
      </c>
      <c r="U177" s="140">
        <f t="shared" si="179"/>
        <v>7.4637050309015575E-3</v>
      </c>
      <c r="V177" s="140">
        <f t="shared" si="179"/>
        <v>2.6762014426885143E-3</v>
      </c>
      <c r="W177" s="140">
        <f t="shared" si="179"/>
        <v>2.0064388775737456E-3</v>
      </c>
      <c r="X177" s="140">
        <f t="shared" ref="X177:Y177" si="180">IF(X85=0,0,X85/X$77)</f>
        <v>2.522460713022469E-3</v>
      </c>
      <c r="Y177" s="140">
        <f t="shared" si="180"/>
        <v>3.2622107447965098E-3</v>
      </c>
      <c r="DA177" s="175"/>
    </row>
    <row r="178" spans="1:105" ht="11.45" customHeight="1" x14ac:dyDescent="0.25">
      <c r="A178" s="109" t="s">
        <v>141</v>
      </c>
      <c r="B178" s="124">
        <f t="shared" si="162"/>
        <v>1.8121659457782633E-2</v>
      </c>
      <c r="C178" s="124">
        <f t="shared" ref="C178:W178" si="181">IF(C86=0,0,C86/C$77)</f>
        <v>1.6903052949693721E-2</v>
      </c>
      <c r="D178" s="124">
        <f t="shared" si="181"/>
        <v>1.6082252718988273E-2</v>
      </c>
      <c r="E178" s="124">
        <f t="shared" si="181"/>
        <v>1.3380083925661659E-2</v>
      </c>
      <c r="F178" s="124">
        <f t="shared" si="181"/>
        <v>1.5992084748602135E-2</v>
      </c>
      <c r="G178" s="124">
        <f t="shared" si="181"/>
        <v>1.525359710479343E-2</v>
      </c>
      <c r="H178" s="124">
        <f t="shared" si="181"/>
        <v>1.5747230368289976E-2</v>
      </c>
      <c r="I178" s="124">
        <f t="shared" si="181"/>
        <v>1.6281052987641115E-2</v>
      </c>
      <c r="J178" s="124">
        <f t="shared" si="181"/>
        <v>1.6084233767471885E-2</v>
      </c>
      <c r="K178" s="124">
        <f t="shared" si="181"/>
        <v>1.6062778334008543E-2</v>
      </c>
      <c r="L178" s="124">
        <f t="shared" si="181"/>
        <v>1.6357555500601223E-2</v>
      </c>
      <c r="M178" s="124">
        <f t="shared" si="181"/>
        <v>1.6996535526031944E-2</v>
      </c>
      <c r="N178" s="124">
        <f t="shared" si="181"/>
        <v>1.6165073576556704E-2</v>
      </c>
      <c r="O178" s="124">
        <f t="shared" si="181"/>
        <v>1.499049769075282E-2</v>
      </c>
      <c r="P178" s="124">
        <f t="shared" si="181"/>
        <v>1.5928061325063348E-2</v>
      </c>
      <c r="Q178" s="124">
        <f t="shared" si="181"/>
        <v>1.4463191367328326E-2</v>
      </c>
      <c r="R178" s="124">
        <f t="shared" si="181"/>
        <v>1.4640766970016178E-2</v>
      </c>
      <c r="S178" s="124">
        <f t="shared" si="181"/>
        <v>1.4682171134150952E-2</v>
      </c>
      <c r="T178" s="124">
        <f t="shared" si="181"/>
        <v>1.3381446573042315E-2</v>
      </c>
      <c r="U178" s="124">
        <f t="shared" si="181"/>
        <v>1.4651654010662029E-2</v>
      </c>
      <c r="V178" s="124">
        <f t="shared" si="181"/>
        <v>7.7209344721043821E-3</v>
      </c>
      <c r="W178" s="124">
        <f t="shared" si="181"/>
        <v>1.0799952221068252E-2</v>
      </c>
      <c r="X178" s="124">
        <f t="shared" ref="X178:Y178" si="182">IF(X86=0,0,X86/X$77)</f>
        <v>1.3169869647223274E-2</v>
      </c>
      <c r="Y178" s="124">
        <f t="shared" si="182"/>
        <v>1.4421847556012852E-2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0</v>
      </c>
      <c r="J179" s="140">
        <f t="shared" si="183"/>
        <v>0</v>
      </c>
      <c r="K179" s="140">
        <f t="shared" si="183"/>
        <v>0</v>
      </c>
      <c r="L179" s="140">
        <f t="shared" si="183"/>
        <v>0</v>
      </c>
      <c r="M179" s="140">
        <f t="shared" si="183"/>
        <v>0</v>
      </c>
      <c r="N179" s="140">
        <f t="shared" si="183"/>
        <v>0</v>
      </c>
      <c r="O179" s="140">
        <f t="shared" si="183"/>
        <v>0</v>
      </c>
      <c r="P179" s="140">
        <f t="shared" si="183"/>
        <v>0</v>
      </c>
      <c r="Q179" s="140">
        <f t="shared" si="183"/>
        <v>0</v>
      </c>
      <c r="R179" s="140">
        <f t="shared" si="183"/>
        <v>0</v>
      </c>
      <c r="S179" s="140">
        <f t="shared" si="183"/>
        <v>0</v>
      </c>
      <c r="T179" s="140">
        <f t="shared" si="183"/>
        <v>0</v>
      </c>
      <c r="U179" s="140">
        <f t="shared" si="183"/>
        <v>0</v>
      </c>
      <c r="V179" s="140">
        <f t="shared" si="183"/>
        <v>0</v>
      </c>
      <c r="W179" s="140">
        <f t="shared" si="183"/>
        <v>0</v>
      </c>
      <c r="X179" s="140">
        <f t="shared" ref="X179:Y179" si="184">IF(X87=0,0,X87/X$77)</f>
        <v>0</v>
      </c>
      <c r="Y179" s="140">
        <f t="shared" si="184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1.8121659457782633E-2</v>
      </c>
      <c r="C180" s="127">
        <f t="shared" ref="C180:W180" si="185">IF(C88=0,0,C88/C$77)</f>
        <v>1.6903052949693721E-2</v>
      </c>
      <c r="D180" s="127">
        <f t="shared" si="185"/>
        <v>1.6082252718988273E-2</v>
      </c>
      <c r="E180" s="127">
        <f t="shared" si="185"/>
        <v>1.3380083925661659E-2</v>
      </c>
      <c r="F180" s="127">
        <f t="shared" si="185"/>
        <v>1.5992084748602135E-2</v>
      </c>
      <c r="G180" s="127">
        <f t="shared" si="185"/>
        <v>1.525359710479343E-2</v>
      </c>
      <c r="H180" s="127">
        <f t="shared" si="185"/>
        <v>1.5747230368289976E-2</v>
      </c>
      <c r="I180" s="127">
        <f t="shared" si="185"/>
        <v>1.6281052987641115E-2</v>
      </c>
      <c r="J180" s="127">
        <f t="shared" si="185"/>
        <v>1.6084233767471885E-2</v>
      </c>
      <c r="K180" s="127">
        <f t="shared" si="185"/>
        <v>1.6062778334008543E-2</v>
      </c>
      <c r="L180" s="127">
        <f t="shared" si="185"/>
        <v>1.6357555500601223E-2</v>
      </c>
      <c r="M180" s="127">
        <f t="shared" si="185"/>
        <v>1.6996535526031944E-2</v>
      </c>
      <c r="N180" s="127">
        <f t="shared" si="185"/>
        <v>1.6165073576556704E-2</v>
      </c>
      <c r="O180" s="127">
        <f t="shared" si="185"/>
        <v>1.499049769075282E-2</v>
      </c>
      <c r="P180" s="127">
        <f t="shared" si="185"/>
        <v>1.5928061325063348E-2</v>
      </c>
      <c r="Q180" s="127">
        <f t="shared" si="185"/>
        <v>1.4463191367328326E-2</v>
      </c>
      <c r="R180" s="127">
        <f t="shared" si="185"/>
        <v>1.4640766970016178E-2</v>
      </c>
      <c r="S180" s="127">
        <f t="shared" si="185"/>
        <v>1.4682171134150952E-2</v>
      </c>
      <c r="T180" s="127">
        <f t="shared" si="185"/>
        <v>1.3381446573042315E-2</v>
      </c>
      <c r="U180" s="127">
        <f t="shared" si="185"/>
        <v>1.4651654010662029E-2</v>
      </c>
      <c r="V180" s="127">
        <f t="shared" si="185"/>
        <v>7.7209344721043821E-3</v>
      </c>
      <c r="W180" s="127">
        <f t="shared" si="185"/>
        <v>1.0799952221068252E-2</v>
      </c>
      <c r="X180" s="127">
        <f t="shared" ref="X180:Y180" si="186">IF(X88=0,0,X88/X$77)</f>
        <v>1.3169869647223274E-2</v>
      </c>
      <c r="Y180" s="127">
        <f t="shared" si="186"/>
        <v>1.4421847556012852E-2</v>
      </c>
      <c r="DA180" s="178"/>
    </row>
    <row r="181" spans="1:105" ht="11.45" customHeight="1" x14ac:dyDescent="0.25">
      <c r="A181" s="27" t="s">
        <v>169</v>
      </c>
      <c r="B181" s="31">
        <f>IF(B89=0,0,B89/B$89)</f>
        <v>0</v>
      </c>
      <c r="C181" s="31">
        <f t="shared" ref="C181:W181" si="187">IF(C89=0,0,C89/C$89)</f>
        <v>0</v>
      </c>
      <c r="D181" s="31">
        <f t="shared" si="187"/>
        <v>0</v>
      </c>
      <c r="E181" s="31">
        <f t="shared" si="187"/>
        <v>0</v>
      </c>
      <c r="F181" s="31">
        <f t="shared" si="187"/>
        <v>0</v>
      </c>
      <c r="G181" s="31">
        <f t="shared" si="187"/>
        <v>0</v>
      </c>
      <c r="H181" s="31">
        <f t="shared" si="187"/>
        <v>0</v>
      </c>
      <c r="I181" s="31">
        <f t="shared" si="187"/>
        <v>0</v>
      </c>
      <c r="J181" s="31">
        <f t="shared" si="187"/>
        <v>0</v>
      </c>
      <c r="K181" s="31">
        <f t="shared" si="187"/>
        <v>0</v>
      </c>
      <c r="L181" s="31">
        <f t="shared" si="187"/>
        <v>0</v>
      </c>
      <c r="M181" s="31">
        <f t="shared" si="187"/>
        <v>0</v>
      </c>
      <c r="N181" s="31">
        <f t="shared" si="187"/>
        <v>0</v>
      </c>
      <c r="O181" s="31">
        <f t="shared" si="187"/>
        <v>0</v>
      </c>
      <c r="P181" s="31">
        <f t="shared" si="187"/>
        <v>0</v>
      </c>
      <c r="Q181" s="31">
        <f t="shared" si="187"/>
        <v>0</v>
      </c>
      <c r="R181" s="31">
        <f t="shared" si="187"/>
        <v>0</v>
      </c>
      <c r="S181" s="31">
        <f t="shared" si="187"/>
        <v>0</v>
      </c>
      <c r="T181" s="31">
        <f t="shared" si="187"/>
        <v>0</v>
      </c>
      <c r="U181" s="31">
        <f t="shared" si="187"/>
        <v>0</v>
      </c>
      <c r="V181" s="31">
        <f t="shared" si="187"/>
        <v>0</v>
      </c>
      <c r="W181" s="31">
        <f t="shared" si="187"/>
        <v>0</v>
      </c>
      <c r="X181" s="31">
        <f t="shared" ref="X181:Y181" si="188">IF(X89=0,0,X89/X$89)</f>
        <v>0</v>
      </c>
      <c r="Y181" s="31">
        <f t="shared" si="188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189">IF(C90=0,0,C90/C$89)</f>
        <v>0</v>
      </c>
      <c r="D182" s="140">
        <f t="shared" si="189"/>
        <v>0</v>
      </c>
      <c r="E182" s="140">
        <f t="shared" si="189"/>
        <v>0</v>
      </c>
      <c r="F182" s="140">
        <f t="shared" si="189"/>
        <v>0</v>
      </c>
      <c r="G182" s="140">
        <f t="shared" si="189"/>
        <v>0</v>
      </c>
      <c r="H182" s="140">
        <f t="shared" si="189"/>
        <v>0</v>
      </c>
      <c r="I182" s="140">
        <f t="shared" si="189"/>
        <v>0</v>
      </c>
      <c r="J182" s="140">
        <f t="shared" si="189"/>
        <v>0</v>
      </c>
      <c r="K182" s="140">
        <f t="shared" si="189"/>
        <v>0</v>
      </c>
      <c r="L182" s="140">
        <f t="shared" si="189"/>
        <v>0</v>
      </c>
      <c r="M182" s="140">
        <f t="shared" si="189"/>
        <v>0</v>
      </c>
      <c r="N182" s="140">
        <f t="shared" si="189"/>
        <v>0</v>
      </c>
      <c r="O182" s="140">
        <f t="shared" si="189"/>
        <v>0</v>
      </c>
      <c r="P182" s="140">
        <f t="shared" si="189"/>
        <v>0</v>
      </c>
      <c r="Q182" s="140">
        <f t="shared" si="189"/>
        <v>0</v>
      </c>
      <c r="R182" s="140">
        <f t="shared" si="189"/>
        <v>0</v>
      </c>
      <c r="S182" s="140">
        <f t="shared" si="189"/>
        <v>0</v>
      </c>
      <c r="T182" s="140">
        <f t="shared" si="189"/>
        <v>0</v>
      </c>
      <c r="U182" s="140">
        <f t="shared" si="189"/>
        <v>0</v>
      </c>
      <c r="V182" s="140">
        <f t="shared" si="189"/>
        <v>0</v>
      </c>
      <c r="W182" s="140">
        <f t="shared" si="189"/>
        <v>0</v>
      </c>
      <c r="X182" s="140">
        <f t="shared" ref="X182:Y182" si="190">IF(X90=0,0,X90/X$89)</f>
        <v>0</v>
      </c>
      <c r="Y182" s="140">
        <f t="shared" si="190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191">IF(C91=0,0,C91/C$89)</f>
        <v>0</v>
      </c>
      <c r="D183" s="127">
        <f t="shared" si="191"/>
        <v>0</v>
      </c>
      <c r="E183" s="127">
        <f t="shared" si="191"/>
        <v>0</v>
      </c>
      <c r="F183" s="127">
        <f t="shared" si="191"/>
        <v>0</v>
      </c>
      <c r="G183" s="127">
        <f t="shared" si="191"/>
        <v>0</v>
      </c>
      <c r="H183" s="127">
        <f t="shared" si="191"/>
        <v>0</v>
      </c>
      <c r="I183" s="127">
        <f t="shared" si="191"/>
        <v>0</v>
      </c>
      <c r="J183" s="127">
        <f t="shared" si="191"/>
        <v>0</v>
      </c>
      <c r="K183" s="127">
        <f t="shared" si="191"/>
        <v>0</v>
      </c>
      <c r="L183" s="127">
        <f t="shared" si="191"/>
        <v>0</v>
      </c>
      <c r="M183" s="127">
        <f t="shared" si="191"/>
        <v>0</v>
      </c>
      <c r="N183" s="127">
        <f t="shared" si="191"/>
        <v>0</v>
      </c>
      <c r="O183" s="127">
        <f t="shared" si="191"/>
        <v>0</v>
      </c>
      <c r="P183" s="127">
        <f t="shared" si="191"/>
        <v>0</v>
      </c>
      <c r="Q183" s="127">
        <f t="shared" si="191"/>
        <v>0</v>
      </c>
      <c r="R183" s="127">
        <f t="shared" si="191"/>
        <v>0</v>
      </c>
      <c r="S183" s="127">
        <f t="shared" si="191"/>
        <v>0</v>
      </c>
      <c r="T183" s="127">
        <f t="shared" si="191"/>
        <v>0</v>
      </c>
      <c r="U183" s="127">
        <f t="shared" si="191"/>
        <v>0</v>
      </c>
      <c r="V183" s="127">
        <f t="shared" si="191"/>
        <v>0</v>
      </c>
      <c r="W183" s="127">
        <f t="shared" si="191"/>
        <v>0</v>
      </c>
      <c r="X183" s="127">
        <f t="shared" ref="X183:Y183" si="192">IF(X91=0,0,X91/X$89)</f>
        <v>0</v>
      </c>
      <c r="Y183" s="127">
        <f t="shared" si="19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45.384601663739723</v>
      </c>
      <c r="C186" s="32">
        <f t="shared" si="193"/>
        <v>46.577713935312097</v>
      </c>
      <c r="D186" s="32">
        <f t="shared" si="193"/>
        <v>49.72377224932282</v>
      </c>
      <c r="E186" s="32">
        <f t="shared" si="193"/>
        <v>51.439854138522051</v>
      </c>
      <c r="F186" s="32">
        <f t="shared" si="193"/>
        <v>51.492945736949849</v>
      </c>
      <c r="G186" s="32">
        <f t="shared" si="193"/>
        <v>52.007879196125948</v>
      </c>
      <c r="H186" s="32">
        <f t="shared" si="193"/>
        <v>51.498636923058207</v>
      </c>
      <c r="I186" s="32">
        <f t="shared" si="193"/>
        <v>51.852227573523606</v>
      </c>
      <c r="J186" s="32">
        <f t="shared" si="193"/>
        <v>49.466468871171671</v>
      </c>
      <c r="K186" s="32">
        <f t="shared" si="193"/>
        <v>49.723868051446622</v>
      </c>
      <c r="L186" s="32">
        <f t="shared" si="193"/>
        <v>49.604246261332065</v>
      </c>
      <c r="M186" s="32">
        <f t="shared" si="193"/>
        <v>47.453901902086471</v>
      </c>
      <c r="N186" s="32">
        <f t="shared" si="193"/>
        <v>46.554998564129967</v>
      </c>
      <c r="O186" s="32">
        <f t="shared" si="193"/>
        <v>46.344942483626262</v>
      </c>
      <c r="P186" s="32">
        <f t="shared" si="193"/>
        <v>45.608972654924806</v>
      </c>
      <c r="Q186" s="32">
        <f t="shared" si="193"/>
        <v>45.811614969438978</v>
      </c>
      <c r="R186" s="32">
        <f t="shared" si="193"/>
        <v>45.880214797184799</v>
      </c>
      <c r="S186" s="32">
        <f t="shared" si="193"/>
        <v>44.959894218657645</v>
      </c>
      <c r="T186" s="32">
        <f t="shared" si="193"/>
        <v>44.353409576085909</v>
      </c>
      <c r="U186" s="32">
        <f t="shared" si="193"/>
        <v>43.045297902158389</v>
      </c>
      <c r="V186" s="32">
        <f t="shared" si="193"/>
        <v>47.777878092898234</v>
      </c>
      <c r="W186" s="32">
        <f t="shared" si="193"/>
        <v>46.244620200852431</v>
      </c>
      <c r="X186" s="32">
        <f t="shared" si="193"/>
        <v>39.63998303595038</v>
      </c>
      <c r="Y186" s="32">
        <f t="shared" si="193"/>
        <v>38.830686243467632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52.19542471165034</v>
      </c>
      <c r="C187" s="141">
        <f t="shared" si="194"/>
        <v>54.155734964332289</v>
      </c>
      <c r="D187" s="141">
        <f t="shared" si="194"/>
        <v>59.332907202950217</v>
      </c>
      <c r="E187" s="141">
        <f t="shared" si="194"/>
        <v>62.163515667898956</v>
      </c>
      <c r="F187" s="141">
        <f t="shared" si="194"/>
        <v>62.606996453039947</v>
      </c>
      <c r="G187" s="141">
        <f t="shared" si="194"/>
        <v>63.678804382499479</v>
      </c>
      <c r="H187" s="141">
        <f t="shared" si="194"/>
        <v>62.524003103197238</v>
      </c>
      <c r="I187" s="141">
        <f t="shared" si="194"/>
        <v>62.775319194315145</v>
      </c>
      <c r="J187" s="141">
        <f t="shared" si="194"/>
        <v>59.891946455483144</v>
      </c>
      <c r="K187" s="141">
        <f t="shared" si="194"/>
        <v>60.165843426898661</v>
      </c>
      <c r="L187" s="141">
        <f t="shared" si="194"/>
        <v>60.140438599204536</v>
      </c>
      <c r="M187" s="141">
        <f t="shared" si="194"/>
        <v>57.544785509092307</v>
      </c>
      <c r="N187" s="141">
        <f t="shared" si="194"/>
        <v>57.05266680586066</v>
      </c>
      <c r="O187" s="141">
        <f t="shared" si="194"/>
        <v>57.524861350469159</v>
      </c>
      <c r="P187" s="141">
        <f t="shared" si="194"/>
        <v>56.901051856787845</v>
      </c>
      <c r="Q187" s="141">
        <f t="shared" si="194"/>
        <v>56.937179956011683</v>
      </c>
      <c r="R187" s="141">
        <f t="shared" si="194"/>
        <v>56.244760685153999</v>
      </c>
      <c r="S187" s="141">
        <f t="shared" si="194"/>
        <v>55.474583473776477</v>
      </c>
      <c r="T187" s="141">
        <f t="shared" si="194"/>
        <v>55.518896261530237</v>
      </c>
      <c r="U187" s="141">
        <f t="shared" si="194"/>
        <v>54.595039138535114</v>
      </c>
      <c r="V187" s="141">
        <f t="shared" si="194"/>
        <v>54.921787488404867</v>
      </c>
      <c r="W187" s="141">
        <f t="shared" si="194"/>
        <v>53.030147929759408</v>
      </c>
      <c r="X187" s="141">
        <f t="shared" si="194"/>
        <v>49.448625346062173</v>
      </c>
      <c r="Y187" s="141">
        <f t="shared" si="194"/>
        <v>49.036621334803201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31.893063869781788</v>
      </c>
      <c r="C188" s="97">
        <f t="shared" si="195"/>
        <v>31.705740994900221</v>
      </c>
      <c r="D188" s="97">
        <f t="shared" si="195"/>
        <v>31.607089110032121</v>
      </c>
      <c r="E188" s="97">
        <f t="shared" si="195"/>
        <v>31.564351796062255</v>
      </c>
      <c r="F188" s="97">
        <f t="shared" si="195"/>
        <v>31.269662351700436</v>
      </c>
      <c r="G188" s="97">
        <f t="shared" si="195"/>
        <v>31.140482298010877</v>
      </c>
      <c r="H188" s="97">
        <f t="shared" si="195"/>
        <v>30.990982938870076</v>
      </c>
      <c r="I188" s="97">
        <f t="shared" si="195"/>
        <v>30.793938639608516</v>
      </c>
      <c r="J188" s="97">
        <f t="shared" si="195"/>
        <v>30.620978889510226</v>
      </c>
      <c r="K188" s="97">
        <f t="shared" si="195"/>
        <v>30.529858430211423</v>
      </c>
      <c r="L188" s="97">
        <f t="shared" si="195"/>
        <v>30.438137105976868</v>
      </c>
      <c r="M188" s="97">
        <f t="shared" si="195"/>
        <v>30.443629202989378</v>
      </c>
      <c r="N188" s="97">
        <f t="shared" si="195"/>
        <v>30.423029362312821</v>
      </c>
      <c r="O188" s="97">
        <f t="shared" si="195"/>
        <v>30.718051367448794</v>
      </c>
      <c r="P188" s="97">
        <f t="shared" si="195"/>
        <v>30.933418064864146</v>
      </c>
      <c r="Q188" s="97">
        <f t="shared" si="195"/>
        <v>30.710982871082937</v>
      </c>
      <c r="R188" s="97">
        <f t="shared" si="195"/>
        <v>30.416838221045925</v>
      </c>
      <c r="S188" s="97">
        <f t="shared" si="195"/>
        <v>31.890436167470941</v>
      </c>
      <c r="T188" s="97">
        <f t="shared" si="195"/>
        <v>32.010520521141473</v>
      </c>
      <c r="U188" s="97">
        <f t="shared" si="195"/>
        <v>32.063344374520987</v>
      </c>
      <c r="V188" s="97">
        <f t="shared" si="195"/>
        <v>32.296643070260089</v>
      </c>
      <c r="W188" s="97">
        <f t="shared" si="195"/>
        <v>30.924596492386549</v>
      </c>
      <c r="X188" s="97">
        <f t="shared" si="195"/>
        <v>31.115504752522583</v>
      </c>
      <c r="Y188" s="97">
        <f t="shared" si="195"/>
        <v>31.281535675025452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56.022491628221232</v>
      </c>
      <c r="C189" s="97">
        <f t="shared" si="196"/>
        <v>58.252478466563375</v>
      </c>
      <c r="D189" s="97">
        <f t="shared" si="196"/>
        <v>64.075453360039532</v>
      </c>
      <c r="E189" s="97">
        <f t="shared" si="196"/>
        <v>67.359048213182973</v>
      </c>
      <c r="F189" s="97">
        <f t="shared" si="196"/>
        <v>67.959261803043887</v>
      </c>
      <c r="G189" s="97">
        <f t="shared" si="196"/>
        <v>69.140237454886162</v>
      </c>
      <c r="H189" s="97">
        <f t="shared" si="196"/>
        <v>68.048742129978606</v>
      </c>
      <c r="I189" s="97">
        <f t="shared" si="196"/>
        <v>68.254870425913396</v>
      </c>
      <c r="J189" s="97">
        <f t="shared" si="196"/>
        <v>64.74226450041651</v>
      </c>
      <c r="K189" s="97">
        <f t="shared" si="196"/>
        <v>64.566321971653736</v>
      </c>
      <c r="L189" s="97">
        <f t="shared" si="196"/>
        <v>64.482679734671152</v>
      </c>
      <c r="M189" s="97">
        <f t="shared" si="196"/>
        <v>61.71753256819472</v>
      </c>
      <c r="N189" s="97">
        <f t="shared" si="196"/>
        <v>61.089610642932534</v>
      </c>
      <c r="O189" s="97">
        <f t="shared" si="196"/>
        <v>61.624042618513059</v>
      </c>
      <c r="P189" s="97">
        <f t="shared" si="196"/>
        <v>60.883328080732781</v>
      </c>
      <c r="Q189" s="97">
        <f t="shared" si="196"/>
        <v>60.896923710883598</v>
      </c>
      <c r="R189" s="97">
        <f t="shared" si="196"/>
        <v>60.085829952618866</v>
      </c>
      <c r="S189" s="97">
        <f t="shared" si="196"/>
        <v>59.152936466023974</v>
      </c>
      <c r="T189" s="97">
        <f t="shared" si="196"/>
        <v>58.906181220561329</v>
      </c>
      <c r="U189" s="97">
        <f t="shared" si="196"/>
        <v>57.817727020907078</v>
      </c>
      <c r="V189" s="97">
        <f t="shared" si="196"/>
        <v>57.474766013234579</v>
      </c>
      <c r="W189" s="97">
        <f t="shared" si="196"/>
        <v>55.432930011822073</v>
      </c>
      <c r="X189" s="97">
        <f t="shared" si="196"/>
        <v>52.343375104763837</v>
      </c>
      <c r="Y189" s="97">
        <f t="shared" si="196"/>
        <v>52.111316118225169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27.350347066733278</v>
      </c>
      <c r="C190" s="97">
        <f t="shared" si="197"/>
        <v>27.475473503409152</v>
      </c>
      <c r="D190" s="97">
        <f t="shared" si="197"/>
        <v>28.364740380306465</v>
      </c>
      <c r="E190" s="97">
        <f t="shared" si="197"/>
        <v>28.566175162421622</v>
      </c>
      <c r="F190" s="97">
        <f t="shared" si="197"/>
        <v>28.061454261356282</v>
      </c>
      <c r="G190" s="97">
        <f t="shared" si="197"/>
        <v>27.975263562062977</v>
      </c>
      <c r="H190" s="97">
        <f t="shared" si="197"/>
        <v>26.903293047246784</v>
      </c>
      <c r="I190" s="97">
        <f t="shared" si="197"/>
        <v>27.829856402225381</v>
      </c>
      <c r="J190" s="97">
        <f t="shared" si="197"/>
        <v>27.762035658203249</v>
      </c>
      <c r="K190" s="97">
        <f t="shared" si="197"/>
        <v>28.543936681130671</v>
      </c>
      <c r="L190" s="97">
        <f t="shared" si="197"/>
        <v>29.87634697208253</v>
      </c>
      <c r="M190" s="97">
        <f t="shared" si="197"/>
        <v>28.745005214157057</v>
      </c>
      <c r="N190" s="97">
        <f t="shared" si="197"/>
        <v>29.162715851123984</v>
      </c>
      <c r="O190" s="97">
        <f t="shared" si="197"/>
        <v>29.018411284344758</v>
      </c>
      <c r="P190" s="97">
        <f t="shared" si="197"/>
        <v>29.22088260991293</v>
      </c>
      <c r="Q190" s="97">
        <f t="shared" si="197"/>
        <v>29.352941599477504</v>
      </c>
      <c r="R190" s="97">
        <f t="shared" si="197"/>
        <v>29.669740274785752</v>
      </c>
      <c r="S190" s="97">
        <f t="shared" si="197"/>
        <v>29.771615931295159</v>
      </c>
      <c r="T190" s="97">
        <f t="shared" si="197"/>
        <v>30.2045032202663</v>
      </c>
      <c r="U190" s="97">
        <f t="shared" si="197"/>
        <v>30.271185046881346</v>
      </c>
      <c r="V190" s="97">
        <f t="shared" si="197"/>
        <v>36.753599583942176</v>
      </c>
      <c r="W190" s="97">
        <f t="shared" si="197"/>
        <v>35.300245520842623</v>
      </c>
      <c r="X190" s="97">
        <f t="shared" si="197"/>
        <v>28.755252967462237</v>
      </c>
      <c r="Y190" s="97">
        <f t="shared" si="197"/>
        <v>27.2749295577797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11.945838446594671</v>
      </c>
      <c r="C191" s="130">
        <f t="shared" si="198"/>
        <v>11.320643752366522</v>
      </c>
      <c r="D191" s="130">
        <f t="shared" si="198"/>
        <v>10.878245146775834</v>
      </c>
      <c r="E191" s="130">
        <f t="shared" si="198"/>
        <v>10.626844305782651</v>
      </c>
      <c r="F191" s="130">
        <f t="shared" si="198"/>
        <v>10.458502570251573</v>
      </c>
      <c r="G191" s="130">
        <f t="shared" si="198"/>
        <v>9.6821723743299533</v>
      </c>
      <c r="H191" s="130">
        <f t="shared" si="198"/>
        <v>9.448798750042366</v>
      </c>
      <c r="I191" s="130">
        <f t="shared" si="198"/>
        <v>9.3164879463992349</v>
      </c>
      <c r="J191" s="130">
        <f t="shared" si="198"/>
        <v>9.1319642579046718</v>
      </c>
      <c r="K191" s="130">
        <f t="shared" si="198"/>
        <v>9.7033457774326575</v>
      </c>
      <c r="L191" s="130">
        <f t="shared" si="198"/>
        <v>9.6961901960097006</v>
      </c>
      <c r="M191" s="130">
        <f t="shared" si="198"/>
        <v>8.4471049076332481</v>
      </c>
      <c r="N191" s="130">
        <f t="shared" si="198"/>
        <v>8.2189444742165776</v>
      </c>
      <c r="O191" s="130">
        <f t="shared" si="198"/>
        <v>7.6079374984974066</v>
      </c>
      <c r="P191" s="130">
        <f t="shared" si="198"/>
        <v>7.7577818950987965</v>
      </c>
      <c r="Q191" s="130">
        <f t="shared" si="198"/>
        <v>7.2525667291556495</v>
      </c>
      <c r="R191" s="130">
        <f t="shared" si="198"/>
        <v>7.1858803284442692</v>
      </c>
      <c r="S191" s="130">
        <f t="shared" si="198"/>
        <v>7.298818487050112</v>
      </c>
      <c r="T191" s="130">
        <f t="shared" si="198"/>
        <v>6.926466484739505</v>
      </c>
      <c r="U191" s="130">
        <f t="shared" si="198"/>
        <v>6.6019784302341318</v>
      </c>
      <c r="V191" s="130">
        <f t="shared" si="198"/>
        <v>8.4122207103239344</v>
      </c>
      <c r="W191" s="130">
        <f t="shared" si="198"/>
        <v>7.8012497813328485</v>
      </c>
      <c r="X191" s="130">
        <f t="shared" si="198"/>
        <v>5.8042042828567668</v>
      </c>
      <c r="Y191" s="130">
        <f t="shared" si="198"/>
        <v>5.5179690042112171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5.5873849579081298</v>
      </c>
      <c r="C192" s="97">
        <f t="shared" si="199"/>
        <v>5.850709899741191</v>
      </c>
      <c r="D192" s="97">
        <f t="shared" si="199"/>
        <v>5.7639453631343605</v>
      </c>
      <c r="E192" s="97">
        <f t="shared" si="199"/>
        <v>5.7805020031363599</v>
      </c>
      <c r="F192" s="97">
        <f t="shared" si="199"/>
        <v>5.682860751686162</v>
      </c>
      <c r="G192" s="97">
        <f t="shared" si="199"/>
        <v>5.3366377715820343</v>
      </c>
      <c r="H192" s="97">
        <f t="shared" si="199"/>
        <v>5.2812242663175057</v>
      </c>
      <c r="I192" s="97">
        <f t="shared" si="199"/>
        <v>5.2588827591340239</v>
      </c>
      <c r="J192" s="97">
        <f t="shared" si="199"/>
        <v>4.8701232319986971</v>
      </c>
      <c r="K192" s="97">
        <f t="shared" si="199"/>
        <v>4.8611294065822737</v>
      </c>
      <c r="L192" s="97">
        <f t="shared" si="199"/>
        <v>4.8536661512146031</v>
      </c>
      <c r="M192" s="97">
        <f t="shared" si="199"/>
        <v>4.4730378931390158</v>
      </c>
      <c r="N192" s="97">
        <f t="shared" si="199"/>
        <v>4.5082445459192071</v>
      </c>
      <c r="O192" s="97">
        <f t="shared" si="199"/>
        <v>4.3939527645651868</v>
      </c>
      <c r="P192" s="97">
        <f t="shared" si="199"/>
        <v>4.3023491149665762</v>
      </c>
      <c r="Q192" s="97">
        <f t="shared" si="199"/>
        <v>4.2677745225145323</v>
      </c>
      <c r="R192" s="97">
        <f t="shared" si="199"/>
        <v>4.2123795176948784</v>
      </c>
      <c r="S192" s="97">
        <f t="shared" si="199"/>
        <v>4.2108055966487754</v>
      </c>
      <c r="T192" s="97">
        <f t="shared" si="199"/>
        <v>4.1355718529425483</v>
      </c>
      <c r="U192" s="97">
        <f t="shared" si="199"/>
        <v>4.1767778342063346</v>
      </c>
      <c r="V192" s="97">
        <f t="shared" si="199"/>
        <v>5.8138373090945707</v>
      </c>
      <c r="W192" s="97">
        <f t="shared" si="199"/>
        <v>5.7289135187166318</v>
      </c>
      <c r="X192" s="97">
        <f t="shared" si="199"/>
        <v>5.302211375320474</v>
      </c>
      <c r="Y192" s="97">
        <f t="shared" si="199"/>
        <v>4.0926408299463706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16.282151400198092</v>
      </c>
      <c r="C193" s="97">
        <f t="shared" si="200"/>
        <v>15.101327825067964</v>
      </c>
      <c r="D193" s="97">
        <f t="shared" si="200"/>
        <v>14.44876055250324</v>
      </c>
      <c r="E193" s="97">
        <f t="shared" si="200"/>
        <v>14.116921049112124</v>
      </c>
      <c r="F193" s="97">
        <f t="shared" si="200"/>
        <v>14.118729948907813</v>
      </c>
      <c r="G193" s="97">
        <f t="shared" si="200"/>
        <v>12.903048121522438</v>
      </c>
      <c r="H193" s="97">
        <f t="shared" si="200"/>
        <v>12.505672196054578</v>
      </c>
      <c r="I193" s="97">
        <f t="shared" si="200"/>
        <v>12.349815587645576</v>
      </c>
      <c r="J193" s="97">
        <f t="shared" si="200"/>
        <v>12.000879241400559</v>
      </c>
      <c r="K193" s="97">
        <f t="shared" si="200"/>
        <v>13.075994897628547</v>
      </c>
      <c r="L193" s="97">
        <f t="shared" si="200"/>
        <v>13.096875443980627</v>
      </c>
      <c r="M193" s="97">
        <f t="shared" si="200"/>
        <v>11.240088901393936</v>
      </c>
      <c r="N193" s="97">
        <f t="shared" si="200"/>
        <v>10.785808228608738</v>
      </c>
      <c r="O193" s="97">
        <f t="shared" si="200"/>
        <v>9.7500086892339315</v>
      </c>
      <c r="P193" s="97">
        <f t="shared" si="200"/>
        <v>9.9781237022981681</v>
      </c>
      <c r="Q193" s="97">
        <f t="shared" si="200"/>
        <v>9.2081027601268435</v>
      </c>
      <c r="R193" s="97">
        <f t="shared" si="200"/>
        <v>9.1068798629155836</v>
      </c>
      <c r="S193" s="97">
        <f t="shared" si="200"/>
        <v>9.2951672060997534</v>
      </c>
      <c r="T193" s="97">
        <f t="shared" si="200"/>
        <v>8.6652329966450985</v>
      </c>
      <c r="U193" s="97">
        <f t="shared" si="200"/>
        <v>8.1368556415329003</v>
      </c>
      <c r="V193" s="97">
        <f t="shared" si="200"/>
        <v>10.633398799363759</v>
      </c>
      <c r="W193" s="97">
        <f t="shared" si="200"/>
        <v>9.4257551788940308</v>
      </c>
      <c r="X193" s="97">
        <f t="shared" si="200"/>
        <v>6.1486373476712197</v>
      </c>
      <c r="Y193" s="97">
        <f t="shared" si="200"/>
        <v>6.3034590682071903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7.6854808033084696</v>
      </c>
      <c r="J194" s="97">
        <f t="shared" si="201"/>
        <v>7.1314740523309226</v>
      </c>
      <c r="K194" s="97">
        <f t="shared" si="201"/>
        <v>7.0108084405264233</v>
      </c>
      <c r="L194" s="97">
        <f t="shared" si="201"/>
        <v>6.5420184326306021</v>
      </c>
      <c r="M194" s="97">
        <f t="shared" si="201"/>
        <v>6.4558346785659833</v>
      </c>
      <c r="N194" s="97">
        <f t="shared" si="201"/>
        <v>5.792042188716187</v>
      </c>
      <c r="O194" s="97">
        <f t="shared" si="201"/>
        <v>5.5739941263633517</v>
      </c>
      <c r="P194" s="97">
        <f t="shared" si="201"/>
        <v>5.3438639871181142</v>
      </c>
      <c r="Q194" s="97">
        <f t="shared" si="201"/>
        <v>4.9098807978692349</v>
      </c>
      <c r="R194" s="97">
        <f t="shared" si="201"/>
        <v>4.5380569810840967</v>
      </c>
      <c r="S194" s="97">
        <f t="shared" si="201"/>
        <v>4.3072437521472038</v>
      </c>
      <c r="T194" s="97">
        <f t="shared" si="201"/>
        <v>4.1155801763870556</v>
      </c>
      <c r="U194" s="97">
        <f t="shared" si="201"/>
        <v>4.0186499998584058</v>
      </c>
      <c r="V194" s="97">
        <f t="shared" si="201"/>
        <v>7.4514517137108358</v>
      </c>
      <c r="W194" s="97">
        <f t="shared" si="201"/>
        <v>7.3578863111377277</v>
      </c>
      <c r="X194" s="97">
        <f t="shared" si="201"/>
        <v>4.2041475726669466</v>
      </c>
      <c r="Y194" s="97">
        <f t="shared" si="201"/>
        <v>3.8587273866490537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42.89562419567671</v>
      </c>
      <c r="C195" s="130">
        <f t="shared" si="202"/>
        <v>41.748821092867047</v>
      </c>
      <c r="D195" s="130">
        <f t="shared" si="202"/>
        <v>37.503357607609551</v>
      </c>
      <c r="E195" s="130">
        <f t="shared" si="202"/>
        <v>34.541184120259118</v>
      </c>
      <c r="F195" s="130">
        <f t="shared" si="202"/>
        <v>34.316352219368689</v>
      </c>
      <c r="G195" s="130">
        <f t="shared" si="202"/>
        <v>35.405396503991341</v>
      </c>
      <c r="H195" s="130">
        <f t="shared" si="202"/>
        <v>37.632721947328236</v>
      </c>
      <c r="I195" s="130">
        <f t="shared" si="202"/>
        <v>39.129375310910604</v>
      </c>
      <c r="J195" s="130">
        <f t="shared" si="202"/>
        <v>39.292264712794029</v>
      </c>
      <c r="K195" s="130">
        <f t="shared" si="202"/>
        <v>38.655528292177998</v>
      </c>
      <c r="L195" s="130">
        <f t="shared" si="202"/>
        <v>38.466889063070234</v>
      </c>
      <c r="M195" s="130">
        <f t="shared" si="202"/>
        <v>38.508778137341949</v>
      </c>
      <c r="N195" s="130">
        <f t="shared" si="202"/>
        <v>36.596503944009591</v>
      </c>
      <c r="O195" s="130">
        <f t="shared" si="202"/>
        <v>34.691736055879623</v>
      </c>
      <c r="P195" s="130">
        <f t="shared" si="202"/>
        <v>32.317955255303318</v>
      </c>
      <c r="Q195" s="130">
        <f t="shared" si="202"/>
        <v>33.692656181997158</v>
      </c>
      <c r="R195" s="130">
        <f t="shared" si="202"/>
        <v>36.674387745989485</v>
      </c>
      <c r="S195" s="130">
        <f t="shared" si="202"/>
        <v>33.921033829561374</v>
      </c>
      <c r="T195" s="130">
        <f t="shared" si="202"/>
        <v>32.741533471334321</v>
      </c>
      <c r="U195" s="130">
        <f t="shared" si="202"/>
        <v>31.578180978609268</v>
      </c>
      <c r="V195" s="130">
        <f t="shared" si="202"/>
        <v>42.745818585471028</v>
      </c>
      <c r="W195" s="130">
        <f t="shared" si="202"/>
        <v>45.214946171045973</v>
      </c>
      <c r="X195" s="130">
        <f t="shared" si="202"/>
        <v>28.716040766857812</v>
      </c>
      <c r="Y195" s="130">
        <f t="shared" si="202"/>
        <v>30.285904812990598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221.48772612321343</v>
      </c>
      <c r="C196" s="97">
        <f t="shared" si="203"/>
        <v>203.71308473833946</v>
      </c>
      <c r="D196" s="97">
        <f t="shared" si="203"/>
        <v>206.07606037835296</v>
      </c>
      <c r="E196" s="97">
        <f t="shared" si="203"/>
        <v>194.23909409622587</v>
      </c>
      <c r="F196" s="97">
        <f t="shared" si="203"/>
        <v>197.48698749933234</v>
      </c>
      <c r="G196" s="97">
        <f t="shared" si="203"/>
        <v>199.90114213480521</v>
      </c>
      <c r="H196" s="97">
        <f t="shared" si="203"/>
        <v>167.1634968442809</v>
      </c>
      <c r="I196" s="97">
        <f t="shared" si="203"/>
        <v>158.76285084723776</v>
      </c>
      <c r="J196" s="97">
        <f t="shared" si="203"/>
        <v>145.97850213828093</v>
      </c>
      <c r="K196" s="97">
        <f t="shared" si="203"/>
        <v>143.45748164399197</v>
      </c>
      <c r="L196" s="97">
        <f t="shared" si="203"/>
        <v>128.83085139081948</v>
      </c>
      <c r="M196" s="97">
        <f t="shared" si="203"/>
        <v>162.80310800178444</v>
      </c>
      <c r="N196" s="97">
        <f t="shared" si="203"/>
        <v>164.8367762065354</v>
      </c>
      <c r="O196" s="97">
        <f t="shared" si="203"/>
        <v>171.58205015647971</v>
      </c>
      <c r="P196" s="97">
        <f t="shared" si="203"/>
        <v>177.08120639531609</v>
      </c>
      <c r="Q196" s="97">
        <f t="shared" si="203"/>
        <v>195.1655295895313</v>
      </c>
      <c r="R196" s="97">
        <f t="shared" si="203"/>
        <v>199.71363906020667</v>
      </c>
      <c r="S196" s="97">
        <f t="shared" si="203"/>
        <v>177.38425512884234</v>
      </c>
      <c r="T196" s="97">
        <f t="shared" si="203"/>
        <v>169.22087055229397</v>
      </c>
      <c r="U196" s="97">
        <f t="shared" si="203"/>
        <v>147.49831531650509</v>
      </c>
      <c r="V196" s="97">
        <f t="shared" si="203"/>
        <v>370.87794430927897</v>
      </c>
      <c r="W196" s="97">
        <f t="shared" si="203"/>
        <v>502.49257658209734</v>
      </c>
      <c r="X196" s="97">
        <f t="shared" si="203"/>
        <v>251.13262663436987</v>
      </c>
      <c r="Y196" s="97">
        <f t="shared" si="203"/>
        <v>226.93471879533053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44.997791697820517</v>
      </c>
      <c r="C197" s="97">
        <f t="shared" si="204"/>
        <v>43.187218336181154</v>
      </c>
      <c r="D197" s="97">
        <f t="shared" si="204"/>
        <v>39.687707208812661</v>
      </c>
      <c r="E197" s="97">
        <f t="shared" si="204"/>
        <v>35.736046526702836</v>
      </c>
      <c r="F197" s="97">
        <f t="shared" si="204"/>
        <v>35.958525456057849</v>
      </c>
      <c r="G197" s="97">
        <f t="shared" si="204"/>
        <v>38.746691861319121</v>
      </c>
      <c r="H197" s="97">
        <f t="shared" si="204"/>
        <v>39.497658405731066</v>
      </c>
      <c r="I197" s="97">
        <f t="shared" si="204"/>
        <v>40.713171215132384</v>
      </c>
      <c r="J197" s="97">
        <f t="shared" si="204"/>
        <v>40.706112848239094</v>
      </c>
      <c r="K197" s="97">
        <f t="shared" si="204"/>
        <v>38.007712934223761</v>
      </c>
      <c r="L197" s="97">
        <f t="shared" si="204"/>
        <v>38.227882669290423</v>
      </c>
      <c r="M197" s="97">
        <f t="shared" si="204"/>
        <v>37.110805288082183</v>
      </c>
      <c r="N197" s="97">
        <f t="shared" si="204"/>
        <v>34.745475244360946</v>
      </c>
      <c r="O197" s="97">
        <f t="shared" si="204"/>
        <v>33.253935593782309</v>
      </c>
      <c r="P197" s="97">
        <f t="shared" si="204"/>
        <v>32.190139594200808</v>
      </c>
      <c r="Q197" s="97">
        <f t="shared" si="204"/>
        <v>33.922772737016331</v>
      </c>
      <c r="R197" s="97">
        <f t="shared" si="204"/>
        <v>36.610676036981907</v>
      </c>
      <c r="S197" s="97">
        <f t="shared" si="204"/>
        <v>34.94008108177497</v>
      </c>
      <c r="T197" s="97">
        <f t="shared" si="204"/>
        <v>35.499943186569617</v>
      </c>
      <c r="U197" s="97">
        <f t="shared" si="204"/>
        <v>34.285882150909245</v>
      </c>
      <c r="V197" s="97">
        <f t="shared" si="204"/>
        <v>34.004855823374911</v>
      </c>
      <c r="W197" s="97">
        <f t="shared" si="204"/>
        <v>39.129002320430359</v>
      </c>
      <c r="X197" s="97">
        <f t="shared" si="204"/>
        <v>28.420235152943615</v>
      </c>
      <c r="Y197" s="97">
        <f t="shared" si="204"/>
        <v>31.952633448227864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37.22394194332049</v>
      </c>
      <c r="C198" s="97">
        <f t="shared" si="205"/>
        <v>36.920870513660169</v>
      </c>
      <c r="D198" s="97">
        <f t="shared" si="205"/>
        <v>32.114531607483926</v>
      </c>
      <c r="E198" s="97">
        <f t="shared" si="205"/>
        <v>29.990466712031523</v>
      </c>
      <c r="F198" s="97">
        <f t="shared" si="205"/>
        <v>30.044934244363258</v>
      </c>
      <c r="G198" s="97">
        <f t="shared" si="205"/>
        <v>30.306989940426917</v>
      </c>
      <c r="H198" s="97">
        <f t="shared" si="205"/>
        <v>33.33241700086608</v>
      </c>
      <c r="I198" s="97">
        <f t="shared" si="205"/>
        <v>35.000129962331535</v>
      </c>
      <c r="J198" s="97">
        <f t="shared" si="205"/>
        <v>35.466906671209948</v>
      </c>
      <c r="K198" s="97">
        <f t="shared" si="205"/>
        <v>36.215198270312541</v>
      </c>
      <c r="L198" s="97">
        <f t="shared" si="205"/>
        <v>36.083722228755761</v>
      </c>
      <c r="M198" s="97">
        <f t="shared" si="205"/>
        <v>37.023179683350357</v>
      </c>
      <c r="N198" s="97">
        <f t="shared" si="205"/>
        <v>35.68178868203244</v>
      </c>
      <c r="O198" s="97">
        <f t="shared" si="205"/>
        <v>33.365468245180779</v>
      </c>
      <c r="P198" s="97">
        <f t="shared" si="205"/>
        <v>30.106096928752187</v>
      </c>
      <c r="Q198" s="97">
        <f t="shared" si="205"/>
        <v>31.211472466815991</v>
      </c>
      <c r="R198" s="97">
        <f t="shared" si="205"/>
        <v>34.410759225324973</v>
      </c>
      <c r="S198" s="97">
        <f t="shared" si="205"/>
        <v>30.942609454556624</v>
      </c>
      <c r="T198" s="97">
        <f t="shared" si="205"/>
        <v>28.754337097709399</v>
      </c>
      <c r="U198" s="97">
        <f t="shared" si="205"/>
        <v>28.271994877017697</v>
      </c>
      <c r="V198" s="97">
        <f t="shared" si="205"/>
        <v>47.506866740078195</v>
      </c>
      <c r="W198" s="97">
        <f t="shared" si="205"/>
        <v>47.953417195234962</v>
      </c>
      <c r="X198" s="97">
        <f t="shared" si="205"/>
        <v>27.512606690070058</v>
      </c>
      <c r="Y198" s="97">
        <f t="shared" si="205"/>
        <v>27.836624468861885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43.213704646718405</v>
      </c>
      <c r="C199" s="32">
        <f t="shared" si="206"/>
        <v>47.247014497426072</v>
      </c>
      <c r="D199" s="32">
        <f t="shared" si="206"/>
        <v>50.363377570595844</v>
      </c>
      <c r="E199" s="32">
        <f t="shared" si="206"/>
        <v>54.173490398904057</v>
      </c>
      <c r="F199" s="32">
        <f t="shared" si="206"/>
        <v>51.288239781470971</v>
      </c>
      <c r="G199" s="32">
        <f t="shared" si="206"/>
        <v>52.649533301623563</v>
      </c>
      <c r="H199" s="32">
        <f t="shared" si="206"/>
        <v>45.710431194112473</v>
      </c>
      <c r="I199" s="32">
        <f t="shared" si="206"/>
        <v>42.699246391669725</v>
      </c>
      <c r="J199" s="32">
        <f t="shared" si="206"/>
        <v>39.578314855027863</v>
      </c>
      <c r="K199" s="32">
        <f t="shared" si="206"/>
        <v>44.119306670210868</v>
      </c>
      <c r="L199" s="32">
        <f t="shared" si="206"/>
        <v>43.998730744498239</v>
      </c>
      <c r="M199" s="32">
        <f t="shared" si="206"/>
        <v>40.072108868926627</v>
      </c>
      <c r="N199" s="32">
        <f t="shared" si="206"/>
        <v>41.756785915301599</v>
      </c>
      <c r="O199" s="32">
        <f t="shared" si="206"/>
        <v>47.260432945426579</v>
      </c>
      <c r="P199" s="32">
        <f t="shared" si="206"/>
        <v>44.104778852253624</v>
      </c>
      <c r="Q199" s="32">
        <f t="shared" si="206"/>
        <v>44.407236223651608</v>
      </c>
      <c r="R199" s="32">
        <f t="shared" si="206"/>
        <v>43.844464269326551</v>
      </c>
      <c r="S199" s="32">
        <f t="shared" si="206"/>
        <v>42.703709444427702</v>
      </c>
      <c r="T199" s="32">
        <f t="shared" si="206"/>
        <v>44.038429098112807</v>
      </c>
      <c r="U199" s="32">
        <f t="shared" si="206"/>
        <v>44.738655824942832</v>
      </c>
      <c r="V199" s="32">
        <f t="shared" si="206"/>
        <v>43.265702437861151</v>
      </c>
      <c r="W199" s="32">
        <f t="shared" si="206"/>
        <v>43.06684967213328</v>
      </c>
      <c r="X199" s="32">
        <f t="shared" si="206"/>
        <v>37.736318999895765</v>
      </c>
      <c r="Y199" s="32">
        <f t="shared" si="206"/>
        <v>37.355696582285134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68.957662752017328</v>
      </c>
      <c r="C200" s="141">
        <f t="shared" si="207"/>
        <v>75.454504670948936</v>
      </c>
      <c r="D200" s="141">
        <f t="shared" si="207"/>
        <v>80.530164080049815</v>
      </c>
      <c r="E200" s="141">
        <f t="shared" si="207"/>
        <v>84.958885894601451</v>
      </c>
      <c r="F200" s="141">
        <f t="shared" si="207"/>
        <v>80.014734801187373</v>
      </c>
      <c r="G200" s="141">
        <f t="shared" si="207"/>
        <v>81.858245716038951</v>
      </c>
      <c r="H200" s="141">
        <f t="shared" si="207"/>
        <v>70.900764295711909</v>
      </c>
      <c r="I200" s="141">
        <f t="shared" si="207"/>
        <v>65.460820296596168</v>
      </c>
      <c r="J200" s="141">
        <f t="shared" si="207"/>
        <v>59.480013967368997</v>
      </c>
      <c r="K200" s="141">
        <f t="shared" si="207"/>
        <v>65.094945651181291</v>
      </c>
      <c r="L200" s="141">
        <f t="shared" si="207"/>
        <v>66.300194759440544</v>
      </c>
      <c r="M200" s="141">
        <f t="shared" si="207"/>
        <v>59.709035904750436</v>
      </c>
      <c r="N200" s="141">
        <f t="shared" si="207"/>
        <v>62.3025415788887</v>
      </c>
      <c r="O200" s="141">
        <f t="shared" si="207"/>
        <v>70.503743016055907</v>
      </c>
      <c r="P200" s="141">
        <f t="shared" si="207"/>
        <v>66.494714112589136</v>
      </c>
      <c r="Q200" s="141">
        <f t="shared" si="207"/>
        <v>65.775729908821745</v>
      </c>
      <c r="R200" s="141">
        <f t="shared" si="207"/>
        <v>64.777820569280834</v>
      </c>
      <c r="S200" s="141">
        <f t="shared" si="207"/>
        <v>62.610476705847866</v>
      </c>
      <c r="T200" s="141">
        <f t="shared" si="207"/>
        <v>63.730258954276209</v>
      </c>
      <c r="U200" s="141">
        <f t="shared" si="207"/>
        <v>64.273666764843952</v>
      </c>
      <c r="V200" s="141">
        <f t="shared" si="207"/>
        <v>61.175216509239554</v>
      </c>
      <c r="W200" s="141">
        <f t="shared" si="207"/>
        <v>60.629071873350568</v>
      </c>
      <c r="X200" s="141">
        <f t="shared" si="207"/>
        <v>52.848683376525692</v>
      </c>
      <c r="Y200" s="141">
        <f t="shared" si="207"/>
        <v>51.650984443122091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1619.9822302837665</v>
      </c>
      <c r="C201" s="97">
        <f t="shared" si="208"/>
        <v>1570.2468751024712</v>
      </c>
      <c r="D201" s="97">
        <f t="shared" si="208"/>
        <v>1555.3711787374566</v>
      </c>
      <c r="E201" s="97">
        <f t="shared" si="208"/>
        <v>1528.1568466220183</v>
      </c>
      <c r="F201" s="97">
        <f t="shared" si="208"/>
        <v>1498.478269223328</v>
      </c>
      <c r="G201" s="97">
        <f t="shared" si="208"/>
        <v>1481.4735265146469</v>
      </c>
      <c r="H201" s="97">
        <f t="shared" si="208"/>
        <v>1468.0110204974483</v>
      </c>
      <c r="I201" s="97">
        <f t="shared" si="208"/>
        <v>1455.6066327536769</v>
      </c>
      <c r="J201" s="97">
        <f t="shared" si="208"/>
        <v>1433.6903461186571</v>
      </c>
      <c r="K201" s="97">
        <f t="shared" si="208"/>
        <v>1418.9143438340577</v>
      </c>
      <c r="L201" s="97">
        <f t="shared" si="208"/>
        <v>1405.1561968183564</v>
      </c>
      <c r="M201" s="97">
        <f t="shared" si="208"/>
        <v>1397.8070905140883</v>
      </c>
      <c r="N201" s="97">
        <f t="shared" si="208"/>
        <v>1380.7605649397574</v>
      </c>
      <c r="O201" s="97">
        <f t="shared" si="208"/>
        <v>1369.3180188320021</v>
      </c>
      <c r="P201" s="97">
        <f t="shared" si="208"/>
        <v>1367.7715214813304</v>
      </c>
      <c r="Q201" s="97">
        <f t="shared" si="208"/>
        <v>1362.8849097523328</v>
      </c>
      <c r="R201" s="97">
        <f t="shared" si="208"/>
        <v>1351.3304707464902</v>
      </c>
      <c r="S201" s="97">
        <f t="shared" si="208"/>
        <v>1331.3617903154118</v>
      </c>
      <c r="T201" s="97">
        <f t="shared" si="208"/>
        <v>1315.8827025620935</v>
      </c>
      <c r="U201" s="97">
        <f t="shared" si="208"/>
        <v>1310.9436043713176</v>
      </c>
      <c r="V201" s="97">
        <f t="shared" si="208"/>
        <v>1307.3762777958236</v>
      </c>
      <c r="W201" s="97">
        <f t="shared" si="208"/>
        <v>1313.6088472138003</v>
      </c>
      <c r="X201" s="97">
        <f t="shared" si="208"/>
        <v>1297.3085599758922</v>
      </c>
      <c r="Y201" s="97">
        <f t="shared" si="208"/>
        <v>1287.6236048121311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53.516133430572211</v>
      </c>
      <c r="C202" s="97">
        <f t="shared" si="209"/>
        <v>60.396695116056158</v>
      </c>
      <c r="D202" s="97">
        <f t="shared" si="209"/>
        <v>65.707129570908577</v>
      </c>
      <c r="E202" s="97">
        <f t="shared" si="209"/>
        <v>70.457277439353419</v>
      </c>
      <c r="F202" s="97">
        <f t="shared" si="209"/>
        <v>66.443672746503495</v>
      </c>
      <c r="G202" s="97">
        <f t="shared" si="209"/>
        <v>68.412781326407654</v>
      </c>
      <c r="H202" s="97">
        <f t="shared" si="209"/>
        <v>58.304158826020412</v>
      </c>
      <c r="I202" s="97">
        <f t="shared" si="209"/>
        <v>53.622983897317511</v>
      </c>
      <c r="J202" s="97">
        <f t="shared" si="209"/>
        <v>48.510729149729201</v>
      </c>
      <c r="K202" s="97">
        <f t="shared" si="209"/>
        <v>52.653401920888541</v>
      </c>
      <c r="L202" s="97">
        <f t="shared" si="209"/>
        <v>54.514585734588188</v>
      </c>
      <c r="M202" s="97">
        <f t="shared" si="209"/>
        <v>48.07346520795889</v>
      </c>
      <c r="N202" s="97">
        <f t="shared" si="209"/>
        <v>50.463854774821144</v>
      </c>
      <c r="O202" s="97">
        <f t="shared" si="209"/>
        <v>58.587515198179084</v>
      </c>
      <c r="P202" s="97">
        <f t="shared" si="209"/>
        <v>54.353415202621456</v>
      </c>
      <c r="Q202" s="97">
        <f t="shared" si="209"/>
        <v>53.820503662015867</v>
      </c>
      <c r="R202" s="97">
        <f t="shared" si="209"/>
        <v>53.064528832218606</v>
      </c>
      <c r="S202" s="97">
        <f t="shared" si="209"/>
        <v>51.487444372531314</v>
      </c>
      <c r="T202" s="97">
        <f t="shared" si="209"/>
        <v>52.549805500023155</v>
      </c>
      <c r="U202" s="97">
        <f t="shared" si="209"/>
        <v>52.979239008063779</v>
      </c>
      <c r="V202" s="97">
        <f t="shared" si="209"/>
        <v>49.692835532107452</v>
      </c>
      <c r="W202" s="97">
        <f t="shared" si="209"/>
        <v>48.961962536167093</v>
      </c>
      <c r="X202" s="97">
        <f t="shared" si="209"/>
        <v>40.965144517015659</v>
      </c>
      <c r="Y202" s="97">
        <f t="shared" si="209"/>
        <v>38.997610396312851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5.4391393501486966</v>
      </c>
      <c r="C203" s="130">
        <f t="shared" si="210"/>
        <v>5.2052939536560512</v>
      </c>
      <c r="D203" s="130">
        <f t="shared" si="210"/>
        <v>4.8997313941033758</v>
      </c>
      <c r="E203" s="130">
        <f t="shared" si="210"/>
        <v>4.875822533060111</v>
      </c>
      <c r="F203" s="130">
        <f t="shared" si="210"/>
        <v>4.847227527147858</v>
      </c>
      <c r="G203" s="130">
        <f t="shared" si="210"/>
        <v>4.7353985318547487</v>
      </c>
      <c r="H203" s="130">
        <f t="shared" si="210"/>
        <v>4.5263243311404073</v>
      </c>
      <c r="I203" s="130">
        <f t="shared" si="210"/>
        <v>4.1945801277727721</v>
      </c>
      <c r="J203" s="130">
        <f t="shared" si="210"/>
        <v>4.0720321945641604</v>
      </c>
      <c r="K203" s="130">
        <f t="shared" si="210"/>
        <v>4.1642537853614643</v>
      </c>
      <c r="L203" s="130">
        <f t="shared" si="210"/>
        <v>3.9529099327136548</v>
      </c>
      <c r="M203" s="130">
        <f t="shared" si="210"/>
        <v>3.8586792689830944</v>
      </c>
      <c r="N203" s="130">
        <f t="shared" si="210"/>
        <v>3.6849056254334949</v>
      </c>
      <c r="O203" s="130">
        <f t="shared" si="210"/>
        <v>3.6628658971210131</v>
      </c>
      <c r="P203" s="130">
        <f t="shared" si="210"/>
        <v>3.2577949781282749</v>
      </c>
      <c r="Q203" s="130">
        <f t="shared" si="210"/>
        <v>3.1749306307415486</v>
      </c>
      <c r="R203" s="130">
        <f t="shared" si="210"/>
        <v>3.0326418803306416</v>
      </c>
      <c r="S203" s="130">
        <f t="shared" si="210"/>
        <v>2.9810980648121999</v>
      </c>
      <c r="T203" s="130">
        <f t="shared" si="210"/>
        <v>3.0303812318464534</v>
      </c>
      <c r="U203" s="130">
        <f t="shared" si="210"/>
        <v>3.1375122766259969</v>
      </c>
      <c r="V203" s="130">
        <f t="shared" si="210"/>
        <v>3.731523521871571</v>
      </c>
      <c r="W203" s="130">
        <f t="shared" si="210"/>
        <v>3.5359613081415691</v>
      </c>
      <c r="X203" s="130">
        <f t="shared" si="210"/>
        <v>3.4744386853588609</v>
      </c>
      <c r="Y203" s="130">
        <f t="shared" si="210"/>
        <v>3.3096282226551232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65.376715268360442</v>
      </c>
      <c r="C204" s="130">
        <f t="shared" si="211"/>
        <v>62.038330322978794</v>
      </c>
      <c r="D204" s="130">
        <f t="shared" si="211"/>
        <v>64.106274234967842</v>
      </c>
      <c r="E204" s="130">
        <f t="shared" si="211"/>
        <v>59.895281592392877</v>
      </c>
      <c r="F204" s="130">
        <f t="shared" si="211"/>
        <v>71.884221593157719</v>
      </c>
      <c r="G204" s="130">
        <f t="shared" si="211"/>
        <v>72.141841059843955</v>
      </c>
      <c r="H204" s="130">
        <f t="shared" si="211"/>
        <v>85.481393015846777</v>
      </c>
      <c r="I204" s="130">
        <f t="shared" si="211"/>
        <v>91.924997449976715</v>
      </c>
      <c r="J204" s="130">
        <f t="shared" si="211"/>
        <v>94.312940382794608</v>
      </c>
      <c r="K204" s="130">
        <f t="shared" si="211"/>
        <v>90.172722738389055</v>
      </c>
      <c r="L204" s="130">
        <f t="shared" si="211"/>
        <v>95.235533439399447</v>
      </c>
      <c r="M204" s="130">
        <f t="shared" si="211"/>
        <v>91.89070455169653</v>
      </c>
      <c r="N204" s="130">
        <f t="shared" si="211"/>
        <v>84.535926061897186</v>
      </c>
      <c r="O204" s="130">
        <f t="shared" si="211"/>
        <v>80.639287459942707</v>
      </c>
      <c r="P204" s="130">
        <f t="shared" si="211"/>
        <v>66.563922331621185</v>
      </c>
      <c r="Q204" s="130">
        <f t="shared" si="211"/>
        <v>64.517952121056069</v>
      </c>
      <c r="R204" s="130">
        <f t="shared" si="211"/>
        <v>64.631940606682747</v>
      </c>
      <c r="S204" s="130">
        <f t="shared" si="211"/>
        <v>66.24961736623149</v>
      </c>
      <c r="T204" s="130">
        <f t="shared" si="211"/>
        <v>64.663720700211599</v>
      </c>
      <c r="U204" s="130">
        <f t="shared" si="211"/>
        <v>64.18820696768401</v>
      </c>
      <c r="V204" s="130">
        <f t="shared" si="211"/>
        <v>94.199595205564322</v>
      </c>
      <c r="W204" s="130">
        <f t="shared" si="211"/>
        <v>107.78774928283639</v>
      </c>
      <c r="X204" s="130">
        <f t="shared" si="211"/>
        <v>81.824501757894311</v>
      </c>
      <c r="Y204" s="130">
        <f t="shared" si="211"/>
        <v>91.299635980774241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674.30816318307268</v>
      </c>
      <c r="C205" s="97">
        <f t="shared" si="212"/>
        <v>714.71283166383967</v>
      </c>
      <c r="D205" s="97">
        <f t="shared" si="212"/>
        <v>667.00851299510009</v>
      </c>
      <c r="E205" s="97">
        <f t="shared" si="212"/>
        <v>636.59302969917405</v>
      </c>
      <c r="F205" s="97">
        <f t="shared" si="212"/>
        <v>733.96284546664015</v>
      </c>
      <c r="G205" s="97">
        <f t="shared" si="212"/>
        <v>747.86954539750502</v>
      </c>
      <c r="H205" s="97">
        <f t="shared" si="212"/>
        <v>786.19706611763274</v>
      </c>
      <c r="I205" s="97">
        <f t="shared" si="212"/>
        <v>780.93104972399487</v>
      </c>
      <c r="J205" s="97">
        <f t="shared" si="212"/>
        <v>738.68031716914516</v>
      </c>
      <c r="K205" s="97">
        <f t="shared" si="212"/>
        <v>717.6397249967049</v>
      </c>
      <c r="L205" s="97">
        <f t="shared" si="212"/>
        <v>663.80459165921832</v>
      </c>
      <c r="M205" s="97">
        <f t="shared" si="212"/>
        <v>798.88371540032938</v>
      </c>
      <c r="N205" s="97">
        <f t="shared" si="212"/>
        <v>710.28657155153633</v>
      </c>
      <c r="O205" s="97">
        <f t="shared" si="212"/>
        <v>749.60288755897159</v>
      </c>
      <c r="P205" s="97">
        <f t="shared" si="212"/>
        <v>733.21818252475907</v>
      </c>
      <c r="Q205" s="97">
        <f t="shared" si="212"/>
        <v>852.39805233974266</v>
      </c>
      <c r="R205" s="97">
        <f t="shared" si="212"/>
        <v>827.1564491891146</v>
      </c>
      <c r="S205" s="97">
        <f t="shared" si="212"/>
        <v>912.86354847218286</v>
      </c>
      <c r="T205" s="97">
        <f t="shared" si="212"/>
        <v>1020.0038426177978</v>
      </c>
      <c r="U205" s="97">
        <f t="shared" si="212"/>
        <v>695.44205039578992</v>
      </c>
      <c r="V205" s="97">
        <f t="shared" si="212"/>
        <v>1640.038937940915</v>
      </c>
      <c r="W205" s="97">
        <f t="shared" si="212"/>
        <v>2165.5627547665167</v>
      </c>
      <c r="X205" s="97">
        <f t="shared" si="212"/>
        <v>1390.7890228105337</v>
      </c>
      <c r="Y205" s="97">
        <f t="shared" si="212"/>
        <v>880.97862037695927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144.79534385685076</v>
      </c>
      <c r="C206" s="97">
        <f t="shared" si="213"/>
        <v>134.05828102068034</v>
      </c>
      <c r="D206" s="97">
        <f t="shared" si="213"/>
        <v>132.56085170969249</v>
      </c>
      <c r="E206" s="97">
        <f t="shared" si="213"/>
        <v>113.92363749223239</v>
      </c>
      <c r="F206" s="97">
        <f t="shared" si="213"/>
        <v>132.40614854595577</v>
      </c>
      <c r="G206" s="97">
        <f t="shared" si="213"/>
        <v>147.90646583576367</v>
      </c>
      <c r="H206" s="97">
        <f t="shared" si="213"/>
        <v>175.6029021038876</v>
      </c>
      <c r="I206" s="97">
        <f t="shared" si="213"/>
        <v>188.06790789057169</v>
      </c>
      <c r="J206" s="97">
        <f t="shared" si="213"/>
        <v>193.04169337126976</v>
      </c>
      <c r="K206" s="97">
        <f t="shared" si="213"/>
        <v>184.47719603611418</v>
      </c>
      <c r="L206" s="97">
        <f t="shared" si="213"/>
        <v>199.96361911931879</v>
      </c>
      <c r="M206" s="97">
        <f t="shared" si="213"/>
        <v>209.90425305843613</v>
      </c>
      <c r="N206" s="97">
        <f t="shared" si="213"/>
        <v>195.13825554898384</v>
      </c>
      <c r="O206" s="97">
        <f t="shared" si="213"/>
        <v>196.1086827586085</v>
      </c>
      <c r="P206" s="97">
        <f t="shared" si="213"/>
        <v>161.58573999382745</v>
      </c>
      <c r="Q206" s="97">
        <f t="shared" si="213"/>
        <v>161.48468440511152</v>
      </c>
      <c r="R206" s="97">
        <f t="shared" si="213"/>
        <v>161.61674367787288</v>
      </c>
      <c r="S206" s="97">
        <f t="shared" si="213"/>
        <v>173.72739392036311</v>
      </c>
      <c r="T206" s="97">
        <f t="shared" si="213"/>
        <v>172.04062753491985</v>
      </c>
      <c r="U206" s="97">
        <f t="shared" si="213"/>
        <v>157.47854501766545</v>
      </c>
      <c r="V206" s="97">
        <f t="shared" si="213"/>
        <v>161.049952941084</v>
      </c>
      <c r="W206" s="97">
        <f t="shared" si="213"/>
        <v>201.99225748232979</v>
      </c>
      <c r="X206" s="97">
        <f t="shared" si="213"/>
        <v>163.22080555195356</v>
      </c>
      <c r="Y206" s="97">
        <f t="shared" si="213"/>
        <v>189.20887309572922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35.688208238067432</v>
      </c>
      <c r="C207" s="97">
        <f t="shared" si="214"/>
        <v>33.334270335212885</v>
      </c>
      <c r="D207" s="97">
        <f t="shared" si="214"/>
        <v>33.18596313568564</v>
      </c>
      <c r="E207" s="97">
        <f t="shared" si="214"/>
        <v>32.569860422382938</v>
      </c>
      <c r="F207" s="97">
        <f t="shared" si="214"/>
        <v>33.589102201646959</v>
      </c>
      <c r="G207" s="97">
        <f t="shared" si="214"/>
        <v>35.105903367434593</v>
      </c>
      <c r="H207" s="97">
        <f t="shared" si="214"/>
        <v>39.064270175192711</v>
      </c>
      <c r="I207" s="97">
        <f t="shared" si="214"/>
        <v>44.611311745501574</v>
      </c>
      <c r="J207" s="97">
        <f t="shared" si="214"/>
        <v>46.014419328033469</v>
      </c>
      <c r="K207" s="97">
        <f t="shared" si="214"/>
        <v>40.828482889569059</v>
      </c>
      <c r="L207" s="97">
        <f t="shared" si="214"/>
        <v>42.253748404763037</v>
      </c>
      <c r="M207" s="97">
        <f t="shared" si="214"/>
        <v>48.303542490753209</v>
      </c>
      <c r="N207" s="97">
        <f t="shared" si="214"/>
        <v>51.902433480706947</v>
      </c>
      <c r="O207" s="97">
        <f t="shared" si="214"/>
        <v>49.265473741266121</v>
      </c>
      <c r="P207" s="97">
        <f t="shared" si="214"/>
        <v>40.351897796838301</v>
      </c>
      <c r="Q207" s="97">
        <f t="shared" si="214"/>
        <v>44.925030935792826</v>
      </c>
      <c r="R207" s="97">
        <f t="shared" si="214"/>
        <v>48.031272819678293</v>
      </c>
      <c r="S207" s="97">
        <f t="shared" si="214"/>
        <v>47.541676008616754</v>
      </c>
      <c r="T207" s="97">
        <f t="shared" si="214"/>
        <v>48.948554346431777</v>
      </c>
      <c r="U207" s="97">
        <f t="shared" si="214"/>
        <v>49.540390125215794</v>
      </c>
      <c r="V207" s="97">
        <f t="shared" si="214"/>
        <v>63.294093056168563</v>
      </c>
      <c r="W207" s="97">
        <f t="shared" si="214"/>
        <v>54.794794876009483</v>
      </c>
      <c r="X207" s="97">
        <f t="shared" si="214"/>
        <v>43.570223700803155</v>
      </c>
      <c r="Y207" s="97">
        <f t="shared" si="214"/>
        <v>48.975506783174986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14.215451038780289</v>
      </c>
      <c r="C208" s="130">
        <f t="shared" si="215"/>
        <v>14.38678777358597</v>
      </c>
      <c r="D208" s="130">
        <f t="shared" si="215"/>
        <v>13.644257315482225</v>
      </c>
      <c r="E208" s="130">
        <f t="shared" si="215"/>
        <v>15.26474619454263</v>
      </c>
      <c r="F208" s="130">
        <f t="shared" si="215"/>
        <v>23.982988156579438</v>
      </c>
      <c r="G208" s="130">
        <f t="shared" si="215"/>
        <v>23.697981938835717</v>
      </c>
      <c r="H208" s="130">
        <f t="shared" si="215"/>
        <v>21.458965910904677</v>
      </c>
      <c r="I208" s="130">
        <f t="shared" si="215"/>
        <v>15.619351781985364</v>
      </c>
      <c r="J208" s="130">
        <f t="shared" si="215"/>
        <v>16.277792337353844</v>
      </c>
      <c r="K208" s="130">
        <f t="shared" si="215"/>
        <v>17.860225998062234</v>
      </c>
      <c r="L208" s="130">
        <f t="shared" si="215"/>
        <v>16.658659546544776</v>
      </c>
      <c r="M208" s="130">
        <f t="shared" si="215"/>
        <v>17.978460532780023</v>
      </c>
      <c r="N208" s="130">
        <f t="shared" si="215"/>
        <v>16.834168389169633</v>
      </c>
      <c r="O208" s="130">
        <f t="shared" si="215"/>
        <v>16.679243380050494</v>
      </c>
      <c r="P208" s="130">
        <f t="shared" si="215"/>
        <v>18.31154360979378</v>
      </c>
      <c r="Q208" s="130">
        <f t="shared" si="215"/>
        <v>20.537874611141422</v>
      </c>
      <c r="R208" s="130">
        <f t="shared" si="215"/>
        <v>20.003409579955523</v>
      </c>
      <c r="S208" s="130">
        <f t="shared" si="215"/>
        <v>20.233706103030041</v>
      </c>
      <c r="T208" s="130">
        <f t="shared" si="215"/>
        <v>25.711624426072074</v>
      </c>
      <c r="U208" s="130">
        <f t="shared" si="215"/>
        <v>25.149796068777587</v>
      </c>
      <c r="V208" s="130">
        <f t="shared" si="215"/>
        <v>13.437731893190731</v>
      </c>
      <c r="W208" s="130">
        <f t="shared" si="215"/>
        <v>21.064266864899245</v>
      </c>
      <c r="X208" s="130">
        <f t="shared" si="215"/>
        <v>27.488896280907881</v>
      </c>
      <c r="Y208" s="130">
        <f t="shared" si="215"/>
        <v>28.69724393164411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0</v>
      </c>
      <c r="J209" s="97">
        <f t="shared" si="216"/>
        <v>0</v>
      </c>
      <c r="K209" s="97">
        <f t="shared" si="216"/>
        <v>0</v>
      </c>
      <c r="L209" s="97">
        <f t="shared" si="216"/>
        <v>0</v>
      </c>
      <c r="M209" s="97">
        <f t="shared" si="216"/>
        <v>0</v>
      </c>
      <c r="N209" s="97">
        <f t="shared" si="216"/>
        <v>0</v>
      </c>
      <c r="O209" s="97">
        <f t="shared" si="216"/>
        <v>0</v>
      </c>
      <c r="P209" s="97">
        <f t="shared" si="216"/>
        <v>0</v>
      </c>
      <c r="Q209" s="97">
        <f t="shared" si="216"/>
        <v>0</v>
      </c>
      <c r="R209" s="97">
        <f t="shared" si="216"/>
        <v>0</v>
      </c>
      <c r="S209" s="97">
        <f t="shared" si="216"/>
        <v>0</v>
      </c>
      <c r="T209" s="97">
        <f t="shared" si="216"/>
        <v>0</v>
      </c>
      <c r="U209" s="97">
        <f t="shared" si="216"/>
        <v>0</v>
      </c>
      <c r="V209" s="97">
        <f t="shared" si="216"/>
        <v>0</v>
      </c>
      <c r="W209" s="97">
        <f t="shared" si="216"/>
        <v>0</v>
      </c>
      <c r="X209" s="97">
        <f t="shared" si="216"/>
        <v>0</v>
      </c>
      <c r="Y209" s="97">
        <f t="shared" si="216"/>
        <v>0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14.215451038780289</v>
      </c>
      <c r="C210" s="98">
        <f t="shared" si="217"/>
        <v>14.38678777358597</v>
      </c>
      <c r="D210" s="98">
        <f t="shared" si="217"/>
        <v>13.644257315482225</v>
      </c>
      <c r="E210" s="98">
        <f t="shared" si="217"/>
        <v>15.26474619454263</v>
      </c>
      <c r="F210" s="98">
        <f t="shared" si="217"/>
        <v>23.982988156579438</v>
      </c>
      <c r="G210" s="98">
        <f t="shared" si="217"/>
        <v>23.697981938835717</v>
      </c>
      <c r="H210" s="98">
        <f t="shared" si="217"/>
        <v>21.458965910904677</v>
      </c>
      <c r="I210" s="98">
        <f t="shared" si="217"/>
        <v>15.619351781985364</v>
      </c>
      <c r="J210" s="98">
        <f t="shared" si="217"/>
        <v>16.277792337353844</v>
      </c>
      <c r="K210" s="98">
        <f t="shared" si="217"/>
        <v>17.860225998062234</v>
      </c>
      <c r="L210" s="98">
        <f t="shared" si="217"/>
        <v>16.658659546544776</v>
      </c>
      <c r="M210" s="98">
        <f t="shared" si="217"/>
        <v>17.978460532780023</v>
      </c>
      <c r="N210" s="98">
        <f t="shared" si="217"/>
        <v>16.834168389169633</v>
      </c>
      <c r="O210" s="98">
        <f t="shared" si="217"/>
        <v>16.679243380050494</v>
      </c>
      <c r="P210" s="98">
        <f t="shared" si="217"/>
        <v>18.31154360979378</v>
      </c>
      <c r="Q210" s="98">
        <f t="shared" si="217"/>
        <v>20.537874611141422</v>
      </c>
      <c r="R210" s="98">
        <f t="shared" si="217"/>
        <v>20.003409579955523</v>
      </c>
      <c r="S210" s="98">
        <f t="shared" si="217"/>
        <v>20.233706103030041</v>
      </c>
      <c r="T210" s="98">
        <f t="shared" si="217"/>
        <v>25.711624426072074</v>
      </c>
      <c r="U210" s="98">
        <f t="shared" si="217"/>
        <v>25.149796068777587</v>
      </c>
      <c r="V210" s="98">
        <f t="shared" si="217"/>
        <v>13.437731893190731</v>
      </c>
      <c r="W210" s="98">
        <f t="shared" si="217"/>
        <v>21.064266864899245</v>
      </c>
      <c r="X210" s="98">
        <f t="shared" si="217"/>
        <v>27.488896280907881</v>
      </c>
      <c r="Y210" s="98">
        <f t="shared" si="217"/>
        <v>28.69724393164411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0</v>
      </c>
      <c r="C211" s="32">
        <f t="shared" si="218"/>
        <v>0</v>
      </c>
      <c r="D211" s="32">
        <f t="shared" si="218"/>
        <v>0</v>
      </c>
      <c r="E211" s="32">
        <f t="shared" si="218"/>
        <v>0</v>
      </c>
      <c r="F211" s="32">
        <f t="shared" si="218"/>
        <v>0</v>
      </c>
      <c r="G211" s="32">
        <f t="shared" si="218"/>
        <v>0</v>
      </c>
      <c r="H211" s="32">
        <f t="shared" si="218"/>
        <v>0</v>
      </c>
      <c r="I211" s="32">
        <f t="shared" si="218"/>
        <v>0</v>
      </c>
      <c r="J211" s="32">
        <f t="shared" si="218"/>
        <v>0</v>
      </c>
      <c r="K211" s="32">
        <f t="shared" si="218"/>
        <v>0</v>
      </c>
      <c r="L211" s="32">
        <f t="shared" si="218"/>
        <v>0</v>
      </c>
      <c r="M211" s="32">
        <f t="shared" si="218"/>
        <v>0</v>
      </c>
      <c r="N211" s="32">
        <f t="shared" si="218"/>
        <v>0</v>
      </c>
      <c r="O211" s="32">
        <f t="shared" si="218"/>
        <v>0</v>
      </c>
      <c r="P211" s="32">
        <f t="shared" si="218"/>
        <v>0</v>
      </c>
      <c r="Q211" s="32">
        <f t="shared" si="218"/>
        <v>0</v>
      </c>
      <c r="R211" s="32">
        <f t="shared" si="218"/>
        <v>0</v>
      </c>
      <c r="S211" s="32">
        <f t="shared" si="218"/>
        <v>0</v>
      </c>
      <c r="T211" s="32">
        <f t="shared" si="218"/>
        <v>0</v>
      </c>
      <c r="U211" s="32">
        <f t="shared" si="218"/>
        <v>0</v>
      </c>
      <c r="V211" s="32">
        <f t="shared" si="218"/>
        <v>0</v>
      </c>
      <c r="W211" s="32">
        <f t="shared" si="218"/>
        <v>0</v>
      </c>
      <c r="X211" s="32">
        <f t="shared" si="218"/>
        <v>0</v>
      </c>
      <c r="Y211" s="32">
        <f t="shared" si="218"/>
        <v>0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0</v>
      </c>
      <c r="C212" s="97">
        <f t="shared" si="219"/>
        <v>0</v>
      </c>
      <c r="D212" s="97">
        <f t="shared" si="219"/>
        <v>0</v>
      </c>
      <c r="E212" s="97">
        <f t="shared" si="219"/>
        <v>0</v>
      </c>
      <c r="F212" s="97">
        <f t="shared" si="219"/>
        <v>0</v>
      </c>
      <c r="G212" s="97">
        <f t="shared" si="219"/>
        <v>0</v>
      </c>
      <c r="H212" s="97">
        <f t="shared" si="219"/>
        <v>0</v>
      </c>
      <c r="I212" s="97">
        <f t="shared" si="219"/>
        <v>0</v>
      </c>
      <c r="J212" s="97">
        <f t="shared" si="219"/>
        <v>0</v>
      </c>
      <c r="K212" s="97">
        <f t="shared" si="219"/>
        <v>0</v>
      </c>
      <c r="L212" s="97">
        <f t="shared" si="219"/>
        <v>0</v>
      </c>
      <c r="M212" s="97">
        <f t="shared" si="219"/>
        <v>0</v>
      </c>
      <c r="N212" s="97">
        <f t="shared" si="219"/>
        <v>0</v>
      </c>
      <c r="O212" s="97">
        <f t="shared" si="219"/>
        <v>0</v>
      </c>
      <c r="P212" s="97">
        <f t="shared" si="219"/>
        <v>0</v>
      </c>
      <c r="Q212" s="97">
        <f t="shared" si="219"/>
        <v>0</v>
      </c>
      <c r="R212" s="97">
        <f t="shared" si="219"/>
        <v>0</v>
      </c>
      <c r="S212" s="97">
        <f t="shared" si="219"/>
        <v>0</v>
      </c>
      <c r="T212" s="97">
        <f t="shared" si="219"/>
        <v>0</v>
      </c>
      <c r="U212" s="97">
        <f t="shared" si="219"/>
        <v>0</v>
      </c>
      <c r="V212" s="97">
        <f t="shared" si="219"/>
        <v>0</v>
      </c>
      <c r="W212" s="97">
        <f t="shared" si="219"/>
        <v>0</v>
      </c>
      <c r="X212" s="97">
        <f t="shared" si="219"/>
        <v>0</v>
      </c>
      <c r="Y212" s="97">
        <f t="shared" si="219"/>
        <v>0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0</v>
      </c>
      <c r="C213" s="98">
        <f t="shared" si="220"/>
        <v>0</v>
      </c>
      <c r="D213" s="98">
        <f t="shared" si="220"/>
        <v>0</v>
      </c>
      <c r="E213" s="98">
        <f t="shared" si="220"/>
        <v>0</v>
      </c>
      <c r="F213" s="98">
        <f t="shared" si="220"/>
        <v>0</v>
      </c>
      <c r="G213" s="98">
        <f t="shared" si="220"/>
        <v>0</v>
      </c>
      <c r="H213" s="98">
        <f t="shared" si="220"/>
        <v>0</v>
      </c>
      <c r="I213" s="98">
        <f t="shared" si="220"/>
        <v>0</v>
      </c>
      <c r="J213" s="98">
        <f t="shared" si="220"/>
        <v>0</v>
      </c>
      <c r="K213" s="98">
        <f t="shared" si="220"/>
        <v>0</v>
      </c>
      <c r="L213" s="98">
        <f t="shared" si="220"/>
        <v>0</v>
      </c>
      <c r="M213" s="98">
        <f t="shared" si="220"/>
        <v>0</v>
      </c>
      <c r="N213" s="98">
        <f t="shared" si="220"/>
        <v>0</v>
      </c>
      <c r="O213" s="98">
        <f t="shared" si="220"/>
        <v>0</v>
      </c>
      <c r="P213" s="98">
        <f t="shared" si="220"/>
        <v>0</v>
      </c>
      <c r="Q213" s="98">
        <f t="shared" si="220"/>
        <v>0</v>
      </c>
      <c r="R213" s="98">
        <f t="shared" si="220"/>
        <v>0</v>
      </c>
      <c r="S213" s="98">
        <f t="shared" si="220"/>
        <v>0</v>
      </c>
      <c r="T213" s="98">
        <f t="shared" si="220"/>
        <v>0</v>
      </c>
      <c r="U213" s="98">
        <f t="shared" si="220"/>
        <v>0</v>
      </c>
      <c r="V213" s="98">
        <f t="shared" si="220"/>
        <v>0</v>
      </c>
      <c r="W213" s="98">
        <f t="shared" si="220"/>
        <v>0</v>
      </c>
      <c r="X213" s="98">
        <f t="shared" si="220"/>
        <v>0</v>
      </c>
      <c r="Y213" s="98">
        <f t="shared" si="220"/>
        <v>0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131.97255150874719</v>
      </c>
      <c r="C216" s="32">
        <f t="shared" si="221"/>
        <v>135.92118091169559</v>
      </c>
      <c r="D216" s="32">
        <f t="shared" si="221"/>
        <v>145.63679255554425</v>
      </c>
      <c r="E216" s="32">
        <f t="shared" si="221"/>
        <v>151.15581655221644</v>
      </c>
      <c r="F216" s="32">
        <f t="shared" si="221"/>
        <v>151.71012477316546</v>
      </c>
      <c r="G216" s="32">
        <f t="shared" si="221"/>
        <v>153.03297373769945</v>
      </c>
      <c r="H216" s="32">
        <f t="shared" si="221"/>
        <v>148.86623961134813</v>
      </c>
      <c r="I216" s="32">
        <f t="shared" si="221"/>
        <v>148.98175345321823</v>
      </c>
      <c r="J216" s="32">
        <f t="shared" si="221"/>
        <v>140.42363761212744</v>
      </c>
      <c r="K216" s="32">
        <f t="shared" si="221"/>
        <v>138.6846070605512</v>
      </c>
      <c r="L216" s="32">
        <f t="shared" si="221"/>
        <v>138.90505650112993</v>
      </c>
      <c r="M216" s="32">
        <f t="shared" si="221"/>
        <v>132.78750397026184</v>
      </c>
      <c r="N216" s="32">
        <f t="shared" si="221"/>
        <v>130.32548504326562</v>
      </c>
      <c r="O216" s="32">
        <f t="shared" si="221"/>
        <v>130.15467030382544</v>
      </c>
      <c r="P216" s="32">
        <f t="shared" si="221"/>
        <v>126.84655150966603</v>
      </c>
      <c r="Q216" s="32">
        <f t="shared" si="221"/>
        <v>126.98784677814176</v>
      </c>
      <c r="R216" s="32">
        <f t="shared" si="221"/>
        <v>128.92235717984286</v>
      </c>
      <c r="S216" s="32">
        <f t="shared" si="221"/>
        <v>127.20508168016612</v>
      </c>
      <c r="T216" s="32">
        <f t="shared" si="221"/>
        <v>125.51631664882046</v>
      </c>
      <c r="U216" s="32">
        <f t="shared" si="221"/>
        <v>122.09321606928714</v>
      </c>
      <c r="V216" s="32">
        <f t="shared" si="221"/>
        <v>134.39680053217228</v>
      </c>
      <c r="W216" s="32">
        <f t="shared" si="221"/>
        <v>130.04879077233545</v>
      </c>
      <c r="X216" s="32">
        <f t="shared" si="221"/>
        <v>111.51488175086048</v>
      </c>
      <c r="Y216" s="32">
        <f t="shared" si="221"/>
        <v>107.65595513119655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156.35852037871376</v>
      </c>
      <c r="C217" s="141">
        <f t="shared" si="222"/>
        <v>162.40811986079692</v>
      </c>
      <c r="D217" s="141">
        <f t="shared" si="222"/>
        <v>178.0321836305672</v>
      </c>
      <c r="E217" s="141">
        <f t="shared" si="222"/>
        <v>186.72771838320273</v>
      </c>
      <c r="F217" s="141">
        <f t="shared" si="222"/>
        <v>188.2710706790858</v>
      </c>
      <c r="G217" s="141">
        <f t="shared" si="222"/>
        <v>190.68797569145383</v>
      </c>
      <c r="H217" s="141">
        <f t="shared" si="222"/>
        <v>183.54369244965318</v>
      </c>
      <c r="I217" s="141">
        <f t="shared" si="222"/>
        <v>182.93122890439466</v>
      </c>
      <c r="J217" s="141">
        <f t="shared" si="222"/>
        <v>172.26575645538767</v>
      </c>
      <c r="K217" s="141">
        <f t="shared" si="222"/>
        <v>170.05313947810876</v>
      </c>
      <c r="L217" s="141">
        <f t="shared" si="222"/>
        <v>170.72859885761349</v>
      </c>
      <c r="M217" s="141">
        <f t="shared" si="222"/>
        <v>162.91947791773234</v>
      </c>
      <c r="N217" s="141">
        <f t="shared" si="222"/>
        <v>161.63844103916369</v>
      </c>
      <c r="O217" s="141">
        <f t="shared" si="222"/>
        <v>163.61093665776656</v>
      </c>
      <c r="P217" s="141">
        <f t="shared" si="222"/>
        <v>160.01903016813884</v>
      </c>
      <c r="Q217" s="141">
        <f t="shared" si="222"/>
        <v>159.40251331586165</v>
      </c>
      <c r="R217" s="141">
        <f t="shared" si="222"/>
        <v>159.82968841427711</v>
      </c>
      <c r="S217" s="141">
        <f t="shared" si="222"/>
        <v>158.96756294922423</v>
      </c>
      <c r="T217" s="141">
        <f t="shared" si="222"/>
        <v>158.86017418961836</v>
      </c>
      <c r="U217" s="141">
        <f t="shared" si="222"/>
        <v>156.31533151101104</v>
      </c>
      <c r="V217" s="141">
        <f t="shared" si="222"/>
        <v>157.19888412670889</v>
      </c>
      <c r="W217" s="141">
        <f t="shared" si="222"/>
        <v>151.53426001310382</v>
      </c>
      <c r="X217" s="141">
        <f t="shared" si="222"/>
        <v>140.84433100960811</v>
      </c>
      <c r="Y217" s="141">
        <f t="shared" si="222"/>
        <v>136.65932401095719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92.536206708331662</v>
      </c>
      <c r="C218" s="97">
        <f t="shared" si="223"/>
        <v>91.992698303431638</v>
      </c>
      <c r="D218" s="97">
        <f t="shared" si="223"/>
        <v>91.706464555316572</v>
      </c>
      <c r="E218" s="97">
        <f t="shared" si="223"/>
        <v>91.582464273129148</v>
      </c>
      <c r="F218" s="97">
        <f t="shared" si="223"/>
        <v>90.727436877530877</v>
      </c>
      <c r="G218" s="97">
        <f t="shared" si="223"/>
        <v>90.362393338966569</v>
      </c>
      <c r="H218" s="97">
        <f t="shared" si="223"/>
        <v>89.930834361797508</v>
      </c>
      <c r="I218" s="97">
        <f t="shared" si="223"/>
        <v>88.77840969518121</v>
      </c>
      <c r="J218" s="97">
        <f t="shared" si="223"/>
        <v>86.413384578467216</v>
      </c>
      <c r="K218" s="97">
        <f t="shared" si="223"/>
        <v>84.871395108599714</v>
      </c>
      <c r="L218" s="97">
        <f t="shared" si="223"/>
        <v>84.598659672024297</v>
      </c>
      <c r="M218" s="97">
        <f t="shared" si="223"/>
        <v>84.369957697851319</v>
      </c>
      <c r="N218" s="97">
        <f t="shared" si="223"/>
        <v>84.204395270351228</v>
      </c>
      <c r="O218" s="97">
        <f t="shared" si="223"/>
        <v>85.547815920222035</v>
      </c>
      <c r="P218" s="97">
        <f t="shared" si="223"/>
        <v>86.265110183033258</v>
      </c>
      <c r="Q218" s="97">
        <f t="shared" si="223"/>
        <v>85.846842364470447</v>
      </c>
      <c r="R218" s="97">
        <f t="shared" si="223"/>
        <v>85.13337211911616</v>
      </c>
      <c r="S218" s="97">
        <f t="shared" si="223"/>
        <v>89.288075731816647</v>
      </c>
      <c r="T218" s="97">
        <f t="shared" si="223"/>
        <v>89.649273220514772</v>
      </c>
      <c r="U218" s="97">
        <f t="shared" si="223"/>
        <v>89.842242567146215</v>
      </c>
      <c r="V218" s="97">
        <f t="shared" si="223"/>
        <v>89.87819223051568</v>
      </c>
      <c r="W218" s="97">
        <f t="shared" si="223"/>
        <v>86.485183618355819</v>
      </c>
      <c r="X218" s="97">
        <f t="shared" si="223"/>
        <v>87.144533028637767</v>
      </c>
      <c r="Y218" s="97">
        <f t="shared" si="223"/>
        <v>85.266835156013883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167.57837740645522</v>
      </c>
      <c r="C219" s="97">
        <f t="shared" si="224"/>
        <v>174.46237821522311</v>
      </c>
      <c r="D219" s="97">
        <f t="shared" si="224"/>
        <v>192.02903057326063</v>
      </c>
      <c r="E219" s="97">
        <f t="shared" si="224"/>
        <v>202.10749132940091</v>
      </c>
      <c r="F219" s="97">
        <f t="shared" si="224"/>
        <v>204.16328490484818</v>
      </c>
      <c r="G219" s="97">
        <f t="shared" si="224"/>
        <v>206.90324965919797</v>
      </c>
      <c r="H219" s="97">
        <f t="shared" si="224"/>
        <v>199.75150199987627</v>
      </c>
      <c r="I219" s="97">
        <f t="shared" si="224"/>
        <v>198.90119696522615</v>
      </c>
      <c r="J219" s="97">
        <f t="shared" si="224"/>
        <v>186.18549439124902</v>
      </c>
      <c r="K219" s="97">
        <f t="shared" si="224"/>
        <v>182.51834529310847</v>
      </c>
      <c r="L219" s="97">
        <f t="shared" si="224"/>
        <v>183.08388240496129</v>
      </c>
      <c r="M219" s="97">
        <f t="shared" si="224"/>
        <v>174.7682919409659</v>
      </c>
      <c r="N219" s="97">
        <f t="shared" si="224"/>
        <v>173.11667208513424</v>
      </c>
      <c r="O219" s="97">
        <f t="shared" si="224"/>
        <v>175.34151743465017</v>
      </c>
      <c r="P219" s="97">
        <f t="shared" si="224"/>
        <v>171.33077799869352</v>
      </c>
      <c r="Q219" s="97">
        <f t="shared" si="224"/>
        <v>170.61078295498979</v>
      </c>
      <c r="R219" s="97">
        <f t="shared" si="224"/>
        <v>170.83557264227548</v>
      </c>
      <c r="S219" s="97">
        <f t="shared" si="224"/>
        <v>169.56846774867915</v>
      </c>
      <c r="T219" s="97">
        <f t="shared" si="224"/>
        <v>168.61411664517587</v>
      </c>
      <c r="U219" s="97">
        <f t="shared" si="224"/>
        <v>165.6087162193696</v>
      </c>
      <c r="V219" s="97">
        <f t="shared" si="224"/>
        <v>164.55879233484373</v>
      </c>
      <c r="W219" s="97">
        <f t="shared" si="224"/>
        <v>158.42236899259814</v>
      </c>
      <c r="X219" s="97">
        <f t="shared" si="224"/>
        <v>149.09307051459703</v>
      </c>
      <c r="Y219" s="97">
        <f t="shared" si="224"/>
        <v>145.17079778198701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83.992225077088193</v>
      </c>
      <c r="C220" s="97">
        <f t="shared" si="225"/>
        <v>84.398591074874332</v>
      </c>
      <c r="D220" s="97">
        <f t="shared" si="225"/>
        <v>87.161455678687787</v>
      </c>
      <c r="E220" s="97">
        <f t="shared" si="225"/>
        <v>87.811997733184683</v>
      </c>
      <c r="F220" s="97">
        <f t="shared" si="225"/>
        <v>86.252921869113933</v>
      </c>
      <c r="G220" s="97">
        <f t="shared" si="225"/>
        <v>85.156923510453097</v>
      </c>
      <c r="H220" s="97">
        <f t="shared" si="225"/>
        <v>79.186798334648216</v>
      </c>
      <c r="I220" s="97">
        <f t="shared" si="225"/>
        <v>81.208383530766795</v>
      </c>
      <c r="J220" s="97">
        <f t="shared" si="225"/>
        <v>80.318823108425661</v>
      </c>
      <c r="K220" s="97">
        <f t="shared" si="225"/>
        <v>80.680339658011377</v>
      </c>
      <c r="L220" s="97">
        <f t="shared" si="225"/>
        <v>84.880289543661974</v>
      </c>
      <c r="M220" s="97">
        <f t="shared" si="225"/>
        <v>81.401987129867109</v>
      </c>
      <c r="N220" s="97">
        <f t="shared" si="225"/>
        <v>82.637509186969496</v>
      </c>
      <c r="O220" s="97">
        <f t="shared" si="225"/>
        <v>82.272964671562477</v>
      </c>
      <c r="P220" s="97">
        <f t="shared" si="225"/>
        <v>81.391489483778443</v>
      </c>
      <c r="Q220" s="97">
        <f t="shared" si="225"/>
        <v>81.200326087251867</v>
      </c>
      <c r="R220" s="97">
        <f t="shared" si="225"/>
        <v>83.809447769469159</v>
      </c>
      <c r="S220" s="97">
        <f t="shared" si="225"/>
        <v>85.178052075684988</v>
      </c>
      <c r="T220" s="97">
        <f t="shared" si="225"/>
        <v>86.219771454080302</v>
      </c>
      <c r="U220" s="97">
        <f t="shared" si="225"/>
        <v>86.441722091978662</v>
      </c>
      <c r="V220" s="97">
        <f t="shared" si="225"/>
        <v>105.23597021970495</v>
      </c>
      <c r="W220" s="97">
        <f t="shared" si="225"/>
        <v>101.04062341274309</v>
      </c>
      <c r="X220" s="97">
        <f t="shared" si="225"/>
        <v>82.121468887145781</v>
      </c>
      <c r="Y220" s="97">
        <f t="shared" si="225"/>
        <v>76.807081562635275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6.6605330483564611</v>
      </c>
      <c r="C221" s="130">
        <f t="shared" si="226"/>
        <v>6.6269472810339298</v>
      </c>
      <c r="D221" s="130">
        <f t="shared" si="226"/>
        <v>6.6878884861506602</v>
      </c>
      <c r="E221" s="130">
        <f t="shared" si="226"/>
        <v>7.1264383600577306</v>
      </c>
      <c r="F221" s="130">
        <f t="shared" si="226"/>
        <v>7.2249427576721867</v>
      </c>
      <c r="G221" s="130">
        <f t="shared" si="226"/>
        <v>7.685911721581494</v>
      </c>
      <c r="H221" s="130">
        <f t="shared" si="226"/>
        <v>7.0502557997945834</v>
      </c>
      <c r="I221" s="130">
        <f t="shared" si="226"/>
        <v>6.8434196078485563</v>
      </c>
      <c r="J221" s="130">
        <f t="shared" si="226"/>
        <v>7.4197585049884687</v>
      </c>
      <c r="K221" s="130">
        <f t="shared" si="226"/>
        <v>7.7422248207683424</v>
      </c>
      <c r="L221" s="130">
        <f t="shared" si="226"/>
        <v>7.4052366090067707</v>
      </c>
      <c r="M221" s="130">
        <f t="shared" si="226"/>
        <v>6.0042415155616293</v>
      </c>
      <c r="N221" s="130">
        <f t="shared" si="226"/>
        <v>6.079471916534807</v>
      </c>
      <c r="O221" s="130">
        <f t="shared" si="226"/>
        <v>5.0591727385382406</v>
      </c>
      <c r="P221" s="130">
        <f t="shared" si="226"/>
        <v>5.4531127726978168</v>
      </c>
      <c r="Q221" s="130">
        <f t="shared" si="226"/>
        <v>4.0605925603393809</v>
      </c>
      <c r="R221" s="130">
        <f t="shared" si="226"/>
        <v>4.0251716351590705</v>
      </c>
      <c r="S221" s="130">
        <f t="shared" si="226"/>
        <v>4.3347878612895094</v>
      </c>
      <c r="T221" s="130">
        <f t="shared" si="226"/>
        <v>4.1203433048943126</v>
      </c>
      <c r="U221" s="130">
        <f t="shared" si="226"/>
        <v>3.9686683928650504</v>
      </c>
      <c r="V221" s="130">
        <f t="shared" si="226"/>
        <v>2.9588240511951209</v>
      </c>
      <c r="W221" s="130">
        <f t="shared" si="226"/>
        <v>2.6891910956684377</v>
      </c>
      <c r="X221" s="130">
        <f t="shared" si="226"/>
        <v>2.0032349645588874</v>
      </c>
      <c r="Y221" s="130">
        <f t="shared" si="226"/>
        <v>2.5679549515932809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11.202857024914785</v>
      </c>
      <c r="C223" s="97">
        <f t="shared" si="228"/>
        <v>11.207330647829503</v>
      </c>
      <c r="D223" s="97">
        <f t="shared" si="228"/>
        <v>11.356994694583642</v>
      </c>
      <c r="E223" s="97">
        <f t="shared" si="228"/>
        <v>12.258518438187483</v>
      </c>
      <c r="F223" s="97">
        <f t="shared" si="228"/>
        <v>12.762404379699749</v>
      </c>
      <c r="G223" s="97">
        <f t="shared" si="228"/>
        <v>13.382648469103907</v>
      </c>
      <c r="H223" s="97">
        <f t="shared" si="228"/>
        <v>12.221546637222708</v>
      </c>
      <c r="I223" s="97">
        <f t="shared" si="228"/>
        <v>12.048058202104585</v>
      </c>
      <c r="J223" s="97">
        <f t="shared" si="228"/>
        <v>12.499961472005891</v>
      </c>
      <c r="K223" s="97">
        <f t="shared" si="228"/>
        <v>13.209396655801038</v>
      </c>
      <c r="L223" s="97">
        <f t="shared" si="228"/>
        <v>12.660339157093361</v>
      </c>
      <c r="M223" s="97">
        <f t="shared" si="228"/>
        <v>10.35893840626988</v>
      </c>
      <c r="N223" s="97">
        <f t="shared" si="228"/>
        <v>10.378467998892319</v>
      </c>
      <c r="O223" s="97">
        <f t="shared" si="228"/>
        <v>8.5141899560728653</v>
      </c>
      <c r="P223" s="97">
        <f t="shared" si="228"/>
        <v>9.0306768295033955</v>
      </c>
      <c r="Q223" s="97">
        <f t="shared" si="228"/>
        <v>6.7601298913219159</v>
      </c>
      <c r="R223" s="97">
        <f t="shared" si="228"/>
        <v>6.6469745984292787</v>
      </c>
      <c r="S223" s="97">
        <f t="shared" si="228"/>
        <v>7.1436767505537038</v>
      </c>
      <c r="T223" s="97">
        <f t="shared" si="228"/>
        <v>6.6859529992087854</v>
      </c>
      <c r="U223" s="97">
        <f t="shared" si="228"/>
        <v>6.4681257684387461</v>
      </c>
      <c r="V223" s="97">
        <f t="shared" si="228"/>
        <v>5.5766017532399292</v>
      </c>
      <c r="W223" s="97">
        <f t="shared" si="228"/>
        <v>4.8976267977879999</v>
      </c>
      <c r="X223" s="97">
        <f t="shared" si="228"/>
        <v>3.1685458296238442</v>
      </c>
      <c r="Y223" s="97">
        <f t="shared" si="228"/>
        <v>3.96303031364222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129.11721730420177</v>
      </c>
      <c r="C225" s="130">
        <f t="shared" si="230"/>
        <v>125.66497201315113</v>
      </c>
      <c r="D225" s="130">
        <f t="shared" si="230"/>
        <v>112.87961207548344</v>
      </c>
      <c r="E225" s="130">
        <f t="shared" si="230"/>
        <v>103.96855762087567</v>
      </c>
      <c r="F225" s="130">
        <f t="shared" si="230"/>
        <v>103.2887612747931</v>
      </c>
      <c r="G225" s="130">
        <f t="shared" si="230"/>
        <v>106.56919559772651</v>
      </c>
      <c r="H225" s="130">
        <f t="shared" si="230"/>
        <v>113.27358014672451</v>
      </c>
      <c r="I225" s="130">
        <f t="shared" si="230"/>
        <v>117.77928656200054</v>
      </c>
      <c r="J225" s="130">
        <f t="shared" si="230"/>
        <v>118.26927243819763</v>
      </c>
      <c r="K225" s="130">
        <f t="shared" si="230"/>
        <v>116.34931963122634</v>
      </c>
      <c r="L225" s="130">
        <f t="shared" si="230"/>
        <v>115.78407760079388</v>
      </c>
      <c r="M225" s="130">
        <f t="shared" si="230"/>
        <v>115.90431671283659</v>
      </c>
      <c r="N225" s="130">
        <f t="shared" si="230"/>
        <v>110.15590090723836</v>
      </c>
      <c r="O225" s="130">
        <f t="shared" si="230"/>
        <v>104.42314869925973</v>
      </c>
      <c r="P225" s="130">
        <f t="shared" si="230"/>
        <v>97.277637783415258</v>
      </c>
      <c r="Q225" s="130">
        <f t="shared" si="230"/>
        <v>101.41508497134791</v>
      </c>
      <c r="R225" s="130">
        <f t="shared" si="230"/>
        <v>110.38862749335206</v>
      </c>
      <c r="S225" s="130">
        <f t="shared" si="230"/>
        <v>102.10394071252283</v>
      </c>
      <c r="T225" s="130">
        <f t="shared" si="230"/>
        <v>98.554799687050306</v>
      </c>
      <c r="U225" s="130">
        <f t="shared" si="230"/>
        <v>95.054185092381132</v>
      </c>
      <c r="V225" s="130">
        <f t="shared" si="230"/>
        <v>128.6582248638492</v>
      </c>
      <c r="W225" s="130">
        <f t="shared" si="230"/>
        <v>136.0400475372528</v>
      </c>
      <c r="X225" s="130">
        <f t="shared" si="230"/>
        <v>86.419221870488556</v>
      </c>
      <c r="Y225" s="130">
        <f t="shared" si="230"/>
        <v>91.155570301621509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665.72588902714313</v>
      </c>
      <c r="C226" s="97">
        <f t="shared" si="231"/>
        <v>612.24189909309575</v>
      </c>
      <c r="D226" s="97">
        <f t="shared" si="231"/>
        <v>618.88430406486452</v>
      </c>
      <c r="E226" s="97">
        <f t="shared" si="231"/>
        <v>583.76864696906955</v>
      </c>
      <c r="F226" s="97">
        <f t="shared" si="231"/>
        <v>593.13118564354841</v>
      </c>
      <c r="G226" s="97">
        <f t="shared" si="231"/>
        <v>600.49454081854844</v>
      </c>
      <c r="H226" s="97">
        <f t="shared" si="231"/>
        <v>502.17445798483817</v>
      </c>
      <c r="I226" s="97">
        <f t="shared" si="231"/>
        <v>476.96336116284232</v>
      </c>
      <c r="J226" s="97">
        <f t="shared" si="231"/>
        <v>438.51170155469299</v>
      </c>
      <c r="K226" s="97">
        <f t="shared" si="231"/>
        <v>430.81114348261036</v>
      </c>
      <c r="L226" s="97">
        <f t="shared" si="231"/>
        <v>386.96092706484779</v>
      </c>
      <c r="M226" s="97">
        <f t="shared" si="231"/>
        <v>488.43252460422923</v>
      </c>
      <c r="N226" s="97">
        <f t="shared" si="231"/>
        <v>495.16908263663845</v>
      </c>
      <c r="O226" s="97">
        <f t="shared" si="231"/>
        <v>515.54132136845817</v>
      </c>
      <c r="P226" s="97">
        <f t="shared" si="231"/>
        <v>531.99304941276239</v>
      </c>
      <c r="Q226" s="97">
        <f t="shared" si="231"/>
        <v>586.19255444917258</v>
      </c>
      <c r="R226" s="97">
        <f t="shared" si="231"/>
        <v>599.50671959518866</v>
      </c>
      <c r="S226" s="97">
        <f t="shared" si="231"/>
        <v>532.83075628148765</v>
      </c>
      <c r="T226" s="97">
        <f t="shared" si="231"/>
        <v>508.39635209481315</v>
      </c>
      <c r="U226" s="97">
        <f t="shared" si="231"/>
        <v>442.99832193231089</v>
      </c>
      <c r="V226" s="97">
        <f t="shared" si="231"/>
        <v>1113.1630557079329</v>
      </c>
      <c r="W226" s="97">
        <f t="shared" si="231"/>
        <v>1507.1554947185814</v>
      </c>
      <c r="X226" s="97">
        <f t="shared" si="231"/>
        <v>753.9173257793534</v>
      </c>
      <c r="Y226" s="97">
        <f t="shared" si="231"/>
        <v>681.32770129058895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135.45726632763271</v>
      </c>
      <c r="C227" s="97">
        <f t="shared" si="232"/>
        <v>130.00688067981483</v>
      </c>
      <c r="D227" s="97">
        <f t="shared" si="232"/>
        <v>119.4722701375951</v>
      </c>
      <c r="E227" s="97">
        <f t="shared" si="232"/>
        <v>107.57654963096154</v>
      </c>
      <c r="F227" s="97">
        <f t="shared" si="232"/>
        <v>108.24627999880516</v>
      </c>
      <c r="G227" s="97">
        <f t="shared" si="232"/>
        <v>116.63952297969405</v>
      </c>
      <c r="H227" s="97">
        <f t="shared" si="232"/>
        <v>118.90016447722961</v>
      </c>
      <c r="I227" s="97">
        <f t="shared" si="232"/>
        <v>122.55923387008822</v>
      </c>
      <c r="J227" s="97">
        <f t="shared" si="232"/>
        <v>122.53798600329237</v>
      </c>
      <c r="K227" s="97">
        <f t="shared" si="232"/>
        <v>114.41496791685283</v>
      </c>
      <c r="L227" s="97">
        <f t="shared" si="232"/>
        <v>115.07774689588554</v>
      </c>
      <c r="M227" s="97">
        <f t="shared" si="232"/>
        <v>111.71499857812242</v>
      </c>
      <c r="N227" s="97">
        <f t="shared" si="232"/>
        <v>104.59462378647204</v>
      </c>
      <c r="O227" s="97">
        <f t="shared" si="232"/>
        <v>100.10462825417034</v>
      </c>
      <c r="P227" s="97">
        <f t="shared" si="232"/>
        <v>96.902273369707004</v>
      </c>
      <c r="Q227" s="97">
        <f t="shared" si="232"/>
        <v>102.11803485974943</v>
      </c>
      <c r="R227" s="97">
        <f t="shared" si="232"/>
        <v>110.20945489234619</v>
      </c>
      <c r="S227" s="97">
        <f t="shared" si="232"/>
        <v>105.18044752921317</v>
      </c>
      <c r="T227" s="97">
        <f t="shared" si="232"/>
        <v>106.86580557400787</v>
      </c>
      <c r="U227" s="97">
        <f t="shared" si="232"/>
        <v>103.2111064689979</v>
      </c>
      <c r="V227" s="97">
        <f t="shared" si="232"/>
        <v>102.36513032977909</v>
      </c>
      <c r="W227" s="97">
        <f t="shared" si="232"/>
        <v>117.7446922516681</v>
      </c>
      <c r="X227" s="97">
        <f t="shared" si="232"/>
        <v>85.535391655306398</v>
      </c>
      <c r="Y227" s="97">
        <f t="shared" si="232"/>
        <v>96.177417557634215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112.05557489224354</v>
      </c>
      <c r="C228" s="97">
        <f t="shared" si="233"/>
        <v>111.14323617927997</v>
      </c>
      <c r="D228" s="97">
        <f t="shared" si="233"/>
        <v>96.674669951699684</v>
      </c>
      <c r="E228" s="97">
        <f t="shared" si="233"/>
        <v>90.280577855522239</v>
      </c>
      <c r="F228" s="97">
        <f t="shared" si="233"/>
        <v>90.444541969201779</v>
      </c>
      <c r="G228" s="97">
        <f t="shared" si="233"/>
        <v>91.233410641974601</v>
      </c>
      <c r="H228" s="97">
        <f t="shared" si="233"/>
        <v>100.3408815559436</v>
      </c>
      <c r="I228" s="97">
        <f t="shared" si="233"/>
        <v>105.36121322680233</v>
      </c>
      <c r="J228" s="97">
        <f t="shared" si="233"/>
        <v>106.76635544788469</v>
      </c>
      <c r="K228" s="97">
        <f t="shared" si="233"/>
        <v>109.01894453294598</v>
      </c>
      <c r="L228" s="97">
        <f t="shared" si="233"/>
        <v>108.62316099546801</v>
      </c>
      <c r="M228" s="97">
        <f t="shared" si="233"/>
        <v>111.45121841404264</v>
      </c>
      <c r="N228" s="97">
        <f t="shared" si="233"/>
        <v>107.41321674197816</v>
      </c>
      <c r="O228" s="97">
        <f t="shared" si="233"/>
        <v>100.44037602077557</v>
      </c>
      <c r="P228" s="97">
        <f t="shared" si="233"/>
        <v>90.628660560714493</v>
      </c>
      <c r="Q228" s="97">
        <f t="shared" si="233"/>
        <v>93.956182712402864</v>
      </c>
      <c r="R228" s="97">
        <f t="shared" si="233"/>
        <v>103.58702507498064</v>
      </c>
      <c r="S228" s="97">
        <f t="shared" si="233"/>
        <v>93.146821913058787</v>
      </c>
      <c r="T228" s="97">
        <f t="shared" si="233"/>
        <v>86.559445505135912</v>
      </c>
      <c r="U228" s="97">
        <f t="shared" si="233"/>
        <v>85.107446280639266</v>
      </c>
      <c r="V228" s="97">
        <f t="shared" si="233"/>
        <v>143.01035801083142</v>
      </c>
      <c r="W228" s="97">
        <f t="shared" si="233"/>
        <v>144.29860244917916</v>
      </c>
      <c r="X228" s="97">
        <f t="shared" si="233"/>
        <v>82.803733889928893</v>
      </c>
      <c r="Y228" s="97">
        <f t="shared" si="233"/>
        <v>83.788231704741406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128.08341549817467</v>
      </c>
      <c r="C229" s="32">
        <f t="shared" si="234"/>
        <v>140.89198859498811</v>
      </c>
      <c r="D229" s="32">
        <f t="shared" si="234"/>
        <v>151.07625227079129</v>
      </c>
      <c r="E229" s="32">
        <f t="shared" si="234"/>
        <v>162.99830326800733</v>
      </c>
      <c r="F229" s="32">
        <f t="shared" si="234"/>
        <v>153.98091336198576</v>
      </c>
      <c r="G229" s="32">
        <f t="shared" si="234"/>
        <v>156.91827670175113</v>
      </c>
      <c r="H229" s="32">
        <f t="shared" si="234"/>
        <v>131.54603369548295</v>
      </c>
      <c r="I229" s="32">
        <f t="shared" si="234"/>
        <v>122.13655593192055</v>
      </c>
      <c r="J229" s="32">
        <f t="shared" si="234"/>
        <v>111.9468886149007</v>
      </c>
      <c r="K229" s="32">
        <f t="shared" si="234"/>
        <v>122.90035331003747</v>
      </c>
      <c r="L229" s="32">
        <f t="shared" si="234"/>
        <v>123.42379858738359</v>
      </c>
      <c r="M229" s="32">
        <f t="shared" si="234"/>
        <v>111.76690606831754</v>
      </c>
      <c r="N229" s="32">
        <f t="shared" si="234"/>
        <v>116.98239826295158</v>
      </c>
      <c r="O229" s="32">
        <f t="shared" si="234"/>
        <v>133.10594835369113</v>
      </c>
      <c r="P229" s="32">
        <f t="shared" si="234"/>
        <v>122.23954483357116</v>
      </c>
      <c r="Q229" s="32">
        <f t="shared" si="234"/>
        <v>122.24463959817867</v>
      </c>
      <c r="R229" s="32">
        <f t="shared" si="234"/>
        <v>123.28423190310275</v>
      </c>
      <c r="S229" s="32">
        <f t="shared" si="234"/>
        <v>121.50833586973908</v>
      </c>
      <c r="T229" s="32">
        <f t="shared" si="234"/>
        <v>125.1417961812171</v>
      </c>
      <c r="U229" s="32">
        <f t="shared" si="234"/>
        <v>127.36819734616745</v>
      </c>
      <c r="V229" s="32">
        <f t="shared" si="234"/>
        <v>123.57401372348899</v>
      </c>
      <c r="W229" s="32">
        <f t="shared" si="234"/>
        <v>123.0325812268656</v>
      </c>
      <c r="X229" s="32">
        <f t="shared" si="234"/>
        <v>107.3558558442259</v>
      </c>
      <c r="Y229" s="32">
        <f t="shared" si="234"/>
        <v>104.86255113871532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212.60704817449988</v>
      </c>
      <c r="C230" s="141">
        <f t="shared" si="235"/>
        <v>232.74388848961365</v>
      </c>
      <c r="D230" s="141">
        <f t="shared" si="235"/>
        <v>248.62124895974856</v>
      </c>
      <c r="E230" s="141">
        <f t="shared" si="235"/>
        <v>262.40895170663066</v>
      </c>
      <c r="F230" s="141">
        <f t="shared" si="235"/>
        <v>247.2062509425941</v>
      </c>
      <c r="G230" s="141">
        <f t="shared" si="235"/>
        <v>250.55007330043765</v>
      </c>
      <c r="H230" s="141">
        <f t="shared" si="235"/>
        <v>209.90996758888707</v>
      </c>
      <c r="I230" s="141">
        <f t="shared" si="235"/>
        <v>192.18820945491703</v>
      </c>
      <c r="J230" s="141">
        <f t="shared" si="235"/>
        <v>173.21473262708577</v>
      </c>
      <c r="K230" s="141">
        <f t="shared" si="235"/>
        <v>185.95012063572784</v>
      </c>
      <c r="L230" s="141">
        <f t="shared" si="235"/>
        <v>190.68993430695659</v>
      </c>
      <c r="M230" s="141">
        <f t="shared" si="235"/>
        <v>171.14414588166807</v>
      </c>
      <c r="N230" s="141">
        <f t="shared" si="235"/>
        <v>178.85927460398634</v>
      </c>
      <c r="O230" s="141">
        <f t="shared" si="235"/>
        <v>202.85960420384131</v>
      </c>
      <c r="P230" s="141">
        <f t="shared" si="235"/>
        <v>188.03630029968497</v>
      </c>
      <c r="Q230" s="141">
        <f t="shared" si="235"/>
        <v>184.59314788555793</v>
      </c>
      <c r="R230" s="141">
        <f t="shared" si="235"/>
        <v>185.61641171988808</v>
      </c>
      <c r="S230" s="141">
        <f t="shared" si="235"/>
        <v>181.54575867682573</v>
      </c>
      <c r="T230" s="141">
        <f t="shared" si="235"/>
        <v>184.52393243639077</v>
      </c>
      <c r="U230" s="141">
        <f t="shared" si="235"/>
        <v>186.38580824015452</v>
      </c>
      <c r="V230" s="141">
        <f t="shared" si="235"/>
        <v>178.18191332095293</v>
      </c>
      <c r="W230" s="141">
        <f t="shared" si="235"/>
        <v>176.44128528931614</v>
      </c>
      <c r="X230" s="141">
        <f t="shared" si="235"/>
        <v>153.54207228531919</v>
      </c>
      <c r="Y230" s="141">
        <f t="shared" si="235"/>
        <v>148.11349468688709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4959.1438220870941</v>
      </c>
      <c r="C231" s="97">
        <f t="shared" si="236"/>
        <v>4811.6654738141169</v>
      </c>
      <c r="D231" s="97">
        <f t="shared" si="236"/>
        <v>4780.242489327773</v>
      </c>
      <c r="E231" s="97">
        <f t="shared" si="236"/>
        <v>4701.0999843167392</v>
      </c>
      <c r="F231" s="97">
        <f t="shared" si="236"/>
        <v>4613.1969354499579</v>
      </c>
      <c r="G231" s="97">
        <f t="shared" si="236"/>
        <v>4521.8466035128631</v>
      </c>
      <c r="H231" s="97">
        <f t="shared" si="236"/>
        <v>4341.6748682604493</v>
      </c>
      <c r="I231" s="97">
        <f t="shared" si="236"/>
        <v>4269.5583794362383</v>
      </c>
      <c r="J231" s="97">
        <f t="shared" si="236"/>
        <v>4168.9996779123458</v>
      </c>
      <c r="K231" s="97">
        <f t="shared" si="236"/>
        <v>4048.4356370279866</v>
      </c>
      <c r="L231" s="97">
        <f t="shared" si="236"/>
        <v>4035.5735015872442</v>
      </c>
      <c r="M231" s="97">
        <f t="shared" si="236"/>
        <v>4000.8062163377645</v>
      </c>
      <c r="N231" s="97">
        <f t="shared" si="236"/>
        <v>3957.2750264456681</v>
      </c>
      <c r="O231" s="97">
        <f t="shared" si="236"/>
        <v>3932.6342138431773</v>
      </c>
      <c r="P231" s="97">
        <f t="shared" si="236"/>
        <v>3863.1928581731049</v>
      </c>
      <c r="Q231" s="97">
        <f t="shared" si="236"/>
        <v>3821.4476717277626</v>
      </c>
      <c r="R231" s="97">
        <f t="shared" si="236"/>
        <v>3864.5124232607627</v>
      </c>
      <c r="S231" s="97">
        <f t="shared" si="236"/>
        <v>3851.0754862960671</v>
      </c>
      <c r="T231" s="97">
        <f t="shared" si="236"/>
        <v>3800.3422211312541</v>
      </c>
      <c r="U231" s="97">
        <f t="shared" si="236"/>
        <v>3791.4668138798916</v>
      </c>
      <c r="V231" s="97">
        <f t="shared" si="236"/>
        <v>3795.7137046102075</v>
      </c>
      <c r="W231" s="97">
        <f t="shared" si="236"/>
        <v>3807.8683615292894</v>
      </c>
      <c r="X231" s="97">
        <f t="shared" si="236"/>
        <v>3751.6966372696206</v>
      </c>
      <c r="Y231" s="97">
        <f t="shared" si="236"/>
        <v>3669.4272617138236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165.35197027052689</v>
      </c>
      <c r="C232" s="97">
        <f t="shared" si="237"/>
        <v>186.61806488864104</v>
      </c>
      <c r="D232" s="97">
        <f t="shared" si="237"/>
        <v>203.07574448790808</v>
      </c>
      <c r="E232" s="97">
        <f t="shared" si="237"/>
        <v>217.80789131136174</v>
      </c>
      <c r="F232" s="97">
        <f t="shared" si="237"/>
        <v>205.43490534803917</v>
      </c>
      <c r="G232" s="97">
        <f t="shared" si="237"/>
        <v>209.51767948307517</v>
      </c>
      <c r="H232" s="97">
        <f t="shared" si="237"/>
        <v>172.65720810462523</v>
      </c>
      <c r="I232" s="97">
        <f t="shared" si="237"/>
        <v>157.46721790207724</v>
      </c>
      <c r="J232" s="97">
        <f t="shared" si="237"/>
        <v>141.31939454863073</v>
      </c>
      <c r="K232" s="97">
        <f t="shared" si="237"/>
        <v>150.45404004749176</v>
      </c>
      <c r="L232" s="97">
        <f t="shared" si="237"/>
        <v>156.84440170273328</v>
      </c>
      <c r="M232" s="97">
        <f t="shared" si="237"/>
        <v>137.84292134725044</v>
      </c>
      <c r="N232" s="97">
        <f t="shared" si="237"/>
        <v>144.93215678222626</v>
      </c>
      <c r="O232" s="97">
        <f t="shared" si="237"/>
        <v>168.64005119663898</v>
      </c>
      <c r="P232" s="97">
        <f t="shared" si="237"/>
        <v>153.74599860722967</v>
      </c>
      <c r="Q232" s="97">
        <f t="shared" si="237"/>
        <v>151.07290199191729</v>
      </c>
      <c r="R232" s="97">
        <f t="shared" si="237"/>
        <v>152.12226575737546</v>
      </c>
      <c r="S232" s="97">
        <f t="shared" si="237"/>
        <v>149.37531095350172</v>
      </c>
      <c r="T232" s="97">
        <f t="shared" si="237"/>
        <v>152.2383363157544</v>
      </c>
      <c r="U232" s="97">
        <f t="shared" si="237"/>
        <v>153.72493646705868</v>
      </c>
      <c r="V232" s="97">
        <f t="shared" si="237"/>
        <v>144.85031096973489</v>
      </c>
      <c r="W232" s="97">
        <f t="shared" si="237"/>
        <v>142.62728638658982</v>
      </c>
      <c r="X232" s="97">
        <f t="shared" si="237"/>
        <v>119.18274065916999</v>
      </c>
      <c r="Y232" s="97">
        <f t="shared" si="237"/>
        <v>112.06374771347274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2.4778470156551302</v>
      </c>
      <c r="C233" s="130">
        <f t="shared" si="238"/>
        <v>2.4185463837268175</v>
      </c>
      <c r="D233" s="130">
        <f t="shared" si="238"/>
        <v>2.4657110458612976</v>
      </c>
      <c r="E233" s="130">
        <f t="shared" si="238"/>
        <v>2.5052360267647442</v>
      </c>
      <c r="F233" s="130">
        <f t="shared" si="238"/>
        <v>2.4992843483693683</v>
      </c>
      <c r="G233" s="130">
        <f t="shared" si="238"/>
        <v>2.508149046047043</v>
      </c>
      <c r="H233" s="130">
        <f t="shared" si="238"/>
        <v>2.5176947424211407</v>
      </c>
      <c r="I233" s="130">
        <f t="shared" si="238"/>
        <v>2.4602396668350601</v>
      </c>
      <c r="J233" s="130">
        <f t="shared" si="238"/>
        <v>1.5330870767747371</v>
      </c>
      <c r="K233" s="130">
        <f t="shared" si="238"/>
        <v>1.4642298374441249</v>
      </c>
      <c r="L233" s="130">
        <f t="shared" si="238"/>
        <v>1.3152137055208464</v>
      </c>
      <c r="M233" s="130">
        <f t="shared" si="238"/>
        <v>1.087903328957186</v>
      </c>
      <c r="N233" s="130">
        <f t="shared" si="238"/>
        <v>1.0983069669280805</v>
      </c>
      <c r="O233" s="130">
        <f t="shared" si="238"/>
        <v>0.90664217113750967</v>
      </c>
      <c r="P233" s="130">
        <f t="shared" si="238"/>
        <v>0.96071644194199957</v>
      </c>
      <c r="Q233" s="130">
        <f t="shared" si="238"/>
        <v>0.75902527796872077</v>
      </c>
      <c r="R233" s="130">
        <f t="shared" si="238"/>
        <v>0.71664767969664567</v>
      </c>
      <c r="S233" s="130">
        <f t="shared" si="238"/>
        <v>0.77907971092568851</v>
      </c>
      <c r="T233" s="130">
        <f t="shared" si="238"/>
        <v>0.66601905554860408</v>
      </c>
      <c r="U233" s="130">
        <f t="shared" si="238"/>
        <v>0.75881006957837904</v>
      </c>
      <c r="V233" s="130">
        <f t="shared" si="238"/>
        <v>2.3017254869390493</v>
      </c>
      <c r="W233" s="130">
        <f t="shared" si="238"/>
        <v>2.1614104458761743</v>
      </c>
      <c r="X233" s="130">
        <f t="shared" si="238"/>
        <v>2.1085778043689842</v>
      </c>
      <c r="Y233" s="130">
        <f t="shared" si="238"/>
        <v>1.1904563373936081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196.79759783354666</v>
      </c>
      <c r="C234" s="130">
        <f t="shared" si="239"/>
        <v>186.74951615201567</v>
      </c>
      <c r="D234" s="130">
        <f t="shared" si="239"/>
        <v>192.97343932761001</v>
      </c>
      <c r="E234" s="130">
        <f t="shared" si="239"/>
        <v>180.29900651680381</v>
      </c>
      <c r="F234" s="130">
        <f t="shared" si="239"/>
        <v>216.38685923405527</v>
      </c>
      <c r="G234" s="130">
        <f t="shared" si="239"/>
        <v>217.16387276806242</v>
      </c>
      <c r="H234" s="130">
        <f t="shared" si="239"/>
        <v>257.3194624423279</v>
      </c>
      <c r="I234" s="130">
        <f t="shared" si="239"/>
        <v>276.71671910063787</v>
      </c>
      <c r="J234" s="130">
        <f t="shared" si="239"/>
        <v>283.90420095997035</v>
      </c>
      <c r="K234" s="130">
        <f t="shared" si="239"/>
        <v>271.43935231168342</v>
      </c>
      <c r="L234" s="130">
        <f t="shared" si="239"/>
        <v>286.68255875942737</v>
      </c>
      <c r="M234" s="130">
        <f t="shared" si="239"/>
        <v>276.61308680498308</v>
      </c>
      <c r="N234" s="130">
        <f t="shared" si="239"/>
        <v>254.47685256505252</v>
      </c>
      <c r="O234" s="130">
        <f t="shared" si="239"/>
        <v>242.74769142847043</v>
      </c>
      <c r="P234" s="130">
        <f t="shared" si="239"/>
        <v>200.37715577507311</v>
      </c>
      <c r="Q234" s="130">
        <f t="shared" si="239"/>
        <v>194.2181856240534</v>
      </c>
      <c r="R234" s="130">
        <f t="shared" si="239"/>
        <v>194.56153448400025</v>
      </c>
      <c r="S234" s="130">
        <f t="shared" si="239"/>
        <v>199.43150902074754</v>
      </c>
      <c r="T234" s="130">
        <f t="shared" si="239"/>
        <v>194.65752972432347</v>
      </c>
      <c r="U234" s="130">
        <f t="shared" si="239"/>
        <v>193.22628538896831</v>
      </c>
      <c r="V234" s="130">
        <f t="shared" si="239"/>
        <v>283.56966802135298</v>
      </c>
      <c r="W234" s="130">
        <f t="shared" si="239"/>
        <v>324.34820573536342</v>
      </c>
      <c r="X234" s="130">
        <f t="shared" si="239"/>
        <v>246.26420541565747</v>
      </c>
      <c r="Y234" s="130">
        <f t="shared" si="239"/>
        <v>274.8117346547026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2026.7687481860089</v>
      </c>
      <c r="C235" s="97">
        <f t="shared" si="240"/>
        <v>2148.0070459201083</v>
      </c>
      <c r="D235" s="97">
        <f t="shared" si="240"/>
        <v>2003.1492188486873</v>
      </c>
      <c r="E235" s="97">
        <f t="shared" si="240"/>
        <v>1913.2247982649976</v>
      </c>
      <c r="F235" s="97">
        <f t="shared" si="240"/>
        <v>2204.3794290568771</v>
      </c>
      <c r="G235" s="97">
        <f t="shared" si="240"/>
        <v>2246.5683510342437</v>
      </c>
      <c r="H235" s="97">
        <f t="shared" si="240"/>
        <v>2361.8080083277437</v>
      </c>
      <c r="I235" s="97">
        <f t="shared" si="240"/>
        <v>2346.1124332617378</v>
      </c>
      <c r="J235" s="97">
        <f t="shared" si="240"/>
        <v>2218.9566137619549</v>
      </c>
      <c r="K235" s="97">
        <f t="shared" si="240"/>
        <v>2155.1137451416744</v>
      </c>
      <c r="L235" s="97">
        <f t="shared" si="240"/>
        <v>1993.8270795023111</v>
      </c>
      <c r="M235" s="97">
        <f t="shared" si="240"/>
        <v>2396.7649928029173</v>
      </c>
      <c r="N235" s="97">
        <f t="shared" si="240"/>
        <v>2133.6983053078698</v>
      </c>
      <c r="O235" s="97">
        <f t="shared" si="240"/>
        <v>2252.2825831800442</v>
      </c>
      <c r="P235" s="97">
        <f t="shared" si="240"/>
        <v>2202.757620339702</v>
      </c>
      <c r="Q235" s="97">
        <f t="shared" si="240"/>
        <v>2560.2338320677286</v>
      </c>
      <c r="R235" s="97">
        <f t="shared" si="240"/>
        <v>2482.9843959524374</v>
      </c>
      <c r="S235" s="97">
        <f t="shared" si="240"/>
        <v>2742.0797553928319</v>
      </c>
      <c r="T235" s="97">
        <f t="shared" si="240"/>
        <v>3064.4342569395349</v>
      </c>
      <c r="U235" s="97">
        <f t="shared" si="240"/>
        <v>2088.6995262652085</v>
      </c>
      <c r="V235" s="97">
        <f t="shared" si="240"/>
        <v>4922.4570607409578</v>
      </c>
      <c r="W235" s="97">
        <f t="shared" si="240"/>
        <v>6495.2995469198086</v>
      </c>
      <c r="X235" s="97">
        <f t="shared" si="240"/>
        <v>4175.2437938985631</v>
      </c>
      <c r="Y235" s="97">
        <f t="shared" si="240"/>
        <v>2644.9683040739678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435.87875572944148</v>
      </c>
      <c r="C236" s="97">
        <f t="shared" si="241"/>
        <v>403.55687669273948</v>
      </c>
      <c r="D236" s="97">
        <f t="shared" si="241"/>
        <v>399.04915146152302</v>
      </c>
      <c r="E236" s="97">
        <f t="shared" si="241"/>
        <v>342.94537404033201</v>
      </c>
      <c r="F236" s="97">
        <f t="shared" si="241"/>
        <v>398.58344710445738</v>
      </c>
      <c r="G236" s="97">
        <f t="shared" si="241"/>
        <v>445.24419484488504</v>
      </c>
      <c r="H236" s="97">
        <f t="shared" si="241"/>
        <v>528.61903175003226</v>
      </c>
      <c r="I236" s="97">
        <f t="shared" si="241"/>
        <v>566.14255334774066</v>
      </c>
      <c r="J236" s="97">
        <f t="shared" si="241"/>
        <v>581.1151855391123</v>
      </c>
      <c r="K236" s="97">
        <f t="shared" si="241"/>
        <v>555.33340041771828</v>
      </c>
      <c r="L236" s="97">
        <f t="shared" si="241"/>
        <v>601.95232230018132</v>
      </c>
      <c r="M236" s="97">
        <f t="shared" si="241"/>
        <v>631.87670410093835</v>
      </c>
      <c r="N236" s="97">
        <f t="shared" si="241"/>
        <v>587.42648595105743</v>
      </c>
      <c r="O236" s="97">
        <f t="shared" si="241"/>
        <v>590.34777190812065</v>
      </c>
      <c r="P236" s="97">
        <f t="shared" si="241"/>
        <v>486.42303969222695</v>
      </c>
      <c r="Q236" s="97">
        <f t="shared" si="241"/>
        <v>486.11883112380372</v>
      </c>
      <c r="R236" s="97">
        <f t="shared" si="241"/>
        <v>486.51637036754261</v>
      </c>
      <c r="S236" s="97">
        <f t="shared" si="241"/>
        <v>522.9731722104932</v>
      </c>
      <c r="T236" s="97">
        <f t="shared" si="241"/>
        <v>517.89548384214265</v>
      </c>
      <c r="U236" s="97">
        <f t="shared" si="241"/>
        <v>474.05911286929268</v>
      </c>
      <c r="V236" s="97">
        <f t="shared" si="241"/>
        <v>484.81015499811224</v>
      </c>
      <c r="W236" s="97">
        <f t="shared" si="241"/>
        <v>607.8232202219624</v>
      </c>
      <c r="X236" s="97">
        <f t="shared" si="241"/>
        <v>491.23997229611018</v>
      </c>
      <c r="Y236" s="97">
        <f t="shared" si="241"/>
        <v>569.51865400460849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107.43254159057018</v>
      </c>
      <c r="C237" s="97">
        <f t="shared" si="242"/>
        <v>100.34646066537844</v>
      </c>
      <c r="D237" s="97">
        <f t="shared" si="242"/>
        <v>99.90001013821535</v>
      </c>
      <c r="E237" s="97">
        <f t="shared" si="242"/>
        <v>98.045350472215219</v>
      </c>
      <c r="F237" s="97">
        <f t="shared" si="242"/>
        <v>101.11358337735813</v>
      </c>
      <c r="G237" s="97">
        <f t="shared" si="242"/>
        <v>105.67962388129932</v>
      </c>
      <c r="H237" s="97">
        <f t="shared" si="242"/>
        <v>117.59553189966826</v>
      </c>
      <c r="I237" s="97">
        <f t="shared" si="242"/>
        <v>134.29384217155152</v>
      </c>
      <c r="J237" s="97">
        <f t="shared" si="242"/>
        <v>138.517629835837</v>
      </c>
      <c r="K237" s="97">
        <f t="shared" si="242"/>
        <v>122.90635766451236</v>
      </c>
      <c r="L237" s="97">
        <f t="shared" si="242"/>
        <v>127.19684755734353</v>
      </c>
      <c r="M237" s="97">
        <f t="shared" si="242"/>
        <v>145.40859835250527</v>
      </c>
      <c r="N237" s="97">
        <f t="shared" si="242"/>
        <v>156.24237300936016</v>
      </c>
      <c r="O237" s="97">
        <f t="shared" si="242"/>
        <v>148.30430884569185</v>
      </c>
      <c r="P237" s="97">
        <f t="shared" si="242"/>
        <v>121.47168917528212</v>
      </c>
      <c r="Q237" s="97">
        <f t="shared" si="242"/>
        <v>135.23823393630173</v>
      </c>
      <c r="R237" s="97">
        <f t="shared" si="242"/>
        <v>144.58898245678751</v>
      </c>
      <c r="S237" s="97">
        <f t="shared" si="242"/>
        <v>143.11514467215829</v>
      </c>
      <c r="T237" s="97">
        <f t="shared" si="242"/>
        <v>147.35028347576358</v>
      </c>
      <c r="U237" s="97">
        <f t="shared" si="242"/>
        <v>149.1318921655263</v>
      </c>
      <c r="V237" s="97">
        <f t="shared" si="242"/>
        <v>190.53479063264038</v>
      </c>
      <c r="W237" s="97">
        <f t="shared" si="242"/>
        <v>164.88527376279029</v>
      </c>
      <c r="X237" s="97">
        <f t="shared" si="242"/>
        <v>131.13178440297003</v>
      </c>
      <c r="Y237" s="97">
        <f t="shared" si="242"/>
        <v>147.41626143629827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43.851284189852699</v>
      </c>
      <c r="C238" s="130">
        <f t="shared" si="243"/>
        <v>44.393934720375434</v>
      </c>
      <c r="D238" s="130">
        <f t="shared" si="243"/>
        <v>42.114655783555861</v>
      </c>
      <c r="E238" s="130">
        <f t="shared" si="243"/>
        <v>47.088110087873467</v>
      </c>
      <c r="F238" s="130">
        <f t="shared" si="243"/>
        <v>74.054134241556966</v>
      </c>
      <c r="G238" s="130">
        <f t="shared" si="243"/>
        <v>73.207491340559045</v>
      </c>
      <c r="H238" s="130">
        <f t="shared" si="243"/>
        <v>66.274900206859002</v>
      </c>
      <c r="I238" s="130">
        <f t="shared" si="243"/>
        <v>48.248913500192529</v>
      </c>
      <c r="J238" s="130">
        <f t="shared" si="243"/>
        <v>50.274438592624001</v>
      </c>
      <c r="K238" s="130">
        <f t="shared" si="243"/>
        <v>55.154099970044925</v>
      </c>
      <c r="L238" s="130">
        <f t="shared" si="243"/>
        <v>51.468586863157888</v>
      </c>
      <c r="M238" s="130">
        <f t="shared" si="243"/>
        <v>55.541378747056037</v>
      </c>
      <c r="N238" s="130">
        <f t="shared" si="243"/>
        <v>52.007308315837498</v>
      </c>
      <c r="O238" s="130">
        <f t="shared" si="243"/>
        <v>51.544439847003822</v>
      </c>
      <c r="P238" s="130">
        <f t="shared" si="243"/>
        <v>56.593676306844266</v>
      </c>
      <c r="Q238" s="130">
        <f t="shared" si="243"/>
        <v>63.459333089700991</v>
      </c>
      <c r="R238" s="130">
        <f t="shared" si="243"/>
        <v>61.82710073394496</v>
      </c>
      <c r="S238" s="130">
        <f t="shared" si="243"/>
        <v>62.550704510385764</v>
      </c>
      <c r="T238" s="130">
        <f t="shared" si="243"/>
        <v>79.459624069845532</v>
      </c>
      <c r="U238" s="130">
        <f t="shared" si="243"/>
        <v>77.75971283965012</v>
      </c>
      <c r="V238" s="130">
        <f t="shared" si="243"/>
        <v>41.408462241594016</v>
      </c>
      <c r="W238" s="130">
        <f t="shared" si="243"/>
        <v>65.053170358565737</v>
      </c>
      <c r="X238" s="130">
        <f t="shared" si="243"/>
        <v>84.924458102189789</v>
      </c>
      <c r="Y238" s="130">
        <f t="shared" si="243"/>
        <v>88.662428037068224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0</v>
      </c>
      <c r="J239" s="97">
        <f t="shared" si="244"/>
        <v>0</v>
      </c>
      <c r="K239" s="97">
        <f t="shared" si="244"/>
        <v>0</v>
      </c>
      <c r="L239" s="97">
        <f t="shared" si="244"/>
        <v>0</v>
      </c>
      <c r="M239" s="97">
        <f t="shared" si="244"/>
        <v>0</v>
      </c>
      <c r="N239" s="97">
        <f t="shared" si="244"/>
        <v>0</v>
      </c>
      <c r="O239" s="97">
        <f t="shared" si="244"/>
        <v>0</v>
      </c>
      <c r="P239" s="97">
        <f t="shared" si="244"/>
        <v>0</v>
      </c>
      <c r="Q239" s="97">
        <f t="shared" si="244"/>
        <v>0</v>
      </c>
      <c r="R239" s="97">
        <f t="shared" si="244"/>
        <v>0</v>
      </c>
      <c r="S239" s="97">
        <f t="shared" si="244"/>
        <v>0</v>
      </c>
      <c r="T239" s="97">
        <f t="shared" si="244"/>
        <v>0</v>
      </c>
      <c r="U239" s="97">
        <f t="shared" si="244"/>
        <v>0</v>
      </c>
      <c r="V239" s="97">
        <f t="shared" si="244"/>
        <v>0</v>
      </c>
      <c r="W239" s="97">
        <f t="shared" si="244"/>
        <v>0</v>
      </c>
      <c r="X239" s="97">
        <f t="shared" si="244"/>
        <v>0</v>
      </c>
      <c r="Y239" s="97">
        <f t="shared" si="244"/>
        <v>0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43.851284189852699</v>
      </c>
      <c r="C240" s="98">
        <f t="shared" si="245"/>
        <v>44.393934720375434</v>
      </c>
      <c r="D240" s="98">
        <f t="shared" si="245"/>
        <v>42.114655783555861</v>
      </c>
      <c r="E240" s="98">
        <f t="shared" si="245"/>
        <v>47.088110087873467</v>
      </c>
      <c r="F240" s="98">
        <f t="shared" si="245"/>
        <v>74.054134241556966</v>
      </c>
      <c r="G240" s="98">
        <f t="shared" si="245"/>
        <v>73.207491340559045</v>
      </c>
      <c r="H240" s="98">
        <f t="shared" si="245"/>
        <v>66.274900206859002</v>
      </c>
      <c r="I240" s="98">
        <f t="shared" si="245"/>
        <v>48.248913500192529</v>
      </c>
      <c r="J240" s="98">
        <f t="shared" si="245"/>
        <v>50.274438592624001</v>
      </c>
      <c r="K240" s="98">
        <f t="shared" si="245"/>
        <v>55.154099970044925</v>
      </c>
      <c r="L240" s="98">
        <f t="shared" si="245"/>
        <v>51.468586863157888</v>
      </c>
      <c r="M240" s="98">
        <f t="shared" si="245"/>
        <v>55.541378747056037</v>
      </c>
      <c r="N240" s="98">
        <f t="shared" si="245"/>
        <v>52.007308315837498</v>
      </c>
      <c r="O240" s="98">
        <f t="shared" si="245"/>
        <v>51.544439847003822</v>
      </c>
      <c r="P240" s="98">
        <f t="shared" si="245"/>
        <v>56.593676306844266</v>
      </c>
      <c r="Q240" s="98">
        <f t="shared" si="245"/>
        <v>63.459333089700991</v>
      </c>
      <c r="R240" s="98">
        <f t="shared" si="245"/>
        <v>61.82710073394496</v>
      </c>
      <c r="S240" s="98">
        <f t="shared" si="245"/>
        <v>62.550704510385764</v>
      </c>
      <c r="T240" s="98">
        <f t="shared" si="245"/>
        <v>79.459624069845532</v>
      </c>
      <c r="U240" s="98">
        <f t="shared" si="245"/>
        <v>77.75971283965012</v>
      </c>
      <c r="V240" s="98">
        <f t="shared" si="245"/>
        <v>41.408462241594016</v>
      </c>
      <c r="W240" s="98">
        <f t="shared" si="245"/>
        <v>65.053170358565737</v>
      </c>
      <c r="X240" s="98">
        <f t="shared" si="245"/>
        <v>84.924458102189789</v>
      </c>
      <c r="Y240" s="98">
        <f t="shared" si="245"/>
        <v>88.662428037068224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0</v>
      </c>
      <c r="C241" s="32">
        <f t="shared" si="246"/>
        <v>0</v>
      </c>
      <c r="D241" s="32">
        <f t="shared" si="246"/>
        <v>0</v>
      </c>
      <c r="E241" s="32">
        <f t="shared" si="246"/>
        <v>0</v>
      </c>
      <c r="F241" s="32">
        <f t="shared" si="246"/>
        <v>0</v>
      </c>
      <c r="G241" s="32">
        <f t="shared" si="246"/>
        <v>0</v>
      </c>
      <c r="H241" s="32">
        <f t="shared" si="246"/>
        <v>0</v>
      </c>
      <c r="I241" s="32">
        <f t="shared" si="246"/>
        <v>0</v>
      </c>
      <c r="J241" s="32">
        <f t="shared" si="246"/>
        <v>0</v>
      </c>
      <c r="K241" s="32">
        <f t="shared" si="246"/>
        <v>0</v>
      </c>
      <c r="L241" s="32">
        <f t="shared" si="246"/>
        <v>0</v>
      </c>
      <c r="M241" s="32">
        <f t="shared" si="246"/>
        <v>0</v>
      </c>
      <c r="N241" s="32">
        <f t="shared" si="246"/>
        <v>0</v>
      </c>
      <c r="O241" s="32">
        <f t="shared" si="246"/>
        <v>0</v>
      </c>
      <c r="P241" s="32">
        <f t="shared" si="246"/>
        <v>0</v>
      </c>
      <c r="Q241" s="32">
        <f t="shared" si="246"/>
        <v>0</v>
      </c>
      <c r="R241" s="32">
        <f t="shared" si="246"/>
        <v>0</v>
      </c>
      <c r="S241" s="32">
        <f t="shared" si="246"/>
        <v>0</v>
      </c>
      <c r="T241" s="32">
        <f t="shared" si="246"/>
        <v>0</v>
      </c>
      <c r="U241" s="32">
        <f t="shared" si="246"/>
        <v>0</v>
      </c>
      <c r="V241" s="32">
        <f t="shared" si="246"/>
        <v>0</v>
      </c>
      <c r="W241" s="32">
        <f t="shared" si="246"/>
        <v>0</v>
      </c>
      <c r="X241" s="32">
        <f t="shared" si="246"/>
        <v>0</v>
      </c>
      <c r="Y241" s="32">
        <f t="shared" si="246"/>
        <v>0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0</v>
      </c>
      <c r="C242" s="97">
        <f t="shared" si="247"/>
        <v>0</v>
      </c>
      <c r="D242" s="97">
        <f t="shared" si="247"/>
        <v>0</v>
      </c>
      <c r="E242" s="97">
        <f t="shared" si="247"/>
        <v>0</v>
      </c>
      <c r="F242" s="97">
        <f t="shared" si="247"/>
        <v>0</v>
      </c>
      <c r="G242" s="97">
        <f t="shared" si="247"/>
        <v>0</v>
      </c>
      <c r="H242" s="97">
        <f t="shared" si="247"/>
        <v>0</v>
      </c>
      <c r="I242" s="97">
        <f t="shared" si="247"/>
        <v>0</v>
      </c>
      <c r="J242" s="97">
        <f t="shared" si="247"/>
        <v>0</v>
      </c>
      <c r="K242" s="97">
        <f t="shared" si="247"/>
        <v>0</v>
      </c>
      <c r="L242" s="97">
        <f t="shared" si="247"/>
        <v>0</v>
      </c>
      <c r="M242" s="97">
        <f t="shared" si="247"/>
        <v>0</v>
      </c>
      <c r="N242" s="97">
        <f t="shared" si="247"/>
        <v>0</v>
      </c>
      <c r="O242" s="97">
        <f t="shared" si="247"/>
        <v>0</v>
      </c>
      <c r="P242" s="97">
        <f t="shared" si="247"/>
        <v>0</v>
      </c>
      <c r="Q242" s="97">
        <f t="shared" si="247"/>
        <v>0</v>
      </c>
      <c r="R242" s="97">
        <f t="shared" si="247"/>
        <v>0</v>
      </c>
      <c r="S242" s="97">
        <f t="shared" si="247"/>
        <v>0</v>
      </c>
      <c r="T242" s="97">
        <f t="shared" si="247"/>
        <v>0</v>
      </c>
      <c r="U242" s="97">
        <f t="shared" si="247"/>
        <v>0</v>
      </c>
      <c r="V242" s="97">
        <f t="shared" si="247"/>
        <v>0</v>
      </c>
      <c r="W242" s="97">
        <f t="shared" si="247"/>
        <v>0</v>
      </c>
      <c r="X242" s="97">
        <f t="shared" si="247"/>
        <v>0</v>
      </c>
      <c r="Y242" s="97">
        <f t="shared" si="247"/>
        <v>0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0</v>
      </c>
      <c r="C243" s="98">
        <f t="shared" si="248"/>
        <v>0</v>
      </c>
      <c r="D243" s="98">
        <f t="shared" si="248"/>
        <v>0</v>
      </c>
      <c r="E243" s="98">
        <f t="shared" si="248"/>
        <v>0</v>
      </c>
      <c r="F243" s="98">
        <f t="shared" si="248"/>
        <v>0</v>
      </c>
      <c r="G243" s="98">
        <f t="shared" si="248"/>
        <v>0</v>
      </c>
      <c r="H243" s="98">
        <f t="shared" si="248"/>
        <v>0</v>
      </c>
      <c r="I243" s="98">
        <f t="shared" si="248"/>
        <v>0</v>
      </c>
      <c r="J243" s="98">
        <f t="shared" si="248"/>
        <v>0</v>
      </c>
      <c r="K243" s="98">
        <f t="shared" si="248"/>
        <v>0</v>
      </c>
      <c r="L243" s="98">
        <f t="shared" si="248"/>
        <v>0</v>
      </c>
      <c r="M243" s="98">
        <f t="shared" si="248"/>
        <v>0</v>
      </c>
      <c r="N243" s="98">
        <f t="shared" si="248"/>
        <v>0</v>
      </c>
      <c r="O243" s="98">
        <f t="shared" si="248"/>
        <v>0</v>
      </c>
      <c r="P243" s="98">
        <f t="shared" si="248"/>
        <v>0</v>
      </c>
      <c r="Q243" s="98">
        <f t="shared" si="248"/>
        <v>0</v>
      </c>
      <c r="R243" s="98">
        <f t="shared" si="248"/>
        <v>0</v>
      </c>
      <c r="S243" s="98">
        <f t="shared" si="248"/>
        <v>0</v>
      </c>
      <c r="T243" s="98">
        <f t="shared" si="248"/>
        <v>0</v>
      </c>
      <c r="U243" s="98">
        <f t="shared" si="248"/>
        <v>0</v>
      </c>
      <c r="V243" s="98">
        <f t="shared" si="248"/>
        <v>0</v>
      </c>
      <c r="W243" s="98">
        <f t="shared" si="248"/>
        <v>0</v>
      </c>
      <c r="X243" s="98">
        <f t="shared" si="248"/>
        <v>0</v>
      </c>
      <c r="Y243" s="98">
        <f t="shared" si="248"/>
        <v>0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77126.732303532335</v>
      </c>
      <c r="C4" s="29">
        <f t="shared" si="0"/>
        <v>77577.212897103411</v>
      </c>
      <c r="D4" s="29">
        <f t="shared" si="0"/>
        <v>78482.92871681237</v>
      </c>
      <c r="E4" s="29">
        <f t="shared" si="0"/>
        <v>79703.787333369808</v>
      </c>
      <c r="F4" s="29">
        <f t="shared" si="0"/>
        <v>80503.508080029977</v>
      </c>
      <c r="G4" s="29">
        <f t="shared" si="0"/>
        <v>81458.965583794707</v>
      </c>
      <c r="H4" s="29">
        <f t="shared" si="0"/>
        <v>82034.997338463319</v>
      </c>
      <c r="I4" s="29">
        <f t="shared" si="0"/>
        <v>83429.077080569317</v>
      </c>
      <c r="J4" s="29">
        <f t="shared" si="0"/>
        <v>84466.551290637086</v>
      </c>
      <c r="K4" s="29">
        <f t="shared" si="0"/>
        <v>82878.966048830553</v>
      </c>
      <c r="L4" s="29">
        <f t="shared" ref="L4" si="1">L5+L6+L13</f>
        <v>84007.031734257936</v>
      </c>
      <c r="M4" s="29">
        <f t="shared" ref="M4:V4" si="2">M5+M6+M13</f>
        <v>85324.778120131174</v>
      </c>
      <c r="N4" s="29">
        <f t="shared" si="2"/>
        <v>84955.208527913943</v>
      </c>
      <c r="O4" s="29">
        <f t="shared" si="2"/>
        <v>85770.884405262841</v>
      </c>
      <c r="P4" s="29">
        <f t="shared" si="2"/>
        <v>87716.840711820754</v>
      </c>
      <c r="Q4" s="29">
        <f t="shared" si="2"/>
        <v>89679.788955198397</v>
      </c>
      <c r="R4" s="29">
        <f t="shared" si="2"/>
        <v>92122.060870944159</v>
      </c>
      <c r="S4" s="29">
        <f t="shared" si="2"/>
        <v>93640.147193047742</v>
      </c>
      <c r="T4" s="29">
        <f t="shared" si="2"/>
        <v>94452.252174593537</v>
      </c>
      <c r="U4" s="29">
        <f t="shared" si="2"/>
        <v>94994.34140430906</v>
      </c>
      <c r="V4" s="29">
        <f t="shared" si="2"/>
        <v>78366.833245907066</v>
      </c>
      <c r="W4" s="29">
        <f t="shared" ref="W4:Y4" si="3">W5+W6+W13</f>
        <v>83892.703183287871</v>
      </c>
      <c r="X4" s="29">
        <f t="shared" si="3"/>
        <v>90752.084059819041</v>
      </c>
      <c r="Y4" s="29">
        <f t="shared" si="3"/>
        <v>93235.724831926942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1034.7172579180008</v>
      </c>
      <c r="C5" s="152">
        <f t="shared" si="4"/>
        <v>1067.0930613208909</v>
      </c>
      <c r="D5" s="152">
        <f t="shared" si="4"/>
        <v>1103.2237232936818</v>
      </c>
      <c r="E5" s="152">
        <f t="shared" si="4"/>
        <v>1136.0906668131479</v>
      </c>
      <c r="F5" s="152">
        <f t="shared" si="4"/>
        <v>1199.7300665401106</v>
      </c>
      <c r="G5" s="152">
        <f t="shared" si="4"/>
        <v>1234.196669530048</v>
      </c>
      <c r="H5" s="152">
        <f t="shared" si="4"/>
        <v>1275.1842655610967</v>
      </c>
      <c r="I5" s="152">
        <f t="shared" si="4"/>
        <v>1329.1344351714433</v>
      </c>
      <c r="J5" s="152">
        <f t="shared" si="4"/>
        <v>1385.8376524371122</v>
      </c>
      <c r="K5" s="152">
        <f t="shared" si="4"/>
        <v>1439.4770900339015</v>
      </c>
      <c r="L5" s="152">
        <f t="shared" ref="L5:L7" si="5">IF(L32=0,0,L32*L142)</f>
        <v>1484.8025179237477</v>
      </c>
      <c r="M5" s="152">
        <f t="shared" ref="M5:V5" si="6">IF(M32=0,0,M32*M142)</f>
        <v>1533.2905876136563</v>
      </c>
      <c r="N5" s="152">
        <f t="shared" si="6"/>
        <v>1599.3578230168278</v>
      </c>
      <c r="O5" s="152">
        <f t="shared" si="6"/>
        <v>1632.0486165722871</v>
      </c>
      <c r="P5" s="152">
        <f t="shared" si="6"/>
        <v>1681.1096566601136</v>
      </c>
      <c r="Q5" s="152">
        <f t="shared" si="6"/>
        <v>1744.0617862191309</v>
      </c>
      <c r="R5" s="152">
        <f t="shared" si="6"/>
        <v>1796.3556846979061</v>
      </c>
      <c r="S5" s="152">
        <f t="shared" si="6"/>
        <v>1695.104881255693</v>
      </c>
      <c r="T5" s="152">
        <f t="shared" si="6"/>
        <v>1615.1493084088756</v>
      </c>
      <c r="U5" s="152">
        <f t="shared" si="6"/>
        <v>1714.564630156792</v>
      </c>
      <c r="V5" s="152">
        <f t="shared" si="6"/>
        <v>1537.2826879978122</v>
      </c>
      <c r="W5" s="152">
        <f t="shared" ref="W5:Y5" si="7">IF(W32=0,0,W32*W142)</f>
        <v>1600.1565855143731</v>
      </c>
      <c r="X5" s="152">
        <f t="shared" si="7"/>
        <v>1619.1259613043746</v>
      </c>
      <c r="Y5" s="152">
        <f t="shared" si="7"/>
        <v>1748.9029688897401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66668.163625038811</v>
      </c>
      <c r="C6" s="116">
        <f t="shared" si="8"/>
        <v>67104.197984476501</v>
      </c>
      <c r="D6" s="116">
        <f t="shared" si="8"/>
        <v>67959.869481503105</v>
      </c>
      <c r="E6" s="116">
        <f t="shared" si="8"/>
        <v>68941.248012873097</v>
      </c>
      <c r="F6" s="116">
        <f t="shared" si="8"/>
        <v>69607.542929514311</v>
      </c>
      <c r="G6" s="116">
        <f t="shared" si="8"/>
        <v>70556.755557561017</v>
      </c>
      <c r="H6" s="116">
        <f t="shared" si="8"/>
        <v>70893.193824100803</v>
      </c>
      <c r="I6" s="116">
        <f t="shared" si="8"/>
        <v>72022.932222632182</v>
      </c>
      <c r="J6" s="116">
        <f t="shared" si="8"/>
        <v>73280.79928084409</v>
      </c>
      <c r="K6" s="116">
        <f t="shared" si="8"/>
        <v>72675.149788321389</v>
      </c>
      <c r="L6" s="116">
        <f t="shared" ref="L6" si="9">SUM(L7:L12)</f>
        <v>73442.117538393097</v>
      </c>
      <c r="M6" s="116">
        <f t="shared" ref="M6:V6" si="10">SUM(M7:M12)</f>
        <v>74447.747151517906</v>
      </c>
      <c r="N6" s="116">
        <f t="shared" si="10"/>
        <v>74150.051934482806</v>
      </c>
      <c r="O6" s="116">
        <f t="shared" si="10"/>
        <v>74902.691291254203</v>
      </c>
      <c r="P6" s="116">
        <f t="shared" si="10"/>
        <v>76593.516412012003</v>
      </c>
      <c r="Q6" s="116">
        <f t="shared" si="10"/>
        <v>78347.120464677297</v>
      </c>
      <c r="R6" s="116">
        <f t="shared" si="10"/>
        <v>80444.38388248632</v>
      </c>
      <c r="S6" s="116">
        <f t="shared" si="10"/>
        <v>81794.759313510105</v>
      </c>
      <c r="T6" s="116">
        <f t="shared" si="10"/>
        <v>83203.652677073696</v>
      </c>
      <c r="U6" s="116">
        <f t="shared" si="10"/>
        <v>83769.343136871001</v>
      </c>
      <c r="V6" s="116">
        <f t="shared" si="10"/>
        <v>69042.201792103908</v>
      </c>
      <c r="W6" s="116">
        <f t="shared" ref="W6:Y6" si="11">SUM(W7:W12)</f>
        <v>74228.112229061095</v>
      </c>
      <c r="X6" s="116">
        <f t="shared" si="11"/>
        <v>79452.917605497394</v>
      </c>
      <c r="Y6" s="116">
        <f t="shared" si="11"/>
        <v>81411.196276286399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37442.652596131804</v>
      </c>
      <c r="C7" s="87">
        <f t="shared" si="12"/>
        <v>36714.47746134593</v>
      </c>
      <c r="D7" s="87">
        <f t="shared" si="12"/>
        <v>35198.594695961438</v>
      </c>
      <c r="E7" s="87">
        <f t="shared" si="12"/>
        <v>33762.618640252484</v>
      </c>
      <c r="F7" s="87">
        <f t="shared" si="12"/>
        <v>32512.869954263893</v>
      </c>
      <c r="G7" s="87">
        <f t="shared" si="12"/>
        <v>31026.670293075313</v>
      </c>
      <c r="H7" s="87">
        <f t="shared" si="12"/>
        <v>29796.585617104953</v>
      </c>
      <c r="I7" s="87">
        <f t="shared" si="12"/>
        <v>28833.467748759482</v>
      </c>
      <c r="J7" s="87">
        <f t="shared" si="12"/>
        <v>28904.396944527609</v>
      </c>
      <c r="K7" s="87">
        <f t="shared" si="12"/>
        <v>27867.655273504774</v>
      </c>
      <c r="L7" s="87">
        <f t="shared" si="5"/>
        <v>28066.524508759321</v>
      </c>
      <c r="M7" s="87">
        <f t="shared" ref="M7:V7" si="13">IF(M34=0,0,M34*M144)</f>
        <v>27026.995849557443</v>
      </c>
      <c r="N7" s="87">
        <f t="shared" si="13"/>
        <v>26661.378889803571</v>
      </c>
      <c r="O7" s="87">
        <f t="shared" si="13"/>
        <v>26164.577387099358</v>
      </c>
      <c r="P7" s="87">
        <f t="shared" si="13"/>
        <v>25516.791238115064</v>
      </c>
      <c r="Q7" s="87">
        <f t="shared" si="13"/>
        <v>25188.392366253622</v>
      </c>
      <c r="R7" s="87">
        <f t="shared" si="13"/>
        <v>24931.004961176044</v>
      </c>
      <c r="S7" s="87">
        <f t="shared" si="13"/>
        <v>24967.38324425905</v>
      </c>
      <c r="T7" s="87">
        <f t="shared" si="13"/>
        <v>26235.010661588793</v>
      </c>
      <c r="U7" s="87">
        <f t="shared" si="13"/>
        <v>26868.287127054282</v>
      </c>
      <c r="V7" s="87">
        <f t="shared" si="13"/>
        <v>22580.644418746109</v>
      </c>
      <c r="W7" s="87">
        <f t="shared" ref="W7:Y7" si="14">IF(W34=0,0,W34*W144)</f>
        <v>24416.091123003604</v>
      </c>
      <c r="X7" s="87">
        <f t="shared" si="14"/>
        <v>26212.610315915354</v>
      </c>
      <c r="Y7" s="87">
        <f t="shared" si="14"/>
        <v>27842.204045837643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28969.894172783275</v>
      </c>
      <c r="C8" s="87">
        <f t="shared" si="15"/>
        <v>30123.622546446986</v>
      </c>
      <c r="D8" s="87">
        <f t="shared" si="15"/>
        <v>32402.598648555857</v>
      </c>
      <c r="E8" s="87">
        <f t="shared" si="15"/>
        <v>34747.54540612804</v>
      </c>
      <c r="F8" s="87">
        <f t="shared" si="15"/>
        <v>36741.74339060163</v>
      </c>
      <c r="G8" s="87">
        <f t="shared" si="15"/>
        <v>39184.087728447012</v>
      </c>
      <c r="H8" s="87">
        <f t="shared" si="15"/>
        <v>40742.444410125157</v>
      </c>
      <c r="I8" s="87">
        <f t="shared" si="15"/>
        <v>42856.147921893004</v>
      </c>
      <c r="J8" s="87">
        <f t="shared" si="15"/>
        <v>43998.342700943496</v>
      </c>
      <c r="K8" s="87">
        <f t="shared" si="15"/>
        <v>44463.342022138364</v>
      </c>
      <c r="L8" s="87">
        <f t="shared" ref="L8" si="16">IF(L35=0,0,L35*L145)</f>
        <v>45056.598553525269</v>
      </c>
      <c r="M8" s="87">
        <f t="shared" ref="M8:V8" si="17">IF(M35=0,0,M35*M145)</f>
        <v>47074.101778836121</v>
      </c>
      <c r="N8" s="87">
        <f t="shared" si="17"/>
        <v>47113.257637666655</v>
      </c>
      <c r="O8" s="87">
        <f t="shared" si="17"/>
        <v>48359.236797759666</v>
      </c>
      <c r="P8" s="87">
        <f t="shared" si="17"/>
        <v>50684.814292655756</v>
      </c>
      <c r="Q8" s="87">
        <f t="shared" si="17"/>
        <v>52774.888020081635</v>
      </c>
      <c r="R8" s="87">
        <f t="shared" si="17"/>
        <v>55079.525947711983</v>
      </c>
      <c r="S8" s="87">
        <f t="shared" si="17"/>
        <v>56275.597745936131</v>
      </c>
      <c r="T8" s="87">
        <f t="shared" si="17"/>
        <v>56324.667158783028</v>
      </c>
      <c r="U8" s="87">
        <f t="shared" si="17"/>
        <v>56094.486615319584</v>
      </c>
      <c r="V8" s="87">
        <f t="shared" si="17"/>
        <v>45467.20357622279</v>
      </c>
      <c r="W8" s="87">
        <f t="shared" ref="W8:Y8" si="18">IF(W35=0,0,W35*W145)</f>
        <v>47925.762456318669</v>
      </c>
      <c r="X8" s="87">
        <f t="shared" si="18"/>
        <v>50541.512854296045</v>
      </c>
      <c r="Y8" s="87">
        <f t="shared" si="18"/>
        <v>49841.49058861033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255.61685612372136</v>
      </c>
      <c r="C9" s="87">
        <f t="shared" si="19"/>
        <v>266.09797668358692</v>
      </c>
      <c r="D9" s="87">
        <f t="shared" si="19"/>
        <v>358.67613698580902</v>
      </c>
      <c r="E9" s="87">
        <f t="shared" si="19"/>
        <v>431.08396649257509</v>
      </c>
      <c r="F9" s="87">
        <f t="shared" si="19"/>
        <v>352.92958464877404</v>
      </c>
      <c r="G9" s="87">
        <f t="shared" si="19"/>
        <v>345.99753603868288</v>
      </c>
      <c r="H9" s="87">
        <f t="shared" si="19"/>
        <v>353.12980751665725</v>
      </c>
      <c r="I9" s="87">
        <f t="shared" si="19"/>
        <v>329.270839399561</v>
      </c>
      <c r="J9" s="87">
        <f t="shared" si="19"/>
        <v>357.95922039692675</v>
      </c>
      <c r="K9" s="87">
        <f t="shared" si="19"/>
        <v>314.51990481884133</v>
      </c>
      <c r="L9" s="87">
        <f t="shared" ref="L9" si="20">IF(L36=0,0,L36*L146)</f>
        <v>284.37577214838376</v>
      </c>
      <c r="M9" s="87">
        <f t="shared" ref="M9:V9" si="21">IF(M36=0,0,M36*M146)</f>
        <v>277.91548299627891</v>
      </c>
      <c r="N9" s="87">
        <f t="shared" si="21"/>
        <v>288.71630636920486</v>
      </c>
      <c r="O9" s="87">
        <f t="shared" si="21"/>
        <v>268.3683521912829</v>
      </c>
      <c r="P9" s="87">
        <f t="shared" si="21"/>
        <v>240.34977771874694</v>
      </c>
      <c r="Q9" s="87">
        <f t="shared" si="21"/>
        <v>180.92047247105234</v>
      </c>
      <c r="R9" s="87">
        <f t="shared" si="21"/>
        <v>147.65418771025332</v>
      </c>
      <c r="S9" s="87">
        <f t="shared" si="21"/>
        <v>136.9491959428297</v>
      </c>
      <c r="T9" s="87">
        <f t="shared" si="21"/>
        <v>90.682182374202796</v>
      </c>
      <c r="U9" s="87">
        <f t="shared" si="21"/>
        <v>66.47613773534674</v>
      </c>
      <c r="V9" s="87">
        <f t="shared" si="21"/>
        <v>40.450623112484031</v>
      </c>
      <c r="W9" s="87">
        <f t="shared" ref="W9:Y9" si="22">IF(W36=0,0,W36*W146)</f>
        <v>41.731083758844221</v>
      </c>
      <c r="X9" s="87">
        <f t="shared" si="22"/>
        <v>33.626867046497004</v>
      </c>
      <c r="Y9" s="87">
        <f t="shared" si="22"/>
        <v>18.490195765687446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1.0339893540436278</v>
      </c>
      <c r="I10" s="87">
        <f t="shared" si="23"/>
        <v>4.0457125801527072</v>
      </c>
      <c r="J10" s="87">
        <f t="shared" si="23"/>
        <v>20.063411202942511</v>
      </c>
      <c r="K10" s="87">
        <f t="shared" si="23"/>
        <v>23.567270904057239</v>
      </c>
      <c r="L10" s="87">
        <f t="shared" ref="L10" si="24">IF(L37=0,0,L37*L147)</f>
        <v>28.095696454669806</v>
      </c>
      <c r="M10" s="87">
        <f t="shared" ref="M10:V10" si="25">IF(M37=0,0,M37*M147)</f>
        <v>50.403787234375706</v>
      </c>
      <c r="N10" s="87">
        <f t="shared" si="25"/>
        <v>57.054805852117823</v>
      </c>
      <c r="O10" s="87">
        <f t="shared" si="25"/>
        <v>66.181693270559123</v>
      </c>
      <c r="P10" s="87">
        <f t="shared" si="25"/>
        <v>77.545882509787532</v>
      </c>
      <c r="Q10" s="87">
        <f t="shared" si="25"/>
        <v>87.210860550379067</v>
      </c>
      <c r="R10" s="87">
        <f t="shared" si="25"/>
        <v>86.08482392635446</v>
      </c>
      <c r="S10" s="87">
        <f t="shared" si="25"/>
        <v>88.25790291583283</v>
      </c>
      <c r="T10" s="87">
        <f t="shared" si="25"/>
        <v>89.780958109018897</v>
      </c>
      <c r="U10" s="87">
        <f t="shared" si="25"/>
        <v>88.311755144191423</v>
      </c>
      <c r="V10" s="87">
        <f t="shared" si="25"/>
        <v>76.251933796746229</v>
      </c>
      <c r="W10" s="87">
        <f t="shared" ref="W10:Y10" si="26">IF(W37=0,0,W37*W147)</f>
        <v>76.46193286687874</v>
      </c>
      <c r="X10" s="87">
        <f t="shared" si="26"/>
        <v>76.842165359315572</v>
      </c>
      <c r="Y10" s="87">
        <f t="shared" si="26"/>
        <v>71.505592703034395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2.9999565082637573E-2</v>
      </c>
      <c r="N11" s="87">
        <f t="shared" si="29"/>
        <v>3.9519743656886401</v>
      </c>
      <c r="O11" s="87">
        <f t="shared" si="29"/>
        <v>6.0550236718780965</v>
      </c>
      <c r="P11" s="87">
        <f t="shared" si="29"/>
        <v>11.446108581623493</v>
      </c>
      <c r="Q11" s="87">
        <f t="shared" si="29"/>
        <v>22.643134018098902</v>
      </c>
      <c r="R11" s="87">
        <f t="shared" si="29"/>
        <v>32.57293254015606</v>
      </c>
      <c r="S11" s="87">
        <f t="shared" si="29"/>
        <v>56.543951074811702</v>
      </c>
      <c r="T11" s="87">
        <f t="shared" si="29"/>
        <v>79.331242709271663</v>
      </c>
      <c r="U11" s="87">
        <f t="shared" si="29"/>
        <v>107.60644044339872</v>
      </c>
      <c r="V11" s="87">
        <f t="shared" si="29"/>
        <v>179.17280407820181</v>
      </c>
      <c r="W11" s="87">
        <f t="shared" ref="W11:Y11" si="30">IF(W38=0,0,W38*W148)</f>
        <v>364.96055383265599</v>
      </c>
      <c r="X11" s="87">
        <f t="shared" si="30"/>
        <v>565.67654659277218</v>
      </c>
      <c r="Y11" s="87">
        <f t="shared" si="30"/>
        <v>801.15415762918315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3.7003773134071084E-2</v>
      </c>
      <c r="K12" s="87">
        <f t="shared" si="31"/>
        <v>6.0653169553623343</v>
      </c>
      <c r="L12" s="87">
        <f t="shared" ref="L12" si="32">IF(L39=0,0,L39*L149)</f>
        <v>6.5230075054516128</v>
      </c>
      <c r="M12" s="87">
        <f t="shared" ref="M12:V12" si="33">IF(M39=0,0,M39*M149)</f>
        <v>18.300253328604228</v>
      </c>
      <c r="N12" s="87">
        <f t="shared" si="33"/>
        <v>25.69232042556769</v>
      </c>
      <c r="O12" s="87">
        <f t="shared" si="33"/>
        <v>38.272037261455232</v>
      </c>
      <c r="P12" s="87">
        <f t="shared" si="33"/>
        <v>62.56911243102671</v>
      </c>
      <c r="Q12" s="87">
        <f t="shared" si="33"/>
        <v>93.065611302508273</v>
      </c>
      <c r="R12" s="87">
        <f t="shared" si="33"/>
        <v>167.5410294215134</v>
      </c>
      <c r="S12" s="87">
        <f t="shared" si="33"/>
        <v>270.02727338144825</v>
      </c>
      <c r="T12" s="87">
        <f t="shared" si="33"/>
        <v>384.18047350938207</v>
      </c>
      <c r="U12" s="87">
        <f t="shared" si="33"/>
        <v>544.17506117420044</v>
      </c>
      <c r="V12" s="87">
        <f t="shared" si="33"/>
        <v>698.47843614756061</v>
      </c>
      <c r="W12" s="87">
        <f t="shared" ref="W12:Y12" si="34">IF(W39=0,0,W39*W149)</f>
        <v>1403.1050792804456</v>
      </c>
      <c r="X12" s="87">
        <f t="shared" si="34"/>
        <v>2022.6488562874106</v>
      </c>
      <c r="Y12" s="87">
        <f t="shared" si="34"/>
        <v>2836.3516957405241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9423.8514205755255</v>
      </c>
      <c r="C13" s="116">
        <f t="shared" si="35"/>
        <v>9405.921851306015</v>
      </c>
      <c r="D13" s="116">
        <f t="shared" si="35"/>
        <v>9419.8355120155957</v>
      </c>
      <c r="E13" s="116">
        <f t="shared" si="35"/>
        <v>9626.4486536835611</v>
      </c>
      <c r="F13" s="116">
        <f t="shared" si="35"/>
        <v>9696.2350839755509</v>
      </c>
      <c r="G13" s="116">
        <f t="shared" si="35"/>
        <v>9668.0133567036337</v>
      </c>
      <c r="H13" s="116">
        <f t="shared" si="35"/>
        <v>9866.619248801424</v>
      </c>
      <c r="I13" s="116">
        <f t="shared" si="35"/>
        <v>10077.010422765679</v>
      </c>
      <c r="J13" s="116">
        <f t="shared" si="35"/>
        <v>9799.9143573558868</v>
      </c>
      <c r="K13" s="116">
        <f t="shared" si="35"/>
        <v>8764.3391704752539</v>
      </c>
      <c r="L13" s="116">
        <f t="shared" ref="L13" si="36">SUM(L14:L18)</f>
        <v>9080.1116779410877</v>
      </c>
      <c r="M13" s="116">
        <f t="shared" ref="M13:V13" si="37">SUM(M14:M18)</f>
        <v>9343.7403809996213</v>
      </c>
      <c r="N13" s="116">
        <f t="shared" si="37"/>
        <v>9205.7987704143034</v>
      </c>
      <c r="O13" s="116">
        <f t="shared" si="37"/>
        <v>9236.1444974363512</v>
      </c>
      <c r="P13" s="116">
        <f t="shared" si="37"/>
        <v>9442.2146431486271</v>
      </c>
      <c r="Q13" s="116">
        <f t="shared" si="37"/>
        <v>9588.6067043019666</v>
      </c>
      <c r="R13" s="116">
        <f t="shared" si="37"/>
        <v>9881.3213037599326</v>
      </c>
      <c r="S13" s="116">
        <f t="shared" si="37"/>
        <v>10150.282998281935</v>
      </c>
      <c r="T13" s="116">
        <f t="shared" si="37"/>
        <v>9633.4501891109667</v>
      </c>
      <c r="U13" s="116">
        <f t="shared" si="37"/>
        <v>9510.4336372812722</v>
      </c>
      <c r="V13" s="116">
        <f t="shared" si="37"/>
        <v>7787.3487658053555</v>
      </c>
      <c r="W13" s="116">
        <f t="shared" ref="W13:Y13" si="38">SUM(W14:W18)</f>
        <v>8064.4343687123992</v>
      </c>
      <c r="X13" s="116">
        <f t="shared" si="38"/>
        <v>9680.0404930172663</v>
      </c>
      <c r="Y13" s="116">
        <f t="shared" si="38"/>
        <v>10075.625586750806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5.3219237935721218</v>
      </c>
      <c r="C14" s="101">
        <f t="shared" si="39"/>
        <v>5.7357804622924942</v>
      </c>
      <c r="D14" s="101">
        <f t="shared" si="39"/>
        <v>4.8933009891741079</v>
      </c>
      <c r="E14" s="101">
        <f t="shared" si="39"/>
        <v>4.5290524481759231</v>
      </c>
      <c r="F14" s="101">
        <f t="shared" si="39"/>
        <v>4.0215756738544668</v>
      </c>
      <c r="G14" s="101">
        <f t="shared" si="39"/>
        <v>3.1553261295561432</v>
      </c>
      <c r="H14" s="101">
        <f t="shared" si="39"/>
        <v>2.7608604174804952</v>
      </c>
      <c r="I14" s="101">
        <f t="shared" si="39"/>
        <v>2.8226327140376926</v>
      </c>
      <c r="J14" s="101">
        <f t="shared" si="39"/>
        <v>2.2696723939665295</v>
      </c>
      <c r="K14" s="101">
        <f t="shared" si="39"/>
        <v>1.5473031830646966</v>
      </c>
      <c r="L14" s="101">
        <f t="shared" ref="L14" si="40">IF(L41=0,0,L41*L151)</f>
        <v>1.5877671710249202</v>
      </c>
      <c r="M14" s="101">
        <f t="shared" ref="M14:V14" si="41">IF(M41=0,0,M41*M151)</f>
        <v>1.2291708144537197</v>
      </c>
      <c r="N14" s="101">
        <f t="shared" si="41"/>
        <v>1.2171932798916116</v>
      </c>
      <c r="O14" s="101">
        <f t="shared" si="41"/>
        <v>0.80167499636767325</v>
      </c>
      <c r="P14" s="101">
        <f t="shared" si="41"/>
        <v>1.0168106452350121</v>
      </c>
      <c r="Q14" s="101">
        <f t="shared" si="41"/>
        <v>0.82224017673356242</v>
      </c>
      <c r="R14" s="101">
        <f t="shared" si="41"/>
        <v>1.1160823068721444</v>
      </c>
      <c r="S14" s="101">
        <f t="shared" si="41"/>
        <v>1.1311148374218638</v>
      </c>
      <c r="T14" s="101">
        <f t="shared" si="41"/>
        <v>1.1117695020095903</v>
      </c>
      <c r="U14" s="101">
        <f t="shared" si="41"/>
        <v>1.0844376106251119</v>
      </c>
      <c r="V14" s="101">
        <f t="shared" si="41"/>
        <v>0.78016986996064708</v>
      </c>
      <c r="W14" s="101">
        <f t="shared" ref="W14:Y14" si="42">IF(W41=0,0,W41*W151)</f>
        <v>1.0359385182236025</v>
      </c>
      <c r="X14" s="101">
        <f t="shared" si="42"/>
        <v>1.0777930523601509</v>
      </c>
      <c r="Y14" s="101">
        <f t="shared" si="42"/>
        <v>0.81988712691828614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9321.3923472338283</v>
      </c>
      <c r="C15" s="101">
        <f t="shared" si="43"/>
        <v>9299.9100617290533</v>
      </c>
      <c r="D15" s="101">
        <f t="shared" si="43"/>
        <v>9303.6828348696308</v>
      </c>
      <c r="E15" s="101">
        <f t="shared" si="43"/>
        <v>9501.9245454765969</v>
      </c>
      <c r="F15" s="101">
        <f t="shared" si="43"/>
        <v>9550.9667290540474</v>
      </c>
      <c r="G15" s="101">
        <f t="shared" si="43"/>
        <v>9505.6116344459479</v>
      </c>
      <c r="H15" s="101">
        <f t="shared" si="43"/>
        <v>9686.6543251683488</v>
      </c>
      <c r="I15" s="101">
        <f t="shared" si="43"/>
        <v>9841.4856619355887</v>
      </c>
      <c r="J15" s="101">
        <f t="shared" si="43"/>
        <v>9533.1150292545772</v>
      </c>
      <c r="K15" s="101">
        <f t="shared" si="43"/>
        <v>8295.3880153622267</v>
      </c>
      <c r="L15" s="101">
        <f t="shared" ref="L15" si="44">IF(L42=0,0,L42*L152)</f>
        <v>8485.3817148838316</v>
      </c>
      <c r="M15" s="101">
        <f t="shared" ref="M15:V15" si="45">IF(M42=0,0,M42*M152)</f>
        <v>8690.5916555268122</v>
      </c>
      <c r="N15" s="101">
        <f t="shared" si="45"/>
        <v>8514.3117300322119</v>
      </c>
      <c r="O15" s="101">
        <f t="shared" si="45"/>
        <v>8439.5834391131702</v>
      </c>
      <c r="P15" s="101">
        <f t="shared" si="45"/>
        <v>8604.7016058267582</v>
      </c>
      <c r="Q15" s="101">
        <f t="shared" si="45"/>
        <v>8770.3140759351809</v>
      </c>
      <c r="R15" s="101">
        <f t="shared" si="45"/>
        <v>9208.9940212992005</v>
      </c>
      <c r="S15" s="101">
        <f t="shared" si="45"/>
        <v>9513.0504156135139</v>
      </c>
      <c r="T15" s="101">
        <f t="shared" si="45"/>
        <v>9013.4938988801332</v>
      </c>
      <c r="U15" s="101">
        <f t="shared" si="45"/>
        <v>8896.4583350818139</v>
      </c>
      <c r="V15" s="101">
        <f t="shared" si="45"/>
        <v>7220.0247997646002</v>
      </c>
      <c r="W15" s="101">
        <f t="shared" ref="W15:Y15" si="46">IF(W42=0,0,W42*W152)</f>
        <v>7500.8048373036445</v>
      </c>
      <c r="X15" s="101">
        <f t="shared" si="46"/>
        <v>8996.194611695646</v>
      </c>
      <c r="Y15" s="101">
        <f t="shared" si="46"/>
        <v>9362.7432178053077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6.7566682111883214</v>
      </c>
      <c r="D16" s="101">
        <f t="shared" si="47"/>
        <v>21.787847855205701</v>
      </c>
      <c r="E16" s="101">
        <f t="shared" si="47"/>
        <v>31.740284759129807</v>
      </c>
      <c r="F16" s="101">
        <f t="shared" si="47"/>
        <v>42.791956359584702</v>
      </c>
      <c r="G16" s="101">
        <f t="shared" si="47"/>
        <v>63.02628924641936</v>
      </c>
      <c r="H16" s="101">
        <f t="shared" si="47"/>
        <v>80.618265823712875</v>
      </c>
      <c r="I16" s="101">
        <f t="shared" si="47"/>
        <v>103.43756650151059</v>
      </c>
      <c r="J16" s="101">
        <f t="shared" si="47"/>
        <v>119.00382483030347</v>
      </c>
      <c r="K16" s="101">
        <f t="shared" si="47"/>
        <v>135.0159306174541</v>
      </c>
      <c r="L16" s="101">
        <f t="shared" ref="L16" si="48">IF(L43=0,0,L43*L153)</f>
        <v>158.37133121285089</v>
      </c>
      <c r="M16" s="101">
        <f t="shared" ref="M16:V16" si="49">IF(M43=0,0,M43*M153)</f>
        <v>177.91715180549838</v>
      </c>
      <c r="N16" s="101">
        <f t="shared" si="49"/>
        <v>177.96327730965217</v>
      </c>
      <c r="O16" s="101">
        <f t="shared" si="49"/>
        <v>173.01481202129818</v>
      </c>
      <c r="P16" s="101">
        <f t="shared" si="49"/>
        <v>167.50900585600513</v>
      </c>
      <c r="Q16" s="101">
        <f t="shared" si="49"/>
        <v>136.62788561908599</v>
      </c>
      <c r="R16" s="101">
        <f t="shared" si="49"/>
        <v>113.14987262303248</v>
      </c>
      <c r="S16" s="101">
        <f t="shared" si="49"/>
        <v>92.270780423776031</v>
      </c>
      <c r="T16" s="101">
        <f t="shared" si="49"/>
        <v>89.786326972386277</v>
      </c>
      <c r="U16" s="101">
        <f t="shared" si="49"/>
        <v>7.263080716199191</v>
      </c>
      <c r="V16" s="101">
        <f t="shared" si="49"/>
        <v>5.9383326677796857</v>
      </c>
      <c r="W16" s="101">
        <f t="shared" ref="W16:Y16" si="50">IF(W43=0,0,W43*W153)</f>
        <v>5.6653978657615802</v>
      </c>
      <c r="X16" s="101">
        <f t="shared" si="50"/>
        <v>6.5663899956870582</v>
      </c>
      <c r="Y16" s="101">
        <f t="shared" si="50"/>
        <v>3.07684232905329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13.237820951308555</v>
      </c>
      <c r="G17" s="101">
        <f t="shared" si="51"/>
        <v>11.198653076555798</v>
      </c>
      <c r="H17" s="101">
        <f t="shared" si="51"/>
        <v>7.0343995190926982</v>
      </c>
      <c r="I17" s="101">
        <f t="shared" si="51"/>
        <v>49.863094960881838</v>
      </c>
      <c r="J17" s="101">
        <f t="shared" si="51"/>
        <v>66.121037969587732</v>
      </c>
      <c r="K17" s="101">
        <f t="shared" si="51"/>
        <v>251.29821553365187</v>
      </c>
      <c r="L17" s="101">
        <f t="shared" ref="L17" si="52">IF(L44=0,0,L44*L154)</f>
        <v>352.25331350777003</v>
      </c>
      <c r="M17" s="101">
        <f t="shared" ref="M17:V17" si="53">IF(M44=0,0,M44*M154)</f>
        <v>386.4611815685617</v>
      </c>
      <c r="N17" s="101">
        <f t="shared" si="53"/>
        <v>418.7371349056412</v>
      </c>
      <c r="O17" s="101">
        <f t="shared" si="53"/>
        <v>519.42902256326443</v>
      </c>
      <c r="P17" s="101">
        <f t="shared" si="53"/>
        <v>571.92759722036089</v>
      </c>
      <c r="Q17" s="101">
        <f t="shared" si="53"/>
        <v>578.5549450789448</v>
      </c>
      <c r="R17" s="101">
        <f t="shared" si="53"/>
        <v>446.99209661275</v>
      </c>
      <c r="S17" s="101">
        <f t="shared" si="53"/>
        <v>437.14073520014534</v>
      </c>
      <c r="T17" s="101">
        <f t="shared" si="53"/>
        <v>415.60561241637788</v>
      </c>
      <c r="U17" s="101">
        <f t="shared" si="53"/>
        <v>487.50037770367391</v>
      </c>
      <c r="V17" s="101">
        <f t="shared" si="53"/>
        <v>457.53990178883095</v>
      </c>
      <c r="W17" s="101">
        <f t="shared" ref="W17:Y17" si="54">IF(W44=0,0,W44*W154)</f>
        <v>448.48284518497047</v>
      </c>
      <c r="X17" s="101">
        <f t="shared" si="54"/>
        <v>523.21712405961489</v>
      </c>
      <c r="Y17" s="101">
        <f t="shared" si="54"/>
        <v>504.36810130746403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97.137149548125265</v>
      </c>
      <c r="C18" s="101">
        <f t="shared" si="55"/>
        <v>93.519340903481734</v>
      </c>
      <c r="D18" s="101">
        <f t="shared" si="55"/>
        <v>89.471528301584698</v>
      </c>
      <c r="E18" s="101">
        <f t="shared" si="55"/>
        <v>88.254770999659868</v>
      </c>
      <c r="F18" s="101">
        <f t="shared" si="55"/>
        <v>85.217001936757356</v>
      </c>
      <c r="G18" s="101">
        <f t="shared" si="55"/>
        <v>85.021453805155573</v>
      </c>
      <c r="H18" s="101">
        <f t="shared" si="55"/>
        <v>89.551397872789494</v>
      </c>
      <c r="I18" s="101">
        <f t="shared" si="55"/>
        <v>79.401466653659838</v>
      </c>
      <c r="J18" s="101">
        <f t="shared" si="55"/>
        <v>79.40479290745246</v>
      </c>
      <c r="K18" s="101">
        <f t="shared" si="55"/>
        <v>81.089705778857706</v>
      </c>
      <c r="L18" s="101">
        <f t="shared" ref="L18" si="56">IF(L45=0,0,L45*L155)</f>
        <v>82.517551165610683</v>
      </c>
      <c r="M18" s="101">
        <f t="shared" ref="M18:V18" si="57">IF(M45=0,0,M45*M155)</f>
        <v>87.541221284294409</v>
      </c>
      <c r="N18" s="101">
        <f t="shared" si="57"/>
        <v>93.569434886904773</v>
      </c>
      <c r="O18" s="101">
        <f t="shared" si="57"/>
        <v>103.31554874224931</v>
      </c>
      <c r="P18" s="101">
        <f t="shared" si="57"/>
        <v>97.059623600266676</v>
      </c>
      <c r="Q18" s="101">
        <f t="shared" si="57"/>
        <v>102.28755749202233</v>
      </c>
      <c r="R18" s="101">
        <f t="shared" si="57"/>
        <v>111.06923091807838</v>
      </c>
      <c r="S18" s="101">
        <f t="shared" si="57"/>
        <v>106.68995220707681</v>
      </c>
      <c r="T18" s="101">
        <f t="shared" si="57"/>
        <v>113.45258134006004</v>
      </c>
      <c r="U18" s="101">
        <f t="shared" si="57"/>
        <v>118.12740616896073</v>
      </c>
      <c r="V18" s="101">
        <f t="shared" si="57"/>
        <v>103.06556171418352</v>
      </c>
      <c r="W18" s="101">
        <f t="shared" ref="W18:Y18" si="58">IF(W45=0,0,W45*W155)</f>
        <v>108.44534983979845</v>
      </c>
      <c r="X18" s="101">
        <f t="shared" si="58"/>
        <v>152.98457421395864</v>
      </c>
      <c r="Y18" s="101">
        <f t="shared" si="58"/>
        <v>204.61753818206239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26992.424831487086</v>
      </c>
      <c r="C19" s="29">
        <f t="shared" si="59"/>
        <v>28092.361593556721</v>
      </c>
      <c r="D19" s="29">
        <f t="shared" si="59"/>
        <v>29217.445678586359</v>
      </c>
      <c r="E19" s="29">
        <f t="shared" si="59"/>
        <v>29858.606706296519</v>
      </c>
      <c r="F19" s="29">
        <f t="shared" si="59"/>
        <v>31859.35082822496</v>
      </c>
      <c r="G19" s="29">
        <f t="shared" si="59"/>
        <v>32692.453852625047</v>
      </c>
      <c r="H19" s="29">
        <f t="shared" si="59"/>
        <v>35760.035884252924</v>
      </c>
      <c r="I19" s="29">
        <f t="shared" si="59"/>
        <v>38875.877615398829</v>
      </c>
      <c r="J19" s="29">
        <f t="shared" si="59"/>
        <v>41439.202328556355</v>
      </c>
      <c r="K19" s="29">
        <f t="shared" si="59"/>
        <v>36057.333605883796</v>
      </c>
      <c r="L19" s="29">
        <f t="shared" ref="L19" si="60">L20+L26</f>
        <v>38194.720919977575</v>
      </c>
      <c r="M19" s="29">
        <f t="shared" ref="M19:V19" si="61">M20+M26</f>
        <v>39417.982482943255</v>
      </c>
      <c r="N19" s="29">
        <f t="shared" si="61"/>
        <v>38361.241764076825</v>
      </c>
      <c r="O19" s="29">
        <f t="shared" si="61"/>
        <v>38918.021480298376</v>
      </c>
      <c r="P19" s="29">
        <f t="shared" si="61"/>
        <v>40051.492841321044</v>
      </c>
      <c r="Q19" s="29">
        <f t="shared" si="61"/>
        <v>41831.117374587309</v>
      </c>
      <c r="R19" s="29">
        <f t="shared" si="61"/>
        <v>43498.563511832079</v>
      </c>
      <c r="S19" s="29">
        <f t="shared" si="61"/>
        <v>46204.360299965032</v>
      </c>
      <c r="T19" s="29">
        <f t="shared" si="61"/>
        <v>46675.072817404216</v>
      </c>
      <c r="U19" s="29">
        <f t="shared" si="61"/>
        <v>47483.32125065213</v>
      </c>
      <c r="V19" s="29">
        <f t="shared" si="61"/>
        <v>47419.933859336874</v>
      </c>
      <c r="W19" s="29">
        <f t="shared" ref="W19:Y19" si="62">W20+W26</f>
        <v>50273.805344285953</v>
      </c>
      <c r="X19" s="29">
        <f t="shared" si="62"/>
        <v>50436.066178706053</v>
      </c>
      <c r="Y19" s="29">
        <f t="shared" si="62"/>
        <v>47967.090746037058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266.07937466990899</v>
      </c>
      <c r="C20" s="152">
        <f t="shared" si="63"/>
        <v>280.16649362307413</v>
      </c>
      <c r="D20" s="152">
        <f t="shared" si="63"/>
        <v>290.73078980791342</v>
      </c>
      <c r="E20" s="152">
        <f t="shared" si="63"/>
        <v>297.04188203659703</v>
      </c>
      <c r="F20" s="152">
        <f t="shared" si="63"/>
        <v>301.92373017768915</v>
      </c>
      <c r="G20" s="152">
        <f t="shared" si="63"/>
        <v>311.07312660262039</v>
      </c>
      <c r="H20" s="152">
        <f t="shared" si="63"/>
        <v>319.53810814388731</v>
      </c>
      <c r="I20" s="152">
        <f t="shared" si="63"/>
        <v>328.2536707649013</v>
      </c>
      <c r="J20" s="152">
        <f t="shared" si="63"/>
        <v>328.15846218731463</v>
      </c>
      <c r="K20" s="152">
        <f t="shared" si="63"/>
        <v>328.3478866249169</v>
      </c>
      <c r="L20" s="152">
        <f t="shared" ref="L20" si="64">SUM(L21:L25)</f>
        <v>333.2845988766789</v>
      </c>
      <c r="M20" s="152">
        <f t="shared" ref="M20:V20" si="65">SUM(M21:M25)</f>
        <v>339.80832462490639</v>
      </c>
      <c r="N20" s="152">
        <f t="shared" si="65"/>
        <v>341.38754398912585</v>
      </c>
      <c r="O20" s="152">
        <f t="shared" si="65"/>
        <v>353.81492144613867</v>
      </c>
      <c r="P20" s="152">
        <f t="shared" si="65"/>
        <v>370.23788849285233</v>
      </c>
      <c r="Q20" s="152">
        <f t="shared" si="65"/>
        <v>382.02892847991774</v>
      </c>
      <c r="R20" s="152">
        <f t="shared" si="65"/>
        <v>392.45531143330521</v>
      </c>
      <c r="S20" s="152">
        <f t="shared" si="65"/>
        <v>401.54925769537635</v>
      </c>
      <c r="T20" s="152">
        <f t="shared" si="65"/>
        <v>413.07281740421627</v>
      </c>
      <c r="U20" s="152">
        <f t="shared" si="65"/>
        <v>426.32125065213029</v>
      </c>
      <c r="V20" s="152">
        <f t="shared" si="65"/>
        <v>432.93385933687165</v>
      </c>
      <c r="W20" s="152">
        <f t="shared" ref="W20:Y20" si="66">SUM(W21:W25)</f>
        <v>463.80534428594945</v>
      </c>
      <c r="X20" s="152">
        <f t="shared" si="66"/>
        <v>477.06617870604958</v>
      </c>
      <c r="Y20" s="152">
        <f t="shared" si="66"/>
        <v>486.09074603705824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31.297109741313594</v>
      </c>
      <c r="C21" s="87">
        <f t="shared" si="67"/>
        <v>28.702166939978863</v>
      </c>
      <c r="D21" s="87">
        <f t="shared" si="67"/>
        <v>19.705629802004804</v>
      </c>
      <c r="E21" s="87">
        <f t="shared" si="67"/>
        <v>17.274732377413976</v>
      </c>
      <c r="F21" s="87">
        <f t="shared" si="67"/>
        <v>15.270669570236112</v>
      </c>
      <c r="G21" s="87">
        <f t="shared" si="67"/>
        <v>14.049980308422706</v>
      </c>
      <c r="H21" s="87">
        <f t="shared" si="67"/>
        <v>13.383428606458828</v>
      </c>
      <c r="I21" s="87">
        <f t="shared" si="67"/>
        <v>12.988590248708979</v>
      </c>
      <c r="J21" s="87">
        <f t="shared" si="67"/>
        <v>12.418141337825173</v>
      </c>
      <c r="K21" s="87">
        <f t="shared" si="67"/>
        <v>12.333813363924552</v>
      </c>
      <c r="L21" s="87">
        <f t="shared" ref="L21" si="68">IF(L48=0,0,L48*L158)</f>
        <v>12.237345349310669</v>
      </c>
      <c r="M21" s="87">
        <f t="shared" ref="M21:V21" si="69">IF(M48=0,0,M48*M158)</f>
        <v>12.655120863463674</v>
      </c>
      <c r="N21" s="87">
        <f t="shared" si="69"/>
        <v>12.937206142801145</v>
      </c>
      <c r="O21" s="87">
        <f t="shared" si="69"/>
        <v>13.013277286070235</v>
      </c>
      <c r="P21" s="87">
        <f t="shared" si="69"/>
        <v>13.5963047105563</v>
      </c>
      <c r="Q21" s="87">
        <f t="shared" si="69"/>
        <v>14.186845501104255</v>
      </c>
      <c r="R21" s="87">
        <f t="shared" si="69"/>
        <v>14.26794129336008</v>
      </c>
      <c r="S21" s="87">
        <f t="shared" si="69"/>
        <v>14.634047921718299</v>
      </c>
      <c r="T21" s="87">
        <f t="shared" si="69"/>
        <v>15.369251428129916</v>
      </c>
      <c r="U21" s="87">
        <f t="shared" si="69"/>
        <v>15.43976616569068</v>
      </c>
      <c r="V21" s="87">
        <f t="shared" si="69"/>
        <v>15.17693075851516</v>
      </c>
      <c r="W21" s="87">
        <f t="shared" ref="W21:Y21" si="70">IF(W48=0,0,W48*W158)</f>
        <v>15.459189981840602</v>
      </c>
      <c r="X21" s="87">
        <f t="shared" si="70"/>
        <v>16.408421319097197</v>
      </c>
      <c r="Y21" s="87">
        <f t="shared" si="70"/>
        <v>17.011544302836302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234.7652365296492</v>
      </c>
      <c r="C22" s="87">
        <f t="shared" si="71"/>
        <v>251.44183631503611</v>
      </c>
      <c r="D22" s="87">
        <f t="shared" si="71"/>
        <v>271.00536074634414</v>
      </c>
      <c r="E22" s="87">
        <f t="shared" si="71"/>
        <v>279.74160648730958</v>
      </c>
      <c r="F22" s="87">
        <f t="shared" si="71"/>
        <v>286.61809916484486</v>
      </c>
      <c r="G22" s="87">
        <f t="shared" si="71"/>
        <v>296.93198013080473</v>
      </c>
      <c r="H22" s="87">
        <f t="shared" si="71"/>
        <v>306.02156626751196</v>
      </c>
      <c r="I22" s="87">
        <f t="shared" si="71"/>
        <v>315.08206178202323</v>
      </c>
      <c r="J22" s="87">
        <f t="shared" si="71"/>
        <v>315.4973374263468</v>
      </c>
      <c r="K22" s="87">
        <f t="shared" si="71"/>
        <v>315.83764746130123</v>
      </c>
      <c r="L22" s="87">
        <f t="shared" ref="L22" si="72">IF(L49=0,0,L49*L159)</f>
        <v>320.85949049467132</v>
      </c>
      <c r="M22" s="87">
        <f t="shared" ref="M22:V22" si="73">IF(M49=0,0,M49*M159)</f>
        <v>326.9327044437897</v>
      </c>
      <c r="N22" s="87">
        <f t="shared" si="73"/>
        <v>328.00619431071453</v>
      </c>
      <c r="O22" s="87">
        <f t="shared" si="73"/>
        <v>339.74192704541542</v>
      </c>
      <c r="P22" s="87">
        <f t="shared" si="73"/>
        <v>355.3912751427701</v>
      </c>
      <c r="Q22" s="87">
        <f t="shared" si="73"/>
        <v>366.40516924850914</v>
      </c>
      <c r="R22" s="87">
        <f t="shared" si="73"/>
        <v>375.96081453947289</v>
      </c>
      <c r="S22" s="87">
        <f t="shared" si="73"/>
        <v>384.57992942089413</v>
      </c>
      <c r="T22" s="87">
        <f t="shared" si="73"/>
        <v>395.04268554391598</v>
      </c>
      <c r="U22" s="87">
        <f t="shared" si="73"/>
        <v>407.92349574602338</v>
      </c>
      <c r="V22" s="87">
        <f t="shared" si="73"/>
        <v>414.38839847439868</v>
      </c>
      <c r="W22" s="87">
        <f t="shared" ref="W22:Y22" si="74">IF(W49=0,0,W49*W159)</f>
        <v>443.40173646788372</v>
      </c>
      <c r="X22" s="87">
        <f t="shared" si="74"/>
        <v>454.33892459881253</v>
      </c>
      <c r="Y22" s="87">
        <f t="shared" si="74"/>
        <v>460.66075140798114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6.4208537988706613E-3</v>
      </c>
      <c r="F23" s="87">
        <f t="shared" si="75"/>
        <v>1.7200629265658626E-2</v>
      </c>
      <c r="G23" s="87">
        <f t="shared" si="75"/>
        <v>7.4759840231554367E-2</v>
      </c>
      <c r="H23" s="87">
        <f t="shared" si="75"/>
        <v>7.2195597026428013E-2</v>
      </c>
      <c r="I23" s="87">
        <f t="shared" si="75"/>
        <v>7.1569288919379553E-2</v>
      </c>
      <c r="J23" s="87">
        <f t="shared" si="75"/>
        <v>6.8087073782545762E-2</v>
      </c>
      <c r="K23" s="87">
        <f t="shared" si="75"/>
        <v>6.421132692841193E-2</v>
      </c>
      <c r="L23" s="87">
        <f t="shared" ref="L23" si="76">IF(L50=0,0,L50*L160)</f>
        <v>6.0220501113440024E-2</v>
      </c>
      <c r="M23" s="87">
        <f t="shared" ref="M23:V23" si="77">IF(M50=0,0,M50*M160)</f>
        <v>5.5948816434290366E-2</v>
      </c>
      <c r="N23" s="87">
        <f t="shared" si="77"/>
        <v>5.9129566975414202E-2</v>
      </c>
      <c r="O23" s="87">
        <f t="shared" si="77"/>
        <v>6.3516879256519332E-2</v>
      </c>
      <c r="P23" s="87">
        <f t="shared" si="77"/>
        <v>7.2691768419950786E-2</v>
      </c>
      <c r="Q23" s="87">
        <f t="shared" si="77"/>
        <v>7.6342987636496343E-2</v>
      </c>
      <c r="R23" s="87">
        <f t="shared" si="77"/>
        <v>0.11898373324152335</v>
      </c>
      <c r="S23" s="87">
        <f t="shared" si="77"/>
        <v>0.12382073930269161</v>
      </c>
      <c r="T23" s="87">
        <f t="shared" si="77"/>
        <v>0.12570114932100626</v>
      </c>
      <c r="U23" s="87">
        <f t="shared" si="77"/>
        <v>0.13823053528642265</v>
      </c>
      <c r="V23" s="87">
        <f t="shared" si="77"/>
        <v>0.15950778211878897</v>
      </c>
      <c r="W23" s="87">
        <f t="shared" ref="W23:Y23" si="78">IF(W50=0,0,W50*W160)</f>
        <v>0.18281941680433425</v>
      </c>
      <c r="X23" s="87">
        <f t="shared" si="78"/>
        <v>0.19937970776967898</v>
      </c>
      <c r="Y23" s="87">
        <f t="shared" si="78"/>
        <v>0.21012472881509955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4.5862013477108617E-2</v>
      </c>
      <c r="I24" s="87">
        <f t="shared" si="79"/>
        <v>9.2276606651200646E-2</v>
      </c>
      <c r="J24" s="87">
        <f t="shared" si="79"/>
        <v>0.15364009977891599</v>
      </c>
      <c r="K24" s="87">
        <f t="shared" si="79"/>
        <v>8.1323373145907082E-2</v>
      </c>
      <c r="L24" s="87">
        <f t="shared" ref="L24" si="80">IF(L51=0,0,L51*L161)</f>
        <v>8.0142736989778737E-2</v>
      </c>
      <c r="M24" s="87">
        <f t="shared" ref="M24:V24" si="81">IF(M51=0,0,M51*M161)</f>
        <v>8.96453612241596E-2</v>
      </c>
      <c r="N24" s="87">
        <f t="shared" si="81"/>
        <v>0.1194690434956958</v>
      </c>
      <c r="O24" s="87">
        <f t="shared" si="81"/>
        <v>0.56986905807041377</v>
      </c>
      <c r="P24" s="87">
        <f t="shared" si="81"/>
        <v>0.61337714106362196</v>
      </c>
      <c r="Q24" s="87">
        <f t="shared" si="81"/>
        <v>0.62407194020667389</v>
      </c>
      <c r="R24" s="87">
        <f t="shared" si="81"/>
        <v>1.097187587863766</v>
      </c>
      <c r="S24" s="87">
        <f t="shared" si="81"/>
        <v>1.034181915756299</v>
      </c>
      <c r="T24" s="87">
        <f t="shared" si="81"/>
        <v>1.0633095688026282</v>
      </c>
      <c r="U24" s="87">
        <f t="shared" si="81"/>
        <v>1.0292505750282055</v>
      </c>
      <c r="V24" s="87">
        <f t="shared" si="81"/>
        <v>0.94073110798524284</v>
      </c>
      <c r="W24" s="87">
        <f t="shared" ref="W24:Y24" si="82">IF(W51=0,0,W51*W161)</f>
        <v>0.8977224456973063</v>
      </c>
      <c r="X24" s="87">
        <f t="shared" si="82"/>
        <v>0.838590515283689</v>
      </c>
      <c r="Y24" s="87">
        <f t="shared" si="82"/>
        <v>0.76410833256791133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1.7028398946201534E-2</v>
      </c>
      <c r="C25" s="87">
        <f t="shared" si="83"/>
        <v>2.2490368059179481E-2</v>
      </c>
      <c r="D25" s="87">
        <f t="shared" si="83"/>
        <v>1.9799259564464759E-2</v>
      </c>
      <c r="E25" s="87">
        <f t="shared" si="83"/>
        <v>1.9122318074632168E-2</v>
      </c>
      <c r="F25" s="87">
        <f t="shared" si="83"/>
        <v>1.7760813342532211E-2</v>
      </c>
      <c r="G25" s="87">
        <f t="shared" si="83"/>
        <v>1.6406323161382227E-2</v>
      </c>
      <c r="H25" s="87">
        <f t="shared" si="83"/>
        <v>1.5055659412961764E-2</v>
      </c>
      <c r="I25" s="87">
        <f t="shared" si="83"/>
        <v>1.917283859855012E-2</v>
      </c>
      <c r="J25" s="87">
        <f t="shared" si="83"/>
        <v>2.1256249581255899E-2</v>
      </c>
      <c r="K25" s="87">
        <f t="shared" si="83"/>
        <v>3.0891099616828593E-2</v>
      </c>
      <c r="L25" s="87">
        <f t="shared" ref="L25" si="84">IF(L52=0,0,L52*L162)</f>
        <v>4.7399794593698134E-2</v>
      </c>
      <c r="M25" s="87">
        <f t="shared" ref="M25:V25" si="85">IF(M52=0,0,M52*M162)</f>
        <v>7.4905139994601438E-2</v>
      </c>
      <c r="N25" s="87">
        <f t="shared" si="85"/>
        <v>0.26554492513904204</v>
      </c>
      <c r="O25" s="87">
        <f t="shared" si="85"/>
        <v>0.42633117732611442</v>
      </c>
      <c r="P25" s="87">
        <f t="shared" si="85"/>
        <v>0.56423973004237638</v>
      </c>
      <c r="Q25" s="87">
        <f t="shared" si="85"/>
        <v>0.73649880246121147</v>
      </c>
      <c r="R25" s="87">
        <f t="shared" si="85"/>
        <v>1.0103842793669693</v>
      </c>
      <c r="S25" s="87">
        <f t="shared" si="85"/>
        <v>1.1772776977049559</v>
      </c>
      <c r="T25" s="87">
        <f t="shared" si="85"/>
        <v>1.4718697140466859</v>
      </c>
      <c r="U25" s="87">
        <f t="shared" si="85"/>
        <v>1.7905076301016412</v>
      </c>
      <c r="V25" s="87">
        <f t="shared" si="85"/>
        <v>2.2682912138538081</v>
      </c>
      <c r="W25" s="87">
        <f t="shared" ref="W25:Y25" si="86">IF(W52=0,0,W52*W162)</f>
        <v>3.8638759737234953</v>
      </c>
      <c r="X25" s="87">
        <f t="shared" si="86"/>
        <v>5.280862565086534</v>
      </c>
      <c r="Y25" s="87">
        <f t="shared" si="86"/>
        <v>7.4442172648578033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26726.345456817176</v>
      </c>
      <c r="C26" s="116">
        <f t="shared" si="87"/>
        <v>27812.195099933648</v>
      </c>
      <c r="D26" s="116">
        <f t="shared" si="87"/>
        <v>28926.714888778446</v>
      </c>
      <c r="E26" s="116">
        <f t="shared" si="87"/>
        <v>29561.564824259924</v>
      </c>
      <c r="F26" s="116">
        <f t="shared" si="87"/>
        <v>31557.427098047272</v>
      </c>
      <c r="G26" s="116">
        <f t="shared" si="87"/>
        <v>32381.380726022428</v>
      </c>
      <c r="H26" s="116">
        <f t="shared" si="87"/>
        <v>35440.497776109034</v>
      </c>
      <c r="I26" s="116">
        <f t="shared" si="87"/>
        <v>38547.623944633931</v>
      </c>
      <c r="J26" s="116">
        <f t="shared" si="87"/>
        <v>41111.043866369044</v>
      </c>
      <c r="K26" s="116">
        <f t="shared" si="87"/>
        <v>35728.985719258882</v>
      </c>
      <c r="L26" s="116">
        <f t="shared" ref="L26" si="88">SUM(L27:L28)</f>
        <v>37861.436321100897</v>
      </c>
      <c r="M26" s="116">
        <f t="shared" ref="M26:V26" si="89">SUM(M27:M28)</f>
        <v>39078.174158318347</v>
      </c>
      <c r="N26" s="116">
        <f t="shared" si="89"/>
        <v>38019.854220087698</v>
      </c>
      <c r="O26" s="116">
        <f t="shared" si="89"/>
        <v>38564.206558852238</v>
      </c>
      <c r="P26" s="116">
        <f t="shared" si="89"/>
        <v>39681.254952828189</v>
      </c>
      <c r="Q26" s="116">
        <f t="shared" si="89"/>
        <v>41449.088446107395</v>
      </c>
      <c r="R26" s="116">
        <f t="shared" si="89"/>
        <v>43106.108200398776</v>
      </c>
      <c r="S26" s="116">
        <f t="shared" si="89"/>
        <v>45802.811042269655</v>
      </c>
      <c r="T26" s="116">
        <f t="shared" si="89"/>
        <v>46262</v>
      </c>
      <c r="U26" s="116">
        <f t="shared" si="89"/>
        <v>47057</v>
      </c>
      <c r="V26" s="116">
        <f t="shared" si="89"/>
        <v>46987</v>
      </c>
      <c r="W26" s="116">
        <f t="shared" ref="W26:Y26" si="90">SUM(W27:W28)</f>
        <v>49810</v>
      </c>
      <c r="X26" s="116">
        <f t="shared" si="90"/>
        <v>49959</v>
      </c>
      <c r="Y26" s="116">
        <f t="shared" si="90"/>
        <v>47481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12389</v>
      </c>
      <c r="C27" s="101">
        <f t="shared" si="91"/>
        <v>12454</v>
      </c>
      <c r="D27" s="101">
        <f t="shared" si="91"/>
        <v>12663</v>
      </c>
      <c r="E27" s="101">
        <f t="shared" si="91"/>
        <v>13036</v>
      </c>
      <c r="F27" s="101">
        <f t="shared" si="91"/>
        <v>12376</v>
      </c>
      <c r="G27" s="101">
        <f t="shared" si="91"/>
        <v>12514</v>
      </c>
      <c r="H27" s="101">
        <f t="shared" si="91"/>
        <v>14437</v>
      </c>
      <c r="I27" s="101">
        <f t="shared" si="91"/>
        <v>14744</v>
      </c>
      <c r="J27" s="101">
        <f t="shared" si="91"/>
        <v>14581</v>
      </c>
      <c r="K27" s="101">
        <f t="shared" si="91"/>
        <v>13491.000000000002</v>
      </c>
      <c r="L27" s="101">
        <f t="shared" ref="L27:V27" si="92">IF(L54=0,0,L54*L164)</f>
        <v>13914</v>
      </c>
      <c r="M27" s="101">
        <f t="shared" si="92"/>
        <v>14475</v>
      </c>
      <c r="N27" s="101">
        <f t="shared" si="92"/>
        <v>14118.000000000002</v>
      </c>
      <c r="O27" s="101">
        <f t="shared" si="92"/>
        <v>13853</v>
      </c>
      <c r="P27" s="101">
        <f t="shared" si="92"/>
        <v>14721.000000000002</v>
      </c>
      <c r="Q27" s="101">
        <f t="shared" si="92"/>
        <v>15482.000000000002</v>
      </c>
      <c r="R27" s="101">
        <f t="shared" si="92"/>
        <v>16505</v>
      </c>
      <c r="S27" s="101">
        <f t="shared" si="92"/>
        <v>16803</v>
      </c>
      <c r="T27" s="101">
        <f t="shared" si="92"/>
        <v>16914</v>
      </c>
      <c r="U27" s="101">
        <f t="shared" si="92"/>
        <v>17249</v>
      </c>
      <c r="V27" s="101">
        <f t="shared" si="92"/>
        <v>17097</v>
      </c>
      <c r="W27" s="101">
        <f t="shared" ref="W27:Y27" si="93">IF(W54=0,0,W54*W164)</f>
        <v>18011</v>
      </c>
      <c r="X27" s="101">
        <f t="shared" si="93"/>
        <v>17565</v>
      </c>
      <c r="Y27" s="101">
        <f t="shared" si="93"/>
        <v>16567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14337.345456817176</v>
      </c>
      <c r="C28" s="88">
        <f t="shared" si="94"/>
        <v>15358.195099933648</v>
      </c>
      <c r="D28" s="88">
        <f t="shared" si="94"/>
        <v>16263.714888778446</v>
      </c>
      <c r="E28" s="88">
        <f t="shared" si="94"/>
        <v>16525.564824259924</v>
      </c>
      <c r="F28" s="88">
        <f t="shared" si="94"/>
        <v>19181.427098047272</v>
      </c>
      <c r="G28" s="88">
        <f t="shared" si="94"/>
        <v>19867.380726022428</v>
      </c>
      <c r="H28" s="88">
        <f t="shared" si="94"/>
        <v>21003.497776109034</v>
      </c>
      <c r="I28" s="88">
        <f t="shared" si="94"/>
        <v>23803.623944633931</v>
      </c>
      <c r="J28" s="88">
        <f t="shared" si="94"/>
        <v>26530.043866369044</v>
      </c>
      <c r="K28" s="88">
        <f t="shared" si="94"/>
        <v>22237.985719258882</v>
      </c>
      <c r="L28" s="88">
        <f t="shared" ref="L28:V28" si="95">IF(L55=0,0,L55*L165)</f>
        <v>23947.436321100897</v>
      </c>
      <c r="M28" s="88">
        <f t="shared" si="95"/>
        <v>24603.174158318347</v>
      </c>
      <c r="N28" s="88">
        <f t="shared" si="95"/>
        <v>23901.854220087698</v>
      </c>
      <c r="O28" s="88">
        <f t="shared" si="95"/>
        <v>24711.206558852238</v>
      </c>
      <c r="P28" s="88">
        <f t="shared" si="95"/>
        <v>24960.254952828189</v>
      </c>
      <c r="Q28" s="88">
        <f t="shared" si="95"/>
        <v>25967.088446107395</v>
      </c>
      <c r="R28" s="88">
        <f t="shared" si="95"/>
        <v>26601.108200398776</v>
      </c>
      <c r="S28" s="88">
        <f t="shared" si="95"/>
        <v>28999.811042269655</v>
      </c>
      <c r="T28" s="88">
        <f t="shared" si="95"/>
        <v>29348</v>
      </c>
      <c r="U28" s="88">
        <f t="shared" si="95"/>
        <v>29808</v>
      </c>
      <c r="V28" s="88">
        <f t="shared" si="95"/>
        <v>29890</v>
      </c>
      <c r="W28" s="88">
        <f t="shared" ref="W28:Y28" si="96">IF(W55=0,0,W55*W165)</f>
        <v>31799</v>
      </c>
      <c r="X28" s="88">
        <f t="shared" si="96"/>
        <v>32394</v>
      </c>
      <c r="Y28" s="88">
        <f t="shared" si="96"/>
        <v>30914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62287.461756749559</v>
      </c>
      <c r="C30" s="62">
        <f t="shared" ref="C30:V30" si="98">C31+C46</f>
        <v>63604.855884908611</v>
      </c>
      <c r="D30" s="62">
        <f t="shared" si="98"/>
        <v>65229.344016299568</v>
      </c>
      <c r="E30" s="62">
        <f t="shared" si="98"/>
        <v>66402.885284173826</v>
      </c>
      <c r="F30" s="62">
        <f t="shared" si="98"/>
        <v>67394.209201702222</v>
      </c>
      <c r="G30" s="62">
        <f t="shared" si="98"/>
        <v>68563.373467099576</v>
      </c>
      <c r="H30" s="62">
        <f t="shared" si="98"/>
        <v>69495.17854561955</v>
      </c>
      <c r="I30" s="62">
        <f t="shared" si="98"/>
        <v>71073.792078608079</v>
      </c>
      <c r="J30" s="62">
        <f t="shared" si="98"/>
        <v>69411.230703147405</v>
      </c>
      <c r="K30" s="62">
        <f t="shared" si="98"/>
        <v>68576.017167195998</v>
      </c>
      <c r="L30" s="62">
        <f t="shared" si="98"/>
        <v>69457.578373902783</v>
      </c>
      <c r="M30" s="62">
        <f t="shared" si="98"/>
        <v>70499.904098010928</v>
      </c>
      <c r="N30" s="62">
        <f t="shared" si="98"/>
        <v>70286.799290026509</v>
      </c>
      <c r="O30" s="62">
        <f t="shared" si="98"/>
        <v>71256.064125368415</v>
      </c>
      <c r="P30" s="62">
        <f t="shared" si="98"/>
        <v>73108.548746772358</v>
      </c>
      <c r="Q30" s="62">
        <f t="shared" si="98"/>
        <v>74962.403413970649</v>
      </c>
      <c r="R30" s="62">
        <f t="shared" si="98"/>
        <v>77015.686821062875</v>
      </c>
      <c r="S30" s="62">
        <f t="shared" si="98"/>
        <v>78282.97596210966</v>
      </c>
      <c r="T30" s="62">
        <f t="shared" si="98"/>
        <v>79520.350655471528</v>
      </c>
      <c r="U30" s="62">
        <f t="shared" si="98"/>
        <v>80334.284143036755</v>
      </c>
      <c r="V30" s="62">
        <f t="shared" si="98"/>
        <v>69367.708715448447</v>
      </c>
      <c r="W30" s="62">
        <f t="shared" ref="W30:Y30" si="99">W31+W46</f>
        <v>73143.603700130305</v>
      </c>
      <c r="X30" s="62">
        <f t="shared" si="99"/>
        <v>77613.008178398202</v>
      </c>
      <c r="Y30" s="62">
        <f t="shared" si="99"/>
        <v>79355.351356245155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55724.9</v>
      </c>
      <c r="C31" s="29">
        <f t="shared" ref="C31:V31" si="101">C32+C33+C40</f>
        <v>56749.94999999999</v>
      </c>
      <c r="D31" s="29">
        <f t="shared" si="101"/>
        <v>58138.400000000001</v>
      </c>
      <c r="E31" s="29">
        <f t="shared" si="101"/>
        <v>59171.45</v>
      </c>
      <c r="F31" s="29">
        <f t="shared" si="101"/>
        <v>59979.4</v>
      </c>
      <c r="G31" s="29">
        <f t="shared" si="101"/>
        <v>60981.093527959631</v>
      </c>
      <c r="H31" s="29">
        <f t="shared" si="101"/>
        <v>61470.031737169855</v>
      </c>
      <c r="I31" s="29">
        <f t="shared" si="101"/>
        <v>62704.611619537267</v>
      </c>
      <c r="J31" s="29">
        <f t="shared" si="101"/>
        <v>60876.143908974896</v>
      </c>
      <c r="K31" s="29">
        <f t="shared" si="101"/>
        <v>60470.989509495615</v>
      </c>
      <c r="L31" s="29">
        <f t="shared" si="101"/>
        <v>61246.52693954992</v>
      </c>
      <c r="M31" s="29">
        <f t="shared" si="101"/>
        <v>62110.49539322652</v>
      </c>
      <c r="N31" s="29">
        <f t="shared" si="101"/>
        <v>61989.107673469378</v>
      </c>
      <c r="O31" s="29">
        <f t="shared" si="101"/>
        <v>62731.024050316999</v>
      </c>
      <c r="P31" s="29">
        <f t="shared" si="101"/>
        <v>64240.832385137823</v>
      </c>
      <c r="Q31" s="29">
        <f t="shared" si="101"/>
        <v>65715.95776875336</v>
      </c>
      <c r="R31" s="29">
        <f t="shared" si="101"/>
        <v>67479.801423249824</v>
      </c>
      <c r="S31" s="29">
        <f t="shared" si="101"/>
        <v>68435.610599450622</v>
      </c>
      <c r="T31" s="29">
        <f t="shared" si="101"/>
        <v>69500.383442443956</v>
      </c>
      <c r="U31" s="29">
        <f t="shared" si="101"/>
        <v>70044.603468453337</v>
      </c>
      <c r="V31" s="29">
        <f t="shared" si="101"/>
        <v>59026.443002360189</v>
      </c>
      <c r="W31" s="29">
        <f t="shared" ref="W31:Y31" si="102">W32+W33+W40</f>
        <v>62124.495393888596</v>
      </c>
      <c r="X31" s="29">
        <f t="shared" si="102"/>
        <v>66415.062624681959</v>
      </c>
      <c r="Y31" s="29">
        <f t="shared" si="102"/>
        <v>68131.772444279588</v>
      </c>
      <c r="DA31" s="173" t="s">
        <v>475</v>
      </c>
    </row>
    <row r="32" spans="1:105" ht="11.45" customHeight="1" x14ac:dyDescent="0.25">
      <c r="A32" s="136" t="s">
        <v>173</v>
      </c>
      <c r="B32" s="152">
        <v>895.9</v>
      </c>
      <c r="C32" s="152">
        <v>923.94999999999993</v>
      </c>
      <c r="D32" s="152">
        <v>955.4</v>
      </c>
      <c r="E32" s="152">
        <v>983.44999999999993</v>
      </c>
      <c r="F32" s="152">
        <v>1038.4000000000001</v>
      </c>
      <c r="G32" s="152">
        <v>1069.2</v>
      </c>
      <c r="H32" s="152">
        <v>1104.4000000000001</v>
      </c>
      <c r="I32" s="152">
        <v>1149.28</v>
      </c>
      <c r="J32" s="152">
        <v>1197.68</v>
      </c>
      <c r="K32" s="152">
        <v>1243.44</v>
      </c>
      <c r="L32" s="152">
        <v>1284.8</v>
      </c>
      <c r="M32" s="152">
        <v>1327.92</v>
      </c>
      <c r="N32" s="152">
        <v>1393.74</v>
      </c>
      <c r="O32" s="152">
        <v>1422.96</v>
      </c>
      <c r="P32" s="152">
        <v>1462.56</v>
      </c>
      <c r="Q32" s="152">
        <v>1514.7102390399284</v>
      </c>
      <c r="R32" s="152">
        <v>1559.666423249829</v>
      </c>
      <c r="S32" s="152">
        <v>1472.6105994506324</v>
      </c>
      <c r="T32" s="152">
        <v>1403.8278771883945</v>
      </c>
      <c r="U32" s="152">
        <v>1489.3461090369117</v>
      </c>
      <c r="V32" s="152">
        <v>1336.8094668146798</v>
      </c>
      <c r="W32" s="152">
        <v>1390.9264690338314</v>
      </c>
      <c r="X32" s="152">
        <v>1407.4422753961899</v>
      </c>
      <c r="Y32" s="152">
        <v>1518.4878798945626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54379</v>
      </c>
      <c r="C33" s="116">
        <f t="shared" ref="C33:V33" si="104">SUM(C34:C39)</f>
        <v>55366.999999999993</v>
      </c>
      <c r="D33" s="116">
        <f t="shared" si="104"/>
        <v>56704</v>
      </c>
      <c r="E33" s="116">
        <f t="shared" si="104"/>
        <v>57691</v>
      </c>
      <c r="F33" s="116">
        <f t="shared" si="104"/>
        <v>58445</v>
      </c>
      <c r="G33" s="116">
        <f t="shared" si="104"/>
        <v>59415.999999999993</v>
      </c>
      <c r="H33" s="116">
        <f t="shared" si="104"/>
        <v>59876</v>
      </c>
      <c r="I33" s="116">
        <f t="shared" si="104"/>
        <v>61035.999999999993</v>
      </c>
      <c r="J33" s="116">
        <f t="shared" si="104"/>
        <v>59172.649999999994</v>
      </c>
      <c r="K33" s="116">
        <f t="shared" si="104"/>
        <v>58759.884000000005</v>
      </c>
      <c r="L33" s="116">
        <f t="shared" si="104"/>
        <v>59452.316000000013</v>
      </c>
      <c r="M33" s="116">
        <f t="shared" si="104"/>
        <v>60275.343999999997</v>
      </c>
      <c r="N33" s="116">
        <f t="shared" si="104"/>
        <v>60087.353999999992</v>
      </c>
      <c r="O33" s="116">
        <f t="shared" si="104"/>
        <v>60798.564000000006</v>
      </c>
      <c r="P33" s="116">
        <f t="shared" si="104"/>
        <v>62255.259999999987</v>
      </c>
      <c r="Q33" s="116">
        <f t="shared" si="104"/>
        <v>63670.087000000007</v>
      </c>
      <c r="R33" s="116">
        <f t="shared" si="104"/>
        <v>65376.134999999995</v>
      </c>
      <c r="S33" s="116">
        <f t="shared" si="104"/>
        <v>66404.999999999985</v>
      </c>
      <c r="T33" s="116">
        <f t="shared" si="104"/>
        <v>67560.345800525014</v>
      </c>
      <c r="U33" s="116">
        <f t="shared" si="104"/>
        <v>68024.288590656681</v>
      </c>
      <c r="V33" s="116">
        <f t="shared" si="104"/>
        <v>57159.784012486729</v>
      </c>
      <c r="W33" s="116">
        <f t="shared" ref="W33:Y33" si="105">SUM(W34:W39)</f>
        <v>60203.556434136503</v>
      </c>
      <c r="X33" s="116">
        <f t="shared" si="105"/>
        <v>64485.043269434675</v>
      </c>
      <c r="Y33" s="116">
        <f t="shared" si="105"/>
        <v>66090.498134215246</v>
      </c>
      <c r="DA33" s="176" t="s">
        <v>477</v>
      </c>
    </row>
    <row r="34" spans="1:105" ht="11.45" customHeight="1" x14ac:dyDescent="0.25">
      <c r="A34" s="111" t="s">
        <v>110</v>
      </c>
      <c r="B34" s="87">
        <v>30540.724309981571</v>
      </c>
      <c r="C34" s="87">
        <v>30292.746723127355</v>
      </c>
      <c r="D34" s="87">
        <v>29368.819111446777</v>
      </c>
      <c r="E34" s="87">
        <v>28253.031213056984</v>
      </c>
      <c r="F34" s="87">
        <v>27298.976583631757</v>
      </c>
      <c r="G34" s="87">
        <v>26127.627717085576</v>
      </c>
      <c r="H34" s="87">
        <v>25166.031662171419</v>
      </c>
      <c r="I34" s="87">
        <v>24434.988734883336</v>
      </c>
      <c r="J34" s="87">
        <v>23339.671246008009</v>
      </c>
      <c r="K34" s="87">
        <v>22531.775937065468</v>
      </c>
      <c r="L34" s="87">
        <v>22720.203883612219</v>
      </c>
      <c r="M34" s="87">
        <v>21881.944510733694</v>
      </c>
      <c r="N34" s="87">
        <v>21604.997834596968</v>
      </c>
      <c r="O34" s="87">
        <v>21237.804748789509</v>
      </c>
      <c r="P34" s="87">
        <v>20740.064529083891</v>
      </c>
      <c r="Q34" s="87">
        <v>20469.764859737908</v>
      </c>
      <c r="R34" s="87">
        <v>20261.112925029956</v>
      </c>
      <c r="S34" s="87">
        <v>20269.747087099455</v>
      </c>
      <c r="T34" s="87">
        <v>21302.506985559143</v>
      </c>
      <c r="U34" s="87">
        <v>21818.198030765121</v>
      </c>
      <c r="V34" s="87">
        <v>18694.432163748068</v>
      </c>
      <c r="W34" s="87">
        <v>19802.948986344709</v>
      </c>
      <c r="X34" s="87">
        <v>21274.502703846298</v>
      </c>
      <c r="Y34" s="87">
        <v>22602.605276786267</v>
      </c>
      <c r="DA34" s="171" t="s">
        <v>478</v>
      </c>
    </row>
    <row r="35" spans="1:105" ht="11.45" customHeight="1" x14ac:dyDescent="0.25">
      <c r="A35" s="111" t="s">
        <v>111</v>
      </c>
      <c r="B35" s="87">
        <v>23629.777536426998</v>
      </c>
      <c r="C35" s="87">
        <v>24854.698508057012</v>
      </c>
      <c r="D35" s="87">
        <v>27035.910571720451</v>
      </c>
      <c r="E35" s="87">
        <v>29077.231698077445</v>
      </c>
      <c r="F35" s="87">
        <v>30849.691026131673</v>
      </c>
      <c r="G35" s="87">
        <v>32997.006992109586</v>
      </c>
      <c r="H35" s="87">
        <v>34410.843550842037</v>
      </c>
      <c r="I35" s="87">
        <v>36318.541384499375</v>
      </c>
      <c r="J35" s="87">
        <v>35527.703829283273</v>
      </c>
      <c r="K35" s="87">
        <v>35949.851181359656</v>
      </c>
      <c r="L35" s="87">
        <v>36473.882083927965</v>
      </c>
      <c r="M35" s="87">
        <v>38112.740637209557</v>
      </c>
      <c r="N35" s="87">
        <v>38178.139002100834</v>
      </c>
      <c r="O35" s="87">
        <v>39253.224453672563</v>
      </c>
      <c r="P35" s="87">
        <v>41196.650051519835</v>
      </c>
      <c r="Q35" s="87">
        <v>42888.388133789675</v>
      </c>
      <c r="R35" s="87">
        <v>44762.435241642481</v>
      </c>
      <c r="S35" s="87">
        <v>45687.29218941107</v>
      </c>
      <c r="T35" s="87">
        <v>45734.939127202386</v>
      </c>
      <c r="U35" s="87">
        <v>45551.121722783486</v>
      </c>
      <c r="V35" s="87">
        <v>37642.13001048709</v>
      </c>
      <c r="W35" s="87">
        <v>38870.735871393685</v>
      </c>
      <c r="X35" s="87">
        <v>41020.163154920636</v>
      </c>
      <c r="Y35" s="87">
        <v>40461.866320868132</v>
      </c>
      <c r="DA35" s="171" t="s">
        <v>479</v>
      </c>
    </row>
    <row r="36" spans="1:105" ht="11.45" customHeight="1" x14ac:dyDescent="0.25">
      <c r="A36" s="111" t="s">
        <v>112</v>
      </c>
      <c r="B36" s="87">
        <v>208.49815359142877</v>
      </c>
      <c r="C36" s="87">
        <v>219.55476881563223</v>
      </c>
      <c r="D36" s="87">
        <v>299.27031683277272</v>
      </c>
      <c r="E36" s="87">
        <v>360.73708886557068</v>
      </c>
      <c r="F36" s="87">
        <v>296.33239023656955</v>
      </c>
      <c r="G36" s="87">
        <v>291.36529080483444</v>
      </c>
      <c r="H36" s="87">
        <v>298.25148528827134</v>
      </c>
      <c r="I36" s="87">
        <v>279.04133216165121</v>
      </c>
      <c r="J36" s="87">
        <v>289.04427722797925</v>
      </c>
      <c r="K36" s="87">
        <v>254.29810845489311</v>
      </c>
      <c r="L36" s="87">
        <v>230.20575706673219</v>
      </c>
      <c r="M36" s="87">
        <v>225.00951313454641</v>
      </c>
      <c r="N36" s="87">
        <v>233.96071147336912</v>
      </c>
      <c r="O36" s="87">
        <v>217.83476875124506</v>
      </c>
      <c r="P36" s="87">
        <v>195.35645579103053</v>
      </c>
      <c r="Q36" s="87">
        <v>147.02802290616964</v>
      </c>
      <c r="R36" s="87">
        <v>119.99669390422724</v>
      </c>
      <c r="S36" s="87">
        <v>111.18207856969049</v>
      </c>
      <c r="T36" s="87">
        <v>73.632820219148186</v>
      </c>
      <c r="U36" s="87">
        <v>53.981466349962567</v>
      </c>
      <c r="V36" s="87">
        <v>33.488921561950001</v>
      </c>
      <c r="W36" s="87">
        <v>33.846471110303135</v>
      </c>
      <c r="X36" s="87">
        <v>27.292011946945184</v>
      </c>
      <c r="Y36" s="87">
        <v>15.010542832539057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0.87330169827486293</v>
      </c>
      <c r="I37" s="87">
        <v>3.4285484556348713</v>
      </c>
      <c r="J37" s="87">
        <v>16.200767739553523</v>
      </c>
      <c r="K37" s="87">
        <v>19.054795326221836</v>
      </c>
      <c r="L37" s="87">
        <v>22.74381893999589</v>
      </c>
      <c r="M37" s="87">
        <v>40.808563464943752</v>
      </c>
      <c r="N37" s="87">
        <v>46.234253748960469</v>
      </c>
      <c r="O37" s="87">
        <v>53.719724145723461</v>
      </c>
      <c r="P37" s="87">
        <v>63.029343784236623</v>
      </c>
      <c r="Q37" s="87">
        <v>70.873352404712065</v>
      </c>
      <c r="R37" s="87">
        <v>69.960049401109742</v>
      </c>
      <c r="S37" s="87">
        <v>71.652097179749873</v>
      </c>
      <c r="T37" s="87">
        <v>72.901037165873348</v>
      </c>
      <c r="U37" s="87">
        <v>71.712921373401102</v>
      </c>
      <c r="V37" s="87">
        <v>63.128694526293664</v>
      </c>
      <c r="W37" s="87">
        <v>62.015322122284246</v>
      </c>
      <c r="X37" s="87">
        <v>62.366122068872492</v>
      </c>
      <c r="Y37" s="87">
        <v>58.049020985856743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2.4288634302475329E-2</v>
      </c>
      <c r="N38" s="87">
        <v>3.2024749344730865</v>
      </c>
      <c r="O38" s="87">
        <v>4.9148667142642433</v>
      </c>
      <c r="P38" s="87">
        <v>9.3034045062520345</v>
      </c>
      <c r="Q38" s="87">
        <v>18.401318444562374</v>
      </c>
      <c r="R38" s="87">
        <v>26.471610972891686</v>
      </c>
      <c r="S38" s="87">
        <v>45.905154592253766</v>
      </c>
      <c r="T38" s="87">
        <v>64.415996386906144</v>
      </c>
      <c r="U38" s="87">
        <v>87.381030873969451</v>
      </c>
      <c r="V38" s="87">
        <v>148.33650312688749</v>
      </c>
      <c r="W38" s="87">
        <v>296.0054168034705</v>
      </c>
      <c r="X38" s="87">
        <v>459.1105988663578</v>
      </c>
      <c r="Y38" s="87">
        <v>650.38569363748945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2.9879741185003209E-2</v>
      </c>
      <c r="K39" s="87">
        <v>4.9039777937629454</v>
      </c>
      <c r="L39" s="87">
        <v>5.280456453093799</v>
      </c>
      <c r="M39" s="87">
        <v>14.816486822949816</v>
      </c>
      <c r="N39" s="87">
        <v>20.819723145393969</v>
      </c>
      <c r="O39" s="87">
        <v>31.065437926696539</v>
      </c>
      <c r="P39" s="87">
        <v>50.856215314745803</v>
      </c>
      <c r="Q39" s="87">
        <v>75.63131271697965</v>
      </c>
      <c r="R39" s="87">
        <v>136.15847904933074</v>
      </c>
      <c r="S39" s="87">
        <v>219.22139314778033</v>
      </c>
      <c r="T39" s="87">
        <v>311.94983399154484</v>
      </c>
      <c r="U39" s="87">
        <v>441.89341851075125</v>
      </c>
      <c r="V39" s="87">
        <v>578.26771903644783</v>
      </c>
      <c r="W39" s="87">
        <v>1138.0043663620509</v>
      </c>
      <c r="X39" s="87">
        <v>1641.6086777855678</v>
      </c>
      <c r="Y39" s="87">
        <v>2302.5812791049711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450</v>
      </c>
      <c r="C40" s="116">
        <f t="shared" ref="C40:V40" si="107">SUM(C41:C45)</f>
        <v>459</v>
      </c>
      <c r="D40" s="116">
        <f t="shared" si="107"/>
        <v>479</v>
      </c>
      <c r="E40" s="116">
        <f t="shared" si="107"/>
        <v>497.00000000000017</v>
      </c>
      <c r="F40" s="116">
        <f t="shared" si="107"/>
        <v>495.99999999999989</v>
      </c>
      <c r="G40" s="116">
        <f t="shared" si="107"/>
        <v>495.89352795964368</v>
      </c>
      <c r="H40" s="116">
        <f t="shared" si="107"/>
        <v>489.63173716985159</v>
      </c>
      <c r="I40" s="116">
        <f t="shared" si="107"/>
        <v>519.33161953727495</v>
      </c>
      <c r="J40" s="116">
        <f t="shared" si="107"/>
        <v>505.81390897490439</v>
      </c>
      <c r="K40" s="116">
        <f t="shared" si="107"/>
        <v>467.66550949560946</v>
      </c>
      <c r="L40" s="116">
        <f t="shared" si="107"/>
        <v>509.4109395499043</v>
      </c>
      <c r="M40" s="116">
        <f t="shared" si="107"/>
        <v>507.23139322652588</v>
      </c>
      <c r="N40" s="116">
        <f t="shared" si="107"/>
        <v>508.01367346938764</v>
      </c>
      <c r="O40" s="116">
        <f t="shared" si="107"/>
        <v>509.50005031699715</v>
      </c>
      <c r="P40" s="116">
        <f t="shared" si="107"/>
        <v>523.01238513783483</v>
      </c>
      <c r="Q40" s="116">
        <f t="shared" si="107"/>
        <v>531.16052971341571</v>
      </c>
      <c r="R40" s="116">
        <f t="shared" si="107"/>
        <v>544</v>
      </c>
      <c r="S40" s="116">
        <f t="shared" si="107"/>
        <v>557.99999999999977</v>
      </c>
      <c r="T40" s="116">
        <f t="shared" si="107"/>
        <v>536.20976473054282</v>
      </c>
      <c r="U40" s="116">
        <f t="shared" si="107"/>
        <v>530.96876875975329</v>
      </c>
      <c r="V40" s="116">
        <f t="shared" si="107"/>
        <v>529.8495230587813</v>
      </c>
      <c r="W40" s="116">
        <f t="shared" ref="W40:Y40" si="108">SUM(W41:W45)</f>
        <v>530.01249071826226</v>
      </c>
      <c r="X40" s="116">
        <f t="shared" si="108"/>
        <v>522.57707985108993</v>
      </c>
      <c r="Y40" s="116">
        <f t="shared" si="108"/>
        <v>522.78643016978322</v>
      </c>
      <c r="DA40" s="176" t="s">
        <v>484</v>
      </c>
    </row>
    <row r="41" spans="1:105" ht="11.45" customHeight="1" x14ac:dyDescent="0.25">
      <c r="A41" s="111" t="s">
        <v>110</v>
      </c>
      <c r="B41" s="101">
        <v>0.660733129226173</v>
      </c>
      <c r="C41" s="101">
        <v>0.72774157726490374</v>
      </c>
      <c r="D41" s="101">
        <v>0.64694516630826526</v>
      </c>
      <c r="E41" s="101">
        <v>0.60795437487670922</v>
      </c>
      <c r="F41" s="101">
        <v>0.53486986898386091</v>
      </c>
      <c r="G41" s="101">
        <v>0.42079328463340904</v>
      </c>
      <c r="H41" s="101">
        <v>0.35622056606598507</v>
      </c>
      <c r="I41" s="101">
        <v>0.3782167655710536</v>
      </c>
      <c r="J41" s="101">
        <v>0.30458254449331879</v>
      </c>
      <c r="K41" s="101">
        <v>0.21466682486610283</v>
      </c>
      <c r="L41" s="101">
        <v>0.23159930044609511</v>
      </c>
      <c r="M41" s="101">
        <v>0.17348860287161694</v>
      </c>
      <c r="N41" s="101">
        <v>0.17464124478919285</v>
      </c>
      <c r="O41" s="101">
        <v>0.1149807663643105</v>
      </c>
      <c r="P41" s="101">
        <v>0.14643724066131539</v>
      </c>
      <c r="Q41" s="101">
        <v>0.1184247104260429</v>
      </c>
      <c r="R41" s="101">
        <v>0.15975462858790901</v>
      </c>
      <c r="S41" s="101">
        <v>0.16167247813774294</v>
      </c>
      <c r="T41" s="101">
        <v>0.16089441411453892</v>
      </c>
      <c r="U41" s="101">
        <v>0.15741516787398227</v>
      </c>
      <c r="V41" s="101">
        <v>0.11883268542828192</v>
      </c>
      <c r="W41" s="101">
        <v>0.15731281789607943</v>
      </c>
      <c r="X41" s="101">
        <v>0.15128013778665145</v>
      </c>
      <c r="Y41" s="101">
        <v>0.11060625837935539</v>
      </c>
      <c r="DA41" s="175" t="s">
        <v>485</v>
      </c>
    </row>
    <row r="42" spans="1:105" ht="11.45" customHeight="1" x14ac:dyDescent="0.25">
      <c r="A42" s="111" t="s">
        <v>111</v>
      </c>
      <c r="B42" s="101">
        <v>444.70504710443083</v>
      </c>
      <c r="C42" s="101">
        <v>453.38366230173574</v>
      </c>
      <c r="D42" s="101">
        <v>472.70020415541984</v>
      </c>
      <c r="E42" s="101">
        <v>490.20153545027654</v>
      </c>
      <c r="F42" s="101">
        <v>488.2446067902352</v>
      </c>
      <c r="G42" s="101">
        <v>487.30890576752466</v>
      </c>
      <c r="H42" s="101">
        <v>480.48568952392782</v>
      </c>
      <c r="I42" s="101">
        <v>506.96617722710016</v>
      </c>
      <c r="J42" s="101">
        <v>491.86092292352197</v>
      </c>
      <c r="K42" s="101">
        <v>442.51719963081933</v>
      </c>
      <c r="L42" s="101">
        <v>475.91228550092376</v>
      </c>
      <c r="M42" s="101">
        <v>471.67545166947696</v>
      </c>
      <c r="N42" s="101">
        <v>469.75517494237158</v>
      </c>
      <c r="O42" s="101">
        <v>465.49412184952695</v>
      </c>
      <c r="P42" s="101">
        <v>476.53968715852795</v>
      </c>
      <c r="Q42" s="101">
        <v>485.76457531441798</v>
      </c>
      <c r="R42" s="101">
        <v>506.89448811172321</v>
      </c>
      <c r="S42" s="101">
        <v>522.87562492127631</v>
      </c>
      <c r="T42" s="101">
        <v>501.60957927544086</v>
      </c>
      <c r="U42" s="101">
        <v>496.59981896364587</v>
      </c>
      <c r="V42" s="101">
        <v>491.18795713024565</v>
      </c>
      <c r="W42" s="101">
        <v>492.88650633747034</v>
      </c>
      <c r="X42" s="101">
        <v>485.57312493916817</v>
      </c>
      <c r="Y42" s="101">
        <v>485.73438251220949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0.32939705418793414</v>
      </c>
      <c r="D43" s="101">
        <v>1.1069938982294723</v>
      </c>
      <c r="E43" s="101">
        <v>1.6374720984246696</v>
      </c>
      <c r="F43" s="101">
        <v>2.1875211692460401</v>
      </c>
      <c r="G43" s="101">
        <v>3.2310674187406248</v>
      </c>
      <c r="H43" s="101">
        <v>3.9988959802028221</v>
      </c>
      <c r="I43" s="101">
        <v>5.3283975074786811</v>
      </c>
      <c r="J43" s="101">
        <v>6.1400005069527728</v>
      </c>
      <c r="K43" s="101">
        <v>7.2024203583653437</v>
      </c>
      <c r="L43" s="101">
        <v>8.8824362565949109</v>
      </c>
      <c r="M43" s="101">
        <v>9.6563221773556318</v>
      </c>
      <c r="N43" s="101">
        <v>9.8186645164796147</v>
      </c>
      <c r="O43" s="101">
        <v>9.5428143545053974</v>
      </c>
      <c r="P43" s="101">
        <v>9.2768689611273274</v>
      </c>
      <c r="Q43" s="101">
        <v>7.5674583896569567</v>
      </c>
      <c r="R43" s="101">
        <v>6.2281554999931572</v>
      </c>
      <c r="S43" s="101">
        <v>5.0715742972275937</v>
      </c>
      <c r="T43" s="101">
        <v>4.9966951997273208</v>
      </c>
      <c r="U43" s="101">
        <v>0.40542476937815014</v>
      </c>
      <c r="V43" s="101">
        <v>0.40399272478144471</v>
      </c>
      <c r="W43" s="101">
        <v>0.37227980485235296</v>
      </c>
      <c r="X43" s="101">
        <v>0.35442346985578144</v>
      </c>
      <c r="Y43" s="101">
        <v>0.15962502378020529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0.67671628103046733</v>
      </c>
      <c r="G44" s="101">
        <v>0.57410333881420061</v>
      </c>
      <c r="H44" s="101">
        <v>0.34892628454141728</v>
      </c>
      <c r="I44" s="101">
        <v>2.5686063573513738</v>
      </c>
      <c r="J44" s="101">
        <v>3.4115139343834895</v>
      </c>
      <c r="K44" s="101">
        <v>13.405495005686946</v>
      </c>
      <c r="L44" s="101">
        <v>19.75652777207458</v>
      </c>
      <c r="M44" s="101">
        <v>20.974895564578365</v>
      </c>
      <c r="N44" s="101">
        <v>23.102740691140134</v>
      </c>
      <c r="O44" s="101">
        <v>28.649655337331708</v>
      </c>
      <c r="P44" s="101">
        <v>31.674102222459648</v>
      </c>
      <c r="Q44" s="101">
        <v>32.044633152132867</v>
      </c>
      <c r="R44" s="101">
        <v>24.603971886447191</v>
      </c>
      <c r="S44" s="101">
        <v>24.027018160355386</v>
      </c>
      <c r="T44" s="101">
        <v>23.128850890395842</v>
      </c>
      <c r="U44" s="101">
        <v>27.2122444903382</v>
      </c>
      <c r="V44" s="101">
        <v>31.127052316019249</v>
      </c>
      <c r="W44" s="101">
        <v>29.470323186674346</v>
      </c>
      <c r="X44" s="101">
        <v>28.240849038660926</v>
      </c>
      <c r="Y44" s="101">
        <v>26.166361989030779</v>
      </c>
      <c r="DA44" s="175" t="s">
        <v>488</v>
      </c>
    </row>
    <row r="45" spans="1:105" ht="11.45" customHeight="1" x14ac:dyDescent="0.25">
      <c r="A45" s="111" t="s">
        <v>115</v>
      </c>
      <c r="B45" s="101">
        <v>4.6342197663429792</v>
      </c>
      <c r="C45" s="101">
        <v>4.5591990668114022</v>
      </c>
      <c r="D45" s="101">
        <v>4.5458567800424321</v>
      </c>
      <c r="E45" s="101">
        <v>4.5530380764222151</v>
      </c>
      <c r="F45" s="101">
        <v>4.3562858905043687</v>
      </c>
      <c r="G45" s="101">
        <v>4.3586581499307622</v>
      </c>
      <c r="H45" s="101">
        <v>4.4420048151136085</v>
      </c>
      <c r="I45" s="101">
        <v>4.0902216797737028</v>
      </c>
      <c r="J45" s="101">
        <v>4.0968890655528583</v>
      </c>
      <c r="K45" s="101">
        <v>4.3257276758717449</v>
      </c>
      <c r="L45" s="101">
        <v>4.6280907198649022</v>
      </c>
      <c r="M45" s="101">
        <v>4.7512352122433477</v>
      </c>
      <c r="N45" s="101">
        <v>5.1624520746071516</v>
      </c>
      <c r="O45" s="101">
        <v>5.6984780092687757</v>
      </c>
      <c r="P45" s="101">
        <v>5.3752895550584876</v>
      </c>
      <c r="Q45" s="101">
        <v>5.6654381467818906</v>
      </c>
      <c r="R45" s="101">
        <v>6.1136298732485521</v>
      </c>
      <c r="S45" s="101">
        <v>5.8641101430028213</v>
      </c>
      <c r="T45" s="101">
        <v>6.31374495086426</v>
      </c>
      <c r="U45" s="101">
        <v>6.5938653685170658</v>
      </c>
      <c r="V45" s="101">
        <v>7.0116882023066749</v>
      </c>
      <c r="W45" s="101">
        <v>7.1260685713691254</v>
      </c>
      <c r="X45" s="101">
        <v>8.2574022656184329</v>
      </c>
      <c r="Y45" s="101">
        <v>10.615454386383371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6562.5617567495565</v>
      </c>
      <c r="C46" s="29">
        <f t="shared" ref="C46:V46" si="110">C47+C53</f>
        <v>6854.9058849086214</v>
      </c>
      <c r="D46" s="29">
        <f t="shared" si="110"/>
        <v>7090.9440162995688</v>
      </c>
      <c r="E46" s="29">
        <f t="shared" si="110"/>
        <v>7231.4352841738237</v>
      </c>
      <c r="F46" s="29">
        <f t="shared" si="110"/>
        <v>7414.8092017022245</v>
      </c>
      <c r="G46" s="29">
        <f t="shared" si="110"/>
        <v>7582.2799391399403</v>
      </c>
      <c r="H46" s="29">
        <f t="shared" si="110"/>
        <v>8025.1468084496973</v>
      </c>
      <c r="I46" s="29">
        <f t="shared" si="110"/>
        <v>8369.1804590708161</v>
      </c>
      <c r="J46" s="29">
        <f t="shared" si="110"/>
        <v>8535.0867941725082</v>
      </c>
      <c r="K46" s="29">
        <f t="shared" si="110"/>
        <v>8105.027657700376</v>
      </c>
      <c r="L46" s="29">
        <f t="shared" si="110"/>
        <v>8211.0514343528594</v>
      </c>
      <c r="M46" s="29">
        <f t="shared" si="110"/>
        <v>8389.4087047844096</v>
      </c>
      <c r="N46" s="29">
        <f t="shared" si="110"/>
        <v>8297.6916165571311</v>
      </c>
      <c r="O46" s="29">
        <f t="shared" si="110"/>
        <v>8525.0400750514218</v>
      </c>
      <c r="P46" s="29">
        <f t="shared" si="110"/>
        <v>8867.7163616345388</v>
      </c>
      <c r="Q46" s="29">
        <f t="shared" si="110"/>
        <v>9246.4456452172853</v>
      </c>
      <c r="R46" s="29">
        <f t="shared" si="110"/>
        <v>9535.8853978130428</v>
      </c>
      <c r="S46" s="29">
        <f t="shared" si="110"/>
        <v>9847.3653626590312</v>
      </c>
      <c r="T46" s="29">
        <f t="shared" si="110"/>
        <v>10019.967213027576</v>
      </c>
      <c r="U46" s="29">
        <f t="shared" si="110"/>
        <v>10289.680674583424</v>
      </c>
      <c r="V46" s="29">
        <f t="shared" si="110"/>
        <v>10341.265713088254</v>
      </c>
      <c r="W46" s="29">
        <f t="shared" ref="W46:Y46" si="111">W47+W53</f>
        <v>11019.108306241709</v>
      </c>
      <c r="X46" s="29">
        <f t="shared" si="111"/>
        <v>11197.945553716241</v>
      </c>
      <c r="Y46" s="29">
        <f t="shared" si="111"/>
        <v>11223.578911965567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3980.9560108499531</v>
      </c>
      <c r="C47" s="152">
        <f t="shared" ref="C47:V47" si="113">SUM(C48:C52)</f>
        <v>4197.7639298652548</v>
      </c>
      <c r="D47" s="152">
        <f t="shared" si="113"/>
        <v>4385.6833002076137</v>
      </c>
      <c r="E47" s="152">
        <f t="shared" si="113"/>
        <v>4460.0843630313666</v>
      </c>
      <c r="F47" s="152">
        <f t="shared" si="113"/>
        <v>4507.0353818234516</v>
      </c>
      <c r="G47" s="152">
        <f t="shared" si="113"/>
        <v>4639.1208712664393</v>
      </c>
      <c r="H47" s="152">
        <f t="shared" si="113"/>
        <v>4759.3580514461337</v>
      </c>
      <c r="I47" s="152">
        <f t="shared" si="113"/>
        <v>4880.8055404478546</v>
      </c>
      <c r="J47" s="152">
        <f t="shared" si="113"/>
        <v>4836.5693869349934</v>
      </c>
      <c r="K47" s="152">
        <f t="shared" si="113"/>
        <v>4804.5762238252983</v>
      </c>
      <c r="L47" s="152">
        <f t="shared" si="113"/>
        <v>4855.0788196220828</v>
      </c>
      <c r="M47" s="152">
        <f t="shared" si="113"/>
        <v>4931.6021097625517</v>
      </c>
      <c r="N47" s="152">
        <f t="shared" si="113"/>
        <v>4923.8911709782296</v>
      </c>
      <c r="O47" s="152">
        <f t="shared" si="113"/>
        <v>5098.1141433102221</v>
      </c>
      <c r="P47" s="152">
        <f t="shared" si="113"/>
        <v>5357.2699452783854</v>
      </c>
      <c r="Q47" s="152">
        <f t="shared" si="113"/>
        <v>5537.3894508754584</v>
      </c>
      <c r="R47" s="152">
        <f t="shared" si="113"/>
        <v>5682.7078706369757</v>
      </c>
      <c r="S47" s="152">
        <f t="shared" si="113"/>
        <v>5788.7298958873116</v>
      </c>
      <c r="T47" s="152">
        <f t="shared" si="113"/>
        <v>5932.3837524148521</v>
      </c>
      <c r="U47" s="152">
        <f t="shared" si="113"/>
        <v>6128.9309819331538</v>
      </c>
      <c r="V47" s="152">
        <f t="shared" si="113"/>
        <v>6205.9973573293673</v>
      </c>
      <c r="W47" s="152">
        <f t="shared" ref="W47:Y47" si="114">SUM(W48:W52)</f>
        <v>6660.2386094678805</v>
      </c>
      <c r="X47" s="152">
        <f t="shared" si="114"/>
        <v>6828.0025939356638</v>
      </c>
      <c r="Y47" s="152">
        <f t="shared" si="114"/>
        <v>6968.4731487653326</v>
      </c>
      <c r="DA47" s="174" t="s">
        <v>491</v>
      </c>
    </row>
    <row r="48" spans="1:105" ht="11.45" customHeight="1" x14ac:dyDescent="0.25">
      <c r="A48" s="111" t="s">
        <v>110</v>
      </c>
      <c r="B48" s="87">
        <v>582.19156895929018</v>
      </c>
      <c r="C48" s="87">
        <v>533.9362864425907</v>
      </c>
      <c r="D48" s="87">
        <v>368.89739269645912</v>
      </c>
      <c r="E48" s="87">
        <v>321.91611714572252</v>
      </c>
      <c r="F48" s="87">
        <v>283.35738589955417</v>
      </c>
      <c r="G48" s="87">
        <v>260.90907416792709</v>
      </c>
      <c r="H48" s="87">
        <v>249.2254106792544</v>
      </c>
      <c r="I48" s="87">
        <v>241.8872534682454</v>
      </c>
      <c r="J48" s="87">
        <v>228.9192987435313</v>
      </c>
      <c r="K48" s="87">
        <v>225.33386137517141</v>
      </c>
      <c r="L48" s="87">
        <v>222.08227215739998</v>
      </c>
      <c r="M48" s="87">
        <v>229.92040871507476</v>
      </c>
      <c r="N48" s="87">
        <v>234.43377821402004</v>
      </c>
      <c r="O48" s="87">
        <v>233.72717221434135</v>
      </c>
      <c r="P48" s="87">
        <v>244.57313506646983</v>
      </c>
      <c r="Q48" s="87">
        <v>255.92335315130202</v>
      </c>
      <c r="R48" s="87">
        <v>256.18211293675131</v>
      </c>
      <c r="S48" s="87">
        <v>260.61206805074016</v>
      </c>
      <c r="T48" s="87">
        <v>271.64075718659018</v>
      </c>
      <c r="U48" s="87">
        <v>272.34067664972224</v>
      </c>
      <c r="V48" s="87">
        <v>266.05604896541126</v>
      </c>
      <c r="W48" s="87">
        <v>269.66000829188522</v>
      </c>
      <c r="X48" s="87">
        <v>283.8964516623775</v>
      </c>
      <c r="Y48" s="87">
        <v>293.28976946687504</v>
      </c>
      <c r="DA48" s="171" t="s">
        <v>492</v>
      </c>
    </row>
    <row r="49" spans="1:105" ht="11.45" customHeight="1" x14ac:dyDescent="0.25">
      <c r="A49" s="111" t="s">
        <v>111</v>
      </c>
      <c r="B49" s="87">
        <v>3398.4581342984088</v>
      </c>
      <c r="C49" s="87">
        <v>3663.4230277400243</v>
      </c>
      <c r="D49" s="87">
        <v>4016.4295489635629</v>
      </c>
      <c r="E49" s="87">
        <v>4137.7033876323267</v>
      </c>
      <c r="F49" s="87">
        <v>4223.036116150156</v>
      </c>
      <c r="G49" s="87">
        <v>4376.5136954599266</v>
      </c>
      <c r="H49" s="87">
        <v>4507.6652081030425</v>
      </c>
      <c r="I49" s="87">
        <v>4635.5318819969025</v>
      </c>
      <c r="J49" s="87">
        <v>4603.1930644689019</v>
      </c>
      <c r="K49" s="87">
        <v>4576.0183341665943</v>
      </c>
      <c r="L49" s="87">
        <v>4629.5790405397347</v>
      </c>
      <c r="M49" s="87">
        <v>4697.6784813280556</v>
      </c>
      <c r="N49" s="87">
        <v>4681.4328201749604</v>
      </c>
      <c r="O49" s="87">
        <v>4845.2931069580891</v>
      </c>
      <c r="P49" s="87">
        <v>5090.1646499615454</v>
      </c>
      <c r="Q49" s="87">
        <v>5255.5449174293535</v>
      </c>
      <c r="R49" s="87">
        <v>5386.4418097896751</v>
      </c>
      <c r="S49" s="87">
        <v>5486.2230304304449</v>
      </c>
      <c r="T49" s="87">
        <v>5613.1267436476937</v>
      </c>
      <c r="U49" s="87">
        <v>5803.6328620364602</v>
      </c>
      <c r="V49" s="87">
        <v>5879.753281324146</v>
      </c>
      <c r="W49" s="87">
        <v>6301.9712197492127</v>
      </c>
      <c r="X49" s="87">
        <v>6430.8455104598743</v>
      </c>
      <c r="Y49" s="87">
        <v>6524.0907213085666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0.12065762588640047</v>
      </c>
      <c r="F50" s="87">
        <v>0.32216646226190393</v>
      </c>
      <c r="G50" s="87">
        <v>1.4027177795918162</v>
      </c>
      <c r="H50" s="87">
        <v>1.3597311555672087</v>
      </c>
      <c r="I50" s="87">
        <v>1.3493481118422548</v>
      </c>
      <c r="J50" s="87">
        <v>1.2719374311328318</v>
      </c>
      <c r="K50" s="87">
        <v>1.1899944477620086</v>
      </c>
      <c r="L50" s="87">
        <v>1.1096964030016179</v>
      </c>
      <c r="M50" s="87">
        <v>1.02697113734462</v>
      </c>
      <c r="N50" s="87">
        <v>1.0771184556019919</v>
      </c>
      <c r="O50" s="87">
        <v>1.147700297878177</v>
      </c>
      <c r="P50" s="87">
        <v>1.3089193519518689</v>
      </c>
      <c r="Q50" s="87">
        <v>1.3771880002499337</v>
      </c>
      <c r="R50" s="87">
        <v>2.13852766884128</v>
      </c>
      <c r="S50" s="87">
        <v>2.2095459012106549</v>
      </c>
      <c r="T50" s="87">
        <v>2.228439480305219</v>
      </c>
      <c r="U50" s="87">
        <v>2.4481326982503613</v>
      </c>
      <c r="V50" s="87">
        <v>2.810412219734137</v>
      </c>
      <c r="W50" s="87">
        <v>3.2084175650520437</v>
      </c>
      <c r="X50" s="87">
        <v>3.4741828365193648</v>
      </c>
      <c r="Y50" s="87">
        <v>3.652150636871343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0.83656090996283705</v>
      </c>
      <c r="I51" s="87">
        <v>1.6917191601255983</v>
      </c>
      <c r="J51" s="87">
        <v>2.8020910565423964</v>
      </c>
      <c r="K51" s="87">
        <v>1.4772789014690071</v>
      </c>
      <c r="L51" s="87">
        <v>1.4533661468863022</v>
      </c>
      <c r="M51" s="87">
        <v>1.6258611301500179</v>
      </c>
      <c r="N51" s="87">
        <v>2.1589355797843996</v>
      </c>
      <c r="O51" s="87">
        <v>10.255980429968981</v>
      </c>
      <c r="P51" s="87">
        <v>11.044733501939888</v>
      </c>
      <c r="Q51" s="87">
        <v>11.257934932251093</v>
      </c>
      <c r="R51" s="87">
        <v>19.720057108924564</v>
      </c>
      <c r="S51" s="87">
        <v>18.45468235720541</v>
      </c>
      <c r="T51" s="87">
        <v>18.850432440000912</v>
      </c>
      <c r="U51" s="87">
        <v>18.228548288541802</v>
      </c>
      <c r="V51" s="87">
        <v>16.575004468414168</v>
      </c>
      <c r="W51" s="87">
        <v>15.75471858330768</v>
      </c>
      <c r="X51" s="87">
        <v>14.612403677670478</v>
      </c>
      <c r="Y51" s="87">
        <v>13.28086774537725</v>
      </c>
      <c r="DA51" s="171" t="s">
        <v>495</v>
      </c>
    </row>
    <row r="52" spans="1:105" ht="11.45" customHeight="1" x14ac:dyDescent="0.25">
      <c r="A52" s="111" t="s">
        <v>115</v>
      </c>
      <c r="B52" s="87">
        <v>0.30630759225421311</v>
      </c>
      <c r="C52" s="87">
        <v>0.40461568263973313</v>
      </c>
      <c r="D52" s="87">
        <v>0.35635854759105678</v>
      </c>
      <c r="E52" s="87">
        <v>0.3442006274310479</v>
      </c>
      <c r="F52" s="87">
        <v>0.31971331147997117</v>
      </c>
      <c r="G52" s="87">
        <v>0.29538385899380404</v>
      </c>
      <c r="H52" s="87">
        <v>0.2711405983074372</v>
      </c>
      <c r="I52" s="87">
        <v>0.34533771073884634</v>
      </c>
      <c r="J52" s="87">
        <v>0.38299523488455073</v>
      </c>
      <c r="K52" s="87">
        <v>0.55675493430269429</v>
      </c>
      <c r="L52" s="87">
        <v>0.85444437506082616</v>
      </c>
      <c r="M52" s="87">
        <v>1.3503874519267287</v>
      </c>
      <c r="N52" s="87">
        <v>4.7885185538628576</v>
      </c>
      <c r="O52" s="87">
        <v>7.6901834099446233</v>
      </c>
      <c r="P52" s="87">
        <v>10.17850739647883</v>
      </c>
      <c r="Q52" s="87">
        <v>13.286057362302314</v>
      </c>
      <c r="R52" s="87">
        <v>18.225363132782846</v>
      </c>
      <c r="S52" s="87">
        <v>21.230569147710479</v>
      </c>
      <c r="T52" s="87">
        <v>26.537379660261568</v>
      </c>
      <c r="U52" s="87">
        <v>32.280762260179571</v>
      </c>
      <c r="V52" s="87">
        <v>40.802610351661144</v>
      </c>
      <c r="W52" s="87">
        <v>69.644245278423625</v>
      </c>
      <c r="X52" s="87">
        <v>95.174045299222925</v>
      </c>
      <c r="Y52" s="87">
        <v>134.15963960764077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2581.6057458996033</v>
      </c>
      <c r="C53" s="116">
        <f t="shared" ref="C53:V53" si="116">SUM(C54:C55)</f>
        <v>2657.141955043367</v>
      </c>
      <c r="D53" s="116">
        <f t="shared" si="116"/>
        <v>2705.2607160919551</v>
      </c>
      <c r="E53" s="116">
        <f t="shared" si="116"/>
        <v>2771.3509211424566</v>
      </c>
      <c r="F53" s="116">
        <f t="shared" si="116"/>
        <v>2907.7738198787729</v>
      </c>
      <c r="G53" s="116">
        <f t="shared" si="116"/>
        <v>2943.159067873501</v>
      </c>
      <c r="H53" s="116">
        <f t="shared" si="116"/>
        <v>3265.7887570035641</v>
      </c>
      <c r="I53" s="116">
        <f t="shared" si="116"/>
        <v>3488.3749186229625</v>
      </c>
      <c r="J53" s="116">
        <f t="shared" si="116"/>
        <v>3698.5174072375148</v>
      </c>
      <c r="K53" s="116">
        <f t="shared" si="116"/>
        <v>3300.4514338750778</v>
      </c>
      <c r="L53" s="116">
        <f t="shared" si="116"/>
        <v>3355.9726147307756</v>
      </c>
      <c r="M53" s="116">
        <f t="shared" si="116"/>
        <v>3457.8065950218579</v>
      </c>
      <c r="N53" s="116">
        <f t="shared" si="116"/>
        <v>3373.8004455789005</v>
      </c>
      <c r="O53" s="116">
        <f t="shared" si="116"/>
        <v>3426.9259317411997</v>
      </c>
      <c r="P53" s="116">
        <f t="shared" si="116"/>
        <v>3510.4464163561538</v>
      </c>
      <c r="Q53" s="116">
        <f t="shared" si="116"/>
        <v>3709.0561943418261</v>
      </c>
      <c r="R53" s="116">
        <f t="shared" si="116"/>
        <v>3853.1775271760662</v>
      </c>
      <c r="S53" s="116">
        <f t="shared" si="116"/>
        <v>4058.6354667717201</v>
      </c>
      <c r="T53" s="116">
        <f t="shared" si="116"/>
        <v>4087.5834606127237</v>
      </c>
      <c r="U53" s="116">
        <f t="shared" si="116"/>
        <v>4160.7496926502699</v>
      </c>
      <c r="V53" s="116">
        <f t="shared" si="116"/>
        <v>4135.268355758888</v>
      </c>
      <c r="W53" s="116">
        <f t="shared" ref="W53:Y53" si="117">SUM(W54:W55)</f>
        <v>4358.8696967738288</v>
      </c>
      <c r="X53" s="116">
        <f t="shared" si="117"/>
        <v>4369.9429597805774</v>
      </c>
      <c r="Y53" s="116">
        <f t="shared" si="117"/>
        <v>4255.1057632002357</v>
      </c>
      <c r="DA53" s="176" t="s">
        <v>497</v>
      </c>
    </row>
    <row r="54" spans="1:105" ht="11.45" customHeight="1" x14ac:dyDescent="0.25">
      <c r="A54" s="128" t="s">
        <v>27</v>
      </c>
      <c r="B54" s="101">
        <v>1576</v>
      </c>
      <c r="C54" s="101">
        <v>1579</v>
      </c>
      <c r="D54" s="101">
        <v>1571</v>
      </c>
      <c r="E54" s="101">
        <v>1612</v>
      </c>
      <c r="F54" s="101">
        <v>1537</v>
      </c>
      <c r="G54" s="101">
        <v>1524</v>
      </c>
      <c r="H54" s="101">
        <v>1775</v>
      </c>
      <c r="I54" s="101">
        <v>1802</v>
      </c>
      <c r="J54" s="101">
        <v>1792</v>
      </c>
      <c r="K54" s="101">
        <v>1681</v>
      </c>
      <c r="L54" s="101">
        <v>1667</v>
      </c>
      <c r="M54" s="101">
        <v>1717</v>
      </c>
      <c r="N54" s="101">
        <v>1677</v>
      </c>
      <c r="O54" s="101">
        <v>1675</v>
      </c>
      <c r="P54" s="101">
        <v>1745</v>
      </c>
      <c r="Q54" s="101">
        <v>1855</v>
      </c>
      <c r="R54" s="101">
        <v>1944</v>
      </c>
      <c r="S54" s="101">
        <v>1989</v>
      </c>
      <c r="T54" s="101">
        <v>2013</v>
      </c>
      <c r="U54" s="101">
        <v>2041</v>
      </c>
      <c r="V54" s="101">
        <v>1979</v>
      </c>
      <c r="W54" s="101">
        <v>2095</v>
      </c>
      <c r="X54" s="101">
        <v>2055</v>
      </c>
      <c r="Y54" s="101">
        <v>2021</v>
      </c>
      <c r="DA54" s="175" t="s">
        <v>498</v>
      </c>
    </row>
    <row r="55" spans="1:105" ht="11.45" customHeight="1" x14ac:dyDescent="0.25">
      <c r="A55" s="138" t="s">
        <v>116</v>
      </c>
      <c r="B55" s="88">
        <v>1005.6057458996032</v>
      </c>
      <c r="C55" s="88">
        <v>1078.141955043367</v>
      </c>
      <c r="D55" s="88">
        <v>1134.2607160919551</v>
      </c>
      <c r="E55" s="88">
        <v>1159.3509211424566</v>
      </c>
      <c r="F55" s="88">
        <v>1370.7738198787729</v>
      </c>
      <c r="G55" s="88">
        <v>1419.1590678735008</v>
      </c>
      <c r="H55" s="88">
        <v>1490.7887570035641</v>
      </c>
      <c r="I55" s="88">
        <v>1686.3749186229622</v>
      </c>
      <c r="J55" s="88">
        <v>1906.517407237515</v>
      </c>
      <c r="K55" s="88">
        <v>1619.4514338750776</v>
      </c>
      <c r="L55" s="88">
        <v>1688.9726147307758</v>
      </c>
      <c r="M55" s="88">
        <v>1740.8065950218579</v>
      </c>
      <c r="N55" s="88">
        <v>1696.8004455789003</v>
      </c>
      <c r="O55" s="88">
        <v>1751.9259317412</v>
      </c>
      <c r="P55" s="88">
        <v>1765.4464163561538</v>
      </c>
      <c r="Q55" s="88">
        <v>1854.0561943418259</v>
      </c>
      <c r="R55" s="88">
        <v>1909.177527176066</v>
      </c>
      <c r="S55" s="88">
        <v>2069.6354667717201</v>
      </c>
      <c r="T55" s="88">
        <v>2074.5834606127237</v>
      </c>
      <c r="U55" s="88">
        <v>2119.7496926502699</v>
      </c>
      <c r="V55" s="88">
        <v>2156.2683557588884</v>
      </c>
      <c r="W55" s="88">
        <v>2263.8696967738283</v>
      </c>
      <c r="X55" s="88">
        <v>2314.9429597805774</v>
      </c>
      <c r="Y55" s="88">
        <v>2234.1057632002362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5029840</v>
      </c>
      <c r="C57" s="54">
        <f t="shared" si="118"/>
        <v>5118158</v>
      </c>
      <c r="D57" s="54">
        <f t="shared" si="118"/>
        <v>4925975</v>
      </c>
      <c r="E57" s="54">
        <f t="shared" si="118"/>
        <v>5009617</v>
      </c>
      <c r="F57" s="54">
        <f t="shared" si="118"/>
        <v>5079844</v>
      </c>
      <c r="G57" s="54">
        <f t="shared" si="118"/>
        <v>5150252</v>
      </c>
      <c r="H57" s="54">
        <f t="shared" si="118"/>
        <v>5222916</v>
      </c>
      <c r="I57" s="54">
        <f t="shared" si="118"/>
        <v>5297854</v>
      </c>
      <c r="J57" s="54">
        <f t="shared" si="118"/>
        <v>5373748</v>
      </c>
      <c r="K57" s="54">
        <f t="shared" si="118"/>
        <v>5476320</v>
      </c>
      <c r="L57" s="54">
        <f t="shared" ref="L57" si="119">L58+L73</f>
        <v>5583456</v>
      </c>
      <c r="M57" s="54">
        <f t="shared" ref="M57:V57" si="120">M58+M73</f>
        <v>5683033</v>
      </c>
      <c r="N57" s="54">
        <f t="shared" si="120"/>
        <v>5783081</v>
      </c>
      <c r="O57" s="54">
        <f t="shared" si="120"/>
        <v>5864559</v>
      </c>
      <c r="P57" s="54">
        <f t="shared" si="120"/>
        <v>5940159</v>
      </c>
      <c r="Q57" s="54">
        <f t="shared" si="120"/>
        <v>6015599</v>
      </c>
      <c r="R57" s="54">
        <f t="shared" si="120"/>
        <v>6119834</v>
      </c>
      <c r="S57" s="54">
        <f t="shared" si="120"/>
        <v>6232333</v>
      </c>
      <c r="T57" s="54">
        <f t="shared" si="120"/>
        <v>6348082</v>
      </c>
      <c r="U57" s="54">
        <f t="shared" si="120"/>
        <v>6435145</v>
      </c>
      <c r="V57" s="54">
        <f t="shared" si="120"/>
        <v>6523533</v>
      </c>
      <c r="W57" s="54">
        <f t="shared" ref="W57:Y57" si="121">W58+W73</f>
        <v>6622331</v>
      </c>
      <c r="X57" s="54">
        <f t="shared" si="121"/>
        <v>6683972</v>
      </c>
      <c r="Y57" s="54">
        <f t="shared" si="121"/>
        <v>6744613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4691319</v>
      </c>
      <c r="C58" s="28">
        <f t="shared" si="122"/>
        <v>4774940</v>
      </c>
      <c r="D58" s="28">
        <f t="shared" si="122"/>
        <v>4593011</v>
      </c>
      <c r="E58" s="28">
        <f t="shared" si="122"/>
        <v>4670104</v>
      </c>
      <c r="F58" s="28">
        <f t="shared" si="122"/>
        <v>4730579</v>
      </c>
      <c r="G58" s="28">
        <f t="shared" si="122"/>
        <v>4794026</v>
      </c>
      <c r="H58" s="28">
        <f t="shared" si="122"/>
        <v>4859620</v>
      </c>
      <c r="I58" s="28">
        <f t="shared" si="122"/>
        <v>4922901</v>
      </c>
      <c r="J58" s="28">
        <f t="shared" si="122"/>
        <v>4985625</v>
      </c>
      <c r="K58" s="28">
        <f t="shared" si="122"/>
        <v>5081879</v>
      </c>
      <c r="L58" s="28">
        <f t="shared" ref="L58" si="123">L59+L60+L67</f>
        <v>5178769</v>
      </c>
      <c r="M58" s="28">
        <f t="shared" ref="M58:V58" si="124">M59+M60+M67</f>
        <v>5266315</v>
      </c>
      <c r="N58" s="28">
        <f t="shared" si="124"/>
        <v>5356231</v>
      </c>
      <c r="O58" s="28">
        <f t="shared" si="124"/>
        <v>5427631</v>
      </c>
      <c r="P58" s="28">
        <f t="shared" si="124"/>
        <v>5493175</v>
      </c>
      <c r="Q58" s="28">
        <f t="shared" si="124"/>
        <v>5558076</v>
      </c>
      <c r="R58" s="28">
        <f t="shared" si="124"/>
        <v>5648286</v>
      </c>
      <c r="S58" s="28">
        <f t="shared" si="124"/>
        <v>5741175</v>
      </c>
      <c r="T58" s="28">
        <f t="shared" si="124"/>
        <v>5836244</v>
      </c>
      <c r="U58" s="28">
        <f t="shared" si="124"/>
        <v>5910454</v>
      </c>
      <c r="V58" s="28">
        <f t="shared" si="124"/>
        <v>5986384</v>
      </c>
      <c r="W58" s="28">
        <f t="shared" ref="W58:Y58" si="125">W59+W60+W67</f>
        <v>6053514</v>
      </c>
      <c r="X58" s="28">
        <f t="shared" si="125"/>
        <v>6091088</v>
      </c>
      <c r="Y58" s="28">
        <f t="shared" si="125"/>
        <v>6143154</v>
      </c>
      <c r="DA58" s="173" t="s">
        <v>501</v>
      </c>
    </row>
    <row r="59" spans="1:105" ht="11.45" customHeight="1" x14ac:dyDescent="0.25">
      <c r="A59" s="136" t="s">
        <v>173</v>
      </c>
      <c r="B59" s="137">
        <v>565901</v>
      </c>
      <c r="C59" s="137">
        <v>583038</v>
      </c>
      <c r="D59" s="137">
        <v>596824</v>
      </c>
      <c r="E59" s="137">
        <v>606868</v>
      </c>
      <c r="F59" s="137">
        <v>612160</v>
      </c>
      <c r="G59" s="137">
        <v>627711</v>
      </c>
      <c r="H59" s="137">
        <v>645313</v>
      </c>
      <c r="I59" s="137">
        <v>667577</v>
      </c>
      <c r="J59" s="137">
        <v>691243</v>
      </c>
      <c r="K59" s="137">
        <v>712092</v>
      </c>
      <c r="L59" s="137">
        <v>727852</v>
      </c>
      <c r="M59" s="137">
        <v>743429</v>
      </c>
      <c r="N59" s="137">
        <v>762392</v>
      </c>
      <c r="O59" s="137">
        <v>776337</v>
      </c>
      <c r="P59" s="137">
        <v>788184</v>
      </c>
      <c r="Q59" s="137">
        <v>799906</v>
      </c>
      <c r="R59" s="137">
        <v>816477</v>
      </c>
      <c r="S59" s="137">
        <v>832200</v>
      </c>
      <c r="T59" s="137">
        <v>847355</v>
      </c>
      <c r="U59" s="137">
        <v>860758</v>
      </c>
      <c r="V59" s="137">
        <v>884493</v>
      </c>
      <c r="W59" s="137">
        <v>909542</v>
      </c>
      <c r="X59" s="137">
        <v>929825</v>
      </c>
      <c r="Y59" s="137">
        <v>947516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4115500</v>
      </c>
      <c r="C60" s="110">
        <f t="shared" si="126"/>
        <v>4182000</v>
      </c>
      <c r="D60" s="110">
        <f t="shared" si="126"/>
        <v>3987000</v>
      </c>
      <c r="E60" s="110">
        <f t="shared" si="126"/>
        <v>4054000</v>
      </c>
      <c r="F60" s="110">
        <f t="shared" si="126"/>
        <v>4109000</v>
      </c>
      <c r="G60" s="110">
        <f t="shared" si="126"/>
        <v>4157000</v>
      </c>
      <c r="H60" s="110">
        <f t="shared" si="126"/>
        <v>4205000</v>
      </c>
      <c r="I60" s="110">
        <f t="shared" si="126"/>
        <v>4246000</v>
      </c>
      <c r="J60" s="110">
        <f t="shared" si="126"/>
        <v>4285000</v>
      </c>
      <c r="K60" s="110">
        <f t="shared" si="126"/>
        <v>4360000</v>
      </c>
      <c r="L60" s="110">
        <f t="shared" ref="L60" si="127">SUM(L61:L66)</f>
        <v>4441000</v>
      </c>
      <c r="M60" s="110">
        <f t="shared" ref="M60:V60" si="128">SUM(M61:M66)</f>
        <v>4513000</v>
      </c>
      <c r="N60" s="110">
        <f t="shared" si="128"/>
        <v>4584000</v>
      </c>
      <c r="O60" s="110">
        <f t="shared" si="128"/>
        <v>4641308</v>
      </c>
      <c r="P60" s="110">
        <f t="shared" si="128"/>
        <v>4694921</v>
      </c>
      <c r="Q60" s="110">
        <f t="shared" si="128"/>
        <v>4748048</v>
      </c>
      <c r="R60" s="110">
        <f t="shared" si="128"/>
        <v>4821557</v>
      </c>
      <c r="S60" s="110">
        <f t="shared" si="128"/>
        <v>4898578</v>
      </c>
      <c r="T60" s="110">
        <f t="shared" si="128"/>
        <v>4978852</v>
      </c>
      <c r="U60" s="110">
        <f t="shared" si="128"/>
        <v>5039548</v>
      </c>
      <c r="V60" s="110">
        <f t="shared" si="128"/>
        <v>5091827</v>
      </c>
      <c r="W60" s="110">
        <f t="shared" ref="W60:Y60" si="129">SUM(W61:W66)</f>
        <v>5133836</v>
      </c>
      <c r="X60" s="110">
        <f t="shared" si="129"/>
        <v>5150890</v>
      </c>
      <c r="Y60" s="110">
        <f t="shared" si="129"/>
        <v>5185006</v>
      </c>
      <c r="DA60" s="176" t="s">
        <v>503</v>
      </c>
    </row>
    <row r="61" spans="1:105" ht="11.45" customHeight="1" x14ac:dyDescent="0.25">
      <c r="A61" s="111" t="s">
        <v>110</v>
      </c>
      <c r="B61" s="84">
        <v>2598000</v>
      </c>
      <c r="C61" s="84">
        <v>2532933</v>
      </c>
      <c r="D61" s="84">
        <v>2229586</v>
      </c>
      <c r="E61" s="84">
        <v>2152286</v>
      </c>
      <c r="F61" s="84">
        <v>2073993</v>
      </c>
      <c r="G61" s="84">
        <v>2016724</v>
      </c>
      <c r="H61" s="84">
        <v>1971457</v>
      </c>
      <c r="I61" s="84">
        <v>1950719</v>
      </c>
      <c r="J61" s="84">
        <v>1948861</v>
      </c>
      <c r="K61" s="84">
        <v>1965476</v>
      </c>
      <c r="L61" s="84">
        <v>1984314</v>
      </c>
      <c r="M61" s="84">
        <v>1995411</v>
      </c>
      <c r="N61" s="84">
        <v>2001262</v>
      </c>
      <c r="O61" s="84">
        <v>2006553</v>
      </c>
      <c r="P61" s="84">
        <v>2016745</v>
      </c>
      <c r="Q61" s="84">
        <v>2028565</v>
      </c>
      <c r="R61" s="84">
        <v>2051338</v>
      </c>
      <c r="S61" s="84">
        <v>2099856</v>
      </c>
      <c r="T61" s="84">
        <v>2166343</v>
      </c>
      <c r="U61" s="84">
        <v>2216232</v>
      </c>
      <c r="V61" s="84">
        <v>2249710</v>
      </c>
      <c r="W61" s="84">
        <v>2277926</v>
      </c>
      <c r="X61" s="84">
        <v>2302304</v>
      </c>
      <c r="Y61" s="84">
        <v>2328959</v>
      </c>
      <c r="DA61" s="171" t="s">
        <v>504</v>
      </c>
    </row>
    <row r="62" spans="1:105" ht="11.45" customHeight="1" x14ac:dyDescent="0.25">
      <c r="A62" s="111" t="s">
        <v>111</v>
      </c>
      <c r="B62" s="84">
        <v>1499000</v>
      </c>
      <c r="C62" s="84">
        <v>1629238</v>
      </c>
      <c r="D62" s="84">
        <v>1731804</v>
      </c>
      <c r="E62" s="84">
        <v>1870475</v>
      </c>
      <c r="F62" s="84">
        <v>2009398</v>
      </c>
      <c r="G62" s="84">
        <v>2114801</v>
      </c>
      <c r="H62" s="84">
        <v>2207036</v>
      </c>
      <c r="I62" s="84">
        <v>2270075</v>
      </c>
      <c r="J62" s="84">
        <v>2309318</v>
      </c>
      <c r="K62" s="84">
        <v>2370094</v>
      </c>
      <c r="L62" s="84">
        <v>2433626</v>
      </c>
      <c r="M62" s="84">
        <v>2492794</v>
      </c>
      <c r="N62" s="84">
        <v>2555354</v>
      </c>
      <c r="O62" s="84">
        <v>2607130</v>
      </c>
      <c r="P62" s="84">
        <v>2650382</v>
      </c>
      <c r="Q62" s="84">
        <v>2693495</v>
      </c>
      <c r="R62" s="84">
        <v>2740919</v>
      </c>
      <c r="S62" s="84">
        <v>2763203</v>
      </c>
      <c r="T62" s="84">
        <v>2772203</v>
      </c>
      <c r="U62" s="84">
        <v>2773838</v>
      </c>
      <c r="V62" s="84">
        <v>2772263</v>
      </c>
      <c r="W62" s="84">
        <v>2740563</v>
      </c>
      <c r="X62" s="84">
        <v>2687560</v>
      </c>
      <c r="Y62" s="84">
        <v>2635448</v>
      </c>
      <c r="DA62" s="171" t="s">
        <v>505</v>
      </c>
    </row>
    <row r="63" spans="1:105" ht="11.45" customHeight="1" x14ac:dyDescent="0.25">
      <c r="A63" s="111" t="s">
        <v>112</v>
      </c>
      <c r="B63" s="84">
        <v>18500</v>
      </c>
      <c r="C63" s="84">
        <v>19829</v>
      </c>
      <c r="D63" s="84">
        <v>25610</v>
      </c>
      <c r="E63" s="84">
        <v>31239</v>
      </c>
      <c r="F63" s="84">
        <v>25609</v>
      </c>
      <c r="G63" s="84">
        <v>25475</v>
      </c>
      <c r="H63" s="84">
        <v>26453</v>
      </c>
      <c r="I63" s="84">
        <v>24994</v>
      </c>
      <c r="J63" s="84">
        <v>25819</v>
      </c>
      <c r="K63" s="84">
        <v>22886</v>
      </c>
      <c r="L63" s="84">
        <v>21234</v>
      </c>
      <c r="M63" s="84">
        <v>21134</v>
      </c>
      <c r="N63" s="84">
        <v>22619</v>
      </c>
      <c r="O63" s="84">
        <v>21496</v>
      </c>
      <c r="P63" s="84">
        <v>19370</v>
      </c>
      <c r="Q63" s="84">
        <v>14669</v>
      </c>
      <c r="R63" s="84">
        <v>12909</v>
      </c>
      <c r="S63" s="84">
        <v>11747</v>
      </c>
      <c r="T63" s="84">
        <v>8223</v>
      </c>
      <c r="U63" s="84">
        <v>6167</v>
      </c>
      <c r="V63" s="84">
        <v>4379</v>
      </c>
      <c r="W63" s="84">
        <v>4332</v>
      </c>
      <c r="X63" s="84">
        <v>3332</v>
      </c>
      <c r="Y63" s="84">
        <v>1835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54</v>
      </c>
      <c r="I64" s="84">
        <v>212</v>
      </c>
      <c r="J64" s="84">
        <v>1000</v>
      </c>
      <c r="K64" s="84">
        <v>1216</v>
      </c>
      <c r="L64" s="84">
        <v>1473</v>
      </c>
      <c r="M64" s="84">
        <v>2670</v>
      </c>
      <c r="N64" s="84">
        <v>3109</v>
      </c>
      <c r="O64" s="84">
        <v>3651</v>
      </c>
      <c r="P64" s="84">
        <v>4262</v>
      </c>
      <c r="Q64" s="84">
        <v>4775</v>
      </c>
      <c r="R64" s="84">
        <v>5031</v>
      </c>
      <c r="S64" s="84">
        <v>5206</v>
      </c>
      <c r="T64" s="84">
        <v>5542</v>
      </c>
      <c r="U64" s="84">
        <v>5746</v>
      </c>
      <c r="V64" s="84">
        <v>5731</v>
      </c>
      <c r="W64" s="84">
        <v>5455</v>
      </c>
      <c r="X64" s="84">
        <v>5180</v>
      </c>
      <c r="Y64" s="84">
        <v>4779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2</v>
      </c>
      <c r="N65" s="84">
        <v>267</v>
      </c>
      <c r="O65" s="84">
        <v>408</v>
      </c>
      <c r="P65" s="84">
        <v>776</v>
      </c>
      <c r="Q65" s="84">
        <v>1512</v>
      </c>
      <c r="R65" s="84">
        <v>2287</v>
      </c>
      <c r="S65" s="84">
        <v>3948</v>
      </c>
      <c r="T65" s="84">
        <v>5710</v>
      </c>
      <c r="U65" s="84">
        <v>8042</v>
      </c>
      <c r="V65" s="84">
        <v>15237</v>
      </c>
      <c r="W65" s="84">
        <v>29021</v>
      </c>
      <c r="X65" s="84">
        <v>42289</v>
      </c>
      <c r="Y65" s="84">
        <v>58494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2</v>
      </c>
      <c r="K66" s="84">
        <v>328</v>
      </c>
      <c r="L66" s="84">
        <v>353</v>
      </c>
      <c r="M66" s="84">
        <v>989</v>
      </c>
      <c r="N66" s="84">
        <v>1389</v>
      </c>
      <c r="O66" s="84">
        <v>2070</v>
      </c>
      <c r="P66" s="84">
        <v>3386</v>
      </c>
      <c r="Q66" s="84">
        <v>5032</v>
      </c>
      <c r="R66" s="84">
        <v>9073</v>
      </c>
      <c r="S66" s="84">
        <v>14618</v>
      </c>
      <c r="T66" s="84">
        <v>20831</v>
      </c>
      <c r="U66" s="84">
        <v>29523</v>
      </c>
      <c r="V66" s="84">
        <v>44507</v>
      </c>
      <c r="W66" s="84">
        <v>76539</v>
      </c>
      <c r="X66" s="84">
        <v>110225</v>
      </c>
      <c r="Y66" s="84">
        <v>155491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9918</v>
      </c>
      <c r="C67" s="110">
        <f t="shared" si="130"/>
        <v>9902</v>
      </c>
      <c r="D67" s="110">
        <f t="shared" si="130"/>
        <v>9187</v>
      </c>
      <c r="E67" s="110">
        <f t="shared" si="130"/>
        <v>9236</v>
      </c>
      <c r="F67" s="110">
        <f t="shared" si="130"/>
        <v>9419</v>
      </c>
      <c r="G67" s="110">
        <f t="shared" si="130"/>
        <v>9315</v>
      </c>
      <c r="H67" s="110">
        <f t="shared" si="130"/>
        <v>9307</v>
      </c>
      <c r="I67" s="110">
        <f t="shared" si="130"/>
        <v>9324</v>
      </c>
      <c r="J67" s="110">
        <f t="shared" si="130"/>
        <v>9382</v>
      </c>
      <c r="K67" s="110">
        <f t="shared" si="130"/>
        <v>9787</v>
      </c>
      <c r="L67" s="110">
        <f t="shared" ref="L67" si="131">SUM(L68:L72)</f>
        <v>9917</v>
      </c>
      <c r="M67" s="110">
        <f t="shared" ref="M67:V67" si="132">SUM(M68:M72)</f>
        <v>9886</v>
      </c>
      <c r="N67" s="110">
        <f t="shared" si="132"/>
        <v>9839</v>
      </c>
      <c r="O67" s="110">
        <f t="shared" si="132"/>
        <v>9986</v>
      </c>
      <c r="P67" s="110">
        <f t="shared" si="132"/>
        <v>10070</v>
      </c>
      <c r="Q67" s="110">
        <f t="shared" si="132"/>
        <v>10122</v>
      </c>
      <c r="R67" s="110">
        <f t="shared" si="132"/>
        <v>10252</v>
      </c>
      <c r="S67" s="110">
        <f t="shared" si="132"/>
        <v>10397</v>
      </c>
      <c r="T67" s="110">
        <f t="shared" si="132"/>
        <v>10037</v>
      </c>
      <c r="U67" s="110">
        <f t="shared" si="132"/>
        <v>10148</v>
      </c>
      <c r="V67" s="110">
        <f t="shared" si="132"/>
        <v>10064</v>
      </c>
      <c r="W67" s="110">
        <f t="shared" ref="W67:Y67" si="133">SUM(W68:W72)</f>
        <v>10136</v>
      </c>
      <c r="X67" s="110">
        <f t="shared" si="133"/>
        <v>10373</v>
      </c>
      <c r="Y67" s="110">
        <f t="shared" si="133"/>
        <v>10632</v>
      </c>
      <c r="DA67" s="176" t="s">
        <v>510</v>
      </c>
    </row>
    <row r="68" spans="1:105" ht="11.45" customHeight="1" x14ac:dyDescent="0.25">
      <c r="A68" s="111" t="s">
        <v>110</v>
      </c>
      <c r="B68" s="102">
        <v>13</v>
      </c>
      <c r="C68" s="102">
        <v>14</v>
      </c>
      <c r="D68" s="102">
        <v>11</v>
      </c>
      <c r="E68" s="102">
        <v>10</v>
      </c>
      <c r="F68" s="102">
        <v>9</v>
      </c>
      <c r="G68" s="102">
        <v>7</v>
      </c>
      <c r="H68" s="102">
        <v>6</v>
      </c>
      <c r="I68" s="102">
        <v>6</v>
      </c>
      <c r="J68" s="102">
        <v>5</v>
      </c>
      <c r="K68" s="102">
        <v>4</v>
      </c>
      <c r="L68" s="102">
        <v>4</v>
      </c>
      <c r="M68" s="102">
        <v>3</v>
      </c>
      <c r="N68" s="102">
        <v>3</v>
      </c>
      <c r="O68" s="102">
        <v>2</v>
      </c>
      <c r="P68" s="102">
        <v>3</v>
      </c>
      <c r="Q68" s="102">
        <v>3</v>
      </c>
      <c r="R68" s="102">
        <v>4</v>
      </c>
      <c r="S68" s="102">
        <v>4</v>
      </c>
      <c r="T68" s="102">
        <v>4</v>
      </c>
      <c r="U68" s="102">
        <v>4</v>
      </c>
      <c r="V68" s="102">
        <v>3</v>
      </c>
      <c r="W68" s="102">
        <v>4</v>
      </c>
      <c r="X68" s="102">
        <v>4</v>
      </c>
      <c r="Y68" s="102">
        <v>3</v>
      </c>
      <c r="DA68" s="175" t="s">
        <v>511</v>
      </c>
    </row>
    <row r="69" spans="1:105" ht="11.45" customHeight="1" x14ac:dyDescent="0.25">
      <c r="A69" s="111" t="s">
        <v>111</v>
      </c>
      <c r="B69" s="102">
        <v>9789</v>
      </c>
      <c r="C69" s="102">
        <v>9758</v>
      </c>
      <c r="D69" s="102">
        <v>9015</v>
      </c>
      <c r="E69" s="102">
        <v>9045</v>
      </c>
      <c r="F69" s="102">
        <v>9197</v>
      </c>
      <c r="G69" s="102">
        <v>9054</v>
      </c>
      <c r="H69" s="102">
        <v>9016</v>
      </c>
      <c r="I69" s="102">
        <v>8960</v>
      </c>
      <c r="J69" s="102">
        <v>8950</v>
      </c>
      <c r="K69" s="102">
        <v>9077</v>
      </c>
      <c r="L69" s="102">
        <v>9028</v>
      </c>
      <c r="M69" s="102">
        <v>8947</v>
      </c>
      <c r="N69" s="102">
        <v>8859</v>
      </c>
      <c r="O69" s="102">
        <v>8883</v>
      </c>
      <c r="P69" s="102">
        <v>8919</v>
      </c>
      <c r="Q69" s="102">
        <v>9067</v>
      </c>
      <c r="R69" s="102">
        <v>9259</v>
      </c>
      <c r="S69" s="102">
        <v>9457</v>
      </c>
      <c r="T69" s="102">
        <v>9167</v>
      </c>
      <c r="U69" s="102">
        <v>9426</v>
      </c>
      <c r="V69" s="102">
        <v>9325</v>
      </c>
      <c r="W69" s="102">
        <v>9455</v>
      </c>
      <c r="X69" s="102">
        <v>9674</v>
      </c>
      <c r="Y69" s="102">
        <v>9929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16</v>
      </c>
      <c r="D70" s="102">
        <v>48</v>
      </c>
      <c r="E70" s="102">
        <v>68</v>
      </c>
      <c r="F70" s="102">
        <v>92</v>
      </c>
      <c r="G70" s="102">
        <v>133</v>
      </c>
      <c r="H70" s="102">
        <v>165</v>
      </c>
      <c r="I70" s="102">
        <v>205</v>
      </c>
      <c r="J70" s="102">
        <v>242</v>
      </c>
      <c r="K70" s="102">
        <v>319</v>
      </c>
      <c r="L70" s="102">
        <v>361</v>
      </c>
      <c r="M70" s="102">
        <v>389</v>
      </c>
      <c r="N70" s="102">
        <v>389</v>
      </c>
      <c r="O70" s="102">
        <v>379</v>
      </c>
      <c r="P70" s="102">
        <v>358</v>
      </c>
      <c r="Q70" s="102">
        <v>286</v>
      </c>
      <c r="R70" s="102">
        <v>235</v>
      </c>
      <c r="S70" s="102">
        <v>191</v>
      </c>
      <c r="T70" s="102">
        <v>191</v>
      </c>
      <c r="U70" s="102">
        <v>16</v>
      </c>
      <c r="V70" s="102">
        <v>16</v>
      </c>
      <c r="W70" s="102">
        <v>15</v>
      </c>
      <c r="X70" s="102">
        <v>15</v>
      </c>
      <c r="Y70" s="102">
        <v>7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13</v>
      </c>
      <c r="G71" s="102">
        <v>13</v>
      </c>
      <c r="H71" s="102">
        <v>10</v>
      </c>
      <c r="I71" s="102">
        <v>52</v>
      </c>
      <c r="J71" s="102">
        <v>84</v>
      </c>
      <c r="K71" s="102">
        <v>281</v>
      </c>
      <c r="L71" s="102">
        <v>411</v>
      </c>
      <c r="M71" s="102">
        <v>431</v>
      </c>
      <c r="N71" s="102">
        <v>462</v>
      </c>
      <c r="O71" s="102">
        <v>583</v>
      </c>
      <c r="P71" s="102">
        <v>659</v>
      </c>
      <c r="Q71" s="102">
        <v>628</v>
      </c>
      <c r="R71" s="102">
        <v>605</v>
      </c>
      <c r="S71" s="102">
        <v>602</v>
      </c>
      <c r="T71" s="102">
        <v>521</v>
      </c>
      <c r="U71" s="102">
        <v>541</v>
      </c>
      <c r="V71" s="102">
        <v>548</v>
      </c>
      <c r="W71" s="102">
        <v>488</v>
      </c>
      <c r="X71" s="102">
        <v>478</v>
      </c>
      <c r="Y71" s="102">
        <v>433</v>
      </c>
      <c r="DA71" s="175" t="s">
        <v>514</v>
      </c>
    </row>
    <row r="72" spans="1:105" ht="11.45" customHeight="1" x14ac:dyDescent="0.25">
      <c r="A72" s="111" t="s">
        <v>115</v>
      </c>
      <c r="B72" s="102">
        <v>116</v>
      </c>
      <c r="C72" s="102">
        <v>114</v>
      </c>
      <c r="D72" s="102">
        <v>113</v>
      </c>
      <c r="E72" s="102">
        <v>113</v>
      </c>
      <c r="F72" s="102">
        <v>108</v>
      </c>
      <c r="G72" s="102">
        <v>108</v>
      </c>
      <c r="H72" s="102">
        <v>110</v>
      </c>
      <c r="I72" s="102">
        <v>101</v>
      </c>
      <c r="J72" s="102">
        <v>101</v>
      </c>
      <c r="K72" s="102">
        <v>106</v>
      </c>
      <c r="L72" s="102">
        <v>113</v>
      </c>
      <c r="M72" s="102">
        <v>116</v>
      </c>
      <c r="N72" s="102">
        <v>126</v>
      </c>
      <c r="O72" s="102">
        <v>139</v>
      </c>
      <c r="P72" s="102">
        <v>131</v>
      </c>
      <c r="Q72" s="102">
        <v>138</v>
      </c>
      <c r="R72" s="102">
        <v>149</v>
      </c>
      <c r="S72" s="102">
        <v>143</v>
      </c>
      <c r="T72" s="102">
        <v>154</v>
      </c>
      <c r="U72" s="102">
        <v>161</v>
      </c>
      <c r="V72" s="102">
        <v>172</v>
      </c>
      <c r="W72" s="102">
        <v>174</v>
      </c>
      <c r="X72" s="102">
        <v>202</v>
      </c>
      <c r="Y72" s="102">
        <v>260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338521</v>
      </c>
      <c r="C73" s="28">
        <f t="shared" si="134"/>
        <v>343218</v>
      </c>
      <c r="D73" s="28">
        <f t="shared" si="134"/>
        <v>332964</v>
      </c>
      <c r="E73" s="28">
        <f t="shared" si="134"/>
        <v>339513</v>
      </c>
      <c r="F73" s="28">
        <f t="shared" si="134"/>
        <v>349265</v>
      </c>
      <c r="G73" s="28">
        <f t="shared" si="134"/>
        <v>356226</v>
      </c>
      <c r="H73" s="28">
        <f t="shared" si="134"/>
        <v>363296</v>
      </c>
      <c r="I73" s="28">
        <f t="shared" si="134"/>
        <v>374953</v>
      </c>
      <c r="J73" s="28">
        <f t="shared" si="134"/>
        <v>388123</v>
      </c>
      <c r="K73" s="28">
        <f t="shared" si="134"/>
        <v>394441</v>
      </c>
      <c r="L73" s="28">
        <f t="shared" ref="L73" si="135">L74+L80</f>
        <v>404687</v>
      </c>
      <c r="M73" s="28">
        <f t="shared" ref="M73:V73" si="136">M74+M80</f>
        <v>416718</v>
      </c>
      <c r="N73" s="28">
        <f t="shared" si="136"/>
        <v>426850</v>
      </c>
      <c r="O73" s="28">
        <f t="shared" si="136"/>
        <v>436928</v>
      </c>
      <c r="P73" s="28">
        <f t="shared" si="136"/>
        <v>446984</v>
      </c>
      <c r="Q73" s="28">
        <f t="shared" si="136"/>
        <v>457523</v>
      </c>
      <c r="R73" s="28">
        <f t="shared" si="136"/>
        <v>471548</v>
      </c>
      <c r="S73" s="28">
        <f t="shared" si="136"/>
        <v>491158</v>
      </c>
      <c r="T73" s="28">
        <f t="shared" si="136"/>
        <v>511838</v>
      </c>
      <c r="U73" s="28">
        <f t="shared" si="136"/>
        <v>524691</v>
      </c>
      <c r="V73" s="28">
        <f t="shared" si="136"/>
        <v>537149</v>
      </c>
      <c r="W73" s="28">
        <f t="shared" ref="W73:Y73" si="137">W74+W80</f>
        <v>568817</v>
      </c>
      <c r="X73" s="28">
        <f t="shared" si="137"/>
        <v>592884</v>
      </c>
      <c r="Y73" s="28">
        <f t="shared" si="137"/>
        <v>601459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253915</v>
      </c>
      <c r="C74" s="137">
        <f t="shared" si="138"/>
        <v>260666</v>
      </c>
      <c r="D74" s="137">
        <f t="shared" si="138"/>
        <v>251753</v>
      </c>
      <c r="E74" s="137">
        <f t="shared" si="138"/>
        <v>258819</v>
      </c>
      <c r="F74" s="137">
        <f t="shared" si="138"/>
        <v>266660</v>
      </c>
      <c r="G74" s="137">
        <f t="shared" si="138"/>
        <v>273942</v>
      </c>
      <c r="H74" s="137">
        <f t="shared" si="138"/>
        <v>281677</v>
      </c>
      <c r="I74" s="137">
        <f t="shared" si="138"/>
        <v>290544</v>
      </c>
      <c r="J74" s="137">
        <f t="shared" si="138"/>
        <v>300301</v>
      </c>
      <c r="K74" s="137">
        <f t="shared" si="138"/>
        <v>309052</v>
      </c>
      <c r="L74" s="137">
        <f t="shared" ref="L74" si="139">SUM(L75:L79)</f>
        <v>319017</v>
      </c>
      <c r="M74" s="137">
        <f t="shared" ref="M74:V74" si="140">SUM(M75:M79)</f>
        <v>330440</v>
      </c>
      <c r="N74" s="137">
        <f t="shared" si="140"/>
        <v>340946</v>
      </c>
      <c r="O74" s="137">
        <f t="shared" si="140"/>
        <v>355214</v>
      </c>
      <c r="P74" s="137">
        <f t="shared" si="140"/>
        <v>365686</v>
      </c>
      <c r="Q74" s="137">
        <f t="shared" si="140"/>
        <v>375163</v>
      </c>
      <c r="R74" s="137">
        <f t="shared" si="140"/>
        <v>387786</v>
      </c>
      <c r="S74" s="137">
        <f t="shared" si="140"/>
        <v>403984</v>
      </c>
      <c r="T74" s="137">
        <f t="shared" si="140"/>
        <v>422745</v>
      </c>
      <c r="U74" s="137">
        <f t="shared" si="140"/>
        <v>434295</v>
      </c>
      <c r="V74" s="137">
        <f t="shared" si="140"/>
        <v>446067</v>
      </c>
      <c r="W74" s="137">
        <f t="shared" ref="W74:Y74" si="141">SUM(W75:W79)</f>
        <v>475561</v>
      </c>
      <c r="X74" s="137">
        <f t="shared" si="141"/>
        <v>498325</v>
      </c>
      <c r="Y74" s="137">
        <f t="shared" si="141"/>
        <v>507996</v>
      </c>
      <c r="DA74" s="174" t="s">
        <v>517</v>
      </c>
    </row>
    <row r="75" spans="1:105" ht="11.45" customHeight="1" x14ac:dyDescent="0.25">
      <c r="A75" s="111" t="s">
        <v>110</v>
      </c>
      <c r="B75" s="84">
        <v>34436</v>
      </c>
      <c r="C75" s="84">
        <v>31577</v>
      </c>
      <c r="D75" s="84">
        <v>21139</v>
      </c>
      <c r="E75" s="84">
        <v>18873</v>
      </c>
      <c r="F75" s="84">
        <v>16971</v>
      </c>
      <c r="G75" s="84">
        <v>15566</v>
      </c>
      <c r="H75" s="84">
        <v>14663</v>
      </c>
      <c r="I75" s="84">
        <v>14227</v>
      </c>
      <c r="J75" s="84">
        <v>14168</v>
      </c>
      <c r="K75" s="84">
        <v>14586</v>
      </c>
      <c r="L75" s="84">
        <v>14864</v>
      </c>
      <c r="M75" s="84">
        <v>15303</v>
      </c>
      <c r="N75" s="84">
        <v>15808</v>
      </c>
      <c r="O75" s="84">
        <v>16476</v>
      </c>
      <c r="P75" s="84">
        <v>17109</v>
      </c>
      <c r="Q75" s="84">
        <v>17650</v>
      </c>
      <c r="R75" s="84">
        <v>18087</v>
      </c>
      <c r="S75" s="84">
        <v>19169</v>
      </c>
      <c r="T75" s="84">
        <v>20751</v>
      </c>
      <c r="U75" s="84">
        <v>21014</v>
      </c>
      <c r="V75" s="84">
        <v>21173</v>
      </c>
      <c r="W75" s="84">
        <v>22000</v>
      </c>
      <c r="X75" s="84">
        <v>24124</v>
      </c>
      <c r="Y75" s="84">
        <v>25368</v>
      </c>
      <c r="DA75" s="171" t="s">
        <v>518</v>
      </c>
    </row>
    <row r="76" spans="1:105" ht="11.45" customHeight="1" x14ac:dyDescent="0.25">
      <c r="A76" s="111" t="s">
        <v>111</v>
      </c>
      <c r="B76" s="84">
        <v>219454</v>
      </c>
      <c r="C76" s="84">
        <v>229056</v>
      </c>
      <c r="D76" s="84">
        <v>230585</v>
      </c>
      <c r="E76" s="84">
        <v>239911</v>
      </c>
      <c r="F76" s="84">
        <v>249644</v>
      </c>
      <c r="G76" s="84">
        <v>258270</v>
      </c>
      <c r="H76" s="84">
        <v>266843</v>
      </c>
      <c r="I76" s="84">
        <v>276072</v>
      </c>
      <c r="J76" s="84">
        <v>285788</v>
      </c>
      <c r="K76" s="84">
        <v>294219</v>
      </c>
      <c r="L76" s="84">
        <v>303886</v>
      </c>
      <c r="M76" s="84">
        <v>314819</v>
      </c>
      <c r="N76" s="84">
        <v>324487</v>
      </c>
      <c r="O76" s="84">
        <v>337107</v>
      </c>
      <c r="P76" s="84">
        <v>346664</v>
      </c>
      <c r="Q76" s="84">
        <v>355336</v>
      </c>
      <c r="R76" s="84">
        <v>366275</v>
      </c>
      <c r="S76" s="84">
        <v>381190</v>
      </c>
      <c r="T76" s="84">
        <v>397835</v>
      </c>
      <c r="U76" s="84">
        <v>408692</v>
      </c>
      <c r="V76" s="84">
        <v>419666</v>
      </c>
      <c r="W76" s="84">
        <v>446050</v>
      </c>
      <c r="X76" s="84">
        <v>464654</v>
      </c>
      <c r="Y76" s="84">
        <v>470033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7</v>
      </c>
      <c r="F77" s="84">
        <v>19</v>
      </c>
      <c r="G77" s="84">
        <v>82</v>
      </c>
      <c r="H77" s="84">
        <v>78</v>
      </c>
      <c r="I77" s="84">
        <v>77</v>
      </c>
      <c r="J77" s="84">
        <v>76</v>
      </c>
      <c r="K77" s="84">
        <v>74</v>
      </c>
      <c r="L77" s="84">
        <v>71</v>
      </c>
      <c r="M77" s="84">
        <v>67</v>
      </c>
      <c r="N77" s="84">
        <v>73</v>
      </c>
      <c r="O77" s="84">
        <v>81</v>
      </c>
      <c r="P77" s="84">
        <v>94</v>
      </c>
      <c r="Q77" s="84">
        <v>98</v>
      </c>
      <c r="R77" s="84">
        <v>155</v>
      </c>
      <c r="S77" s="84">
        <v>166</v>
      </c>
      <c r="T77" s="84">
        <v>173</v>
      </c>
      <c r="U77" s="84">
        <v>191</v>
      </c>
      <c r="V77" s="84">
        <v>225</v>
      </c>
      <c r="W77" s="84">
        <v>262</v>
      </c>
      <c r="X77" s="84">
        <v>294</v>
      </c>
      <c r="Y77" s="84">
        <v>313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71</v>
      </c>
      <c r="I78" s="84">
        <v>140</v>
      </c>
      <c r="J78" s="84">
        <v>238</v>
      </c>
      <c r="K78" s="84">
        <v>128</v>
      </c>
      <c r="L78" s="84">
        <v>127</v>
      </c>
      <c r="M78" s="84">
        <v>142</v>
      </c>
      <c r="N78" s="84">
        <v>192</v>
      </c>
      <c r="O78" s="84">
        <v>931</v>
      </c>
      <c r="P78" s="84">
        <v>1000</v>
      </c>
      <c r="Q78" s="84">
        <v>1010</v>
      </c>
      <c r="R78" s="84">
        <v>1802</v>
      </c>
      <c r="S78" s="84">
        <v>1748</v>
      </c>
      <c r="T78" s="84">
        <v>1845</v>
      </c>
      <c r="U78" s="84">
        <v>1793</v>
      </c>
      <c r="V78" s="84">
        <v>1673</v>
      </c>
      <c r="W78" s="84">
        <v>1622</v>
      </c>
      <c r="X78" s="84">
        <v>1559</v>
      </c>
      <c r="Y78" s="84">
        <v>1435</v>
      </c>
      <c r="DA78" s="171" t="s">
        <v>521</v>
      </c>
    </row>
    <row r="79" spans="1:105" ht="11.45" customHeight="1" x14ac:dyDescent="0.25">
      <c r="A79" s="111" t="s">
        <v>115</v>
      </c>
      <c r="B79" s="84">
        <v>25</v>
      </c>
      <c r="C79" s="84">
        <v>33</v>
      </c>
      <c r="D79" s="84">
        <v>29</v>
      </c>
      <c r="E79" s="84">
        <v>28</v>
      </c>
      <c r="F79" s="84">
        <v>26</v>
      </c>
      <c r="G79" s="84">
        <v>24</v>
      </c>
      <c r="H79" s="84">
        <v>22</v>
      </c>
      <c r="I79" s="84">
        <v>28</v>
      </c>
      <c r="J79" s="84">
        <v>31</v>
      </c>
      <c r="K79" s="84">
        <v>45</v>
      </c>
      <c r="L79" s="84">
        <v>69</v>
      </c>
      <c r="M79" s="84">
        <v>109</v>
      </c>
      <c r="N79" s="84">
        <v>386</v>
      </c>
      <c r="O79" s="84">
        <v>619</v>
      </c>
      <c r="P79" s="84">
        <v>819</v>
      </c>
      <c r="Q79" s="84">
        <v>1069</v>
      </c>
      <c r="R79" s="84">
        <v>1467</v>
      </c>
      <c r="S79" s="84">
        <v>1711</v>
      </c>
      <c r="T79" s="84">
        <v>2141</v>
      </c>
      <c r="U79" s="84">
        <v>2605</v>
      </c>
      <c r="V79" s="84">
        <v>3330</v>
      </c>
      <c r="W79" s="84">
        <v>5627</v>
      </c>
      <c r="X79" s="84">
        <v>7694</v>
      </c>
      <c r="Y79" s="84">
        <v>10847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84606</v>
      </c>
      <c r="C80" s="110">
        <f t="shared" si="142"/>
        <v>82552</v>
      </c>
      <c r="D80" s="110">
        <f t="shared" si="142"/>
        <v>81211</v>
      </c>
      <c r="E80" s="110">
        <f t="shared" si="142"/>
        <v>80694</v>
      </c>
      <c r="F80" s="110">
        <f t="shared" si="142"/>
        <v>82605</v>
      </c>
      <c r="G80" s="110">
        <f t="shared" si="142"/>
        <v>82284</v>
      </c>
      <c r="H80" s="110">
        <f t="shared" si="142"/>
        <v>81619</v>
      </c>
      <c r="I80" s="110">
        <f t="shared" si="142"/>
        <v>84409</v>
      </c>
      <c r="J80" s="110">
        <f t="shared" si="142"/>
        <v>87822</v>
      </c>
      <c r="K80" s="110">
        <f t="shared" si="142"/>
        <v>85389</v>
      </c>
      <c r="L80" s="110">
        <f t="shared" ref="L80" si="143">SUM(L81:L82)</f>
        <v>85670</v>
      </c>
      <c r="M80" s="110">
        <f t="shared" ref="M80:V80" si="144">SUM(M81:M82)</f>
        <v>86278</v>
      </c>
      <c r="N80" s="110">
        <f t="shared" si="144"/>
        <v>85904</v>
      </c>
      <c r="O80" s="110">
        <f t="shared" si="144"/>
        <v>81714</v>
      </c>
      <c r="P80" s="110">
        <f t="shared" si="144"/>
        <v>81298</v>
      </c>
      <c r="Q80" s="110">
        <f t="shared" si="144"/>
        <v>82360</v>
      </c>
      <c r="R80" s="110">
        <f t="shared" si="144"/>
        <v>83762</v>
      </c>
      <c r="S80" s="110">
        <f t="shared" si="144"/>
        <v>87174</v>
      </c>
      <c r="T80" s="110">
        <f t="shared" si="144"/>
        <v>89093</v>
      </c>
      <c r="U80" s="110">
        <f t="shared" si="144"/>
        <v>90396</v>
      </c>
      <c r="V80" s="110">
        <f t="shared" si="144"/>
        <v>91082</v>
      </c>
      <c r="W80" s="110">
        <f t="shared" ref="W80:Y80" si="145">SUM(W81:W82)</f>
        <v>93256</v>
      </c>
      <c r="X80" s="110">
        <f t="shared" si="145"/>
        <v>94559</v>
      </c>
      <c r="Y80" s="110">
        <f t="shared" si="145"/>
        <v>93463</v>
      </c>
      <c r="DA80" s="176" t="s">
        <v>523</v>
      </c>
    </row>
    <row r="81" spans="1:105" ht="11.45" customHeight="1" x14ac:dyDescent="0.25">
      <c r="A81" s="128" t="s">
        <v>27</v>
      </c>
      <c r="B81" s="102">
        <v>72775</v>
      </c>
      <c r="C81" s="102">
        <v>69868</v>
      </c>
      <c r="D81" s="102">
        <v>67867</v>
      </c>
      <c r="E81" s="102">
        <v>67055</v>
      </c>
      <c r="F81" s="102">
        <v>66478</v>
      </c>
      <c r="G81" s="102">
        <v>65588</v>
      </c>
      <c r="H81" s="102">
        <v>64080</v>
      </c>
      <c r="I81" s="102">
        <v>64569</v>
      </c>
      <c r="J81" s="102">
        <v>65392</v>
      </c>
      <c r="K81" s="102">
        <v>66337</v>
      </c>
      <c r="L81" s="102">
        <v>65800</v>
      </c>
      <c r="M81" s="102">
        <v>65798</v>
      </c>
      <c r="N81" s="102">
        <v>65942</v>
      </c>
      <c r="O81" s="102">
        <v>61103</v>
      </c>
      <c r="P81" s="102">
        <v>60528</v>
      </c>
      <c r="Q81" s="102">
        <v>60548</v>
      </c>
      <c r="R81" s="102">
        <v>61301</v>
      </c>
      <c r="S81" s="102">
        <v>62825</v>
      </c>
      <c r="T81" s="102">
        <v>64686</v>
      </c>
      <c r="U81" s="102">
        <v>65458</v>
      </c>
      <c r="V81" s="102">
        <v>65714</v>
      </c>
      <c r="W81" s="102">
        <v>66622</v>
      </c>
      <c r="X81" s="102">
        <v>67324</v>
      </c>
      <c r="Y81" s="102">
        <v>67179</v>
      </c>
      <c r="DA81" s="175" t="s">
        <v>524</v>
      </c>
    </row>
    <row r="82" spans="1:105" ht="11.45" customHeight="1" x14ac:dyDescent="0.25">
      <c r="A82" s="138" t="s">
        <v>116</v>
      </c>
      <c r="B82" s="86">
        <v>11831</v>
      </c>
      <c r="C82" s="86">
        <v>12684</v>
      </c>
      <c r="D82" s="86">
        <v>13344</v>
      </c>
      <c r="E82" s="86">
        <v>13639</v>
      </c>
      <c r="F82" s="86">
        <v>16127</v>
      </c>
      <c r="G82" s="86">
        <v>16696</v>
      </c>
      <c r="H82" s="86">
        <v>17539</v>
      </c>
      <c r="I82" s="86">
        <v>19840</v>
      </c>
      <c r="J82" s="86">
        <v>22430</v>
      </c>
      <c r="K82" s="86">
        <v>19052</v>
      </c>
      <c r="L82" s="86">
        <v>19870</v>
      </c>
      <c r="M82" s="86">
        <v>20480</v>
      </c>
      <c r="N82" s="86">
        <v>19962</v>
      </c>
      <c r="O82" s="86">
        <v>20611</v>
      </c>
      <c r="P82" s="86">
        <v>20770</v>
      </c>
      <c r="Q82" s="86">
        <v>21812</v>
      </c>
      <c r="R82" s="86">
        <v>22461</v>
      </c>
      <c r="S82" s="86">
        <v>24349</v>
      </c>
      <c r="T82" s="86">
        <v>24407</v>
      </c>
      <c r="U82" s="86">
        <v>24938</v>
      </c>
      <c r="V82" s="86">
        <v>25368</v>
      </c>
      <c r="W82" s="86">
        <v>26634</v>
      </c>
      <c r="X82" s="86">
        <v>27235</v>
      </c>
      <c r="Y82" s="86">
        <v>26284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5029840</v>
      </c>
      <c r="C84" s="54">
        <f t="shared" si="146"/>
        <v>5118158</v>
      </c>
      <c r="D84" s="54">
        <f t="shared" ref="D84:V84" si="147">D85+D100</f>
        <v>4925975</v>
      </c>
      <c r="E84" s="54">
        <f t="shared" si="147"/>
        <v>5009617</v>
      </c>
      <c r="F84" s="54">
        <f t="shared" si="147"/>
        <v>5079844</v>
      </c>
      <c r="G84" s="54">
        <f t="shared" si="147"/>
        <v>5150252</v>
      </c>
      <c r="H84" s="54">
        <f t="shared" si="147"/>
        <v>5222916</v>
      </c>
      <c r="I84" s="54">
        <f t="shared" si="147"/>
        <v>5297854</v>
      </c>
      <c r="J84" s="54">
        <f t="shared" si="147"/>
        <v>5373748</v>
      </c>
      <c r="K84" s="54">
        <f t="shared" si="147"/>
        <v>5476320</v>
      </c>
      <c r="L84" s="54">
        <f t="shared" si="147"/>
        <v>5583456</v>
      </c>
      <c r="M84" s="54">
        <f t="shared" si="147"/>
        <v>5683033</v>
      </c>
      <c r="N84" s="54">
        <f t="shared" si="147"/>
        <v>5783081</v>
      </c>
      <c r="O84" s="54">
        <f t="shared" si="147"/>
        <v>5864559</v>
      </c>
      <c r="P84" s="54">
        <f t="shared" si="147"/>
        <v>5940159</v>
      </c>
      <c r="Q84" s="54">
        <f t="shared" si="147"/>
        <v>6015599</v>
      </c>
      <c r="R84" s="54">
        <f t="shared" si="147"/>
        <v>6119834</v>
      </c>
      <c r="S84" s="54">
        <f t="shared" si="147"/>
        <v>6232333</v>
      </c>
      <c r="T84" s="54">
        <f t="shared" si="147"/>
        <v>6348082</v>
      </c>
      <c r="U84" s="54">
        <f t="shared" si="147"/>
        <v>6435145</v>
      </c>
      <c r="V84" s="54">
        <f t="shared" si="147"/>
        <v>6523533</v>
      </c>
      <c r="W84" s="54">
        <f t="shared" ref="W84:Y84" si="148">W85+W100</f>
        <v>6622331</v>
      </c>
      <c r="X84" s="54">
        <f t="shared" si="148"/>
        <v>6683972</v>
      </c>
      <c r="Y84" s="54">
        <f t="shared" si="148"/>
        <v>6744613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4691319</v>
      </c>
      <c r="C85" s="28">
        <f t="shared" si="149"/>
        <v>4774940</v>
      </c>
      <c r="D85" s="28">
        <f t="shared" ref="D85:V85" si="150">D86+D87+D94</f>
        <v>4593011</v>
      </c>
      <c r="E85" s="28">
        <f t="shared" si="150"/>
        <v>4670104</v>
      </c>
      <c r="F85" s="28">
        <f t="shared" si="150"/>
        <v>4730579</v>
      </c>
      <c r="G85" s="28">
        <f t="shared" si="150"/>
        <v>4794026</v>
      </c>
      <c r="H85" s="28">
        <f t="shared" si="150"/>
        <v>4859620</v>
      </c>
      <c r="I85" s="28">
        <f t="shared" si="150"/>
        <v>4922901</v>
      </c>
      <c r="J85" s="28">
        <f t="shared" si="150"/>
        <v>4985625</v>
      </c>
      <c r="K85" s="28">
        <f t="shared" si="150"/>
        <v>5081879</v>
      </c>
      <c r="L85" s="28">
        <f t="shared" si="150"/>
        <v>5178769</v>
      </c>
      <c r="M85" s="28">
        <f t="shared" si="150"/>
        <v>5266315</v>
      </c>
      <c r="N85" s="28">
        <f t="shared" si="150"/>
        <v>5356231</v>
      </c>
      <c r="O85" s="28">
        <f t="shared" si="150"/>
        <v>5427631</v>
      </c>
      <c r="P85" s="28">
        <f t="shared" si="150"/>
        <v>5493175</v>
      </c>
      <c r="Q85" s="28">
        <f t="shared" si="150"/>
        <v>5558076</v>
      </c>
      <c r="R85" s="28">
        <f t="shared" si="150"/>
        <v>5648286</v>
      </c>
      <c r="S85" s="28">
        <f t="shared" si="150"/>
        <v>5741175</v>
      </c>
      <c r="T85" s="28">
        <f t="shared" si="150"/>
        <v>5836244</v>
      </c>
      <c r="U85" s="28">
        <f t="shared" si="150"/>
        <v>5910454</v>
      </c>
      <c r="V85" s="28">
        <f t="shared" si="150"/>
        <v>5986384</v>
      </c>
      <c r="W85" s="28">
        <f t="shared" ref="W85:Y85" si="151">W86+W87+W94</f>
        <v>6053514</v>
      </c>
      <c r="X85" s="28">
        <f t="shared" si="151"/>
        <v>6091088</v>
      </c>
      <c r="Y85" s="28">
        <f t="shared" si="151"/>
        <v>6143154</v>
      </c>
      <c r="DA85" s="173"/>
    </row>
    <row r="86" spans="1:105" ht="11.45" hidden="1" customHeight="1" x14ac:dyDescent="0.25">
      <c r="A86" s="136" t="s">
        <v>173</v>
      </c>
      <c r="B86" s="137">
        <v>565901</v>
      </c>
      <c r="C86" s="137">
        <v>583038</v>
      </c>
      <c r="D86" s="137">
        <v>596824</v>
      </c>
      <c r="E86" s="137">
        <v>606868</v>
      </c>
      <c r="F86" s="137">
        <v>612160</v>
      </c>
      <c r="G86" s="137">
        <v>627711</v>
      </c>
      <c r="H86" s="137">
        <v>645313</v>
      </c>
      <c r="I86" s="137">
        <v>667577</v>
      </c>
      <c r="J86" s="137">
        <v>691243</v>
      </c>
      <c r="K86" s="137">
        <v>712092</v>
      </c>
      <c r="L86" s="137">
        <v>727852</v>
      </c>
      <c r="M86" s="137">
        <v>743429</v>
      </c>
      <c r="N86" s="137">
        <v>762392</v>
      </c>
      <c r="O86" s="137">
        <v>776337</v>
      </c>
      <c r="P86" s="137">
        <v>788184</v>
      </c>
      <c r="Q86" s="137">
        <v>799906</v>
      </c>
      <c r="R86" s="137">
        <v>816477</v>
      </c>
      <c r="S86" s="137">
        <v>832200</v>
      </c>
      <c r="T86" s="137">
        <v>847355</v>
      </c>
      <c r="U86" s="137">
        <v>860758</v>
      </c>
      <c r="V86" s="137">
        <v>884493</v>
      </c>
      <c r="W86" s="137">
        <v>909542</v>
      </c>
      <c r="X86" s="137">
        <v>929825</v>
      </c>
      <c r="Y86" s="137">
        <v>947516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4115500</v>
      </c>
      <c r="C87" s="110">
        <f t="shared" si="152"/>
        <v>4182000</v>
      </c>
      <c r="D87" s="110">
        <f t="shared" ref="D87:V87" si="153">SUM(D88:D93)</f>
        <v>3987000</v>
      </c>
      <c r="E87" s="110">
        <f t="shared" si="153"/>
        <v>4054000</v>
      </c>
      <c r="F87" s="110">
        <f t="shared" si="153"/>
        <v>4109000</v>
      </c>
      <c r="G87" s="110">
        <f t="shared" si="153"/>
        <v>4157000</v>
      </c>
      <c r="H87" s="110">
        <f t="shared" si="153"/>
        <v>4205000</v>
      </c>
      <c r="I87" s="110">
        <f t="shared" si="153"/>
        <v>4246000</v>
      </c>
      <c r="J87" s="110">
        <f t="shared" si="153"/>
        <v>4285000</v>
      </c>
      <c r="K87" s="110">
        <f t="shared" si="153"/>
        <v>4360000</v>
      </c>
      <c r="L87" s="110">
        <f t="shared" si="153"/>
        <v>4441000</v>
      </c>
      <c r="M87" s="110">
        <f t="shared" si="153"/>
        <v>4513000</v>
      </c>
      <c r="N87" s="110">
        <f t="shared" si="153"/>
        <v>4584000</v>
      </c>
      <c r="O87" s="110">
        <f t="shared" si="153"/>
        <v>4641308</v>
      </c>
      <c r="P87" s="110">
        <f t="shared" si="153"/>
        <v>4694921</v>
      </c>
      <c r="Q87" s="110">
        <f t="shared" si="153"/>
        <v>4748048</v>
      </c>
      <c r="R87" s="110">
        <f t="shared" si="153"/>
        <v>4821557</v>
      </c>
      <c r="S87" s="110">
        <f t="shared" si="153"/>
        <v>4898578</v>
      </c>
      <c r="T87" s="110">
        <f t="shared" si="153"/>
        <v>4978852</v>
      </c>
      <c r="U87" s="110">
        <f t="shared" si="153"/>
        <v>5039548</v>
      </c>
      <c r="V87" s="110">
        <f t="shared" si="153"/>
        <v>5091827</v>
      </c>
      <c r="W87" s="110">
        <f t="shared" ref="W87:Y87" si="154">SUM(W88:W93)</f>
        <v>5133836</v>
      </c>
      <c r="X87" s="110">
        <f t="shared" si="154"/>
        <v>5150890</v>
      </c>
      <c r="Y87" s="110">
        <f t="shared" si="154"/>
        <v>5185006</v>
      </c>
      <c r="DA87" s="176"/>
    </row>
    <row r="88" spans="1:105" ht="11.45" hidden="1" customHeight="1" x14ac:dyDescent="0.25">
      <c r="A88" s="111" t="s">
        <v>110</v>
      </c>
      <c r="B88" s="84">
        <v>2598000</v>
      </c>
      <c r="C88" s="84">
        <v>2532933</v>
      </c>
      <c r="D88" s="84">
        <v>2229586</v>
      </c>
      <c r="E88" s="84">
        <v>2152286</v>
      </c>
      <c r="F88" s="84">
        <v>2073993</v>
      </c>
      <c r="G88" s="84">
        <v>2016724</v>
      </c>
      <c r="H88" s="84">
        <v>1971457</v>
      </c>
      <c r="I88" s="84">
        <v>1950719</v>
      </c>
      <c r="J88" s="84">
        <v>1948861</v>
      </c>
      <c r="K88" s="84">
        <v>1965476</v>
      </c>
      <c r="L88" s="84">
        <v>1984314</v>
      </c>
      <c r="M88" s="84">
        <v>1995411</v>
      </c>
      <c r="N88" s="84">
        <v>2001262</v>
      </c>
      <c r="O88" s="84">
        <v>2006553</v>
      </c>
      <c r="P88" s="84">
        <v>2016745</v>
      </c>
      <c r="Q88" s="84">
        <v>2028565</v>
      </c>
      <c r="R88" s="84">
        <v>2051338</v>
      </c>
      <c r="S88" s="84">
        <v>2099856</v>
      </c>
      <c r="T88" s="84">
        <v>2166343</v>
      </c>
      <c r="U88" s="84">
        <v>2216232</v>
      </c>
      <c r="V88" s="84">
        <v>2249710</v>
      </c>
      <c r="W88" s="84">
        <v>2277926</v>
      </c>
      <c r="X88" s="84">
        <v>2302304</v>
      </c>
      <c r="Y88" s="84">
        <v>2328959</v>
      </c>
      <c r="DA88" s="171"/>
    </row>
    <row r="89" spans="1:105" ht="11.45" hidden="1" customHeight="1" x14ac:dyDescent="0.25">
      <c r="A89" s="111" t="s">
        <v>111</v>
      </c>
      <c r="B89" s="84">
        <v>1499000</v>
      </c>
      <c r="C89" s="84">
        <v>1629238</v>
      </c>
      <c r="D89" s="84">
        <v>1731804</v>
      </c>
      <c r="E89" s="84">
        <v>1870475</v>
      </c>
      <c r="F89" s="84">
        <v>2009398</v>
      </c>
      <c r="G89" s="84">
        <v>2114801</v>
      </c>
      <c r="H89" s="84">
        <v>2207036</v>
      </c>
      <c r="I89" s="84">
        <v>2270075</v>
      </c>
      <c r="J89" s="84">
        <v>2309318</v>
      </c>
      <c r="K89" s="84">
        <v>2370094</v>
      </c>
      <c r="L89" s="84">
        <v>2433626</v>
      </c>
      <c r="M89" s="84">
        <v>2492794</v>
      </c>
      <c r="N89" s="84">
        <v>2555354</v>
      </c>
      <c r="O89" s="84">
        <v>2607130</v>
      </c>
      <c r="P89" s="84">
        <v>2650382</v>
      </c>
      <c r="Q89" s="84">
        <v>2693495</v>
      </c>
      <c r="R89" s="84">
        <v>2740919</v>
      </c>
      <c r="S89" s="84">
        <v>2763203</v>
      </c>
      <c r="T89" s="84">
        <v>2772203</v>
      </c>
      <c r="U89" s="84">
        <v>2773838</v>
      </c>
      <c r="V89" s="84">
        <v>2772263</v>
      </c>
      <c r="W89" s="84">
        <v>2740563</v>
      </c>
      <c r="X89" s="84">
        <v>2687560</v>
      </c>
      <c r="Y89" s="84">
        <v>2635448</v>
      </c>
      <c r="DA89" s="171"/>
    </row>
    <row r="90" spans="1:105" ht="11.45" hidden="1" customHeight="1" x14ac:dyDescent="0.25">
      <c r="A90" s="111" t="s">
        <v>112</v>
      </c>
      <c r="B90" s="84">
        <v>18500</v>
      </c>
      <c r="C90" s="84">
        <v>19829</v>
      </c>
      <c r="D90" s="84">
        <v>25610</v>
      </c>
      <c r="E90" s="84">
        <v>31239</v>
      </c>
      <c r="F90" s="84">
        <v>25609</v>
      </c>
      <c r="G90" s="84">
        <v>25475</v>
      </c>
      <c r="H90" s="84">
        <v>26453</v>
      </c>
      <c r="I90" s="84">
        <v>24994</v>
      </c>
      <c r="J90" s="84">
        <v>25819</v>
      </c>
      <c r="K90" s="84">
        <v>22886</v>
      </c>
      <c r="L90" s="84">
        <v>21234</v>
      </c>
      <c r="M90" s="84">
        <v>21134</v>
      </c>
      <c r="N90" s="84">
        <v>22619</v>
      </c>
      <c r="O90" s="84">
        <v>21496</v>
      </c>
      <c r="P90" s="84">
        <v>19370</v>
      </c>
      <c r="Q90" s="84">
        <v>14669</v>
      </c>
      <c r="R90" s="84">
        <v>12909</v>
      </c>
      <c r="S90" s="84">
        <v>11747</v>
      </c>
      <c r="T90" s="84">
        <v>8223</v>
      </c>
      <c r="U90" s="84">
        <v>6167</v>
      </c>
      <c r="V90" s="84">
        <v>4379</v>
      </c>
      <c r="W90" s="84">
        <v>4332</v>
      </c>
      <c r="X90" s="84">
        <v>3332</v>
      </c>
      <c r="Y90" s="84">
        <v>1835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54</v>
      </c>
      <c r="I91" s="84">
        <v>212</v>
      </c>
      <c r="J91" s="84">
        <v>1000</v>
      </c>
      <c r="K91" s="84">
        <v>1216</v>
      </c>
      <c r="L91" s="84">
        <v>1473</v>
      </c>
      <c r="M91" s="84">
        <v>2670</v>
      </c>
      <c r="N91" s="84">
        <v>3109</v>
      </c>
      <c r="O91" s="84">
        <v>3651</v>
      </c>
      <c r="P91" s="84">
        <v>4262</v>
      </c>
      <c r="Q91" s="84">
        <v>4775</v>
      </c>
      <c r="R91" s="84">
        <v>5031</v>
      </c>
      <c r="S91" s="84">
        <v>5206</v>
      </c>
      <c r="T91" s="84">
        <v>5542</v>
      </c>
      <c r="U91" s="84">
        <v>5746</v>
      </c>
      <c r="V91" s="84">
        <v>5731</v>
      </c>
      <c r="W91" s="84">
        <v>5455</v>
      </c>
      <c r="X91" s="84">
        <v>5180</v>
      </c>
      <c r="Y91" s="84">
        <v>4779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2</v>
      </c>
      <c r="N92" s="84">
        <v>267</v>
      </c>
      <c r="O92" s="84">
        <v>408</v>
      </c>
      <c r="P92" s="84">
        <v>776</v>
      </c>
      <c r="Q92" s="84">
        <v>1512</v>
      </c>
      <c r="R92" s="84">
        <v>2287</v>
      </c>
      <c r="S92" s="84">
        <v>3948</v>
      </c>
      <c r="T92" s="84">
        <v>5710</v>
      </c>
      <c r="U92" s="84">
        <v>8042</v>
      </c>
      <c r="V92" s="84">
        <v>15237</v>
      </c>
      <c r="W92" s="84">
        <v>29021</v>
      </c>
      <c r="X92" s="84">
        <v>42289</v>
      </c>
      <c r="Y92" s="84">
        <v>58494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2</v>
      </c>
      <c r="K93" s="84">
        <v>328</v>
      </c>
      <c r="L93" s="84">
        <v>353</v>
      </c>
      <c r="M93" s="84">
        <v>989</v>
      </c>
      <c r="N93" s="84">
        <v>1389</v>
      </c>
      <c r="O93" s="84">
        <v>2070</v>
      </c>
      <c r="P93" s="84">
        <v>3386</v>
      </c>
      <c r="Q93" s="84">
        <v>5032</v>
      </c>
      <c r="R93" s="84">
        <v>9073</v>
      </c>
      <c r="S93" s="84">
        <v>14618</v>
      </c>
      <c r="T93" s="84">
        <v>20831</v>
      </c>
      <c r="U93" s="84">
        <v>29523</v>
      </c>
      <c r="V93" s="84">
        <v>44507</v>
      </c>
      <c r="W93" s="84">
        <v>76539</v>
      </c>
      <c r="X93" s="84">
        <v>110225</v>
      </c>
      <c r="Y93" s="84">
        <v>155491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9918</v>
      </c>
      <c r="C94" s="110">
        <f t="shared" si="155"/>
        <v>9902</v>
      </c>
      <c r="D94" s="110">
        <f t="shared" ref="D94:V94" si="156">SUM(D95:D99)</f>
        <v>9187</v>
      </c>
      <c r="E94" s="110">
        <f t="shared" si="156"/>
        <v>9236</v>
      </c>
      <c r="F94" s="110">
        <f t="shared" si="156"/>
        <v>9419</v>
      </c>
      <c r="G94" s="110">
        <f t="shared" si="156"/>
        <v>9315</v>
      </c>
      <c r="H94" s="110">
        <f t="shared" si="156"/>
        <v>9307</v>
      </c>
      <c r="I94" s="110">
        <f t="shared" si="156"/>
        <v>9324</v>
      </c>
      <c r="J94" s="110">
        <f t="shared" si="156"/>
        <v>9382</v>
      </c>
      <c r="K94" s="110">
        <f t="shared" si="156"/>
        <v>9787</v>
      </c>
      <c r="L94" s="110">
        <f t="shared" si="156"/>
        <v>9917</v>
      </c>
      <c r="M94" s="110">
        <f t="shared" si="156"/>
        <v>9886</v>
      </c>
      <c r="N94" s="110">
        <f t="shared" si="156"/>
        <v>9839</v>
      </c>
      <c r="O94" s="110">
        <f t="shared" si="156"/>
        <v>9986</v>
      </c>
      <c r="P94" s="110">
        <f t="shared" si="156"/>
        <v>10070</v>
      </c>
      <c r="Q94" s="110">
        <f t="shared" si="156"/>
        <v>10122</v>
      </c>
      <c r="R94" s="110">
        <f t="shared" si="156"/>
        <v>10252</v>
      </c>
      <c r="S94" s="110">
        <f t="shared" si="156"/>
        <v>10397</v>
      </c>
      <c r="T94" s="110">
        <f t="shared" si="156"/>
        <v>10037</v>
      </c>
      <c r="U94" s="110">
        <f t="shared" si="156"/>
        <v>10148</v>
      </c>
      <c r="V94" s="110">
        <f t="shared" si="156"/>
        <v>10064</v>
      </c>
      <c r="W94" s="110">
        <f t="shared" ref="W94:Y94" si="157">SUM(W95:W99)</f>
        <v>10136</v>
      </c>
      <c r="X94" s="110">
        <f t="shared" si="157"/>
        <v>10373</v>
      </c>
      <c r="Y94" s="110">
        <f t="shared" si="157"/>
        <v>10632</v>
      </c>
      <c r="DA94" s="176"/>
    </row>
    <row r="95" spans="1:105" ht="11.45" hidden="1" customHeight="1" x14ac:dyDescent="0.25">
      <c r="A95" s="111" t="s">
        <v>110</v>
      </c>
      <c r="B95" s="102">
        <v>13</v>
      </c>
      <c r="C95" s="102">
        <v>14</v>
      </c>
      <c r="D95" s="102">
        <v>11</v>
      </c>
      <c r="E95" s="102">
        <v>10</v>
      </c>
      <c r="F95" s="102">
        <v>9</v>
      </c>
      <c r="G95" s="102">
        <v>7</v>
      </c>
      <c r="H95" s="102">
        <v>6</v>
      </c>
      <c r="I95" s="102">
        <v>6</v>
      </c>
      <c r="J95" s="102">
        <v>5</v>
      </c>
      <c r="K95" s="102">
        <v>4</v>
      </c>
      <c r="L95" s="102">
        <v>4</v>
      </c>
      <c r="M95" s="102">
        <v>3</v>
      </c>
      <c r="N95" s="102">
        <v>3</v>
      </c>
      <c r="O95" s="102">
        <v>2</v>
      </c>
      <c r="P95" s="102">
        <v>3</v>
      </c>
      <c r="Q95" s="102">
        <v>3</v>
      </c>
      <c r="R95" s="102">
        <v>4</v>
      </c>
      <c r="S95" s="102">
        <v>4</v>
      </c>
      <c r="T95" s="102">
        <v>4</v>
      </c>
      <c r="U95" s="102">
        <v>4</v>
      </c>
      <c r="V95" s="102">
        <v>3</v>
      </c>
      <c r="W95" s="102">
        <v>4</v>
      </c>
      <c r="X95" s="102">
        <v>4</v>
      </c>
      <c r="Y95" s="102">
        <v>3</v>
      </c>
      <c r="DA95" s="175"/>
    </row>
    <row r="96" spans="1:105" ht="11.45" hidden="1" customHeight="1" x14ac:dyDescent="0.25">
      <c r="A96" s="111" t="s">
        <v>111</v>
      </c>
      <c r="B96" s="102">
        <v>9789</v>
      </c>
      <c r="C96" s="102">
        <v>9758</v>
      </c>
      <c r="D96" s="102">
        <v>9015</v>
      </c>
      <c r="E96" s="102">
        <v>9045</v>
      </c>
      <c r="F96" s="102">
        <v>9197</v>
      </c>
      <c r="G96" s="102">
        <v>9054</v>
      </c>
      <c r="H96" s="102">
        <v>9016</v>
      </c>
      <c r="I96" s="102">
        <v>8960</v>
      </c>
      <c r="J96" s="102">
        <v>8950</v>
      </c>
      <c r="K96" s="102">
        <v>9077</v>
      </c>
      <c r="L96" s="102">
        <v>9028</v>
      </c>
      <c r="M96" s="102">
        <v>8947</v>
      </c>
      <c r="N96" s="102">
        <v>8859</v>
      </c>
      <c r="O96" s="102">
        <v>8883</v>
      </c>
      <c r="P96" s="102">
        <v>8919</v>
      </c>
      <c r="Q96" s="102">
        <v>9067</v>
      </c>
      <c r="R96" s="102">
        <v>9259</v>
      </c>
      <c r="S96" s="102">
        <v>9457</v>
      </c>
      <c r="T96" s="102">
        <v>9167</v>
      </c>
      <c r="U96" s="102">
        <v>9426</v>
      </c>
      <c r="V96" s="102">
        <v>9325</v>
      </c>
      <c r="W96" s="102">
        <v>9455</v>
      </c>
      <c r="X96" s="102">
        <v>9674</v>
      </c>
      <c r="Y96" s="102">
        <v>9929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16</v>
      </c>
      <c r="D97" s="102">
        <v>48</v>
      </c>
      <c r="E97" s="102">
        <v>68</v>
      </c>
      <c r="F97" s="102">
        <v>92</v>
      </c>
      <c r="G97" s="102">
        <v>133</v>
      </c>
      <c r="H97" s="102">
        <v>165</v>
      </c>
      <c r="I97" s="102">
        <v>205</v>
      </c>
      <c r="J97" s="102">
        <v>242</v>
      </c>
      <c r="K97" s="102">
        <v>319</v>
      </c>
      <c r="L97" s="102">
        <v>361</v>
      </c>
      <c r="M97" s="102">
        <v>389</v>
      </c>
      <c r="N97" s="102">
        <v>389</v>
      </c>
      <c r="O97" s="102">
        <v>379</v>
      </c>
      <c r="P97" s="102">
        <v>358</v>
      </c>
      <c r="Q97" s="102">
        <v>286</v>
      </c>
      <c r="R97" s="102">
        <v>235</v>
      </c>
      <c r="S97" s="102">
        <v>191</v>
      </c>
      <c r="T97" s="102">
        <v>191</v>
      </c>
      <c r="U97" s="102">
        <v>16</v>
      </c>
      <c r="V97" s="102">
        <v>16</v>
      </c>
      <c r="W97" s="102">
        <v>15</v>
      </c>
      <c r="X97" s="102">
        <v>15</v>
      </c>
      <c r="Y97" s="102">
        <v>7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13</v>
      </c>
      <c r="G98" s="102">
        <v>13</v>
      </c>
      <c r="H98" s="102">
        <v>10</v>
      </c>
      <c r="I98" s="102">
        <v>52</v>
      </c>
      <c r="J98" s="102">
        <v>84</v>
      </c>
      <c r="K98" s="102">
        <v>281</v>
      </c>
      <c r="L98" s="102">
        <v>411</v>
      </c>
      <c r="M98" s="102">
        <v>431</v>
      </c>
      <c r="N98" s="102">
        <v>462</v>
      </c>
      <c r="O98" s="102">
        <v>583</v>
      </c>
      <c r="P98" s="102">
        <v>659</v>
      </c>
      <c r="Q98" s="102">
        <v>628</v>
      </c>
      <c r="R98" s="102">
        <v>605</v>
      </c>
      <c r="S98" s="102">
        <v>602</v>
      </c>
      <c r="T98" s="102">
        <v>521</v>
      </c>
      <c r="U98" s="102">
        <v>541</v>
      </c>
      <c r="V98" s="102">
        <v>548</v>
      </c>
      <c r="W98" s="102">
        <v>488</v>
      </c>
      <c r="X98" s="102">
        <v>478</v>
      </c>
      <c r="Y98" s="102">
        <v>433</v>
      </c>
      <c r="DA98" s="175"/>
    </row>
    <row r="99" spans="1:105" ht="11.45" hidden="1" customHeight="1" x14ac:dyDescent="0.25">
      <c r="A99" s="111" t="s">
        <v>115</v>
      </c>
      <c r="B99" s="102">
        <v>116</v>
      </c>
      <c r="C99" s="102">
        <v>114</v>
      </c>
      <c r="D99" s="102">
        <v>113</v>
      </c>
      <c r="E99" s="102">
        <v>113</v>
      </c>
      <c r="F99" s="102">
        <v>108</v>
      </c>
      <c r="G99" s="102">
        <v>108</v>
      </c>
      <c r="H99" s="102">
        <v>110</v>
      </c>
      <c r="I99" s="102">
        <v>101</v>
      </c>
      <c r="J99" s="102">
        <v>101</v>
      </c>
      <c r="K99" s="102">
        <v>106</v>
      </c>
      <c r="L99" s="102">
        <v>113</v>
      </c>
      <c r="M99" s="102">
        <v>116</v>
      </c>
      <c r="N99" s="102">
        <v>126</v>
      </c>
      <c r="O99" s="102">
        <v>139</v>
      </c>
      <c r="P99" s="102">
        <v>131</v>
      </c>
      <c r="Q99" s="102">
        <v>138</v>
      </c>
      <c r="R99" s="102">
        <v>149</v>
      </c>
      <c r="S99" s="102">
        <v>143</v>
      </c>
      <c r="T99" s="102">
        <v>154</v>
      </c>
      <c r="U99" s="102">
        <v>161</v>
      </c>
      <c r="V99" s="102">
        <v>172</v>
      </c>
      <c r="W99" s="102">
        <v>174</v>
      </c>
      <c r="X99" s="102">
        <v>202</v>
      </c>
      <c r="Y99" s="102">
        <v>260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338521</v>
      </c>
      <c r="C100" s="28">
        <f t="shared" si="158"/>
        <v>343218</v>
      </c>
      <c r="D100" s="28">
        <f t="shared" ref="D100:V100" si="159">D101+D107</f>
        <v>332964</v>
      </c>
      <c r="E100" s="28">
        <f t="shared" si="159"/>
        <v>339513</v>
      </c>
      <c r="F100" s="28">
        <f t="shared" si="159"/>
        <v>349265</v>
      </c>
      <c r="G100" s="28">
        <f t="shared" si="159"/>
        <v>356226</v>
      </c>
      <c r="H100" s="28">
        <f t="shared" si="159"/>
        <v>363296</v>
      </c>
      <c r="I100" s="28">
        <f t="shared" si="159"/>
        <v>374953</v>
      </c>
      <c r="J100" s="28">
        <f t="shared" si="159"/>
        <v>388123</v>
      </c>
      <c r="K100" s="28">
        <f t="shared" si="159"/>
        <v>394441</v>
      </c>
      <c r="L100" s="28">
        <f t="shared" si="159"/>
        <v>404687</v>
      </c>
      <c r="M100" s="28">
        <f t="shared" si="159"/>
        <v>416718</v>
      </c>
      <c r="N100" s="28">
        <f t="shared" si="159"/>
        <v>426850</v>
      </c>
      <c r="O100" s="28">
        <f t="shared" si="159"/>
        <v>436928</v>
      </c>
      <c r="P100" s="28">
        <f t="shared" si="159"/>
        <v>446984</v>
      </c>
      <c r="Q100" s="28">
        <f t="shared" si="159"/>
        <v>457523</v>
      </c>
      <c r="R100" s="28">
        <f t="shared" si="159"/>
        <v>471548</v>
      </c>
      <c r="S100" s="28">
        <f t="shared" si="159"/>
        <v>491158</v>
      </c>
      <c r="T100" s="28">
        <f t="shared" si="159"/>
        <v>511838</v>
      </c>
      <c r="U100" s="28">
        <f t="shared" si="159"/>
        <v>524691</v>
      </c>
      <c r="V100" s="28">
        <f t="shared" si="159"/>
        <v>537149</v>
      </c>
      <c r="W100" s="28">
        <f t="shared" ref="W100:Y100" si="160">W101+W107</f>
        <v>568817</v>
      </c>
      <c r="X100" s="28">
        <f t="shared" si="160"/>
        <v>592884</v>
      </c>
      <c r="Y100" s="28">
        <f t="shared" si="160"/>
        <v>601459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253915</v>
      </c>
      <c r="C101" s="137">
        <f t="shared" si="161"/>
        <v>260666</v>
      </c>
      <c r="D101" s="137">
        <f t="shared" ref="D101:V101" si="162">SUM(D102:D106)</f>
        <v>251753</v>
      </c>
      <c r="E101" s="137">
        <f t="shared" si="162"/>
        <v>258819</v>
      </c>
      <c r="F101" s="137">
        <f t="shared" si="162"/>
        <v>266660</v>
      </c>
      <c r="G101" s="137">
        <f t="shared" si="162"/>
        <v>273942</v>
      </c>
      <c r="H101" s="137">
        <f t="shared" si="162"/>
        <v>281677</v>
      </c>
      <c r="I101" s="137">
        <f t="shared" si="162"/>
        <v>290544</v>
      </c>
      <c r="J101" s="137">
        <f t="shared" si="162"/>
        <v>300301</v>
      </c>
      <c r="K101" s="137">
        <f t="shared" si="162"/>
        <v>309052</v>
      </c>
      <c r="L101" s="137">
        <f t="shared" si="162"/>
        <v>319017</v>
      </c>
      <c r="M101" s="137">
        <f t="shared" si="162"/>
        <v>330440</v>
      </c>
      <c r="N101" s="137">
        <f t="shared" si="162"/>
        <v>340946</v>
      </c>
      <c r="O101" s="137">
        <f t="shared" si="162"/>
        <v>355214</v>
      </c>
      <c r="P101" s="137">
        <f t="shared" si="162"/>
        <v>365686</v>
      </c>
      <c r="Q101" s="137">
        <f t="shared" si="162"/>
        <v>375163</v>
      </c>
      <c r="R101" s="137">
        <f t="shared" si="162"/>
        <v>387786</v>
      </c>
      <c r="S101" s="137">
        <f t="shared" si="162"/>
        <v>403984</v>
      </c>
      <c r="T101" s="137">
        <f t="shared" si="162"/>
        <v>422745</v>
      </c>
      <c r="U101" s="137">
        <f t="shared" si="162"/>
        <v>434295</v>
      </c>
      <c r="V101" s="137">
        <f t="shared" si="162"/>
        <v>446067</v>
      </c>
      <c r="W101" s="137">
        <f t="shared" ref="W101:Y101" si="163">SUM(W102:W106)</f>
        <v>475561</v>
      </c>
      <c r="X101" s="137">
        <f t="shared" si="163"/>
        <v>498325</v>
      </c>
      <c r="Y101" s="137">
        <f t="shared" si="163"/>
        <v>507996</v>
      </c>
      <c r="DA101" s="174"/>
    </row>
    <row r="102" spans="1:105" ht="11.45" hidden="1" customHeight="1" x14ac:dyDescent="0.25">
      <c r="A102" s="111" t="s">
        <v>110</v>
      </c>
      <c r="B102" s="84">
        <v>34436</v>
      </c>
      <c r="C102" s="84">
        <v>31577</v>
      </c>
      <c r="D102" s="84">
        <v>21139</v>
      </c>
      <c r="E102" s="84">
        <v>18873</v>
      </c>
      <c r="F102" s="84">
        <v>16971</v>
      </c>
      <c r="G102" s="84">
        <v>15566</v>
      </c>
      <c r="H102" s="84">
        <v>14663</v>
      </c>
      <c r="I102" s="84">
        <v>14227</v>
      </c>
      <c r="J102" s="84">
        <v>14168</v>
      </c>
      <c r="K102" s="84">
        <v>14586</v>
      </c>
      <c r="L102" s="84">
        <v>14864</v>
      </c>
      <c r="M102" s="84">
        <v>15303</v>
      </c>
      <c r="N102" s="84">
        <v>15808</v>
      </c>
      <c r="O102" s="84">
        <v>16476</v>
      </c>
      <c r="P102" s="84">
        <v>17109</v>
      </c>
      <c r="Q102" s="84">
        <v>17650</v>
      </c>
      <c r="R102" s="84">
        <v>18087</v>
      </c>
      <c r="S102" s="84">
        <v>19169</v>
      </c>
      <c r="T102" s="84">
        <v>20751</v>
      </c>
      <c r="U102" s="84">
        <v>21014</v>
      </c>
      <c r="V102" s="84">
        <v>21173</v>
      </c>
      <c r="W102" s="84">
        <v>22000</v>
      </c>
      <c r="X102" s="84">
        <v>24124</v>
      </c>
      <c r="Y102" s="84">
        <v>25368</v>
      </c>
      <c r="DA102" s="171"/>
    </row>
    <row r="103" spans="1:105" ht="11.45" hidden="1" customHeight="1" x14ac:dyDescent="0.25">
      <c r="A103" s="111" t="s">
        <v>111</v>
      </c>
      <c r="B103" s="84">
        <v>219454</v>
      </c>
      <c r="C103" s="84">
        <v>229056</v>
      </c>
      <c r="D103" s="84">
        <v>230585</v>
      </c>
      <c r="E103" s="84">
        <v>239911</v>
      </c>
      <c r="F103" s="84">
        <v>249644</v>
      </c>
      <c r="G103" s="84">
        <v>258270</v>
      </c>
      <c r="H103" s="84">
        <v>266843</v>
      </c>
      <c r="I103" s="84">
        <v>276072</v>
      </c>
      <c r="J103" s="84">
        <v>285788</v>
      </c>
      <c r="K103" s="84">
        <v>294219</v>
      </c>
      <c r="L103" s="84">
        <v>303886</v>
      </c>
      <c r="M103" s="84">
        <v>314819</v>
      </c>
      <c r="N103" s="84">
        <v>324487</v>
      </c>
      <c r="O103" s="84">
        <v>337107</v>
      </c>
      <c r="P103" s="84">
        <v>346664</v>
      </c>
      <c r="Q103" s="84">
        <v>355336</v>
      </c>
      <c r="R103" s="84">
        <v>366275</v>
      </c>
      <c r="S103" s="84">
        <v>381190</v>
      </c>
      <c r="T103" s="84">
        <v>397835</v>
      </c>
      <c r="U103" s="84">
        <v>408692</v>
      </c>
      <c r="V103" s="84">
        <v>419666</v>
      </c>
      <c r="W103" s="84">
        <v>446050</v>
      </c>
      <c r="X103" s="84">
        <v>464654</v>
      </c>
      <c r="Y103" s="84">
        <v>470033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7</v>
      </c>
      <c r="F104" s="84">
        <v>19</v>
      </c>
      <c r="G104" s="84">
        <v>82</v>
      </c>
      <c r="H104" s="84">
        <v>78</v>
      </c>
      <c r="I104" s="84">
        <v>77</v>
      </c>
      <c r="J104" s="84">
        <v>76</v>
      </c>
      <c r="K104" s="84">
        <v>74</v>
      </c>
      <c r="L104" s="84">
        <v>71</v>
      </c>
      <c r="M104" s="84">
        <v>67</v>
      </c>
      <c r="N104" s="84">
        <v>73</v>
      </c>
      <c r="O104" s="84">
        <v>81</v>
      </c>
      <c r="P104" s="84">
        <v>94</v>
      </c>
      <c r="Q104" s="84">
        <v>98</v>
      </c>
      <c r="R104" s="84">
        <v>155</v>
      </c>
      <c r="S104" s="84">
        <v>166</v>
      </c>
      <c r="T104" s="84">
        <v>173</v>
      </c>
      <c r="U104" s="84">
        <v>191</v>
      </c>
      <c r="V104" s="84">
        <v>225</v>
      </c>
      <c r="W104" s="84">
        <v>262</v>
      </c>
      <c r="X104" s="84">
        <v>294</v>
      </c>
      <c r="Y104" s="84">
        <v>313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71</v>
      </c>
      <c r="I105" s="84">
        <v>140</v>
      </c>
      <c r="J105" s="84">
        <v>238</v>
      </c>
      <c r="K105" s="84">
        <v>128</v>
      </c>
      <c r="L105" s="84">
        <v>127</v>
      </c>
      <c r="M105" s="84">
        <v>142</v>
      </c>
      <c r="N105" s="84">
        <v>192</v>
      </c>
      <c r="O105" s="84">
        <v>931</v>
      </c>
      <c r="P105" s="84">
        <v>1000</v>
      </c>
      <c r="Q105" s="84">
        <v>1010</v>
      </c>
      <c r="R105" s="84">
        <v>1802</v>
      </c>
      <c r="S105" s="84">
        <v>1748</v>
      </c>
      <c r="T105" s="84">
        <v>1845</v>
      </c>
      <c r="U105" s="84">
        <v>1793</v>
      </c>
      <c r="V105" s="84">
        <v>1673</v>
      </c>
      <c r="W105" s="84">
        <v>1622</v>
      </c>
      <c r="X105" s="84">
        <v>1559</v>
      </c>
      <c r="Y105" s="84">
        <v>1435</v>
      </c>
      <c r="DA105" s="171"/>
    </row>
    <row r="106" spans="1:105" ht="11.45" hidden="1" customHeight="1" x14ac:dyDescent="0.25">
      <c r="A106" s="111" t="s">
        <v>115</v>
      </c>
      <c r="B106" s="84">
        <v>25</v>
      </c>
      <c r="C106" s="84">
        <v>33</v>
      </c>
      <c r="D106" s="84">
        <v>29</v>
      </c>
      <c r="E106" s="84">
        <v>28</v>
      </c>
      <c r="F106" s="84">
        <v>26</v>
      </c>
      <c r="G106" s="84">
        <v>24</v>
      </c>
      <c r="H106" s="84">
        <v>22</v>
      </c>
      <c r="I106" s="84">
        <v>28</v>
      </c>
      <c r="J106" s="84">
        <v>31</v>
      </c>
      <c r="K106" s="84">
        <v>45</v>
      </c>
      <c r="L106" s="84">
        <v>69</v>
      </c>
      <c r="M106" s="84">
        <v>109</v>
      </c>
      <c r="N106" s="84">
        <v>386</v>
      </c>
      <c r="O106" s="84">
        <v>619</v>
      </c>
      <c r="P106" s="84">
        <v>819</v>
      </c>
      <c r="Q106" s="84">
        <v>1069</v>
      </c>
      <c r="R106" s="84">
        <v>1467</v>
      </c>
      <c r="S106" s="84">
        <v>1711</v>
      </c>
      <c r="T106" s="84">
        <v>2141</v>
      </c>
      <c r="U106" s="84">
        <v>2605</v>
      </c>
      <c r="V106" s="84">
        <v>3330</v>
      </c>
      <c r="W106" s="84">
        <v>5627</v>
      </c>
      <c r="X106" s="84">
        <v>7694</v>
      </c>
      <c r="Y106" s="84">
        <v>10847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84606</v>
      </c>
      <c r="C107" s="110">
        <f t="shared" si="164"/>
        <v>82552</v>
      </c>
      <c r="D107" s="110">
        <f t="shared" ref="D107:V107" si="165">SUM(D108:D109)</f>
        <v>81211</v>
      </c>
      <c r="E107" s="110">
        <f t="shared" si="165"/>
        <v>80694</v>
      </c>
      <c r="F107" s="110">
        <f t="shared" si="165"/>
        <v>82605</v>
      </c>
      <c r="G107" s="110">
        <f t="shared" si="165"/>
        <v>82284</v>
      </c>
      <c r="H107" s="110">
        <f t="shared" si="165"/>
        <v>81619</v>
      </c>
      <c r="I107" s="110">
        <f t="shared" si="165"/>
        <v>84409</v>
      </c>
      <c r="J107" s="110">
        <f t="shared" si="165"/>
        <v>87822</v>
      </c>
      <c r="K107" s="110">
        <f t="shared" si="165"/>
        <v>85389</v>
      </c>
      <c r="L107" s="110">
        <f t="shared" si="165"/>
        <v>85670</v>
      </c>
      <c r="M107" s="110">
        <f t="shared" si="165"/>
        <v>86278</v>
      </c>
      <c r="N107" s="110">
        <f t="shared" si="165"/>
        <v>85904</v>
      </c>
      <c r="O107" s="110">
        <f t="shared" si="165"/>
        <v>81714</v>
      </c>
      <c r="P107" s="110">
        <f t="shared" si="165"/>
        <v>81298</v>
      </c>
      <c r="Q107" s="110">
        <f t="shared" si="165"/>
        <v>82360</v>
      </c>
      <c r="R107" s="110">
        <f t="shared" si="165"/>
        <v>83762</v>
      </c>
      <c r="S107" s="110">
        <f t="shared" si="165"/>
        <v>87174</v>
      </c>
      <c r="T107" s="110">
        <f t="shared" si="165"/>
        <v>89093</v>
      </c>
      <c r="U107" s="110">
        <f t="shared" si="165"/>
        <v>90396</v>
      </c>
      <c r="V107" s="110">
        <f t="shared" si="165"/>
        <v>91082</v>
      </c>
      <c r="W107" s="110">
        <f t="shared" ref="W107:Y107" si="166">SUM(W108:W109)</f>
        <v>93256</v>
      </c>
      <c r="X107" s="110">
        <f t="shared" si="166"/>
        <v>94559</v>
      </c>
      <c r="Y107" s="110">
        <f t="shared" si="166"/>
        <v>93463</v>
      </c>
      <c r="DA107" s="176"/>
    </row>
    <row r="108" spans="1:105" ht="11.45" hidden="1" customHeight="1" x14ac:dyDescent="0.25">
      <c r="A108" s="128" t="s">
        <v>27</v>
      </c>
      <c r="B108" s="102">
        <v>72775</v>
      </c>
      <c r="C108" s="102">
        <v>69868</v>
      </c>
      <c r="D108" s="102">
        <v>67867</v>
      </c>
      <c r="E108" s="102">
        <v>67055</v>
      </c>
      <c r="F108" s="102">
        <v>66478</v>
      </c>
      <c r="G108" s="102">
        <v>65588</v>
      </c>
      <c r="H108" s="102">
        <v>64080</v>
      </c>
      <c r="I108" s="102">
        <v>64569</v>
      </c>
      <c r="J108" s="102">
        <v>65392</v>
      </c>
      <c r="K108" s="102">
        <v>66337</v>
      </c>
      <c r="L108" s="102">
        <v>65800</v>
      </c>
      <c r="M108" s="102">
        <v>65798</v>
      </c>
      <c r="N108" s="102">
        <v>65942</v>
      </c>
      <c r="O108" s="102">
        <v>61103</v>
      </c>
      <c r="P108" s="102">
        <v>60528</v>
      </c>
      <c r="Q108" s="102">
        <v>60548</v>
      </c>
      <c r="R108" s="102">
        <v>61301</v>
      </c>
      <c r="S108" s="102">
        <v>62825</v>
      </c>
      <c r="T108" s="102">
        <v>64686</v>
      </c>
      <c r="U108" s="102">
        <v>65458</v>
      </c>
      <c r="V108" s="102">
        <v>65714</v>
      </c>
      <c r="W108" s="102">
        <v>66622</v>
      </c>
      <c r="X108" s="102">
        <v>67324</v>
      </c>
      <c r="Y108" s="102">
        <v>67179</v>
      </c>
      <c r="DA108" s="175"/>
    </row>
    <row r="109" spans="1:105" ht="11.45" hidden="1" customHeight="1" x14ac:dyDescent="0.25">
      <c r="A109" s="138" t="s">
        <v>116</v>
      </c>
      <c r="B109" s="86">
        <v>11831</v>
      </c>
      <c r="C109" s="86">
        <v>12684</v>
      </c>
      <c r="D109" s="86">
        <v>13344</v>
      </c>
      <c r="E109" s="86">
        <v>13639</v>
      </c>
      <c r="F109" s="86">
        <v>16127</v>
      </c>
      <c r="G109" s="86">
        <v>16696</v>
      </c>
      <c r="H109" s="86">
        <v>17539</v>
      </c>
      <c r="I109" s="86">
        <v>19840</v>
      </c>
      <c r="J109" s="86">
        <v>22430</v>
      </c>
      <c r="K109" s="86">
        <v>19052</v>
      </c>
      <c r="L109" s="86">
        <v>19870</v>
      </c>
      <c r="M109" s="86">
        <v>20480</v>
      </c>
      <c r="N109" s="86">
        <v>19962</v>
      </c>
      <c r="O109" s="86">
        <v>20611</v>
      </c>
      <c r="P109" s="86">
        <v>20770</v>
      </c>
      <c r="Q109" s="86">
        <v>21812</v>
      </c>
      <c r="R109" s="86">
        <v>22461</v>
      </c>
      <c r="S109" s="86">
        <v>24349</v>
      </c>
      <c r="T109" s="86">
        <v>24407</v>
      </c>
      <c r="U109" s="86">
        <v>24938</v>
      </c>
      <c r="V109" s="86">
        <v>25368</v>
      </c>
      <c r="W109" s="86">
        <v>26634</v>
      </c>
      <c r="X109" s="86">
        <v>27235</v>
      </c>
      <c r="Y109" s="86">
        <v>26284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393072</v>
      </c>
      <c r="C111" s="54">
        <f t="shared" si="167"/>
        <v>377296</v>
      </c>
      <c r="D111" s="54">
        <f t="shared" si="167"/>
        <v>359068</v>
      </c>
      <c r="E111" s="54">
        <f t="shared" si="167"/>
        <v>375872</v>
      </c>
      <c r="F111" s="54">
        <f t="shared" si="167"/>
        <v>386544</v>
      </c>
      <c r="G111" s="54">
        <f t="shared" si="167"/>
        <v>392860</v>
      </c>
      <c r="H111" s="54">
        <f t="shared" si="167"/>
        <v>401199</v>
      </c>
      <c r="I111" s="54">
        <f t="shared" si="167"/>
        <v>403234</v>
      </c>
      <c r="J111" s="54">
        <f t="shared" si="167"/>
        <v>404132</v>
      </c>
      <c r="K111" s="54">
        <f t="shared" si="167"/>
        <v>411800</v>
      </c>
      <c r="L111" s="54">
        <f t="shared" ref="L111" si="168">L112+L127</f>
        <v>418606</v>
      </c>
      <c r="M111" s="54">
        <f t="shared" ref="M111:V111" si="169">M112+M127</f>
        <v>452250</v>
      </c>
      <c r="N111" s="54">
        <f t="shared" si="169"/>
        <v>439554</v>
      </c>
      <c r="O111" s="54">
        <f t="shared" si="169"/>
        <v>413598</v>
      </c>
      <c r="P111" s="54">
        <f t="shared" si="169"/>
        <v>394898</v>
      </c>
      <c r="Q111" s="54">
        <f t="shared" si="169"/>
        <v>402659</v>
      </c>
      <c r="R111" s="54">
        <f t="shared" si="169"/>
        <v>438538</v>
      </c>
      <c r="S111" s="54">
        <f t="shared" si="169"/>
        <v>466706</v>
      </c>
      <c r="T111" s="54">
        <f t="shared" si="169"/>
        <v>455988</v>
      </c>
      <c r="U111" s="54">
        <f t="shared" si="169"/>
        <v>453054</v>
      </c>
      <c r="V111" s="54">
        <f t="shared" si="169"/>
        <v>392790</v>
      </c>
      <c r="W111" s="54">
        <f t="shared" ref="W111:Y111" si="170">W112+W127</f>
        <v>425853</v>
      </c>
      <c r="X111" s="54">
        <f t="shared" si="170"/>
        <v>416622</v>
      </c>
      <c r="Y111" s="54">
        <f t="shared" si="170"/>
        <v>476416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359956</v>
      </c>
      <c r="C112" s="28">
        <f t="shared" si="171"/>
        <v>347638</v>
      </c>
      <c r="D112" s="28">
        <f t="shared" si="171"/>
        <v>331651</v>
      </c>
      <c r="E112" s="28">
        <f t="shared" si="171"/>
        <v>345211</v>
      </c>
      <c r="F112" s="28">
        <f t="shared" si="171"/>
        <v>349716</v>
      </c>
      <c r="G112" s="28">
        <f t="shared" si="171"/>
        <v>358042</v>
      </c>
      <c r="H112" s="28">
        <f t="shared" si="171"/>
        <v>364563</v>
      </c>
      <c r="I112" s="28">
        <f t="shared" si="171"/>
        <v>362899</v>
      </c>
      <c r="J112" s="28">
        <f t="shared" si="171"/>
        <v>362600</v>
      </c>
      <c r="K112" s="28">
        <f t="shared" si="171"/>
        <v>382577</v>
      </c>
      <c r="L112" s="28">
        <f t="shared" ref="L112" si="172">L113+L114+L121</f>
        <v>384707</v>
      </c>
      <c r="M112" s="28">
        <f t="shared" ref="M112:V112" si="173">M113+M114+M121</f>
        <v>413086</v>
      </c>
      <c r="N112" s="28">
        <f t="shared" si="173"/>
        <v>402855</v>
      </c>
      <c r="O112" s="28">
        <f t="shared" si="173"/>
        <v>374946</v>
      </c>
      <c r="P112" s="28">
        <f t="shared" si="173"/>
        <v>356765</v>
      </c>
      <c r="Q112" s="28">
        <f t="shared" si="173"/>
        <v>361943</v>
      </c>
      <c r="R112" s="28">
        <f t="shared" si="173"/>
        <v>394026</v>
      </c>
      <c r="S112" s="28">
        <f t="shared" si="173"/>
        <v>417512</v>
      </c>
      <c r="T112" s="28">
        <f t="shared" si="173"/>
        <v>404857</v>
      </c>
      <c r="U112" s="28">
        <f t="shared" si="173"/>
        <v>400996</v>
      </c>
      <c r="V112" s="28">
        <f t="shared" si="173"/>
        <v>347233</v>
      </c>
      <c r="W112" s="28">
        <f t="shared" ref="W112:Y112" si="174">W113+W114+W121</f>
        <v>360067</v>
      </c>
      <c r="X112" s="28">
        <f t="shared" si="174"/>
        <v>366385</v>
      </c>
      <c r="Y112" s="28">
        <f t="shared" si="174"/>
        <v>428481</v>
      </c>
      <c r="DA112" s="173" t="s">
        <v>527</v>
      </c>
    </row>
    <row r="113" spans="1:105" ht="11.45" customHeight="1" x14ac:dyDescent="0.25">
      <c r="A113" s="136" t="s">
        <v>173</v>
      </c>
      <c r="B113" s="137">
        <v>47550</v>
      </c>
      <c r="C113" s="137">
        <v>51250</v>
      </c>
      <c r="D113" s="137">
        <v>45064</v>
      </c>
      <c r="E113" s="137">
        <v>37992</v>
      </c>
      <c r="F113" s="137">
        <v>37496</v>
      </c>
      <c r="G113" s="137">
        <v>49466</v>
      </c>
      <c r="H113" s="137">
        <v>54036</v>
      </c>
      <c r="I113" s="137">
        <v>63888</v>
      </c>
      <c r="J113" s="137">
        <v>67360</v>
      </c>
      <c r="K113" s="137">
        <v>62436</v>
      </c>
      <c r="L113" s="137">
        <v>52882</v>
      </c>
      <c r="M113" s="137">
        <v>52990</v>
      </c>
      <c r="N113" s="137">
        <v>60228</v>
      </c>
      <c r="O113" s="137">
        <v>51992</v>
      </c>
      <c r="P113" s="137">
        <v>50310</v>
      </c>
      <c r="Q113" s="137">
        <v>49782</v>
      </c>
      <c r="R113" s="137">
        <v>59526</v>
      </c>
      <c r="S113" s="137">
        <v>55940</v>
      </c>
      <c r="T113" s="137">
        <v>55276</v>
      </c>
      <c r="U113" s="137">
        <v>55976</v>
      </c>
      <c r="V113" s="137">
        <v>73292</v>
      </c>
      <c r="W113" s="137">
        <v>76632</v>
      </c>
      <c r="X113" s="137">
        <v>68350</v>
      </c>
      <c r="Y113" s="137">
        <v>73700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311614</v>
      </c>
      <c r="C114" s="110">
        <f t="shared" si="175"/>
        <v>295780</v>
      </c>
      <c r="D114" s="110">
        <f t="shared" si="175"/>
        <v>285876</v>
      </c>
      <c r="E114" s="110">
        <f t="shared" si="175"/>
        <v>306464</v>
      </c>
      <c r="F114" s="110">
        <f t="shared" si="175"/>
        <v>311277</v>
      </c>
      <c r="G114" s="110">
        <f t="shared" si="175"/>
        <v>307915</v>
      </c>
      <c r="H114" s="110">
        <f t="shared" si="175"/>
        <v>309697</v>
      </c>
      <c r="I114" s="110">
        <f t="shared" si="175"/>
        <v>298223</v>
      </c>
      <c r="J114" s="110">
        <f t="shared" si="175"/>
        <v>294277</v>
      </c>
      <c r="K114" s="110">
        <f t="shared" si="175"/>
        <v>319309</v>
      </c>
      <c r="L114" s="110">
        <f t="shared" ref="L114" si="176">SUM(L115:L120)</f>
        <v>330983</v>
      </c>
      <c r="M114" s="110">
        <f t="shared" ref="M114:V114" si="177">SUM(M115:M120)</f>
        <v>359475</v>
      </c>
      <c r="N114" s="110">
        <f t="shared" si="177"/>
        <v>341895</v>
      </c>
      <c r="O114" s="110">
        <f t="shared" si="177"/>
        <v>322127</v>
      </c>
      <c r="P114" s="110">
        <f t="shared" si="177"/>
        <v>305555</v>
      </c>
      <c r="Q114" s="110">
        <f t="shared" si="177"/>
        <v>311262</v>
      </c>
      <c r="R114" s="110">
        <f t="shared" si="177"/>
        <v>333457</v>
      </c>
      <c r="S114" s="110">
        <f t="shared" si="177"/>
        <v>360328</v>
      </c>
      <c r="T114" s="110">
        <f t="shared" si="177"/>
        <v>348456</v>
      </c>
      <c r="U114" s="110">
        <f t="shared" si="177"/>
        <v>343857</v>
      </c>
      <c r="V114" s="110">
        <f t="shared" si="177"/>
        <v>273069</v>
      </c>
      <c r="W114" s="110">
        <f t="shared" ref="W114:Y114" si="178">SUM(W115:W120)</f>
        <v>282548</v>
      </c>
      <c r="X114" s="110">
        <f t="shared" si="178"/>
        <v>297101</v>
      </c>
      <c r="Y114" s="110">
        <f t="shared" si="178"/>
        <v>353615</v>
      </c>
      <c r="DA114" s="176" t="s">
        <v>529</v>
      </c>
    </row>
    <row r="115" spans="1:105" ht="11.45" customHeight="1" x14ac:dyDescent="0.25">
      <c r="A115" s="111" t="s">
        <v>110</v>
      </c>
      <c r="B115" s="84">
        <v>118133</v>
      </c>
      <c r="C115" s="84">
        <v>100833</v>
      </c>
      <c r="D115" s="84">
        <v>84905</v>
      </c>
      <c r="E115" s="84">
        <v>85586</v>
      </c>
      <c r="F115" s="84">
        <v>91022</v>
      </c>
      <c r="G115" s="84">
        <v>103340</v>
      </c>
      <c r="H115" s="84">
        <v>116899</v>
      </c>
      <c r="I115" s="84">
        <v>121319</v>
      </c>
      <c r="J115" s="84">
        <v>132203</v>
      </c>
      <c r="K115" s="84">
        <v>171805</v>
      </c>
      <c r="L115" s="84">
        <v>162923</v>
      </c>
      <c r="M115" s="84">
        <v>162332</v>
      </c>
      <c r="N115" s="84">
        <v>147965</v>
      </c>
      <c r="O115" s="84">
        <v>139008</v>
      </c>
      <c r="P115" s="84">
        <v>130389</v>
      </c>
      <c r="Q115" s="84">
        <v>126838</v>
      </c>
      <c r="R115" s="84">
        <v>138506</v>
      </c>
      <c r="S115" s="84">
        <v>176905</v>
      </c>
      <c r="T115" s="84">
        <v>196884</v>
      </c>
      <c r="U115" s="84">
        <v>197195</v>
      </c>
      <c r="V115" s="84">
        <v>143102</v>
      </c>
      <c r="W115" s="84">
        <v>150163</v>
      </c>
      <c r="X115" s="84">
        <v>134865</v>
      </c>
      <c r="Y115" s="84">
        <v>150621</v>
      </c>
      <c r="DA115" s="171" t="s">
        <v>530</v>
      </c>
    </row>
    <row r="116" spans="1:105" ht="11.45" customHeight="1" x14ac:dyDescent="0.25">
      <c r="A116" s="111" t="s">
        <v>111</v>
      </c>
      <c r="B116" s="84">
        <v>191281</v>
      </c>
      <c r="C116" s="84">
        <v>192681</v>
      </c>
      <c r="D116" s="84">
        <v>194555</v>
      </c>
      <c r="E116" s="84">
        <v>214505</v>
      </c>
      <c r="F116" s="84">
        <v>220255</v>
      </c>
      <c r="G116" s="84">
        <v>204575</v>
      </c>
      <c r="H116" s="84">
        <v>191766</v>
      </c>
      <c r="I116" s="84">
        <v>176746</v>
      </c>
      <c r="J116" s="84">
        <v>160459</v>
      </c>
      <c r="K116" s="84">
        <v>146962</v>
      </c>
      <c r="L116" s="84">
        <v>167618</v>
      </c>
      <c r="M116" s="84">
        <v>195291</v>
      </c>
      <c r="N116" s="84">
        <v>191108</v>
      </c>
      <c r="O116" s="84">
        <v>181062</v>
      </c>
      <c r="P116" s="84">
        <v>172664</v>
      </c>
      <c r="Q116" s="84">
        <v>181038</v>
      </c>
      <c r="R116" s="84">
        <v>189228</v>
      </c>
      <c r="S116" s="84">
        <v>175601</v>
      </c>
      <c r="T116" s="84">
        <v>141938</v>
      </c>
      <c r="U116" s="84">
        <v>134073</v>
      </c>
      <c r="V116" s="84">
        <v>105826</v>
      </c>
      <c r="W116" s="84">
        <v>83914</v>
      </c>
      <c r="X116" s="84">
        <v>114670</v>
      </c>
      <c r="Y116" s="84">
        <v>138952</v>
      </c>
      <c r="DA116" s="171" t="s">
        <v>531</v>
      </c>
    </row>
    <row r="117" spans="1:105" ht="11.45" customHeight="1" x14ac:dyDescent="0.25">
      <c r="A117" s="111" t="s">
        <v>112</v>
      </c>
      <c r="B117" s="84">
        <v>2200</v>
      </c>
      <c r="C117" s="84">
        <v>2266</v>
      </c>
      <c r="D117" s="84">
        <v>6416</v>
      </c>
      <c r="E117" s="84">
        <v>6373</v>
      </c>
      <c r="F117" s="84">
        <v>0</v>
      </c>
      <c r="G117" s="84">
        <v>0</v>
      </c>
      <c r="H117" s="84">
        <v>978</v>
      </c>
      <c r="I117" s="84">
        <v>0</v>
      </c>
      <c r="J117" s="84">
        <v>825</v>
      </c>
      <c r="K117" s="84">
        <v>0</v>
      </c>
      <c r="L117" s="84">
        <v>0</v>
      </c>
      <c r="M117" s="84">
        <v>12</v>
      </c>
      <c r="N117" s="84">
        <v>1668</v>
      </c>
      <c r="O117" s="84">
        <v>591</v>
      </c>
      <c r="P117" s="84">
        <v>2</v>
      </c>
      <c r="Q117" s="84">
        <v>0</v>
      </c>
      <c r="R117" s="84">
        <v>2</v>
      </c>
      <c r="S117" s="84">
        <v>0</v>
      </c>
      <c r="T117" s="84">
        <v>1</v>
      </c>
      <c r="U117" s="84">
        <v>2</v>
      </c>
      <c r="V117" s="84">
        <v>0</v>
      </c>
      <c r="W117" s="84">
        <v>375</v>
      </c>
      <c r="X117" s="84">
        <v>4</v>
      </c>
      <c r="Y117" s="84">
        <v>5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54</v>
      </c>
      <c r="I118" s="84">
        <v>158</v>
      </c>
      <c r="J118" s="84">
        <v>788</v>
      </c>
      <c r="K118" s="84">
        <v>216</v>
      </c>
      <c r="L118" s="84">
        <v>330</v>
      </c>
      <c r="M118" s="84">
        <v>1201</v>
      </c>
      <c r="N118" s="84">
        <v>460</v>
      </c>
      <c r="O118" s="84">
        <v>628</v>
      </c>
      <c r="P118" s="84">
        <v>788</v>
      </c>
      <c r="Q118" s="84">
        <v>703</v>
      </c>
      <c r="R118" s="84">
        <v>484</v>
      </c>
      <c r="S118" s="84">
        <v>435</v>
      </c>
      <c r="T118" s="84">
        <v>641</v>
      </c>
      <c r="U118" s="84">
        <v>579</v>
      </c>
      <c r="V118" s="84">
        <v>407</v>
      </c>
      <c r="W118" s="84">
        <v>84</v>
      </c>
      <c r="X118" s="84">
        <v>59</v>
      </c>
      <c r="Y118" s="84">
        <v>6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2</v>
      </c>
      <c r="N119" s="84">
        <v>267</v>
      </c>
      <c r="O119" s="84">
        <v>154</v>
      </c>
      <c r="P119" s="84">
        <v>368</v>
      </c>
      <c r="Q119" s="84">
        <v>984</v>
      </c>
      <c r="R119" s="84">
        <v>1182</v>
      </c>
      <c r="S119" s="84">
        <v>1820</v>
      </c>
      <c r="T119" s="84">
        <v>2218</v>
      </c>
      <c r="U119" s="84">
        <v>2766</v>
      </c>
      <c r="V119" s="84">
        <v>7762</v>
      </c>
      <c r="W119" s="84">
        <v>14633</v>
      </c>
      <c r="X119" s="84">
        <v>13338</v>
      </c>
      <c r="Y119" s="84">
        <v>16410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2</v>
      </c>
      <c r="K120" s="84">
        <v>326</v>
      </c>
      <c r="L120" s="84">
        <v>112</v>
      </c>
      <c r="M120" s="84">
        <v>637</v>
      </c>
      <c r="N120" s="84">
        <v>427</v>
      </c>
      <c r="O120" s="84">
        <v>684</v>
      </c>
      <c r="P120" s="84">
        <v>1344</v>
      </c>
      <c r="Q120" s="84">
        <v>1699</v>
      </c>
      <c r="R120" s="84">
        <v>4055</v>
      </c>
      <c r="S120" s="84">
        <v>5567</v>
      </c>
      <c r="T120" s="84">
        <v>6774</v>
      </c>
      <c r="U120" s="84">
        <v>9242</v>
      </c>
      <c r="V120" s="84">
        <v>15972</v>
      </c>
      <c r="W120" s="84">
        <v>33379</v>
      </c>
      <c r="X120" s="84">
        <v>34165</v>
      </c>
      <c r="Y120" s="84">
        <v>47621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792</v>
      </c>
      <c r="C121" s="110">
        <f t="shared" si="179"/>
        <v>608</v>
      </c>
      <c r="D121" s="110">
        <f t="shared" si="179"/>
        <v>711</v>
      </c>
      <c r="E121" s="110">
        <f t="shared" si="179"/>
        <v>755</v>
      </c>
      <c r="F121" s="110">
        <f t="shared" si="179"/>
        <v>943</v>
      </c>
      <c r="G121" s="110">
        <f t="shared" si="179"/>
        <v>661</v>
      </c>
      <c r="H121" s="110">
        <f t="shared" si="179"/>
        <v>830</v>
      </c>
      <c r="I121" s="110">
        <f t="shared" si="179"/>
        <v>788</v>
      </c>
      <c r="J121" s="110">
        <f t="shared" si="179"/>
        <v>963</v>
      </c>
      <c r="K121" s="110">
        <f t="shared" si="179"/>
        <v>832</v>
      </c>
      <c r="L121" s="110">
        <f t="shared" ref="L121" si="180">SUM(L122:L126)</f>
        <v>842</v>
      </c>
      <c r="M121" s="110">
        <f t="shared" ref="M121:V121" si="181">SUM(M122:M126)</f>
        <v>621</v>
      </c>
      <c r="N121" s="110">
        <f t="shared" si="181"/>
        <v>732</v>
      </c>
      <c r="O121" s="110">
        <f t="shared" si="181"/>
        <v>827</v>
      </c>
      <c r="P121" s="110">
        <f t="shared" si="181"/>
        <v>900</v>
      </c>
      <c r="Q121" s="110">
        <f t="shared" si="181"/>
        <v>899</v>
      </c>
      <c r="R121" s="110">
        <f t="shared" si="181"/>
        <v>1043</v>
      </c>
      <c r="S121" s="110">
        <f t="shared" si="181"/>
        <v>1244</v>
      </c>
      <c r="T121" s="110">
        <f t="shared" si="181"/>
        <v>1125</v>
      </c>
      <c r="U121" s="110">
        <f t="shared" si="181"/>
        <v>1163</v>
      </c>
      <c r="V121" s="110">
        <f t="shared" si="181"/>
        <v>872</v>
      </c>
      <c r="W121" s="110">
        <f t="shared" ref="W121:Y121" si="182">SUM(W122:W126)</f>
        <v>887</v>
      </c>
      <c r="X121" s="110">
        <f t="shared" si="182"/>
        <v>934</v>
      </c>
      <c r="Y121" s="110">
        <f t="shared" si="182"/>
        <v>1166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1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1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1</v>
      </c>
      <c r="Q122" s="102">
        <v>0</v>
      </c>
      <c r="R122" s="102">
        <v>1</v>
      </c>
      <c r="S122" s="102">
        <v>0</v>
      </c>
      <c r="T122" s="102">
        <v>0</v>
      </c>
      <c r="U122" s="102">
        <v>0</v>
      </c>
      <c r="V122" s="102">
        <v>0</v>
      </c>
      <c r="W122" s="102">
        <v>1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781</v>
      </c>
      <c r="C123" s="102">
        <v>582</v>
      </c>
      <c r="D123" s="102">
        <v>669</v>
      </c>
      <c r="E123" s="102">
        <v>724</v>
      </c>
      <c r="F123" s="102">
        <v>905</v>
      </c>
      <c r="G123" s="102">
        <v>612</v>
      </c>
      <c r="H123" s="102">
        <v>794</v>
      </c>
      <c r="I123" s="102">
        <v>705</v>
      </c>
      <c r="J123" s="102">
        <v>880</v>
      </c>
      <c r="K123" s="102">
        <v>549</v>
      </c>
      <c r="L123" s="102">
        <v>659</v>
      </c>
      <c r="M123" s="102">
        <v>566</v>
      </c>
      <c r="N123" s="102">
        <v>684</v>
      </c>
      <c r="O123" s="102">
        <v>691</v>
      </c>
      <c r="P123" s="102">
        <v>822</v>
      </c>
      <c r="Q123" s="102">
        <v>865</v>
      </c>
      <c r="R123" s="102">
        <v>1020</v>
      </c>
      <c r="S123" s="102">
        <v>1192</v>
      </c>
      <c r="T123" s="102">
        <v>1102</v>
      </c>
      <c r="U123" s="102">
        <v>1121</v>
      </c>
      <c r="V123" s="102">
        <v>844</v>
      </c>
      <c r="W123" s="102">
        <v>870</v>
      </c>
      <c r="X123" s="102">
        <v>897</v>
      </c>
      <c r="Y123" s="102">
        <v>1106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16</v>
      </c>
      <c r="D124" s="102">
        <v>32</v>
      </c>
      <c r="E124" s="102">
        <v>20</v>
      </c>
      <c r="F124" s="102">
        <v>25</v>
      </c>
      <c r="G124" s="102">
        <v>41</v>
      </c>
      <c r="H124" s="102">
        <v>32</v>
      </c>
      <c r="I124" s="102">
        <v>40</v>
      </c>
      <c r="J124" s="102">
        <v>38</v>
      </c>
      <c r="K124" s="102">
        <v>79</v>
      </c>
      <c r="L124" s="102">
        <v>44</v>
      </c>
      <c r="M124" s="102">
        <v>30</v>
      </c>
      <c r="N124" s="102">
        <v>3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6</v>
      </c>
      <c r="U124" s="102">
        <v>0</v>
      </c>
      <c r="V124" s="102">
        <v>6</v>
      </c>
      <c r="W124" s="102">
        <v>5</v>
      </c>
      <c r="X124" s="102">
        <v>6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13</v>
      </c>
      <c r="G125" s="102">
        <v>0</v>
      </c>
      <c r="H125" s="102">
        <v>2</v>
      </c>
      <c r="I125" s="102">
        <v>42</v>
      </c>
      <c r="J125" s="102">
        <v>43</v>
      </c>
      <c r="K125" s="102">
        <v>197</v>
      </c>
      <c r="L125" s="102">
        <v>130</v>
      </c>
      <c r="M125" s="102">
        <v>20</v>
      </c>
      <c r="N125" s="102">
        <v>31</v>
      </c>
      <c r="O125" s="102">
        <v>121</v>
      </c>
      <c r="P125" s="102">
        <v>76</v>
      </c>
      <c r="Q125" s="102">
        <v>22</v>
      </c>
      <c r="R125" s="102">
        <v>0</v>
      </c>
      <c r="S125" s="102">
        <v>46</v>
      </c>
      <c r="T125" s="102">
        <v>0</v>
      </c>
      <c r="U125" s="102">
        <v>20</v>
      </c>
      <c r="V125" s="102">
        <v>8</v>
      </c>
      <c r="W125" s="102">
        <v>0</v>
      </c>
      <c r="X125" s="102">
        <v>1</v>
      </c>
      <c r="Y125" s="102">
        <v>0</v>
      </c>
      <c r="DA125" s="175" t="s">
        <v>540</v>
      </c>
    </row>
    <row r="126" spans="1:105" ht="11.45" customHeight="1" x14ac:dyDescent="0.25">
      <c r="A126" s="111" t="s">
        <v>115</v>
      </c>
      <c r="B126" s="102">
        <v>11</v>
      </c>
      <c r="C126" s="102">
        <v>9</v>
      </c>
      <c r="D126" s="102">
        <v>10</v>
      </c>
      <c r="E126" s="102">
        <v>11</v>
      </c>
      <c r="F126" s="102">
        <v>0</v>
      </c>
      <c r="G126" s="102">
        <v>8</v>
      </c>
      <c r="H126" s="102">
        <v>2</v>
      </c>
      <c r="I126" s="102">
        <v>0</v>
      </c>
      <c r="J126" s="102">
        <v>2</v>
      </c>
      <c r="K126" s="102">
        <v>7</v>
      </c>
      <c r="L126" s="102">
        <v>9</v>
      </c>
      <c r="M126" s="102">
        <v>5</v>
      </c>
      <c r="N126" s="102">
        <v>14</v>
      </c>
      <c r="O126" s="102">
        <v>15</v>
      </c>
      <c r="P126" s="102">
        <v>1</v>
      </c>
      <c r="Q126" s="102">
        <v>12</v>
      </c>
      <c r="R126" s="102">
        <v>22</v>
      </c>
      <c r="S126" s="102">
        <v>6</v>
      </c>
      <c r="T126" s="102">
        <v>17</v>
      </c>
      <c r="U126" s="102">
        <v>22</v>
      </c>
      <c r="V126" s="102">
        <v>14</v>
      </c>
      <c r="W126" s="102">
        <v>11</v>
      </c>
      <c r="X126" s="102">
        <v>30</v>
      </c>
      <c r="Y126" s="102">
        <v>60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33116</v>
      </c>
      <c r="C127" s="28">
        <f t="shared" si="183"/>
        <v>29658</v>
      </c>
      <c r="D127" s="28">
        <f t="shared" si="183"/>
        <v>27417</v>
      </c>
      <c r="E127" s="28">
        <f t="shared" si="183"/>
        <v>30661</v>
      </c>
      <c r="F127" s="28">
        <f t="shared" si="183"/>
        <v>36828</v>
      </c>
      <c r="G127" s="28">
        <f t="shared" si="183"/>
        <v>34818</v>
      </c>
      <c r="H127" s="28">
        <f t="shared" si="183"/>
        <v>36636</v>
      </c>
      <c r="I127" s="28">
        <f t="shared" si="183"/>
        <v>40335</v>
      </c>
      <c r="J127" s="28">
        <f t="shared" si="183"/>
        <v>41532</v>
      </c>
      <c r="K127" s="28">
        <f t="shared" si="183"/>
        <v>29223</v>
      </c>
      <c r="L127" s="28">
        <f t="shared" ref="L127" si="184">L128+L134</f>
        <v>33899</v>
      </c>
      <c r="M127" s="28">
        <f t="shared" ref="M127:V127" si="185">M128+M134</f>
        <v>39164</v>
      </c>
      <c r="N127" s="28">
        <f t="shared" si="185"/>
        <v>36699</v>
      </c>
      <c r="O127" s="28">
        <f t="shared" si="185"/>
        <v>38652</v>
      </c>
      <c r="P127" s="28">
        <f t="shared" si="185"/>
        <v>38133</v>
      </c>
      <c r="Q127" s="28">
        <f t="shared" si="185"/>
        <v>40716</v>
      </c>
      <c r="R127" s="28">
        <f t="shared" si="185"/>
        <v>44512</v>
      </c>
      <c r="S127" s="28">
        <f t="shared" si="185"/>
        <v>49194</v>
      </c>
      <c r="T127" s="28">
        <f t="shared" si="185"/>
        <v>51131</v>
      </c>
      <c r="U127" s="28">
        <f t="shared" si="185"/>
        <v>52058</v>
      </c>
      <c r="V127" s="28">
        <f t="shared" si="185"/>
        <v>45557</v>
      </c>
      <c r="W127" s="28">
        <f t="shared" ref="W127:Y127" si="186">W128+W134</f>
        <v>65786</v>
      </c>
      <c r="X127" s="28">
        <f t="shared" si="186"/>
        <v>50237</v>
      </c>
      <c r="Y127" s="28">
        <f t="shared" si="186"/>
        <v>47935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26360</v>
      </c>
      <c r="C128" s="137">
        <f t="shared" si="187"/>
        <v>23313</v>
      </c>
      <c r="D128" s="137">
        <f t="shared" si="187"/>
        <v>21795</v>
      </c>
      <c r="E128" s="137">
        <f t="shared" si="187"/>
        <v>24837</v>
      </c>
      <c r="F128" s="137">
        <f t="shared" si="187"/>
        <v>28196</v>
      </c>
      <c r="G128" s="137">
        <f t="shared" si="187"/>
        <v>28195</v>
      </c>
      <c r="H128" s="137">
        <f t="shared" si="187"/>
        <v>29860</v>
      </c>
      <c r="I128" s="137">
        <f t="shared" si="187"/>
        <v>31794</v>
      </c>
      <c r="J128" s="137">
        <f t="shared" si="187"/>
        <v>32203</v>
      </c>
      <c r="K128" s="137">
        <f t="shared" si="187"/>
        <v>25156</v>
      </c>
      <c r="L128" s="137">
        <f t="shared" ref="L128" si="188">SUM(L129:L133)</f>
        <v>27741</v>
      </c>
      <c r="M128" s="137">
        <f t="shared" ref="M128:V128" si="189">SUM(M129:M133)</f>
        <v>35348</v>
      </c>
      <c r="N128" s="137">
        <f t="shared" si="189"/>
        <v>31516</v>
      </c>
      <c r="O128" s="137">
        <f t="shared" si="189"/>
        <v>32296</v>
      </c>
      <c r="P128" s="137">
        <f t="shared" si="189"/>
        <v>32148</v>
      </c>
      <c r="Q128" s="137">
        <f t="shared" si="189"/>
        <v>33834</v>
      </c>
      <c r="R128" s="137">
        <f t="shared" si="189"/>
        <v>37460</v>
      </c>
      <c r="S128" s="137">
        <f t="shared" si="189"/>
        <v>40852</v>
      </c>
      <c r="T128" s="137">
        <f t="shared" si="189"/>
        <v>44158</v>
      </c>
      <c r="U128" s="137">
        <f t="shared" si="189"/>
        <v>44217</v>
      </c>
      <c r="V128" s="137">
        <f t="shared" si="189"/>
        <v>38750</v>
      </c>
      <c r="W128" s="137">
        <f t="shared" ref="W128:Y128" si="190">SUM(W129:W133)</f>
        <v>57783</v>
      </c>
      <c r="X128" s="137">
        <f t="shared" si="190"/>
        <v>43465</v>
      </c>
      <c r="Y128" s="137">
        <f t="shared" si="190"/>
        <v>42093</v>
      </c>
      <c r="DA128" s="174" t="s">
        <v>543</v>
      </c>
    </row>
    <row r="129" spans="1:105" ht="11.45" customHeight="1" x14ac:dyDescent="0.25">
      <c r="A129" s="111" t="s">
        <v>110</v>
      </c>
      <c r="B129" s="84">
        <v>378</v>
      </c>
      <c r="C129" s="84">
        <v>199</v>
      </c>
      <c r="D129" s="84">
        <v>217</v>
      </c>
      <c r="E129" s="84">
        <v>317</v>
      </c>
      <c r="F129" s="84">
        <v>473</v>
      </c>
      <c r="G129" s="84">
        <v>500</v>
      </c>
      <c r="H129" s="84">
        <v>651</v>
      </c>
      <c r="I129" s="84">
        <v>903</v>
      </c>
      <c r="J129" s="84">
        <v>1070</v>
      </c>
      <c r="K129" s="84">
        <v>1294</v>
      </c>
      <c r="L129" s="84">
        <v>1149</v>
      </c>
      <c r="M129" s="84">
        <v>1235</v>
      </c>
      <c r="N129" s="84">
        <v>1400</v>
      </c>
      <c r="O129" s="84">
        <v>2301</v>
      </c>
      <c r="P129" s="84">
        <v>2300</v>
      </c>
      <c r="Q129" s="84">
        <v>2087</v>
      </c>
      <c r="R129" s="84">
        <v>1846</v>
      </c>
      <c r="S129" s="84">
        <v>2230</v>
      </c>
      <c r="T129" s="84">
        <v>2654</v>
      </c>
      <c r="U129" s="84">
        <v>2079</v>
      </c>
      <c r="V129" s="84">
        <v>1124</v>
      </c>
      <c r="W129" s="84">
        <v>1919</v>
      </c>
      <c r="X129" s="84">
        <v>2832</v>
      </c>
      <c r="Y129" s="84">
        <v>2707</v>
      </c>
      <c r="DA129" s="171" t="s">
        <v>544</v>
      </c>
    </row>
    <row r="130" spans="1:105" ht="11.45" customHeight="1" x14ac:dyDescent="0.25">
      <c r="A130" s="111" t="s">
        <v>111</v>
      </c>
      <c r="B130" s="84">
        <v>25982</v>
      </c>
      <c r="C130" s="84">
        <v>23105</v>
      </c>
      <c r="D130" s="84">
        <v>21578</v>
      </c>
      <c r="E130" s="84">
        <v>24513</v>
      </c>
      <c r="F130" s="84">
        <v>27711</v>
      </c>
      <c r="G130" s="84">
        <v>27631</v>
      </c>
      <c r="H130" s="84">
        <v>29138</v>
      </c>
      <c r="I130" s="84">
        <v>30812</v>
      </c>
      <c r="J130" s="84">
        <v>30891</v>
      </c>
      <c r="K130" s="84">
        <v>23719</v>
      </c>
      <c r="L130" s="84">
        <v>26440</v>
      </c>
      <c r="M130" s="84">
        <v>33930</v>
      </c>
      <c r="N130" s="84">
        <v>29637</v>
      </c>
      <c r="O130" s="84">
        <v>29004</v>
      </c>
      <c r="P130" s="84">
        <v>29456</v>
      </c>
      <c r="Q130" s="84">
        <v>31334</v>
      </c>
      <c r="R130" s="84">
        <v>34304</v>
      </c>
      <c r="S130" s="84">
        <v>38242</v>
      </c>
      <c r="T130" s="84">
        <v>40922</v>
      </c>
      <c r="U130" s="84">
        <v>41541</v>
      </c>
      <c r="V130" s="84">
        <v>36755</v>
      </c>
      <c r="W130" s="84">
        <v>53424</v>
      </c>
      <c r="X130" s="84">
        <v>38444</v>
      </c>
      <c r="Y130" s="84">
        <v>36100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7</v>
      </c>
      <c r="F131" s="84">
        <v>12</v>
      </c>
      <c r="G131" s="84">
        <v>64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9</v>
      </c>
      <c r="O131" s="84">
        <v>13</v>
      </c>
      <c r="P131" s="84">
        <v>18</v>
      </c>
      <c r="Q131" s="84">
        <v>11</v>
      </c>
      <c r="R131" s="84">
        <v>59</v>
      </c>
      <c r="S131" s="84">
        <v>13</v>
      </c>
      <c r="T131" s="84">
        <v>9</v>
      </c>
      <c r="U131" s="84">
        <v>20</v>
      </c>
      <c r="V131" s="84">
        <v>36</v>
      </c>
      <c r="W131" s="84">
        <v>40</v>
      </c>
      <c r="X131" s="84">
        <v>35</v>
      </c>
      <c r="Y131" s="84">
        <v>22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71</v>
      </c>
      <c r="I132" s="84">
        <v>73</v>
      </c>
      <c r="J132" s="84">
        <v>238</v>
      </c>
      <c r="K132" s="84">
        <v>128</v>
      </c>
      <c r="L132" s="84">
        <v>127</v>
      </c>
      <c r="M132" s="84">
        <v>142</v>
      </c>
      <c r="N132" s="84">
        <v>192</v>
      </c>
      <c r="O132" s="84">
        <v>744</v>
      </c>
      <c r="P132" s="84">
        <v>172</v>
      </c>
      <c r="Q132" s="84">
        <v>149</v>
      </c>
      <c r="R132" s="84">
        <v>806</v>
      </c>
      <c r="S132" s="84">
        <v>100</v>
      </c>
      <c r="T132" s="84">
        <v>120</v>
      </c>
      <c r="U132" s="84">
        <v>88</v>
      </c>
      <c r="V132" s="84">
        <v>52</v>
      </c>
      <c r="W132" s="84">
        <v>78</v>
      </c>
      <c r="X132" s="84">
        <v>56</v>
      </c>
      <c r="Y132" s="84">
        <v>5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9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6</v>
      </c>
      <c r="J133" s="84">
        <v>4</v>
      </c>
      <c r="K133" s="84">
        <v>15</v>
      </c>
      <c r="L133" s="84">
        <v>25</v>
      </c>
      <c r="M133" s="84">
        <v>41</v>
      </c>
      <c r="N133" s="84">
        <v>278</v>
      </c>
      <c r="O133" s="84">
        <v>234</v>
      </c>
      <c r="P133" s="84">
        <v>202</v>
      </c>
      <c r="Q133" s="84">
        <v>253</v>
      </c>
      <c r="R133" s="84">
        <v>445</v>
      </c>
      <c r="S133" s="84">
        <v>267</v>
      </c>
      <c r="T133" s="84">
        <v>453</v>
      </c>
      <c r="U133" s="84">
        <v>489</v>
      </c>
      <c r="V133" s="84">
        <v>783</v>
      </c>
      <c r="W133" s="84">
        <v>2322</v>
      </c>
      <c r="X133" s="84">
        <v>2098</v>
      </c>
      <c r="Y133" s="84">
        <v>3259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6756</v>
      </c>
      <c r="C134" s="110">
        <f t="shared" si="191"/>
        <v>6345</v>
      </c>
      <c r="D134" s="110">
        <f t="shared" si="191"/>
        <v>5622</v>
      </c>
      <c r="E134" s="110">
        <f t="shared" si="191"/>
        <v>5824</v>
      </c>
      <c r="F134" s="110">
        <f t="shared" si="191"/>
        <v>8632</v>
      </c>
      <c r="G134" s="110">
        <f t="shared" si="191"/>
        <v>6623</v>
      </c>
      <c r="H134" s="110">
        <f t="shared" si="191"/>
        <v>6776</v>
      </c>
      <c r="I134" s="110">
        <f t="shared" si="191"/>
        <v>8541</v>
      </c>
      <c r="J134" s="110">
        <f t="shared" si="191"/>
        <v>9329</v>
      </c>
      <c r="K134" s="110">
        <f t="shared" si="191"/>
        <v>4067</v>
      </c>
      <c r="L134" s="110">
        <f t="shared" ref="L134" si="192">SUM(L135:L136)</f>
        <v>6158</v>
      </c>
      <c r="M134" s="110">
        <f t="shared" ref="M134:V134" si="193">SUM(M135:M136)</f>
        <v>3816</v>
      </c>
      <c r="N134" s="110">
        <f t="shared" si="193"/>
        <v>5183</v>
      </c>
      <c r="O134" s="110">
        <f t="shared" si="193"/>
        <v>6356</v>
      </c>
      <c r="P134" s="110">
        <f t="shared" si="193"/>
        <v>5985</v>
      </c>
      <c r="Q134" s="110">
        <f t="shared" si="193"/>
        <v>6882</v>
      </c>
      <c r="R134" s="110">
        <f t="shared" si="193"/>
        <v>7052</v>
      </c>
      <c r="S134" s="110">
        <f t="shared" si="193"/>
        <v>8342</v>
      </c>
      <c r="T134" s="110">
        <f t="shared" si="193"/>
        <v>6973</v>
      </c>
      <c r="U134" s="110">
        <f t="shared" si="193"/>
        <v>7841</v>
      </c>
      <c r="V134" s="110">
        <f t="shared" si="193"/>
        <v>6807</v>
      </c>
      <c r="W134" s="110">
        <f t="shared" ref="W134:Y134" si="194">SUM(W135:W136)</f>
        <v>8003</v>
      </c>
      <c r="X134" s="110">
        <f t="shared" si="194"/>
        <v>6772</v>
      </c>
      <c r="Y134" s="110">
        <f t="shared" si="194"/>
        <v>5842</v>
      </c>
      <c r="DA134" s="176" t="s">
        <v>549</v>
      </c>
    </row>
    <row r="135" spans="1:105" ht="11.45" customHeight="1" x14ac:dyDescent="0.25">
      <c r="A135" s="128" t="s">
        <v>27</v>
      </c>
      <c r="B135" s="102">
        <v>5573</v>
      </c>
      <c r="C135" s="102">
        <v>4975</v>
      </c>
      <c r="D135" s="102">
        <v>4334</v>
      </c>
      <c r="E135" s="102">
        <v>4788</v>
      </c>
      <c r="F135" s="102">
        <v>5295</v>
      </c>
      <c r="G135" s="102">
        <v>5079</v>
      </c>
      <c r="H135" s="102">
        <v>4842</v>
      </c>
      <c r="I135" s="102">
        <v>5037</v>
      </c>
      <c r="J135" s="102">
        <v>5420</v>
      </c>
      <c r="K135" s="102">
        <v>4067</v>
      </c>
      <c r="L135" s="102">
        <v>4057</v>
      </c>
      <c r="M135" s="102">
        <v>1854</v>
      </c>
      <c r="N135" s="102">
        <v>4290</v>
      </c>
      <c r="O135" s="102">
        <v>4266</v>
      </c>
      <c r="P135" s="102">
        <v>4344</v>
      </c>
      <c r="Q135" s="102">
        <v>4288</v>
      </c>
      <c r="R135" s="102">
        <v>4784</v>
      </c>
      <c r="S135" s="102">
        <v>4759</v>
      </c>
      <c r="T135" s="102">
        <v>5135</v>
      </c>
      <c r="U135" s="102">
        <v>5460</v>
      </c>
      <c r="V135" s="102">
        <v>4469</v>
      </c>
      <c r="W135" s="102">
        <v>4768</v>
      </c>
      <c r="X135" s="102">
        <v>4142</v>
      </c>
      <c r="Y135" s="102">
        <v>4715</v>
      </c>
      <c r="DA135" s="175" t="s">
        <v>550</v>
      </c>
    </row>
    <row r="136" spans="1:105" ht="11.45" customHeight="1" x14ac:dyDescent="0.25">
      <c r="A136" s="138" t="s">
        <v>116</v>
      </c>
      <c r="B136" s="86">
        <v>1183</v>
      </c>
      <c r="C136" s="86">
        <v>1370</v>
      </c>
      <c r="D136" s="86">
        <v>1288</v>
      </c>
      <c r="E136" s="86">
        <v>1036</v>
      </c>
      <c r="F136" s="86">
        <v>3337</v>
      </c>
      <c r="G136" s="86">
        <v>1544</v>
      </c>
      <c r="H136" s="86">
        <v>1934</v>
      </c>
      <c r="I136" s="86">
        <v>3504</v>
      </c>
      <c r="J136" s="86">
        <v>3909</v>
      </c>
      <c r="K136" s="86">
        <v>0</v>
      </c>
      <c r="L136" s="86">
        <v>2101</v>
      </c>
      <c r="M136" s="86">
        <v>1962</v>
      </c>
      <c r="N136" s="86">
        <v>893</v>
      </c>
      <c r="O136" s="86">
        <v>2090</v>
      </c>
      <c r="P136" s="86">
        <v>1641</v>
      </c>
      <c r="Q136" s="86">
        <v>2594</v>
      </c>
      <c r="R136" s="86">
        <v>2268</v>
      </c>
      <c r="S136" s="86">
        <v>3583</v>
      </c>
      <c r="T136" s="86">
        <v>1838</v>
      </c>
      <c r="U136" s="86">
        <v>2381</v>
      </c>
      <c r="V136" s="86">
        <v>2338</v>
      </c>
      <c r="W136" s="86">
        <v>3235</v>
      </c>
      <c r="X136" s="86">
        <v>2630</v>
      </c>
      <c r="Y136" s="86">
        <v>1127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1.3840622828131111</v>
      </c>
      <c r="C141" s="32">
        <f t="shared" si="195"/>
        <v>1.3670005506102372</v>
      </c>
      <c r="D141" s="32">
        <f t="shared" si="195"/>
        <v>1.3499327246159571</v>
      </c>
      <c r="E141" s="32">
        <f t="shared" si="195"/>
        <v>1.3469973666923798</v>
      </c>
      <c r="F141" s="32">
        <f t="shared" si="195"/>
        <v>1.3421859518439661</v>
      </c>
      <c r="G141" s="32">
        <f t="shared" si="195"/>
        <v>1.3358069013053371</v>
      </c>
      <c r="H141" s="32">
        <f t="shared" si="195"/>
        <v>1.334552708370544</v>
      </c>
      <c r="I141" s="32">
        <f t="shared" si="195"/>
        <v>1.3305094302597482</v>
      </c>
      <c r="J141" s="32">
        <f t="shared" si="195"/>
        <v>1.3875148106774924</v>
      </c>
      <c r="K141" s="32">
        <f t="shared" si="195"/>
        <v>1.3705574643493517</v>
      </c>
      <c r="L141" s="32">
        <f t="shared" ref="L141" si="196">IF(L4=0,0,L4/L31)</f>
        <v>1.371621150325349</v>
      </c>
      <c r="M141" s="32">
        <f t="shared" ref="M141:V141" si="197">IF(M4=0,0,M4/M31)</f>
        <v>1.3737578098505441</v>
      </c>
      <c r="N141" s="32">
        <f t="shared" si="197"/>
        <v>1.3704860695111085</v>
      </c>
      <c r="O141" s="32">
        <f t="shared" si="197"/>
        <v>1.3672801568880082</v>
      </c>
      <c r="P141" s="32">
        <f t="shared" si="197"/>
        <v>1.3654374866430612</v>
      </c>
      <c r="Q141" s="32">
        <f t="shared" si="197"/>
        <v>1.3646577178525026</v>
      </c>
      <c r="R141" s="32">
        <f t="shared" si="197"/>
        <v>1.3651797860686052</v>
      </c>
      <c r="S141" s="32">
        <f t="shared" si="197"/>
        <v>1.3682956339955481</v>
      </c>
      <c r="T141" s="32">
        <f t="shared" si="197"/>
        <v>1.3590177132305064</v>
      </c>
      <c r="U141" s="32">
        <f t="shared" si="197"/>
        <v>1.3561978610827967</v>
      </c>
      <c r="V141" s="32">
        <f t="shared" si="197"/>
        <v>1.3276563733100697</v>
      </c>
      <c r="W141" s="32">
        <f t="shared" ref="W141:Y141" si="198">IF(W4=0,0,W4/W31)</f>
        <v>1.3503965328230367</v>
      </c>
      <c r="X141" s="32">
        <f t="shared" si="198"/>
        <v>1.3664382818197127</v>
      </c>
      <c r="Y141" s="32">
        <f t="shared" si="198"/>
        <v>1.3684617541423598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1.1549472685768509</v>
      </c>
      <c r="C142" s="141">
        <v>1.1549251164250132</v>
      </c>
      <c r="D142" s="141">
        <v>1.1547244330057378</v>
      </c>
      <c r="E142" s="141">
        <v>1.1552093820866827</v>
      </c>
      <c r="F142" s="141">
        <v>1.1553640856511078</v>
      </c>
      <c r="G142" s="141">
        <v>1.1543178727366703</v>
      </c>
      <c r="H142" s="141">
        <v>1.1546398637822317</v>
      </c>
      <c r="I142" s="141">
        <v>1.1564931393319673</v>
      </c>
      <c r="J142" s="141">
        <v>1.1571017737935945</v>
      </c>
      <c r="K142" s="141">
        <v>1.157657056258365</v>
      </c>
      <c r="L142" s="141">
        <v>1.1556682113354202</v>
      </c>
      <c r="M142" s="141">
        <v>1.1546558434345866</v>
      </c>
      <c r="N142" s="141">
        <v>1.1475295413899491</v>
      </c>
      <c r="O142" s="141">
        <v>1.1469392088128176</v>
      </c>
      <c r="P142" s="141">
        <v>1.149429532231234</v>
      </c>
      <c r="Q142" s="141">
        <v>1.1514161199072457</v>
      </c>
      <c r="R142" s="141">
        <v>1.1517563357906333</v>
      </c>
      <c r="S142" s="141">
        <v>1.1510883337985369</v>
      </c>
      <c r="T142" s="141">
        <v>1.1505322943463117</v>
      </c>
      <c r="U142" s="141">
        <v>1.1512197331119483</v>
      </c>
      <c r="V142" s="141">
        <v>1.1499639448700312</v>
      </c>
      <c r="W142" s="141">
        <v>1.1504250017083058</v>
      </c>
      <c r="X142" s="141">
        <v>1.1504031032808053</v>
      </c>
      <c r="Y142" s="141">
        <v>1.1517398275257729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1.2259909822732822</v>
      </c>
      <c r="C143" s="130">
        <f t="shared" si="199"/>
        <v>1.211989054571794</v>
      </c>
      <c r="D143" s="130">
        <f t="shared" si="199"/>
        <v>1.1985022129215417</v>
      </c>
      <c r="E143" s="130">
        <f t="shared" si="199"/>
        <v>1.195008719087433</v>
      </c>
      <c r="F143" s="130">
        <f t="shared" si="199"/>
        <v>1.1909922650271934</v>
      </c>
      <c r="G143" s="130">
        <f t="shared" si="199"/>
        <v>1.1875043011572812</v>
      </c>
      <c r="H143" s="130">
        <f t="shared" si="199"/>
        <v>1.1840001640740998</v>
      </c>
      <c r="I143" s="130">
        <f t="shared" si="199"/>
        <v>1.1800074091131822</v>
      </c>
      <c r="J143" s="130">
        <f t="shared" si="199"/>
        <v>1.2384234824846292</v>
      </c>
      <c r="K143" s="130">
        <f t="shared" si="199"/>
        <v>1.2368157464082363</v>
      </c>
      <c r="L143" s="130">
        <f t="shared" ref="L143" si="200">IF(L6=0,0,L6/L33)</f>
        <v>1.2353112961720967</v>
      </c>
      <c r="M143" s="130">
        <f t="shared" ref="M143:V143" si="201">IF(M6=0,0,M6/M33)</f>
        <v>1.2351277024900582</v>
      </c>
      <c r="N143" s="130">
        <f t="shared" si="201"/>
        <v>1.2340375636191738</v>
      </c>
      <c r="O143" s="130">
        <f t="shared" si="201"/>
        <v>1.2319812568476813</v>
      </c>
      <c r="P143" s="130">
        <f t="shared" si="201"/>
        <v>1.2303139752691101</v>
      </c>
      <c r="Q143" s="130">
        <f t="shared" si="201"/>
        <v>1.2305169374855305</v>
      </c>
      <c r="R143" s="130">
        <f t="shared" si="201"/>
        <v>1.2304854651087331</v>
      </c>
      <c r="S143" s="130">
        <f t="shared" si="201"/>
        <v>1.2317560321287573</v>
      </c>
      <c r="T143" s="130">
        <f t="shared" si="201"/>
        <v>1.2315456898745938</v>
      </c>
      <c r="U143" s="130">
        <f t="shared" si="201"/>
        <v>1.2314622449190442</v>
      </c>
      <c r="V143" s="130">
        <f t="shared" si="201"/>
        <v>1.2078807326672443</v>
      </c>
      <c r="W143" s="130">
        <f t="shared" ref="W143:Y143" si="202">IF(W6=0,0,W6/W33)</f>
        <v>1.2329522809880451</v>
      </c>
      <c r="X143" s="130">
        <f t="shared" si="202"/>
        <v>1.2321138914883438</v>
      </c>
      <c r="Y143" s="130">
        <f t="shared" si="202"/>
        <v>1.2318139305132516</v>
      </c>
      <c r="DA143" s="176" t="s">
        <v>554</v>
      </c>
    </row>
    <row r="144" spans="1:105" ht="11.45" customHeight="1" x14ac:dyDescent="0.25">
      <c r="A144" s="111" t="s">
        <v>110</v>
      </c>
      <c r="B144" s="96">
        <v>1.2259909822732817</v>
      </c>
      <c r="C144" s="96">
        <v>1.211989054571794</v>
      </c>
      <c r="D144" s="96">
        <v>1.1985022129215419</v>
      </c>
      <c r="E144" s="96">
        <v>1.1950087190874328</v>
      </c>
      <c r="F144" s="96">
        <v>1.1909922650271931</v>
      </c>
      <c r="G144" s="96">
        <v>1.187504301157281</v>
      </c>
      <c r="H144" s="96">
        <v>1.1840001640740998</v>
      </c>
      <c r="I144" s="96">
        <v>1.1800074091131822</v>
      </c>
      <c r="J144" s="96">
        <v>1.2384234824846294</v>
      </c>
      <c r="K144" s="96">
        <v>1.2368157464082368</v>
      </c>
      <c r="L144" s="96">
        <v>1.2353112961720969</v>
      </c>
      <c r="M144" s="96">
        <v>1.235127702490058</v>
      </c>
      <c r="N144" s="96">
        <v>1.2340375636191738</v>
      </c>
      <c r="O144" s="96">
        <v>1.2319812568476816</v>
      </c>
      <c r="P144" s="96">
        <v>1.2303139752691099</v>
      </c>
      <c r="Q144" s="96">
        <v>1.2305169374855305</v>
      </c>
      <c r="R144" s="96">
        <v>1.2304854651087329</v>
      </c>
      <c r="S144" s="96">
        <v>1.2317560321287568</v>
      </c>
      <c r="T144" s="96">
        <v>1.231545689874594</v>
      </c>
      <c r="U144" s="96">
        <v>1.231462244919044</v>
      </c>
      <c r="V144" s="96">
        <v>1.2078807326672441</v>
      </c>
      <c r="W144" s="96">
        <v>1.2329522809880451</v>
      </c>
      <c r="X144" s="96">
        <v>1.2321138914883438</v>
      </c>
      <c r="Y144" s="96">
        <v>1.2318139305132512</v>
      </c>
      <c r="DA144" s="171" t="s">
        <v>555</v>
      </c>
    </row>
    <row r="145" spans="1:105" ht="11.45" customHeight="1" x14ac:dyDescent="0.25">
      <c r="A145" s="111" t="s">
        <v>111</v>
      </c>
      <c r="B145" s="96">
        <v>1.2259909822732822</v>
      </c>
      <c r="C145" s="96">
        <v>1.2119890545717935</v>
      </c>
      <c r="D145" s="96">
        <v>1.1985022129215415</v>
      </c>
      <c r="E145" s="96">
        <v>1.1950087190874332</v>
      </c>
      <c r="F145" s="96">
        <v>1.1909922650271929</v>
      </c>
      <c r="G145" s="96">
        <v>1.187504301157281</v>
      </c>
      <c r="H145" s="96">
        <v>1.1840001640741</v>
      </c>
      <c r="I145" s="96">
        <v>1.1800074091131825</v>
      </c>
      <c r="J145" s="96">
        <v>1.2384234824846294</v>
      </c>
      <c r="K145" s="96">
        <v>1.2368157464082365</v>
      </c>
      <c r="L145" s="96">
        <v>1.2353112961720967</v>
      </c>
      <c r="M145" s="96">
        <v>1.2351277024900582</v>
      </c>
      <c r="N145" s="96">
        <v>1.2340375636191734</v>
      </c>
      <c r="O145" s="96">
        <v>1.2319812568476813</v>
      </c>
      <c r="P145" s="96">
        <v>1.2303139752691101</v>
      </c>
      <c r="Q145" s="96">
        <v>1.2305169374855305</v>
      </c>
      <c r="R145" s="96">
        <v>1.2304854651087329</v>
      </c>
      <c r="S145" s="96">
        <v>1.2317560321287571</v>
      </c>
      <c r="T145" s="96">
        <v>1.231545689874594</v>
      </c>
      <c r="U145" s="96">
        <v>1.231462244919044</v>
      </c>
      <c r="V145" s="96">
        <v>1.2078807326672438</v>
      </c>
      <c r="W145" s="96">
        <v>1.2329522809880451</v>
      </c>
      <c r="X145" s="96">
        <v>1.2321138914883438</v>
      </c>
      <c r="Y145" s="96">
        <v>1.2318139305132516</v>
      </c>
      <c r="DA145" s="171" t="s">
        <v>556</v>
      </c>
    </row>
    <row r="146" spans="1:105" ht="11.45" customHeight="1" x14ac:dyDescent="0.25">
      <c r="A146" s="111" t="s">
        <v>112</v>
      </c>
      <c r="B146" s="96">
        <v>1.225990982273282</v>
      </c>
      <c r="C146" s="96">
        <v>1.2119890545717942</v>
      </c>
      <c r="D146" s="96">
        <v>1.1985022129215417</v>
      </c>
      <c r="E146" s="96">
        <v>1.195008719087433</v>
      </c>
      <c r="F146" s="96">
        <v>1.1909922650271931</v>
      </c>
      <c r="G146" s="96">
        <v>1.187504301157281</v>
      </c>
      <c r="H146" s="96">
        <v>1.1840001640740998</v>
      </c>
      <c r="I146" s="96">
        <v>1.1800074091131825</v>
      </c>
      <c r="J146" s="96">
        <v>1.2384234824846294</v>
      </c>
      <c r="K146" s="96">
        <v>1.2368157464082365</v>
      </c>
      <c r="L146" s="96">
        <v>1.2353112961720967</v>
      </c>
      <c r="M146" s="96">
        <v>1.2351277024900584</v>
      </c>
      <c r="N146" s="96">
        <v>1.2340375636191736</v>
      </c>
      <c r="O146" s="96">
        <v>1.2319812568476813</v>
      </c>
      <c r="P146" s="96">
        <v>1.2303139752691101</v>
      </c>
      <c r="Q146" s="96">
        <v>1.2305169374855307</v>
      </c>
      <c r="R146" s="96">
        <v>1.2304854651087329</v>
      </c>
      <c r="S146" s="96">
        <v>1.2317560321287573</v>
      </c>
      <c r="T146" s="96">
        <v>1.2315456898745938</v>
      </c>
      <c r="U146" s="96">
        <v>1.231462244919044</v>
      </c>
      <c r="V146" s="96">
        <v>1.2078807326672441</v>
      </c>
      <c r="W146" s="96">
        <v>1.2329522809880451</v>
      </c>
      <c r="X146" s="96">
        <v>1.2321138914883438</v>
      </c>
      <c r="Y146" s="96">
        <v>1.2318139305132512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1.1840001640740998</v>
      </c>
      <c r="I147" s="96">
        <v>1.1800074091131825</v>
      </c>
      <c r="J147" s="96">
        <v>1.2384234824846294</v>
      </c>
      <c r="K147" s="96">
        <v>1.2368157464082365</v>
      </c>
      <c r="L147" s="96">
        <v>1.2353112961720967</v>
      </c>
      <c r="M147" s="96">
        <v>1.2351277024900582</v>
      </c>
      <c r="N147" s="96">
        <v>1.2340375636191736</v>
      </c>
      <c r="O147" s="96">
        <v>1.2319812568476813</v>
      </c>
      <c r="P147" s="96">
        <v>1.2303139752691101</v>
      </c>
      <c r="Q147" s="96">
        <v>1.2305169374855307</v>
      </c>
      <c r="R147" s="96">
        <v>1.2304854651087329</v>
      </c>
      <c r="S147" s="96">
        <v>1.2317560321287573</v>
      </c>
      <c r="T147" s="96">
        <v>1.2315456898745938</v>
      </c>
      <c r="U147" s="96">
        <v>1.2314622449190442</v>
      </c>
      <c r="V147" s="96">
        <v>1.2078807326672441</v>
      </c>
      <c r="W147" s="96">
        <v>1.2329522809880451</v>
      </c>
      <c r="X147" s="96">
        <v>1.2321138914883438</v>
      </c>
      <c r="Y147" s="96">
        <v>1.2318139305132512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1.2351277024900582</v>
      </c>
      <c r="N148" s="96">
        <v>1.2340375636191736</v>
      </c>
      <c r="O148" s="96">
        <v>1.2319812568476813</v>
      </c>
      <c r="P148" s="96">
        <v>1.2303139752691101</v>
      </c>
      <c r="Q148" s="96">
        <v>1.2305169374855307</v>
      </c>
      <c r="R148" s="96">
        <v>1.2304854651087327</v>
      </c>
      <c r="S148" s="96">
        <v>1.2317560321287573</v>
      </c>
      <c r="T148" s="96">
        <v>1.2315456898745938</v>
      </c>
      <c r="U148" s="96">
        <v>1.2314622449190442</v>
      </c>
      <c r="V148" s="96">
        <v>1.2078807326672441</v>
      </c>
      <c r="W148" s="96">
        <v>1.2329522809880451</v>
      </c>
      <c r="X148" s="96">
        <v>1.232113891488344</v>
      </c>
      <c r="Y148" s="96">
        <v>1.2318139305132512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1.2384234824846294</v>
      </c>
      <c r="K149" s="96">
        <v>1.2368157464082365</v>
      </c>
      <c r="L149" s="96">
        <v>1.2353112961720967</v>
      </c>
      <c r="M149" s="96">
        <v>1.2351277024900582</v>
      </c>
      <c r="N149" s="96">
        <v>1.2340375636191736</v>
      </c>
      <c r="O149" s="96">
        <v>1.2319812568476813</v>
      </c>
      <c r="P149" s="96">
        <v>1.2303139752691101</v>
      </c>
      <c r="Q149" s="96">
        <v>1.2305169374855307</v>
      </c>
      <c r="R149" s="96">
        <v>1.2304854651087329</v>
      </c>
      <c r="S149" s="96">
        <v>1.2317560321287573</v>
      </c>
      <c r="T149" s="96">
        <v>1.2315456898745938</v>
      </c>
      <c r="U149" s="96">
        <v>1.2314622449190442</v>
      </c>
      <c r="V149" s="96">
        <v>1.2078807326672441</v>
      </c>
      <c r="W149" s="96">
        <v>1.2329522809880451</v>
      </c>
      <c r="X149" s="96">
        <v>1.2321138914883438</v>
      </c>
      <c r="Y149" s="96">
        <v>1.2318139305132512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20.941892045723389</v>
      </c>
      <c r="C150" s="130">
        <f t="shared" si="203"/>
        <v>20.492204469076285</v>
      </c>
      <c r="D150" s="130">
        <f t="shared" si="203"/>
        <v>19.665627373727759</v>
      </c>
      <c r="E150" s="130">
        <f t="shared" si="203"/>
        <v>19.369111979242572</v>
      </c>
      <c r="F150" s="130">
        <f t="shared" si="203"/>
        <v>19.548861056402323</v>
      </c>
      <c r="G150" s="130">
        <f t="shared" si="203"/>
        <v>19.496147482470121</v>
      </c>
      <c r="H150" s="130">
        <f t="shared" si="203"/>
        <v>20.151102348536543</v>
      </c>
      <c r="I150" s="130">
        <f t="shared" si="203"/>
        <v>19.403806823363283</v>
      </c>
      <c r="J150" s="130">
        <f t="shared" si="203"/>
        <v>19.374545032216783</v>
      </c>
      <c r="K150" s="130">
        <f t="shared" si="203"/>
        <v>18.740614803789665</v>
      </c>
      <c r="L150" s="130">
        <f t="shared" ref="L150" si="204">IF(L13=0,0,L13/L40)</f>
        <v>17.824728471602754</v>
      </c>
      <c r="M150" s="130">
        <f t="shared" ref="M150:V150" si="205">IF(M13=0,0,M13/M40)</f>
        <v>18.421060892078447</v>
      </c>
      <c r="N150" s="130">
        <f t="shared" si="205"/>
        <v>18.121163368586053</v>
      </c>
      <c r="O150" s="130">
        <f t="shared" si="205"/>
        <v>18.127857871044117</v>
      </c>
      <c r="P150" s="130">
        <f t="shared" si="205"/>
        <v>18.053520167902377</v>
      </c>
      <c r="Q150" s="130">
        <f t="shared" si="205"/>
        <v>18.052182283716448</v>
      </c>
      <c r="R150" s="130">
        <f t="shared" si="205"/>
        <v>18.164193573088113</v>
      </c>
      <c r="S150" s="130">
        <f t="shared" si="205"/>
        <v>18.190471323085912</v>
      </c>
      <c r="T150" s="130">
        <f t="shared" si="205"/>
        <v>17.96582386736651</v>
      </c>
      <c r="U150" s="130">
        <f t="shared" si="205"/>
        <v>17.911474641900163</v>
      </c>
      <c r="V150" s="130">
        <f t="shared" si="205"/>
        <v>14.697283713401456</v>
      </c>
      <c r="W150" s="130">
        <f t="shared" ref="W150:Y150" si="206">IF(W13=0,0,W13/W40)</f>
        <v>15.215555312259982</v>
      </c>
      <c r="X150" s="130">
        <f t="shared" si="206"/>
        <v>18.523660654569131</v>
      </c>
      <c r="Y150" s="130">
        <f t="shared" si="206"/>
        <v>19.272928686153133</v>
      </c>
      <c r="DA150" s="176" t="s">
        <v>561</v>
      </c>
    </row>
    <row r="151" spans="1:105" ht="11.45" customHeight="1" x14ac:dyDescent="0.25">
      <c r="A151" s="111" t="s">
        <v>110</v>
      </c>
      <c r="B151" s="97">
        <v>8.0545738637397655</v>
      </c>
      <c r="C151" s="97">
        <v>7.8816171034908784</v>
      </c>
      <c r="D151" s="97">
        <v>7.5637028360491394</v>
      </c>
      <c r="E151" s="97">
        <v>7.4496584535548367</v>
      </c>
      <c r="F151" s="97">
        <v>7.5187927140008952</v>
      </c>
      <c r="G151" s="97">
        <v>7.4985182624885098</v>
      </c>
      <c r="H151" s="97">
        <v>7.7504239802063619</v>
      </c>
      <c r="I151" s="97">
        <v>7.4630026243704926</v>
      </c>
      <c r="J151" s="97">
        <v>7.4517480893141474</v>
      </c>
      <c r="K151" s="97">
        <v>7.2079287706883344</v>
      </c>
      <c r="L151" s="97">
        <v>6.8556647967702906</v>
      </c>
      <c r="M151" s="97">
        <v>7.0850234200301712</v>
      </c>
      <c r="N151" s="97">
        <v>6.9696782186869406</v>
      </c>
      <c r="O151" s="97">
        <v>6.9722530273246592</v>
      </c>
      <c r="P151" s="97">
        <v>6.9436616030393763</v>
      </c>
      <c r="Q151" s="97">
        <v>6.9431470321986346</v>
      </c>
      <c r="R151" s="97">
        <v>6.9862282973415821</v>
      </c>
      <c r="S151" s="97">
        <v>6.9963351242638101</v>
      </c>
      <c r="T151" s="97">
        <v>6.9099322566794283</v>
      </c>
      <c r="U151" s="97">
        <v>6.8890287084231403</v>
      </c>
      <c r="V151" s="97">
        <v>6.5652801428231324</v>
      </c>
      <c r="W151" s="97">
        <v>6.585213665856152</v>
      </c>
      <c r="X151" s="97">
        <v>7.1244848671419732</v>
      </c>
      <c r="Y151" s="97">
        <v>7.4126648792896663</v>
      </c>
      <c r="DA151" s="175" t="s">
        <v>562</v>
      </c>
    </row>
    <row r="152" spans="1:105" ht="11.45" customHeight="1" x14ac:dyDescent="0.25">
      <c r="A152" s="111" t="s">
        <v>111</v>
      </c>
      <c r="B152" s="97">
        <v>20.960842265963468</v>
      </c>
      <c r="C152" s="97">
        <v>20.51223022575476</v>
      </c>
      <c r="D152" s="97">
        <v>19.681994534977306</v>
      </c>
      <c r="E152" s="97">
        <v>19.383710287134388</v>
      </c>
      <c r="F152" s="97">
        <v>19.561847885720599</v>
      </c>
      <c r="G152" s="97">
        <v>19.506336785440752</v>
      </c>
      <c r="H152" s="97">
        <v>20.160130751794139</v>
      </c>
      <c r="I152" s="97">
        <v>19.412509362586146</v>
      </c>
      <c r="J152" s="97">
        <v>19.381728828124153</v>
      </c>
      <c r="K152" s="97">
        <v>18.745910943761857</v>
      </c>
      <c r="L152" s="97">
        <v>17.8297177303429</v>
      </c>
      <c r="M152" s="97">
        <v>18.424939489148311</v>
      </c>
      <c r="N152" s="97">
        <v>18.124998263354367</v>
      </c>
      <c r="O152" s="97">
        <v>18.130375966039164</v>
      </c>
      <c r="P152" s="97">
        <v>18.056631667205249</v>
      </c>
      <c r="Q152" s="97">
        <v>18.054659647131476</v>
      </c>
      <c r="R152" s="97">
        <v>18.167477132380007</v>
      </c>
      <c r="S152" s="97">
        <v>18.193715603105023</v>
      </c>
      <c r="T152" s="97">
        <v>17.969142279738435</v>
      </c>
      <c r="U152" s="97">
        <v>17.914743411803556</v>
      </c>
      <c r="V152" s="97">
        <v>14.699107938125008</v>
      </c>
      <c r="W152" s="97">
        <v>15.218117641402788</v>
      </c>
      <c r="X152" s="97">
        <v>18.526961542244898</v>
      </c>
      <c r="Y152" s="97">
        <v>19.275438500732371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20.51223022575476</v>
      </c>
      <c r="D153" s="97">
        <v>19.68199453497731</v>
      </c>
      <c r="E153" s="97">
        <v>19.383710287134392</v>
      </c>
      <c r="F153" s="97">
        <v>19.561847885720599</v>
      </c>
      <c r="G153" s="97">
        <v>19.506336785440755</v>
      </c>
      <c r="H153" s="97">
        <v>20.160130751794139</v>
      </c>
      <c r="I153" s="97">
        <v>19.412509362586146</v>
      </c>
      <c r="J153" s="97">
        <v>19.381728828124153</v>
      </c>
      <c r="K153" s="97">
        <v>18.74591094376186</v>
      </c>
      <c r="L153" s="97">
        <v>17.8297177303429</v>
      </c>
      <c r="M153" s="97">
        <v>18.424939489148311</v>
      </c>
      <c r="N153" s="97">
        <v>18.124998263354367</v>
      </c>
      <c r="O153" s="97">
        <v>18.130375966039164</v>
      </c>
      <c r="P153" s="97">
        <v>18.056631667205245</v>
      </c>
      <c r="Q153" s="97">
        <v>18.054659647131473</v>
      </c>
      <c r="R153" s="97">
        <v>18.167477132380011</v>
      </c>
      <c r="S153" s="97">
        <v>18.193715603105016</v>
      </c>
      <c r="T153" s="97">
        <v>17.969142279738435</v>
      </c>
      <c r="U153" s="97">
        <v>17.914743411803556</v>
      </c>
      <c r="V153" s="97">
        <v>14.699107938125008</v>
      </c>
      <c r="W153" s="97">
        <v>15.21811764140279</v>
      </c>
      <c r="X153" s="97">
        <v>18.526961542244901</v>
      </c>
      <c r="Y153" s="97">
        <v>19.275438500732374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19.561847885720599</v>
      </c>
      <c r="G154" s="97">
        <v>19.506336785440755</v>
      </c>
      <c r="H154" s="97">
        <v>20.160130751794139</v>
      </c>
      <c r="I154" s="97">
        <v>19.412509362586146</v>
      </c>
      <c r="J154" s="97">
        <v>19.381728828124153</v>
      </c>
      <c r="K154" s="97">
        <v>18.74591094376186</v>
      </c>
      <c r="L154" s="97">
        <v>17.8297177303429</v>
      </c>
      <c r="M154" s="97">
        <v>18.424939489148311</v>
      </c>
      <c r="N154" s="97">
        <v>18.124998263354367</v>
      </c>
      <c r="O154" s="97">
        <v>18.130375966039164</v>
      </c>
      <c r="P154" s="97">
        <v>18.056631667205245</v>
      </c>
      <c r="Q154" s="97">
        <v>18.054659647131476</v>
      </c>
      <c r="R154" s="97">
        <v>18.167477132380011</v>
      </c>
      <c r="S154" s="97">
        <v>18.193715603105016</v>
      </c>
      <c r="T154" s="97">
        <v>17.969142279738435</v>
      </c>
      <c r="U154" s="97">
        <v>17.914743411803556</v>
      </c>
      <c r="V154" s="97">
        <v>14.699107938125008</v>
      </c>
      <c r="W154" s="97">
        <v>15.218117641402788</v>
      </c>
      <c r="X154" s="97">
        <v>18.526961542244901</v>
      </c>
      <c r="Y154" s="97">
        <v>19.275438500732374</v>
      </c>
      <c r="DA154" s="175" t="s">
        <v>565</v>
      </c>
    </row>
    <row r="155" spans="1:105" ht="11.45" customHeight="1" x14ac:dyDescent="0.25">
      <c r="A155" s="111" t="s">
        <v>115</v>
      </c>
      <c r="B155" s="97">
        <v>20.960842265963468</v>
      </c>
      <c r="C155" s="97">
        <v>20.51223022575476</v>
      </c>
      <c r="D155" s="97">
        <v>19.68199453497731</v>
      </c>
      <c r="E155" s="97">
        <v>19.383710287134392</v>
      </c>
      <c r="F155" s="97">
        <v>19.561847885720599</v>
      </c>
      <c r="G155" s="97">
        <v>19.506336785440755</v>
      </c>
      <c r="H155" s="97">
        <v>20.160130751794139</v>
      </c>
      <c r="I155" s="97">
        <v>19.412509362586146</v>
      </c>
      <c r="J155" s="97">
        <v>19.381728828124153</v>
      </c>
      <c r="K155" s="97">
        <v>18.74591094376186</v>
      </c>
      <c r="L155" s="97">
        <v>17.8297177303429</v>
      </c>
      <c r="M155" s="97">
        <v>18.424939489148311</v>
      </c>
      <c r="N155" s="97">
        <v>18.124998263354367</v>
      </c>
      <c r="O155" s="97">
        <v>18.130375966039164</v>
      </c>
      <c r="P155" s="97">
        <v>18.056631667205245</v>
      </c>
      <c r="Q155" s="97">
        <v>18.054659647131476</v>
      </c>
      <c r="R155" s="97">
        <v>18.167477132380011</v>
      </c>
      <c r="S155" s="97">
        <v>18.193715603105016</v>
      </c>
      <c r="T155" s="97">
        <v>17.969142279738435</v>
      </c>
      <c r="U155" s="97">
        <v>17.914743411803556</v>
      </c>
      <c r="V155" s="97">
        <v>14.699107938125008</v>
      </c>
      <c r="W155" s="97">
        <v>15.218117641402788</v>
      </c>
      <c r="X155" s="97">
        <v>18.526961542244901</v>
      </c>
      <c r="Y155" s="97">
        <v>19.275438500732374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4.1130926964192804</v>
      </c>
      <c r="C156" s="32">
        <f t="shared" si="207"/>
        <v>4.0981396484820163</v>
      </c>
      <c r="D156" s="32">
        <f t="shared" si="207"/>
        <v>4.1203887114925459</v>
      </c>
      <c r="E156" s="32">
        <f t="shared" si="207"/>
        <v>4.1290014406466202</v>
      </c>
      <c r="F156" s="32">
        <f t="shared" si="207"/>
        <v>4.2967188988370708</v>
      </c>
      <c r="G156" s="32">
        <f t="shared" si="207"/>
        <v>4.3116917490563349</v>
      </c>
      <c r="H156" s="32">
        <f t="shared" si="207"/>
        <v>4.4559977203907462</v>
      </c>
      <c r="I156" s="32">
        <f t="shared" si="207"/>
        <v>4.6451235943017295</v>
      </c>
      <c r="J156" s="32">
        <f t="shared" si="207"/>
        <v>4.8551588669080381</v>
      </c>
      <c r="K156" s="32">
        <f t="shared" si="207"/>
        <v>4.4487613279920968</v>
      </c>
      <c r="L156" s="32">
        <f t="shared" ref="L156" si="208">IF(L19=0,0,L19/L46)</f>
        <v>4.6516236349684768</v>
      </c>
      <c r="M156" s="32">
        <f t="shared" ref="M156:V156" si="209">IF(M19=0,0,M19/M46)</f>
        <v>4.6985412047530248</v>
      </c>
      <c r="N156" s="32">
        <f t="shared" si="209"/>
        <v>4.6231221328509227</v>
      </c>
      <c r="O156" s="32">
        <f t="shared" si="209"/>
        <v>4.5651423497928398</v>
      </c>
      <c r="P156" s="32">
        <f t="shared" si="209"/>
        <v>4.5165509594556505</v>
      </c>
      <c r="Q156" s="32">
        <f t="shared" si="209"/>
        <v>4.5240213352927041</v>
      </c>
      <c r="R156" s="32">
        <f t="shared" si="209"/>
        <v>4.561565255577424</v>
      </c>
      <c r="S156" s="32">
        <f t="shared" si="209"/>
        <v>4.6920530109678715</v>
      </c>
      <c r="T156" s="32">
        <f t="shared" si="209"/>
        <v>4.658206142303448</v>
      </c>
      <c r="U156" s="32">
        <f t="shared" si="209"/>
        <v>4.614654502149989</v>
      </c>
      <c r="V156" s="32">
        <f t="shared" si="209"/>
        <v>4.5855057954192793</v>
      </c>
      <c r="W156" s="32">
        <f t="shared" ref="W156:Y156" si="210">IF(W19=0,0,W19/W46)</f>
        <v>4.5624204742418817</v>
      </c>
      <c r="X156" s="32">
        <f t="shared" si="210"/>
        <v>4.5040463839340541</v>
      </c>
      <c r="Y156" s="32">
        <f t="shared" si="210"/>
        <v>4.2737785444622194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6.6838059487399307E-2</v>
      </c>
      <c r="C157" s="141">
        <f t="shared" si="211"/>
        <v>6.6741841204983457E-2</v>
      </c>
      <c r="D157" s="141">
        <f t="shared" si="211"/>
        <v>6.6290876451145148E-2</v>
      </c>
      <c r="E157" s="141">
        <f t="shared" si="211"/>
        <v>6.6600059070341847E-2</v>
      </c>
      <c r="F157" s="141">
        <f t="shared" si="211"/>
        <v>6.6989429769139547E-2</v>
      </c>
      <c r="G157" s="141">
        <f t="shared" si="211"/>
        <v>6.705432672154113E-2</v>
      </c>
      <c r="H157" s="141">
        <f t="shared" si="211"/>
        <v>6.7138909216295561E-2</v>
      </c>
      <c r="I157" s="141">
        <f t="shared" si="211"/>
        <v>6.7253994867163117E-2</v>
      </c>
      <c r="J157" s="141">
        <f t="shared" si="211"/>
        <v>6.7849427131918716E-2</v>
      </c>
      <c r="K157" s="141">
        <f t="shared" si="211"/>
        <v>6.8340655102250306E-2</v>
      </c>
      <c r="L157" s="141">
        <f t="shared" ref="L157" si="212">IF(L20=0,0,L20/L47)</f>
        <v>6.8646588708238851E-2</v>
      </c>
      <c r="M157" s="141">
        <f t="shared" ref="M157:V157" si="213">IF(M20=0,0,M20/M47)</f>
        <v>6.890424593505326E-2</v>
      </c>
      <c r="N157" s="141">
        <f t="shared" si="213"/>
        <v>6.9332877623552835E-2</v>
      </c>
      <c r="O157" s="141">
        <f t="shared" si="213"/>
        <v>6.9401137656052062E-2</v>
      </c>
      <c r="P157" s="141">
        <f t="shared" si="213"/>
        <v>6.9109433027387479E-2</v>
      </c>
      <c r="Q157" s="141">
        <f t="shared" si="213"/>
        <v>6.8990800063650784E-2</v>
      </c>
      <c r="R157" s="141">
        <f t="shared" si="213"/>
        <v>6.9061320829309991E-2</v>
      </c>
      <c r="S157" s="141">
        <f t="shared" si="213"/>
        <v>6.9367419955224191E-2</v>
      </c>
      <c r="T157" s="141">
        <f t="shared" si="213"/>
        <v>6.9630157900029604E-2</v>
      </c>
      <c r="U157" s="141">
        <f t="shared" si="213"/>
        <v>6.9558827128065062E-2</v>
      </c>
      <c r="V157" s="141">
        <f t="shared" si="213"/>
        <v>6.976056134241998E-2</v>
      </c>
      <c r="W157" s="141">
        <f t="shared" ref="W157:Y157" si="214">IF(W20=0,0,W20/W47)</f>
        <v>6.9637947149014404E-2</v>
      </c>
      <c r="X157" s="141">
        <f t="shared" si="214"/>
        <v>6.9869068170794066E-2</v>
      </c>
      <c r="Y157" s="141">
        <f t="shared" si="214"/>
        <v>6.9755703388651696E-2</v>
      </c>
      <c r="DA157" s="174" t="s">
        <v>568</v>
      </c>
    </row>
    <row r="158" spans="1:105" ht="11.45" customHeight="1" x14ac:dyDescent="0.25">
      <c r="A158" s="111" t="s">
        <v>110</v>
      </c>
      <c r="B158" s="96">
        <v>5.3757408059445892E-2</v>
      </c>
      <c r="C158" s="96">
        <v>5.3755790098496979E-2</v>
      </c>
      <c r="D158" s="96">
        <v>5.3417644559551669E-2</v>
      </c>
      <c r="E158" s="96">
        <v>5.3662216513360166E-2</v>
      </c>
      <c r="F158" s="96">
        <v>5.389190587623973E-2</v>
      </c>
      <c r="G158" s="96">
        <v>5.3850102198361317E-2</v>
      </c>
      <c r="H158" s="96">
        <v>5.3700096510956898E-2</v>
      </c>
      <c r="I158" s="96">
        <v>5.3696877625732775E-2</v>
      </c>
      <c r="J158" s="96">
        <v>5.4246808399224487E-2</v>
      </c>
      <c r="K158" s="96">
        <v>5.4735729857259538E-2</v>
      </c>
      <c r="L158" s="96">
        <v>5.5102756426399925E-2</v>
      </c>
      <c r="M158" s="96">
        <v>5.5041311618171024E-2</v>
      </c>
      <c r="N158" s="96">
        <v>5.5184906549560743E-2</v>
      </c>
      <c r="O158" s="96">
        <v>5.5677211865363715E-2</v>
      </c>
      <c r="P158" s="96">
        <v>5.5591979498734033E-2</v>
      </c>
      <c r="Q158" s="96">
        <v>5.5433962264150954E-2</v>
      </c>
      <c r="R158" s="96">
        <v>5.5694525780114419E-2</v>
      </c>
      <c r="S158" s="96">
        <v>5.6152610395881999E-2</v>
      </c>
      <c r="T158" s="96">
        <v>5.6579327738998937E-2</v>
      </c>
      <c r="U158" s="96">
        <v>5.6692839114697947E-2</v>
      </c>
      <c r="V158" s="96">
        <v>5.7044110883899671E-2</v>
      </c>
      <c r="W158" s="96">
        <v>5.7328448811390952E-2</v>
      </c>
      <c r="X158" s="96">
        <v>5.7797204660419051E-2</v>
      </c>
      <c r="Y158" s="96">
        <v>5.8002515170436704E-2</v>
      </c>
      <c r="DA158" s="171" t="s">
        <v>569</v>
      </c>
    </row>
    <row r="159" spans="1:105" ht="11.45" customHeight="1" x14ac:dyDescent="0.25">
      <c r="A159" s="111" t="s">
        <v>111</v>
      </c>
      <c r="B159" s="96">
        <v>6.9079926028900479E-2</v>
      </c>
      <c r="C159" s="96">
        <v>6.8635763440661468E-2</v>
      </c>
      <c r="D159" s="96">
        <v>6.7474197528567856E-2</v>
      </c>
      <c r="E159" s="96">
        <v>6.7607940995350835E-2</v>
      </c>
      <c r="F159" s="96">
        <v>6.7870151067079762E-2</v>
      </c>
      <c r="G159" s="96">
        <v>6.7846692777137591E-2</v>
      </c>
      <c r="H159" s="96">
        <v>6.7889151509611514E-2</v>
      </c>
      <c r="I159" s="96">
        <v>6.7971069944683812E-2</v>
      </c>
      <c r="J159" s="96">
        <v>6.8538801872466679E-2</v>
      </c>
      <c r="K159" s="96">
        <v>6.9020188381483633E-2</v>
      </c>
      <c r="L159" s="96">
        <v>6.9306407274831672E-2</v>
      </c>
      <c r="M159" s="96">
        <v>6.9594525411488847E-2</v>
      </c>
      <c r="N159" s="96">
        <v>7.0065342579978721E-2</v>
      </c>
      <c r="O159" s="96">
        <v>7.0117930854900937E-2</v>
      </c>
      <c r="P159" s="96">
        <v>6.9819210100689963E-2</v>
      </c>
      <c r="Q159" s="96">
        <v>6.971782660126688E-2</v>
      </c>
      <c r="R159" s="96">
        <v>6.9797619247677911E-2</v>
      </c>
      <c r="S159" s="96">
        <v>7.0099215304909007E-2</v>
      </c>
      <c r="T159" s="96">
        <v>7.0378365496731557E-2</v>
      </c>
      <c r="U159" s="96">
        <v>7.0287612163476079E-2</v>
      </c>
      <c r="V159" s="96">
        <v>7.0477174576460563E-2</v>
      </c>
      <c r="W159" s="96">
        <v>7.0359213174180271E-2</v>
      </c>
      <c r="X159" s="96">
        <v>7.0649951683619663E-2</v>
      </c>
      <c r="Y159" s="96">
        <v>7.0609188480994067E-2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5.3215482665935392E-2</v>
      </c>
      <c r="F160" s="96">
        <v>5.3390502366057718E-2</v>
      </c>
      <c r="G160" s="96">
        <v>5.3296423071866321E-2</v>
      </c>
      <c r="H160" s="96">
        <v>5.309549371641175E-2</v>
      </c>
      <c r="I160" s="96">
        <v>5.3039900001539665E-2</v>
      </c>
      <c r="J160" s="96">
        <v>5.3530206845084388E-2</v>
      </c>
      <c r="K160" s="96">
        <v>5.3959350019802607E-2</v>
      </c>
      <c r="L160" s="96">
        <v>5.4267546466357452E-2</v>
      </c>
      <c r="M160" s="96">
        <v>5.4479443871182198E-2</v>
      </c>
      <c r="N160" s="96">
        <v>5.4896067064756783E-2</v>
      </c>
      <c r="O160" s="96">
        <v>5.5342740063714223E-2</v>
      </c>
      <c r="P160" s="96">
        <v>5.5535712197663178E-2</v>
      </c>
      <c r="Q160" s="96">
        <v>5.5433962264150954E-2</v>
      </c>
      <c r="R160" s="96">
        <v>5.5638154687048025E-2</v>
      </c>
      <c r="S160" s="96">
        <v>5.6038998436216111E-2</v>
      </c>
      <c r="T160" s="96">
        <v>5.6407701636927363E-2</v>
      </c>
      <c r="U160" s="96">
        <v>5.6463661216246019E-2</v>
      </c>
      <c r="V160" s="96">
        <v>5.6756009313778992E-2</v>
      </c>
      <c r="W160" s="96">
        <v>5.6981179381296883E-2</v>
      </c>
      <c r="X160" s="96">
        <v>5.7388950769622991E-2</v>
      </c>
      <c r="Y160" s="96">
        <v>5.7534518618625581E-2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5.4822085195381606E-2</v>
      </c>
      <c r="I161" s="96">
        <v>5.4546055176409869E-2</v>
      </c>
      <c r="J161" s="96">
        <v>5.4830516453129891E-2</v>
      </c>
      <c r="K161" s="96">
        <v>5.5049437898990548E-2</v>
      </c>
      <c r="L161" s="96">
        <v>5.514284006234553E-2</v>
      </c>
      <c r="M161" s="96">
        <v>5.5137157511040341E-2</v>
      </c>
      <c r="N161" s="96">
        <v>5.5337011726689166E-2</v>
      </c>
      <c r="O161" s="96">
        <v>5.5564561765855218E-2</v>
      </c>
      <c r="P161" s="96">
        <v>5.5535712197663158E-2</v>
      </c>
      <c r="Q161" s="96">
        <v>5.5433962264150954E-2</v>
      </c>
      <c r="R161" s="96">
        <v>5.5638154687048025E-2</v>
      </c>
      <c r="S161" s="96">
        <v>5.6038998436216111E-2</v>
      </c>
      <c r="T161" s="96">
        <v>5.640770163692737E-2</v>
      </c>
      <c r="U161" s="96">
        <v>5.6463661216246019E-2</v>
      </c>
      <c r="V161" s="96">
        <v>5.6756009313778985E-2</v>
      </c>
      <c r="W161" s="96">
        <v>5.6981179381296876E-2</v>
      </c>
      <c r="X161" s="96">
        <v>5.7388950769622991E-2</v>
      </c>
      <c r="Y161" s="96">
        <v>5.7534518618625581E-2</v>
      </c>
      <c r="DA161" s="171" t="s">
        <v>572</v>
      </c>
    </row>
    <row r="162" spans="1:105" ht="11.45" customHeight="1" x14ac:dyDescent="0.25">
      <c r="A162" s="111" t="s">
        <v>115</v>
      </c>
      <c r="B162" s="96">
        <v>5.5592480816045842E-2</v>
      </c>
      <c r="C162" s="96">
        <v>5.5584518900629813E-2</v>
      </c>
      <c r="D162" s="96">
        <v>5.5559940117349507E-2</v>
      </c>
      <c r="E162" s="96">
        <v>5.5555732763627373E-2</v>
      </c>
      <c r="F162" s="96">
        <v>5.5552311101206238E-2</v>
      </c>
      <c r="G162" s="96">
        <v>5.554238209653279E-2</v>
      </c>
      <c r="H162" s="96">
        <v>5.5527130599198053E-2</v>
      </c>
      <c r="I162" s="96">
        <v>5.5519099137855632E-2</v>
      </c>
      <c r="J162" s="96">
        <v>5.5500036671900989E-2</v>
      </c>
      <c r="K162" s="96">
        <v>5.5484195493512849E-2</v>
      </c>
      <c r="L162" s="96">
        <v>5.5474406499924397E-2</v>
      </c>
      <c r="M162" s="96">
        <v>5.5469369096792932E-2</v>
      </c>
      <c r="N162" s="96">
        <v>5.5454504801872216E-2</v>
      </c>
      <c r="O162" s="96">
        <v>5.5438362728098371E-2</v>
      </c>
      <c r="P162" s="96">
        <v>5.5434427471907168E-2</v>
      </c>
      <c r="Q162" s="96">
        <v>5.5433962264150954E-2</v>
      </c>
      <c r="R162" s="96">
        <v>5.5438362023609945E-2</v>
      </c>
      <c r="S162" s="96">
        <v>5.54520083523957E-2</v>
      </c>
      <c r="T162" s="96">
        <v>5.5464018410632268E-2</v>
      </c>
      <c r="U162" s="96">
        <v>5.5466708489419696E-2</v>
      </c>
      <c r="V162" s="96">
        <v>5.5591816168238412E-2</v>
      </c>
      <c r="W162" s="96">
        <v>5.5480190190539069E-2</v>
      </c>
      <c r="X162" s="96">
        <v>5.5486372870710066E-2</v>
      </c>
      <c r="Y162" s="96">
        <v>5.548775538328022E-2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10.352605350087622</v>
      </c>
      <c r="C163" s="130">
        <f t="shared" si="215"/>
        <v>10.466958698666788</v>
      </c>
      <c r="D163" s="130">
        <f t="shared" si="215"/>
        <v>10.692764182287853</v>
      </c>
      <c r="E163" s="130">
        <f t="shared" si="215"/>
        <v>10.666842873898307</v>
      </c>
      <c r="F163" s="130">
        <f t="shared" si="215"/>
        <v>10.852779154385166</v>
      </c>
      <c r="G163" s="130">
        <f t="shared" si="215"/>
        <v>11.002253014281932</v>
      </c>
      <c r="H163" s="130">
        <f t="shared" si="215"/>
        <v>10.852048437029497</v>
      </c>
      <c r="I163" s="130">
        <f t="shared" si="215"/>
        <v>11.050309913319358</v>
      </c>
      <c r="J163" s="130">
        <f t="shared" si="215"/>
        <v>11.11554694481635</v>
      </c>
      <c r="K163" s="130">
        <f t="shared" si="215"/>
        <v>10.82548446329031</v>
      </c>
      <c r="L163" s="130">
        <f t="shared" ref="L163" si="216">IF(L26=0,0,L26/L53)</f>
        <v>11.281807293334614</v>
      </c>
      <c r="M163" s="130">
        <f t="shared" ref="M163:V163" si="217">IF(M26=0,0,M26/M53)</f>
        <v>11.301434329663923</v>
      </c>
      <c r="N163" s="130">
        <f t="shared" si="217"/>
        <v>11.269147311279101</v>
      </c>
      <c r="O163" s="130">
        <f t="shared" si="217"/>
        <v>11.253294447265162</v>
      </c>
      <c r="P163" s="130">
        <f t="shared" si="217"/>
        <v>11.303763181782836</v>
      </c>
      <c r="Q163" s="130">
        <f t="shared" si="217"/>
        <v>11.175103927877414</v>
      </c>
      <c r="R163" s="130">
        <f t="shared" si="217"/>
        <v>11.187158623337703</v>
      </c>
      <c r="S163" s="130">
        <f t="shared" si="217"/>
        <v>11.285273441593827</v>
      </c>
      <c r="T163" s="130">
        <f t="shared" si="217"/>
        <v>11.317689399072327</v>
      </c>
      <c r="U163" s="130">
        <f t="shared" si="217"/>
        <v>11.309740665996694</v>
      </c>
      <c r="V163" s="130">
        <f t="shared" si="217"/>
        <v>11.362503218095778</v>
      </c>
      <c r="W163" s="130">
        <f t="shared" ref="W163:Y163" si="218">IF(W26=0,0,W26/W53)</f>
        <v>11.427274377315372</v>
      </c>
      <c r="X163" s="130">
        <f t="shared" si="218"/>
        <v>11.432414669895035</v>
      </c>
      <c r="Y163" s="130">
        <f t="shared" si="218"/>
        <v>11.15859455495411</v>
      </c>
      <c r="DA163" s="176" t="s">
        <v>574</v>
      </c>
    </row>
    <row r="164" spans="1:105" ht="11.45" customHeight="1" x14ac:dyDescent="0.25">
      <c r="A164" s="128" t="s">
        <v>27</v>
      </c>
      <c r="B164" s="97">
        <v>7.8610406091370555</v>
      </c>
      <c r="C164" s="97">
        <v>7.8872704243191896</v>
      </c>
      <c r="D164" s="97">
        <v>8.0604710375556969</v>
      </c>
      <c r="E164" s="97">
        <v>8.0868486352357323</v>
      </c>
      <c r="F164" s="97">
        <v>8.0520494469746264</v>
      </c>
      <c r="G164" s="97">
        <v>8.2112860892388451</v>
      </c>
      <c r="H164" s="97">
        <v>8.1335211267605629</v>
      </c>
      <c r="I164" s="97">
        <v>8.1820199778024421</v>
      </c>
      <c r="J164" s="97">
        <v>8.13671875</v>
      </c>
      <c r="K164" s="97">
        <v>8.0255800118976808</v>
      </c>
      <c r="L164" s="97">
        <v>8.3467306538692263</v>
      </c>
      <c r="M164" s="97">
        <v>8.4304018637157832</v>
      </c>
      <c r="N164" s="97">
        <v>8.4186046511627914</v>
      </c>
      <c r="O164" s="97">
        <v>8.2704477611940295</v>
      </c>
      <c r="P164" s="97">
        <v>8.436103151862465</v>
      </c>
      <c r="Q164" s="97">
        <v>8.3460916442048525</v>
      </c>
      <c r="R164" s="97">
        <v>8.4902263374485596</v>
      </c>
      <c r="S164" s="97">
        <v>8.4479638009049776</v>
      </c>
      <c r="T164" s="97">
        <v>8.402384500745157</v>
      </c>
      <c r="U164" s="97">
        <v>8.4512493875551193</v>
      </c>
      <c r="V164" s="97">
        <v>8.6392117230924708</v>
      </c>
      <c r="W164" s="97">
        <v>8.5971360381861572</v>
      </c>
      <c r="X164" s="97">
        <v>8.547445255474452</v>
      </c>
      <c r="Y164" s="97">
        <v>8.1974270163285503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13.999403714336371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14.146454243557949</v>
      </c>
      <c r="U165" s="98">
        <v>14.062037656310167</v>
      </c>
      <c r="V165" s="98">
        <v>13.861910981613583</v>
      </c>
      <c r="W165" s="98">
        <v>14.046303126595928</v>
      </c>
      <c r="X165" s="98">
        <v>13.993433342768185</v>
      </c>
      <c r="Y165" s="98">
        <v>13.837303725369456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12383.587103516127</v>
      </c>
      <c r="C167" s="54">
        <f t="shared" si="219"/>
        <v>12427.294328332304</v>
      </c>
      <c r="D167" s="54">
        <f t="shared" si="219"/>
        <v>13241.91536016719</v>
      </c>
      <c r="E167" s="54">
        <f t="shared" si="219"/>
        <v>13255.082231670371</v>
      </c>
      <c r="F167" s="54">
        <f t="shared" si="219"/>
        <v>13266.98402582879</v>
      </c>
      <c r="G167" s="54">
        <f t="shared" si="219"/>
        <v>13312.624987495676</v>
      </c>
      <c r="H167" s="54">
        <f t="shared" si="219"/>
        <v>13305.819688775304</v>
      </c>
      <c r="I167" s="54">
        <f t="shared" si="219"/>
        <v>13415.581493678021</v>
      </c>
      <c r="J167" s="54">
        <f t="shared" si="219"/>
        <v>12916.72603611993</v>
      </c>
      <c r="K167" s="54">
        <f t="shared" si="219"/>
        <v>12522.280868757853</v>
      </c>
      <c r="L167" s="54">
        <f t="shared" si="219"/>
        <v>12439.889984608599</v>
      </c>
      <c r="M167" s="54">
        <f>IF(M30=0,0,M30*1000000/M57)</f>
        <v>12405.330762290299</v>
      </c>
      <c r="N167" s="54">
        <f t="shared" ref="N167:V167" si="220">IF(N30=0,0,N30*1000000/N57)</f>
        <v>12153.867339922526</v>
      </c>
      <c r="O167" s="54">
        <f t="shared" si="220"/>
        <v>12150.285149380952</v>
      </c>
      <c r="P167" s="54">
        <f t="shared" si="220"/>
        <v>12307.507045985192</v>
      </c>
      <c r="Q167" s="54">
        <f t="shared" si="220"/>
        <v>12461.336504306661</v>
      </c>
      <c r="R167" s="54">
        <f t="shared" si="220"/>
        <v>12584.603899560492</v>
      </c>
      <c r="S167" s="54">
        <f t="shared" si="220"/>
        <v>12560.781967540834</v>
      </c>
      <c r="T167" s="54">
        <f t="shared" si="220"/>
        <v>12526.673514216031</v>
      </c>
      <c r="U167" s="54">
        <f t="shared" si="220"/>
        <v>12483.678944769195</v>
      </c>
      <c r="V167" s="54">
        <f t="shared" si="220"/>
        <v>10633.457164307812</v>
      </c>
      <c r="W167" s="54">
        <f t="shared" ref="W167:Y191" si="221">IF(W30=0,0,W30*1000000/W57)</f>
        <v>11044.993628396151</v>
      </c>
      <c r="X167" s="54">
        <f t="shared" si="221"/>
        <v>11611.809292199041</v>
      </c>
      <c r="Y167" s="54">
        <f t="shared" si="221"/>
        <v>11765.73827975677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11878.301177131634</v>
      </c>
      <c r="C168" s="28">
        <f t="shared" si="219"/>
        <v>11884.955622479025</v>
      </c>
      <c r="D168" s="28">
        <f t="shared" si="219"/>
        <v>12658.014535562837</v>
      </c>
      <c r="E168" s="28">
        <f t="shared" si="219"/>
        <v>12670.263874209226</v>
      </c>
      <c r="F168" s="28">
        <f t="shared" si="219"/>
        <v>12679.082201142819</v>
      </c>
      <c r="G168" s="28">
        <f t="shared" si="219"/>
        <v>12720.225866100775</v>
      </c>
      <c r="H168" s="28">
        <f t="shared" si="219"/>
        <v>12649.143706127197</v>
      </c>
      <c r="I168" s="28">
        <f t="shared" si="219"/>
        <v>12737.329395723633</v>
      </c>
      <c r="J168" s="28">
        <f t="shared" si="219"/>
        <v>12210.333490580399</v>
      </c>
      <c r="K168" s="28">
        <f t="shared" si="219"/>
        <v>11899.336743258864</v>
      </c>
      <c r="L168" s="28">
        <f t="shared" si="219"/>
        <v>11826.464346942279</v>
      </c>
      <c r="M168" s="28">
        <f t="shared" ref="M168:M192" si="222">IF(M31=0,0,M31*1000000/M58)</f>
        <v>11793.919542075724</v>
      </c>
      <c r="N168" s="28">
        <f t="shared" si="219"/>
        <v>11573.270023915955</v>
      </c>
      <c r="O168" s="28">
        <f t="shared" si="219"/>
        <v>11557.717179063389</v>
      </c>
      <c r="P168" s="28">
        <f t="shared" si="219"/>
        <v>11694.663356826939</v>
      </c>
      <c r="Q168" s="28">
        <f t="shared" si="219"/>
        <v>11823.50830912592</v>
      </c>
      <c r="R168" s="28">
        <f t="shared" si="219"/>
        <v>11946.951946705571</v>
      </c>
      <c r="S168" s="28">
        <f t="shared" si="219"/>
        <v>11920.140145432011</v>
      </c>
      <c r="T168" s="28">
        <f t="shared" si="219"/>
        <v>11908.409491180279</v>
      </c>
      <c r="U168" s="28">
        <f t="shared" si="219"/>
        <v>11850.968380509068</v>
      </c>
      <c r="V168" s="28">
        <f t="shared" si="219"/>
        <v>9860.1163911904405</v>
      </c>
      <c r="W168" s="28">
        <f t="shared" si="221"/>
        <v>10262.550874399332</v>
      </c>
      <c r="X168" s="28">
        <f t="shared" si="221"/>
        <v>10903.645231308752</v>
      </c>
      <c r="Y168" s="28">
        <f t="shared" si="221"/>
        <v>11090.682806304316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1583.1391003019962</v>
      </c>
      <c r="C169" s="137">
        <f t="shared" si="219"/>
        <v>1584.7166050926353</v>
      </c>
      <c r="D169" s="137">
        <f t="shared" si="219"/>
        <v>1600.8069380587913</v>
      </c>
      <c r="E169" s="137">
        <f t="shared" si="219"/>
        <v>1620.5336251046353</v>
      </c>
      <c r="F169" s="137">
        <f t="shared" si="219"/>
        <v>1696.288552012546</v>
      </c>
      <c r="G169" s="137">
        <f t="shared" si="219"/>
        <v>1703.3316287272328</v>
      </c>
      <c r="H169" s="137">
        <f t="shared" si="219"/>
        <v>1711.4175601607283</v>
      </c>
      <c r="I169" s="137">
        <f t="shared" si="219"/>
        <v>1721.5691972611398</v>
      </c>
      <c r="J169" s="137">
        <f t="shared" si="219"/>
        <v>1732.6468405466674</v>
      </c>
      <c r="K169" s="137">
        <f t="shared" si="219"/>
        <v>1746.1788645287406</v>
      </c>
      <c r="L169" s="137">
        <f t="shared" si="219"/>
        <v>1765.1940229607119</v>
      </c>
      <c r="M169" s="137">
        <f t="shared" si="222"/>
        <v>1786.2095775117732</v>
      </c>
      <c r="N169" s="137">
        <f t="shared" si="219"/>
        <v>1828.1146706681077</v>
      </c>
      <c r="O169" s="137">
        <f t="shared" si="219"/>
        <v>1832.9153447536314</v>
      </c>
      <c r="P169" s="137">
        <f t="shared" si="219"/>
        <v>1855.607320118145</v>
      </c>
      <c r="Q169" s="137">
        <f t="shared" si="219"/>
        <v>1893.6102980099267</v>
      </c>
      <c r="R169" s="137">
        <f t="shared" si="219"/>
        <v>1910.2392636287723</v>
      </c>
      <c r="S169" s="137">
        <f t="shared" si="219"/>
        <v>1769.5392927789383</v>
      </c>
      <c r="T169" s="137">
        <f t="shared" si="219"/>
        <v>1656.7175235744105</v>
      </c>
      <c r="U169" s="137">
        <f t="shared" si="219"/>
        <v>1730.272746854414</v>
      </c>
      <c r="V169" s="137">
        <f t="shared" si="219"/>
        <v>1511.3850158392208</v>
      </c>
      <c r="W169" s="137">
        <f t="shared" si="221"/>
        <v>1529.2602969778541</v>
      </c>
      <c r="X169" s="137">
        <f t="shared" si="221"/>
        <v>1513.6636199243835</v>
      </c>
      <c r="Y169" s="137">
        <f t="shared" si="221"/>
        <v>1602.5986684072489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13213.218320981654</v>
      </c>
      <c r="C170" s="110">
        <f t="shared" si="219"/>
        <v>13239.359158297464</v>
      </c>
      <c r="D170" s="110">
        <f t="shared" si="219"/>
        <v>14222.222222222223</v>
      </c>
      <c r="E170" s="110">
        <f t="shared" si="219"/>
        <v>14230.636408485447</v>
      </c>
      <c r="F170" s="110">
        <f t="shared" si="219"/>
        <v>14223.655390605987</v>
      </c>
      <c r="G170" s="110">
        <f t="shared" si="219"/>
        <v>14292.999759441904</v>
      </c>
      <c r="H170" s="110">
        <f t="shared" si="219"/>
        <v>14239.23900118906</v>
      </c>
      <c r="I170" s="110">
        <f t="shared" si="219"/>
        <v>14374.94112105511</v>
      </c>
      <c r="J170" s="110">
        <f t="shared" si="219"/>
        <v>13809.253208868144</v>
      </c>
      <c r="K170" s="110">
        <f t="shared" si="219"/>
        <v>13477.0376146789</v>
      </c>
      <c r="L170" s="110">
        <f t="shared" si="219"/>
        <v>13387.146138257152</v>
      </c>
      <c r="M170" s="110">
        <f t="shared" si="222"/>
        <v>13355.937070684689</v>
      </c>
      <c r="N170" s="110">
        <f t="shared" si="219"/>
        <v>13108.061518324606</v>
      </c>
      <c r="O170" s="110">
        <f t="shared" si="219"/>
        <v>13099.446104417118</v>
      </c>
      <c r="P170" s="110">
        <f t="shared" si="219"/>
        <v>13260.129403668343</v>
      </c>
      <c r="Q170" s="110">
        <f t="shared" si="219"/>
        <v>13409.739539280145</v>
      </c>
      <c r="R170" s="110">
        <f t="shared" si="219"/>
        <v>13559.133491525661</v>
      </c>
      <c r="S170" s="110">
        <f t="shared" si="219"/>
        <v>13555.974815548509</v>
      </c>
      <c r="T170" s="110">
        <f t="shared" si="219"/>
        <v>13569.462558944315</v>
      </c>
      <c r="U170" s="110">
        <f t="shared" si="219"/>
        <v>13498.093200155387</v>
      </c>
      <c r="V170" s="110">
        <f t="shared" si="219"/>
        <v>11225.79066658917</v>
      </c>
      <c r="W170" s="110">
        <f t="shared" si="221"/>
        <v>11726.817224807435</v>
      </c>
      <c r="X170" s="110">
        <f t="shared" si="221"/>
        <v>12519.204112189287</v>
      </c>
      <c r="Y170" s="110">
        <f t="shared" si="221"/>
        <v>12746.465121586214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11755.475100069889</v>
      </c>
      <c r="C171" s="84">
        <f t="shared" si="219"/>
        <v>11959.553104297411</v>
      </c>
      <c r="D171" s="84">
        <f t="shared" si="219"/>
        <v>13172.319485073362</v>
      </c>
      <c r="E171" s="84">
        <f t="shared" si="219"/>
        <v>13126.987404581447</v>
      </c>
      <c r="F171" s="84">
        <f t="shared" si="219"/>
        <v>13162.52108065541</v>
      </c>
      <c r="G171" s="84">
        <f t="shared" si="219"/>
        <v>12955.48013366508</v>
      </c>
      <c r="H171" s="84">
        <f t="shared" si="219"/>
        <v>12765.19430156043</v>
      </c>
      <c r="I171" s="84">
        <f t="shared" si="219"/>
        <v>12526.144839355815</v>
      </c>
      <c r="J171" s="84">
        <f t="shared" si="219"/>
        <v>11976.057423288787</v>
      </c>
      <c r="K171" s="84">
        <f t="shared" si="219"/>
        <v>11463.775664045486</v>
      </c>
      <c r="L171" s="84">
        <f t="shared" si="219"/>
        <v>11449.903535232943</v>
      </c>
      <c r="M171" s="84">
        <f t="shared" si="222"/>
        <v>10966.134049944445</v>
      </c>
      <c r="N171" s="84">
        <f t="shared" si="219"/>
        <v>10795.686838903137</v>
      </c>
      <c r="O171" s="84">
        <f t="shared" si="219"/>
        <v>10584.223167187465</v>
      </c>
      <c r="P171" s="84">
        <f t="shared" si="219"/>
        <v>10283.930060113646</v>
      </c>
      <c r="Q171" s="84">
        <f t="shared" si="219"/>
        <v>10090.761133972985</v>
      </c>
      <c r="R171" s="84">
        <f t="shared" si="219"/>
        <v>9877.0231551455472</v>
      </c>
      <c r="S171" s="84">
        <f t="shared" si="219"/>
        <v>9652.9224323474809</v>
      </c>
      <c r="T171" s="84">
        <f t="shared" si="219"/>
        <v>9833.3952589959863</v>
      </c>
      <c r="U171" s="84">
        <f t="shared" si="219"/>
        <v>9844.7265587560869</v>
      </c>
      <c r="V171" s="84">
        <f t="shared" si="219"/>
        <v>8309.7075461939858</v>
      </c>
      <c r="W171" s="84">
        <f t="shared" si="221"/>
        <v>8693.4118958845484</v>
      </c>
      <c r="X171" s="84">
        <f t="shared" si="221"/>
        <v>9240.5271866123239</v>
      </c>
      <c r="Y171" s="84">
        <f t="shared" si="221"/>
        <v>9705.0249818851535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15763.694153720478</v>
      </c>
      <c r="C172" s="84">
        <f t="shared" si="219"/>
        <v>15255.412964868859</v>
      </c>
      <c r="D172" s="84">
        <f t="shared" si="219"/>
        <v>15611.41478580743</v>
      </c>
      <c r="E172" s="84">
        <f t="shared" si="219"/>
        <v>15545.37307265665</v>
      </c>
      <c r="F172" s="84">
        <f t="shared" si="219"/>
        <v>15352.703160912708</v>
      </c>
      <c r="G172" s="84">
        <f t="shared" si="219"/>
        <v>15602.889818999322</v>
      </c>
      <c r="H172" s="84">
        <f t="shared" si="219"/>
        <v>15591.428300599553</v>
      </c>
      <c r="I172" s="84">
        <f t="shared" si="219"/>
        <v>15998.82884243885</v>
      </c>
      <c r="J172" s="84">
        <f t="shared" si="219"/>
        <v>15384.500458266584</v>
      </c>
      <c r="K172" s="84">
        <f t="shared" si="219"/>
        <v>15168.111974191595</v>
      </c>
      <c r="L172" s="84">
        <f t="shared" si="219"/>
        <v>14987.464007997927</v>
      </c>
      <c r="M172" s="84">
        <f t="shared" si="222"/>
        <v>15289.165746230758</v>
      </c>
      <c r="N172" s="84">
        <f t="shared" si="219"/>
        <v>14940.450130236684</v>
      </c>
      <c r="O172" s="84">
        <f t="shared" si="219"/>
        <v>15056.105546586692</v>
      </c>
      <c r="P172" s="84">
        <f t="shared" si="219"/>
        <v>15543.665045838614</v>
      </c>
      <c r="Q172" s="84">
        <f t="shared" si="219"/>
        <v>15922.950714142657</v>
      </c>
      <c r="R172" s="84">
        <f t="shared" si="219"/>
        <v>16331.177696839082</v>
      </c>
      <c r="S172" s="84">
        <f t="shared" si="219"/>
        <v>16534.178701098353</v>
      </c>
      <c r="T172" s="84">
        <f t="shared" si="219"/>
        <v>16497.687625041308</v>
      </c>
      <c r="U172" s="84">
        <f t="shared" si="219"/>
        <v>16421.695038709357</v>
      </c>
      <c r="V172" s="84">
        <f t="shared" si="219"/>
        <v>13578.123724367815</v>
      </c>
      <c r="W172" s="84">
        <f t="shared" si="221"/>
        <v>14183.485609122536</v>
      </c>
      <c r="X172" s="84">
        <f t="shared" si="221"/>
        <v>15262.975767953325</v>
      </c>
      <c r="Y172" s="84">
        <f t="shared" si="221"/>
        <v>15352.936700275677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11270.170464401555</v>
      </c>
      <c r="C173" s="84">
        <f t="shared" si="219"/>
        <v>11072.4075251214</v>
      </c>
      <c r="D173" s="84">
        <f t="shared" si="219"/>
        <v>11685.682031736538</v>
      </c>
      <c r="E173" s="84">
        <f t="shared" si="219"/>
        <v>11547.651617067469</v>
      </c>
      <c r="F173" s="84">
        <f t="shared" si="219"/>
        <v>11571.415917707429</v>
      </c>
      <c r="G173" s="84">
        <f t="shared" si="219"/>
        <v>11437.302877520488</v>
      </c>
      <c r="H173" s="84">
        <f t="shared" si="219"/>
        <v>11274.769791262668</v>
      </c>
      <c r="I173" s="84">
        <f t="shared" si="219"/>
        <v>11164.332726320365</v>
      </c>
      <c r="J173" s="84">
        <f t="shared" si="219"/>
        <v>11195.022163057409</v>
      </c>
      <c r="K173" s="84">
        <f t="shared" si="219"/>
        <v>11111.513958528931</v>
      </c>
      <c r="L173" s="84">
        <f t="shared" si="219"/>
        <v>10841.375014916275</v>
      </c>
      <c r="M173" s="84">
        <f t="shared" si="222"/>
        <v>10646.801984221936</v>
      </c>
      <c r="N173" s="84">
        <f t="shared" si="219"/>
        <v>10343.547967344672</v>
      </c>
      <c r="O173" s="84">
        <f t="shared" si="219"/>
        <v>10133.735055417057</v>
      </c>
      <c r="P173" s="84">
        <f t="shared" si="219"/>
        <v>10085.516561230281</v>
      </c>
      <c r="Q173" s="84">
        <f t="shared" si="219"/>
        <v>10023.043350342195</v>
      </c>
      <c r="R173" s="84">
        <f t="shared" si="219"/>
        <v>9295.5840037359394</v>
      </c>
      <c r="S173" s="84">
        <f t="shared" si="219"/>
        <v>9464.7210836545928</v>
      </c>
      <c r="T173" s="84">
        <f t="shared" si="219"/>
        <v>8954.4959527116862</v>
      </c>
      <c r="U173" s="84">
        <f t="shared" si="219"/>
        <v>8753.2781498236691</v>
      </c>
      <c r="V173" s="84">
        <f t="shared" si="219"/>
        <v>7647.6185343571597</v>
      </c>
      <c r="W173" s="84">
        <f t="shared" si="221"/>
        <v>7813.1281418058943</v>
      </c>
      <c r="X173" s="84">
        <f t="shared" si="221"/>
        <v>8190.8799360579778</v>
      </c>
      <c r="Y173" s="84">
        <f t="shared" si="221"/>
        <v>8180.1323338087504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16172.253671756722</v>
      </c>
      <c r="I174" s="84">
        <f t="shared" si="219"/>
        <v>16172.398375636187</v>
      </c>
      <c r="J174" s="84">
        <f t="shared" si="219"/>
        <v>16200.767739553523</v>
      </c>
      <c r="K174" s="84">
        <f t="shared" si="219"/>
        <v>15670.061945906114</v>
      </c>
      <c r="L174" s="84">
        <f t="shared" si="219"/>
        <v>15440.474501015538</v>
      </c>
      <c r="M174" s="84">
        <f t="shared" si="222"/>
        <v>15284.106166645601</v>
      </c>
      <c r="N174" s="84">
        <f t="shared" si="219"/>
        <v>14871.101238005942</v>
      </c>
      <c r="O174" s="84">
        <f t="shared" si="219"/>
        <v>14713.701491570382</v>
      </c>
      <c r="P174" s="84">
        <f t="shared" si="219"/>
        <v>14788.677565517744</v>
      </c>
      <c r="Q174" s="84">
        <f t="shared" si="219"/>
        <v>14842.586891039176</v>
      </c>
      <c r="R174" s="84">
        <f t="shared" si="219"/>
        <v>13905.793957684305</v>
      </c>
      <c r="S174" s="84">
        <f t="shared" si="219"/>
        <v>13763.368647666131</v>
      </c>
      <c r="T174" s="84">
        <f t="shared" si="219"/>
        <v>13154.283140720561</v>
      </c>
      <c r="U174" s="84">
        <f t="shared" si="219"/>
        <v>12480.494495892988</v>
      </c>
      <c r="V174" s="84">
        <f t="shared" si="219"/>
        <v>11015.301784382074</v>
      </c>
      <c r="W174" s="84">
        <f t="shared" si="221"/>
        <v>11368.528345056691</v>
      </c>
      <c r="X174" s="84">
        <f t="shared" si="221"/>
        <v>12039.79190518774</v>
      </c>
      <c r="Y174" s="84">
        <f t="shared" si="221"/>
        <v>12146.687797835686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12144.317151237665</v>
      </c>
      <c r="N175" s="84">
        <f t="shared" si="219"/>
        <v>11994.288144093958</v>
      </c>
      <c r="O175" s="84">
        <f t="shared" si="219"/>
        <v>12046.241946726086</v>
      </c>
      <c r="P175" s="84">
        <f t="shared" si="219"/>
        <v>11988.923332799013</v>
      </c>
      <c r="Q175" s="84">
        <f t="shared" si="219"/>
        <v>12170.184156456598</v>
      </c>
      <c r="R175" s="84">
        <f t="shared" si="219"/>
        <v>11574.818964972315</v>
      </c>
      <c r="S175" s="84">
        <f t="shared" si="219"/>
        <v>11627.445438767418</v>
      </c>
      <c r="T175" s="84">
        <f t="shared" si="219"/>
        <v>11281.260312943283</v>
      </c>
      <c r="U175" s="84">
        <f t="shared" si="219"/>
        <v>10865.584540409034</v>
      </c>
      <c r="V175" s="84">
        <f t="shared" si="219"/>
        <v>9735.2827411490125</v>
      </c>
      <c r="W175" s="84">
        <f t="shared" si="221"/>
        <v>10199.697350314273</v>
      </c>
      <c r="X175" s="84">
        <f t="shared" si="221"/>
        <v>10856.50166393998</v>
      </c>
      <c r="Y175" s="84">
        <f t="shared" si="221"/>
        <v>11118.844559057159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14939.870592501604</v>
      </c>
      <c r="K176" s="84">
        <f t="shared" si="219"/>
        <v>14951.151810252883</v>
      </c>
      <c r="L176" s="84">
        <f t="shared" si="219"/>
        <v>14958.800150407362</v>
      </c>
      <c r="M176" s="84">
        <f t="shared" si="222"/>
        <v>14981.280912992735</v>
      </c>
      <c r="N176" s="84">
        <f t="shared" si="219"/>
        <v>14989.001544560091</v>
      </c>
      <c r="O176" s="84">
        <f t="shared" si="219"/>
        <v>15007.457935602193</v>
      </c>
      <c r="P176" s="84">
        <f t="shared" si="219"/>
        <v>15019.555615695748</v>
      </c>
      <c r="Q176" s="84">
        <f t="shared" si="219"/>
        <v>15030.070094789278</v>
      </c>
      <c r="R176" s="84">
        <f t="shared" si="219"/>
        <v>15006.996478489005</v>
      </c>
      <c r="S176" s="84">
        <f t="shared" si="219"/>
        <v>14996.674863030534</v>
      </c>
      <c r="T176" s="84">
        <f t="shared" si="219"/>
        <v>14975.269261751469</v>
      </c>
      <c r="U176" s="84">
        <f t="shared" si="219"/>
        <v>14967.768130296759</v>
      </c>
      <c r="V176" s="84">
        <f t="shared" si="219"/>
        <v>12992.736401834496</v>
      </c>
      <c r="W176" s="84">
        <f t="shared" si="221"/>
        <v>14868.294155424695</v>
      </c>
      <c r="X176" s="84">
        <f t="shared" si="221"/>
        <v>14893.251783039852</v>
      </c>
      <c r="Y176" s="84">
        <f t="shared" si="221"/>
        <v>14808.453731116084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45372.050816696916</v>
      </c>
      <c r="C177" s="110">
        <f t="shared" si="219"/>
        <v>46354.271864269846</v>
      </c>
      <c r="D177" s="110">
        <f t="shared" si="219"/>
        <v>52138.891912485036</v>
      </c>
      <c r="E177" s="110">
        <f t="shared" si="219"/>
        <v>53811.173668254676</v>
      </c>
      <c r="F177" s="110">
        <f t="shared" si="219"/>
        <v>52659.517995540918</v>
      </c>
      <c r="G177" s="110">
        <f t="shared" si="219"/>
        <v>53236.020178168939</v>
      </c>
      <c r="H177" s="110">
        <f t="shared" si="219"/>
        <v>52608.975735451982</v>
      </c>
      <c r="I177" s="110">
        <f t="shared" si="219"/>
        <v>55698.371893744632</v>
      </c>
      <c r="J177" s="110">
        <f t="shared" si="219"/>
        <v>53913.228413441102</v>
      </c>
      <c r="K177" s="110">
        <f t="shared" si="219"/>
        <v>47784.357770063296</v>
      </c>
      <c r="L177" s="110">
        <f t="shared" si="219"/>
        <v>51367.443738015958</v>
      </c>
      <c r="M177" s="110">
        <f t="shared" si="222"/>
        <v>51308.051105252467</v>
      </c>
      <c r="N177" s="110">
        <f t="shared" si="219"/>
        <v>51632.653061224482</v>
      </c>
      <c r="O177" s="110">
        <f t="shared" si="219"/>
        <v>51021.435040756776</v>
      </c>
      <c r="P177" s="110">
        <f t="shared" si="219"/>
        <v>51937.674790251724</v>
      </c>
      <c r="Q177" s="110">
        <f t="shared" si="219"/>
        <v>52475.847630252494</v>
      </c>
      <c r="R177" s="110">
        <f t="shared" si="219"/>
        <v>53062.817011314866</v>
      </c>
      <c r="S177" s="110">
        <f t="shared" si="219"/>
        <v>53669.32769067998</v>
      </c>
      <c r="T177" s="110">
        <f t="shared" si="219"/>
        <v>53423.310225220965</v>
      </c>
      <c r="U177" s="110">
        <f t="shared" si="219"/>
        <v>52322.503819447506</v>
      </c>
      <c r="V177" s="110">
        <f t="shared" si="219"/>
        <v>52648.00507340832</v>
      </c>
      <c r="W177" s="110">
        <f t="shared" si="221"/>
        <v>52290.103662022717</v>
      </c>
      <c r="X177" s="110">
        <f t="shared" si="221"/>
        <v>50378.58670115588</v>
      </c>
      <c r="Y177" s="110">
        <f t="shared" si="221"/>
        <v>49171.033687902862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50825.625325090237</v>
      </c>
      <c r="C178" s="102">
        <f t="shared" si="219"/>
        <v>51981.541233207405</v>
      </c>
      <c r="D178" s="102">
        <f t="shared" si="219"/>
        <v>58813.196937115026</v>
      </c>
      <c r="E178" s="102">
        <f t="shared" si="219"/>
        <v>60795.437487670919</v>
      </c>
      <c r="F178" s="102">
        <f t="shared" si="219"/>
        <v>59429.985442651217</v>
      </c>
      <c r="G178" s="102">
        <f t="shared" si="219"/>
        <v>60113.326376201294</v>
      </c>
      <c r="H178" s="102">
        <f t="shared" si="219"/>
        <v>59370.094344330842</v>
      </c>
      <c r="I178" s="102">
        <f t="shared" si="219"/>
        <v>63036.127595175603</v>
      </c>
      <c r="J178" s="102">
        <f t="shared" si="219"/>
        <v>60916.508898663757</v>
      </c>
      <c r="K178" s="102">
        <f t="shared" si="219"/>
        <v>53666.706216525708</v>
      </c>
      <c r="L178" s="102">
        <f t="shared" si="219"/>
        <v>57899.82511152378</v>
      </c>
      <c r="M178" s="102">
        <f t="shared" si="222"/>
        <v>57829.534290538977</v>
      </c>
      <c r="N178" s="102">
        <f t="shared" si="219"/>
        <v>58213.748263064284</v>
      </c>
      <c r="O178" s="102">
        <f t="shared" si="219"/>
        <v>57490.383182155245</v>
      </c>
      <c r="P178" s="102">
        <f t="shared" si="219"/>
        <v>48812.413553771796</v>
      </c>
      <c r="Q178" s="102">
        <f t="shared" si="219"/>
        <v>39474.903475347637</v>
      </c>
      <c r="R178" s="102">
        <f t="shared" si="219"/>
        <v>39938.657146977253</v>
      </c>
      <c r="S178" s="102">
        <f t="shared" si="219"/>
        <v>40418.119534435733</v>
      </c>
      <c r="T178" s="102">
        <f t="shared" si="219"/>
        <v>40223.603528634732</v>
      </c>
      <c r="U178" s="102">
        <f t="shared" si="219"/>
        <v>39353.79196849557</v>
      </c>
      <c r="V178" s="102">
        <f t="shared" si="219"/>
        <v>39610.895142760637</v>
      </c>
      <c r="W178" s="102">
        <f t="shared" si="221"/>
        <v>39328.204474019854</v>
      </c>
      <c r="X178" s="102">
        <f t="shared" si="221"/>
        <v>37820.034446662859</v>
      </c>
      <c r="Y178" s="102">
        <f t="shared" si="221"/>
        <v>36868.752793118467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45429.05783067023</v>
      </c>
      <c r="C179" s="102">
        <f t="shared" si="219"/>
        <v>46462.765146724305</v>
      </c>
      <c r="D179" s="102">
        <f t="shared" si="219"/>
        <v>52434.85348368495</v>
      </c>
      <c r="E179" s="102">
        <f t="shared" si="219"/>
        <v>54195.857982341244</v>
      </c>
      <c r="F179" s="102">
        <f t="shared" si="219"/>
        <v>53087.377056674486</v>
      </c>
      <c r="G179" s="102">
        <f t="shared" si="219"/>
        <v>53822.498980287681</v>
      </c>
      <c r="H179" s="102">
        <f t="shared" si="219"/>
        <v>53292.556513301664</v>
      </c>
      <c r="I179" s="102">
        <f t="shared" si="219"/>
        <v>56581.046565524572</v>
      </c>
      <c r="J179" s="102">
        <f t="shared" si="219"/>
        <v>54956.527700952181</v>
      </c>
      <c r="K179" s="102">
        <f t="shared" si="219"/>
        <v>48751.481726431564</v>
      </c>
      <c r="L179" s="102">
        <f t="shared" si="219"/>
        <v>52715.140175113396</v>
      </c>
      <c r="M179" s="102">
        <f t="shared" si="222"/>
        <v>52718.838903484633</v>
      </c>
      <c r="N179" s="102">
        <f t="shared" si="219"/>
        <v>53025.756286530261</v>
      </c>
      <c r="O179" s="102">
        <f t="shared" si="219"/>
        <v>52402.805566759758</v>
      </c>
      <c r="P179" s="102">
        <f t="shared" si="219"/>
        <v>53429.721623335347</v>
      </c>
      <c r="Q179" s="102">
        <f t="shared" si="219"/>
        <v>53575.005549180321</v>
      </c>
      <c r="R179" s="102">
        <f t="shared" si="219"/>
        <v>54746.137607919125</v>
      </c>
      <c r="S179" s="102">
        <f t="shared" si="219"/>
        <v>55289.798553587432</v>
      </c>
      <c r="T179" s="102">
        <f t="shared" si="219"/>
        <v>54719.055228039804</v>
      </c>
      <c r="U179" s="102">
        <f t="shared" si="219"/>
        <v>52684.046145092922</v>
      </c>
      <c r="V179" s="102">
        <f t="shared" si="219"/>
        <v>52674.311756594703</v>
      </c>
      <c r="W179" s="102">
        <f t="shared" si="221"/>
        <v>52129.720395290358</v>
      </c>
      <c r="X179" s="102">
        <f t="shared" si="221"/>
        <v>50193.624657759785</v>
      </c>
      <c r="Y179" s="102">
        <f t="shared" si="221"/>
        <v>48920.775759110635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20587.315886745884</v>
      </c>
      <c r="D180" s="102">
        <f t="shared" si="219"/>
        <v>23062.372879780673</v>
      </c>
      <c r="E180" s="102">
        <f t="shared" si="219"/>
        <v>24080.472035656905</v>
      </c>
      <c r="F180" s="102">
        <f t="shared" ref="B180:V192" si="223">IF(F43=0,0,F43*1000000/F70)</f>
        <v>23777.404013543917</v>
      </c>
      <c r="G180" s="102">
        <f t="shared" si="223"/>
        <v>24293.739990531012</v>
      </c>
      <c r="H180" s="102">
        <f t="shared" si="223"/>
        <v>24235.733213350435</v>
      </c>
      <c r="I180" s="102">
        <f t="shared" si="223"/>
        <v>25992.182963310643</v>
      </c>
      <c r="J180" s="102">
        <f t="shared" si="223"/>
        <v>25371.902921292451</v>
      </c>
      <c r="K180" s="102">
        <f t="shared" si="223"/>
        <v>22578.120245659386</v>
      </c>
      <c r="L180" s="102">
        <f t="shared" si="223"/>
        <v>24605.086583365406</v>
      </c>
      <c r="M180" s="102">
        <f t="shared" si="222"/>
        <v>24823.450327392369</v>
      </c>
      <c r="N180" s="102">
        <f t="shared" si="223"/>
        <v>25240.782818713662</v>
      </c>
      <c r="O180" s="102">
        <f t="shared" si="223"/>
        <v>25178.929695264902</v>
      </c>
      <c r="P180" s="102">
        <f t="shared" si="223"/>
        <v>25913.041790858457</v>
      </c>
      <c r="Q180" s="102">
        <f t="shared" si="223"/>
        <v>26459.644719080268</v>
      </c>
      <c r="R180" s="102">
        <f t="shared" si="223"/>
        <v>26502.789361673011</v>
      </c>
      <c r="S180" s="102">
        <f t="shared" si="223"/>
        <v>26552.745011662795</v>
      </c>
      <c r="T180" s="102">
        <f t="shared" si="223"/>
        <v>26160.707851975501</v>
      </c>
      <c r="U180" s="102">
        <f t="shared" si="223"/>
        <v>25339.048086134382</v>
      </c>
      <c r="V180" s="102">
        <f t="shared" si="223"/>
        <v>25249.545298840294</v>
      </c>
      <c r="W180" s="102">
        <f t="shared" si="221"/>
        <v>24818.653656823528</v>
      </c>
      <c r="X180" s="102">
        <f t="shared" si="221"/>
        <v>23628.231323718759</v>
      </c>
      <c r="Y180" s="102">
        <f t="shared" si="221"/>
        <v>22803.574825743613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52055.098540805178</v>
      </c>
      <c r="G181" s="102">
        <f t="shared" si="223"/>
        <v>44161.79529340005</v>
      </c>
      <c r="H181" s="102">
        <f t="shared" si="223"/>
        <v>34892.628454141726</v>
      </c>
      <c r="I181" s="102">
        <f t="shared" si="223"/>
        <v>49396.276102911033</v>
      </c>
      <c r="J181" s="102">
        <f t="shared" si="223"/>
        <v>40613.261123612974</v>
      </c>
      <c r="K181" s="102">
        <f t="shared" si="223"/>
        <v>47706.387920594112</v>
      </c>
      <c r="L181" s="102">
        <f t="shared" si="223"/>
        <v>48069.410637651046</v>
      </c>
      <c r="M181" s="102">
        <f t="shared" si="222"/>
        <v>48665.650961898762</v>
      </c>
      <c r="N181" s="102">
        <f t="shared" si="223"/>
        <v>50005.932231905055</v>
      </c>
      <c r="O181" s="102">
        <f t="shared" si="223"/>
        <v>49141.775878785091</v>
      </c>
      <c r="P181" s="102">
        <f t="shared" si="223"/>
        <v>48063.888046221015</v>
      </c>
      <c r="Q181" s="102">
        <f t="shared" si="223"/>
        <v>51026.485911039599</v>
      </c>
      <c r="R181" s="102">
        <f t="shared" si="223"/>
        <v>40667.722126358996</v>
      </c>
      <c r="S181" s="102">
        <f t="shared" si="223"/>
        <v>39911.990299593665</v>
      </c>
      <c r="T181" s="102">
        <f t="shared" si="223"/>
        <v>44393.187889435401</v>
      </c>
      <c r="U181" s="102">
        <f t="shared" si="223"/>
        <v>50299.897394340478</v>
      </c>
      <c r="V181" s="102">
        <f t="shared" si="223"/>
        <v>56801.190357699357</v>
      </c>
      <c r="W181" s="102">
        <f t="shared" si="221"/>
        <v>60390.006530070379</v>
      </c>
      <c r="X181" s="102">
        <f t="shared" si="221"/>
        <v>59081.274139458001</v>
      </c>
      <c r="Y181" s="102">
        <f t="shared" si="221"/>
        <v>60430.397203304339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39950.170399508439</v>
      </c>
      <c r="C182" s="102">
        <f t="shared" si="223"/>
        <v>39992.974270275459</v>
      </c>
      <c r="D182" s="102">
        <f t="shared" si="223"/>
        <v>40228.821062322408</v>
      </c>
      <c r="E182" s="102">
        <f t="shared" si="223"/>
        <v>40292.372357718719</v>
      </c>
      <c r="F182" s="102">
        <f t="shared" si="223"/>
        <v>40335.980467633046</v>
      </c>
      <c r="G182" s="102">
        <f t="shared" si="223"/>
        <v>40357.945832692239</v>
      </c>
      <c r="H182" s="102">
        <f t="shared" si="223"/>
        <v>40381.861955578264</v>
      </c>
      <c r="I182" s="102">
        <f t="shared" si="223"/>
        <v>40497.244354195078</v>
      </c>
      <c r="J182" s="102">
        <f t="shared" si="223"/>
        <v>40563.258074780773</v>
      </c>
      <c r="K182" s="102">
        <f t="shared" si="223"/>
        <v>40808.751659167407</v>
      </c>
      <c r="L182" s="102">
        <f t="shared" si="223"/>
        <v>40956.555043052234</v>
      </c>
      <c r="M182" s="102">
        <f t="shared" si="222"/>
        <v>40958.924243477129</v>
      </c>
      <c r="N182" s="102">
        <f t="shared" si="223"/>
        <v>40971.841861961519</v>
      </c>
      <c r="O182" s="102">
        <f t="shared" si="223"/>
        <v>40996.244670998385</v>
      </c>
      <c r="P182" s="102">
        <f t="shared" si="223"/>
        <v>41032.744695102956</v>
      </c>
      <c r="Q182" s="102">
        <f t="shared" si="223"/>
        <v>41053.89961436153</v>
      </c>
      <c r="R182" s="102">
        <f t="shared" si="223"/>
        <v>41031.072974822499</v>
      </c>
      <c r="S182" s="102">
        <f t="shared" si="223"/>
        <v>41007.763237781968</v>
      </c>
      <c r="T182" s="102">
        <f t="shared" si="223"/>
        <v>40998.343836780907</v>
      </c>
      <c r="U182" s="102">
        <f t="shared" si="223"/>
        <v>40955.685518739534</v>
      </c>
      <c r="V182" s="102">
        <f t="shared" si="223"/>
        <v>40765.629083178341</v>
      </c>
      <c r="W182" s="102">
        <f t="shared" si="221"/>
        <v>40954.417076834055</v>
      </c>
      <c r="X182" s="102">
        <f t="shared" si="221"/>
        <v>40878.229037715013</v>
      </c>
      <c r="Y182" s="102">
        <f t="shared" si="221"/>
        <v>40828.670716859124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19385.981244146024</v>
      </c>
      <c r="C183" s="28">
        <f t="shared" si="223"/>
        <v>19972.454489300158</v>
      </c>
      <c r="D183" s="28">
        <f t="shared" si="223"/>
        <v>21296.428491667473</v>
      </c>
      <c r="E183" s="28">
        <f t="shared" si="223"/>
        <v>21299.435615643062</v>
      </c>
      <c r="F183" s="28">
        <f t="shared" si="223"/>
        <v>21229.751626135527</v>
      </c>
      <c r="G183" s="28">
        <f t="shared" si="223"/>
        <v>21285.026750265115</v>
      </c>
      <c r="H183" s="28">
        <f t="shared" si="223"/>
        <v>22089.829803933149</v>
      </c>
      <c r="I183" s="28">
        <f t="shared" si="223"/>
        <v>22320.61207423548</v>
      </c>
      <c r="J183" s="28">
        <f t="shared" si="223"/>
        <v>21990.675106016672</v>
      </c>
      <c r="K183" s="28">
        <f t="shared" si="223"/>
        <v>20548.13687649199</v>
      </c>
      <c r="L183" s="28">
        <f t="shared" si="223"/>
        <v>20289.881894780065</v>
      </c>
      <c r="M183" s="28">
        <f t="shared" si="222"/>
        <v>20132.100616686606</v>
      </c>
      <c r="N183" s="28">
        <f t="shared" si="223"/>
        <v>19439.361875499897</v>
      </c>
      <c r="O183" s="28">
        <f t="shared" si="223"/>
        <v>19511.315537231356</v>
      </c>
      <c r="P183" s="28">
        <f t="shared" si="223"/>
        <v>19839.001757634589</v>
      </c>
      <c r="Q183" s="28">
        <f t="shared" si="223"/>
        <v>20209.794141971626</v>
      </c>
      <c r="R183" s="28">
        <f t="shared" si="223"/>
        <v>20222.51265579123</v>
      </c>
      <c r="S183" s="28">
        <f t="shared" si="223"/>
        <v>20049.282232314308</v>
      </c>
      <c r="T183" s="28">
        <f t="shared" si="223"/>
        <v>19576.442571726944</v>
      </c>
      <c r="U183" s="28">
        <f t="shared" si="223"/>
        <v>19610.934196667036</v>
      </c>
      <c r="V183" s="28">
        <f t="shared" si="223"/>
        <v>19252.136210042754</v>
      </c>
      <c r="W183" s="28">
        <f t="shared" si="221"/>
        <v>19371.974301474304</v>
      </c>
      <c r="X183" s="28">
        <f t="shared" si="221"/>
        <v>18887.245319010533</v>
      </c>
      <c r="Y183" s="28">
        <f t="shared" si="221"/>
        <v>18660.588522186161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15678.30183663806</v>
      </c>
      <c r="C184" s="137">
        <f t="shared" si="223"/>
        <v>16103.994881822926</v>
      </c>
      <c r="D184" s="137">
        <f t="shared" si="223"/>
        <v>17420.58009321682</v>
      </c>
      <c r="E184" s="137">
        <f t="shared" si="223"/>
        <v>17232.445697693624</v>
      </c>
      <c r="F184" s="137">
        <f t="shared" si="223"/>
        <v>16901.80522696862</v>
      </c>
      <c r="G184" s="137">
        <f t="shared" si="223"/>
        <v>16934.682784189499</v>
      </c>
      <c r="H184" s="137">
        <f t="shared" si="223"/>
        <v>16896.509304792842</v>
      </c>
      <c r="I184" s="137">
        <f t="shared" si="223"/>
        <v>16798.851604052586</v>
      </c>
      <c r="J184" s="137">
        <f t="shared" si="223"/>
        <v>16105.738532122748</v>
      </c>
      <c r="K184" s="137">
        <f t="shared" si="223"/>
        <v>15546.174183714385</v>
      </c>
      <c r="L184" s="137">
        <f t="shared" si="223"/>
        <v>15218.87178307765</v>
      </c>
      <c r="M184" s="137">
        <f t="shared" si="222"/>
        <v>14924.349684549545</v>
      </c>
      <c r="N184" s="137">
        <f t="shared" si="223"/>
        <v>14441.850530518703</v>
      </c>
      <c r="O184" s="137">
        <f t="shared" si="223"/>
        <v>14352.233142022053</v>
      </c>
      <c r="P184" s="137">
        <f t="shared" si="223"/>
        <v>14649.918086222566</v>
      </c>
      <c r="Q184" s="137">
        <f t="shared" si="223"/>
        <v>14759.95620803613</v>
      </c>
      <c r="R184" s="137">
        <f t="shared" si="223"/>
        <v>14654.236797194781</v>
      </c>
      <c r="S184" s="137">
        <f t="shared" si="223"/>
        <v>14329.106835635352</v>
      </c>
      <c r="T184" s="137">
        <f t="shared" si="223"/>
        <v>14033.007492495126</v>
      </c>
      <c r="U184" s="137">
        <f t="shared" si="223"/>
        <v>14112.368279471682</v>
      </c>
      <c r="V184" s="137">
        <f t="shared" si="223"/>
        <v>13912.702256229149</v>
      </c>
      <c r="W184" s="137">
        <f t="shared" si="221"/>
        <v>14005.014308296686</v>
      </c>
      <c r="X184" s="137">
        <f t="shared" si="221"/>
        <v>13701.906574897233</v>
      </c>
      <c r="Y184" s="137">
        <f t="shared" si="221"/>
        <v>13717.574840678533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16906.480687631843</v>
      </c>
      <c r="C185" s="84">
        <f t="shared" si="223"/>
        <v>16909.025127231551</v>
      </c>
      <c r="D185" s="84">
        <f t="shared" si="223"/>
        <v>17451.033289013631</v>
      </c>
      <c r="E185" s="84">
        <f t="shared" si="223"/>
        <v>17056.965884900255</v>
      </c>
      <c r="F185" s="84">
        <f t="shared" si="223"/>
        <v>16696.563897210195</v>
      </c>
      <c r="G185" s="84">
        <f t="shared" si="223"/>
        <v>16761.472065265778</v>
      </c>
      <c r="H185" s="84">
        <f t="shared" si="223"/>
        <v>16996.890859936873</v>
      </c>
      <c r="I185" s="84">
        <f t="shared" si="223"/>
        <v>17001.985904846097</v>
      </c>
      <c r="J185" s="84">
        <f t="shared" si="223"/>
        <v>16157.488618261666</v>
      </c>
      <c r="K185" s="84">
        <f t="shared" si="223"/>
        <v>15448.639885861197</v>
      </c>
      <c r="L185" s="84">
        <f t="shared" si="223"/>
        <v>14940.949418554897</v>
      </c>
      <c r="M185" s="84">
        <f t="shared" si="222"/>
        <v>15024.531707186483</v>
      </c>
      <c r="N185" s="84">
        <f t="shared" si="223"/>
        <v>14830.072002405113</v>
      </c>
      <c r="O185" s="84">
        <f t="shared" si="223"/>
        <v>14185.917225925063</v>
      </c>
      <c r="P185" s="84">
        <f t="shared" si="223"/>
        <v>14294.998834909686</v>
      </c>
      <c r="Q185" s="84">
        <f t="shared" si="223"/>
        <v>14499.90669412476</v>
      </c>
      <c r="R185" s="84">
        <f t="shared" si="223"/>
        <v>14163.880850154879</v>
      </c>
      <c r="S185" s="84">
        <f t="shared" si="223"/>
        <v>13595.496272666292</v>
      </c>
      <c r="T185" s="84">
        <f t="shared" si="223"/>
        <v>13090.489961283321</v>
      </c>
      <c r="U185" s="84">
        <f t="shared" si="223"/>
        <v>12959.963674203969</v>
      </c>
      <c r="V185" s="84">
        <f t="shared" si="223"/>
        <v>12565.817265640735</v>
      </c>
      <c r="W185" s="84">
        <f t="shared" si="221"/>
        <v>12257.2731041766</v>
      </c>
      <c r="X185" s="84">
        <f t="shared" si="221"/>
        <v>11768.216368030902</v>
      </c>
      <c r="Y185" s="84">
        <f t="shared" si="221"/>
        <v>11561.406869555149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15485.970336828716</v>
      </c>
      <c r="C186" s="84">
        <f t="shared" si="223"/>
        <v>15993.569379278535</v>
      </c>
      <c r="D186" s="84">
        <f t="shared" si="223"/>
        <v>17418.433761795273</v>
      </c>
      <c r="E186" s="84">
        <f t="shared" si="223"/>
        <v>17246.826479954343</v>
      </c>
      <c r="F186" s="84">
        <f t="shared" si="223"/>
        <v>16916.23318064987</v>
      </c>
      <c r="G186" s="84">
        <f t="shared" si="223"/>
        <v>16945.497717349775</v>
      </c>
      <c r="H186" s="84">
        <f t="shared" si="223"/>
        <v>16892.574315620204</v>
      </c>
      <c r="I186" s="84">
        <f t="shared" si="223"/>
        <v>16791.025102136045</v>
      </c>
      <c r="J186" s="84">
        <f t="shared" si="223"/>
        <v>16107.020114451627</v>
      </c>
      <c r="K186" s="84">
        <f t="shared" si="223"/>
        <v>15553.102736963263</v>
      </c>
      <c r="L186" s="84">
        <f t="shared" si="223"/>
        <v>15234.591394601051</v>
      </c>
      <c r="M186" s="84">
        <f t="shared" si="222"/>
        <v>14921.839156239157</v>
      </c>
      <c r="N186" s="84">
        <f t="shared" si="223"/>
        <v>14427.181428454638</v>
      </c>
      <c r="O186" s="84">
        <f t="shared" si="223"/>
        <v>14373.160767821757</v>
      </c>
      <c r="P186" s="84">
        <f t="shared" si="223"/>
        <v>14683.280207813748</v>
      </c>
      <c r="Q186" s="84">
        <f t="shared" si="223"/>
        <v>14790.35312332371</v>
      </c>
      <c r="R186" s="84">
        <f t="shared" si="223"/>
        <v>14706.004531539622</v>
      </c>
      <c r="S186" s="84">
        <f t="shared" si="223"/>
        <v>14392.358221439295</v>
      </c>
      <c r="T186" s="84">
        <f t="shared" si="223"/>
        <v>14109.182811084227</v>
      </c>
      <c r="U186" s="84">
        <f t="shared" si="223"/>
        <v>14200.505177582287</v>
      </c>
      <c r="V186" s="84">
        <f t="shared" si="223"/>
        <v>14010.554301096934</v>
      </c>
      <c r="W186" s="84">
        <f t="shared" si="221"/>
        <v>14128.396412395947</v>
      </c>
      <c r="X186" s="84">
        <f t="shared" si="221"/>
        <v>13840.073496536937</v>
      </c>
      <c r="Y186" s="84">
        <f t="shared" si="221"/>
        <v>13880.069529817198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17236.803698057211</v>
      </c>
      <c r="F187" s="84">
        <f t="shared" si="223"/>
        <v>16956.129592731784</v>
      </c>
      <c r="G187" s="84">
        <f t="shared" si="223"/>
        <v>17106.314385266051</v>
      </c>
      <c r="H187" s="84">
        <f t="shared" si="223"/>
        <v>17432.450712400114</v>
      </c>
      <c r="I187" s="84">
        <f t="shared" si="223"/>
        <v>17524.001452496817</v>
      </c>
      <c r="J187" s="84">
        <f t="shared" si="223"/>
        <v>16736.018830695157</v>
      </c>
      <c r="K187" s="84">
        <f t="shared" si="223"/>
        <v>16081.006050837954</v>
      </c>
      <c r="L187" s="84">
        <f t="shared" si="223"/>
        <v>15629.526802839688</v>
      </c>
      <c r="M187" s="84">
        <f t="shared" si="222"/>
        <v>15327.927423054029</v>
      </c>
      <c r="N187" s="84">
        <f t="shared" si="223"/>
        <v>14755.047337013588</v>
      </c>
      <c r="O187" s="84">
        <f t="shared" si="223"/>
        <v>14169.139479977493</v>
      </c>
      <c r="P187" s="84">
        <f t="shared" si="223"/>
        <v>13924.673956934776</v>
      </c>
      <c r="Q187" s="84">
        <f t="shared" si="223"/>
        <v>14052.938778060548</v>
      </c>
      <c r="R187" s="84">
        <f t="shared" si="223"/>
        <v>13796.952702201806</v>
      </c>
      <c r="S187" s="84">
        <f t="shared" si="223"/>
        <v>13310.51747717262</v>
      </c>
      <c r="T187" s="84">
        <f t="shared" si="223"/>
        <v>12881.153065348088</v>
      </c>
      <c r="U187" s="84">
        <f t="shared" si="223"/>
        <v>12817.448681939064</v>
      </c>
      <c r="V187" s="84">
        <f t="shared" si="223"/>
        <v>12490.720976596163</v>
      </c>
      <c r="W187" s="84">
        <f t="shared" si="221"/>
        <v>12245.868568900931</v>
      </c>
      <c r="X187" s="84">
        <f t="shared" si="221"/>
        <v>11816.948423535254</v>
      </c>
      <c r="Y187" s="84">
        <f t="shared" si="221"/>
        <v>11668.212897352534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11782.548027645591</v>
      </c>
      <c r="I188" s="84">
        <f t="shared" si="223"/>
        <v>12083.708286611416</v>
      </c>
      <c r="J188" s="84">
        <f t="shared" si="223"/>
        <v>11773.491834211751</v>
      </c>
      <c r="K188" s="84">
        <f t="shared" si="223"/>
        <v>11541.241417726618</v>
      </c>
      <c r="L188" s="84">
        <f t="shared" si="223"/>
        <v>11443.827928238599</v>
      </c>
      <c r="M188" s="84">
        <f t="shared" si="222"/>
        <v>11449.726268662098</v>
      </c>
      <c r="N188" s="84">
        <f t="shared" si="223"/>
        <v>11244.456144710415</v>
      </c>
      <c r="O188" s="84">
        <f t="shared" si="223"/>
        <v>11016.09068739955</v>
      </c>
      <c r="P188" s="84">
        <f t="shared" si="223"/>
        <v>11044.733501939887</v>
      </c>
      <c r="Q188" s="84">
        <f t="shared" si="223"/>
        <v>11146.470229951576</v>
      </c>
      <c r="R188" s="84">
        <f t="shared" si="223"/>
        <v>10943.427918382111</v>
      </c>
      <c r="S188" s="84">
        <f t="shared" si="223"/>
        <v>10557.598602520256</v>
      </c>
      <c r="T188" s="84">
        <f t="shared" si="223"/>
        <v>10217.036552846022</v>
      </c>
      <c r="U188" s="84">
        <f t="shared" si="223"/>
        <v>10166.507690207363</v>
      </c>
      <c r="V188" s="84">
        <f t="shared" si="223"/>
        <v>9907.3547330628608</v>
      </c>
      <c r="W188" s="84">
        <f t="shared" si="221"/>
        <v>9713.1433929147224</v>
      </c>
      <c r="X188" s="84">
        <f t="shared" si="221"/>
        <v>9372.9337252536752</v>
      </c>
      <c r="Y188" s="84">
        <f t="shared" si="221"/>
        <v>9254.9601013081883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12252.303690168525</v>
      </c>
      <c r="C189" s="84">
        <f t="shared" si="223"/>
        <v>12261.081292113126</v>
      </c>
      <c r="D189" s="84">
        <f t="shared" si="223"/>
        <v>12288.225779001958</v>
      </c>
      <c r="E189" s="84">
        <f t="shared" si="223"/>
        <v>12292.879551108854</v>
      </c>
      <c r="F189" s="84">
        <f t="shared" si="223"/>
        <v>12296.665826152737</v>
      </c>
      <c r="G189" s="84">
        <f t="shared" si="223"/>
        <v>12307.660791408502</v>
      </c>
      <c r="H189" s="84">
        <f t="shared" si="223"/>
        <v>12324.572650338056</v>
      </c>
      <c r="I189" s="84">
        <f t="shared" si="223"/>
        <v>12333.489669244513</v>
      </c>
      <c r="J189" s="84">
        <f t="shared" si="223"/>
        <v>12354.68499627583</v>
      </c>
      <c r="K189" s="84">
        <f t="shared" si="223"/>
        <v>12372.331873393206</v>
      </c>
      <c r="L189" s="84">
        <f t="shared" si="223"/>
        <v>12383.251812475743</v>
      </c>
      <c r="M189" s="84">
        <f t="shared" si="222"/>
        <v>12388.875705749804</v>
      </c>
      <c r="N189" s="84">
        <f t="shared" si="223"/>
        <v>12405.488481509994</v>
      </c>
      <c r="O189" s="84">
        <f t="shared" si="223"/>
        <v>12423.559628343495</v>
      </c>
      <c r="P189" s="84">
        <f t="shared" si="223"/>
        <v>12427.96995907061</v>
      </c>
      <c r="Q189" s="84">
        <f t="shared" si="223"/>
        <v>12428.491452106937</v>
      </c>
      <c r="R189" s="84">
        <f t="shared" si="223"/>
        <v>12423.560417711551</v>
      </c>
      <c r="S189" s="84">
        <f t="shared" si="223"/>
        <v>12408.281208480701</v>
      </c>
      <c r="T189" s="84">
        <f t="shared" si="223"/>
        <v>12394.852713807364</v>
      </c>
      <c r="U189" s="84">
        <f t="shared" si="223"/>
        <v>12391.847316767589</v>
      </c>
      <c r="V189" s="84">
        <f t="shared" si="223"/>
        <v>12253.036141639983</v>
      </c>
      <c r="W189" s="84">
        <f t="shared" si="221"/>
        <v>12376.798521134462</v>
      </c>
      <c r="X189" s="84">
        <f t="shared" si="221"/>
        <v>12369.904509906801</v>
      </c>
      <c r="Y189" s="84">
        <f t="shared" si="221"/>
        <v>12368.363566667353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30513.270286972594</v>
      </c>
      <c r="C190" s="110">
        <f t="shared" si="223"/>
        <v>32187.49339862592</v>
      </c>
      <c r="D190" s="110">
        <f t="shared" si="223"/>
        <v>33311.506028640892</v>
      </c>
      <c r="E190" s="110">
        <f t="shared" si="223"/>
        <v>34343.952724396564</v>
      </c>
      <c r="F190" s="110">
        <f t="shared" si="223"/>
        <v>35200.942072256796</v>
      </c>
      <c r="G190" s="110">
        <f t="shared" si="223"/>
        <v>35768.303289503434</v>
      </c>
      <c r="H190" s="110">
        <f t="shared" si="223"/>
        <v>40012.604381376441</v>
      </c>
      <c r="I190" s="110">
        <f t="shared" si="223"/>
        <v>41327.049468930592</v>
      </c>
      <c r="J190" s="110">
        <f t="shared" si="223"/>
        <v>42113.791615284499</v>
      </c>
      <c r="K190" s="110">
        <f t="shared" si="223"/>
        <v>38651.950882140292</v>
      </c>
      <c r="L190" s="110">
        <f t="shared" si="223"/>
        <v>39173.25335275798</v>
      </c>
      <c r="M190" s="110">
        <f t="shared" si="222"/>
        <v>40077.500579775347</v>
      </c>
      <c r="N190" s="110">
        <f t="shared" si="223"/>
        <v>39274.078571182952</v>
      </c>
      <c r="O190" s="110">
        <f t="shared" si="223"/>
        <v>41938.051395613969</v>
      </c>
      <c r="P190" s="110">
        <f t="shared" si="223"/>
        <v>43179.98494865992</v>
      </c>
      <c r="Q190" s="110">
        <f t="shared" si="223"/>
        <v>45034.679387346114</v>
      </c>
      <c r="R190" s="110">
        <f t="shared" si="223"/>
        <v>46001.498617225785</v>
      </c>
      <c r="S190" s="110">
        <f t="shared" si="223"/>
        <v>46557.866643399633</v>
      </c>
      <c r="T190" s="110">
        <f t="shared" si="223"/>
        <v>45879.962068992223</v>
      </c>
      <c r="U190" s="110">
        <f t="shared" si="223"/>
        <v>46028.028813777935</v>
      </c>
      <c r="V190" s="110">
        <f t="shared" si="223"/>
        <v>45401.598073811379</v>
      </c>
      <c r="W190" s="110">
        <f t="shared" si="221"/>
        <v>46740.903499762251</v>
      </c>
      <c r="X190" s="110">
        <f t="shared" si="221"/>
        <v>46213.929502010149</v>
      </c>
      <c r="Y190" s="110">
        <f t="shared" si="221"/>
        <v>45527.168646418751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21655.788388869805</v>
      </c>
      <c r="C191" s="102">
        <f t="shared" si="223"/>
        <v>22599.759546573539</v>
      </c>
      <c r="D191" s="102">
        <f t="shared" si="223"/>
        <v>23148.216364359705</v>
      </c>
      <c r="E191" s="102">
        <f t="shared" si="223"/>
        <v>24039.967191111773</v>
      </c>
      <c r="F191" s="102">
        <f t="shared" si="223"/>
        <v>23120.430819218389</v>
      </c>
      <c r="G191" s="102">
        <f t="shared" si="223"/>
        <v>23235.957797158018</v>
      </c>
      <c r="H191" s="102">
        <f t="shared" si="223"/>
        <v>27699.750312109863</v>
      </c>
      <c r="I191" s="102">
        <f t="shared" si="223"/>
        <v>27908.129288048443</v>
      </c>
      <c r="J191" s="102">
        <f t="shared" si="223"/>
        <v>27403.963787619279</v>
      </c>
      <c r="K191" s="102">
        <f t="shared" si="223"/>
        <v>25340.307822180683</v>
      </c>
      <c r="L191" s="102">
        <f t="shared" si="223"/>
        <v>25334.346504559271</v>
      </c>
      <c r="M191" s="102">
        <f t="shared" si="222"/>
        <v>26095.018085656098</v>
      </c>
      <c r="N191" s="102">
        <f t="shared" si="223"/>
        <v>25431.439750083406</v>
      </c>
      <c r="O191" s="102">
        <f t="shared" si="223"/>
        <v>27412.729325892346</v>
      </c>
      <c r="P191" s="102">
        <f t="shared" si="223"/>
        <v>28829.632566745968</v>
      </c>
      <c r="Q191" s="102">
        <f t="shared" si="223"/>
        <v>30636.850102398097</v>
      </c>
      <c r="R191" s="102">
        <f t="shared" si="223"/>
        <v>31712.370108154842</v>
      </c>
      <c r="S191" s="102">
        <f t="shared" si="223"/>
        <v>31659.371269399126</v>
      </c>
      <c r="T191" s="102">
        <f t="shared" si="223"/>
        <v>31119.5621927465</v>
      </c>
      <c r="U191" s="102">
        <f t="shared" si="223"/>
        <v>31180.298817562405</v>
      </c>
      <c r="V191" s="102">
        <f t="shared" si="223"/>
        <v>30115.348327601423</v>
      </c>
      <c r="W191" s="102">
        <f t="shared" si="221"/>
        <v>31446.068866140315</v>
      </c>
      <c r="X191" s="102">
        <f t="shared" si="221"/>
        <v>30524.03303428198</v>
      </c>
      <c r="Y191" s="102">
        <f t="shared" si="221"/>
        <v>30083.80595126453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84997.527334933926</v>
      </c>
      <c r="C192" s="86">
        <f t="shared" si="223"/>
        <v>85000.154134607947</v>
      </c>
      <c r="D192" s="86">
        <f t="shared" si="223"/>
        <v>85001.552464924695</v>
      </c>
      <c r="E192" s="86">
        <f t="shared" si="223"/>
        <v>85002.633707929941</v>
      </c>
      <c r="F192" s="86">
        <f t="shared" si="223"/>
        <v>84998.68666700396</v>
      </c>
      <c r="G192" s="86">
        <f t="shared" si="223"/>
        <v>84999.944170669667</v>
      </c>
      <c r="H192" s="86">
        <f t="shared" si="223"/>
        <v>84998.503734737678</v>
      </c>
      <c r="I192" s="86">
        <f t="shared" si="223"/>
        <v>84998.735817689623</v>
      </c>
      <c r="J192" s="86">
        <f t="shared" si="223"/>
        <v>84998.54691206041</v>
      </c>
      <c r="K192" s="86">
        <f t="shared" si="223"/>
        <v>85001.64989896481</v>
      </c>
      <c r="L192" s="86">
        <f t="shared" si="223"/>
        <v>85001.138134412467</v>
      </c>
      <c r="M192" s="86">
        <f t="shared" si="222"/>
        <v>85000.322022551656</v>
      </c>
      <c r="N192" s="86">
        <f t="shared" si="223"/>
        <v>85001.525176780895</v>
      </c>
      <c r="O192" s="86">
        <f t="shared" si="223"/>
        <v>84999.560028198539</v>
      </c>
      <c r="P192" s="86">
        <f t="shared" si="223"/>
        <v>84999.827460575529</v>
      </c>
      <c r="Q192" s="86">
        <f t="shared" si="223"/>
        <v>85001.659377490651</v>
      </c>
      <c r="R192" s="86">
        <f t="shared" si="223"/>
        <v>84999.667297808017</v>
      </c>
      <c r="S192" s="86">
        <f t="shared" si="223"/>
        <v>84998.787086603974</v>
      </c>
      <c r="T192" s="86">
        <f t="shared" si="223"/>
        <v>84999.527209928448</v>
      </c>
      <c r="U192" s="86">
        <f t="shared" si="223"/>
        <v>85000.789664378462</v>
      </c>
      <c r="V192" s="86">
        <f t="shared" ref="V192:W192" si="224">IF(V55=0,0,V55*1000000/V82)</f>
        <v>84999.540987026499</v>
      </c>
      <c r="W192" s="86">
        <f t="shared" si="224"/>
        <v>84999.237695195188</v>
      </c>
      <c r="X192" s="86">
        <f t="shared" ref="X192:Y192" si="225">IF(X55=0,0,X55*1000000/X82)</f>
        <v>84998.823564552149</v>
      </c>
      <c r="Y192" s="86">
        <f t="shared" si="225"/>
        <v>84998.697428102125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16440.308643162472</v>
      </c>
      <c r="C195" s="28">
        <f t="shared" si="226"/>
        <v>16246.740879907058</v>
      </c>
      <c r="D195" s="28">
        <f t="shared" si="226"/>
        <v>17087.46805022073</v>
      </c>
      <c r="E195" s="28">
        <f t="shared" si="226"/>
        <v>17066.812073857414</v>
      </c>
      <c r="F195" s="28">
        <f t="shared" si="226"/>
        <v>17017.686012648766</v>
      </c>
      <c r="G195" s="28">
        <f t="shared" si="226"/>
        <v>16991.765498100074</v>
      </c>
      <c r="H195" s="28">
        <f t="shared" si="226"/>
        <v>16880.94899158027</v>
      </c>
      <c r="I195" s="28">
        <f t="shared" si="226"/>
        <v>16947.136877334993</v>
      </c>
      <c r="J195" s="28">
        <f t="shared" si="226"/>
        <v>16942.018561491706</v>
      </c>
      <c r="K195" s="28">
        <f t="shared" si="226"/>
        <v>16308.72479427994</v>
      </c>
      <c r="L195" s="28">
        <f t="shared" si="226"/>
        <v>16221.428631834695</v>
      </c>
      <c r="M195" s="28">
        <f>IF(M4=0,0,M4*1000000/M58)</f>
        <v>16201.989079675481</v>
      </c>
      <c r="N195" s="28">
        <f t="shared" ref="N195:V195" si="227">IF(N4=0,0,N4*1000000/N58)</f>
        <v>15861.005346467309</v>
      </c>
      <c r="O195" s="28">
        <f t="shared" si="227"/>
        <v>15802.637357857018</v>
      </c>
      <c r="P195" s="28">
        <f t="shared" si="227"/>
        <v>15968.33174108248</v>
      </c>
      <c r="Q195" s="28">
        <f t="shared" si="227"/>
        <v>16135.041866141879</v>
      </c>
      <c r="R195" s="28">
        <f t="shared" si="227"/>
        <v>16309.737302775418</v>
      </c>
      <c r="S195" s="28">
        <f t="shared" si="227"/>
        <v>16310.275717609678</v>
      </c>
      <c r="T195" s="28">
        <f t="shared" si="227"/>
        <v>16183.739434916281</v>
      </c>
      <c r="U195" s="28">
        <f t="shared" si="227"/>
        <v>16072.257969406253</v>
      </c>
      <c r="V195" s="28">
        <f t="shared" si="227"/>
        <v>13090.846368343069</v>
      </c>
      <c r="W195" s="28">
        <f t="shared" ref="W195:Y195" si="228">IF(W4=0,0,W4*1000000/W58)</f>
        <v>13858.513118708881</v>
      </c>
      <c r="X195" s="28">
        <f t="shared" si="228"/>
        <v>14899.158255441236</v>
      </c>
      <c r="Y195" s="28">
        <f t="shared" si="228"/>
        <v>15177.175247751715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1828.4421796710039</v>
      </c>
      <c r="C196" s="137">
        <f t="shared" si="229"/>
        <v>1830.2290096372635</v>
      </c>
      <c r="D196" s="137">
        <f t="shared" si="229"/>
        <v>1848.4908839015889</v>
      </c>
      <c r="E196" s="137">
        <f t="shared" si="229"/>
        <v>1872.0556477078176</v>
      </c>
      <c r="F196" s="137">
        <f t="shared" si="229"/>
        <v>1959.830871896417</v>
      </c>
      <c r="G196" s="137">
        <f t="shared" si="229"/>
        <v>1966.1861422375073</v>
      </c>
      <c r="H196" s="137">
        <f t="shared" si="229"/>
        <v>1976.0709385385026</v>
      </c>
      <c r="I196" s="137">
        <f t="shared" si="229"/>
        <v>1990.9829655177502</v>
      </c>
      <c r="J196" s="137">
        <f t="shared" si="229"/>
        <v>2004.8487325544158</v>
      </c>
      <c r="K196" s="137">
        <f t="shared" si="229"/>
        <v>2021.4762840109163</v>
      </c>
      <c r="L196" s="137">
        <f t="shared" si="229"/>
        <v>2039.9786191749804</v>
      </c>
      <c r="M196" s="137">
        <f>IF(M5=0,0,M5*1000000/M59)</f>
        <v>2062.4573262727931</v>
      </c>
      <c r="N196" s="137">
        <f t="shared" ref="N196:V196" si="230">IF(N5=0,0,N5*1000000/N59)</f>
        <v>2097.8155896400117</v>
      </c>
      <c r="O196" s="137">
        <f t="shared" si="230"/>
        <v>2102.2424753326031</v>
      </c>
      <c r="P196" s="137">
        <f t="shared" si="230"/>
        <v>2132.8898539682532</v>
      </c>
      <c r="Q196" s="137">
        <f t="shared" si="230"/>
        <v>2180.3334219509929</v>
      </c>
      <c r="R196" s="137">
        <f t="shared" si="230"/>
        <v>2200.1301747604721</v>
      </c>
      <c r="S196" s="137">
        <f t="shared" si="230"/>
        <v>2036.8960361159493</v>
      </c>
      <c r="T196" s="137">
        <f t="shared" si="230"/>
        <v>1906.107013481806</v>
      </c>
      <c r="U196" s="137">
        <f t="shared" si="230"/>
        <v>1991.9241298446159</v>
      </c>
      <c r="V196" s="137">
        <f t="shared" si="230"/>
        <v>1738.0382750319247</v>
      </c>
      <c r="W196" s="137">
        <f t="shared" ref="W196:Y196" si="231">IF(W5=0,0,W5*1000000/W59)</f>
        <v>1759.2992797631919</v>
      </c>
      <c r="X196" s="137">
        <f t="shared" si="231"/>
        <v>1741.3233256842682</v>
      </c>
      <c r="Y196" s="137">
        <f t="shared" si="231"/>
        <v>1845.7767139443981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16199.286508331626</v>
      </c>
      <c r="C197" s="110">
        <f t="shared" si="232"/>
        <v>16045.958389401363</v>
      </c>
      <c r="D197" s="110">
        <f t="shared" si="232"/>
        <v>17045.364805995261</v>
      </c>
      <c r="E197" s="110">
        <f t="shared" si="232"/>
        <v>17005.734586303181</v>
      </c>
      <c r="F197" s="110">
        <f t="shared" si="232"/>
        <v>16940.263550624073</v>
      </c>
      <c r="G197" s="110">
        <f t="shared" si="232"/>
        <v>16972.998690777247</v>
      </c>
      <c r="H197" s="110">
        <f t="shared" si="232"/>
        <v>16859.261313698167</v>
      </c>
      <c r="I197" s="110">
        <f t="shared" si="232"/>
        <v>16962.537028410785</v>
      </c>
      <c r="J197" s="110">
        <f t="shared" si="232"/>
        <v>17101.703449438526</v>
      </c>
      <c r="K197" s="110">
        <f t="shared" si="232"/>
        <v>16668.612336770962</v>
      </c>
      <c r="L197" s="110">
        <f t="shared" si="232"/>
        <v>16537.29284809572</v>
      </c>
      <c r="M197" s="110">
        <f>IF(M6=0,0,M6*1000000/M60)</f>
        <v>16496.287868716576</v>
      </c>
      <c r="N197" s="110">
        <f t="shared" ref="N197:V197" si="233">IF(N6=0,0,N6*1000000/N60)</f>
        <v>16175.840299843543</v>
      </c>
      <c r="O197" s="110">
        <f t="shared" si="233"/>
        <v>16138.272075728264</v>
      </c>
      <c r="P197" s="110">
        <f t="shared" si="233"/>
        <v>16314.122519210016</v>
      </c>
      <c r="Q197" s="110">
        <f t="shared" si="233"/>
        <v>16500.911630353628</v>
      </c>
      <c r="R197" s="110">
        <f t="shared" si="233"/>
        <v>16684.316680791351</v>
      </c>
      <c r="S197" s="110">
        <f t="shared" si="233"/>
        <v>16697.653750437392</v>
      </c>
      <c r="T197" s="110">
        <f t="shared" si="233"/>
        <v>16711.413128382548</v>
      </c>
      <c r="U197" s="110">
        <f t="shared" si="233"/>
        <v>16622.39215438984</v>
      </c>
      <c r="V197" s="110">
        <f t="shared" si="233"/>
        <v>13559.416255128839</v>
      </c>
      <c r="W197" s="110">
        <f t="shared" ref="W197:Y209" si="234">IF(W6=0,0,W6*1000000/W60)</f>
        <v>14458.606046056224</v>
      </c>
      <c r="X197" s="110">
        <f t="shared" si="234"/>
        <v>15425.085297006419</v>
      </c>
      <c r="Y197" s="110">
        <f t="shared" si="234"/>
        <v>15701.273301571182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14412.106465023789</v>
      </c>
      <c r="C198" s="84">
        <f t="shared" si="232"/>
        <v>14494.847459978582</v>
      </c>
      <c r="D198" s="84">
        <f t="shared" si="232"/>
        <v>15787.054052169973</v>
      </c>
      <c r="E198" s="84">
        <f t="shared" si="232"/>
        <v>15686.864403825739</v>
      </c>
      <c r="F198" s="84">
        <f t="shared" si="232"/>
        <v>15676.460795317966</v>
      </c>
      <c r="G198" s="84">
        <f t="shared" si="232"/>
        <v>15384.68838228499</v>
      </c>
      <c r="H198" s="84">
        <f t="shared" si="232"/>
        <v>15113.992147485313</v>
      </c>
      <c r="I198" s="84">
        <f t="shared" si="232"/>
        <v>14780.943718064715</v>
      </c>
      <c r="J198" s="84">
        <f t="shared" si="232"/>
        <v>14831.430740585196</v>
      </c>
      <c r="K198" s="84">
        <f t="shared" si="232"/>
        <v>14178.578254582997</v>
      </c>
      <c r="L198" s="84">
        <f t="shared" si="232"/>
        <v>14144.195177154079</v>
      </c>
      <c r="M198" s="84">
        <f t="shared" ref="M198:M219" si="235">IF(M7=0,0,M7*1000000/M61)</f>
        <v>13544.575954305876</v>
      </c>
      <c r="N198" s="84">
        <f t="shared" si="232"/>
        <v>13322.283084275607</v>
      </c>
      <c r="O198" s="84">
        <f t="shared" si="232"/>
        <v>13039.564560267961</v>
      </c>
      <c r="P198" s="84">
        <f t="shared" si="232"/>
        <v>12652.462873647914</v>
      </c>
      <c r="Q198" s="84">
        <f t="shared" si="232"/>
        <v>12416.852487474456</v>
      </c>
      <c r="R198" s="84">
        <f t="shared" si="232"/>
        <v>12153.533430948992</v>
      </c>
      <c r="S198" s="84">
        <f t="shared" si="232"/>
        <v>11890.045433715002</v>
      </c>
      <c r="T198" s="84">
        <f t="shared" si="232"/>
        <v>12110.275548049774</v>
      </c>
      <c r="U198" s="84">
        <f t="shared" si="232"/>
        <v>12123.409068659907</v>
      </c>
      <c r="V198" s="84">
        <f t="shared" si="232"/>
        <v>10037.135639147316</v>
      </c>
      <c r="W198" s="84">
        <f t="shared" si="234"/>
        <v>10718.562026599462</v>
      </c>
      <c r="X198" s="84">
        <f t="shared" si="234"/>
        <v>11385.381911300745</v>
      </c>
      <c r="Y198" s="84">
        <f t="shared" si="234"/>
        <v>11954.784968665246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19326.146879775366</v>
      </c>
      <c r="C199" s="84">
        <f t="shared" si="232"/>
        <v>18489.393536393694</v>
      </c>
      <c r="D199" s="84">
        <f t="shared" si="232"/>
        <v>18710.315167626279</v>
      </c>
      <c r="E199" s="84">
        <f t="shared" si="232"/>
        <v>18576.856363291696</v>
      </c>
      <c r="F199" s="84">
        <f t="shared" si="232"/>
        <v>18284.950711905571</v>
      </c>
      <c r="G199" s="84">
        <f t="shared" si="232"/>
        <v>18528.498770544848</v>
      </c>
      <c r="H199" s="84">
        <f t="shared" si="232"/>
        <v>18460.253666059438</v>
      </c>
      <c r="I199" s="84">
        <f t="shared" si="232"/>
        <v>18878.736571211528</v>
      </c>
      <c r="J199" s="84">
        <f t="shared" si="232"/>
        <v>19052.526633812882</v>
      </c>
      <c r="K199" s="84">
        <f t="shared" si="232"/>
        <v>18760.15973296349</v>
      </c>
      <c r="L199" s="84">
        <f t="shared" si="232"/>
        <v>18514.183590052566</v>
      </c>
      <c r="M199" s="84">
        <f t="shared" si="235"/>
        <v>18884.072161131695</v>
      </c>
      <c r="N199" s="84">
        <f t="shared" si="232"/>
        <v>18437.076678091042</v>
      </c>
      <c r="O199" s="84">
        <f t="shared" si="232"/>
        <v>18548.83983451522</v>
      </c>
      <c r="P199" s="84">
        <f t="shared" si="232"/>
        <v>19123.588332797219</v>
      </c>
      <c r="Q199" s="84">
        <f t="shared" si="232"/>
        <v>19593.460548499861</v>
      </c>
      <c r="R199" s="84">
        <f t="shared" si="232"/>
        <v>20095.276784068403</v>
      </c>
      <c r="S199" s="84">
        <f t="shared" si="232"/>
        <v>20366.074351372714</v>
      </c>
      <c r="T199" s="84">
        <f t="shared" si="232"/>
        <v>20317.656087517051</v>
      </c>
      <c r="U199" s="84">
        <f t="shared" si="232"/>
        <v>20222.697437744951</v>
      </c>
      <c r="V199" s="84">
        <f t="shared" si="232"/>
        <v>16400.754032435878</v>
      </c>
      <c r="W199" s="84">
        <f t="shared" si="234"/>
        <v>17487.560934128745</v>
      </c>
      <c r="X199" s="84">
        <f t="shared" si="234"/>
        <v>18805.724469145262</v>
      </c>
      <c r="Y199" s="84">
        <f t="shared" si="234"/>
        <v>18911.96130168773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13817.127358038992</v>
      </c>
      <c r="C200" s="84">
        <f t="shared" si="232"/>
        <v>13419.636728205503</v>
      </c>
      <c r="D200" s="84">
        <f t="shared" si="232"/>
        <v>14005.315774533738</v>
      </c>
      <c r="E200" s="84">
        <f t="shared" si="232"/>
        <v>13799.544367379722</v>
      </c>
      <c r="F200" s="84">
        <f t="shared" si="232"/>
        <v>13781.466853402086</v>
      </c>
      <c r="G200" s="84">
        <f t="shared" si="232"/>
        <v>13581.846360694126</v>
      </c>
      <c r="H200" s="84">
        <f t="shared" si="232"/>
        <v>13349.329282752702</v>
      </c>
      <c r="I200" s="84">
        <f t="shared" si="232"/>
        <v>13173.995334862806</v>
      </c>
      <c r="J200" s="84">
        <f t="shared" si="232"/>
        <v>13864.178333666167</v>
      </c>
      <c r="K200" s="84">
        <f t="shared" si="232"/>
        <v>13742.8954303435</v>
      </c>
      <c r="L200" s="84">
        <f t="shared" si="232"/>
        <v>13392.473021964008</v>
      </c>
      <c r="M200" s="84">
        <f t="shared" si="235"/>
        <v>13150.160073638634</v>
      </c>
      <c r="N200" s="84">
        <f t="shared" si="232"/>
        <v>12764.326732800075</v>
      </c>
      <c r="O200" s="84">
        <f t="shared" si="232"/>
        <v>12484.571650134114</v>
      </c>
      <c r="P200" s="84">
        <f t="shared" si="232"/>
        <v>12408.351973089671</v>
      </c>
      <c r="Q200" s="84">
        <f t="shared" si="232"/>
        <v>12333.524607747791</v>
      </c>
      <c r="R200" s="84">
        <f t="shared" si="232"/>
        <v>11438.081006294316</v>
      </c>
      <c r="S200" s="84">
        <f t="shared" si="232"/>
        <v>11658.227287207772</v>
      </c>
      <c r="T200" s="84">
        <f t="shared" si="232"/>
        <v>11027.870895561571</v>
      </c>
      <c r="U200" s="84">
        <f t="shared" si="232"/>
        <v>10779.331560782673</v>
      </c>
      <c r="V200" s="84">
        <f t="shared" si="232"/>
        <v>9237.4110784389195</v>
      </c>
      <c r="W200" s="84">
        <f t="shared" si="234"/>
        <v>9633.2141640914633</v>
      </c>
      <c r="X200" s="84">
        <f t="shared" si="234"/>
        <v>10092.096952730193</v>
      </c>
      <c r="Y200" s="84">
        <f t="shared" si="234"/>
        <v>10076.400962227492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19147.95100080792</v>
      </c>
      <c r="I201" s="84">
        <f t="shared" si="232"/>
        <v>19083.549906380693</v>
      </c>
      <c r="J201" s="84">
        <f t="shared" si="232"/>
        <v>20063.411202942512</v>
      </c>
      <c r="K201" s="84">
        <f t="shared" si="232"/>
        <v>19380.979361889174</v>
      </c>
      <c r="L201" s="84">
        <f t="shared" si="232"/>
        <v>19073.792569361714</v>
      </c>
      <c r="M201" s="84">
        <f t="shared" si="235"/>
        <v>18877.82293422311</v>
      </c>
      <c r="N201" s="84">
        <f t="shared" si="232"/>
        <v>18351.497540082928</v>
      </c>
      <c r="O201" s="84">
        <f t="shared" si="232"/>
        <v>18127.004456466482</v>
      </c>
      <c r="P201" s="84">
        <f t="shared" si="232"/>
        <v>18194.716684605239</v>
      </c>
      <c r="Q201" s="84">
        <f t="shared" si="232"/>
        <v>18264.054565524413</v>
      </c>
      <c r="R201" s="84">
        <f t="shared" si="232"/>
        <v>17110.877345727382</v>
      </c>
      <c r="S201" s="84">
        <f t="shared" si="232"/>
        <v>16953.112354174573</v>
      </c>
      <c r="T201" s="84">
        <f t="shared" si="232"/>
        <v>16200.100705344441</v>
      </c>
      <c r="U201" s="84">
        <f t="shared" si="232"/>
        <v>15369.257769612153</v>
      </c>
      <c r="V201" s="84">
        <f t="shared" si="232"/>
        <v>13305.170789870219</v>
      </c>
      <c r="W201" s="84">
        <f t="shared" si="234"/>
        <v>14016.852954514892</v>
      </c>
      <c r="X201" s="84">
        <f t="shared" si="234"/>
        <v>14834.394857010728</v>
      </c>
      <c r="Y201" s="84">
        <f t="shared" si="234"/>
        <v>14962.459238969324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14999.782541318786</v>
      </c>
      <c r="N202" s="84">
        <f t="shared" si="232"/>
        <v>14801.402118684045</v>
      </c>
      <c r="O202" s="84">
        <f t="shared" si="232"/>
        <v>14840.744293818865</v>
      </c>
      <c r="P202" s="84">
        <f t="shared" si="232"/>
        <v>14750.139924772542</v>
      </c>
      <c r="Q202" s="84">
        <f t="shared" si="232"/>
        <v>14975.617736837898</v>
      </c>
      <c r="R202" s="84">
        <f t="shared" si="232"/>
        <v>14242.64649766334</v>
      </c>
      <c r="S202" s="84">
        <f t="shared" si="232"/>
        <v>14322.176057449773</v>
      </c>
      <c r="T202" s="84">
        <f t="shared" si="232"/>
        <v>13893.387514758611</v>
      </c>
      <c r="U202" s="84">
        <f t="shared" si="232"/>
        <v>13380.557130489769</v>
      </c>
      <c r="V202" s="84">
        <f t="shared" si="232"/>
        <v>11759.060450101844</v>
      </c>
      <c r="W202" s="84">
        <f t="shared" si="234"/>
        <v>12575.740113457701</v>
      </c>
      <c r="X202" s="84">
        <f t="shared" si="234"/>
        <v>13376.446513106768</v>
      </c>
      <c r="Y202" s="84">
        <f t="shared" si="234"/>
        <v>13696.347619058077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18501.886567035541</v>
      </c>
      <c r="K203" s="84">
        <f t="shared" si="232"/>
        <v>18491.819985860773</v>
      </c>
      <c r="L203" s="84">
        <f t="shared" si="232"/>
        <v>18478.774802979075</v>
      </c>
      <c r="M203" s="84">
        <f t="shared" si="235"/>
        <v>18503.79507442288</v>
      </c>
      <c r="N203" s="84">
        <f t="shared" si="232"/>
        <v>18496.990947132967</v>
      </c>
      <c r="O203" s="84">
        <f t="shared" si="232"/>
        <v>18488.906889591897</v>
      </c>
      <c r="P203" s="84">
        <f t="shared" si="232"/>
        <v>18478.769176322123</v>
      </c>
      <c r="Q203" s="84">
        <f t="shared" si="232"/>
        <v>18494.755823232965</v>
      </c>
      <c r="R203" s="84">
        <f t="shared" si="232"/>
        <v>18465.89104171866</v>
      </c>
      <c r="S203" s="84">
        <f t="shared" si="232"/>
        <v>18472.244724411565</v>
      </c>
      <c r="T203" s="84">
        <f t="shared" si="232"/>
        <v>18442.728314021511</v>
      </c>
      <c r="U203" s="84">
        <f t="shared" si="232"/>
        <v>18432.241343162972</v>
      </c>
      <c r="V203" s="84">
        <f t="shared" si="232"/>
        <v>15693.67596440022</v>
      </c>
      <c r="W203" s="84">
        <f t="shared" si="234"/>
        <v>18331.897193332101</v>
      </c>
      <c r="X203" s="84">
        <f t="shared" si="234"/>
        <v>18350.182411316946</v>
      </c>
      <c r="Y203" s="84">
        <f t="shared" si="234"/>
        <v>18241.259595349726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950176.59009634249</v>
      </c>
      <c r="C204" s="110">
        <f t="shared" si="232"/>
        <v>949901.21705776767</v>
      </c>
      <c r="D204" s="110">
        <f t="shared" si="232"/>
        <v>1025344.0200299985</v>
      </c>
      <c r="E204" s="110">
        <f t="shared" si="232"/>
        <v>1042274.6485148941</v>
      </c>
      <c r="F204" s="110">
        <f t="shared" si="232"/>
        <v>1029433.6005919473</v>
      </c>
      <c r="G204" s="110">
        <f t="shared" si="232"/>
        <v>1037897.300773337</v>
      </c>
      <c r="H204" s="110">
        <f t="shared" si="232"/>
        <v>1060128.8544967684</v>
      </c>
      <c r="I204" s="110">
        <f t="shared" si="232"/>
        <v>1080760.4486020675</v>
      </c>
      <c r="J204" s="110">
        <f t="shared" si="232"/>
        <v>1044544.271728404</v>
      </c>
      <c r="K204" s="110">
        <f t="shared" si="232"/>
        <v>895508.2426152298</v>
      </c>
      <c r="L204" s="110">
        <f t="shared" si="232"/>
        <v>915610.73691046564</v>
      </c>
      <c r="M204" s="110">
        <f t="shared" si="235"/>
        <v>945148.73366372858</v>
      </c>
      <c r="N204" s="110">
        <f t="shared" si="232"/>
        <v>935643.7412759735</v>
      </c>
      <c r="O204" s="110">
        <f t="shared" si="232"/>
        <v>924909.32279554894</v>
      </c>
      <c r="P204" s="110">
        <f t="shared" si="232"/>
        <v>937657.85929976427</v>
      </c>
      <c r="Q204" s="110">
        <f t="shared" si="232"/>
        <v>947303.56691384758</v>
      </c>
      <c r="R204" s="110">
        <f t="shared" si="232"/>
        <v>963843.27972687606</v>
      </c>
      <c r="S204" s="110">
        <f t="shared" si="232"/>
        <v>976270.36628661491</v>
      </c>
      <c r="T204" s="110">
        <f t="shared" si="232"/>
        <v>959793.78191799996</v>
      </c>
      <c r="U204" s="110">
        <f t="shared" si="232"/>
        <v>937173.20036275848</v>
      </c>
      <c r="V204" s="110">
        <f t="shared" si="232"/>
        <v>773782.66750848119</v>
      </c>
      <c r="W204" s="110">
        <f t="shared" si="234"/>
        <v>795622.96455331484</v>
      </c>
      <c r="X204" s="110">
        <f t="shared" si="234"/>
        <v>933195.84430900076</v>
      </c>
      <c r="Y204" s="110">
        <f t="shared" si="234"/>
        <v>947669.82569138519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409378.75335170166</v>
      </c>
      <c r="C205" s="102">
        <f t="shared" si="232"/>
        <v>409698.60444946389</v>
      </c>
      <c r="D205" s="102">
        <f t="shared" si="232"/>
        <v>444845.54447037348</v>
      </c>
      <c r="E205" s="102">
        <f t="shared" si="232"/>
        <v>452905.24481759232</v>
      </c>
      <c r="F205" s="102">
        <f t="shared" si="232"/>
        <v>446841.74153938523</v>
      </c>
      <c r="G205" s="102">
        <f t="shared" si="232"/>
        <v>450760.8756508776</v>
      </c>
      <c r="H205" s="102">
        <f t="shared" si="232"/>
        <v>460143.40291341586</v>
      </c>
      <c r="I205" s="102">
        <f t="shared" si="232"/>
        <v>470438.78567294875</v>
      </c>
      <c r="J205" s="102">
        <f t="shared" si="232"/>
        <v>453934.47879330593</v>
      </c>
      <c r="K205" s="102">
        <f t="shared" si="232"/>
        <v>386825.79576617415</v>
      </c>
      <c r="L205" s="102">
        <f t="shared" si="232"/>
        <v>396941.79275623005</v>
      </c>
      <c r="M205" s="102">
        <f t="shared" si="235"/>
        <v>409723.60481790657</v>
      </c>
      <c r="N205" s="102">
        <f t="shared" si="232"/>
        <v>405731.09329720383</v>
      </c>
      <c r="O205" s="102">
        <f t="shared" si="232"/>
        <v>400837.49818383664</v>
      </c>
      <c r="P205" s="102">
        <f t="shared" si="232"/>
        <v>338936.88174500404</v>
      </c>
      <c r="Q205" s="102">
        <f t="shared" si="232"/>
        <v>274080.05891118746</v>
      </c>
      <c r="R205" s="102">
        <f t="shared" si="232"/>
        <v>279020.57671803609</v>
      </c>
      <c r="S205" s="102">
        <f t="shared" si="232"/>
        <v>282778.70935546595</v>
      </c>
      <c r="T205" s="102">
        <f t="shared" si="232"/>
        <v>277942.3755023976</v>
      </c>
      <c r="U205" s="102">
        <f t="shared" si="232"/>
        <v>271109.40265627799</v>
      </c>
      <c r="V205" s="102">
        <f t="shared" si="232"/>
        <v>260056.6233202157</v>
      </c>
      <c r="W205" s="102">
        <f t="shared" si="234"/>
        <v>258984.62955590064</v>
      </c>
      <c r="X205" s="102">
        <f t="shared" si="234"/>
        <v>269448.26309003774</v>
      </c>
      <c r="Y205" s="102">
        <f t="shared" si="234"/>
        <v>273295.70897276205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952231.31548001093</v>
      </c>
      <c r="C206" s="102">
        <f t="shared" si="232"/>
        <v>953054.93561478308</v>
      </c>
      <c r="D206" s="102">
        <f t="shared" si="232"/>
        <v>1032022.499708223</v>
      </c>
      <c r="E206" s="102">
        <f t="shared" si="232"/>
        <v>1050516.8098923822</v>
      </c>
      <c r="F206" s="102">
        <f t="shared" si="232"/>
        <v>1038487.1946345598</v>
      </c>
      <c r="G206" s="102">
        <f t="shared" si="232"/>
        <v>1049879.791743533</v>
      </c>
      <c r="H206" s="102">
        <f t="shared" si="232"/>
        <v>1074384.9074055399</v>
      </c>
      <c r="I206" s="102">
        <f t="shared" si="232"/>
        <v>1098380.0961981684</v>
      </c>
      <c r="J206" s="102">
        <f t="shared" si="232"/>
        <v>1065152.5172351482</v>
      </c>
      <c r="K206" s="102">
        <f t="shared" si="232"/>
        <v>913890.93482011964</v>
      </c>
      <c r="L206" s="102">
        <f t="shared" si="232"/>
        <v>939896.06943773059</v>
      </c>
      <c r="M206" s="102">
        <f t="shared" si="235"/>
        <v>971341.41673486214</v>
      </c>
      <c r="N206" s="102">
        <f t="shared" si="232"/>
        <v>961091.74060641299</v>
      </c>
      <c r="O206" s="102">
        <f t="shared" si="232"/>
        <v>950082.56660060456</v>
      </c>
      <c r="P206" s="102">
        <f t="shared" si="232"/>
        <v>964760.803433878</v>
      </c>
      <c r="Q206" s="102">
        <f t="shared" si="232"/>
        <v>967278.49078363087</v>
      </c>
      <c r="R206" s="102">
        <f t="shared" si="232"/>
        <v>994599.20307799976</v>
      </c>
      <c r="S206" s="102">
        <f t="shared" si="232"/>
        <v>1005926.8706369371</v>
      </c>
      <c r="T206" s="102">
        <f t="shared" si="232"/>
        <v>983254.48880551243</v>
      </c>
      <c r="U206" s="102">
        <f t="shared" si="232"/>
        <v>943821.16858495795</v>
      </c>
      <c r="V206" s="102">
        <f t="shared" si="232"/>
        <v>774265.39407663269</v>
      </c>
      <c r="W206" s="102">
        <f t="shared" si="234"/>
        <v>793316.21758896287</v>
      </c>
      <c r="X206" s="102">
        <f t="shared" si="234"/>
        <v>929935.3537001909</v>
      </c>
      <c r="Y206" s="102">
        <f t="shared" si="234"/>
        <v>942969.40455285599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422291.76319927006</v>
      </c>
      <c r="D207" s="102">
        <f t="shared" si="232"/>
        <v>453913.49698345206</v>
      </c>
      <c r="E207" s="102">
        <f t="shared" si="232"/>
        <v>466768.8935166148</v>
      </c>
      <c r="F207" s="102">
        <f t="shared" si="232"/>
        <v>465129.96043026855</v>
      </c>
      <c r="G207" s="102">
        <f t="shared" si="232"/>
        <v>473881.87403322832</v>
      </c>
      <c r="H207" s="102">
        <f t="shared" si="232"/>
        <v>488595.55044674466</v>
      </c>
      <c r="I207" s="102">
        <f t="shared" si="232"/>
        <v>504573.49512931996</v>
      </c>
      <c r="J207" s="102">
        <f t="shared" si="232"/>
        <v>491751.34227398131</v>
      </c>
      <c r="K207" s="102">
        <f t="shared" si="232"/>
        <v>423247.43140267744</v>
      </c>
      <c r="L207" s="102">
        <f t="shared" si="232"/>
        <v>438701.74851205235</v>
      </c>
      <c r="M207" s="102">
        <f t="shared" si="235"/>
        <v>457370.57019408327</v>
      </c>
      <c r="N207" s="102">
        <f t="shared" si="232"/>
        <v>457489.14475488995</v>
      </c>
      <c r="O207" s="102">
        <f t="shared" si="232"/>
        <v>456503.46179762052</v>
      </c>
      <c r="P207" s="102">
        <f t="shared" si="232"/>
        <v>467902.25099442777</v>
      </c>
      <c r="Q207" s="102">
        <f t="shared" si="232"/>
        <v>477719.87978701398</v>
      </c>
      <c r="R207" s="102">
        <f t="shared" si="232"/>
        <v>481488.81967247865</v>
      </c>
      <c r="S207" s="102">
        <f t="shared" si="232"/>
        <v>483093.0912239583</v>
      </c>
      <c r="T207" s="102">
        <f t="shared" si="232"/>
        <v>470085.48153081816</v>
      </c>
      <c r="U207" s="102">
        <f t="shared" si="232"/>
        <v>453942.54476244946</v>
      </c>
      <c r="V207" s="102">
        <f t="shared" si="232"/>
        <v>371145.79173623037</v>
      </c>
      <c r="W207" s="102">
        <f t="shared" si="234"/>
        <v>377693.19105077197</v>
      </c>
      <c r="X207" s="102">
        <f t="shared" si="234"/>
        <v>437759.33304580388</v>
      </c>
      <c r="Y207" s="102">
        <f t="shared" si="234"/>
        <v>439548.90415047004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1018293.9193314272</v>
      </c>
      <c r="G208" s="102">
        <f t="shared" si="232"/>
        <v>861434.85204275372</v>
      </c>
      <c r="H208" s="102">
        <f t="shared" si="232"/>
        <v>703439.9519092699</v>
      </c>
      <c r="I208" s="102">
        <f t="shared" si="232"/>
        <v>958905.67232465069</v>
      </c>
      <c r="J208" s="102">
        <f t="shared" si="232"/>
        <v>787155.21392366348</v>
      </c>
      <c r="K208" s="102">
        <f t="shared" si="232"/>
        <v>894299.69940801372</v>
      </c>
      <c r="L208" s="102">
        <f t="shared" si="232"/>
        <v>857064.02313326031</v>
      </c>
      <c r="M208" s="102">
        <f t="shared" si="235"/>
        <v>896661.67417299689</v>
      </c>
      <c r="N208" s="102">
        <f t="shared" si="232"/>
        <v>906357.43486069527</v>
      </c>
      <c r="O208" s="102">
        <f t="shared" si="232"/>
        <v>890958.87232120824</v>
      </c>
      <c r="P208" s="102">
        <f t="shared" si="232"/>
        <v>867871.92294440197</v>
      </c>
      <c r="Q208" s="102">
        <f t="shared" si="232"/>
        <v>921265.83611296944</v>
      </c>
      <c r="R208" s="102">
        <f t="shared" si="232"/>
        <v>738829.91175661155</v>
      </c>
      <c r="S208" s="102">
        <f t="shared" si="232"/>
        <v>726147.40066469333</v>
      </c>
      <c r="T208" s="102">
        <f t="shared" si="232"/>
        <v>797707.50943642587</v>
      </c>
      <c r="U208" s="102">
        <f t="shared" si="232"/>
        <v>901109.75545965601</v>
      </c>
      <c r="V208" s="102">
        <f t="shared" si="232"/>
        <v>834926.82808180829</v>
      </c>
      <c r="W208" s="102">
        <f t="shared" si="234"/>
        <v>919022.22373969364</v>
      </c>
      <c r="X208" s="102">
        <f t="shared" si="234"/>
        <v>1094596.4938485667</v>
      </c>
      <c r="Y208" s="102">
        <f t="shared" si="234"/>
        <v>1164822.4048671224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837389.22024245921</v>
      </c>
      <c r="C209" s="102">
        <f t="shared" si="232"/>
        <v>820345.09564457659</v>
      </c>
      <c r="D209" s="102">
        <f t="shared" si="232"/>
        <v>791783.4362972097</v>
      </c>
      <c r="E209" s="102">
        <f t="shared" si="232"/>
        <v>781015.6725633617</v>
      </c>
      <c r="F209" s="102">
        <f t="shared" si="232"/>
        <v>789046.31422923482</v>
      </c>
      <c r="G209" s="102">
        <f t="shared" si="232"/>
        <v>787235.68338107015</v>
      </c>
      <c r="H209" s="102">
        <f t="shared" si="232"/>
        <v>814103.61702535895</v>
      </c>
      <c r="I209" s="102">
        <f t="shared" si="232"/>
        <v>786153.13518475089</v>
      </c>
      <c r="J209" s="102">
        <f t="shared" si="232"/>
        <v>786186.06839061843</v>
      </c>
      <c r="K209" s="102">
        <f t="shared" si="232"/>
        <v>764997.22432884632</v>
      </c>
      <c r="L209" s="102">
        <f t="shared" si="232"/>
        <v>730243.81562487327</v>
      </c>
      <c r="M209" s="102">
        <f t="shared" si="235"/>
        <v>754665.70072667592</v>
      </c>
      <c r="N209" s="102">
        <f t="shared" si="232"/>
        <v>742614.56259448233</v>
      </c>
      <c r="O209" s="102">
        <f t="shared" si="232"/>
        <v>743277.32908093033</v>
      </c>
      <c r="P209" s="102">
        <f t="shared" si="232"/>
        <v>740913.15725394408</v>
      </c>
      <c r="Q209" s="102">
        <f t="shared" si="232"/>
        <v>741214.18472479959</v>
      </c>
      <c r="R209" s="102">
        <f t="shared" si="232"/>
        <v>745431.07998710324</v>
      </c>
      <c r="S209" s="102">
        <f t="shared" si="232"/>
        <v>746083.58186767006</v>
      </c>
      <c r="T209" s="102">
        <f t="shared" si="232"/>
        <v>736705.07363675348</v>
      </c>
      <c r="U209" s="102">
        <f t="shared" si="232"/>
        <v>733710.59732273745</v>
      </c>
      <c r="V209" s="102">
        <f t="shared" si="232"/>
        <v>599218.38205920649</v>
      </c>
      <c r="W209" s="102">
        <f t="shared" si="234"/>
        <v>623249.13701033592</v>
      </c>
      <c r="X209" s="102">
        <f t="shared" si="234"/>
        <v>757349.37729682506</v>
      </c>
      <c r="Y209" s="102">
        <f t="shared" si="234"/>
        <v>786990.5314694707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79736.337868218179</v>
      </c>
      <c r="C210" s="28">
        <f t="shared" si="232"/>
        <v>81849.907620103608</v>
      </c>
      <c r="D210" s="28">
        <f t="shared" si="232"/>
        <v>87749.563552174877</v>
      </c>
      <c r="E210" s="28">
        <f t="shared" si="232"/>
        <v>87945.400341950153</v>
      </c>
      <c r="F210" s="28">
        <f t="shared" ref="B210:V219" si="236">IF(F19=0,0,F19*1000000/F73)</f>
        <v>91218.275029633543</v>
      </c>
      <c r="G210" s="28">
        <f t="shared" si="236"/>
        <v>91774.474217561452</v>
      </c>
      <c r="H210" s="28">
        <f t="shared" si="236"/>
        <v>98432.231250145676</v>
      </c>
      <c r="I210" s="28">
        <f t="shared" si="236"/>
        <v>103682.0017852873</v>
      </c>
      <c r="J210" s="28">
        <f t="shared" si="236"/>
        <v>106768.2212302707</v>
      </c>
      <c r="K210" s="28">
        <f t="shared" si="236"/>
        <v>91413.756698425859</v>
      </c>
      <c r="L210" s="28">
        <f t="shared" si="236"/>
        <v>94380.894172477929</v>
      </c>
      <c r="M210" s="28">
        <f t="shared" si="235"/>
        <v>94591.504285735806</v>
      </c>
      <c r="N210" s="28">
        <f t="shared" si="236"/>
        <v>89870.544135122007</v>
      </c>
      <c r="O210" s="28">
        <f t="shared" si="236"/>
        <v>89071.932859185908</v>
      </c>
      <c r="P210" s="28">
        <f t="shared" si="236"/>
        <v>89603.86242308683</v>
      </c>
      <c r="Q210" s="28">
        <f t="shared" si="236"/>
        <v>91429.539880153156</v>
      </c>
      <c r="R210" s="28">
        <f t="shared" si="236"/>
        <v>92246.311111132003</v>
      </c>
      <c r="S210" s="28">
        <f t="shared" si="236"/>
        <v>94072.295065875005</v>
      </c>
      <c r="T210" s="28">
        <f t="shared" si="236"/>
        <v>91191.105032069157</v>
      </c>
      <c r="U210" s="28">
        <f t="shared" si="236"/>
        <v>90497.685782016706</v>
      </c>
      <c r="V210" s="28">
        <f t="shared" si="236"/>
        <v>88280.782165352401</v>
      </c>
      <c r="W210" s="28">
        <f t="shared" ref="W210:Y210" si="237">IF(W19=0,0,W19*1000000/W73)</f>
        <v>88383.092179533924</v>
      </c>
      <c r="X210" s="28">
        <f t="shared" si="237"/>
        <v>85069.028981564785</v>
      </c>
      <c r="Y210" s="28">
        <f t="shared" si="237"/>
        <v>79751.22285315716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1047.9072708186166</v>
      </c>
      <c r="C211" s="137">
        <f t="shared" si="236"/>
        <v>1074.8102691684919</v>
      </c>
      <c r="D211" s="137">
        <f t="shared" si="236"/>
        <v>1154.8255226667147</v>
      </c>
      <c r="E211" s="137">
        <f t="shared" si="236"/>
        <v>1147.6819013928537</v>
      </c>
      <c r="F211" s="137">
        <f t="shared" si="236"/>
        <v>1132.2422942236899</v>
      </c>
      <c r="G211" s="137">
        <f t="shared" si="236"/>
        <v>1135.5437523367004</v>
      </c>
      <c r="H211" s="137">
        <f t="shared" si="236"/>
        <v>1134.41320428678</v>
      </c>
      <c r="I211" s="137">
        <f t="shared" si="236"/>
        <v>1129.7898795531873</v>
      </c>
      <c r="J211" s="137">
        <f t="shared" si="236"/>
        <v>1092.765132940998</v>
      </c>
      <c r="K211" s="137">
        <f t="shared" si="236"/>
        <v>1062.4357280487327</v>
      </c>
      <c r="L211" s="137">
        <f t="shared" si="236"/>
        <v>1044.723631896353</v>
      </c>
      <c r="M211" s="137">
        <f t="shared" si="235"/>
        <v>1028.3510610849364</v>
      </c>
      <c r="N211" s="137">
        <f t="shared" si="236"/>
        <v>1001.2950554900948</v>
      </c>
      <c r="O211" s="137">
        <f t="shared" si="236"/>
        <v>996.06130796122534</v>
      </c>
      <c r="P211" s="137">
        <f t="shared" si="236"/>
        <v>1012.447532836511</v>
      </c>
      <c r="Q211" s="137">
        <f t="shared" si="236"/>
        <v>1018.3011876968618</v>
      </c>
      <c r="R211" s="137">
        <f t="shared" si="236"/>
        <v>1012.0409489597489</v>
      </c>
      <c r="S211" s="137">
        <f t="shared" si="236"/>
        <v>993.97317145079091</v>
      </c>
      <c r="T211" s="137">
        <f t="shared" si="236"/>
        <v>977.12052751473414</v>
      </c>
      <c r="U211" s="137">
        <f t="shared" si="236"/>
        <v>981.63978551935963</v>
      </c>
      <c r="V211" s="137">
        <f t="shared" si="236"/>
        <v>970.55791918449836</v>
      </c>
      <c r="W211" s="137">
        <f t="shared" ref="W211:Y211" si="238">IF(W20=0,0,W20*1000000/W74)</f>
        <v>975.28044622235518</v>
      </c>
      <c r="X211" s="137">
        <f t="shared" si="238"/>
        <v>957.33944455134611</v>
      </c>
      <c r="Y211" s="137">
        <f t="shared" si="238"/>
        <v>956.87908179800286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908.84858117416638</v>
      </c>
      <c r="C212" s="84">
        <f t="shared" si="236"/>
        <v>908.95800550967044</v>
      </c>
      <c r="D212" s="84">
        <f t="shared" si="236"/>
        <v>932.19309342943393</v>
      </c>
      <c r="E212" s="84">
        <f t="shared" si="236"/>
        <v>915.31459637651551</v>
      </c>
      <c r="F212" s="84">
        <f t="shared" si="236"/>
        <v>899.8096500050741</v>
      </c>
      <c r="G212" s="84">
        <f t="shared" si="236"/>
        <v>902.60698370954037</v>
      </c>
      <c r="H212" s="84">
        <f t="shared" si="236"/>
        <v>912.73467956481124</v>
      </c>
      <c r="I212" s="84">
        <f t="shared" si="236"/>
        <v>912.95355652695423</v>
      </c>
      <c r="J212" s="84">
        <f t="shared" si="236"/>
        <v>876.4921892874911</v>
      </c>
      <c r="K212" s="84">
        <f t="shared" si="236"/>
        <v>845.5925794545833</v>
      </c>
      <c r="L212" s="84">
        <f t="shared" si="236"/>
        <v>823.287496589792</v>
      </c>
      <c r="M212" s="84">
        <f t="shared" si="235"/>
        <v>826.96993161234229</v>
      </c>
      <c r="N212" s="84">
        <f t="shared" si="236"/>
        <v>818.3961375759834</v>
      </c>
      <c r="O212" s="84">
        <f t="shared" si="236"/>
        <v>789.83231889234253</v>
      </c>
      <c r="P212" s="84">
        <f t="shared" si="236"/>
        <v>794.68728216472618</v>
      </c>
      <c r="Q212" s="84">
        <f t="shared" si="236"/>
        <v>803.78728051582175</v>
      </c>
      <c r="R212" s="84">
        <f t="shared" si="236"/>
        <v>788.85062715541994</v>
      </c>
      <c r="S212" s="84">
        <f t="shared" si="236"/>
        <v>763.42260533769627</v>
      </c>
      <c r="T212" s="84">
        <f t="shared" si="236"/>
        <v>740.65112178352445</v>
      </c>
      <c r="U212" s="84">
        <f t="shared" si="236"/>
        <v>734.73713551397543</v>
      </c>
      <c r="V212" s="84">
        <f t="shared" si="236"/>
        <v>716.80587344803098</v>
      </c>
      <c r="W212" s="84">
        <f t="shared" ref="W212:Y212" si="239">IF(W21=0,0,W21*1000000/W75)</f>
        <v>702.69045372002734</v>
      </c>
      <c r="X212" s="84">
        <f t="shared" si="239"/>
        <v>680.1700099111755</v>
      </c>
      <c r="Y212" s="84">
        <f t="shared" si="239"/>
        <v>670.59067734296366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1069.7696853538746</v>
      </c>
      <c r="C213" s="84">
        <f t="shared" si="236"/>
        <v>1097.7308444879686</v>
      </c>
      <c r="D213" s="84">
        <f t="shared" si="236"/>
        <v>1175.2948402816494</v>
      </c>
      <c r="E213" s="84">
        <f t="shared" si="236"/>
        <v>1166.0224270138076</v>
      </c>
      <c r="F213" s="84">
        <f t="shared" si="236"/>
        <v>1148.1073014566537</v>
      </c>
      <c r="G213" s="84">
        <f t="shared" si="236"/>
        <v>1149.6959775847165</v>
      </c>
      <c r="H213" s="84">
        <f t="shared" si="236"/>
        <v>1146.8225371005121</v>
      </c>
      <c r="I213" s="84">
        <f t="shared" si="236"/>
        <v>1141.3039416602307</v>
      </c>
      <c r="J213" s="84">
        <f t="shared" si="236"/>
        <v>1103.9558603802357</v>
      </c>
      <c r="K213" s="84">
        <f t="shared" si="236"/>
        <v>1073.4780808217729</v>
      </c>
      <c r="L213" s="84">
        <f t="shared" si="236"/>
        <v>1055.8547958598663</v>
      </c>
      <c r="M213" s="84">
        <f t="shared" si="235"/>
        <v>1038.4783143450354</v>
      </c>
      <c r="N213" s="84">
        <f t="shared" si="236"/>
        <v>1010.8454092481811</v>
      </c>
      <c r="O213" s="84">
        <f t="shared" si="236"/>
        <v>1007.8162928845007</v>
      </c>
      <c r="P213" s="84">
        <f t="shared" si="236"/>
        <v>1025.1750257966507</v>
      </c>
      <c r="Q213" s="84">
        <f t="shared" si="236"/>
        <v>1031.1512744233885</v>
      </c>
      <c r="R213" s="84">
        <f t="shared" si="236"/>
        <v>1026.4441049470286</v>
      </c>
      <c r="S213" s="84">
        <f t="shared" si="236"/>
        <v>1008.8930177100505</v>
      </c>
      <c r="T213" s="84">
        <f t="shared" si="236"/>
        <v>992.98122473868807</v>
      </c>
      <c r="U213" s="84">
        <f t="shared" si="236"/>
        <v>998.11960044733769</v>
      </c>
      <c r="V213" s="84">
        <f t="shared" si="236"/>
        <v>987.42428139138906</v>
      </c>
      <c r="W213" s="84">
        <f t="shared" ref="W213:Y213" si="240">IF(W22=0,0,W22*1000000/W76)</f>
        <v>994.06285498909028</v>
      </c>
      <c r="X213" s="84">
        <f t="shared" si="240"/>
        <v>977.80052382807969</v>
      </c>
      <c r="Y213" s="84">
        <f t="shared" si="240"/>
        <v>980.06044556016525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917.26482841009442</v>
      </c>
      <c r="F214" s="84">
        <f t="shared" si="236"/>
        <v>905.29627713992772</v>
      </c>
      <c r="G214" s="84">
        <f t="shared" si="236"/>
        <v>911.70536867749229</v>
      </c>
      <c r="H214" s="84">
        <f t="shared" si="236"/>
        <v>925.58457726189772</v>
      </c>
      <c r="I214" s="84">
        <f t="shared" si="236"/>
        <v>929.47128466726701</v>
      </c>
      <c r="J214" s="84">
        <f t="shared" si="236"/>
        <v>895.88254977033898</v>
      </c>
      <c r="K214" s="84">
        <f t="shared" si="236"/>
        <v>867.7206341677288</v>
      </c>
      <c r="L214" s="84">
        <f t="shared" si="236"/>
        <v>848.17607202028205</v>
      </c>
      <c r="M214" s="84">
        <f t="shared" si="235"/>
        <v>835.05696170582644</v>
      </c>
      <c r="N214" s="84">
        <f t="shared" si="236"/>
        <v>809.99406815635894</v>
      </c>
      <c r="O214" s="84">
        <f t="shared" si="236"/>
        <v>784.15900316690534</v>
      </c>
      <c r="P214" s="84">
        <f t="shared" si="236"/>
        <v>773.31668531862545</v>
      </c>
      <c r="Q214" s="84">
        <f t="shared" si="236"/>
        <v>779.01007792343205</v>
      </c>
      <c r="R214" s="84">
        <f t="shared" si="236"/>
        <v>767.63698865498941</v>
      </c>
      <c r="S214" s="84">
        <f t="shared" si="236"/>
        <v>745.90806808850368</v>
      </c>
      <c r="T214" s="84">
        <f t="shared" si="236"/>
        <v>726.59623884974712</v>
      </c>
      <c r="U214" s="84">
        <f t="shared" si="236"/>
        <v>723.72008003362646</v>
      </c>
      <c r="V214" s="84">
        <f t="shared" si="236"/>
        <v>708.92347608350656</v>
      </c>
      <c r="W214" s="84">
        <f t="shared" ref="W214:Y214" si="241">IF(W23=0,0,W23*1000000/W77)</f>
        <v>697.78403360432912</v>
      </c>
      <c r="X214" s="84">
        <f t="shared" si="241"/>
        <v>678.16227132543861</v>
      </c>
      <c r="Y214" s="84">
        <f t="shared" si="241"/>
        <v>671.32501218881646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645.94385179026222</v>
      </c>
      <c r="I215" s="84">
        <f t="shared" si="236"/>
        <v>659.11861893714752</v>
      </c>
      <c r="J215" s="84">
        <f t="shared" si="236"/>
        <v>645.54663772653771</v>
      </c>
      <c r="K215" s="84">
        <f t="shared" si="236"/>
        <v>635.33885270239909</v>
      </c>
      <c r="L215" s="84">
        <f t="shared" si="236"/>
        <v>631.04517314786415</v>
      </c>
      <c r="M215" s="84">
        <f t="shared" si="235"/>
        <v>631.30536073351834</v>
      </c>
      <c r="N215" s="84">
        <f t="shared" si="236"/>
        <v>622.23460154008228</v>
      </c>
      <c r="O215" s="84">
        <f t="shared" si="236"/>
        <v>612.10425141827477</v>
      </c>
      <c r="P215" s="84">
        <f t="shared" si="236"/>
        <v>613.37714106362193</v>
      </c>
      <c r="Q215" s="84">
        <f t="shared" si="236"/>
        <v>617.8930101056178</v>
      </c>
      <c r="R215" s="84">
        <f t="shared" si="236"/>
        <v>608.87213532950398</v>
      </c>
      <c r="S215" s="84">
        <f t="shared" si="236"/>
        <v>591.63725157683007</v>
      </c>
      <c r="T215" s="84">
        <f t="shared" si="236"/>
        <v>576.31954948651935</v>
      </c>
      <c r="U215" s="84">
        <f t="shared" si="236"/>
        <v>574.03824597222842</v>
      </c>
      <c r="V215" s="84">
        <f t="shared" si="236"/>
        <v>562.30191750462814</v>
      </c>
      <c r="W215" s="84">
        <f t="shared" ref="W215:Y215" si="242">IF(W24=0,0,W24*1000000/W78)</f>
        <v>553.46636602793239</v>
      </c>
      <c r="X215" s="84">
        <f t="shared" si="242"/>
        <v>537.9028321255222</v>
      </c>
      <c r="Y215" s="84">
        <f t="shared" si="242"/>
        <v>532.47967426335288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681.13595784806137</v>
      </c>
      <c r="C216" s="84">
        <f t="shared" si="236"/>
        <v>681.52630482362065</v>
      </c>
      <c r="D216" s="84">
        <f t="shared" si="236"/>
        <v>682.7330884298193</v>
      </c>
      <c r="E216" s="84">
        <f t="shared" si="236"/>
        <v>682.93993123686312</v>
      </c>
      <c r="F216" s="84">
        <f t="shared" si="236"/>
        <v>683.1082054820082</v>
      </c>
      <c r="G216" s="84">
        <f t="shared" si="236"/>
        <v>683.59679839092621</v>
      </c>
      <c r="H216" s="84">
        <f t="shared" si="236"/>
        <v>684.3481551346257</v>
      </c>
      <c r="I216" s="84">
        <f t="shared" si="236"/>
        <v>684.74423566250425</v>
      </c>
      <c r="J216" s="84">
        <f t="shared" si="236"/>
        <v>685.68547036309349</v>
      </c>
      <c r="K216" s="84">
        <f t="shared" si="236"/>
        <v>686.46888037396877</v>
      </c>
      <c r="L216" s="84">
        <f t="shared" si="236"/>
        <v>686.95354483620486</v>
      </c>
      <c r="M216" s="84">
        <f t="shared" si="235"/>
        <v>687.20311921652694</v>
      </c>
      <c r="N216" s="84">
        <f t="shared" si="236"/>
        <v>687.94022056746644</v>
      </c>
      <c r="O216" s="84">
        <f t="shared" si="236"/>
        <v>688.74180505026561</v>
      </c>
      <c r="P216" s="84">
        <f t="shared" si="236"/>
        <v>688.93739931914081</v>
      </c>
      <c r="Q216" s="84">
        <f t="shared" si="236"/>
        <v>688.96052615641861</v>
      </c>
      <c r="R216" s="84">
        <f t="shared" si="236"/>
        <v>688.74184005928373</v>
      </c>
      <c r="S216" s="84">
        <f t="shared" si="236"/>
        <v>688.06411321154644</v>
      </c>
      <c r="T216" s="84">
        <f t="shared" si="236"/>
        <v>687.46833911568706</v>
      </c>
      <c r="U216" s="84">
        <f t="shared" si="236"/>
        <v>687.33498276454554</v>
      </c>
      <c r="V216" s="84">
        <f t="shared" si="236"/>
        <v>681.16853268883131</v>
      </c>
      <c r="W216" s="84">
        <f t="shared" ref="W216:Y216" si="243">IF(W25=0,0,W25*1000000/W79)</f>
        <v>686.66713590252277</v>
      </c>
      <c r="X216" s="84">
        <f t="shared" si="243"/>
        <v>686.36113401176681</v>
      </c>
      <c r="Y216" s="84">
        <f t="shared" si="243"/>
        <v>686.29273207871336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315891.8452215821</v>
      </c>
      <c r="C217" s="110">
        <f t="shared" si="236"/>
        <v>336905.16401702742</v>
      </c>
      <c r="D217" s="110">
        <f t="shared" si="236"/>
        <v>356192.07852111716</v>
      </c>
      <c r="E217" s="110">
        <f t="shared" si="236"/>
        <v>366341.54737972986</v>
      </c>
      <c r="F217" s="110">
        <f t="shared" si="236"/>
        <v>382028.05033650837</v>
      </c>
      <c r="G217" s="110">
        <f t="shared" si="236"/>
        <v>393531.92268268956</v>
      </c>
      <c r="H217" s="110">
        <f t="shared" si="236"/>
        <v>434218.72083839588</v>
      </c>
      <c r="I217" s="110">
        <f t="shared" si="236"/>
        <v>456676.70443476329</v>
      </c>
      <c r="J217" s="110">
        <f t="shared" si="236"/>
        <v>468117.82772390795</v>
      </c>
      <c r="K217" s="110">
        <f t="shared" si="236"/>
        <v>418426.09375046997</v>
      </c>
      <c r="L217" s="110">
        <f t="shared" si="236"/>
        <v>441945.09537878953</v>
      </c>
      <c r="M217" s="110">
        <f t="shared" si="235"/>
        <v>452933.24089939898</v>
      </c>
      <c r="N217" s="110">
        <f t="shared" si="236"/>
        <v>442585.37693341053</v>
      </c>
      <c r="O217" s="110">
        <f t="shared" si="236"/>
        <v>471941.24089938373</v>
      </c>
      <c r="P217" s="110">
        <f t="shared" si="236"/>
        <v>488096.32405259891</v>
      </c>
      <c r="Q217" s="110">
        <f t="shared" si="236"/>
        <v>503267.22251223156</v>
      </c>
      <c r="R217" s="110">
        <f t="shared" si="236"/>
        <v>514626.06194215483</v>
      </c>
      <c r="S217" s="110">
        <f t="shared" si="236"/>
        <v>525418.255928025</v>
      </c>
      <c r="T217" s="110">
        <f t="shared" si="236"/>
        <v>519255.16033807368</v>
      </c>
      <c r="U217" s="110">
        <f t="shared" si="236"/>
        <v>520565.06925085181</v>
      </c>
      <c r="V217" s="110">
        <f t="shared" si="236"/>
        <v>515875.80422037287</v>
      </c>
      <c r="W217" s="110">
        <f t="shared" ref="W217:Y217" si="244">IF(W26=0,0,W26*1000000/W80)</f>
        <v>534121.12893540366</v>
      </c>
      <c r="X217" s="110">
        <f t="shared" si="244"/>
        <v>528336.80559227569</v>
      </c>
      <c r="Y217" s="110">
        <f t="shared" si="244"/>
        <v>508019.21616040572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170237.03194778427</v>
      </c>
      <c r="C218" s="163">
        <f t="shared" si="236"/>
        <v>178250.41506841473</v>
      </c>
      <c r="D218" s="163">
        <f t="shared" si="236"/>
        <v>186585.52757599423</v>
      </c>
      <c r="E218" s="163">
        <f t="shared" si="236"/>
        <v>194407.57587055402</v>
      </c>
      <c r="F218" s="163">
        <f t="shared" si="236"/>
        <v>186166.85219170252</v>
      </c>
      <c r="G218" s="163">
        <f t="shared" si="236"/>
        <v>190797.0970299445</v>
      </c>
      <c r="H218" s="163">
        <f t="shared" si="236"/>
        <v>225296.50436953807</v>
      </c>
      <c r="I218" s="163">
        <f t="shared" si="236"/>
        <v>228344.8713779058</v>
      </c>
      <c r="J218" s="163">
        <f t="shared" si="236"/>
        <v>222978.34597504282</v>
      </c>
      <c r="K218" s="163">
        <f t="shared" si="236"/>
        <v>203370.66795302776</v>
      </c>
      <c r="L218" s="163">
        <f t="shared" si="236"/>
        <v>211458.96656534955</v>
      </c>
      <c r="M218" s="163">
        <f t="shared" si="235"/>
        <v>219991.48910301225</v>
      </c>
      <c r="N218" s="163">
        <f t="shared" si="236"/>
        <v>214097.23696581848</v>
      </c>
      <c r="O218" s="163">
        <f t="shared" si="236"/>
        <v>226715.54588154427</v>
      </c>
      <c r="P218" s="163">
        <f t="shared" si="236"/>
        <v>243209.75416336244</v>
      </c>
      <c r="Q218" s="163">
        <f t="shared" si="236"/>
        <v>255697.95864438135</v>
      </c>
      <c r="R218" s="163">
        <f t="shared" si="236"/>
        <v>269245.19991517265</v>
      </c>
      <c r="S218" s="163">
        <f t="shared" si="236"/>
        <v>267457.22244329489</v>
      </c>
      <c r="T218" s="163">
        <f t="shared" si="236"/>
        <v>261478.52703830812</v>
      </c>
      <c r="U218" s="163">
        <f t="shared" si="236"/>
        <v>263512.48128570995</v>
      </c>
      <c r="V218" s="163">
        <f t="shared" si="236"/>
        <v>260172.87031682747</v>
      </c>
      <c r="W218" s="163">
        <f t="shared" ref="W218:Y218" si="245">IF(W27=0,0,W27*1000000/W81)</f>
        <v>270346.13190837862</v>
      </c>
      <c r="X218" s="163">
        <f t="shared" si="245"/>
        <v>260902.50133681897</v>
      </c>
      <c r="Y218" s="163">
        <f t="shared" si="245"/>
        <v>246609.80365888149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1211845.6137957212</v>
      </c>
      <c r="C219" s="86">
        <f t="shared" si="236"/>
        <v>1210832.1586198083</v>
      </c>
      <c r="D219" s="86">
        <f t="shared" si="236"/>
        <v>1218803.573799344</v>
      </c>
      <c r="E219" s="86">
        <f t="shared" si="236"/>
        <v>1211640.50328176</v>
      </c>
      <c r="F219" s="86">
        <f t="shared" si="236"/>
        <v>1189398.344270309</v>
      </c>
      <c r="G219" s="86">
        <f t="shared" si="236"/>
        <v>1189948.5341412569</v>
      </c>
      <c r="H219" s="86">
        <f t="shared" si="236"/>
        <v>1197531.0893499649</v>
      </c>
      <c r="I219" s="86">
        <f t="shared" si="236"/>
        <v>1199779.4326932426</v>
      </c>
      <c r="J219" s="86">
        <f t="shared" si="236"/>
        <v>1182792.8607387003</v>
      </c>
      <c r="K219" s="86">
        <f t="shared" si="236"/>
        <v>1167225.7883297754</v>
      </c>
      <c r="L219" s="86">
        <f t="shared" si="236"/>
        <v>1205205.6527982333</v>
      </c>
      <c r="M219" s="86">
        <f t="shared" si="235"/>
        <v>1201326.8631991381</v>
      </c>
      <c r="N219" s="86">
        <f t="shared" si="236"/>
        <v>1197367.7096527251</v>
      </c>
      <c r="O219" s="86">
        <f t="shared" si="236"/>
        <v>1198932.9270220872</v>
      </c>
      <c r="P219" s="86">
        <f t="shared" si="236"/>
        <v>1201745.5441900911</v>
      </c>
      <c r="Q219" s="86">
        <f t="shared" si="236"/>
        <v>1190495.5275127175</v>
      </c>
      <c r="R219" s="86">
        <f t="shared" si="236"/>
        <v>1184324.304367516</v>
      </c>
      <c r="S219" s="86">
        <f t="shared" si="236"/>
        <v>1191006.244292154</v>
      </c>
      <c r="T219" s="86">
        <f t="shared" si="236"/>
        <v>1202441.9223993116</v>
      </c>
      <c r="U219" s="86">
        <f t="shared" si="236"/>
        <v>1195284.30507659</v>
      </c>
      <c r="V219" s="86">
        <f t="shared" si="236"/>
        <v>1178256.0706401765</v>
      </c>
      <c r="W219" s="86">
        <f t="shared" ref="W219:Y219" si="246">IF(W28=0,0,W28*1000000/W82)</f>
        <v>1193925.0581962904</v>
      </c>
      <c r="X219" s="86">
        <f t="shared" si="246"/>
        <v>1189425.3717642738</v>
      </c>
      <c r="Y219" s="86">
        <f t="shared" si="246"/>
        <v>1176152.7925734287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1.34158057396477E-2</v>
      </c>
      <c r="C223" s="154">
        <f t="shared" si="251"/>
        <v>1.3755238445292667E-2</v>
      </c>
      <c r="D223" s="154">
        <f t="shared" si="251"/>
        <v>1.4056862318102468E-2</v>
      </c>
      <c r="E223" s="154">
        <f t="shared" si="251"/>
        <v>1.4253910696380392E-2</v>
      </c>
      <c r="F223" s="154">
        <f t="shared" si="251"/>
        <v>1.4902829642497535E-2</v>
      </c>
      <c r="G223" s="154">
        <f t="shared" si="251"/>
        <v>1.5151145864483906E-2</v>
      </c>
      <c r="H223" s="154">
        <f t="shared" si="251"/>
        <v>1.5544393331298466E-2</v>
      </c>
      <c r="I223" s="154">
        <f t="shared" si="251"/>
        <v>1.5931309342998828E-2</v>
      </c>
      <c r="J223" s="154">
        <f t="shared" si="251"/>
        <v>1.6406940158698403E-2</v>
      </c>
      <c r="K223" s="154">
        <f t="shared" si="251"/>
        <v>1.7368424808603327E-2</v>
      </c>
      <c r="L223" s="154">
        <f t="shared" ref="L223" si="252">IF(L5=0,0,L5/L$4)</f>
        <v>1.7674740879081049E-2</v>
      </c>
      <c r="M223" s="154">
        <f t="shared" ref="M223:V223" si="253">IF(M5=0,0,M5/M$4)</f>
        <v>1.7970050686271846E-2</v>
      </c>
      <c r="N223" s="154">
        <f t="shared" si="253"/>
        <v>1.8825894853654827E-2</v>
      </c>
      <c r="O223" s="154">
        <f t="shared" si="253"/>
        <v>1.9028002659514907E-2</v>
      </c>
      <c r="P223" s="154">
        <f t="shared" si="253"/>
        <v>1.9165187015605392E-2</v>
      </c>
      <c r="Q223" s="154">
        <f t="shared" si="253"/>
        <v>1.9447657120272854E-2</v>
      </c>
      <c r="R223" s="154">
        <f t="shared" si="253"/>
        <v>1.949973402369342E-2</v>
      </c>
      <c r="S223" s="154">
        <f t="shared" si="253"/>
        <v>1.8102330379309198E-2</v>
      </c>
      <c r="T223" s="154">
        <f t="shared" si="253"/>
        <v>1.7100167240303565E-2</v>
      </c>
      <c r="U223" s="154">
        <f t="shared" si="253"/>
        <v>1.8049123819484866E-2</v>
      </c>
      <c r="V223" s="154">
        <f t="shared" si="253"/>
        <v>1.9616496218163838E-2</v>
      </c>
      <c r="W223" s="154">
        <f t="shared" ref="W223:Y223" si="254">IF(W5=0,0,W5/W$4)</f>
        <v>1.9073847006912725E-2</v>
      </c>
      <c r="X223" s="154">
        <f t="shared" si="254"/>
        <v>1.7841198668640285E-2</v>
      </c>
      <c r="Y223" s="154">
        <f t="shared" si="254"/>
        <v>1.8757863169320897E-2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0.86439761719278063</v>
      </c>
      <c r="C224" s="156">
        <f t="shared" si="255"/>
        <v>0.86499882476419887</v>
      </c>
      <c r="D224" s="156">
        <f t="shared" si="255"/>
        <v>0.86591913162059342</v>
      </c>
      <c r="E224" s="156">
        <f t="shared" si="255"/>
        <v>0.86496828217859689</v>
      </c>
      <c r="F224" s="156">
        <f t="shared" si="255"/>
        <v>0.86465229391390264</v>
      </c>
      <c r="G224" s="156">
        <f t="shared" si="255"/>
        <v>0.86616316634884261</v>
      </c>
      <c r="H224" s="156">
        <f t="shared" si="255"/>
        <v>0.86418231394104628</v>
      </c>
      <c r="I224" s="156">
        <f t="shared" si="255"/>
        <v>0.86328333889008546</v>
      </c>
      <c r="J224" s="156">
        <f t="shared" si="255"/>
        <v>0.86757181583862164</v>
      </c>
      <c r="K224" s="156">
        <f t="shared" si="255"/>
        <v>0.87688292039626448</v>
      </c>
      <c r="L224" s="156">
        <f t="shared" ref="L224" si="256">IF(L6=0,0,L6/L$4)</f>
        <v>0.87423773965392371</v>
      </c>
      <c r="M224" s="156">
        <f t="shared" ref="M224:V224" si="257">IF(M6=0,0,M6/M$4)</f>
        <v>0.87252201285189179</v>
      </c>
      <c r="N224" s="156">
        <f t="shared" si="257"/>
        <v>0.87281348865289576</v>
      </c>
      <c r="O224" s="156">
        <f t="shared" si="257"/>
        <v>0.8732880838367364</v>
      </c>
      <c r="P224" s="156">
        <f t="shared" si="257"/>
        <v>0.87319055030318971</v>
      </c>
      <c r="Q224" s="156">
        <f t="shared" si="257"/>
        <v>0.87363185593375337</v>
      </c>
      <c r="R224" s="156">
        <f t="shared" si="257"/>
        <v>0.87323691113665647</v>
      </c>
      <c r="S224" s="156">
        <f t="shared" si="257"/>
        <v>0.87350096903289476</v>
      </c>
      <c r="T224" s="156">
        <f t="shared" si="257"/>
        <v>0.88090702721702197</v>
      </c>
      <c r="U224" s="156">
        <f t="shared" si="257"/>
        <v>0.88183508510614428</v>
      </c>
      <c r="V224" s="156">
        <f t="shared" si="257"/>
        <v>0.88101303743455572</v>
      </c>
      <c r="W224" s="156">
        <f t="shared" ref="W224:Y224" si="258">IF(W6=0,0,W6/W$4)</f>
        <v>0.88479819355550293</v>
      </c>
      <c r="X224" s="156">
        <f t="shared" si="258"/>
        <v>0.87549413799826536</v>
      </c>
      <c r="Y224" s="156">
        <f t="shared" si="258"/>
        <v>0.87317598938651209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0.48546919437447711</v>
      </c>
      <c r="C225" s="103">
        <f t="shared" si="259"/>
        <v>0.47326368259766111</v>
      </c>
      <c r="D225" s="103">
        <f t="shared" si="259"/>
        <v>0.44848727323833043</v>
      </c>
      <c r="E225" s="103">
        <f t="shared" si="259"/>
        <v>0.42360118345489201</v>
      </c>
      <c r="F225" s="103">
        <f t="shared" si="259"/>
        <v>0.40386898322421266</v>
      </c>
      <c r="G225" s="103">
        <f t="shared" si="259"/>
        <v>0.38088711378441198</v>
      </c>
      <c r="H225" s="103">
        <f t="shared" si="259"/>
        <v>0.36321797505726722</v>
      </c>
      <c r="I225" s="103">
        <f t="shared" si="259"/>
        <v>0.34560453930126017</v>
      </c>
      <c r="J225" s="103">
        <f t="shared" si="259"/>
        <v>0.3421993262761705</v>
      </c>
      <c r="K225" s="103">
        <f t="shared" si="259"/>
        <v>0.33624520915337835</v>
      </c>
      <c r="L225" s="103">
        <f t="shared" ref="L225" si="260">IF(L7=0,0,L7/L$4)</f>
        <v>0.33409732410904641</v>
      </c>
      <c r="M225" s="103">
        <f t="shared" ref="M225:V225" si="261">IF(M7=0,0,M7/M$4)</f>
        <v>0.31675436426573966</v>
      </c>
      <c r="N225" s="103">
        <f t="shared" si="261"/>
        <v>0.31382865573266616</v>
      </c>
      <c r="O225" s="103">
        <f t="shared" si="261"/>
        <v>0.30505197152303021</v>
      </c>
      <c r="P225" s="103">
        <f t="shared" si="261"/>
        <v>0.29089956992348004</v>
      </c>
      <c r="Q225" s="103">
        <f t="shared" si="261"/>
        <v>0.28087033499640662</v>
      </c>
      <c r="R225" s="103">
        <f t="shared" si="261"/>
        <v>0.27063012622028121</v>
      </c>
      <c r="S225" s="103">
        <f t="shared" si="261"/>
        <v>0.26663118323368823</v>
      </c>
      <c r="T225" s="103">
        <f t="shared" si="261"/>
        <v>0.27775950342712613</v>
      </c>
      <c r="U225" s="103">
        <f t="shared" si="261"/>
        <v>0.28284092220503043</v>
      </c>
      <c r="V225" s="103">
        <f t="shared" si="261"/>
        <v>0.28814032012612234</v>
      </c>
      <c r="W225" s="103">
        <f t="shared" ref="W225:Y225" si="262">IF(W7=0,0,W7/W$4)</f>
        <v>0.29103950875989287</v>
      </c>
      <c r="X225" s="103">
        <f t="shared" si="262"/>
        <v>0.28883755769881125</v>
      </c>
      <c r="Y225" s="103">
        <f t="shared" si="262"/>
        <v>0.29862162916658708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0.37561417821738158</v>
      </c>
      <c r="C226" s="103">
        <f t="shared" si="263"/>
        <v>0.3883050372846244</v>
      </c>
      <c r="D226" s="103">
        <f t="shared" si="263"/>
        <v>0.41286174176136053</v>
      </c>
      <c r="E226" s="103">
        <f t="shared" si="263"/>
        <v>0.43595852303470389</v>
      </c>
      <c r="F226" s="103">
        <f t="shared" si="263"/>
        <v>0.45639928329677271</v>
      </c>
      <c r="G226" s="103">
        <f t="shared" si="263"/>
        <v>0.48102854544769985</v>
      </c>
      <c r="H226" s="103">
        <f t="shared" si="263"/>
        <v>0.49664711076942353</v>
      </c>
      <c r="I226" s="103">
        <f t="shared" si="263"/>
        <v>0.51368359115978079</v>
      </c>
      <c r="J226" s="103">
        <f t="shared" si="263"/>
        <v>0.52089663930461205</v>
      </c>
      <c r="K226" s="103">
        <f t="shared" si="263"/>
        <v>0.53648524036776102</v>
      </c>
      <c r="L226" s="103">
        <f t="shared" ref="L226" si="264">IF(L8=0,0,L8/L$4)</f>
        <v>0.53634318012870885</v>
      </c>
      <c r="M226" s="103">
        <f t="shared" ref="M226:V226" si="265">IF(M8=0,0,M8/M$4)</f>
        <v>0.55170494217470056</v>
      </c>
      <c r="N226" s="103">
        <f t="shared" si="265"/>
        <v>0.55456585245372603</v>
      </c>
      <c r="O226" s="103">
        <f t="shared" si="265"/>
        <v>0.56381879623934927</v>
      </c>
      <c r="P226" s="103">
        <f t="shared" si="265"/>
        <v>0.5778230711611283</v>
      </c>
      <c r="Q226" s="103">
        <f t="shared" si="265"/>
        <v>0.58848140294405182</v>
      </c>
      <c r="R226" s="103">
        <f t="shared" si="265"/>
        <v>0.5978972401070588</v>
      </c>
      <c r="S226" s="103">
        <f t="shared" si="265"/>
        <v>0.6009772456884207</v>
      </c>
      <c r="T226" s="103">
        <f t="shared" si="265"/>
        <v>0.59632953012774903</v>
      </c>
      <c r="U226" s="103">
        <f t="shared" si="265"/>
        <v>0.59050345300646578</v>
      </c>
      <c r="V226" s="103">
        <f t="shared" si="265"/>
        <v>0.58018426537093026</v>
      </c>
      <c r="W226" s="103">
        <f t="shared" ref="W226:Y226" si="266">IF(W8=0,0,W8/W$4)</f>
        <v>0.57127450466831398</v>
      </c>
      <c r="X226" s="103">
        <f t="shared" si="266"/>
        <v>0.55691848157428225</v>
      </c>
      <c r="Y226" s="103">
        <f t="shared" si="266"/>
        <v>0.53457503203260326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3.3142446009217785E-3</v>
      </c>
      <c r="C227" s="103">
        <f t="shared" si="267"/>
        <v>3.4301048819133655E-3</v>
      </c>
      <c r="D227" s="103">
        <f t="shared" si="267"/>
        <v>4.570116620902483E-3</v>
      </c>
      <c r="E227" s="103">
        <f t="shared" si="267"/>
        <v>5.4085756890010668E-3</v>
      </c>
      <c r="F227" s="103">
        <f t="shared" si="267"/>
        <v>4.3840273929170942E-3</v>
      </c>
      <c r="G227" s="103">
        <f t="shared" si="267"/>
        <v>4.2475071167306228E-3</v>
      </c>
      <c r="H227" s="103">
        <f t="shared" si="267"/>
        <v>4.3046238675391183E-3</v>
      </c>
      <c r="I227" s="103">
        <f t="shared" si="267"/>
        <v>3.9467155927132794E-3</v>
      </c>
      <c r="J227" s="103">
        <f t="shared" si="267"/>
        <v>4.237881326126851E-3</v>
      </c>
      <c r="K227" s="103">
        <f t="shared" si="267"/>
        <v>3.7949303642800369E-3</v>
      </c>
      <c r="L227" s="103">
        <f t="shared" ref="L227" si="268">IF(L9=0,0,L9/L$4)</f>
        <v>3.3851424848333946E-3</v>
      </c>
      <c r="M227" s="103">
        <f t="shared" ref="M227:V227" si="269">IF(M9=0,0,M9/M$4)</f>
        <v>3.2571486163725364E-3</v>
      </c>
      <c r="N227" s="103">
        <f t="shared" si="269"/>
        <v>3.3984532716948204E-3</v>
      </c>
      <c r="O227" s="103">
        <f t="shared" si="269"/>
        <v>3.1288980410095432E-3</v>
      </c>
      <c r="P227" s="103">
        <f t="shared" si="269"/>
        <v>2.7400642313187792E-3</v>
      </c>
      <c r="Q227" s="103">
        <f t="shared" si="269"/>
        <v>2.0174051988618674E-3</v>
      </c>
      <c r="R227" s="103">
        <f t="shared" si="269"/>
        <v>1.6028102966248808E-3</v>
      </c>
      <c r="S227" s="103">
        <f t="shared" si="269"/>
        <v>1.4625051331935263E-3</v>
      </c>
      <c r="T227" s="103">
        <f t="shared" si="269"/>
        <v>9.600849136617534E-4</v>
      </c>
      <c r="U227" s="103">
        <f t="shared" si="269"/>
        <v>6.997905007037746E-4</v>
      </c>
      <c r="V227" s="103">
        <f t="shared" si="269"/>
        <v>5.1617018880365027E-4</v>
      </c>
      <c r="W227" s="103">
        <f t="shared" ref="W227:Y227" si="270">IF(W9=0,0,W9/W$4)</f>
        <v>4.974340100553275E-4</v>
      </c>
      <c r="X227" s="103">
        <f t="shared" si="270"/>
        <v>3.7053548020265771E-4</v>
      </c>
      <c r="Y227" s="103">
        <f t="shared" si="270"/>
        <v>1.9831664095516102E-4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1.2604246816484343E-5</v>
      </c>
      <c r="I228" s="103">
        <f t="shared" si="271"/>
        <v>4.8492836331458788E-5</v>
      </c>
      <c r="J228" s="103">
        <f t="shared" si="271"/>
        <v>2.3753084382369582E-4</v>
      </c>
      <c r="K228" s="103">
        <f t="shared" si="271"/>
        <v>2.8435768479751421E-4</v>
      </c>
      <c r="L228" s="103">
        <f t="shared" ref="L228" si="272">IF(L10=0,0,L10/L$4)</f>
        <v>3.3444458011021983E-4</v>
      </c>
      <c r="M228" s="103">
        <f t="shared" ref="M228:V228" si="273">IF(M10=0,0,M10/M$4)</f>
        <v>5.9072860597903681E-4</v>
      </c>
      <c r="N228" s="103">
        <f t="shared" si="273"/>
        <v>6.7158690845154224E-4</v>
      </c>
      <c r="O228" s="103">
        <f t="shared" si="273"/>
        <v>7.7161024664097158E-4</v>
      </c>
      <c r="P228" s="103">
        <f t="shared" si="273"/>
        <v>8.8404782799407662E-4</v>
      </c>
      <c r="Q228" s="103">
        <f t="shared" si="273"/>
        <v>9.7246951142968528E-4</v>
      </c>
      <c r="R228" s="103">
        <f t="shared" si="273"/>
        <v>9.3446480802196344E-4</v>
      </c>
      <c r="S228" s="103">
        <f t="shared" si="273"/>
        <v>9.4252204381824688E-4</v>
      </c>
      <c r="T228" s="103">
        <f t="shared" si="273"/>
        <v>9.505433278929143E-4</v>
      </c>
      <c r="U228" s="103">
        <f t="shared" si="273"/>
        <v>9.2965279656315918E-4</v>
      </c>
      <c r="V228" s="103">
        <f t="shared" si="273"/>
        <v>9.7301282492142434E-4</v>
      </c>
      <c r="W228" s="103">
        <f t="shared" ref="W228:Y228" si="274">IF(W10=0,0,W10/W$4)</f>
        <v>9.1142530834684794E-4</v>
      </c>
      <c r="X228" s="103">
        <f t="shared" si="274"/>
        <v>8.4672617885739375E-4</v>
      </c>
      <c r="Y228" s="103">
        <f t="shared" si="274"/>
        <v>7.6693341347359328E-4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3.5159265272744494E-7</v>
      </c>
      <c r="N229" s="103">
        <f t="shared" si="277"/>
        <v>4.6518329295726819E-5</v>
      </c>
      <c r="O229" s="103">
        <f t="shared" si="277"/>
        <v>7.0595327468799714E-5</v>
      </c>
      <c r="P229" s="103">
        <f t="shared" si="277"/>
        <v>1.3048929360358292E-4</v>
      </c>
      <c r="Q229" s="103">
        <f t="shared" si="277"/>
        <v>2.5248870767761062E-4</v>
      </c>
      <c r="R229" s="103">
        <f t="shared" si="277"/>
        <v>3.5358449683174376E-4</v>
      </c>
      <c r="S229" s="103">
        <f t="shared" si="277"/>
        <v>6.0384303922804785E-4</v>
      </c>
      <c r="T229" s="103">
        <f t="shared" si="277"/>
        <v>8.3990842868022966E-4</v>
      </c>
      <c r="U229" s="103">
        <f t="shared" si="277"/>
        <v>1.1327668453998837E-3</v>
      </c>
      <c r="V229" s="103">
        <f t="shared" si="277"/>
        <v>2.2863346221478156E-3</v>
      </c>
      <c r="W229" s="103">
        <f t="shared" ref="W229:Y229" si="278">IF(W11=0,0,W11/W$4)</f>
        <v>4.3503253558929205E-3</v>
      </c>
      <c r="X229" s="103">
        <f t="shared" si="278"/>
        <v>6.2332072310307242E-3</v>
      </c>
      <c r="Y229" s="103">
        <f t="shared" si="278"/>
        <v>8.5927809224779252E-3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4.3808788885847249E-7</v>
      </c>
      <c r="K230" s="103">
        <f t="shared" si="279"/>
        <v>7.318282604767024E-5</v>
      </c>
      <c r="L230" s="103">
        <f t="shared" ref="L230" si="280">IF(L12=0,0,L12/L$4)</f>
        <v>7.7648351224764685E-5</v>
      </c>
      <c r="M230" s="103">
        <f t="shared" ref="M230:V230" si="281">IF(M12=0,0,M12/M$4)</f>
        <v>2.1447759644729206E-4</v>
      </c>
      <c r="N230" s="103">
        <f t="shared" si="281"/>
        <v>3.0242195706136016E-4</v>
      </c>
      <c r="O230" s="103">
        <f t="shared" si="281"/>
        <v>4.4621245923758815E-4</v>
      </c>
      <c r="P230" s="103">
        <f t="shared" si="281"/>
        <v>7.1330786566501216E-4</v>
      </c>
      <c r="Q230" s="103">
        <f t="shared" si="281"/>
        <v>1.0377545753257889E-3</v>
      </c>
      <c r="R230" s="103">
        <f t="shared" si="281"/>
        <v>1.8186852078377334E-3</v>
      </c>
      <c r="S230" s="103">
        <f t="shared" si="281"/>
        <v>2.8836698945460038E-3</v>
      </c>
      <c r="T230" s="103">
        <f t="shared" si="281"/>
        <v>4.0674569919119594E-3</v>
      </c>
      <c r="U230" s="103">
        <f t="shared" si="281"/>
        <v>5.7284997519811845E-3</v>
      </c>
      <c r="V230" s="103">
        <f t="shared" si="281"/>
        <v>8.9129343016299649E-3</v>
      </c>
      <c r="W230" s="103">
        <f t="shared" ref="W230:Y230" si="282">IF(W12=0,0,W12/W$4)</f>
        <v>1.6724995453000921E-2</v>
      </c>
      <c r="X230" s="103">
        <f t="shared" si="282"/>
        <v>2.2287629835081098E-2</v>
      </c>
      <c r="Y230" s="103">
        <f t="shared" si="282"/>
        <v>3.0421297210415046E-2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0.1221865770675717</v>
      </c>
      <c r="C231" s="156">
        <f t="shared" si="283"/>
        <v>0.12124593679050842</v>
      </c>
      <c r="D231" s="156">
        <f t="shared" si="283"/>
        <v>0.12002400606130423</v>
      </c>
      <c r="E231" s="156">
        <f t="shared" si="283"/>
        <v>0.12077780712502263</v>
      </c>
      <c r="F231" s="156">
        <f t="shared" si="283"/>
        <v>0.12044487644359983</v>
      </c>
      <c r="G231" s="156">
        <f t="shared" si="283"/>
        <v>0.11868568778667342</v>
      </c>
      <c r="H231" s="156">
        <f t="shared" si="283"/>
        <v>0.12027329272765531</v>
      </c>
      <c r="I231" s="156">
        <f t="shared" si="283"/>
        <v>0.12078535176691559</v>
      </c>
      <c r="J231" s="156">
        <f t="shared" si="283"/>
        <v>0.11602124400267995</v>
      </c>
      <c r="K231" s="156">
        <f t="shared" si="283"/>
        <v>0.10574865479513208</v>
      </c>
      <c r="L231" s="156">
        <f t="shared" ref="L231" si="284">IF(L13=0,0,L13/L$4)</f>
        <v>0.1080875194669952</v>
      </c>
      <c r="M231" s="156">
        <f t="shared" ref="M231:V231" si="285">IF(M13=0,0,M13/M$4)</f>
        <v>0.1095079364618365</v>
      </c>
      <c r="N231" s="156">
        <f t="shared" si="285"/>
        <v>0.10836061649344939</v>
      </c>
      <c r="O231" s="156">
        <f t="shared" si="285"/>
        <v>0.10768391350374869</v>
      </c>
      <c r="P231" s="156">
        <f t="shared" si="285"/>
        <v>0.10764426268120474</v>
      </c>
      <c r="Q231" s="156">
        <f t="shared" si="285"/>
        <v>0.1069204869459737</v>
      </c>
      <c r="R231" s="156">
        <f t="shared" si="285"/>
        <v>0.10726335483965013</v>
      </c>
      <c r="S231" s="156">
        <f t="shared" si="285"/>
        <v>0.10839670058779592</v>
      </c>
      <c r="T231" s="156">
        <f t="shared" si="285"/>
        <v>0.10199280554267443</v>
      </c>
      <c r="U231" s="156">
        <f t="shared" si="285"/>
        <v>0.10011579107437095</v>
      </c>
      <c r="V231" s="156">
        <f t="shared" si="285"/>
        <v>9.9370466347280556E-2</v>
      </c>
      <c r="W231" s="156">
        <f t="shared" ref="W231:Y231" si="286">IF(W13=0,0,W13/W$4)</f>
        <v>9.6127959437584343E-2</v>
      </c>
      <c r="X231" s="156">
        <f t="shared" si="286"/>
        <v>0.10666466333309424</v>
      </c>
      <c r="Y231" s="156">
        <f t="shared" si="286"/>
        <v>0.10806614744416708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6.9002324286574008E-5</v>
      </c>
      <c r="C232" s="103">
        <f t="shared" si="287"/>
        <v>7.3936407974598133E-5</v>
      </c>
      <c r="D232" s="103">
        <f t="shared" si="287"/>
        <v>6.2348603310032703E-5</v>
      </c>
      <c r="E232" s="103">
        <f t="shared" si="287"/>
        <v>5.6823553807207004E-5</v>
      </c>
      <c r="F232" s="103">
        <f t="shared" si="287"/>
        <v>4.995528480394353E-5</v>
      </c>
      <c r="G232" s="103">
        <f t="shared" si="287"/>
        <v>3.873516078853643E-5</v>
      </c>
      <c r="H232" s="103">
        <f t="shared" si="287"/>
        <v>3.3654665777456237E-5</v>
      </c>
      <c r="I232" s="103">
        <f t="shared" si="287"/>
        <v>3.3832721310243113E-5</v>
      </c>
      <c r="J232" s="103">
        <f t="shared" si="287"/>
        <v>2.6870664887890566E-5</v>
      </c>
      <c r="K232" s="103">
        <f t="shared" si="287"/>
        <v>1.8669431543741243E-5</v>
      </c>
      <c r="L232" s="103">
        <f t="shared" ref="L232" si="288">IF(L14=0,0,L14/L$4)</f>
        <v>1.8900407956890483E-5</v>
      </c>
      <c r="M232" s="103">
        <f t="shared" ref="M232:V232" si="289">IF(M14=0,0,M14/M$4)</f>
        <v>1.4405789754567368E-5</v>
      </c>
      <c r="N232" s="103">
        <f t="shared" si="289"/>
        <v>1.432747092241761E-5</v>
      </c>
      <c r="O232" s="103">
        <f t="shared" si="289"/>
        <v>9.3467031607112945E-6</v>
      </c>
      <c r="P232" s="103">
        <f t="shared" si="289"/>
        <v>1.1591966114871558E-5</v>
      </c>
      <c r="Q232" s="103">
        <f t="shared" si="289"/>
        <v>9.1686230120850462E-6</v>
      </c>
      <c r="R232" s="103">
        <f t="shared" si="289"/>
        <v>1.2115255524251557E-5</v>
      </c>
      <c r="S232" s="103">
        <f t="shared" si="289"/>
        <v>1.2079379105310108E-5</v>
      </c>
      <c r="T232" s="103">
        <f t="shared" si="289"/>
        <v>1.1770703995014344E-5</v>
      </c>
      <c r="U232" s="103">
        <f t="shared" si="289"/>
        <v>1.1415812716776417E-5</v>
      </c>
      <c r="V232" s="103">
        <f t="shared" si="289"/>
        <v>9.9553578682011327E-6</v>
      </c>
      <c r="W232" s="103">
        <f t="shared" ref="W232:Y232" si="290">IF(W14=0,0,W14/W$4)</f>
        <v>1.2348374517868321E-5</v>
      </c>
      <c r="X232" s="103">
        <f t="shared" si="290"/>
        <v>1.1876234728116282E-5</v>
      </c>
      <c r="Y232" s="103">
        <f t="shared" si="290"/>
        <v>8.7937014314660011E-6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0.12085812621426095</v>
      </c>
      <c r="C233" s="103">
        <f t="shared" si="291"/>
        <v>0.11987940420164662</v>
      </c>
      <c r="D233" s="103">
        <f t="shared" si="291"/>
        <v>0.11854403227534786</v>
      </c>
      <c r="E233" s="103">
        <f t="shared" si="291"/>
        <v>0.11921547097547269</v>
      </c>
      <c r="F233" s="103">
        <f t="shared" si="291"/>
        <v>0.1186403792435885</v>
      </c>
      <c r="G233" s="103">
        <f t="shared" si="291"/>
        <v>0.11669202482896464</v>
      </c>
      <c r="H233" s="103">
        <f t="shared" si="291"/>
        <v>0.11807953482588361</v>
      </c>
      <c r="I233" s="103">
        <f t="shared" si="291"/>
        <v>0.11796229811377928</v>
      </c>
      <c r="J233" s="103">
        <f t="shared" si="291"/>
        <v>0.11286260518027448</v>
      </c>
      <c r="K233" s="103">
        <f t="shared" si="291"/>
        <v>0.10009038976758901</v>
      </c>
      <c r="L233" s="103">
        <f t="shared" ref="L233" si="292">IF(L15=0,0,L15/L$4)</f>
        <v>0.10100799349423396</v>
      </c>
      <c r="M233" s="103">
        <f t="shared" ref="M233:V233" si="293">IF(M15=0,0,M15/M$4)</f>
        <v>0.10185308238705387</v>
      </c>
      <c r="N233" s="103">
        <f t="shared" si="293"/>
        <v>0.10022118569969307</v>
      </c>
      <c r="O233" s="103">
        <f t="shared" si="293"/>
        <v>9.8396833583254073E-2</v>
      </c>
      <c r="P233" s="103">
        <f t="shared" si="293"/>
        <v>9.8096346562413131E-2</v>
      </c>
      <c r="Q233" s="103">
        <f t="shared" si="293"/>
        <v>9.7795882195001516E-2</v>
      </c>
      <c r="R233" s="103">
        <f t="shared" si="293"/>
        <v>9.9965132501760728E-2</v>
      </c>
      <c r="S233" s="103">
        <f t="shared" si="293"/>
        <v>0.10159157904783607</v>
      </c>
      <c r="T233" s="103">
        <f t="shared" si="293"/>
        <v>9.5429105091309294E-2</v>
      </c>
      <c r="U233" s="103">
        <f t="shared" si="293"/>
        <v>9.3652508176431865E-2</v>
      </c>
      <c r="V233" s="103">
        <f t="shared" si="293"/>
        <v>9.2131128702226672E-2</v>
      </c>
      <c r="W233" s="103">
        <f t="shared" ref="W233:Y233" si="294">IF(W15=0,0,W15/W$4)</f>
        <v>8.9409502289084272E-2</v>
      </c>
      <c r="X233" s="103">
        <f t="shared" si="294"/>
        <v>9.9129344575335857E-2</v>
      </c>
      <c r="Y233" s="103">
        <f t="shared" si="294"/>
        <v>0.10042012581210931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8.7096042237946953E-5</v>
      </c>
      <c r="D234" s="103">
        <f t="shared" si="295"/>
        <v>2.7761257398818727E-4</v>
      </c>
      <c r="E234" s="103">
        <f t="shared" si="295"/>
        <v>3.9822806194105426E-4</v>
      </c>
      <c r="F234" s="103">
        <f t="shared" si="295"/>
        <v>5.3155393324033097E-4</v>
      </c>
      <c r="G234" s="103">
        <f t="shared" si="295"/>
        <v>7.7371826163917913E-4</v>
      </c>
      <c r="H234" s="103">
        <f t="shared" si="295"/>
        <v>9.8273015711934208E-4</v>
      </c>
      <c r="I234" s="103">
        <f t="shared" si="295"/>
        <v>1.2398263305923741E-3</v>
      </c>
      <c r="J234" s="103">
        <f t="shared" si="295"/>
        <v>1.408886985581176E-3</v>
      </c>
      <c r="K234" s="103">
        <f t="shared" si="295"/>
        <v>1.629073540057263E-3</v>
      </c>
      <c r="L234" s="103">
        <f t="shared" ref="L234" si="296">IF(L16=0,0,L16/L$4)</f>
        <v>1.8852151771512635E-3</v>
      </c>
      <c r="M234" s="103">
        <f t="shared" ref="M234:V234" si="297">IF(M16=0,0,M16/M$4)</f>
        <v>2.085175674937048E-3</v>
      </c>
      <c r="N234" s="103">
        <f t="shared" si="297"/>
        <v>2.0947894825209964E-3</v>
      </c>
      <c r="O234" s="103">
        <f t="shared" si="297"/>
        <v>2.0171741637151886E-3</v>
      </c>
      <c r="P234" s="103">
        <f t="shared" si="297"/>
        <v>1.9096561674665005E-3</v>
      </c>
      <c r="Q234" s="103">
        <f t="shared" si="297"/>
        <v>1.5235081082465704E-3</v>
      </c>
      <c r="R234" s="103">
        <f t="shared" si="297"/>
        <v>1.2282603271495049E-3</v>
      </c>
      <c r="S234" s="103">
        <f t="shared" si="297"/>
        <v>9.8537628559629839E-4</v>
      </c>
      <c r="T234" s="103">
        <f t="shared" si="297"/>
        <v>9.5060016998236988E-4</v>
      </c>
      <c r="U234" s="103">
        <f t="shared" si="297"/>
        <v>7.6458035382197286E-5</v>
      </c>
      <c r="V234" s="103">
        <f t="shared" si="297"/>
        <v>7.5776095853532943E-5</v>
      </c>
      <c r="W234" s="103">
        <f t="shared" ref="W234:Y234" si="298">IF(W16=0,0,W16/W$4)</f>
        <v>6.7531473546440383E-5</v>
      </c>
      <c r="X234" s="103">
        <f t="shared" si="298"/>
        <v>7.2355252925749186E-5</v>
      </c>
      <c r="Y234" s="103">
        <f t="shared" si="298"/>
        <v>3.3000680099820267E-5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1.6443781478626496E-4</v>
      </c>
      <c r="G235" s="103">
        <f t="shared" si="299"/>
        <v>1.3747600397694761E-4</v>
      </c>
      <c r="H235" s="103">
        <f t="shared" si="299"/>
        <v>8.5748762690512288E-5</v>
      </c>
      <c r="I235" s="103">
        <f t="shared" si="299"/>
        <v>5.9767046101598289E-4</v>
      </c>
      <c r="J235" s="103">
        <f t="shared" si="299"/>
        <v>7.8280735935429497E-4</v>
      </c>
      <c r="K235" s="103">
        <f t="shared" si="299"/>
        <v>3.0321108903022778E-3</v>
      </c>
      <c r="L235" s="103">
        <f t="shared" ref="L235" si="300">IF(L17=0,0,L17/L$4)</f>
        <v>4.1931408149506336E-3</v>
      </c>
      <c r="M235" s="103">
        <f t="shared" ref="M235:V235" si="301">IF(M17=0,0,M17/M$4)</f>
        <v>4.5292960624456827E-3</v>
      </c>
      <c r="N235" s="103">
        <f t="shared" si="301"/>
        <v>4.928916568641647E-3</v>
      </c>
      <c r="O235" s="103">
        <f t="shared" si="301"/>
        <v>6.0560063728501397E-3</v>
      </c>
      <c r="P235" s="103">
        <f t="shared" si="301"/>
        <v>6.5201572762901353E-3</v>
      </c>
      <c r="Q235" s="103">
        <f t="shared" si="301"/>
        <v>6.4513415098241952E-3</v>
      </c>
      <c r="R235" s="103">
        <f t="shared" si="301"/>
        <v>4.8521721332195466E-3</v>
      </c>
      <c r="S235" s="103">
        <f t="shared" si="301"/>
        <v>4.6683046567509087E-3</v>
      </c>
      <c r="T235" s="103">
        <f t="shared" si="301"/>
        <v>4.4001662517071305E-3</v>
      </c>
      <c r="U235" s="103">
        <f t="shared" si="301"/>
        <v>5.1318885998567522E-3</v>
      </c>
      <c r="V235" s="103">
        <f t="shared" si="301"/>
        <v>5.8384380590334401E-3</v>
      </c>
      <c r="W235" s="103">
        <f t="shared" ref="W235:Y235" si="302">IF(W17=0,0,W17/W$4)</f>
        <v>5.3459100513799157E-3</v>
      </c>
      <c r="X235" s="103">
        <f t="shared" si="302"/>
        <v>5.7653455507945964E-3</v>
      </c>
      <c r="Y235" s="103">
        <f t="shared" si="302"/>
        <v>5.4096013327152468E-3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1.2594485290241769E-3</v>
      </c>
      <c r="C236" s="103">
        <f t="shared" si="303"/>
        <v>1.2055001386492652E-3</v>
      </c>
      <c r="D236" s="103">
        <f t="shared" si="303"/>
        <v>1.1400126086581475E-3</v>
      </c>
      <c r="E236" s="103">
        <f t="shared" si="303"/>
        <v>1.1072845338016954E-3</v>
      </c>
      <c r="F236" s="103">
        <f t="shared" si="303"/>
        <v>1.0585501671808092E-3</v>
      </c>
      <c r="G236" s="103">
        <f t="shared" si="303"/>
        <v>1.0437335313041292E-3</v>
      </c>
      <c r="H236" s="103">
        <f t="shared" si="303"/>
        <v>1.0916243161844049E-3</v>
      </c>
      <c r="I236" s="103">
        <f t="shared" si="303"/>
        <v>9.5172414021768537E-4</v>
      </c>
      <c r="J236" s="103">
        <f t="shared" si="303"/>
        <v>9.4007381258212077E-4</v>
      </c>
      <c r="K236" s="103">
        <f t="shared" si="303"/>
        <v>9.7841116563980005E-4</v>
      </c>
      <c r="L236" s="103">
        <f t="shared" ref="L236" si="304">IF(L18=0,0,L18/L$4)</f>
        <v>9.8226957270244972E-4</v>
      </c>
      <c r="M236" s="103">
        <f t="shared" ref="M236:V236" si="305">IF(M18=0,0,M18/M$4)</f>
        <v>1.0259765476453118E-3</v>
      </c>
      <c r="N236" s="103">
        <f t="shared" si="305"/>
        <v>1.1013972716712294E-3</v>
      </c>
      <c r="O236" s="103">
        <f t="shared" si="305"/>
        <v>1.2045526807685561E-3</v>
      </c>
      <c r="P236" s="103">
        <f t="shared" si="305"/>
        <v>1.1065107089200817E-3</v>
      </c>
      <c r="Q236" s="103">
        <f t="shared" si="305"/>
        <v>1.14058650988934E-3</v>
      </c>
      <c r="R236" s="103">
        <f t="shared" si="305"/>
        <v>1.2056746219961116E-3</v>
      </c>
      <c r="S236" s="103">
        <f t="shared" si="305"/>
        <v>1.1393612185073322E-3</v>
      </c>
      <c r="T236" s="103">
        <f t="shared" si="305"/>
        <v>1.2011633256806273E-3</v>
      </c>
      <c r="U236" s="103">
        <f t="shared" si="305"/>
        <v>1.2435204499833747E-3</v>
      </c>
      <c r="V236" s="103">
        <f t="shared" si="305"/>
        <v>1.3151681322987033E-3</v>
      </c>
      <c r="W236" s="103">
        <f t="shared" ref="W236:Y236" si="306">IF(W18=0,0,W18/W$4)</f>
        <v>1.2926672490558354E-3</v>
      </c>
      <c r="X236" s="103">
        <f t="shared" si="306"/>
        <v>1.6857417193099299E-3</v>
      </c>
      <c r="Y236" s="103">
        <f t="shared" si="306"/>
        <v>2.1946259178112241E-3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9.8575573084313355E-3</v>
      </c>
      <c r="C238" s="154">
        <f t="shared" si="311"/>
        <v>9.9730488193393203E-3</v>
      </c>
      <c r="D238" s="154">
        <f t="shared" si="311"/>
        <v>9.9505888709837415E-3</v>
      </c>
      <c r="E238" s="154">
        <f t="shared" si="311"/>
        <v>9.9482834198675943E-3</v>
      </c>
      <c r="F238" s="154">
        <f t="shared" si="311"/>
        <v>9.4767696870398151E-3</v>
      </c>
      <c r="G238" s="154">
        <f t="shared" si="311"/>
        <v>9.5151354500617492E-3</v>
      </c>
      <c r="H238" s="154">
        <f t="shared" si="311"/>
        <v>8.9356204556997436E-3</v>
      </c>
      <c r="I238" s="154">
        <f t="shared" si="311"/>
        <v>8.4436337106607012E-3</v>
      </c>
      <c r="J238" s="154">
        <f t="shared" si="311"/>
        <v>7.9190342416696532E-3</v>
      </c>
      <c r="K238" s="154">
        <f t="shared" si="311"/>
        <v>9.106271978229068E-3</v>
      </c>
      <c r="L238" s="154">
        <f t="shared" ref="L238" si="312">IF(L20=0,0,L20/L$19)</f>
        <v>8.7259336067659517E-3</v>
      </c>
      <c r="M238" s="154">
        <f t="shared" ref="M238:V238" si="313">IF(M20=0,0,M20/M$19)</f>
        <v>8.6206422353540414E-3</v>
      </c>
      <c r="N238" s="154">
        <f t="shared" si="313"/>
        <v>8.899282929595265E-3</v>
      </c>
      <c r="O238" s="154">
        <f t="shared" si="313"/>
        <v>9.0912874804093477E-3</v>
      </c>
      <c r="P238" s="154">
        <f t="shared" si="313"/>
        <v>9.2440471559871208E-3</v>
      </c>
      <c r="Q238" s="154">
        <f t="shared" si="313"/>
        <v>9.13264938774987E-3</v>
      </c>
      <c r="R238" s="154">
        <f t="shared" si="313"/>
        <v>9.0222591218800385E-3</v>
      </c>
      <c r="S238" s="154">
        <f t="shared" si="313"/>
        <v>8.6907221545426371E-3</v>
      </c>
      <c r="T238" s="154">
        <f t="shared" si="313"/>
        <v>8.8499662125902361E-3</v>
      </c>
      <c r="U238" s="154">
        <f t="shared" si="313"/>
        <v>8.9783368017096153E-3</v>
      </c>
      <c r="V238" s="154">
        <f t="shared" si="313"/>
        <v>9.129786233382271E-3</v>
      </c>
      <c r="W238" s="154">
        <f t="shared" ref="W238:Y238" si="314">IF(W20=0,0,W20/W$19)</f>
        <v>9.2255865874824785E-3</v>
      </c>
      <c r="X238" s="154">
        <f t="shared" si="314"/>
        <v>9.4588300565650665E-3</v>
      </c>
      <c r="Y238" s="154">
        <f t="shared" si="314"/>
        <v>1.0133838397885701E-2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1.1594775177369402E-3</v>
      </c>
      <c r="C239" s="103">
        <f t="shared" si="315"/>
        <v>1.0217071585239029E-3</v>
      </c>
      <c r="D239" s="103">
        <f t="shared" si="315"/>
        <v>6.74447383894588E-4</v>
      </c>
      <c r="E239" s="103">
        <f t="shared" si="315"/>
        <v>5.7855118784799547E-4</v>
      </c>
      <c r="F239" s="103">
        <f t="shared" si="315"/>
        <v>4.7931515154123796E-4</v>
      </c>
      <c r="G239" s="103">
        <f t="shared" si="315"/>
        <v>4.297621821769295E-4</v>
      </c>
      <c r="H239" s="103">
        <f t="shared" si="315"/>
        <v>3.7425657652520074E-4</v>
      </c>
      <c r="I239" s="103">
        <f t="shared" si="315"/>
        <v>3.341041037634136E-4</v>
      </c>
      <c r="J239" s="103">
        <f t="shared" si="315"/>
        <v>2.9967134114615066E-4</v>
      </c>
      <c r="K239" s="103">
        <f t="shared" si="315"/>
        <v>3.4206116011617493E-4</v>
      </c>
      <c r="L239" s="103">
        <f t="shared" ref="L239" si="316">IF(L21=0,0,L21/L$19)</f>
        <v>3.2039363175212992E-4</v>
      </c>
      <c r="M239" s="103">
        <f t="shared" ref="M239:V239" si="317">IF(M21=0,0,M21/M$19)</f>
        <v>3.2104943140962965E-4</v>
      </c>
      <c r="N239" s="103">
        <f t="shared" si="317"/>
        <v>3.3724680296757549E-4</v>
      </c>
      <c r="O239" s="103">
        <f t="shared" si="317"/>
        <v>3.3437664072049494E-4</v>
      </c>
      <c r="P239" s="103">
        <f t="shared" si="317"/>
        <v>3.3947061010742202E-4</v>
      </c>
      <c r="Q239" s="103">
        <f t="shared" si="317"/>
        <v>3.3914574583472304E-4</v>
      </c>
      <c r="R239" s="103">
        <f t="shared" si="317"/>
        <v>3.2800948218621162E-4</v>
      </c>
      <c r="S239" s="103">
        <f t="shared" si="317"/>
        <v>3.167243919559119E-4</v>
      </c>
      <c r="T239" s="103">
        <f t="shared" si="317"/>
        <v>3.2928178790969182E-4</v>
      </c>
      <c r="U239" s="103">
        <f t="shared" si="317"/>
        <v>3.251618833524336E-4</v>
      </c>
      <c r="V239" s="103">
        <f t="shared" si="317"/>
        <v>3.2005381541726587E-4</v>
      </c>
      <c r="W239" s="103">
        <f t="shared" ref="W239:Y239" si="318">IF(W21=0,0,W21/W$19)</f>
        <v>3.0749989733167617E-4</v>
      </c>
      <c r="X239" s="103">
        <f t="shared" si="318"/>
        <v>3.2533110851584973E-4</v>
      </c>
      <c r="Y239" s="103">
        <f t="shared" si="318"/>
        <v>3.5465032459242404E-4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8.6974489322571673E-3</v>
      </c>
      <c r="C240" s="103">
        <f t="shared" si="319"/>
        <v>8.9505410742223585E-3</v>
      </c>
      <c r="D240" s="103">
        <f t="shared" si="319"/>
        <v>9.2754638351211383E-3</v>
      </c>
      <c r="E240" s="103">
        <f t="shared" si="319"/>
        <v>9.3688767610284468E-3</v>
      </c>
      <c r="F240" s="103">
        <f t="shared" si="319"/>
        <v>8.9963571671687372E-3</v>
      </c>
      <c r="G240" s="103">
        <f t="shared" si="319"/>
        <v>9.0825846682953265E-3</v>
      </c>
      <c r="H240" s="103">
        <f t="shared" si="319"/>
        <v>8.5576414760330198E-3</v>
      </c>
      <c r="I240" s="103">
        <f t="shared" si="319"/>
        <v>8.1048218357704285E-3</v>
      </c>
      <c r="J240" s="103">
        <f t="shared" si="319"/>
        <v>7.6134992880626234E-3</v>
      </c>
      <c r="K240" s="103">
        <f t="shared" si="319"/>
        <v>8.7593178939266662E-3</v>
      </c>
      <c r="L240" s="103">
        <f t="shared" ref="L240" si="320">IF(L22=0,0,L22/L$19)</f>
        <v>8.4006240330151815E-3</v>
      </c>
      <c r="M240" s="103">
        <f t="shared" ref="M240:V240" si="321">IF(M22=0,0,M22/M$19)</f>
        <v>8.2939989276533451E-3</v>
      </c>
      <c r="N240" s="103">
        <f t="shared" si="321"/>
        <v>8.5504582027861806E-3</v>
      </c>
      <c r="O240" s="103">
        <f t="shared" si="321"/>
        <v>8.7296813692701297E-3</v>
      </c>
      <c r="P240" s="103">
        <f t="shared" si="321"/>
        <v>8.8733590168732397E-3</v>
      </c>
      <c r="Q240" s="103">
        <f t="shared" si="321"/>
        <v>8.7591532869524258E-3</v>
      </c>
      <c r="R240" s="103">
        <f t="shared" si="321"/>
        <v>8.643062763146362E-3</v>
      </c>
      <c r="S240" s="103">
        <f t="shared" si="321"/>
        <v>8.323455338936598E-3</v>
      </c>
      <c r="T240" s="103">
        <f t="shared" si="321"/>
        <v>8.4636758273382347E-3</v>
      </c>
      <c r="U240" s="103">
        <f t="shared" si="321"/>
        <v>8.5908795973369499E-3</v>
      </c>
      <c r="V240" s="103">
        <f t="shared" si="321"/>
        <v>8.7386962559587496E-3</v>
      </c>
      <c r="W240" s="103">
        <f t="shared" ref="W240:Y240" si="322">IF(W22=0,0,W22/W$19)</f>
        <v>8.8197369073491089E-3</v>
      </c>
      <c r="X240" s="103">
        <f t="shared" si="322"/>
        <v>9.0082149347054542E-3</v>
      </c>
      <c r="Y240" s="103">
        <f t="shared" si="322"/>
        <v>9.6036833638079248E-3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2.1504197640664341E-7</v>
      </c>
      <c r="F241" s="103">
        <f t="shared" si="323"/>
        <v>5.3989264748044325E-7</v>
      </c>
      <c r="G241" s="103">
        <f t="shared" si="323"/>
        <v>2.2867613599323474E-6</v>
      </c>
      <c r="H241" s="103">
        <f t="shared" si="323"/>
        <v>2.0188905083906708E-6</v>
      </c>
      <c r="I241" s="103">
        <f t="shared" si="323"/>
        <v>1.8409690869854675E-6</v>
      </c>
      <c r="J241" s="103">
        <f t="shared" si="323"/>
        <v>1.6430594692124653E-6</v>
      </c>
      <c r="K241" s="103">
        <f t="shared" si="323"/>
        <v>1.7808118489919064E-6</v>
      </c>
      <c r="L241" s="103">
        <f t="shared" ref="L241" si="324">IF(L23=0,0,L23/L$19)</f>
        <v>1.5766707980301529E-6</v>
      </c>
      <c r="M241" s="103">
        <f t="shared" ref="M241:V241" si="325">IF(M23=0,0,M23/M$19)</f>
        <v>1.4193729082532382E-6</v>
      </c>
      <c r="N241" s="103">
        <f t="shared" si="325"/>
        <v>1.5413882412634973E-6</v>
      </c>
      <c r="O241" s="103">
        <f t="shared" si="325"/>
        <v>1.6320685595148698E-6</v>
      </c>
      <c r="P241" s="103">
        <f t="shared" si="325"/>
        <v>1.8149577771781539E-6</v>
      </c>
      <c r="Q241" s="103">
        <f t="shared" si="325"/>
        <v>1.8250286491958551E-6</v>
      </c>
      <c r="R241" s="103">
        <f t="shared" si="325"/>
        <v>2.7353485640774894E-6</v>
      </c>
      <c r="S241" s="103">
        <f t="shared" si="325"/>
        <v>2.6798496613486352E-6</v>
      </c>
      <c r="T241" s="103">
        <f t="shared" si="325"/>
        <v>2.6931109419530411E-6</v>
      </c>
      <c r="U241" s="103">
        <f t="shared" si="325"/>
        <v>2.9111387250428321E-6</v>
      </c>
      <c r="V241" s="103">
        <f t="shared" si="325"/>
        <v>3.363728481611584E-6</v>
      </c>
      <c r="W241" s="103">
        <f t="shared" ref="W241:Y241" si="326">IF(W23=0,0,W23/W$19)</f>
        <v>3.6364746124218593E-6</v>
      </c>
      <c r="X241" s="103">
        <f t="shared" si="326"/>
        <v>3.953117736487079E-6</v>
      </c>
      <c r="Y241" s="103">
        <f t="shared" si="326"/>
        <v>4.380601899073056E-6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1.2824934970857829E-6</v>
      </c>
      <c r="I242" s="103">
        <f t="shared" si="327"/>
        <v>2.373621183915078E-6</v>
      </c>
      <c r="J242" s="103">
        <f t="shared" si="327"/>
        <v>3.7076027323296318E-6</v>
      </c>
      <c r="K242" s="103">
        <f t="shared" si="327"/>
        <v>2.2553906518655284E-6</v>
      </c>
      <c r="L242" s="103">
        <f t="shared" ref="L242" si="328">IF(L24=0,0,L24/L$19)</f>
        <v>2.0982673798739667E-6</v>
      </c>
      <c r="M242" s="103">
        <f t="shared" ref="M242:V242" si="329">IF(M24=0,0,M24/M$19)</f>
        <v>2.2742250003015876E-6</v>
      </c>
      <c r="N242" s="103">
        <f t="shared" si="329"/>
        <v>3.1143163777240374E-6</v>
      </c>
      <c r="O242" s="103">
        <f t="shared" si="329"/>
        <v>1.4642806504408269E-5</v>
      </c>
      <c r="P242" s="103">
        <f t="shared" si="329"/>
        <v>1.5314713573692366E-5</v>
      </c>
      <c r="Q242" s="103">
        <f t="shared" si="329"/>
        <v>1.4918844615558893E-5</v>
      </c>
      <c r="R242" s="103">
        <f t="shared" si="329"/>
        <v>2.5223536118964461E-5</v>
      </c>
      <c r="S242" s="103">
        <f t="shared" si="329"/>
        <v>2.2382777492042925E-5</v>
      </c>
      <c r="T242" s="103">
        <f t="shared" si="329"/>
        <v>2.2781101444926743E-5</v>
      </c>
      <c r="U242" s="103">
        <f t="shared" si="329"/>
        <v>2.1676044301851986E-5</v>
      </c>
      <c r="V242" s="103">
        <f t="shared" si="329"/>
        <v>1.9838304936817518E-5</v>
      </c>
      <c r="W242" s="103">
        <f t="shared" ref="W242:Y242" si="330">IF(W24=0,0,W24/W$19)</f>
        <v>1.7856663913732167E-5</v>
      </c>
      <c r="X242" s="103">
        <f t="shared" si="330"/>
        <v>1.6626802580367365E-5</v>
      </c>
      <c r="Y242" s="103">
        <f t="shared" si="330"/>
        <v>1.5929845247724148E-5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6.3085843722856789E-7</v>
      </c>
      <c r="C243" s="103">
        <f t="shared" si="331"/>
        <v>8.0058659305944157E-7</v>
      </c>
      <c r="D243" s="103">
        <f t="shared" si="331"/>
        <v>6.7765196801497801E-7</v>
      </c>
      <c r="E243" s="103">
        <f t="shared" si="331"/>
        <v>6.4042901474701746E-7</v>
      </c>
      <c r="F243" s="103">
        <f t="shared" si="331"/>
        <v>5.5747568236065503E-7</v>
      </c>
      <c r="G243" s="103">
        <f t="shared" si="331"/>
        <v>5.0183822956027141E-7</v>
      </c>
      <c r="H243" s="103">
        <f t="shared" si="331"/>
        <v>4.2101913604598995E-7</v>
      </c>
      <c r="I243" s="103">
        <f t="shared" si="331"/>
        <v>4.9318085595978193E-7</v>
      </c>
      <c r="J243" s="103">
        <f t="shared" si="331"/>
        <v>5.1295025933952181E-7</v>
      </c>
      <c r="K243" s="103">
        <f t="shared" si="331"/>
        <v>8.5672168537131699E-7</v>
      </c>
      <c r="L243" s="103">
        <f t="shared" ref="L243" si="332">IF(L25=0,0,L25/L$19)</f>
        <v>1.2410038207375901E-6</v>
      </c>
      <c r="M243" s="103">
        <f t="shared" ref="M243:V243" si="333">IF(M25=0,0,M25/M$19)</f>
        <v>1.9002783825127022E-6</v>
      </c>
      <c r="N243" s="103">
        <f t="shared" si="333"/>
        <v>6.9222192225203231E-6</v>
      </c>
      <c r="O243" s="103">
        <f t="shared" si="333"/>
        <v>1.0954595354800802E-5</v>
      </c>
      <c r="P243" s="103">
        <f t="shared" si="333"/>
        <v>1.4087857655589092E-5</v>
      </c>
      <c r="Q243" s="103">
        <f t="shared" si="333"/>
        <v>1.7606481697967732E-5</v>
      </c>
      <c r="R243" s="103">
        <f t="shared" si="333"/>
        <v>2.3227991864424072E-5</v>
      </c>
      <c r="S243" s="103">
        <f t="shared" si="333"/>
        <v>2.5479796496735545E-5</v>
      </c>
      <c r="T243" s="103">
        <f t="shared" si="333"/>
        <v>3.1534384955428598E-5</v>
      </c>
      <c r="U243" s="103">
        <f t="shared" si="333"/>
        <v>3.7708137993339092E-5</v>
      </c>
      <c r="V243" s="103">
        <f t="shared" si="333"/>
        <v>4.7834128587827774E-5</v>
      </c>
      <c r="W243" s="103">
        <f t="shared" ref="W243:Y243" si="334">IF(W25=0,0,W25/W$19)</f>
        <v>7.685664427553937E-5</v>
      </c>
      <c r="X243" s="103">
        <f t="shared" si="334"/>
        <v>1.0470409302690814E-4</v>
      </c>
      <c r="Y243" s="103">
        <f t="shared" si="334"/>
        <v>1.5519426233855614E-4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0.9901424426915687</v>
      </c>
      <c r="C244" s="156">
        <f t="shared" si="335"/>
        <v>0.99002695118066075</v>
      </c>
      <c r="D244" s="156">
        <f t="shared" si="335"/>
        <v>0.99004941112901634</v>
      </c>
      <c r="E244" s="156">
        <f t="shared" si="335"/>
        <v>0.99005171658013247</v>
      </c>
      <c r="F244" s="156">
        <f t="shared" si="335"/>
        <v>0.99052323031296019</v>
      </c>
      <c r="G244" s="156">
        <f t="shared" si="335"/>
        <v>0.99048486454993823</v>
      </c>
      <c r="H244" s="156">
        <f t="shared" si="335"/>
        <v>0.99106437954430016</v>
      </c>
      <c r="I244" s="156">
        <f t="shared" si="335"/>
        <v>0.99155636628933941</v>
      </c>
      <c r="J244" s="156">
        <f t="shared" si="335"/>
        <v>0.99208096575833038</v>
      </c>
      <c r="K244" s="156">
        <f t="shared" si="335"/>
        <v>0.990893728021771</v>
      </c>
      <c r="L244" s="156">
        <f t="shared" ref="L244" si="336">IF(L26=0,0,L26/L$19)</f>
        <v>0.99127406639323401</v>
      </c>
      <c r="M244" s="156">
        <f t="shared" ref="M244:V244" si="337">IF(M26=0,0,M26/M$19)</f>
        <v>0.99137935776464592</v>
      </c>
      <c r="N244" s="156">
        <f t="shared" si="337"/>
        <v>0.9911007170704047</v>
      </c>
      <c r="O244" s="156">
        <f t="shared" si="337"/>
        <v>0.99090871251959067</v>
      </c>
      <c r="P244" s="156">
        <f t="shared" si="337"/>
        <v>0.99075595284401285</v>
      </c>
      <c r="Q244" s="156">
        <f t="shared" si="337"/>
        <v>0.99086735061225018</v>
      </c>
      <c r="R244" s="156">
        <f t="shared" si="337"/>
        <v>0.99097774087811996</v>
      </c>
      <c r="S244" s="156">
        <f t="shared" si="337"/>
        <v>0.9913092778454573</v>
      </c>
      <c r="T244" s="156">
        <f t="shared" si="337"/>
        <v>0.99115003378740973</v>
      </c>
      <c r="U244" s="156">
        <f t="shared" si="337"/>
        <v>0.99102166319829044</v>
      </c>
      <c r="V244" s="156">
        <f t="shared" si="337"/>
        <v>0.99087021376661766</v>
      </c>
      <c r="W244" s="156">
        <f t="shared" ref="W244:Y244" si="338">IF(W26=0,0,W26/W$19)</f>
        <v>0.99077441341251749</v>
      </c>
      <c r="X244" s="156">
        <f t="shared" si="338"/>
        <v>0.99054116994343488</v>
      </c>
      <c r="Y244" s="156">
        <f t="shared" si="338"/>
        <v>0.98986616160211427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0.45898062428048469</v>
      </c>
      <c r="C245" s="103">
        <f t="shared" si="339"/>
        <v>0.44332335530155131</v>
      </c>
      <c r="D245" s="103">
        <f t="shared" si="339"/>
        <v>0.43340544342248194</v>
      </c>
      <c r="E245" s="103">
        <f t="shared" si="339"/>
        <v>0.43659103481379108</v>
      </c>
      <c r="F245" s="103">
        <f t="shared" si="339"/>
        <v>0.38845738153069354</v>
      </c>
      <c r="G245" s="103">
        <f t="shared" si="339"/>
        <v>0.38277946514544625</v>
      </c>
      <c r="H245" s="103">
        <f t="shared" si="339"/>
        <v>0.40371883425199223</v>
      </c>
      <c r="I245" s="103">
        <f t="shared" si="339"/>
        <v>0.37925831915264252</v>
      </c>
      <c r="J245" s="103">
        <f t="shared" si="339"/>
        <v>0.3518648810947797</v>
      </c>
      <c r="K245" s="103">
        <f t="shared" si="339"/>
        <v>0.37415412208401777</v>
      </c>
      <c r="L245" s="103">
        <f t="shared" ref="L245" si="340">IF(L27=0,0,L27/L$19)</f>
        <v>0.36429118121196546</v>
      </c>
      <c r="M245" s="103">
        <f t="shared" ref="M245:V245" si="341">IF(M27=0,0,M27/M$19)</f>
        <v>0.36721818541229367</v>
      </c>
      <c r="N245" s="103">
        <f t="shared" si="341"/>
        <v>0.36802771106384585</v>
      </c>
      <c r="O245" s="103">
        <f t="shared" si="341"/>
        <v>0.35595334688359886</v>
      </c>
      <c r="P245" s="103">
        <f t="shared" si="341"/>
        <v>0.36755184278205921</v>
      </c>
      <c r="Q245" s="103">
        <f t="shared" si="341"/>
        <v>0.37010725440017583</v>
      </c>
      <c r="R245" s="103">
        <f t="shared" si="341"/>
        <v>0.37943781742379751</v>
      </c>
      <c r="S245" s="103">
        <f t="shared" si="341"/>
        <v>0.36366697625316363</v>
      </c>
      <c r="T245" s="103">
        <f t="shared" si="341"/>
        <v>0.36237758141628656</v>
      </c>
      <c r="U245" s="103">
        <f t="shared" si="341"/>
        <v>0.3632643957011138</v>
      </c>
      <c r="V245" s="103">
        <f t="shared" si="341"/>
        <v>0.3605445771121345</v>
      </c>
      <c r="W245" s="103">
        <f t="shared" ref="W245:Y245" si="342">IF(W27=0,0,W27/W$19)</f>
        <v>0.3582581401319585</v>
      </c>
      <c r="X245" s="103">
        <f t="shared" si="342"/>
        <v>0.3482626884056213</v>
      </c>
      <c r="Y245" s="103">
        <f t="shared" si="342"/>
        <v>0.34538263093157745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0.5311618184110839</v>
      </c>
      <c r="C246" s="105">
        <f t="shared" si="343"/>
        <v>0.54670359587910944</v>
      </c>
      <c r="D246" s="105">
        <f t="shared" si="343"/>
        <v>0.55664396770653435</v>
      </c>
      <c r="E246" s="105">
        <f t="shared" si="343"/>
        <v>0.55346068176634133</v>
      </c>
      <c r="F246" s="105">
        <f t="shared" si="343"/>
        <v>0.60206584878226665</v>
      </c>
      <c r="G246" s="105">
        <f t="shared" si="343"/>
        <v>0.60770539940449197</v>
      </c>
      <c r="H246" s="105">
        <f t="shared" si="343"/>
        <v>0.58734554529230798</v>
      </c>
      <c r="I246" s="105">
        <f t="shared" si="343"/>
        <v>0.61229804713669689</v>
      </c>
      <c r="J246" s="105">
        <f t="shared" si="343"/>
        <v>0.64021608466355073</v>
      </c>
      <c r="K246" s="105">
        <f t="shared" si="343"/>
        <v>0.61673960593775334</v>
      </c>
      <c r="L246" s="105">
        <f t="shared" ref="L246" si="344">IF(L28=0,0,L28/L$19)</f>
        <v>0.62698288518126855</v>
      </c>
      <c r="M246" s="105">
        <f t="shared" ref="M246:V246" si="345">IF(M28=0,0,M28/M$19)</f>
        <v>0.62416117235235224</v>
      </c>
      <c r="N246" s="105">
        <f t="shared" si="345"/>
        <v>0.6230730060065589</v>
      </c>
      <c r="O246" s="105">
        <f t="shared" si="345"/>
        <v>0.63495536563599186</v>
      </c>
      <c r="P246" s="105">
        <f t="shared" si="345"/>
        <v>0.62320411006195364</v>
      </c>
      <c r="Q246" s="105">
        <f t="shared" si="345"/>
        <v>0.6207600962120744</v>
      </c>
      <c r="R246" s="105">
        <f t="shared" si="345"/>
        <v>0.61153992345432251</v>
      </c>
      <c r="S246" s="105">
        <f t="shared" si="345"/>
        <v>0.62764230159229373</v>
      </c>
      <c r="T246" s="105">
        <f t="shared" si="345"/>
        <v>0.62877245237112322</v>
      </c>
      <c r="U246" s="105">
        <f t="shared" si="345"/>
        <v>0.62775726749717664</v>
      </c>
      <c r="V246" s="105">
        <f t="shared" si="345"/>
        <v>0.63032563665448316</v>
      </c>
      <c r="W246" s="105">
        <f t="shared" ref="W246:Y246" si="346">IF(W28=0,0,W28/W$19)</f>
        <v>0.63251627328055893</v>
      </c>
      <c r="X246" s="105">
        <f t="shared" si="346"/>
        <v>0.64227848153781364</v>
      </c>
      <c r="Y246" s="105">
        <f t="shared" si="346"/>
        <v>0.64448353067053687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1.6077193498777027E-2</v>
      </c>
      <c r="C250" s="154">
        <f t="shared" si="351"/>
        <v>1.6281071613278957E-2</v>
      </c>
      <c r="D250" s="154">
        <f t="shared" si="351"/>
        <v>1.6433200776079147E-2</v>
      </c>
      <c r="E250" s="154">
        <f t="shared" si="351"/>
        <v>1.6620346467764436E-2</v>
      </c>
      <c r="F250" s="154">
        <f t="shared" si="351"/>
        <v>1.7312610662994297E-2</v>
      </c>
      <c r="G250" s="154">
        <f t="shared" si="351"/>
        <v>1.7533303162393692E-2</v>
      </c>
      <c r="H250" s="154">
        <f t="shared" si="351"/>
        <v>1.7966478441431951E-2</v>
      </c>
      <c r="I250" s="154">
        <f t="shared" si="351"/>
        <v>1.8328476491861589E-2</v>
      </c>
      <c r="J250" s="154">
        <f t="shared" si="351"/>
        <v>1.9674045087199218E-2</v>
      </c>
      <c r="K250" s="154">
        <f t="shared" si="351"/>
        <v>2.0562587285011199E-2</v>
      </c>
      <c r="L250" s="154">
        <f t="shared" ref="L250" si="352">IF(L32=0,0,L32/L$31)</f>
        <v>2.0977516019285346E-2</v>
      </c>
      <c r="M250" s="154">
        <f t="shared" ref="M250:V250" si="353">IF(M32=0,0,M32/M$31)</f>
        <v>2.1379961495924839E-2</v>
      </c>
      <c r="N250" s="154">
        <f t="shared" si="353"/>
        <v>2.2483627403407595E-2</v>
      </c>
      <c r="O250" s="154">
        <f t="shared" si="353"/>
        <v>2.2683513007194553E-2</v>
      </c>
      <c r="P250" s="154">
        <f t="shared" si="353"/>
        <v>2.2766828288145975E-2</v>
      </c>
      <c r="Q250" s="154">
        <f t="shared" si="353"/>
        <v>2.3049351945383094E-2</v>
      </c>
      <c r="R250" s="154">
        <f t="shared" si="353"/>
        <v>2.3113085550848313E-2</v>
      </c>
      <c r="S250" s="154">
        <f t="shared" si="353"/>
        <v>2.151819186753123E-2</v>
      </c>
      <c r="T250" s="154">
        <f t="shared" si="353"/>
        <v>2.0198850821462885E-2</v>
      </c>
      <c r="U250" s="154">
        <f t="shared" si="353"/>
        <v>2.1262824475945286E-2</v>
      </c>
      <c r="V250" s="154">
        <f t="shared" si="353"/>
        <v>2.2647637208314027E-2</v>
      </c>
      <c r="W250" s="154">
        <f t="shared" ref="W250:Y250" si="354">IF(W32=0,0,W32/W$31)</f>
        <v>2.2389340311175576E-2</v>
      </c>
      <c r="X250" s="154">
        <f t="shared" si="354"/>
        <v>2.119161256159291E-2</v>
      </c>
      <c r="Y250" s="154">
        <f t="shared" si="354"/>
        <v>2.228751470008258E-2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0.97584742188859919</v>
      </c>
      <c r="C251" s="156">
        <f t="shared" si="355"/>
        <v>0.97563081553375819</v>
      </c>
      <c r="D251" s="156">
        <f t="shared" si="355"/>
        <v>0.97532783839940551</v>
      </c>
      <c r="E251" s="156">
        <f t="shared" si="355"/>
        <v>0.97498033257592986</v>
      </c>
      <c r="F251" s="156">
        <f t="shared" si="355"/>
        <v>0.97441788347332581</v>
      </c>
      <c r="G251" s="156">
        <f t="shared" si="355"/>
        <v>0.97433477431423809</v>
      </c>
      <c r="H251" s="156">
        <f t="shared" si="355"/>
        <v>0.9740681484599597</v>
      </c>
      <c r="I251" s="156">
        <f t="shared" si="355"/>
        <v>0.97338933171834885</v>
      </c>
      <c r="J251" s="156">
        <f t="shared" si="355"/>
        <v>0.97201705299333585</v>
      </c>
      <c r="K251" s="156">
        <f t="shared" si="355"/>
        <v>0.97170369588169347</v>
      </c>
      <c r="L251" s="156">
        <f t="shared" ref="L251" si="356">IF(L33=0,0,L33/L$31)</f>
        <v>0.97070509906103275</v>
      </c>
      <c r="M251" s="156">
        <f t="shared" ref="M251:V251" si="357">IF(M33=0,0,M33/M$31)</f>
        <v>0.97045344137720957</v>
      </c>
      <c r="N251" s="156">
        <f t="shared" si="357"/>
        <v>0.96932116391339318</v>
      </c>
      <c r="O251" s="156">
        <f t="shared" si="357"/>
        <v>0.96919450814692654</v>
      </c>
      <c r="P251" s="156">
        <f t="shared" si="357"/>
        <v>0.96909173945266003</v>
      </c>
      <c r="Q251" s="156">
        <f t="shared" si="357"/>
        <v>0.96886797608653097</v>
      </c>
      <c r="R251" s="156">
        <f t="shared" si="357"/>
        <v>0.96882524282999705</v>
      </c>
      <c r="S251" s="156">
        <f t="shared" si="357"/>
        <v>0.97032815837158704</v>
      </c>
      <c r="T251" s="156">
        <f t="shared" si="357"/>
        <v>0.9720859433311535</v>
      </c>
      <c r="U251" s="156">
        <f t="shared" si="357"/>
        <v>0.97115673759640075</v>
      </c>
      <c r="V251" s="156">
        <f t="shared" si="357"/>
        <v>0.96837588553660903</v>
      </c>
      <c r="W251" s="156">
        <f t="shared" ref="W251:Y251" si="358">IF(W33=0,0,W33/W$31)</f>
        <v>0.96907920221206234</v>
      </c>
      <c r="X251" s="156">
        <f t="shared" si="358"/>
        <v>0.9709400356037603</v>
      </c>
      <c r="Y251" s="156">
        <f t="shared" si="358"/>
        <v>0.97003931885474193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0.54806243366935736</v>
      </c>
      <c r="C252" s="103">
        <f t="shared" si="359"/>
        <v>0.53379336410212452</v>
      </c>
      <c r="D252" s="103">
        <f t="shared" si="359"/>
        <v>0.50515354931416712</v>
      </c>
      <c r="E252" s="103">
        <f t="shared" si="359"/>
        <v>0.47747741880682298</v>
      </c>
      <c r="F252" s="103">
        <f t="shared" si="359"/>
        <v>0.45513920752177839</v>
      </c>
      <c r="G252" s="103">
        <f t="shared" si="359"/>
        <v>0.42845456198823567</v>
      </c>
      <c r="H252" s="103">
        <f t="shared" si="359"/>
        <v>0.40940326450090248</v>
      </c>
      <c r="I252" s="103">
        <f t="shared" si="359"/>
        <v>0.38968407751480233</v>
      </c>
      <c r="J252" s="103">
        <f t="shared" si="359"/>
        <v>0.38339601931598477</v>
      </c>
      <c r="K252" s="103">
        <f t="shared" si="359"/>
        <v>0.37260471706895676</v>
      </c>
      <c r="L252" s="103">
        <f t="shared" ref="L252" si="360">IF(L34=0,0,L34/L$31)</f>
        <v>0.37096313895540511</v>
      </c>
      <c r="M252" s="103">
        <f t="shared" ref="M252:V252" si="361">IF(M34=0,0,M34/M$31)</f>
        <v>0.35230671357871729</v>
      </c>
      <c r="N252" s="103">
        <f t="shared" si="361"/>
        <v>0.34852893750951119</v>
      </c>
      <c r="O252" s="103">
        <f t="shared" si="361"/>
        <v>0.33855345214442084</v>
      </c>
      <c r="P252" s="103">
        <f t="shared" si="361"/>
        <v>0.32284862694092559</v>
      </c>
      <c r="Q252" s="103">
        <f t="shared" si="361"/>
        <v>0.31148849616966057</v>
      </c>
      <c r="R252" s="103">
        <f t="shared" si="361"/>
        <v>0.30025448352977951</v>
      </c>
      <c r="S252" s="103">
        <f t="shared" si="361"/>
        <v>0.29618712991014323</v>
      </c>
      <c r="T252" s="103">
        <f t="shared" si="361"/>
        <v>0.30650920081902283</v>
      </c>
      <c r="U252" s="103">
        <f t="shared" si="361"/>
        <v>0.31149006419304798</v>
      </c>
      <c r="V252" s="103">
        <f t="shared" si="361"/>
        <v>0.3167128360250433</v>
      </c>
      <c r="W252" s="103">
        <f t="shared" ref="W252:Y252" si="362">IF(W34=0,0,W34/W$31)</f>
        <v>0.3187623313604056</v>
      </c>
      <c r="X252" s="103">
        <f t="shared" si="362"/>
        <v>0.32032647208466253</v>
      </c>
      <c r="Y252" s="103">
        <f t="shared" si="362"/>
        <v>0.33174838208225721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0.42404342648308024</v>
      </c>
      <c r="C253" s="103">
        <f t="shared" si="363"/>
        <v>0.43796864152403686</v>
      </c>
      <c r="D253" s="103">
        <f t="shared" si="363"/>
        <v>0.46502673915554005</v>
      </c>
      <c r="E253" s="103">
        <f t="shared" si="363"/>
        <v>0.49140644175658105</v>
      </c>
      <c r="F253" s="103">
        <f t="shared" si="363"/>
        <v>0.51433810651876599</v>
      </c>
      <c r="G253" s="103">
        <f t="shared" si="363"/>
        <v>0.54110225125727807</v>
      </c>
      <c r="H253" s="103">
        <f t="shared" si="363"/>
        <v>0.5597986950449938</v>
      </c>
      <c r="I253" s="103">
        <f t="shared" si="363"/>
        <v>0.57920048376766242</v>
      </c>
      <c r="J253" s="103">
        <f t="shared" si="363"/>
        <v>0.5836063447515023</v>
      </c>
      <c r="K253" s="103">
        <f t="shared" si="363"/>
        <v>0.59449748504139388</v>
      </c>
      <c r="L253" s="103">
        <f t="shared" ref="L253" si="364">IF(L35=0,0,L35/L$31)</f>
        <v>0.59552572050211994</v>
      </c>
      <c r="M253" s="103">
        <f t="shared" ref="M253:V253" si="365">IF(M35=0,0,M35/M$31)</f>
        <v>0.61362802527841298</v>
      </c>
      <c r="N253" s="103">
        <f t="shared" si="365"/>
        <v>0.61588463578482255</v>
      </c>
      <c r="O253" s="103">
        <f t="shared" si="365"/>
        <v>0.6257386205298876</v>
      </c>
      <c r="P253" s="103">
        <f t="shared" si="365"/>
        <v>0.64128449962380496</v>
      </c>
      <c r="Q253" s="103">
        <f t="shared" si="365"/>
        <v>0.65263277885576609</v>
      </c>
      <c r="R253" s="103">
        <f t="shared" si="365"/>
        <v>0.66334568711726838</v>
      </c>
      <c r="S253" s="103">
        <f t="shared" si="365"/>
        <v>0.66759530293104208</v>
      </c>
      <c r="T253" s="103">
        <f t="shared" si="365"/>
        <v>0.65805304750695826</v>
      </c>
      <c r="U253" s="103">
        <f t="shared" si="365"/>
        <v>0.65031593395055454</v>
      </c>
      <c r="V253" s="103">
        <f t="shared" si="365"/>
        <v>0.6377163877041</v>
      </c>
      <c r="W253" s="103">
        <f t="shared" ref="W253:Y253" si="366">IF(W35=0,0,W35/W$31)</f>
        <v>0.62569097141057073</v>
      </c>
      <c r="X253" s="103">
        <f t="shared" si="366"/>
        <v>0.61763343334823917</v>
      </c>
      <c r="Y253" s="103">
        <f t="shared" si="366"/>
        <v>0.59387661393895452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3.7415617361615501E-3</v>
      </c>
      <c r="C254" s="103">
        <f t="shared" si="367"/>
        <v>3.8688099075969628E-3</v>
      </c>
      <c r="D254" s="103">
        <f t="shared" si="367"/>
        <v>5.1475499296983187E-3</v>
      </c>
      <c r="E254" s="103">
        <f t="shared" si="367"/>
        <v>6.0964720125258158E-3</v>
      </c>
      <c r="F254" s="103">
        <f t="shared" si="367"/>
        <v>4.9405694327814137E-3</v>
      </c>
      <c r="G254" s="103">
        <f t="shared" si="367"/>
        <v>4.7779610687244305E-3</v>
      </c>
      <c r="H254" s="103">
        <f t="shared" si="367"/>
        <v>4.8519819635610157E-3</v>
      </c>
      <c r="I254" s="103">
        <f t="shared" si="367"/>
        <v>4.450092663913551E-3</v>
      </c>
      <c r="J254" s="103">
        <f t="shared" si="367"/>
        <v>4.7480713900041526E-3</v>
      </c>
      <c r="K254" s="103">
        <f t="shared" si="367"/>
        <v>4.2052910084258051E-3</v>
      </c>
      <c r="L254" s="103">
        <f t="shared" ref="L254" si="368">IF(L36=0,0,L36/L$31)</f>
        <v>3.7586744680877067E-3</v>
      </c>
      <c r="M254" s="103">
        <f t="shared" ref="M254:V254" si="369">IF(M36=0,0,M36/M$31)</f>
        <v>3.6227293263399875E-3</v>
      </c>
      <c r="N254" s="103">
        <f t="shared" si="369"/>
        <v>3.7742229280951821E-3</v>
      </c>
      <c r="O254" s="103">
        <f t="shared" si="369"/>
        <v>3.4725205279052714E-3</v>
      </c>
      <c r="P254" s="103">
        <f t="shared" si="369"/>
        <v>3.0410013154846113E-3</v>
      </c>
      <c r="Q254" s="103">
        <f t="shared" si="369"/>
        <v>2.2373260300571707E-3</v>
      </c>
      <c r="R254" s="103">
        <f t="shared" si="369"/>
        <v>1.7782609221325151E-3</v>
      </c>
      <c r="S254" s="103">
        <f t="shared" si="369"/>
        <v>1.6246231690754144E-3</v>
      </c>
      <c r="T254" s="103">
        <f t="shared" si="369"/>
        <v>1.0594591939212317E-3</v>
      </c>
      <c r="U254" s="103">
        <f t="shared" si="369"/>
        <v>7.7067273818281687E-4</v>
      </c>
      <c r="V254" s="103">
        <f t="shared" si="369"/>
        <v>5.6735455938977956E-4</v>
      </c>
      <c r="W254" s="103">
        <f t="shared" ref="W254:Y254" si="370">IF(W36=0,0,W36/W$31)</f>
        <v>5.4481683747619998E-4</v>
      </c>
      <c r="X254" s="103">
        <f t="shared" si="370"/>
        <v>4.1093105793146687E-4</v>
      </c>
      <c r="Y254" s="103">
        <f t="shared" si="370"/>
        <v>2.203163413195389E-4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1.4206950502463994E-5</v>
      </c>
      <c r="I255" s="103">
        <f t="shared" si="371"/>
        <v>5.4677771970548607E-5</v>
      </c>
      <c r="J255" s="103">
        <f t="shared" si="371"/>
        <v>2.6612670743038087E-4</v>
      </c>
      <c r="K255" s="103">
        <f t="shared" si="371"/>
        <v>3.1510639202008935E-4</v>
      </c>
      <c r="L255" s="103">
        <f t="shared" ref="L255" si="372">IF(L37=0,0,L37/L$31)</f>
        <v>3.713487127595651E-4</v>
      </c>
      <c r="M255" s="103">
        <f t="shared" ref="M255:V255" si="373">IF(M37=0,0,M37/M$31)</f>
        <v>6.5703168533081996E-4</v>
      </c>
      <c r="N255" s="103">
        <f t="shared" si="373"/>
        <v>7.4584480216269018E-4</v>
      </c>
      <c r="O255" s="103">
        <f t="shared" si="373"/>
        <v>8.5635018651432327E-4</v>
      </c>
      <c r="P255" s="103">
        <f t="shared" si="373"/>
        <v>9.811414554276312E-4</v>
      </c>
      <c r="Q255" s="103">
        <f t="shared" si="373"/>
        <v>1.0784800954146778E-3</v>
      </c>
      <c r="R255" s="103">
        <f t="shared" si="373"/>
        <v>1.03675541310952E-3</v>
      </c>
      <c r="S255" s="103">
        <f t="shared" si="373"/>
        <v>1.0470001882371613E-3</v>
      </c>
      <c r="T255" s="103">
        <f t="shared" si="373"/>
        <v>1.0489299994473498E-3</v>
      </c>
      <c r="U255" s="103">
        <f t="shared" si="373"/>
        <v>1.0238179363196644E-3</v>
      </c>
      <c r="V255" s="103">
        <f t="shared" si="373"/>
        <v>1.069498538540929E-3</v>
      </c>
      <c r="W255" s="103">
        <f t="shared" ref="W255:Y255" si="374">IF(W37=0,0,W37/W$31)</f>
        <v>9.9824266948307346E-4</v>
      </c>
      <c r="X255" s="103">
        <f t="shared" si="374"/>
        <v>9.3903580911019492E-4</v>
      </c>
      <c r="Y255" s="103">
        <f t="shared" si="374"/>
        <v>8.5201102075145845E-4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3.91055233881199E-7</v>
      </c>
      <c r="N256" s="103">
        <f t="shared" si="377"/>
        <v>5.1661897624696874E-5</v>
      </c>
      <c r="O256" s="103">
        <f t="shared" si="377"/>
        <v>7.8348262102687714E-5</v>
      </c>
      <c r="P256" s="103">
        <f t="shared" si="377"/>
        <v>1.4482073411620965E-4</v>
      </c>
      <c r="Q256" s="103">
        <f t="shared" si="377"/>
        <v>2.8001293855161371E-4</v>
      </c>
      <c r="R256" s="103">
        <f t="shared" si="377"/>
        <v>3.9228940237768731E-4</v>
      </c>
      <c r="S256" s="103">
        <f t="shared" si="377"/>
        <v>6.7077876839491922E-4</v>
      </c>
      <c r="T256" s="103">
        <f t="shared" si="377"/>
        <v>9.2684375533340195E-4</v>
      </c>
      <c r="U256" s="103">
        <f t="shared" si="377"/>
        <v>1.2475055399995816E-3</v>
      </c>
      <c r="V256" s="103">
        <f t="shared" si="377"/>
        <v>2.5130517033011158E-3</v>
      </c>
      <c r="W256" s="103">
        <f t="shared" ref="W256:Y256" si="378">IF(W38=0,0,W38/W$31)</f>
        <v>4.7647134182210128E-3</v>
      </c>
      <c r="X256" s="103">
        <f t="shared" si="378"/>
        <v>6.9127481134940256E-3</v>
      </c>
      <c r="Y256" s="103">
        <f t="shared" si="378"/>
        <v>9.5459969747506025E-3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4.9082841432402343E-7</v>
      </c>
      <c r="K257" s="103">
        <f t="shared" si="379"/>
        <v>8.1096370896872552E-5</v>
      </c>
      <c r="L257" s="103">
        <f t="shared" ref="L257" si="380">IF(L39=0,0,L39/L$31)</f>
        <v>8.6216422660269186E-5</v>
      </c>
      <c r="M257" s="103">
        <f t="shared" ref="M257:V257" si="381">IF(M39=0,0,M39/M$31)</f>
        <v>2.3855045317454726E-4</v>
      </c>
      <c r="N257" s="103">
        <f t="shared" si="381"/>
        <v>3.3586099117707688E-4</v>
      </c>
      <c r="O257" s="103">
        <f t="shared" si="381"/>
        <v>4.9521649609575533E-4</v>
      </c>
      <c r="P257" s="103">
        <f t="shared" si="381"/>
        <v>7.9164938290107582E-4</v>
      </c>
      <c r="Q257" s="103">
        <f t="shared" si="381"/>
        <v>1.1508819970807889E-3</v>
      </c>
      <c r="R257" s="103">
        <f t="shared" si="381"/>
        <v>2.017766445329491E-3</v>
      </c>
      <c r="S257" s="103">
        <f t="shared" si="381"/>
        <v>3.2033234046945167E-3</v>
      </c>
      <c r="T257" s="103">
        <f t="shared" si="381"/>
        <v>4.4884620564702776E-3</v>
      </c>
      <c r="U257" s="103">
        <f t="shared" si="381"/>
        <v>6.3087432382963101E-3</v>
      </c>
      <c r="V257" s="103">
        <f t="shared" si="381"/>
        <v>9.7967570062340633E-3</v>
      </c>
      <c r="W257" s="103">
        <f t="shared" ref="W257:Y257" si="382">IF(W39=0,0,W39/W$31)</f>
        <v>1.831812651590568E-2</v>
      </c>
      <c r="X257" s="103">
        <f t="shared" si="382"/>
        <v>2.471741519032301E-2</v>
      </c>
      <c r="Y257" s="103">
        <f t="shared" si="382"/>
        <v>3.3795998496708682E-2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8.0753846126238003E-3</v>
      </c>
      <c r="C258" s="156">
        <f t="shared" si="383"/>
        <v>8.0881128529628667E-3</v>
      </c>
      <c r="D258" s="156">
        <f t="shared" si="383"/>
        <v>8.2389608245152946E-3</v>
      </c>
      <c r="E258" s="156">
        <f t="shared" si="383"/>
        <v>8.3993209563057898E-3</v>
      </c>
      <c r="F258" s="156">
        <f t="shared" si="383"/>
        <v>8.2695058636798619E-3</v>
      </c>
      <c r="G258" s="156">
        <f t="shared" si="383"/>
        <v>8.1319225233682981E-3</v>
      </c>
      <c r="H258" s="156">
        <f t="shared" si="383"/>
        <v>7.9653730986083068E-3</v>
      </c>
      <c r="I258" s="156">
        <f t="shared" si="383"/>
        <v>8.2821917897895649E-3</v>
      </c>
      <c r="J258" s="156">
        <f t="shared" si="383"/>
        <v>8.3089019194649231E-3</v>
      </c>
      <c r="K258" s="156">
        <f t="shared" si="383"/>
        <v>7.7337168332952955E-3</v>
      </c>
      <c r="L258" s="156">
        <f t="shared" ref="L258" si="384">IF(L40=0,0,L40/L$31)</f>
        <v>8.3173849196819093E-3</v>
      </c>
      <c r="M258" s="156">
        <f t="shared" ref="M258:V258" si="385">IF(M40=0,0,M40/M$31)</f>
        <v>8.1665971268656493E-3</v>
      </c>
      <c r="N258" s="156">
        <f t="shared" si="385"/>
        <v>8.1952086831992201E-3</v>
      </c>
      <c r="O258" s="156">
        <f t="shared" si="385"/>
        <v>8.1219788458789313E-3</v>
      </c>
      <c r="P258" s="156">
        <f t="shared" si="385"/>
        <v>8.1414322591939862E-3</v>
      </c>
      <c r="Q258" s="156">
        <f t="shared" si="385"/>
        <v>8.0826719680858403E-3</v>
      </c>
      <c r="R258" s="156">
        <f t="shared" si="385"/>
        <v>8.0616716191545812E-3</v>
      </c>
      <c r="S258" s="156">
        <f t="shared" si="385"/>
        <v>8.1536497608816431E-3</v>
      </c>
      <c r="T258" s="156">
        <f t="shared" si="385"/>
        <v>7.715205847383555E-3</v>
      </c>
      <c r="U258" s="156">
        <f t="shared" si="385"/>
        <v>7.580437927654067E-3</v>
      </c>
      <c r="V258" s="156">
        <f t="shared" si="385"/>
        <v>8.9764772550769336E-3</v>
      </c>
      <c r="W258" s="156">
        <f t="shared" ref="W258:Y258" si="386">IF(W40=0,0,W40/W$31)</f>
        <v>8.5314574767620804E-3</v>
      </c>
      <c r="X258" s="156">
        <f t="shared" si="386"/>
        <v>7.8683518346466721E-3</v>
      </c>
      <c r="Y258" s="156">
        <f t="shared" si="386"/>
        <v>7.6731664451755634E-3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1.1857053655119578E-5</v>
      </c>
      <c r="C259" s="103">
        <f t="shared" si="387"/>
        <v>1.2823651426387227E-5</v>
      </c>
      <c r="D259" s="103">
        <f t="shared" si="387"/>
        <v>1.1127674072700061E-5</v>
      </c>
      <c r="E259" s="103">
        <f t="shared" si="387"/>
        <v>1.0274454570180539E-5</v>
      </c>
      <c r="F259" s="103">
        <f t="shared" si="387"/>
        <v>8.9175595118300772E-6</v>
      </c>
      <c r="G259" s="103">
        <f t="shared" si="387"/>
        <v>6.9003892893537028E-6</v>
      </c>
      <c r="H259" s="103">
        <f t="shared" si="387"/>
        <v>5.795028178756978E-6</v>
      </c>
      <c r="I259" s="103">
        <f t="shared" si="387"/>
        <v>6.0317216836601895E-6</v>
      </c>
      <c r="J259" s="103">
        <f t="shared" si="387"/>
        <v>5.003315337264891E-6</v>
      </c>
      <c r="K259" s="103">
        <f t="shared" si="387"/>
        <v>3.5499142085709417E-6</v>
      </c>
      <c r="L259" s="103">
        <f t="shared" ref="L259" si="388">IF(L41=0,0,L41/L$31)</f>
        <v>3.7814274868954234E-6</v>
      </c>
      <c r="M259" s="103">
        <f t="shared" ref="M259:V259" si="389">IF(M41=0,0,M41/M$31)</f>
        <v>2.7932252314725024E-6</v>
      </c>
      <c r="N259" s="103">
        <f t="shared" si="389"/>
        <v>2.8172892197307316E-6</v>
      </c>
      <c r="O259" s="103">
        <f t="shared" si="389"/>
        <v>1.8329170949303109E-6</v>
      </c>
      <c r="P259" s="103">
        <f t="shared" si="389"/>
        <v>2.2795040976958726E-6</v>
      </c>
      <c r="Q259" s="103">
        <f t="shared" si="389"/>
        <v>1.8020693062523014E-6</v>
      </c>
      <c r="R259" s="103">
        <f t="shared" si="389"/>
        <v>2.3674436678597923E-6</v>
      </c>
      <c r="S259" s="103">
        <f t="shared" si="389"/>
        <v>2.3624028005536754E-6</v>
      </c>
      <c r="T259" s="103">
        <f t="shared" si="389"/>
        <v>2.3150147689153687E-6</v>
      </c>
      <c r="U259" s="103">
        <f t="shared" si="389"/>
        <v>2.2473561142348226E-6</v>
      </c>
      <c r="V259" s="103">
        <f t="shared" si="389"/>
        <v>2.0132110183825637E-6</v>
      </c>
      <c r="W259" s="103">
        <f t="shared" ref="W259:Y259" si="390">IF(W41=0,0,W41/W$31)</f>
        <v>2.5322188437695518E-6</v>
      </c>
      <c r="X259" s="103">
        <f t="shared" si="390"/>
        <v>2.2777986168822933E-6</v>
      </c>
      <c r="Y259" s="103">
        <f t="shared" si="390"/>
        <v>1.6234167175059601E-6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7.9803650989850282E-3</v>
      </c>
      <c r="C260" s="103">
        <f t="shared" si="391"/>
        <v>7.9891464627146955E-3</v>
      </c>
      <c r="D260" s="103">
        <f t="shared" si="391"/>
        <v>8.1306022208285714E-3</v>
      </c>
      <c r="E260" s="103">
        <f t="shared" si="391"/>
        <v>8.2844266187540871E-3</v>
      </c>
      <c r="F260" s="103">
        <f t="shared" si="391"/>
        <v>8.1402049168587086E-3</v>
      </c>
      <c r="G260" s="103">
        <f t="shared" si="391"/>
        <v>7.9911473798693882E-3</v>
      </c>
      <c r="H260" s="103">
        <f t="shared" si="391"/>
        <v>7.8165843736401792E-3</v>
      </c>
      <c r="I260" s="103">
        <f t="shared" si="391"/>
        <v>8.0849903082589464E-3</v>
      </c>
      <c r="J260" s="103">
        <f t="shared" si="391"/>
        <v>8.0796990633798596E-3</v>
      </c>
      <c r="K260" s="103">
        <f t="shared" si="391"/>
        <v>7.3178428734216741E-3</v>
      </c>
      <c r="L260" s="103">
        <f t="shared" ref="L260" si="392">IF(L42=0,0,L42/L$31)</f>
        <v>7.7704371052851259E-3</v>
      </c>
      <c r="M260" s="103">
        <f t="shared" ref="M260:V260" si="393">IF(M42=0,0,M42/M$31)</f>
        <v>7.5941344322446938E-3</v>
      </c>
      <c r="N260" s="103">
        <f t="shared" si="393"/>
        <v>7.578027698298702E-3</v>
      </c>
      <c r="O260" s="103">
        <f t="shared" si="393"/>
        <v>7.4204770111221336E-3</v>
      </c>
      <c r="P260" s="103">
        <f t="shared" si="393"/>
        <v>7.4180185633580904E-3</v>
      </c>
      <c r="Q260" s="103">
        <f t="shared" si="393"/>
        <v>7.3918815430456903E-3</v>
      </c>
      <c r="R260" s="103">
        <f t="shared" si="393"/>
        <v>7.5117957880811914E-3</v>
      </c>
      <c r="S260" s="103">
        <f t="shared" si="393"/>
        <v>7.6404027134591504E-3</v>
      </c>
      <c r="T260" s="103">
        <f t="shared" si="393"/>
        <v>7.2173641990168841E-3</v>
      </c>
      <c r="U260" s="103">
        <f t="shared" si="393"/>
        <v>7.0897655832587352E-3</v>
      </c>
      <c r="V260" s="103">
        <f t="shared" si="393"/>
        <v>8.3214900330451109E-3</v>
      </c>
      <c r="W260" s="103">
        <f t="shared" ref="W260:Y260" si="394">IF(W42=0,0,W42/W$31)</f>
        <v>7.9338512645039088E-3</v>
      </c>
      <c r="X260" s="103">
        <f t="shared" si="394"/>
        <v>7.3111897474702325E-3</v>
      </c>
      <c r="Y260" s="103">
        <f t="shared" si="394"/>
        <v>7.1293372399706626E-3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5.8043584917331944E-6</v>
      </c>
      <c r="D261" s="103">
        <f t="shared" si="395"/>
        <v>1.9040666723361362E-5</v>
      </c>
      <c r="E261" s="103">
        <f t="shared" si="395"/>
        <v>2.767334750837895E-5</v>
      </c>
      <c r="F261" s="103">
        <f t="shared" si="395"/>
        <v>3.6471207935491854E-5</v>
      </c>
      <c r="G261" s="103">
        <f t="shared" si="395"/>
        <v>5.2984740545185388E-5</v>
      </c>
      <c r="H261" s="103">
        <f t="shared" si="395"/>
        <v>6.5054399146905921E-5</v>
      </c>
      <c r="I261" s="103">
        <f t="shared" si="395"/>
        <v>8.4976166343377516E-5</v>
      </c>
      <c r="J261" s="103">
        <f t="shared" si="395"/>
        <v>1.0086053604403087E-4</v>
      </c>
      <c r="K261" s="103">
        <f t="shared" si="395"/>
        <v>1.1910538287511179E-4</v>
      </c>
      <c r="L261" s="103">
        <f t="shared" ref="L261" si="396">IF(L43=0,0,L43/L$31)</f>
        <v>1.4502759095812634E-4</v>
      </c>
      <c r="M261" s="103">
        <f t="shared" ref="M261:V261" si="397">IF(M43=0,0,M43/M$31)</f>
        <v>1.5547005568415905E-4</v>
      </c>
      <c r="N261" s="103">
        <f t="shared" si="397"/>
        <v>1.5839338369250135E-4</v>
      </c>
      <c r="O261" s="103">
        <f t="shared" si="397"/>
        <v>1.5212272554089088E-4</v>
      </c>
      <c r="P261" s="103">
        <f t="shared" si="397"/>
        <v>1.4440767058419279E-4</v>
      </c>
      <c r="Q261" s="103">
        <f t="shared" si="397"/>
        <v>1.1515404547988089E-4</v>
      </c>
      <c r="R261" s="103">
        <f t="shared" si="397"/>
        <v>9.2296589033044751E-5</v>
      </c>
      <c r="S261" s="103">
        <f t="shared" si="397"/>
        <v>7.4107241139575756E-5</v>
      </c>
      <c r="T261" s="103">
        <f t="shared" si="397"/>
        <v>7.1894498306837172E-5</v>
      </c>
      <c r="U261" s="103">
        <f t="shared" si="397"/>
        <v>5.7880942899583293E-6</v>
      </c>
      <c r="V261" s="103">
        <f t="shared" si="397"/>
        <v>6.8442668104749419E-6</v>
      </c>
      <c r="W261" s="103">
        <f t="shared" ref="W261:Y261" si="398">IF(W43=0,0,W43/W$31)</f>
        <v>5.9924801399509705E-6</v>
      </c>
      <c r="X261" s="103">
        <f t="shared" si="398"/>
        <v>5.3364922933019464E-6</v>
      </c>
      <c r="Y261" s="103">
        <f t="shared" si="398"/>
        <v>2.3428867040080588E-6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1.1282478334736047E-5</v>
      </c>
      <c r="G262" s="103">
        <f t="shared" si="399"/>
        <v>9.4144480789111484E-6</v>
      </c>
      <c r="H262" s="103">
        <f t="shared" si="399"/>
        <v>5.6763641514508549E-6</v>
      </c>
      <c r="I262" s="103">
        <f t="shared" si="399"/>
        <v>4.0963595675171312E-5</v>
      </c>
      <c r="J262" s="103">
        <f t="shared" si="399"/>
        <v>5.6040243604860363E-5</v>
      </c>
      <c r="K262" s="103">
        <f t="shared" si="399"/>
        <v>2.2168473038764998E-4</v>
      </c>
      <c r="L262" s="103">
        <f t="shared" ref="L262" si="400">IF(L44=0,0,L44/L$31)</f>
        <v>3.2257384637620669E-4</v>
      </c>
      <c r="M262" s="103">
        <f t="shared" ref="M262:V262" si="401">IF(M44=0,0,M44/M$31)</f>
        <v>3.3770291851296019E-4</v>
      </c>
      <c r="N262" s="103">
        <f t="shared" si="401"/>
        <v>3.7269032509444947E-4</v>
      </c>
      <c r="O262" s="103">
        <f t="shared" si="401"/>
        <v>4.5670632308427833E-4</v>
      </c>
      <c r="P262" s="103">
        <f t="shared" si="401"/>
        <v>4.9305248774745767E-4</v>
      </c>
      <c r="Q262" s="103">
        <f t="shared" si="401"/>
        <v>4.8762331464290788E-4</v>
      </c>
      <c r="R262" s="103">
        <f t="shared" si="401"/>
        <v>3.6461239315339802E-4</v>
      </c>
      <c r="S262" s="103">
        <f t="shared" si="401"/>
        <v>3.5108941017541334E-4</v>
      </c>
      <c r="T262" s="103">
        <f t="shared" si="401"/>
        <v>3.327873854041362E-4</v>
      </c>
      <c r="U262" s="103">
        <f t="shared" si="401"/>
        <v>3.8849880137581248E-4</v>
      </c>
      <c r="V262" s="103">
        <f t="shared" si="401"/>
        <v>5.2734081087648505E-4</v>
      </c>
      <c r="W262" s="103">
        <f t="shared" ref="W262:Y262" si="402">IF(W44=0,0,W44/W$31)</f>
        <v>4.7437525246399738E-4</v>
      </c>
      <c r="X262" s="103">
        <f t="shared" si="402"/>
        <v>4.252175323277603E-4</v>
      </c>
      <c r="Y262" s="103">
        <f t="shared" si="402"/>
        <v>3.8405520728864779E-4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8.3162459983651457E-5</v>
      </c>
      <c r="C263" s="103">
        <f t="shared" si="403"/>
        <v>8.0338380330051445E-5</v>
      </c>
      <c r="D263" s="103">
        <f t="shared" si="403"/>
        <v>7.8190262890661451E-5</v>
      </c>
      <c r="E263" s="103">
        <f t="shared" si="403"/>
        <v>7.6946535473141446E-5</v>
      </c>
      <c r="F263" s="103">
        <f t="shared" si="403"/>
        <v>7.2629701039096238E-5</v>
      </c>
      <c r="G263" s="103">
        <f t="shared" si="403"/>
        <v>7.1475565585460223E-5</v>
      </c>
      <c r="H263" s="103">
        <f t="shared" si="403"/>
        <v>7.226293349101373E-5</v>
      </c>
      <c r="I263" s="103">
        <f t="shared" si="403"/>
        <v>6.5229997828409914E-5</v>
      </c>
      <c r="J263" s="103">
        <f t="shared" si="403"/>
        <v>6.7298761098908214E-5</v>
      </c>
      <c r="K263" s="103">
        <f t="shared" si="403"/>
        <v>7.1533932402288307E-5</v>
      </c>
      <c r="L263" s="103">
        <f t="shared" ref="L263" si="404">IF(L45=0,0,L45/L$31)</f>
        <v>7.5564949575554049E-5</v>
      </c>
      <c r="M263" s="103">
        <f t="shared" ref="M263:V263" si="405">IF(M45=0,0,M45/M$31)</f>
        <v>7.6496495192364782E-5</v>
      </c>
      <c r="N263" s="103">
        <f t="shared" si="405"/>
        <v>8.3279986893836536E-5</v>
      </c>
      <c r="O263" s="103">
        <f t="shared" si="405"/>
        <v>9.0839869036698427E-5</v>
      </c>
      <c r="P263" s="103">
        <f t="shared" si="405"/>
        <v>8.3674033406548224E-5</v>
      </c>
      <c r="Q263" s="103">
        <f t="shared" si="405"/>
        <v>8.6210995611110065E-5</v>
      </c>
      <c r="R263" s="103">
        <f t="shared" si="405"/>
        <v>9.0599405219087266E-5</v>
      </c>
      <c r="S263" s="103">
        <f t="shared" si="405"/>
        <v>8.5687993306950874E-5</v>
      </c>
      <c r="T263" s="103">
        <f t="shared" si="405"/>
        <v>9.0844749886781915E-5</v>
      </c>
      <c r="U263" s="103">
        <f t="shared" si="405"/>
        <v>9.4138092615326296E-5</v>
      </c>
      <c r="V263" s="103">
        <f t="shared" si="405"/>
        <v>1.1878893332648065E-4</v>
      </c>
      <c r="W263" s="103">
        <f t="shared" ref="W263:Y263" si="406">IF(W45=0,0,W45/W$31)</f>
        <v>1.1470626081045226E-4</v>
      </c>
      <c r="X263" s="103">
        <f t="shared" si="406"/>
        <v>1.2433026393849576E-4</v>
      </c>
      <c r="Y263" s="103">
        <f t="shared" si="406"/>
        <v>1.558076944947387E-4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0.60661615972688765</v>
      </c>
      <c r="C265" s="154">
        <f t="shared" si="411"/>
        <v>0.61237367811377508</v>
      </c>
      <c r="D265" s="154">
        <f t="shared" si="411"/>
        <v>0.61849075244797891</v>
      </c>
      <c r="E265" s="154">
        <f t="shared" si="411"/>
        <v>0.61676336546803823</v>
      </c>
      <c r="F265" s="154">
        <f t="shared" si="411"/>
        <v>0.60784239475626256</v>
      </c>
      <c r="G265" s="154">
        <f t="shared" si="411"/>
        <v>0.61183719257306346</v>
      </c>
      <c r="H265" s="154">
        <f t="shared" si="411"/>
        <v>0.59305557456406821</v>
      </c>
      <c r="I265" s="154">
        <f t="shared" si="411"/>
        <v>0.58318799126357268</v>
      </c>
      <c r="J265" s="154">
        <f t="shared" si="411"/>
        <v>0.5666690337861886</v>
      </c>
      <c r="K265" s="154">
        <f t="shared" si="411"/>
        <v>0.59278961488312698</v>
      </c>
      <c r="L265" s="154">
        <f t="shared" ref="L265" si="412">IF(L47=0,0,L47/L$46)</f>
        <v>0.59128588566742157</v>
      </c>
      <c r="M265" s="154">
        <f t="shared" ref="M265:V265" si="413">IF(M47=0,0,M47/M$46)</f>
        <v>0.58783667398992023</v>
      </c>
      <c r="N265" s="154">
        <f t="shared" si="413"/>
        <v>0.59340493700117103</v>
      </c>
      <c r="O265" s="154">
        <f t="shared" si="413"/>
        <v>0.59801644314023605</v>
      </c>
      <c r="P265" s="154">
        <f t="shared" si="413"/>
        <v>0.60413185614011999</v>
      </c>
      <c r="Q265" s="154">
        <f t="shared" si="413"/>
        <v>0.59886681470297376</v>
      </c>
      <c r="R265" s="154">
        <f t="shared" si="413"/>
        <v>0.5959287086168471</v>
      </c>
      <c r="S265" s="154">
        <f t="shared" si="413"/>
        <v>0.58784554880415363</v>
      </c>
      <c r="T265" s="154">
        <f t="shared" si="413"/>
        <v>0.5920562040065156</v>
      </c>
      <c r="U265" s="154">
        <f t="shared" si="413"/>
        <v>0.59563859907453176</v>
      </c>
      <c r="V265" s="154">
        <f t="shared" si="413"/>
        <v>0.60011970773314993</v>
      </c>
      <c r="W265" s="154">
        <f t="shared" ref="W265:Y265" si="414">IF(W47=0,0,W47/W$46)</f>
        <v>0.60442627700602847</v>
      </c>
      <c r="X265" s="154">
        <f t="shared" si="414"/>
        <v>0.60975493774120626</v>
      </c>
      <c r="Y265" s="154">
        <f t="shared" si="414"/>
        <v>0.62087799296676882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8.8714070897772432E-2</v>
      </c>
      <c r="C266" s="103">
        <f t="shared" si="415"/>
        <v>7.7891118478821866E-2</v>
      </c>
      <c r="D266" s="103">
        <f t="shared" si="415"/>
        <v>5.2023735041271613E-2</v>
      </c>
      <c r="E266" s="103">
        <f t="shared" si="415"/>
        <v>4.4516213517148386E-2</v>
      </c>
      <c r="F266" s="103">
        <f t="shared" si="415"/>
        <v>3.8215060993680536E-2</v>
      </c>
      <c r="G266" s="103">
        <f t="shared" si="415"/>
        <v>3.441037211262897E-2</v>
      </c>
      <c r="H266" s="103">
        <f t="shared" si="415"/>
        <v>3.1055557814449491E-2</v>
      </c>
      <c r="I266" s="103">
        <f t="shared" si="415"/>
        <v>2.8902143364118692E-2</v>
      </c>
      <c r="J266" s="103">
        <f t="shared" si="415"/>
        <v>2.6820969049761775E-2</v>
      </c>
      <c r="K266" s="103">
        <f t="shared" si="415"/>
        <v>2.7801738734486311E-2</v>
      </c>
      <c r="L266" s="103">
        <f t="shared" ref="L266" si="416">IF(L48=0,0,L48/L$46)</f>
        <v>2.7046752043016892E-2</v>
      </c>
      <c r="M266" s="103">
        <f t="shared" ref="M266:V266" si="417">IF(M48=0,0,M48/M$46)</f>
        <v>2.7406032630637372E-2</v>
      </c>
      <c r="N266" s="103">
        <f t="shared" si="417"/>
        <v>2.8252891171109951E-2</v>
      </c>
      <c r="O266" s="103">
        <f t="shared" si="417"/>
        <v>2.7416548210529267E-2</v>
      </c>
      <c r="P266" s="103">
        <f t="shared" si="417"/>
        <v>2.7580171161607717E-2</v>
      </c>
      <c r="Q266" s="103">
        <f t="shared" si="417"/>
        <v>2.7678024937471853E-2</v>
      </c>
      <c r="R266" s="103">
        <f t="shared" si="417"/>
        <v>2.6865057857711257E-2</v>
      </c>
      <c r="S266" s="103">
        <f t="shared" si="417"/>
        <v>2.6465156765582677E-2</v>
      </c>
      <c r="T266" s="103">
        <f t="shared" si="417"/>
        <v>2.7109944714530935E-2</v>
      </c>
      <c r="U266" s="103">
        <f t="shared" si="417"/>
        <v>2.6467359412078929E-2</v>
      </c>
      <c r="V266" s="103">
        <f t="shared" si="417"/>
        <v>2.5727609786554636E-2</v>
      </c>
      <c r="W266" s="103">
        <f t="shared" ref="W266:Y266" si="418">IF(W48=0,0,W48/W$46)</f>
        <v>2.4472035376867825E-2</v>
      </c>
      <c r="X266" s="103">
        <f t="shared" si="418"/>
        <v>2.5352547956277689E-2</v>
      </c>
      <c r="Y266" s="103">
        <f t="shared" si="418"/>
        <v>2.6131572804660014E-2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0.51785541382572353</v>
      </c>
      <c r="C267" s="103">
        <f t="shared" si="419"/>
        <v>0.53442353392556596</v>
      </c>
      <c r="D267" s="103">
        <f t="shared" si="419"/>
        <v>0.56641676196162516</v>
      </c>
      <c r="E267" s="103">
        <f t="shared" si="419"/>
        <v>0.57218286896486426</v>
      </c>
      <c r="F267" s="103">
        <f t="shared" si="419"/>
        <v>0.56954076649479657</v>
      </c>
      <c r="G267" s="103">
        <f t="shared" si="419"/>
        <v>0.57720286386001673</v>
      </c>
      <c r="H267" s="103">
        <f t="shared" si="419"/>
        <v>0.56169255412959052</v>
      </c>
      <c r="I267" s="103">
        <f t="shared" si="419"/>
        <v>0.55388121987174355</v>
      </c>
      <c r="J267" s="103">
        <f t="shared" si="419"/>
        <v>0.53932586457255705</v>
      </c>
      <c r="K267" s="103">
        <f t="shared" si="419"/>
        <v>0.56459009486772549</v>
      </c>
      <c r="L267" s="103">
        <f t="shared" ref="L267" si="420">IF(L49=0,0,L49/L$46)</f>
        <v>0.56382292542594548</v>
      </c>
      <c r="M267" s="103">
        <f t="shared" ref="M267:V267" si="421">IF(M49=0,0,M49/M$46)</f>
        <v>0.55995346592770101</v>
      </c>
      <c r="N267" s="103">
        <f t="shared" si="421"/>
        <v>0.5641849608912527</v>
      </c>
      <c r="O267" s="103">
        <f t="shared" si="421"/>
        <v>0.56836015599948519</v>
      </c>
      <c r="P267" s="103">
        <f t="shared" si="421"/>
        <v>0.5740107647086834</v>
      </c>
      <c r="Q267" s="103">
        <f t="shared" si="421"/>
        <v>0.56838542279732962</v>
      </c>
      <c r="R267" s="103">
        <f t="shared" si="421"/>
        <v>0.56486016610738632</v>
      </c>
      <c r="S267" s="103">
        <f t="shared" si="421"/>
        <v>0.55712597516022599</v>
      </c>
      <c r="T267" s="103">
        <f t="shared" si="421"/>
        <v>0.56019412282604297</v>
      </c>
      <c r="U267" s="103">
        <f t="shared" si="421"/>
        <v>0.56402458400599675</v>
      </c>
      <c r="V267" s="103">
        <f t="shared" si="421"/>
        <v>0.56857191802764839</v>
      </c>
      <c r="W267" s="103">
        <f t="shared" ref="W267:Y267" si="422">IF(W49=0,0,W49/W$46)</f>
        <v>0.57191299373829529</v>
      </c>
      <c r="X267" s="103">
        <f t="shared" si="422"/>
        <v>0.57428797805912546</v>
      </c>
      <c r="Y267" s="103">
        <f t="shared" si="422"/>
        <v>0.58128434543754748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1.6685156009134549E-5</v>
      </c>
      <c r="F268" s="103">
        <f t="shared" si="423"/>
        <v>4.3449056273483598E-5</v>
      </c>
      <c r="G268" s="103">
        <f t="shared" si="423"/>
        <v>1.8499947124755284E-4</v>
      </c>
      <c r="H268" s="103">
        <f t="shared" si="423"/>
        <v>1.6943380451751291E-4</v>
      </c>
      <c r="I268" s="103">
        <f t="shared" si="423"/>
        <v>1.6122822520570496E-4</v>
      </c>
      <c r="J268" s="103">
        <f t="shared" si="423"/>
        <v>1.4902454559703729E-4</v>
      </c>
      <c r="K268" s="103">
        <f t="shared" si="423"/>
        <v>1.4682176274024504E-4</v>
      </c>
      <c r="L268" s="103">
        <f t="shared" ref="L268" si="424">IF(L50=0,0,L50/L$46)</f>
        <v>1.3514668759215693E-4</v>
      </c>
      <c r="M268" s="103">
        <f t="shared" ref="M268:V268" si="425">IF(M50=0,0,M50/M$46)</f>
        <v>1.2241281519148625E-4</v>
      </c>
      <c r="N268" s="103">
        <f t="shared" si="425"/>
        <v>1.2980941030065767E-4</v>
      </c>
      <c r="O268" s="103">
        <f t="shared" si="425"/>
        <v>1.3462696805812424E-4</v>
      </c>
      <c r="P268" s="103">
        <f t="shared" si="425"/>
        <v>1.4760500884024698E-4</v>
      </c>
      <c r="Q268" s="103">
        <f t="shared" si="425"/>
        <v>1.4894242102231822E-4</v>
      </c>
      <c r="R268" s="103">
        <f t="shared" si="425"/>
        <v>2.2426104966946533E-4</v>
      </c>
      <c r="S268" s="103">
        <f t="shared" si="425"/>
        <v>2.2437939690845624E-4</v>
      </c>
      <c r="T268" s="103">
        <f t="shared" si="425"/>
        <v>2.2239987745747189E-4</v>
      </c>
      <c r="U268" s="103">
        <f t="shared" si="425"/>
        <v>2.3792115379221655E-4</v>
      </c>
      <c r="V268" s="103">
        <f t="shared" si="425"/>
        <v>2.7176675444836359E-4</v>
      </c>
      <c r="W268" s="103">
        <f t="shared" ref="W268:Y268" si="426">IF(W50=0,0,W50/W$46)</f>
        <v>2.9116852978336319E-4</v>
      </c>
      <c r="X268" s="103">
        <f t="shared" si="426"/>
        <v>3.1025180644554879E-4</v>
      </c>
      <c r="Y268" s="103">
        <f t="shared" si="426"/>
        <v>3.2539982705318259E-4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1.0424244315157201E-4</v>
      </c>
      <c r="I269" s="103">
        <f t="shared" si="427"/>
        <v>2.0213677652177435E-4</v>
      </c>
      <c r="J269" s="103">
        <f t="shared" si="427"/>
        <v>3.2830258486130185E-4</v>
      </c>
      <c r="K269" s="103">
        <f t="shared" si="427"/>
        <v>1.8226697845570987E-4</v>
      </c>
      <c r="L269" s="103">
        <f t="shared" ref="L269" si="428">IF(L51=0,0,L51/L$46)</f>
        <v>1.7700122310838342E-4</v>
      </c>
      <c r="M269" s="103">
        <f t="shared" ref="M269:V269" si="429">IF(M51=0,0,M51/M$46)</f>
        <v>1.937992518141121E-4</v>
      </c>
      <c r="N269" s="103">
        <f t="shared" si="429"/>
        <v>2.6018508273752681E-4</v>
      </c>
      <c r="O269" s="103">
        <f t="shared" si="429"/>
        <v>1.2030419024050298E-3</v>
      </c>
      <c r="P269" s="103">
        <f t="shared" si="429"/>
        <v>1.2454991850803932E-3</v>
      </c>
      <c r="Q269" s="103">
        <f t="shared" si="429"/>
        <v>1.2175418927676549E-3</v>
      </c>
      <c r="R269" s="103">
        <f t="shared" si="429"/>
        <v>2.0679838616188863E-3</v>
      </c>
      <c r="S269" s="103">
        <f t="shared" si="429"/>
        <v>1.874073082246457E-3</v>
      </c>
      <c r="T269" s="103">
        <f t="shared" si="429"/>
        <v>1.8812868384930747E-3</v>
      </c>
      <c r="U269" s="103">
        <f t="shared" si="429"/>
        <v>1.771536830444914E-3</v>
      </c>
      <c r="V269" s="103">
        <f t="shared" si="429"/>
        <v>1.6028022998612523E-3</v>
      </c>
      <c r="W269" s="103">
        <f t="shared" ref="W269:Y269" si="430">IF(W51=0,0,W51/W$46)</f>
        <v>1.4297634749976559E-3</v>
      </c>
      <c r="X269" s="103">
        <f t="shared" si="430"/>
        <v>1.3049182644776379E-3</v>
      </c>
      <c r="Y269" s="103">
        <f t="shared" si="430"/>
        <v>1.1833006075467056E-3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4.6675003391652284E-5</v>
      </c>
      <c r="C270" s="103">
        <f t="shared" si="431"/>
        <v>5.9025709387274371E-5</v>
      </c>
      <c r="D270" s="103">
        <f t="shared" si="431"/>
        <v>5.025544508205321E-5</v>
      </c>
      <c r="E270" s="103">
        <f t="shared" si="431"/>
        <v>4.7597830016447708E-5</v>
      </c>
      <c r="F270" s="103">
        <f t="shared" si="431"/>
        <v>4.3118211511979876E-5</v>
      </c>
      <c r="G270" s="103">
        <f t="shared" si="431"/>
        <v>3.8957129170214929E-5</v>
      </c>
      <c r="H270" s="103">
        <f t="shared" si="431"/>
        <v>3.3786372359188816E-5</v>
      </c>
      <c r="I270" s="103">
        <f t="shared" si="431"/>
        <v>4.126302598297507E-5</v>
      </c>
      <c r="J270" s="103">
        <f t="shared" si="431"/>
        <v>4.4873033411452589E-5</v>
      </c>
      <c r="K270" s="103">
        <f t="shared" si="431"/>
        <v>6.8692539719310638E-5</v>
      </c>
      <c r="L270" s="103">
        <f t="shared" ref="L270" si="432">IF(L52=0,0,L52/L$46)</f>
        <v>1.0406028775877078E-4</v>
      </c>
      <c r="M270" s="103">
        <f t="shared" ref="M270:V270" si="433">IF(M52=0,0,M52/M$46)</f>
        <v>1.6096336457617258E-4</v>
      </c>
      <c r="N270" s="103">
        <f t="shared" si="433"/>
        <v>5.7709044577023035E-4</v>
      </c>
      <c r="O270" s="103">
        <f t="shared" si="433"/>
        <v>9.0207005975842731E-4</v>
      </c>
      <c r="P270" s="103">
        <f t="shared" si="433"/>
        <v>1.1478160759082602E-3</v>
      </c>
      <c r="Q270" s="103">
        <f t="shared" si="433"/>
        <v>1.4368826543823912E-3</v>
      </c>
      <c r="R270" s="103">
        <f t="shared" si="433"/>
        <v>1.9112397404610845E-3</v>
      </c>
      <c r="S270" s="103">
        <f t="shared" si="433"/>
        <v>2.1559643991900896E-3</v>
      </c>
      <c r="T270" s="103">
        <f t="shared" si="433"/>
        <v>2.6484497499910664E-3</v>
      </c>
      <c r="U270" s="103">
        <f t="shared" si="433"/>
        <v>3.1371976722189636E-3</v>
      </c>
      <c r="V270" s="103">
        <f t="shared" si="433"/>
        <v>3.9456108646371965E-3</v>
      </c>
      <c r="W270" s="103">
        <f t="shared" ref="W270:Y270" si="434">IF(W52=0,0,W52/W$46)</f>
        <v>6.3203158860843621E-3</v>
      </c>
      <c r="X270" s="103">
        <f t="shared" si="434"/>
        <v>8.4992416548799604E-3</v>
      </c>
      <c r="Y270" s="103">
        <f t="shared" si="434"/>
        <v>1.1953374289961276E-2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0.39338384027311241</v>
      </c>
      <c r="C271" s="156">
        <f t="shared" si="435"/>
        <v>0.38762632188622498</v>
      </c>
      <c r="D271" s="156">
        <f t="shared" si="435"/>
        <v>0.38150924755202115</v>
      </c>
      <c r="E271" s="156">
        <f t="shared" si="435"/>
        <v>0.38323663453196177</v>
      </c>
      <c r="F271" s="156">
        <f t="shared" si="435"/>
        <v>0.39215760524373744</v>
      </c>
      <c r="G271" s="156">
        <f t="shared" si="435"/>
        <v>0.3881628074269366</v>
      </c>
      <c r="H271" s="156">
        <f t="shared" si="435"/>
        <v>0.40694442543593184</v>
      </c>
      <c r="I271" s="156">
        <f t="shared" si="435"/>
        <v>0.41681200873642738</v>
      </c>
      <c r="J271" s="156">
        <f t="shared" si="435"/>
        <v>0.4333309662138114</v>
      </c>
      <c r="K271" s="156">
        <f t="shared" si="435"/>
        <v>0.40721038511687307</v>
      </c>
      <c r="L271" s="156">
        <f t="shared" ref="L271" si="436">IF(L53=0,0,L53/L$46)</f>
        <v>0.40871411433257832</v>
      </c>
      <c r="M271" s="156">
        <f t="shared" ref="M271:V271" si="437">IF(M53=0,0,M53/M$46)</f>
        <v>0.41216332601007982</v>
      </c>
      <c r="N271" s="156">
        <f t="shared" si="437"/>
        <v>0.4065950629988288</v>
      </c>
      <c r="O271" s="156">
        <f t="shared" si="437"/>
        <v>0.40198355685976395</v>
      </c>
      <c r="P271" s="156">
        <f t="shared" si="437"/>
        <v>0.39586814385988006</v>
      </c>
      <c r="Q271" s="156">
        <f t="shared" si="437"/>
        <v>0.40113318529702618</v>
      </c>
      <c r="R271" s="156">
        <f t="shared" si="437"/>
        <v>0.40407129138315284</v>
      </c>
      <c r="S271" s="156">
        <f t="shared" si="437"/>
        <v>0.41215445119584643</v>
      </c>
      <c r="T271" s="156">
        <f t="shared" si="437"/>
        <v>0.4079437959934844</v>
      </c>
      <c r="U271" s="156">
        <f t="shared" si="437"/>
        <v>0.40436140092546818</v>
      </c>
      <c r="V271" s="156">
        <f t="shared" si="437"/>
        <v>0.39988029226685018</v>
      </c>
      <c r="W271" s="156">
        <f t="shared" ref="W271:Y271" si="438">IF(W53=0,0,W53/W$46)</f>
        <v>0.39557372299397153</v>
      </c>
      <c r="X271" s="156">
        <f t="shared" si="438"/>
        <v>0.3902450622587938</v>
      </c>
      <c r="Y271" s="156">
        <f t="shared" si="438"/>
        <v>0.37912200703323123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0.24015012100710414</v>
      </c>
      <c r="C272" s="104">
        <f t="shared" si="439"/>
        <v>0.23034597797706288</v>
      </c>
      <c r="D272" s="104">
        <f t="shared" si="439"/>
        <v>0.22155019083338232</v>
      </c>
      <c r="E272" s="104">
        <f t="shared" si="439"/>
        <v>0.22291563661337083</v>
      </c>
      <c r="F272" s="104">
        <f t="shared" si="439"/>
        <v>0.20728786920736267</v>
      </c>
      <c r="G272" s="104">
        <f t="shared" si="439"/>
        <v>0.2009949529999637</v>
      </c>
      <c r="H272" s="104">
        <f t="shared" si="439"/>
        <v>0.22117975438543977</v>
      </c>
      <c r="I272" s="104">
        <f t="shared" si="439"/>
        <v>0.21531379432103512</v>
      </c>
      <c r="J272" s="104">
        <f t="shared" si="439"/>
        <v>0.2099568572897843</v>
      </c>
      <c r="K272" s="104">
        <f t="shared" si="439"/>
        <v>0.20740213001036778</v>
      </c>
      <c r="L272" s="104">
        <f t="shared" ref="L272" si="440">IF(L54=0,0,L54/L$46)</f>
        <v>0.20301906684273277</v>
      </c>
      <c r="M272" s="104">
        <f t="shared" ref="M272:V272" si="441">IF(M54=0,0,M54/M$46)</f>
        <v>0.20466281479656717</v>
      </c>
      <c r="N272" s="104">
        <f t="shared" si="441"/>
        <v>0.20210440174153146</v>
      </c>
      <c r="O272" s="104">
        <f t="shared" si="441"/>
        <v>0.19648001478631133</v>
      </c>
      <c r="P272" s="104">
        <f t="shared" si="441"/>
        <v>0.19678121500926687</v>
      </c>
      <c r="Q272" s="104">
        <f t="shared" si="441"/>
        <v>0.2006176287814439</v>
      </c>
      <c r="R272" s="104">
        <f t="shared" si="441"/>
        <v>0.20386151037908198</v>
      </c>
      <c r="S272" s="104">
        <f t="shared" si="441"/>
        <v>0.20198295957843093</v>
      </c>
      <c r="T272" s="104">
        <f t="shared" si="441"/>
        <v>0.20089886096461224</v>
      </c>
      <c r="U272" s="104">
        <f t="shared" si="441"/>
        <v>0.19835406603447678</v>
      </c>
      <c r="V272" s="104">
        <f t="shared" si="441"/>
        <v>0.19136922451333119</v>
      </c>
      <c r="W272" s="104">
        <f t="shared" ref="W272:Y272" si="442">IF(W54=0,0,W54/W$46)</f>
        <v>0.19012427700826751</v>
      </c>
      <c r="X272" s="104">
        <f t="shared" si="442"/>
        <v>0.1835158056575843</v>
      </c>
      <c r="Y272" s="104">
        <f t="shared" si="442"/>
        <v>0.18006734000376584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0.15323371926600821</v>
      </c>
      <c r="C273" s="105">
        <f t="shared" si="443"/>
        <v>0.1572803439091621</v>
      </c>
      <c r="D273" s="105">
        <f t="shared" si="443"/>
        <v>0.1599590567186388</v>
      </c>
      <c r="E273" s="105">
        <f t="shared" si="443"/>
        <v>0.16032099791859095</v>
      </c>
      <c r="F273" s="105">
        <f t="shared" si="443"/>
        <v>0.18486973603637477</v>
      </c>
      <c r="G273" s="105">
        <f t="shared" si="443"/>
        <v>0.18716785442697284</v>
      </c>
      <c r="H273" s="105">
        <f t="shared" si="443"/>
        <v>0.18576467105049205</v>
      </c>
      <c r="I273" s="105">
        <f t="shared" si="443"/>
        <v>0.20149821441539226</v>
      </c>
      <c r="J273" s="105">
        <f t="shared" si="443"/>
        <v>0.22337410892402709</v>
      </c>
      <c r="K273" s="105">
        <f t="shared" si="443"/>
        <v>0.19980825510650527</v>
      </c>
      <c r="L273" s="105">
        <f t="shared" ref="L273" si="444">IF(L55=0,0,L55/L$46)</f>
        <v>0.20569504748984554</v>
      </c>
      <c r="M273" s="105">
        <f t="shared" ref="M273:V273" si="445">IF(M55=0,0,M55/M$46)</f>
        <v>0.20750051121351262</v>
      </c>
      <c r="N273" s="105">
        <f t="shared" si="445"/>
        <v>0.20449066125729734</v>
      </c>
      <c r="O273" s="105">
        <f t="shared" si="445"/>
        <v>0.20550354207345267</v>
      </c>
      <c r="P273" s="105">
        <f t="shared" si="445"/>
        <v>0.19908692885061319</v>
      </c>
      <c r="Q273" s="105">
        <f t="shared" si="445"/>
        <v>0.20051555651558223</v>
      </c>
      <c r="R273" s="105">
        <f t="shared" si="445"/>
        <v>0.2002097810040708</v>
      </c>
      <c r="S273" s="105">
        <f t="shared" si="445"/>
        <v>0.21017149161741547</v>
      </c>
      <c r="T273" s="105">
        <f t="shared" si="445"/>
        <v>0.20704493502887217</v>
      </c>
      <c r="U273" s="105">
        <f t="shared" si="445"/>
        <v>0.20600733489099143</v>
      </c>
      <c r="V273" s="105">
        <f t="shared" si="445"/>
        <v>0.20851106775351905</v>
      </c>
      <c r="W273" s="105">
        <f t="shared" ref="W273:Y273" si="446">IF(W55=0,0,W55/W$46)</f>
        <v>0.205449445985704</v>
      </c>
      <c r="X273" s="105">
        <f t="shared" si="446"/>
        <v>0.20672925660120947</v>
      </c>
      <c r="Y273" s="105">
        <f t="shared" si="446"/>
        <v>0.19905466702946545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5886.9970775934971</v>
      </c>
      <c r="C4" s="145">
        <f t="shared" si="0"/>
        <v>6320.9462100061255</v>
      </c>
      <c r="D4" s="145">
        <f t="shared" si="0"/>
        <v>7009.5060210668862</v>
      </c>
      <c r="E4" s="145">
        <f t="shared" si="0"/>
        <v>7491.4215928208487</v>
      </c>
      <c r="F4" s="145">
        <f t="shared" si="0"/>
        <v>7589.3003522821173</v>
      </c>
      <c r="G4" s="145">
        <f t="shared" si="0"/>
        <v>7863.3564551396667</v>
      </c>
      <c r="H4" s="145">
        <f t="shared" si="0"/>
        <v>7664.5703035964743</v>
      </c>
      <c r="I4" s="145">
        <f t="shared" si="0"/>
        <v>7782.1337822739479</v>
      </c>
      <c r="J4" s="145">
        <f t="shared" si="0"/>
        <v>7523.6705004773194</v>
      </c>
      <c r="K4" s="145">
        <f t="shared" si="0"/>
        <v>7333.6330660787062</v>
      </c>
      <c r="L4" s="145">
        <f t="shared" ref="L4" si="1">L5+L9+L10+L15</f>
        <v>7584.5371696925595</v>
      </c>
      <c r="M4" s="145">
        <f t="shared" ref="M4:V4" si="2">M5+M9+M10+M15</f>
        <v>7263.6057869007218</v>
      </c>
      <c r="N4" s="145">
        <f t="shared" si="2"/>
        <v>7236.9240655896838</v>
      </c>
      <c r="O4" s="145">
        <f t="shared" si="2"/>
        <v>7677.8244184601608</v>
      </c>
      <c r="P4" s="145">
        <f t="shared" si="2"/>
        <v>7654.3930683229655</v>
      </c>
      <c r="Q4" s="145">
        <f t="shared" si="2"/>
        <v>7857.5865603743568</v>
      </c>
      <c r="R4" s="145">
        <f t="shared" si="2"/>
        <v>7999.1254097003675</v>
      </c>
      <c r="S4" s="145">
        <f t="shared" si="2"/>
        <v>8087.525186227007</v>
      </c>
      <c r="T4" s="145">
        <f t="shared" si="2"/>
        <v>8218.4992675120211</v>
      </c>
      <c r="U4" s="145">
        <f t="shared" si="2"/>
        <v>8238.1469538600686</v>
      </c>
      <c r="V4" s="145">
        <f t="shared" si="2"/>
        <v>7204.9712823697218</v>
      </c>
      <c r="W4" s="145">
        <f t="shared" ref="W4:Y4" si="3">W5+W9+W10+W15</f>
        <v>7496.8966176027034</v>
      </c>
      <c r="X4" s="145">
        <f t="shared" si="3"/>
        <v>7153.0454962842632</v>
      </c>
      <c r="Y4" s="145">
        <f t="shared" si="3"/>
        <v>7049.5123913644975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5869.6952708512472</v>
      </c>
      <c r="C5" s="97">
        <f t="shared" si="4"/>
        <v>6302.1447979363711</v>
      </c>
      <c r="D5" s="97">
        <f t="shared" si="4"/>
        <v>6989.7678417884781</v>
      </c>
      <c r="E5" s="97">
        <f t="shared" si="4"/>
        <v>7471.3145313843506</v>
      </c>
      <c r="F5" s="97">
        <f t="shared" si="4"/>
        <v>7569.3177987962163</v>
      </c>
      <c r="G5" s="97">
        <f t="shared" si="4"/>
        <v>7788.3738607050727</v>
      </c>
      <c r="H5" s="97">
        <f t="shared" si="4"/>
        <v>7408.8841788478076</v>
      </c>
      <c r="I5" s="97">
        <f t="shared" si="4"/>
        <v>7459.3410146173683</v>
      </c>
      <c r="J5" s="97">
        <f t="shared" si="4"/>
        <v>7126.3404987102313</v>
      </c>
      <c r="K5" s="97">
        <f t="shared" si="4"/>
        <v>6816.4301805674968</v>
      </c>
      <c r="L5" s="97">
        <f t="shared" ref="L5" si="5">SUM(L6:L8)</f>
        <v>7079.9006018916589</v>
      </c>
      <c r="M5" s="97">
        <f t="shared" ref="M5:V5" si="6">SUM(M6:M8)</f>
        <v>6755.2271711091998</v>
      </c>
      <c r="N5" s="97">
        <f t="shared" si="6"/>
        <v>6734.1681857265685</v>
      </c>
      <c r="O5" s="97">
        <f t="shared" si="6"/>
        <v>7160.1137575236444</v>
      </c>
      <c r="P5" s="97">
        <f t="shared" si="6"/>
        <v>7040.6350816852964</v>
      </c>
      <c r="Q5" s="97">
        <f t="shared" si="6"/>
        <v>7185.4625967325883</v>
      </c>
      <c r="R5" s="97">
        <f t="shared" si="6"/>
        <v>7435.8748925193449</v>
      </c>
      <c r="S5" s="97">
        <f t="shared" si="6"/>
        <v>7588.2834049871017</v>
      </c>
      <c r="T5" s="97">
        <f t="shared" si="6"/>
        <v>7702.6056749785039</v>
      </c>
      <c r="U5" s="97">
        <f t="shared" si="6"/>
        <v>7726.8791917454855</v>
      </c>
      <c r="V5" s="97">
        <f t="shared" si="6"/>
        <v>6763.8009458297502</v>
      </c>
      <c r="W5" s="97">
        <f t="shared" ref="W5:Y5" si="7">SUM(W6:W8)</f>
        <v>7031.2645743766116</v>
      </c>
      <c r="X5" s="97">
        <f t="shared" si="7"/>
        <v>6694.2091143594143</v>
      </c>
      <c r="Y5" s="97">
        <f t="shared" si="7"/>
        <v>6484.2862424763534</v>
      </c>
      <c r="DA5" s="175"/>
    </row>
    <row r="6" spans="1:105" ht="11.45" customHeight="1" x14ac:dyDescent="0.25">
      <c r="A6" s="128" t="s">
        <v>52</v>
      </c>
      <c r="B6" s="97">
        <v>16.480395528804809</v>
      </c>
      <c r="C6" s="97">
        <v>17.579019776440241</v>
      </c>
      <c r="D6" s="97">
        <v>23.072484952708511</v>
      </c>
      <c r="E6" s="97">
        <v>27.467239896818569</v>
      </c>
      <c r="F6" s="97">
        <v>23.072484952708511</v>
      </c>
      <c r="G6" s="97">
        <v>22.19681857265692</v>
      </c>
      <c r="H6" s="97">
        <v>22.593465176268271</v>
      </c>
      <c r="I6" s="97">
        <v>21.994668959587269</v>
      </c>
      <c r="J6" s="97">
        <v>23.872398968185731</v>
      </c>
      <c r="K6" s="97">
        <v>22.51771281169389</v>
      </c>
      <c r="L6" s="97">
        <v>21.186070507308681</v>
      </c>
      <c r="M6" s="97">
        <v>20.351074806534822</v>
      </c>
      <c r="N6" s="97">
        <v>21.48366294067068</v>
      </c>
      <c r="O6" s="97">
        <v>20.093981083404991</v>
      </c>
      <c r="P6" s="97">
        <v>17.666809974204639</v>
      </c>
      <c r="Q6" s="97">
        <v>13.441186586414441</v>
      </c>
      <c r="R6" s="97">
        <v>12.189853826311261</v>
      </c>
      <c r="S6" s="97">
        <v>11.6049011177988</v>
      </c>
      <c r="T6" s="97">
        <v>8.226397248495271</v>
      </c>
      <c r="U6" s="97">
        <v>5.253310404127256</v>
      </c>
      <c r="V6" s="97">
        <v>3.054600171969045</v>
      </c>
      <c r="W6" s="97">
        <v>2.5082545141874459</v>
      </c>
      <c r="X6" s="97">
        <v>2.8860705073086841</v>
      </c>
      <c r="Y6" s="97">
        <v>1.8869303525365431</v>
      </c>
      <c r="DA6" s="175" t="s">
        <v>630</v>
      </c>
    </row>
    <row r="7" spans="1:105" ht="11.45" customHeight="1" x14ac:dyDescent="0.25">
      <c r="A7" s="128" t="s">
        <v>53</v>
      </c>
      <c r="B7" s="97">
        <v>2012.582373172829</v>
      </c>
      <c r="C7" s="97">
        <v>2021.739724849527</v>
      </c>
      <c r="D7" s="97">
        <v>2179.4496990541702</v>
      </c>
      <c r="E7" s="97">
        <v>2231.3413585554599</v>
      </c>
      <c r="F7" s="97">
        <v>2194.711951848667</v>
      </c>
      <c r="G7" s="97">
        <v>2138.5202923473771</v>
      </c>
      <c r="H7" s="97">
        <v>2056.5827171109199</v>
      </c>
      <c r="I7" s="97">
        <v>2006.4886500429923</v>
      </c>
      <c r="J7" s="97">
        <v>1889.0264832330179</v>
      </c>
      <c r="K7" s="97">
        <v>1778.9358555460014</v>
      </c>
      <c r="L7" s="97">
        <v>1771.4987102321579</v>
      </c>
      <c r="M7" s="97">
        <v>1637.78581255374</v>
      </c>
      <c r="N7" s="97">
        <v>1591.9601891659502</v>
      </c>
      <c r="O7" s="97">
        <v>1565.0239036973339</v>
      </c>
      <c r="P7" s="97">
        <v>1537.3139294926914</v>
      </c>
      <c r="Q7" s="97">
        <v>1553.9981943250216</v>
      </c>
      <c r="R7" s="97">
        <v>1536.0207222699912</v>
      </c>
      <c r="S7" s="97">
        <v>1519.5496990541703</v>
      </c>
      <c r="T7" s="97">
        <v>1576.970249355116</v>
      </c>
      <c r="U7" s="97">
        <v>1570.0793637145307</v>
      </c>
      <c r="V7" s="97">
        <v>1302.451332760103</v>
      </c>
      <c r="W7" s="97">
        <v>1370.5907996560616</v>
      </c>
      <c r="X7" s="97">
        <v>1415.9557179707649</v>
      </c>
      <c r="Y7" s="97">
        <v>1540.667927773</v>
      </c>
      <c r="DA7" s="175" t="s">
        <v>631</v>
      </c>
    </row>
    <row r="8" spans="1:105" ht="11.45" customHeight="1" x14ac:dyDescent="0.25">
      <c r="A8" s="128" t="s">
        <v>54</v>
      </c>
      <c r="B8" s="97">
        <v>3840.6325021496132</v>
      </c>
      <c r="C8" s="97">
        <v>4262.8260533104039</v>
      </c>
      <c r="D8" s="97">
        <v>4787.2456577815992</v>
      </c>
      <c r="E8" s="97">
        <v>5212.505932932072</v>
      </c>
      <c r="F8" s="97">
        <v>5351.5333619948406</v>
      </c>
      <c r="G8" s="97">
        <v>5627.6567497850383</v>
      </c>
      <c r="H8" s="97">
        <v>5329.707996560619</v>
      </c>
      <c r="I8" s="97">
        <v>5430.857695614789</v>
      </c>
      <c r="J8" s="97">
        <v>5213.4416165090279</v>
      </c>
      <c r="K8" s="97">
        <v>5014.9766122098017</v>
      </c>
      <c r="L8" s="97">
        <v>5287.2158211521919</v>
      </c>
      <c r="M8" s="97">
        <v>5097.0902837489248</v>
      </c>
      <c r="N8" s="97">
        <v>5120.7243336199481</v>
      </c>
      <c r="O8" s="97">
        <v>5574.9958727429057</v>
      </c>
      <c r="P8" s="97">
        <v>5485.6543422184004</v>
      </c>
      <c r="Q8" s="97">
        <v>5618.023215821152</v>
      </c>
      <c r="R8" s="97">
        <v>5887.6643164230427</v>
      </c>
      <c r="S8" s="97">
        <v>6057.1288048151328</v>
      </c>
      <c r="T8" s="97">
        <v>6117.4090283748928</v>
      </c>
      <c r="U8" s="97">
        <v>6151.5465176268272</v>
      </c>
      <c r="V8" s="97">
        <v>5458.2950128976781</v>
      </c>
      <c r="W8" s="97">
        <v>5658.1655202063621</v>
      </c>
      <c r="X8" s="97">
        <v>5275.3673258813405</v>
      </c>
      <c r="Y8" s="97">
        <v>4941.7313843508164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0.34393809114359408</v>
      </c>
      <c r="G9" s="97">
        <v>0.36921754084264818</v>
      </c>
      <c r="H9" s="97">
        <v>0.36087704213241623</v>
      </c>
      <c r="I9" s="97">
        <v>1.7964746345657781</v>
      </c>
      <c r="J9" s="97">
        <v>3.2607050730868439</v>
      </c>
      <c r="K9" s="97">
        <v>7.8607910576096307</v>
      </c>
      <c r="L9" s="97">
        <v>10.84127257093723</v>
      </c>
      <c r="M9" s="97">
        <v>11.609630266552021</v>
      </c>
      <c r="N9" s="97">
        <v>12.720894239036969</v>
      </c>
      <c r="O9" s="97">
        <v>15.4725709372313</v>
      </c>
      <c r="P9" s="97">
        <v>16.773430782459151</v>
      </c>
      <c r="Q9" s="97">
        <v>17.35004299226139</v>
      </c>
      <c r="R9" s="97">
        <v>17.30051590713672</v>
      </c>
      <c r="S9" s="97">
        <v>17.11607910576096</v>
      </c>
      <c r="T9" s="97">
        <v>16.63766122098022</v>
      </c>
      <c r="U9" s="97">
        <v>18.314615288844454</v>
      </c>
      <c r="V9" s="97">
        <v>19.424578737208304</v>
      </c>
      <c r="W9" s="97">
        <v>18.524007916397505</v>
      </c>
      <c r="X9" s="97">
        <v>17.802776390241963</v>
      </c>
      <c r="Y9" s="97">
        <v>16.231712775141965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15.73602751504729</v>
      </c>
      <c r="C10" s="97">
        <f t="shared" ref="C10:W10" si="8">SUM(C11:C13)</f>
        <v>17.309544282029229</v>
      </c>
      <c r="D10" s="97">
        <f t="shared" si="8"/>
        <v>18.27644024075666</v>
      </c>
      <c r="E10" s="97">
        <f t="shared" si="8"/>
        <v>18.6688736027515</v>
      </c>
      <c r="F10" s="97">
        <f t="shared" si="8"/>
        <v>18.26595012897678</v>
      </c>
      <c r="G10" s="97">
        <f t="shared" si="8"/>
        <v>73.258641444539975</v>
      </c>
      <c r="H10" s="97">
        <f t="shared" si="8"/>
        <v>253.94806534823732</v>
      </c>
      <c r="I10" s="97">
        <f t="shared" si="8"/>
        <v>319.73276010318142</v>
      </c>
      <c r="J10" s="97">
        <f t="shared" si="8"/>
        <v>392.80713671539127</v>
      </c>
      <c r="K10" s="97">
        <f t="shared" si="8"/>
        <v>507.95004299226139</v>
      </c>
      <c r="L10" s="97">
        <f t="shared" si="8"/>
        <v>492.31263972484948</v>
      </c>
      <c r="M10" s="97">
        <f t="shared" si="8"/>
        <v>495.11461736887355</v>
      </c>
      <c r="N10" s="97">
        <f t="shared" si="8"/>
        <v>488.09853826311257</v>
      </c>
      <c r="O10" s="97">
        <f t="shared" si="8"/>
        <v>499.93456577815994</v>
      </c>
      <c r="P10" s="97">
        <f t="shared" si="8"/>
        <v>594.42476354256246</v>
      </c>
      <c r="Q10" s="97">
        <f t="shared" si="8"/>
        <v>651.57325881341342</v>
      </c>
      <c r="R10" s="97">
        <f t="shared" si="8"/>
        <v>541.56749785038676</v>
      </c>
      <c r="S10" s="97">
        <f t="shared" si="8"/>
        <v>476.38366294067066</v>
      </c>
      <c r="T10" s="97">
        <f t="shared" si="8"/>
        <v>491.66397248495269</v>
      </c>
      <c r="U10" s="97">
        <f t="shared" si="8"/>
        <v>482.64325229499042</v>
      </c>
      <c r="V10" s="97">
        <f t="shared" si="8"/>
        <v>407.66063192487252</v>
      </c>
      <c r="W10" s="97">
        <f t="shared" si="8"/>
        <v>420.38837385488358</v>
      </c>
      <c r="X10" s="97">
        <f t="shared" ref="X10:Y10" si="9">SUM(X11:X13)</f>
        <v>402.02190116779758</v>
      </c>
      <c r="Y10" s="97">
        <f t="shared" si="9"/>
        <v>493.91549272786744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2.579535683576956E-4</v>
      </c>
      <c r="K11" s="97">
        <v>1.375752364574377E-3</v>
      </c>
      <c r="L11" s="97">
        <v>2.0636285468615648E-3</v>
      </c>
      <c r="M11" s="97">
        <v>7.3946689595872734E-3</v>
      </c>
      <c r="N11" s="97">
        <v>1.117798796216681E-2</v>
      </c>
      <c r="O11" s="97">
        <v>1.8142734307824589E-2</v>
      </c>
      <c r="P11" s="97">
        <v>0.54823731728288905</v>
      </c>
      <c r="Q11" s="97">
        <v>0.41564918314703347</v>
      </c>
      <c r="R11" s="97">
        <v>0.40851246775580402</v>
      </c>
      <c r="S11" s="97">
        <v>0.2562338779019776</v>
      </c>
      <c r="T11" s="97">
        <v>0.36655202063628539</v>
      </c>
      <c r="U11" s="97">
        <v>0.41057817633181121</v>
      </c>
      <c r="V11" s="97">
        <v>0.36450122839788718</v>
      </c>
      <c r="W11" s="97">
        <v>0.37642200621642086</v>
      </c>
      <c r="X11" s="97">
        <v>0.38398199324901294</v>
      </c>
      <c r="Y11" s="97">
        <v>0.58685988177978543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12.99836629406707</v>
      </c>
      <c r="J12" s="97">
        <v>54.101289767841777</v>
      </c>
      <c r="K12" s="97">
        <v>78.000085984522784</v>
      </c>
      <c r="L12" s="97">
        <v>78.262338779019771</v>
      </c>
      <c r="M12" s="97">
        <v>77.220464316423033</v>
      </c>
      <c r="N12" s="97">
        <v>77.253482373172815</v>
      </c>
      <c r="O12" s="97">
        <v>66.090455717970755</v>
      </c>
      <c r="P12" s="97">
        <v>62.920636285468618</v>
      </c>
      <c r="Q12" s="97">
        <v>59.845141874462598</v>
      </c>
      <c r="R12" s="97">
        <v>57.128116938950981</v>
      </c>
      <c r="S12" s="97">
        <v>56.019862424763538</v>
      </c>
      <c r="T12" s="97">
        <v>57.594411006018909</v>
      </c>
      <c r="U12" s="97">
        <v>56.502235597592431</v>
      </c>
      <c r="V12" s="97">
        <v>56.184522785898537</v>
      </c>
      <c r="W12" s="97">
        <v>52.133877901977641</v>
      </c>
      <c r="X12" s="97">
        <v>51.594325021496132</v>
      </c>
      <c r="Y12" s="97">
        <v>99.83903697334479</v>
      </c>
      <c r="DA12" s="175" t="s">
        <v>635</v>
      </c>
    </row>
    <row r="13" spans="1:105" ht="11.45" customHeight="1" x14ac:dyDescent="0.25">
      <c r="A13" s="128" t="s">
        <v>177</v>
      </c>
      <c r="B13" s="97">
        <v>15.73602751504729</v>
      </c>
      <c r="C13" s="97">
        <v>17.309544282029229</v>
      </c>
      <c r="D13" s="97">
        <v>18.27644024075666</v>
      </c>
      <c r="E13" s="97">
        <v>18.6688736027515</v>
      </c>
      <c r="F13" s="97">
        <v>18.26595012897678</v>
      </c>
      <c r="G13" s="97">
        <v>73.258641444539975</v>
      </c>
      <c r="H13" s="97">
        <v>253.94806534823732</v>
      </c>
      <c r="I13" s="97">
        <v>306.73439380911435</v>
      </c>
      <c r="J13" s="97">
        <v>338.70558899398111</v>
      </c>
      <c r="K13" s="97">
        <v>429.94858125537399</v>
      </c>
      <c r="L13" s="97">
        <v>414.04823731728283</v>
      </c>
      <c r="M13" s="97">
        <v>417.88675838349093</v>
      </c>
      <c r="N13" s="97">
        <v>410.83387790197759</v>
      </c>
      <c r="O13" s="97">
        <v>433.82596732588138</v>
      </c>
      <c r="P13" s="97">
        <v>530.95588993981096</v>
      </c>
      <c r="Q13" s="97">
        <v>591.31246775580382</v>
      </c>
      <c r="R13" s="97">
        <v>484.03086844367999</v>
      </c>
      <c r="S13" s="97">
        <v>420.10756663800515</v>
      </c>
      <c r="T13" s="97">
        <v>433.70300945829752</v>
      </c>
      <c r="U13" s="97">
        <v>425.73043852106616</v>
      </c>
      <c r="V13" s="97">
        <v>351.11160791057608</v>
      </c>
      <c r="W13" s="97">
        <v>367.87807394668954</v>
      </c>
      <c r="X13" s="97">
        <v>350.04359415305242</v>
      </c>
      <c r="Y13" s="97">
        <v>393.48959587274288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1.5657792272024111</v>
      </c>
      <c r="C15" s="98">
        <v>1.4918677877251765</v>
      </c>
      <c r="D15" s="98">
        <v>1.461739037651832</v>
      </c>
      <c r="E15" s="98">
        <v>1.4381878337461889</v>
      </c>
      <c r="F15" s="98">
        <v>1.3726652657819496</v>
      </c>
      <c r="G15" s="98">
        <v>1.3547354492124268</v>
      </c>
      <c r="H15" s="98">
        <v>1.3771823582974072</v>
      </c>
      <c r="I15" s="98">
        <v>1.2635329188321629</v>
      </c>
      <c r="J15" s="98">
        <v>1.2621599786100295</v>
      </c>
      <c r="K15" s="98">
        <v>1.3920514613380024</v>
      </c>
      <c r="L15" s="98">
        <v>1.4826555051137764</v>
      </c>
      <c r="M15" s="98">
        <v>1.654368156096542</v>
      </c>
      <c r="N15" s="98">
        <v>1.9364473609660919</v>
      </c>
      <c r="O15" s="98">
        <v>2.3035242211251576</v>
      </c>
      <c r="P15" s="98">
        <v>2.5597923126472528</v>
      </c>
      <c r="Q15" s="98">
        <v>3.2006618360937864</v>
      </c>
      <c r="R15" s="98">
        <v>4.3825034234992275</v>
      </c>
      <c r="S15" s="98">
        <v>5.7420391934734383</v>
      </c>
      <c r="T15" s="98">
        <v>7.5919588275846568</v>
      </c>
      <c r="U15" s="98">
        <v>10.309894530748526</v>
      </c>
      <c r="V15" s="98">
        <v>14.085125877890825</v>
      </c>
      <c r="W15" s="98">
        <v>26.719661454809852</v>
      </c>
      <c r="X15" s="98">
        <v>39.011704366810015</v>
      </c>
      <c r="Y15" s="98">
        <v>55.078943385133996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5886.9970775934971</v>
      </c>
      <c r="C17" s="79">
        <f t="shared" si="10"/>
        <v>6320.9462100061255</v>
      </c>
      <c r="D17" s="79">
        <f t="shared" si="10"/>
        <v>7009.5060210668871</v>
      </c>
      <c r="E17" s="79">
        <f t="shared" si="10"/>
        <v>7491.4215928208478</v>
      </c>
      <c r="F17" s="79">
        <f t="shared" si="10"/>
        <v>7589.3003522821191</v>
      </c>
      <c r="G17" s="79">
        <f t="shared" si="10"/>
        <v>7863.3564551396667</v>
      </c>
      <c r="H17" s="79">
        <f t="shared" si="10"/>
        <v>7664.5703035964734</v>
      </c>
      <c r="I17" s="79">
        <f t="shared" si="10"/>
        <v>7782.1337822739488</v>
      </c>
      <c r="J17" s="79">
        <f t="shared" si="10"/>
        <v>7523.6705004773194</v>
      </c>
      <c r="K17" s="79">
        <f t="shared" si="10"/>
        <v>7333.6330660787071</v>
      </c>
      <c r="L17" s="79">
        <f t="shared" ref="L17" si="11">L18+L42</f>
        <v>7584.5371696925577</v>
      </c>
      <c r="M17" s="79">
        <f t="shared" ref="M17:V17" si="12">M18+M42</f>
        <v>7263.6057869007227</v>
      </c>
      <c r="N17" s="79">
        <f t="shared" si="12"/>
        <v>7236.9240655896847</v>
      </c>
      <c r="O17" s="79">
        <f t="shared" si="12"/>
        <v>7677.8244184601626</v>
      </c>
      <c r="P17" s="79">
        <f t="shared" si="12"/>
        <v>7654.3930683229646</v>
      </c>
      <c r="Q17" s="79">
        <f t="shared" si="12"/>
        <v>7857.5865603743559</v>
      </c>
      <c r="R17" s="79">
        <f t="shared" si="12"/>
        <v>7999.1254097003684</v>
      </c>
      <c r="S17" s="79">
        <f t="shared" si="12"/>
        <v>8087.5251862270061</v>
      </c>
      <c r="T17" s="79">
        <f t="shared" si="12"/>
        <v>8218.4992675120229</v>
      </c>
      <c r="U17" s="79">
        <f t="shared" si="12"/>
        <v>8238.1469538600686</v>
      </c>
      <c r="V17" s="79">
        <f t="shared" si="12"/>
        <v>7204.9712823697218</v>
      </c>
      <c r="W17" s="79">
        <f t="shared" ref="W17:Y17" si="13">W18+W42</f>
        <v>7496.8966176027025</v>
      </c>
      <c r="X17" s="79">
        <f t="shared" si="13"/>
        <v>7153.045496284265</v>
      </c>
      <c r="Y17" s="79">
        <f t="shared" si="13"/>
        <v>7049.5123913644948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4025.6625492046323</v>
      </c>
      <c r="C18" s="32">
        <f t="shared" si="14"/>
        <v>4201.2509809271132</v>
      </c>
      <c r="D18" s="32">
        <f t="shared" si="14"/>
        <v>4656.6203265703853</v>
      </c>
      <c r="E18" s="32">
        <f t="shared" si="14"/>
        <v>4954.66763268882</v>
      </c>
      <c r="F18" s="32">
        <f t="shared" si="14"/>
        <v>5040.0828448237098</v>
      </c>
      <c r="G18" s="32">
        <f t="shared" si="14"/>
        <v>5187.209534611221</v>
      </c>
      <c r="H18" s="32">
        <f t="shared" si="14"/>
        <v>5129.1564281608571</v>
      </c>
      <c r="I18" s="32">
        <f t="shared" si="14"/>
        <v>5237.2869438198604</v>
      </c>
      <c r="J18" s="32">
        <f t="shared" si="14"/>
        <v>5058.8661671781574</v>
      </c>
      <c r="K18" s="32">
        <f t="shared" si="14"/>
        <v>4986.4828946771886</v>
      </c>
      <c r="L18" s="32">
        <f t="shared" ref="L18" si="15">L19+L21+L33</f>
        <v>5052.2197339155664</v>
      </c>
      <c r="M18" s="32">
        <f t="shared" ref="M18:V18" si="16">M19+M21+M33</f>
        <v>4909.9960555338403</v>
      </c>
      <c r="N18" s="32">
        <f t="shared" si="16"/>
        <v>4846.9212055654862</v>
      </c>
      <c r="O18" s="32">
        <f t="shared" si="16"/>
        <v>4933.9582333198623</v>
      </c>
      <c r="P18" s="32">
        <f t="shared" si="16"/>
        <v>4991.1805020569118</v>
      </c>
      <c r="Q18" s="32">
        <f t="shared" si="16"/>
        <v>5106.1142821592803</v>
      </c>
      <c r="R18" s="32">
        <f t="shared" si="16"/>
        <v>5181.3832675094436</v>
      </c>
      <c r="S18" s="32">
        <f t="shared" si="16"/>
        <v>5194.6481619574433</v>
      </c>
      <c r="T18" s="32">
        <f t="shared" si="16"/>
        <v>5243.8847901491526</v>
      </c>
      <c r="U18" s="32">
        <f t="shared" si="16"/>
        <v>5186.2197869076199</v>
      </c>
      <c r="V18" s="32">
        <f t="shared" si="16"/>
        <v>4304.0465616709689</v>
      </c>
      <c r="W18" s="32">
        <f t="shared" ref="W18:Y18" si="17">W19+W21+W33</f>
        <v>4448.8424600371536</v>
      </c>
      <c r="X18" s="32">
        <f t="shared" si="17"/>
        <v>4487.5658040483331</v>
      </c>
      <c r="Y18" s="32">
        <f t="shared" si="17"/>
        <v>4571.9649334591095</v>
      </c>
      <c r="DA18" s="173" t="s">
        <v>391</v>
      </c>
    </row>
    <row r="19" spans="1:105" ht="11.45" customHeight="1" x14ac:dyDescent="0.25">
      <c r="A19" s="107" t="s">
        <v>174</v>
      </c>
      <c r="B19" s="129">
        <v>33.000303593944274</v>
      </c>
      <c r="C19" s="129">
        <v>33.832976219695347</v>
      </c>
      <c r="D19" s="129">
        <v>34.869690530444821</v>
      </c>
      <c r="E19" s="129">
        <v>35.85996547951315</v>
      </c>
      <c r="F19" s="129">
        <v>37.515154093892356</v>
      </c>
      <c r="G19" s="129">
        <v>38.433479539764441</v>
      </c>
      <c r="H19" s="129">
        <v>39.519213817919514</v>
      </c>
      <c r="I19" s="129">
        <v>40.929284240460149</v>
      </c>
      <c r="J19" s="129">
        <v>42.435705499565223</v>
      </c>
      <c r="K19" s="129">
        <v>43.947031772267714</v>
      </c>
      <c r="L19" s="129">
        <v>45.194622615862706</v>
      </c>
      <c r="M19" s="129">
        <v>46.678930109743852</v>
      </c>
      <c r="N19" s="129">
        <v>48.657310010485666</v>
      </c>
      <c r="O19" s="129">
        <v>50.133353238041252</v>
      </c>
      <c r="P19" s="129">
        <v>52.002467822347519</v>
      </c>
      <c r="Q19" s="129">
        <v>53.561851642686037</v>
      </c>
      <c r="R19" s="129">
        <v>54.639460248912393</v>
      </c>
      <c r="S19" s="129">
        <v>54.057634012853093</v>
      </c>
      <c r="T19" s="129">
        <v>51.701770081529773</v>
      </c>
      <c r="U19" s="129">
        <v>54.974676189090424</v>
      </c>
      <c r="V19" s="129">
        <v>49.649070272355345</v>
      </c>
      <c r="W19" s="129">
        <v>49.484196731667019</v>
      </c>
      <c r="X19" s="129">
        <v>50.379921543898959</v>
      </c>
      <c r="Y19" s="129">
        <v>54.708370613482337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0.26344008374782873</v>
      </c>
      <c r="J20" s="97">
        <v>1.1815107743477038</v>
      </c>
      <c r="K20" s="97">
        <v>1.8459830413838159</v>
      </c>
      <c r="L20" s="97">
        <v>1.9121587991288826</v>
      </c>
      <c r="M20" s="97">
        <v>2.1017816118122399</v>
      </c>
      <c r="N20" s="97">
        <v>2.2519265839436047</v>
      </c>
      <c r="O20" s="97">
        <v>2.0313328388328711</v>
      </c>
      <c r="P20" s="97">
        <v>2.0447179643351823</v>
      </c>
      <c r="Q20" s="97">
        <v>1.9862006049261574</v>
      </c>
      <c r="R20" s="97">
        <v>1.959295577261285</v>
      </c>
      <c r="S20" s="97">
        <v>1.9220358748017983</v>
      </c>
      <c r="T20" s="97">
        <v>1.8217284809989882</v>
      </c>
      <c r="U20" s="97">
        <v>1.9096441932276511</v>
      </c>
      <c r="V20" s="97">
        <v>2.0531692201622289</v>
      </c>
      <c r="W20" s="97">
        <v>1.8132834210158892</v>
      </c>
      <c r="X20" s="97">
        <v>1.7711955098945169</v>
      </c>
      <c r="Y20" s="97">
        <v>3.3294775053121777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3734.91663855262</v>
      </c>
      <c r="C21" s="130">
        <f t="shared" si="18"/>
        <v>3908.9858481067226</v>
      </c>
      <c r="D21" s="130">
        <f t="shared" si="18"/>
        <v>4354.5594473164265</v>
      </c>
      <c r="E21" s="130">
        <f t="shared" si="18"/>
        <v>4643.8168487761241</v>
      </c>
      <c r="F21" s="130">
        <f t="shared" si="18"/>
        <v>4730.4772334134796</v>
      </c>
      <c r="G21" s="130">
        <f t="shared" si="18"/>
        <v>4878.3108332961274</v>
      </c>
      <c r="H21" s="130">
        <f t="shared" si="18"/>
        <v>4824.1926653068276</v>
      </c>
      <c r="I21" s="130">
        <f t="shared" si="18"/>
        <v>4915.9159065501026</v>
      </c>
      <c r="J21" s="130">
        <f t="shared" si="18"/>
        <v>4744.3648898423398</v>
      </c>
      <c r="K21" s="130">
        <f t="shared" si="18"/>
        <v>4692.3671205709215</v>
      </c>
      <c r="L21" s="130">
        <f t="shared" ref="L21" si="19">L22+L24+L26+L27+L29+L32</f>
        <v>4735.7445442642775</v>
      </c>
      <c r="M21" s="130">
        <f t="shared" ref="M21:V21" si="20">M22+M24+M26+M27+M29+M32</f>
        <v>4594.731259452532</v>
      </c>
      <c r="N21" s="130">
        <f t="shared" si="20"/>
        <v>4529.7978018307813</v>
      </c>
      <c r="O21" s="130">
        <f t="shared" si="20"/>
        <v>4615.8066403735756</v>
      </c>
      <c r="P21" s="130">
        <f t="shared" si="20"/>
        <v>4663.2681885695174</v>
      </c>
      <c r="Q21" s="130">
        <f t="shared" si="20"/>
        <v>4771.0986179048605</v>
      </c>
      <c r="R21" s="130">
        <f t="shared" si="20"/>
        <v>4833.5675706062666</v>
      </c>
      <c r="S21" s="130">
        <f t="shared" si="20"/>
        <v>4838.4002009257856</v>
      </c>
      <c r="T21" s="130">
        <f t="shared" si="20"/>
        <v>4901.2094428083456</v>
      </c>
      <c r="U21" s="130">
        <f t="shared" si="20"/>
        <v>4843.3530142083036</v>
      </c>
      <c r="V21" s="130">
        <f t="shared" si="20"/>
        <v>3968.1843930396972</v>
      </c>
      <c r="W21" s="130">
        <f t="shared" ref="W21:Y21" si="21">W22+W24+W26+W27+W29+W32</f>
        <v>4114.6817501032174</v>
      </c>
      <c r="X21" s="130">
        <f t="shared" si="21"/>
        <v>4158.8338693924443</v>
      </c>
      <c r="Y21" s="130">
        <f t="shared" si="21"/>
        <v>4242.4445847164361</v>
      </c>
      <c r="DA21" s="176" t="s">
        <v>393</v>
      </c>
    </row>
    <row r="22" spans="1:105" ht="11.45" customHeight="1" x14ac:dyDescent="0.25">
      <c r="A22" s="111" t="s">
        <v>110</v>
      </c>
      <c r="B22" s="96">
        <v>1914.2651205174302</v>
      </c>
      <c r="C22" s="96">
        <v>1928.1353195963381</v>
      </c>
      <c r="D22" s="96">
        <v>2103.3596055323146</v>
      </c>
      <c r="E22" s="96">
        <v>2159.6212042659804</v>
      </c>
      <c r="F22" s="96">
        <v>2125.8129674016636</v>
      </c>
      <c r="G22" s="96">
        <v>2071.4105009296813</v>
      </c>
      <c r="H22" s="96">
        <v>1989.941145369721</v>
      </c>
      <c r="I22" s="96">
        <v>1952.5634434077974</v>
      </c>
      <c r="J22" s="96">
        <v>1876.4956584795289</v>
      </c>
      <c r="K22" s="96">
        <v>1789.6040507024097</v>
      </c>
      <c r="L22" s="96">
        <v>1781.8114487531045</v>
      </c>
      <c r="M22" s="96">
        <v>1645.0428533838856</v>
      </c>
      <c r="N22" s="96">
        <v>1597.297177685035</v>
      </c>
      <c r="O22" s="96">
        <v>1558.4897320277382</v>
      </c>
      <c r="P22" s="96">
        <v>1525.1732266279653</v>
      </c>
      <c r="Q22" s="96">
        <v>1536.4179172137269</v>
      </c>
      <c r="R22" s="96">
        <v>1514.7852017102389</v>
      </c>
      <c r="S22" s="96">
        <v>1497.1547057362241</v>
      </c>
      <c r="T22" s="96">
        <v>1557.4107233350187</v>
      </c>
      <c r="U22" s="96">
        <v>1545.8257499803133</v>
      </c>
      <c r="V22" s="96">
        <v>1282.7890955252003</v>
      </c>
      <c r="W22" s="96">
        <v>1344.2447595512322</v>
      </c>
      <c r="X22" s="96">
        <v>1384.7530365487203</v>
      </c>
      <c r="Y22" s="96">
        <v>1549.3300125138599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12.567614767761109</v>
      </c>
      <c r="J23" s="96">
        <v>52.246093529256108</v>
      </c>
      <c r="K23" s="96">
        <v>75.171828338884922</v>
      </c>
      <c r="L23" s="96">
        <v>75.387429807323628</v>
      </c>
      <c r="M23" s="96">
        <v>74.070267072459288</v>
      </c>
      <c r="N23" s="96">
        <v>73.925089079356596</v>
      </c>
      <c r="O23" s="96">
        <v>63.14780813922426</v>
      </c>
      <c r="P23" s="96">
        <v>59.969251956713698</v>
      </c>
      <c r="Q23" s="96">
        <v>56.974023544721817</v>
      </c>
      <c r="R23" s="96">
        <v>54.318105133016786</v>
      </c>
      <c r="S23" s="96">
        <v>53.231798007829184</v>
      </c>
      <c r="T23" s="96">
        <v>54.875867244750459</v>
      </c>
      <c r="U23" s="96">
        <v>53.697036014147471</v>
      </c>
      <c r="V23" s="96">
        <v>53.047984029593792</v>
      </c>
      <c r="W23" s="96">
        <v>49.258084343559389</v>
      </c>
      <c r="X23" s="96">
        <v>48.683449387882412</v>
      </c>
      <c r="Y23" s="96">
        <v>94.29013087256304</v>
      </c>
      <c r="DA23" s="171" t="s">
        <v>642</v>
      </c>
    </row>
    <row r="24" spans="1:105" ht="11.45" customHeight="1" x14ac:dyDescent="0.25">
      <c r="A24" s="111" t="s">
        <v>111</v>
      </c>
      <c r="B24" s="96">
        <v>1804.1711225063848</v>
      </c>
      <c r="C24" s="96">
        <v>1963.4181681280229</v>
      </c>
      <c r="D24" s="96">
        <v>2228.620744785841</v>
      </c>
      <c r="E24" s="96">
        <v>2457.4842702525684</v>
      </c>
      <c r="F24" s="96">
        <v>2582.6366072996916</v>
      </c>
      <c r="G24" s="96">
        <v>2786.4478569145294</v>
      </c>
      <c r="H24" s="96">
        <v>2813.6813975089849</v>
      </c>
      <c r="I24" s="96">
        <v>2943.8089385402773</v>
      </c>
      <c r="J24" s="96">
        <v>2845.9561797645929</v>
      </c>
      <c r="K24" s="96">
        <v>2882.432334051332</v>
      </c>
      <c r="L24" s="96">
        <v>2935.3710584934361</v>
      </c>
      <c r="M24" s="96">
        <v>2930.8515404365403</v>
      </c>
      <c r="N24" s="96">
        <v>2912.0559655400443</v>
      </c>
      <c r="O24" s="96">
        <v>3037.5977605139474</v>
      </c>
      <c r="P24" s="96">
        <v>3119.8503577625252</v>
      </c>
      <c r="Q24" s="96">
        <v>3218.7630801244413</v>
      </c>
      <c r="R24" s="96">
        <v>3302.5579525076405</v>
      </c>
      <c r="S24" s="96">
        <v>3323.0791434576431</v>
      </c>
      <c r="T24" s="96">
        <v>3326.7774819556453</v>
      </c>
      <c r="U24" s="96">
        <v>3278.4157515361835</v>
      </c>
      <c r="V24" s="96">
        <v>2664.6771139984144</v>
      </c>
      <c r="W24" s="96">
        <v>2736.0691120605943</v>
      </c>
      <c r="X24" s="96">
        <v>2725.6747968887098</v>
      </c>
      <c r="Y24" s="96">
        <v>2628.073144354777</v>
      </c>
      <c r="DA24" s="171" t="s">
        <v>643</v>
      </c>
    </row>
    <row r="25" spans="1:105" ht="11.45" customHeight="1" x14ac:dyDescent="0.25">
      <c r="A25" s="160" t="s">
        <v>131</v>
      </c>
      <c r="B25" s="96">
        <v>7.3619744086240075</v>
      </c>
      <c r="C25" s="96">
        <v>7.9403731378206102</v>
      </c>
      <c r="D25" s="96">
        <v>8.4759268671662937</v>
      </c>
      <c r="E25" s="96">
        <v>8.77020266361267</v>
      </c>
      <c r="F25" s="96">
        <v>8.7851163010313638</v>
      </c>
      <c r="G25" s="96">
        <v>35.806773201308836</v>
      </c>
      <c r="H25" s="96">
        <v>127.96793704364717</v>
      </c>
      <c r="I25" s="96">
        <v>157.37742177897991</v>
      </c>
      <c r="J25" s="96">
        <v>173.61594144384659</v>
      </c>
      <c r="K25" s="96">
        <v>227.60600900033518</v>
      </c>
      <c r="L25" s="96">
        <v>213.17820051429931</v>
      </c>
      <c r="M25" s="96">
        <v>222.07962792583461</v>
      </c>
      <c r="N25" s="96">
        <v>216.28105485691717</v>
      </c>
      <c r="O25" s="96">
        <v>219.30901296065201</v>
      </c>
      <c r="P25" s="96">
        <v>275.3216278380454</v>
      </c>
      <c r="Q25" s="96">
        <v>306.52147621261184</v>
      </c>
      <c r="R25" s="96">
        <v>250.88142911081388</v>
      </c>
      <c r="S25" s="96">
        <v>215.53184300271249</v>
      </c>
      <c r="T25" s="96">
        <v>220.24251720773253</v>
      </c>
      <c r="U25" s="96">
        <v>212.20352812591616</v>
      </c>
      <c r="V25" s="96">
        <v>161.04898953145204</v>
      </c>
      <c r="W25" s="96">
        <v>167.03162189309512</v>
      </c>
      <c r="X25" s="96">
        <v>169.60627693833999</v>
      </c>
      <c r="Y25" s="96">
        <v>193.82879234607401</v>
      </c>
      <c r="DA25" s="171" t="s">
        <v>644</v>
      </c>
    </row>
    <row r="26" spans="1:105" ht="11.45" customHeight="1" x14ac:dyDescent="0.25">
      <c r="A26" s="111" t="s">
        <v>112</v>
      </c>
      <c r="B26" s="96">
        <v>16.480395528804809</v>
      </c>
      <c r="C26" s="96">
        <v>17.432360382361729</v>
      </c>
      <c r="D26" s="96">
        <v>22.579096998271321</v>
      </c>
      <c r="E26" s="96">
        <v>26.711374257575653</v>
      </c>
      <c r="F26" s="96">
        <v>22.027658712123927</v>
      </c>
      <c r="G26" s="96">
        <v>20.452475451917493</v>
      </c>
      <c r="H26" s="96">
        <v>20.509177381372311</v>
      </c>
      <c r="I26" s="96">
        <v>19.307106553636721</v>
      </c>
      <c r="J26" s="96">
        <v>20.828146977313246</v>
      </c>
      <c r="K26" s="96">
        <v>18.996720461940892</v>
      </c>
      <c r="L26" s="96">
        <v>16.913699934556849</v>
      </c>
      <c r="M26" s="96">
        <v>15.738954526901459</v>
      </c>
      <c r="N26" s="96">
        <v>16.787438458216901</v>
      </c>
      <c r="O26" s="96">
        <v>15.507582671128894</v>
      </c>
      <c r="P26" s="96">
        <v>13.170259440164834</v>
      </c>
      <c r="Q26" s="96">
        <v>9.7023703622415258</v>
      </c>
      <c r="R26" s="96">
        <v>8.8683604150218471</v>
      </c>
      <c r="S26" s="96">
        <v>8.7980685856213405</v>
      </c>
      <c r="T26" s="96">
        <v>5.4505918935137725</v>
      </c>
      <c r="U26" s="96">
        <v>4.5417465274057465</v>
      </c>
      <c r="V26" s="96">
        <v>2.2858674706755786</v>
      </c>
      <c r="W26" s="96">
        <v>1.703497898130955</v>
      </c>
      <c r="X26" s="96">
        <v>2.0537716953067471</v>
      </c>
      <c r="Y26" s="96">
        <v>1.1262554801145033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6.0945046749942069E-2</v>
      </c>
      <c r="I27" s="96">
        <v>0.23641804839111796</v>
      </c>
      <c r="J27" s="96">
        <v>1.0844882811755152</v>
      </c>
      <c r="K27" s="96">
        <v>1.2661017025474464</v>
      </c>
      <c r="L27" s="96">
        <v>1.5753506542243647</v>
      </c>
      <c r="M27" s="96">
        <v>2.8921354165497437</v>
      </c>
      <c r="N27" s="96">
        <v>3.2729120659878079</v>
      </c>
      <c r="O27" s="96">
        <v>3.6573335779858138</v>
      </c>
      <c r="P27" s="96">
        <v>4.1255526617699614</v>
      </c>
      <c r="Q27" s="96">
        <v>4.5360484182954934</v>
      </c>
      <c r="R27" s="96">
        <v>4.4006147856356383</v>
      </c>
      <c r="S27" s="96">
        <v>4.4529510930829419</v>
      </c>
      <c r="T27" s="96">
        <v>4.4616147802127255</v>
      </c>
      <c r="U27" s="96">
        <v>4.3376057829654675</v>
      </c>
      <c r="V27" s="96">
        <v>3.749273961956777</v>
      </c>
      <c r="W27" s="96">
        <v>3.6382944950529814</v>
      </c>
      <c r="X27" s="96">
        <v>3.621047288525733</v>
      </c>
      <c r="Y27" s="96">
        <v>3.3367817096098147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8.578681195851138E-5</v>
      </c>
      <c r="K28" s="96">
        <v>2.2154737404725798E-4</v>
      </c>
      <c r="L28" s="96">
        <v>2.9980981144245257E-4</v>
      </c>
      <c r="M28" s="96">
        <v>1.8409518883193774E-3</v>
      </c>
      <c r="N28" s="96">
        <v>2.8734184838554735E-3</v>
      </c>
      <c r="O28" s="96">
        <v>4.2834715551158531E-3</v>
      </c>
      <c r="P28" s="96">
        <v>0.13057529509133878</v>
      </c>
      <c r="Q28" s="96">
        <v>0.10612616728717855</v>
      </c>
      <c r="R28" s="96">
        <v>0.10151353127150915</v>
      </c>
      <c r="S28" s="96">
        <v>6.5679045027653857E-2</v>
      </c>
      <c r="T28" s="96">
        <v>9.6176982124944285E-2</v>
      </c>
      <c r="U28" s="96">
        <v>9.5108564583234537E-2</v>
      </c>
      <c r="V28" s="96">
        <v>6.905904504447212E-2</v>
      </c>
      <c r="W28" s="96">
        <v>7.2460474107807926E-2</v>
      </c>
      <c r="X28" s="96">
        <v>7.6452159652552212E-2</v>
      </c>
      <c r="Y28" s="96">
        <v>0.11643219431112971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9.0002531576831692E-4</v>
      </c>
      <c r="N29" s="96">
        <v>9.7335252503270908E-2</v>
      </c>
      <c r="O29" s="96">
        <v>0.1243142487125966</v>
      </c>
      <c r="P29" s="96">
        <v>0.25772361223260232</v>
      </c>
      <c r="Q29" s="96">
        <v>0.60654238321738152</v>
      </c>
      <c r="R29" s="96">
        <v>1.0356997076531766</v>
      </c>
      <c r="S29" s="96">
        <v>1.8709983975771871</v>
      </c>
      <c r="T29" s="96">
        <v>2.7125467388255275</v>
      </c>
      <c r="U29" s="96">
        <v>3.7062926380699333</v>
      </c>
      <c r="V29" s="96">
        <v>5.7960108842363702</v>
      </c>
      <c r="W29" s="96">
        <v>10.956357402533229</v>
      </c>
      <c r="X29" s="96">
        <v>16.302357418822861</v>
      </c>
      <c r="Y29" s="96">
        <v>23.299465767109627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3.0518092063267493E-5</v>
      </c>
      <c r="N30" s="96">
        <v>3.0412214380403733E-3</v>
      </c>
      <c r="O30" s="96">
        <v>2.8466100970352547E-3</v>
      </c>
      <c r="P30" s="96">
        <v>6.0015575897767017E-3</v>
      </c>
      <c r="Q30" s="96">
        <v>1.4094519469990288E-2</v>
      </c>
      <c r="R30" s="96">
        <v>2.4860579075560753E-2</v>
      </c>
      <c r="S30" s="96">
        <v>4.5196807031264094E-2</v>
      </c>
      <c r="T30" s="96">
        <v>6.5051663079286171E-2</v>
      </c>
      <c r="U30" s="96">
        <v>8.4987625385351734E-2</v>
      </c>
      <c r="V30" s="96">
        <v>0.14335324161395843</v>
      </c>
      <c r="W30" s="96">
        <v>0.22155539051897785</v>
      </c>
      <c r="X30" s="96">
        <v>0.29982318877573999</v>
      </c>
      <c r="Y30" s="96">
        <v>0.73228791697933193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2.2224229659170204E-4</v>
      </c>
      <c r="N31" s="96">
        <v>3.1623672305072362E-2</v>
      </c>
      <c r="O31" s="96">
        <v>5.4059829152462241E-2</v>
      </c>
      <c r="P31" s="96">
        <v>0.1050884758030151</v>
      </c>
      <c r="Q31" s="96">
        <v>0.22645561909385731</v>
      </c>
      <c r="R31" s="96">
        <v>0.34240532270755236</v>
      </c>
      <c r="S31" s="96">
        <v>0.59982938087110349</v>
      </c>
      <c r="T31" s="96">
        <v>0.86634069713151263</v>
      </c>
      <c r="U31" s="96">
        <v>1.2596760368157445</v>
      </c>
      <c r="V31" s="96">
        <v>2.3294894223088511</v>
      </c>
      <c r="W31" s="96">
        <v>4.9101484071076085</v>
      </c>
      <c r="X31" s="96">
        <v>7.7741804653577029</v>
      </c>
      <c r="Y31" s="96">
        <v>11.266863446186616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4.1633972961163586E-4</v>
      </c>
      <c r="K32" s="96">
        <v>6.7913652691879114E-2</v>
      </c>
      <c r="L32" s="96">
        <v>7.2986428956215196E-2</v>
      </c>
      <c r="M32" s="96">
        <v>0.20487566333928445</v>
      </c>
      <c r="N32" s="96">
        <v>0.28697282899388388</v>
      </c>
      <c r="O32" s="96">
        <v>0.42991733406190602</v>
      </c>
      <c r="P32" s="96">
        <v>0.69106846485985629</v>
      </c>
      <c r="Q32" s="96">
        <v>1.0726594029384073</v>
      </c>
      <c r="R32" s="96">
        <v>1.9197414800761836</v>
      </c>
      <c r="S32" s="96">
        <v>3.0443336556372818</v>
      </c>
      <c r="T32" s="96">
        <v>4.3964841051295851</v>
      </c>
      <c r="U32" s="96">
        <v>6.5258677433657057</v>
      </c>
      <c r="V32" s="96">
        <v>8.887031199213963</v>
      </c>
      <c r="W32" s="96">
        <v>18.069728695673994</v>
      </c>
      <c r="X32" s="96">
        <v>26.428859552358098</v>
      </c>
      <c r="Y32" s="96">
        <v>37.278924890965989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257.74560705806806</v>
      </c>
      <c r="C33" s="130">
        <f t="shared" si="22"/>
        <v>258.43215660069558</v>
      </c>
      <c r="D33" s="130">
        <f t="shared" si="22"/>
        <v>267.19118872351362</v>
      </c>
      <c r="E33" s="130">
        <f t="shared" si="22"/>
        <v>274.99081843318243</v>
      </c>
      <c r="F33" s="130">
        <f t="shared" si="22"/>
        <v>272.09045731633802</v>
      </c>
      <c r="G33" s="130">
        <f t="shared" si="22"/>
        <v>270.46522177532933</v>
      </c>
      <c r="H33" s="130">
        <f t="shared" si="22"/>
        <v>265.44454903611063</v>
      </c>
      <c r="I33" s="130">
        <f t="shared" si="22"/>
        <v>280.44175302929733</v>
      </c>
      <c r="J33" s="130">
        <f t="shared" si="22"/>
        <v>272.0655718362521</v>
      </c>
      <c r="K33" s="130">
        <f t="shared" si="22"/>
        <v>250.16874233399898</v>
      </c>
      <c r="L33" s="130">
        <f t="shared" ref="L33" si="23">L34+L36+L38+L39+L41</f>
        <v>271.28056703542643</v>
      </c>
      <c r="M33" s="130">
        <f t="shared" ref="M33:V33" si="24">M34+M36+M38+M39+M41</f>
        <v>268.58586597156398</v>
      </c>
      <c r="N33" s="130">
        <f t="shared" si="24"/>
        <v>268.46609372421887</v>
      </c>
      <c r="O33" s="130">
        <f t="shared" si="24"/>
        <v>268.01823970824574</v>
      </c>
      <c r="P33" s="130">
        <f t="shared" si="24"/>
        <v>275.90984566504693</v>
      </c>
      <c r="Q33" s="130">
        <f t="shared" si="24"/>
        <v>281.45381261173407</v>
      </c>
      <c r="R33" s="130">
        <f t="shared" si="24"/>
        <v>293.17623665426453</v>
      </c>
      <c r="S33" s="130">
        <f t="shared" si="24"/>
        <v>302.19032701880485</v>
      </c>
      <c r="T33" s="130">
        <f t="shared" si="24"/>
        <v>290.97357725927719</v>
      </c>
      <c r="U33" s="130">
        <f t="shared" si="24"/>
        <v>287.89209651022622</v>
      </c>
      <c r="V33" s="130">
        <f t="shared" si="24"/>
        <v>286.21309835891634</v>
      </c>
      <c r="W33" s="130">
        <f t="shared" ref="W33:Y33" si="25">W34+W36+W38+W39+W41</f>
        <v>284.67651320226918</v>
      </c>
      <c r="X33" s="130">
        <f t="shared" si="25"/>
        <v>278.35201311198938</v>
      </c>
      <c r="Y33" s="130">
        <f t="shared" si="25"/>
        <v>274.811978129191</v>
      </c>
      <c r="DA33" s="176" t="s">
        <v>394</v>
      </c>
    </row>
    <row r="34" spans="1:105" ht="11.45" customHeight="1" x14ac:dyDescent="0.25">
      <c r="A34" s="111" t="s">
        <v>110</v>
      </c>
      <c r="B34" s="97">
        <v>0.12798693566360442</v>
      </c>
      <c r="C34" s="97">
        <v>0.13915181911726907</v>
      </c>
      <c r="D34" s="97">
        <v>0.12338816946261881</v>
      </c>
      <c r="E34" s="97">
        <v>0.11577857175183132</v>
      </c>
      <c r="F34" s="97">
        <v>0.10164303861451625</v>
      </c>
      <c r="G34" s="97">
        <v>7.9670228254967043E-2</v>
      </c>
      <c r="H34" s="97">
        <v>6.721606952337951E-2</v>
      </c>
      <c r="I34" s="97">
        <v>6.8856838901469042E-2</v>
      </c>
      <c r="J34" s="97">
        <v>5.4904697559793762E-2</v>
      </c>
      <c r="K34" s="97">
        <v>3.8069409917672332E-2</v>
      </c>
      <c r="L34" s="97">
        <v>4.1072246309265564E-2</v>
      </c>
      <c r="M34" s="97">
        <v>2.9978927380054799E-2</v>
      </c>
      <c r="N34" s="97">
        <v>3.0178104546567504E-2</v>
      </c>
      <c r="O34" s="97">
        <v>1.8945393450428109E-2</v>
      </c>
      <c r="P34" s="97">
        <v>2.256446875539864E-2</v>
      </c>
      <c r="Q34" s="97">
        <v>1.8248026705555743E-2</v>
      </c>
      <c r="R34" s="97">
        <v>2.41287079672114E-2</v>
      </c>
      <c r="S34" s="97">
        <v>2.4418372386464996E-2</v>
      </c>
      <c r="T34" s="97">
        <v>2.4300856670259295E-2</v>
      </c>
      <c r="U34" s="97">
        <v>2.3775365063371585E-2</v>
      </c>
      <c r="V34" s="97">
        <v>1.7503122975569788E-2</v>
      </c>
      <c r="W34" s="97">
        <v>2.3188947702695153E-2</v>
      </c>
      <c r="X34" s="97">
        <v>2.2299690835800638E-2</v>
      </c>
      <c r="Y34" s="97">
        <v>1.5934249946198326E-2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4.4319493349170331E-4</v>
      </c>
      <c r="J35" s="97">
        <v>1.5286771120103812E-3</v>
      </c>
      <c r="K35" s="97">
        <v>1.5990951440742931E-3</v>
      </c>
      <c r="L35" s="97">
        <v>1.7377434003107621E-3</v>
      </c>
      <c r="M35" s="97">
        <v>1.3498415272397387E-3</v>
      </c>
      <c r="N35" s="97">
        <v>1.3966837843440085E-3</v>
      </c>
      <c r="O35" s="97">
        <v>7.6764064988299647E-4</v>
      </c>
      <c r="P35" s="97">
        <v>8.8722663657927808E-4</v>
      </c>
      <c r="Q35" s="97">
        <v>6.7668014771167279E-4</v>
      </c>
      <c r="R35" s="97">
        <v>8.6522214146739229E-4</v>
      </c>
      <c r="S35" s="97">
        <v>8.6820277261665272E-4</v>
      </c>
      <c r="T35" s="97">
        <v>8.5624849282869527E-4</v>
      </c>
      <c r="U35" s="97">
        <v>8.2588004118421909E-4</v>
      </c>
      <c r="V35" s="97">
        <v>7.2381764961596678E-4</v>
      </c>
      <c r="W35" s="97">
        <v>8.4972854360174435E-4</v>
      </c>
      <c r="X35" s="97">
        <v>7.8398518834512005E-4</v>
      </c>
      <c r="Y35" s="97">
        <v>9.6973691895723877E-4</v>
      </c>
      <c r="DA35" s="175" t="s">
        <v>653</v>
      </c>
    </row>
    <row r="36" spans="1:105" ht="11.45" customHeight="1" x14ac:dyDescent="0.25">
      <c r="A36" s="111" t="s">
        <v>111</v>
      </c>
      <c r="B36" s="97">
        <v>256.05842660349089</v>
      </c>
      <c r="C36" s="97">
        <v>256.66283959206271</v>
      </c>
      <c r="D36" s="97">
        <v>265.12000874405959</v>
      </c>
      <c r="E36" s="97">
        <v>272.71351817062242</v>
      </c>
      <c r="F36" s="97">
        <v>269.3015242589064</v>
      </c>
      <c r="G36" s="97">
        <v>267.22082762696908</v>
      </c>
      <c r="H36" s="97">
        <v>262.01325344904285</v>
      </c>
      <c r="I36" s="97">
        <v>275.36261828534958</v>
      </c>
      <c r="J36" s="97">
        <v>266.13953762319238</v>
      </c>
      <c r="K36" s="97">
        <v>239.12394473480705</v>
      </c>
      <c r="L36" s="97">
        <v>256.70201899268437</v>
      </c>
      <c r="M36" s="97">
        <v>254.18783430653133</v>
      </c>
      <c r="N36" s="97">
        <v>253.2036622576266</v>
      </c>
      <c r="O36" s="97">
        <v>251.26247180805518</v>
      </c>
      <c r="P36" s="97">
        <v>258.07251029950163</v>
      </c>
      <c r="Q36" s="97">
        <v>264.2665656772021</v>
      </c>
      <c r="R36" s="97">
        <v>277.10585158733176</v>
      </c>
      <c r="S36" s="97">
        <v>286.96772219617088</v>
      </c>
      <c r="T36" s="97">
        <v>276.05665550119932</v>
      </c>
      <c r="U36" s="97">
        <v>273.09290097519448</v>
      </c>
      <c r="V36" s="97">
        <v>269.47878101364222</v>
      </c>
      <c r="W36" s="97">
        <v>268.62550968327105</v>
      </c>
      <c r="X36" s="97">
        <v>262.59811442886092</v>
      </c>
      <c r="Y36" s="97">
        <v>259.52756740807871</v>
      </c>
      <c r="DA36" s="175" t="s">
        <v>654</v>
      </c>
    </row>
    <row r="37" spans="1:105" ht="11.45" customHeight="1" x14ac:dyDescent="0.25">
      <c r="A37" s="160" t="s">
        <v>131</v>
      </c>
      <c r="B37" s="97">
        <v>1.0448540940776296</v>
      </c>
      <c r="C37" s="97">
        <v>1.0379850558868258</v>
      </c>
      <c r="D37" s="97">
        <v>1.0083087534721282</v>
      </c>
      <c r="E37" s="97">
        <v>0.97325254627870417</v>
      </c>
      <c r="F37" s="97">
        <v>0.91605811052649455</v>
      </c>
      <c r="G37" s="97">
        <v>3.4338756943760096</v>
      </c>
      <c r="H37" s="97">
        <v>11.916521732578721</v>
      </c>
      <c r="I37" s="97">
        <v>14.721016147721299</v>
      </c>
      <c r="J37" s="97">
        <v>16.235691437702521</v>
      </c>
      <c r="K37" s="97">
        <v>18.881985909798949</v>
      </c>
      <c r="L37" s="97">
        <v>18.642711053141742</v>
      </c>
      <c r="M37" s="97">
        <v>19.260593341981473</v>
      </c>
      <c r="N37" s="97">
        <v>18.805667135095099</v>
      </c>
      <c r="O37" s="97">
        <v>18.140691767218993</v>
      </c>
      <c r="P37" s="97">
        <v>22.774471685515984</v>
      </c>
      <c r="Q37" s="97">
        <v>25.165995697291716</v>
      </c>
      <c r="R37" s="97">
        <v>21.050565368099488</v>
      </c>
      <c r="S37" s="97">
        <v>18.612461327922468</v>
      </c>
      <c r="T37" s="97">
        <v>18.275767775063539</v>
      </c>
      <c r="U37" s="97">
        <v>17.67661013278234</v>
      </c>
      <c r="V37" s="97">
        <v>16.286883373007548</v>
      </c>
      <c r="W37" s="97">
        <v>16.399057453071535</v>
      </c>
      <c r="X37" s="97">
        <v>16.340279687858079</v>
      </c>
      <c r="Y37" s="97">
        <v>19.140987410977271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0.14665939407851156</v>
      </c>
      <c r="D38" s="97">
        <v>0.49338795443718825</v>
      </c>
      <c r="E38" s="97">
        <v>0.73041140052875941</v>
      </c>
      <c r="F38" s="97">
        <v>0.97723887893217209</v>
      </c>
      <c r="G38" s="97">
        <v>1.4468059692484434</v>
      </c>
      <c r="H38" s="97">
        <v>1.7957617839930113</v>
      </c>
      <c r="I38" s="97">
        <v>2.4012194270651617</v>
      </c>
      <c r="J38" s="97">
        <v>2.7743454102873262</v>
      </c>
      <c r="K38" s="97">
        <v>3.2684644939907357</v>
      </c>
      <c r="L38" s="97">
        <v>4.0368531921228019</v>
      </c>
      <c r="M38" s="97">
        <v>4.3941380071830798</v>
      </c>
      <c r="N38" s="97">
        <v>4.4693796005517052</v>
      </c>
      <c r="O38" s="97">
        <v>4.3446199189856491</v>
      </c>
      <c r="P38" s="97">
        <v>4.2254222026253503</v>
      </c>
      <c r="Q38" s="97">
        <v>3.4559616641902711</v>
      </c>
      <c r="R38" s="97">
        <v>2.8508993758937238</v>
      </c>
      <c r="S38" s="97">
        <v>2.3252656099796112</v>
      </c>
      <c r="T38" s="97">
        <v>2.293060320730401</v>
      </c>
      <c r="U38" s="97">
        <v>0.1880630134974498</v>
      </c>
      <c r="V38" s="97">
        <v>0.18733359156960053</v>
      </c>
      <c r="W38" s="97">
        <v>0.17171149119175289</v>
      </c>
      <c r="X38" s="97">
        <v>0.1619438138897463</v>
      </c>
      <c r="Y38" s="97">
        <v>7.2523157031060881E-2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0.34393809114359408</v>
      </c>
      <c r="G39" s="97">
        <v>0.36921754084264818</v>
      </c>
      <c r="H39" s="97">
        <v>0.19668197052851866</v>
      </c>
      <c r="I39" s="97">
        <v>1.35222375268787</v>
      </c>
      <c r="J39" s="97">
        <v>1.8422786415256731</v>
      </c>
      <c r="K39" s="97">
        <v>6.4241525147268366</v>
      </c>
      <c r="L39" s="97">
        <v>9.1059069752682174</v>
      </c>
      <c r="M39" s="97">
        <v>8.5479149510066801</v>
      </c>
      <c r="N39" s="97">
        <v>9.2266510590149498</v>
      </c>
      <c r="O39" s="97">
        <v>10.704365226817325</v>
      </c>
      <c r="P39" s="97">
        <v>12.001518890657346</v>
      </c>
      <c r="Q39" s="97">
        <v>12.043843742662208</v>
      </c>
      <c r="R39" s="97">
        <v>11.399791451313661</v>
      </c>
      <c r="S39" s="97">
        <v>11.157226655411577</v>
      </c>
      <c r="T39" s="97">
        <v>10.757973083611684</v>
      </c>
      <c r="U39" s="97">
        <v>12.678613435835793</v>
      </c>
      <c r="V39" s="97">
        <v>14.512175327668231</v>
      </c>
      <c r="W39" s="97">
        <v>13.816105944587136</v>
      </c>
      <c r="X39" s="97">
        <v>13.245418154449181</v>
      </c>
      <c r="Y39" s="97">
        <v>12.292247369825635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1.457306769829142E-4</v>
      </c>
      <c r="K40" s="97">
        <v>1.1241230599826049E-3</v>
      </c>
      <c r="L40" s="97">
        <v>1.732973065994522E-3</v>
      </c>
      <c r="M40" s="97">
        <v>5.4410661686866207E-3</v>
      </c>
      <c r="N40" s="97">
        <v>8.1004405747933019E-3</v>
      </c>
      <c r="O40" s="97">
        <v>1.2536959778739958E-2</v>
      </c>
      <c r="P40" s="97">
        <v>0.37985259168150687</v>
      </c>
      <c r="Q40" s="97">
        <v>0.2817798352105565</v>
      </c>
      <c r="R40" s="97">
        <v>0.26297077621040987</v>
      </c>
      <c r="S40" s="97">
        <v>0.16456412310991131</v>
      </c>
      <c r="T40" s="97">
        <v>0.23190468830969313</v>
      </c>
      <c r="U40" s="97">
        <v>0.27799776769101914</v>
      </c>
      <c r="V40" s="97">
        <v>0.2673042780591211</v>
      </c>
      <c r="W40" s="97">
        <v>0.27516232906097055</v>
      </c>
      <c r="X40" s="97">
        <v>0.27965412841129927</v>
      </c>
      <c r="Y40" s="97">
        <v>0.42892027673316679</v>
      </c>
      <c r="DA40" s="175" t="s">
        <v>658</v>
      </c>
    </row>
    <row r="41" spans="1:105" ht="11.45" customHeight="1" x14ac:dyDescent="0.25">
      <c r="A41" s="111" t="s">
        <v>115</v>
      </c>
      <c r="B41" s="97">
        <v>1.5591935189135449</v>
      </c>
      <c r="C41" s="97">
        <v>1.4835057954370858</v>
      </c>
      <c r="D41" s="97">
        <v>1.4544038555542058</v>
      </c>
      <c r="E41" s="97">
        <v>1.4311102902794508</v>
      </c>
      <c r="F41" s="97">
        <v>1.3661130487414019</v>
      </c>
      <c r="G41" s="97">
        <v>1.3487004100141875</v>
      </c>
      <c r="H41" s="97">
        <v>1.3716357630229032</v>
      </c>
      <c r="I41" s="97">
        <v>1.2568347252932774</v>
      </c>
      <c r="J41" s="97">
        <v>1.2545054636869564</v>
      </c>
      <c r="K41" s="97">
        <v>1.314111180556671</v>
      </c>
      <c r="L41" s="97">
        <v>1.3947156290417606</v>
      </c>
      <c r="M41" s="97">
        <v>1.4259997794628407</v>
      </c>
      <c r="N41" s="97">
        <v>1.5362227024790658</v>
      </c>
      <c r="O41" s="97">
        <v>1.6878373609371868</v>
      </c>
      <c r="P41" s="97">
        <v>1.5878298035072345</v>
      </c>
      <c r="Q41" s="97">
        <v>1.6691935009738839</v>
      </c>
      <c r="R41" s="97">
        <v>1.7955655317581367</v>
      </c>
      <c r="S41" s="97">
        <v>1.715694184856281</v>
      </c>
      <c r="T41" s="97">
        <v>1.8415874970655621</v>
      </c>
      <c r="U41" s="97">
        <v>1.9087437206350757</v>
      </c>
      <c r="V41" s="97">
        <v>2.0173053030606813</v>
      </c>
      <c r="W41" s="97">
        <v>2.0399971355165518</v>
      </c>
      <c r="X41" s="97">
        <v>2.3242370239537333</v>
      </c>
      <c r="Y41" s="97">
        <v>2.9037059443093556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1861.3345283888646</v>
      </c>
      <c r="C42" s="32">
        <f t="shared" si="26"/>
        <v>2119.6952290790123</v>
      </c>
      <c r="D42" s="32">
        <f t="shared" si="26"/>
        <v>2352.8856944965019</v>
      </c>
      <c r="E42" s="32">
        <f t="shared" si="26"/>
        <v>2536.7539601320277</v>
      </c>
      <c r="F42" s="32">
        <f t="shared" si="26"/>
        <v>2549.2175074584093</v>
      </c>
      <c r="G42" s="32">
        <f t="shared" si="26"/>
        <v>2676.1469205284452</v>
      </c>
      <c r="H42" s="32">
        <f t="shared" si="26"/>
        <v>2535.4138754356163</v>
      </c>
      <c r="I42" s="32">
        <f t="shared" si="26"/>
        <v>2544.8468384540884</v>
      </c>
      <c r="J42" s="32">
        <f t="shared" si="26"/>
        <v>2464.804333299162</v>
      </c>
      <c r="K42" s="32">
        <f t="shared" si="26"/>
        <v>2347.1501714015185</v>
      </c>
      <c r="L42" s="32">
        <f t="shared" ref="L42" si="27">L43+L52</f>
        <v>2532.3174357769913</v>
      </c>
      <c r="M42" s="32">
        <f t="shared" ref="M42:V42" si="28">M43+M52</f>
        <v>2353.6097313668824</v>
      </c>
      <c r="N42" s="32">
        <f t="shared" si="28"/>
        <v>2390.0028600241981</v>
      </c>
      <c r="O42" s="32">
        <f t="shared" si="28"/>
        <v>2743.8661851402999</v>
      </c>
      <c r="P42" s="32">
        <f t="shared" si="28"/>
        <v>2663.2125662660533</v>
      </c>
      <c r="Q42" s="32">
        <f t="shared" si="28"/>
        <v>2751.4722782150757</v>
      </c>
      <c r="R42" s="32">
        <f t="shared" si="28"/>
        <v>2817.7421421909248</v>
      </c>
      <c r="S42" s="32">
        <f t="shared" si="28"/>
        <v>2892.8770242695628</v>
      </c>
      <c r="T42" s="32">
        <f t="shared" si="28"/>
        <v>2974.6144773628694</v>
      </c>
      <c r="U42" s="32">
        <f t="shared" si="28"/>
        <v>3051.9271669524487</v>
      </c>
      <c r="V42" s="32">
        <f t="shared" si="28"/>
        <v>2900.9247206987529</v>
      </c>
      <c r="W42" s="32">
        <f t="shared" ref="W42:Y42" si="29">W43+W52</f>
        <v>3048.0541575655488</v>
      </c>
      <c r="X42" s="32">
        <f t="shared" si="29"/>
        <v>2665.4796922359324</v>
      </c>
      <c r="Y42" s="32">
        <f t="shared" si="29"/>
        <v>2477.5474579053857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431.04385881026911</v>
      </c>
      <c r="C43" s="141">
        <f t="shared" si="30"/>
        <v>439.93056112004859</v>
      </c>
      <c r="D43" s="141">
        <f t="shared" si="30"/>
        <v>452.19429123880604</v>
      </c>
      <c r="E43" s="141">
        <f t="shared" si="30"/>
        <v>453.92658576771566</v>
      </c>
      <c r="F43" s="141">
        <f t="shared" si="30"/>
        <v>452.42614863411472</v>
      </c>
      <c r="G43" s="141">
        <f t="shared" si="30"/>
        <v>460.84660187192122</v>
      </c>
      <c r="H43" s="141">
        <f t="shared" si="30"/>
        <v>469.08546422413201</v>
      </c>
      <c r="I43" s="141">
        <f t="shared" si="30"/>
        <v>477.80822039113207</v>
      </c>
      <c r="J43" s="141">
        <f t="shared" si="30"/>
        <v>470.47761923509728</v>
      </c>
      <c r="K43" s="141">
        <f t="shared" si="30"/>
        <v>465.89752609969349</v>
      </c>
      <c r="L43" s="141">
        <f t="shared" ref="L43" si="31">L44+L46+L48+L49+L51</f>
        <v>468.31691941568556</v>
      </c>
      <c r="M43" s="141">
        <f t="shared" ref="M43:V43" si="32">M44+M46+M48+M49+M51</f>
        <v>474.98648557640723</v>
      </c>
      <c r="N43" s="141">
        <f t="shared" si="32"/>
        <v>471.37445810182169</v>
      </c>
      <c r="O43" s="141">
        <f t="shared" si="32"/>
        <v>484.48514726782702</v>
      </c>
      <c r="P43" s="141">
        <f t="shared" si="32"/>
        <v>506.40084005390378</v>
      </c>
      <c r="Q43" s="141">
        <f t="shared" si="32"/>
        <v>520.66146171413311</v>
      </c>
      <c r="R43" s="141">
        <f t="shared" si="32"/>
        <v>530.33682074612875</v>
      </c>
      <c r="S43" s="141">
        <f t="shared" si="32"/>
        <v>534.60733862514087</v>
      </c>
      <c r="T43" s="141">
        <f t="shared" si="32"/>
        <v>543.55537532079836</v>
      </c>
      <c r="U43" s="141">
        <f t="shared" si="32"/>
        <v>558.88311694999163</v>
      </c>
      <c r="V43" s="141">
        <f t="shared" si="32"/>
        <v>566.00745755161995</v>
      </c>
      <c r="W43" s="141">
        <f t="shared" ref="W43:Y43" si="33">W44+W46+W48+W49+W51</f>
        <v>609.25880363906583</v>
      </c>
      <c r="X43" s="141">
        <f t="shared" si="33"/>
        <v>618.90203731034683</v>
      </c>
      <c r="Y43" s="141">
        <f t="shared" si="33"/>
        <v>625.90191867805515</v>
      </c>
      <c r="DA43" s="174" t="s">
        <v>400</v>
      </c>
    </row>
    <row r="44" spans="1:105" ht="11.45" customHeight="1" x14ac:dyDescent="0.25">
      <c r="A44" s="111" t="s">
        <v>110</v>
      </c>
      <c r="B44" s="96">
        <v>65.188962125790908</v>
      </c>
      <c r="C44" s="96">
        <v>59.632277214376344</v>
      </c>
      <c r="D44" s="96">
        <v>41.097014821947916</v>
      </c>
      <c r="E44" s="96">
        <v>35.744410238214734</v>
      </c>
      <c r="F44" s="96">
        <v>31.282187314496749</v>
      </c>
      <c r="G44" s="96">
        <v>28.596641649676162</v>
      </c>
      <c r="H44" s="96">
        <v>27.055141853756059</v>
      </c>
      <c r="I44" s="96">
        <v>25.925431849900228</v>
      </c>
      <c r="J44" s="96">
        <v>24.141504324205677</v>
      </c>
      <c r="K44" s="96">
        <v>23.346789645929356</v>
      </c>
      <c r="L44" s="96">
        <v>22.713905395901222</v>
      </c>
      <c r="M44" s="96">
        <v>23.253836666134571</v>
      </c>
      <c r="N44" s="96">
        <v>23.163294158857429</v>
      </c>
      <c r="O44" s="96">
        <v>22.402074336514655</v>
      </c>
      <c r="P44" s="96">
        <v>22.883671722661948</v>
      </c>
      <c r="Q44" s="96">
        <v>23.465232552242178</v>
      </c>
      <c r="R44" s="96">
        <v>23.00675415687807</v>
      </c>
      <c r="S44" s="96">
        <v>23.061634340764012</v>
      </c>
      <c r="T44" s="96">
        <v>23.581660046222218</v>
      </c>
      <c r="U44" s="96">
        <v>23.310781176402067</v>
      </c>
      <c r="V44" s="96">
        <v>22.713665163542757</v>
      </c>
      <c r="W44" s="96">
        <v>22.926323332011808</v>
      </c>
      <c r="X44" s="96">
        <v>23.866608255340658</v>
      </c>
      <c r="Y44" s="96">
        <v>24.420045048133133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0.16686824762463909</v>
      </c>
      <c r="J45" s="96">
        <v>0.67215678712594817</v>
      </c>
      <c r="K45" s="96">
        <v>0.98067550910997425</v>
      </c>
      <c r="L45" s="96">
        <v>0.96101242916694407</v>
      </c>
      <c r="M45" s="96">
        <v>1.0470352725321939</v>
      </c>
      <c r="N45" s="96">
        <v>1.0720288046502309</v>
      </c>
      <c r="O45" s="96">
        <v>0.9077004891667062</v>
      </c>
      <c r="P45" s="96">
        <v>0.89977758019337906</v>
      </c>
      <c r="Q45" s="96">
        <v>0.87014652519692326</v>
      </c>
      <c r="R45" s="96">
        <v>0.82499042745588169</v>
      </c>
      <c r="S45" s="96">
        <v>0.81996353232867136</v>
      </c>
      <c r="T45" s="96">
        <v>0.83090736869734338</v>
      </c>
      <c r="U45" s="96">
        <v>0.80974188479077536</v>
      </c>
      <c r="V45" s="96">
        <v>0.93929247687893735</v>
      </c>
      <c r="W45" s="96">
        <v>0.84010501833978757</v>
      </c>
      <c r="X45" s="96">
        <v>0.83907294975511937</v>
      </c>
      <c r="Y45" s="96">
        <v>1.4861709415712747</v>
      </c>
      <c r="DA45" s="171" t="s">
        <v>661</v>
      </c>
    </row>
    <row r="46" spans="1:105" ht="11.45" customHeight="1" x14ac:dyDescent="0.25">
      <c r="A46" s="111" t="s">
        <v>111</v>
      </c>
      <c r="B46" s="96">
        <v>365.84831097618934</v>
      </c>
      <c r="C46" s="96">
        <v>380.28992191338415</v>
      </c>
      <c r="D46" s="96">
        <v>411.08994123476049</v>
      </c>
      <c r="E46" s="96">
        <v>418.14964374732006</v>
      </c>
      <c r="F46" s="96">
        <v>421.06982174092502</v>
      </c>
      <c r="G46" s="96">
        <v>431.94638803155584</v>
      </c>
      <c r="H46" s="96">
        <v>441.63299973934454</v>
      </c>
      <c r="I46" s="96">
        <v>451.38191453532073</v>
      </c>
      <c r="J46" s="96">
        <v>445.72477405115899</v>
      </c>
      <c r="K46" s="96">
        <v>442.11626937721252</v>
      </c>
      <c r="L46" s="96">
        <v>445.19046462204795</v>
      </c>
      <c r="M46" s="96">
        <v>451.31442159886933</v>
      </c>
      <c r="N46" s="96">
        <v>447.67018180187779</v>
      </c>
      <c r="O46" s="96">
        <v>460.58056987431235</v>
      </c>
      <c r="P46" s="96">
        <v>481.87563788403548</v>
      </c>
      <c r="Q46" s="96">
        <v>495.49522127436995</v>
      </c>
      <c r="R46" s="96">
        <v>504.62605932695436</v>
      </c>
      <c r="S46" s="96">
        <v>508.91982015490169</v>
      </c>
      <c r="T46" s="96">
        <v>517.21879833427499</v>
      </c>
      <c r="U46" s="96">
        <v>532.72425363405853</v>
      </c>
      <c r="V46" s="96">
        <v>540.33346264906481</v>
      </c>
      <c r="W46" s="96">
        <v>582.55361848270365</v>
      </c>
      <c r="X46" s="96">
        <v>590.56035379123739</v>
      </c>
      <c r="Y46" s="96">
        <v>595.97472923337261</v>
      </c>
      <c r="DA46" s="171" t="s">
        <v>662</v>
      </c>
    </row>
    <row r="47" spans="1:105" ht="11.45" customHeight="1" x14ac:dyDescent="0.25">
      <c r="A47" s="160" t="s">
        <v>131</v>
      </c>
      <c r="B47" s="96">
        <v>1.4928550120585873</v>
      </c>
      <c r="C47" s="96">
        <v>1.5379525001665564</v>
      </c>
      <c r="D47" s="96">
        <v>1.5634639881575494</v>
      </c>
      <c r="E47" s="96">
        <v>1.492281014276658</v>
      </c>
      <c r="F47" s="96">
        <v>1.4323143040693835</v>
      </c>
      <c r="G47" s="96">
        <v>5.5506534288773084</v>
      </c>
      <c r="H47" s="96">
        <v>20.085736770721578</v>
      </c>
      <c r="I47" s="96">
        <v>24.13109119182624</v>
      </c>
      <c r="J47" s="96">
        <v>27.191186857324968</v>
      </c>
      <c r="K47" s="96">
        <v>34.910904376939449</v>
      </c>
      <c r="L47" s="96">
        <v>32.331483905466619</v>
      </c>
      <c r="M47" s="96">
        <v>34.197480644588211</v>
      </c>
      <c r="N47" s="96">
        <v>33.248873062143268</v>
      </c>
      <c r="O47" s="96">
        <v>33.253076322685892</v>
      </c>
      <c r="P47" s="96">
        <v>42.52472709392292</v>
      </c>
      <c r="Q47" s="96">
        <v>47.185804888579355</v>
      </c>
      <c r="R47" s="96">
        <v>38.334318050157442</v>
      </c>
      <c r="S47" s="96">
        <v>33.008069336701034</v>
      </c>
      <c r="T47" s="96">
        <v>34.241415517017167</v>
      </c>
      <c r="U47" s="96">
        <v>34.481888420168232</v>
      </c>
      <c r="V47" s="96">
        <v>32.656924065027361</v>
      </c>
      <c r="W47" s="96">
        <v>35.563749214498053</v>
      </c>
      <c r="X47" s="96">
        <v>36.747869932338929</v>
      </c>
      <c r="Y47" s="96">
        <v>43.955040705095705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2.5454238714157671E-2</v>
      </c>
      <c r="F48" s="96">
        <v>6.7587361652409014E-2</v>
      </c>
      <c r="G48" s="96">
        <v>0.29753715149098009</v>
      </c>
      <c r="H48" s="96">
        <v>0.28852601090294866</v>
      </c>
      <c r="I48" s="96">
        <v>0.28634297888538562</v>
      </c>
      <c r="J48" s="96">
        <v>0.26990658058515787</v>
      </c>
      <c r="K48" s="96">
        <v>0.25252785576226511</v>
      </c>
      <c r="L48" s="96">
        <v>0.23551738062902952</v>
      </c>
      <c r="M48" s="96">
        <v>0.21798227245028051</v>
      </c>
      <c r="N48" s="96">
        <v>0.22684488190207638</v>
      </c>
      <c r="O48" s="96">
        <v>0.24177849329044626</v>
      </c>
      <c r="P48" s="96">
        <v>0.27112833141445752</v>
      </c>
      <c r="Q48" s="96">
        <v>0.28285455998264303</v>
      </c>
      <c r="R48" s="96">
        <v>0.47059403539568967</v>
      </c>
      <c r="S48" s="96">
        <v>0.48156692219784764</v>
      </c>
      <c r="T48" s="96">
        <v>0.48274503425109705</v>
      </c>
      <c r="U48" s="96">
        <v>0.52350086322405975</v>
      </c>
      <c r="V48" s="96">
        <v>0.58139910972386555</v>
      </c>
      <c r="W48" s="96">
        <v>0.63304512486473807</v>
      </c>
      <c r="X48" s="96">
        <v>0.67035499811219068</v>
      </c>
      <c r="Y48" s="96">
        <v>0.68815171539097886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0.10325002485395551</v>
      </c>
      <c r="I49" s="96">
        <v>0.20783283348679008</v>
      </c>
      <c r="J49" s="96">
        <v>0.33419610395401333</v>
      </c>
      <c r="K49" s="96">
        <v>0.17191259269992196</v>
      </c>
      <c r="L49" s="96">
        <v>0.16207856999150974</v>
      </c>
      <c r="M49" s="96">
        <v>0.17697456795518274</v>
      </c>
      <c r="N49" s="96">
        <v>0.23250910199637939</v>
      </c>
      <c r="O49" s="96">
        <v>1.1290148667359876</v>
      </c>
      <c r="P49" s="96">
        <v>1.1945965473147329</v>
      </c>
      <c r="Q49" s="96">
        <v>1.185800014450723</v>
      </c>
      <c r="R49" s="96">
        <v>1.9086221379432249</v>
      </c>
      <c r="S49" s="96">
        <v>1.7621352351684183</v>
      </c>
      <c r="T49" s="96">
        <v>1.7846253777920953</v>
      </c>
      <c r="U49" s="96">
        <v>1.7089742463750051</v>
      </c>
      <c r="V49" s="96">
        <v>1.5276306759811833</v>
      </c>
      <c r="W49" s="96">
        <v>1.4460294829738074</v>
      </c>
      <c r="X49" s="96">
        <v>1.3202929405160628</v>
      </c>
      <c r="Y49" s="96">
        <v>1.1895435774863012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2.643607941627001E-5</v>
      </c>
      <c r="K50" s="96">
        <v>3.0081930544514279E-5</v>
      </c>
      <c r="L50" s="96">
        <v>3.0845669424590298E-5</v>
      </c>
      <c r="M50" s="96">
        <v>1.126509025812748E-4</v>
      </c>
      <c r="N50" s="96">
        <v>2.0412890351803375E-4</v>
      </c>
      <c r="O50" s="96">
        <v>1.3223029739687791E-3</v>
      </c>
      <c r="P50" s="96">
        <v>3.7809430510043332E-2</v>
      </c>
      <c r="Q50" s="96">
        <v>2.774318064929843E-2</v>
      </c>
      <c r="R50" s="96">
        <v>4.4028160273885002E-2</v>
      </c>
      <c r="S50" s="96">
        <v>2.5990709764412426E-2</v>
      </c>
      <c r="T50" s="96">
        <v>3.8470350201647976E-2</v>
      </c>
      <c r="U50" s="96">
        <v>3.7471844057557567E-2</v>
      </c>
      <c r="V50" s="96">
        <v>2.8137905294293917E-2</v>
      </c>
      <c r="W50" s="96">
        <v>2.8799203047642389E-2</v>
      </c>
      <c r="X50" s="96">
        <v>2.7875705185161474E-2</v>
      </c>
      <c r="Y50" s="96">
        <v>4.15074107354889E-2</v>
      </c>
      <c r="DA50" s="171" t="s">
        <v>666</v>
      </c>
    </row>
    <row r="51" spans="1:105" ht="11.45" customHeight="1" x14ac:dyDescent="0.25">
      <c r="A51" s="111" t="s">
        <v>115</v>
      </c>
      <c r="B51" s="96">
        <v>6.585708288866384E-3</v>
      </c>
      <c r="C51" s="96">
        <v>8.3619922880906975E-3</v>
      </c>
      <c r="D51" s="96">
        <v>7.3351820976262135E-3</v>
      </c>
      <c r="E51" s="96">
        <v>7.0775434667381051E-3</v>
      </c>
      <c r="F51" s="96">
        <v>6.5522170405476589E-3</v>
      </c>
      <c r="G51" s="96">
        <v>6.035039198239325E-3</v>
      </c>
      <c r="H51" s="96">
        <v>5.546595274504019E-3</v>
      </c>
      <c r="I51" s="96">
        <v>6.6981935388854387E-3</v>
      </c>
      <c r="J51" s="96">
        <v>7.2381751934614954E-3</v>
      </c>
      <c r="K51" s="96">
        <v>1.0026628089452426E-2</v>
      </c>
      <c r="L51" s="96">
        <v>1.4953447115800616E-2</v>
      </c>
      <c r="M51" s="96">
        <v>2.3270470997825171E-2</v>
      </c>
      <c r="N51" s="96">
        <v>8.1628157188069844E-2</v>
      </c>
      <c r="O51" s="96">
        <v>0.13170969697360227</v>
      </c>
      <c r="P51" s="96">
        <v>0.17580556847714701</v>
      </c>
      <c r="Q51" s="96">
        <v>0.23235331308763776</v>
      </c>
      <c r="R51" s="96">
        <v>0.32479108895735509</v>
      </c>
      <c r="S51" s="96">
        <v>0.38218197210877169</v>
      </c>
      <c r="T51" s="96">
        <v>0.48754652825799633</v>
      </c>
      <c r="U51" s="96">
        <v>0.61560702993199934</v>
      </c>
      <c r="V51" s="96">
        <v>0.85129995330732811</v>
      </c>
      <c r="W51" s="96">
        <v>1.6997872165116956</v>
      </c>
      <c r="X51" s="96">
        <v>2.4844273251404814</v>
      </c>
      <c r="Y51" s="96">
        <v>3.6294491036720324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1430.2906695785955</v>
      </c>
      <c r="C52" s="130">
        <f t="shared" si="34"/>
        <v>1679.7646679589636</v>
      </c>
      <c r="D52" s="130">
        <f t="shared" si="34"/>
        <v>1900.6914032576956</v>
      </c>
      <c r="E52" s="130">
        <f t="shared" si="34"/>
        <v>2082.8273743643122</v>
      </c>
      <c r="F52" s="130">
        <f t="shared" si="34"/>
        <v>2096.7913588242945</v>
      </c>
      <c r="G52" s="130">
        <f t="shared" si="34"/>
        <v>2215.3003186565238</v>
      </c>
      <c r="H52" s="130">
        <f t="shared" si="34"/>
        <v>2066.3284112114843</v>
      </c>
      <c r="I52" s="130">
        <f t="shared" si="34"/>
        <v>2067.0386180629562</v>
      </c>
      <c r="J52" s="130">
        <f t="shared" si="34"/>
        <v>1994.3267140640646</v>
      </c>
      <c r="K52" s="130">
        <f t="shared" si="34"/>
        <v>1881.2526453018249</v>
      </c>
      <c r="L52" s="130">
        <f t="shared" ref="L52" si="35">L53+L55</f>
        <v>2064.0005163613059</v>
      </c>
      <c r="M52" s="130">
        <f t="shared" ref="M52:V52" si="36">M53+M55</f>
        <v>1878.623245790475</v>
      </c>
      <c r="N52" s="130">
        <f t="shared" si="36"/>
        <v>1918.6284019223763</v>
      </c>
      <c r="O52" s="130">
        <f t="shared" si="36"/>
        <v>2259.3810378724729</v>
      </c>
      <c r="P52" s="130">
        <f t="shared" si="36"/>
        <v>2156.8117262121496</v>
      </c>
      <c r="Q52" s="130">
        <f t="shared" si="36"/>
        <v>2230.8108165009426</v>
      </c>
      <c r="R52" s="130">
        <f t="shared" si="36"/>
        <v>2287.4053214447958</v>
      </c>
      <c r="S52" s="130">
        <f t="shared" si="36"/>
        <v>2358.2696856444218</v>
      </c>
      <c r="T52" s="130">
        <f t="shared" si="36"/>
        <v>2431.0591020420711</v>
      </c>
      <c r="U52" s="130">
        <f t="shared" si="36"/>
        <v>2493.044050002457</v>
      </c>
      <c r="V52" s="130">
        <f t="shared" si="36"/>
        <v>2334.9172631471329</v>
      </c>
      <c r="W52" s="130">
        <f t="shared" ref="W52:Y52" si="37">W53+W55</f>
        <v>2438.7953539264831</v>
      </c>
      <c r="X52" s="130">
        <f t="shared" si="37"/>
        <v>2046.5776549255854</v>
      </c>
      <c r="Y52" s="130">
        <f t="shared" si="37"/>
        <v>1851.6455392273306</v>
      </c>
      <c r="DA52" s="176" t="s">
        <v>401</v>
      </c>
    </row>
    <row r="53" spans="1:105" ht="11.45" customHeight="1" x14ac:dyDescent="0.25">
      <c r="A53" s="128" t="s">
        <v>27</v>
      </c>
      <c r="B53" s="97">
        <v>591.37886175643507</v>
      </c>
      <c r="C53" s="97">
        <v>613.88979127789275</v>
      </c>
      <c r="D53" s="97">
        <v>629.91672067055913</v>
      </c>
      <c r="E53" s="97">
        <v>659.72640623770474</v>
      </c>
      <c r="F53" s="97">
        <v>617.91274860253679</v>
      </c>
      <c r="G53" s="97">
        <v>619.77704936871964</v>
      </c>
      <c r="H53" s="97">
        <v>681.17671299743711</v>
      </c>
      <c r="I53" s="97">
        <v>675.86260841905732</v>
      </c>
      <c r="J53" s="97">
        <v>651.860548487453</v>
      </c>
      <c r="K53" s="97">
        <v>620.76060357580332</v>
      </c>
      <c r="L53" s="97">
        <v>627.71402501027694</v>
      </c>
      <c r="M53" s="97">
        <v>623.78965668347405</v>
      </c>
      <c r="N53" s="97">
        <v>617.1067038272156</v>
      </c>
      <c r="O53" s="97">
        <v>640.81974969122166</v>
      </c>
      <c r="P53" s="97">
        <v>650.25198335470918</v>
      </c>
      <c r="Q53" s="97">
        <v>685.85773739191313</v>
      </c>
      <c r="R53" s="97">
        <v>712.8256924726669</v>
      </c>
      <c r="S53" s="97">
        <v>720.77283289229445</v>
      </c>
      <c r="T53" s="97">
        <v>729.99311211695419</v>
      </c>
      <c r="U53" s="97">
        <v>735.31595561344034</v>
      </c>
      <c r="V53" s="97">
        <v>693.72001999826784</v>
      </c>
      <c r="W53" s="97">
        <v>727.67860350422313</v>
      </c>
      <c r="X53" s="97">
        <v>674.87392409770769</v>
      </c>
      <c r="Y53" s="97">
        <v>646.30677091630878</v>
      </c>
      <c r="DA53" s="175" t="s">
        <v>668</v>
      </c>
    </row>
    <row r="54" spans="1:105" ht="11.45" customHeight="1" x14ac:dyDescent="0.25">
      <c r="A54" s="160" t="s">
        <v>131</v>
      </c>
      <c r="B54" s="97">
        <v>2.4131391926968733</v>
      </c>
      <c r="C54" s="97">
        <v>2.4826672623146679</v>
      </c>
      <c r="D54" s="97">
        <v>2.3957095747674781</v>
      </c>
      <c r="E54" s="97">
        <v>2.3544135583203101</v>
      </c>
      <c r="F54" s="97">
        <v>2.1018966992956116</v>
      </c>
      <c r="G54" s="97">
        <v>7.9643393243668505</v>
      </c>
      <c r="H54" s="97">
        <v>30.980330182950674</v>
      </c>
      <c r="I54" s="97">
        <v>36.131935533340069</v>
      </c>
      <c r="J54" s="97">
        <v>39.766382778638757</v>
      </c>
      <c r="K54" s="97">
        <v>49.017228212237853</v>
      </c>
      <c r="L54" s="97">
        <v>45.587063312519945</v>
      </c>
      <c r="M54" s="97">
        <v>47.266459235125978</v>
      </c>
      <c r="N54" s="97">
        <v>45.833078224605345</v>
      </c>
      <c r="O54" s="97">
        <v>46.266016066161285</v>
      </c>
      <c r="P54" s="97">
        <v>57.383660763309933</v>
      </c>
      <c r="Q54" s="97">
        <v>65.31394852742099</v>
      </c>
      <c r="R54" s="97">
        <v>54.150367989351622</v>
      </c>
      <c r="S54" s="97">
        <v>46.748660008717735</v>
      </c>
      <c r="T54" s="97">
        <v>48.327704942391478</v>
      </c>
      <c r="U54" s="97">
        <v>47.595134935322619</v>
      </c>
      <c r="V54" s="97">
        <v>41.927371857379285</v>
      </c>
      <c r="W54" s="97">
        <v>44.423343264408373</v>
      </c>
      <c r="X54" s="97">
        <v>41.994317810634087</v>
      </c>
      <c r="Y54" s="97">
        <v>47.667189614144078</v>
      </c>
      <c r="DA54" s="175" t="s">
        <v>669</v>
      </c>
    </row>
    <row r="55" spans="1:105" ht="11.45" customHeight="1" x14ac:dyDescent="0.25">
      <c r="A55" s="128" t="s">
        <v>116</v>
      </c>
      <c r="B55" s="97">
        <v>838.91180782216054</v>
      </c>
      <c r="C55" s="97">
        <v>1065.8748766810709</v>
      </c>
      <c r="D55" s="97">
        <v>1270.7746825871366</v>
      </c>
      <c r="E55" s="97">
        <v>1423.1009681266073</v>
      </c>
      <c r="F55" s="97">
        <v>1478.8786102217578</v>
      </c>
      <c r="G55" s="97">
        <v>1595.5232692878044</v>
      </c>
      <c r="H55" s="97">
        <v>1385.151698214047</v>
      </c>
      <c r="I55" s="97">
        <v>1391.1760096438989</v>
      </c>
      <c r="J55" s="97">
        <v>1342.4661655766117</v>
      </c>
      <c r="K55" s="97">
        <v>1260.4920417260216</v>
      </c>
      <c r="L55" s="97">
        <v>1436.2864913510289</v>
      </c>
      <c r="M55" s="97">
        <v>1254.833589107001</v>
      </c>
      <c r="N55" s="97">
        <v>1301.5216980951607</v>
      </c>
      <c r="O55" s="97">
        <v>1618.561288181251</v>
      </c>
      <c r="P55" s="97">
        <v>1506.5597428574404</v>
      </c>
      <c r="Q55" s="97">
        <v>1544.9530791090294</v>
      </c>
      <c r="R55" s="97">
        <v>1574.5796289721291</v>
      </c>
      <c r="S55" s="97">
        <v>1637.4968527521273</v>
      </c>
      <c r="T55" s="97">
        <v>1701.0659899251168</v>
      </c>
      <c r="U55" s="97">
        <v>1757.7280943890164</v>
      </c>
      <c r="V55" s="97">
        <v>1641.197243148865</v>
      </c>
      <c r="W55" s="97">
        <v>1711.1167504222599</v>
      </c>
      <c r="X55" s="97">
        <v>1371.7037308278777</v>
      </c>
      <c r="Y55" s="97">
        <v>1205.3387683110218</v>
      </c>
      <c r="DA55" s="175" t="s">
        <v>670</v>
      </c>
    </row>
    <row r="56" spans="1:105" ht="11.45" customHeight="1" x14ac:dyDescent="0.25">
      <c r="A56" s="161" t="s">
        <v>131</v>
      </c>
      <c r="B56" s="98">
        <v>3.4232048075901917</v>
      </c>
      <c r="C56" s="98">
        <v>4.3105663258405684</v>
      </c>
      <c r="D56" s="98">
        <v>4.8330310571932085</v>
      </c>
      <c r="E56" s="98">
        <v>5.0787238202631588</v>
      </c>
      <c r="F56" s="98">
        <v>5.0305647140539271</v>
      </c>
      <c r="G56" s="98">
        <v>20.502999795610965</v>
      </c>
      <c r="H56" s="98">
        <v>62.997539618339168</v>
      </c>
      <c r="I56" s="98">
        <v>74.372929157246872</v>
      </c>
      <c r="J56" s="98">
        <v>81.896386476468251</v>
      </c>
      <c r="K56" s="98">
        <v>99.532453756062523</v>
      </c>
      <c r="L56" s="98">
        <v>104.30877853185524</v>
      </c>
      <c r="M56" s="98">
        <v>95.082597235960662</v>
      </c>
      <c r="N56" s="98">
        <v>96.665204623216681</v>
      </c>
      <c r="O56" s="98">
        <v>116.8571702091632</v>
      </c>
      <c r="P56" s="98">
        <v>132.95140255901669</v>
      </c>
      <c r="Q56" s="98">
        <v>147.12524242989994</v>
      </c>
      <c r="R56" s="98">
        <v>119.61418792525754</v>
      </c>
      <c r="S56" s="98">
        <v>106.20653296195141</v>
      </c>
      <c r="T56" s="98">
        <v>112.61560401609282</v>
      </c>
      <c r="U56" s="98">
        <v>113.77327690687682</v>
      </c>
      <c r="V56" s="98">
        <v>99.191439083709895</v>
      </c>
      <c r="W56" s="98">
        <v>104.46030212161648</v>
      </c>
      <c r="X56" s="98">
        <v>85.354849783881363</v>
      </c>
      <c r="Y56" s="98">
        <v>88.897585796451793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9.4513356485514102</v>
      </c>
      <c r="C60" s="79">
        <f>IF(C17=0,0,C17/TrRoad_act!C30*100)</f>
        <v>9.9378359121569577</v>
      </c>
      <c r="D60" s="79">
        <f>IF(D17=0,0,D17/TrRoad_act!D30*100)</f>
        <v>10.745939771087297</v>
      </c>
      <c r="E60" s="79">
        <f>IF(E17=0,0,E17/TrRoad_act!E30*100)</f>
        <v>11.2817712073218</v>
      </c>
      <c r="F60" s="79">
        <f>IF(F17=0,0,F17/TrRoad_act!F30*100)</f>
        <v>11.261057058431113</v>
      </c>
      <c r="G60" s="79">
        <f>IF(G17=0,0,G17/TrRoad_act!G30*100)</f>
        <v>11.46874206665594</v>
      </c>
      <c r="H60" s="79">
        <f>IF(H17=0,0,H17/TrRoad_act!H30*100)</f>
        <v>11.028923824643645</v>
      </c>
      <c r="I60" s="79">
        <f>IF(I17=0,0,I17/TrRoad_act!I30*100)</f>
        <v>10.949371849565672</v>
      </c>
      <c r="J60" s="79">
        <f>IF(J17=0,0,J17/TrRoad_act!J30*100)</f>
        <v>10.839269703564215</v>
      </c>
      <c r="K60" s="79">
        <f>IF(K17=0,0,K17/TrRoad_act!K30*100)</f>
        <v>10.694165932965296</v>
      </c>
      <c r="L60" s="79">
        <f>IF(L17=0,0,L17/TrRoad_act!L30*100)</f>
        <v>10.919668302951212</v>
      </c>
      <c r="M60" s="79">
        <f>IF(M17=0,0,M17/TrRoad_act!M30*100)</f>
        <v>10.303000947068886</v>
      </c>
      <c r="N60" s="79">
        <f>IF(N17=0,0,N17/TrRoad_act!N30*100)</f>
        <v>10.296277734497128</v>
      </c>
      <c r="O60" s="79">
        <f>IF(O17=0,0,O17/TrRoad_act!O30*100)</f>
        <v>10.774976856638819</v>
      </c>
      <c r="P60" s="79">
        <f>IF(P17=0,0,P17/TrRoad_act!P30*100)</f>
        <v>10.469901536187853</v>
      </c>
      <c r="Q60" s="79">
        <f>IF(Q17=0,0,Q17/TrRoad_act!Q30*100)</f>
        <v>10.482036597708589</v>
      </c>
      <c r="R60" s="79">
        <f>IF(R17=0,0,R17/TrRoad_act!R30*100)</f>
        <v>10.386358597678184</v>
      </c>
      <c r="S60" s="79">
        <f>IF(S17=0,0,S17/TrRoad_act!S30*100)</f>
        <v>10.331141716101227</v>
      </c>
      <c r="T60" s="79">
        <f>IF(T17=0,0,T17/TrRoad_act!T30*100)</f>
        <v>10.33508931961247</v>
      </c>
      <c r="U60" s="79">
        <f>IF(U17=0,0,U17/TrRoad_act!U30*100)</f>
        <v>10.254833340136432</v>
      </c>
      <c r="V60" s="79">
        <f>IF(V17=0,0,V17/TrRoad_act!V30*100)</f>
        <v>10.386635822043734</v>
      </c>
      <c r="W60" s="79">
        <f>IF(W17=0,0,W17/TrRoad_act!W30*100)</f>
        <v>10.249558728796059</v>
      </c>
      <c r="X60" s="79">
        <f>IF(X17=0,0,X17/TrRoad_act!X30*100)</f>
        <v>9.2162971957517179</v>
      </c>
      <c r="Y60" s="79">
        <f>IF(Y17=0,0,Y17/TrRoad_act!Y30*100)</f>
        <v>8.8834744864496251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7.2241718678806643</v>
      </c>
      <c r="C61" s="32">
        <f>IF(C18=0,0,C18/TrRoad_act!C31*100)</f>
        <v>7.4030919514944307</v>
      </c>
      <c r="D61" s="32">
        <f>IF(D18=0,0,D18/TrRoad_act!D31*100)</f>
        <v>8.0095433079864353</v>
      </c>
      <c r="E61" s="32">
        <f>IF(E18=0,0,E18/TrRoad_act!E31*100)</f>
        <v>8.3734091909000377</v>
      </c>
      <c r="F61" s="32">
        <f>IF(F18=0,0,F18/TrRoad_act!F31*100)</f>
        <v>8.4030231126415238</v>
      </c>
      <c r="G61" s="32">
        <f>IF(G18=0,0,G18/TrRoad_act!G31*100)</f>
        <v>8.5062586361015367</v>
      </c>
      <c r="H61" s="32">
        <f>IF(H18=0,0,H18/TrRoad_act!H31*100)</f>
        <v>8.3441577679540142</v>
      </c>
      <c r="I61" s="32">
        <f>IF(I18=0,0,I18/TrRoad_act!I31*100)</f>
        <v>8.3523154175602077</v>
      </c>
      <c r="J61" s="32">
        <f>IF(J18=0,0,J18/TrRoad_act!J31*100)</f>
        <v>8.3100962747286218</v>
      </c>
      <c r="K61" s="32">
        <f>IF(K18=0,0,K18/TrRoad_act!K31*100)</f>
        <v>8.2460745807610323</v>
      </c>
      <c r="L61" s="32">
        <f>IF(L18=0,0,L18/TrRoad_act!L31*100)</f>
        <v>8.248989757251195</v>
      </c>
      <c r="M61" s="32">
        <f>IF(M18=0,0,M18/TrRoad_act!M31*100)</f>
        <v>7.9052598509289975</v>
      </c>
      <c r="N61" s="32">
        <f>IF(N18=0,0,N18/TrRoad_act!N31*100)</f>
        <v>7.8189885085890865</v>
      </c>
      <c r="O61" s="32">
        <f>IF(O18=0,0,O18/TrRoad_act!O31*100)</f>
        <v>7.8652601452230391</v>
      </c>
      <c r="P61" s="32">
        <f>IF(P18=0,0,P18/TrRoad_act!P31*100)</f>
        <v>7.7694829234678879</v>
      </c>
      <c r="Q61" s="32">
        <f>IF(Q18=0,0,Q18/TrRoad_act!Q31*100)</f>
        <v>7.7699762059728155</v>
      </c>
      <c r="R61" s="32">
        <f>IF(R18=0,0,R18/TrRoad_act!R31*100)</f>
        <v>7.6784210359638436</v>
      </c>
      <c r="S61" s="32">
        <f>IF(S18=0,0,S18/TrRoad_act!S31*100)</f>
        <v>7.5905630364889936</v>
      </c>
      <c r="T61" s="32">
        <f>IF(T18=0,0,T18/TrRoad_act!T31*100)</f>
        <v>7.5451163438426549</v>
      </c>
      <c r="U61" s="32">
        <f>IF(U18=0,0,U18/TrRoad_act!U31*100)</f>
        <v>7.4041675305412893</v>
      </c>
      <c r="V61" s="32">
        <f>IF(V18=0,0,V18/TrRoad_act!V31*100)</f>
        <v>7.2917261192561966</v>
      </c>
      <c r="W61" s="32">
        <f>IF(W18=0,0,W18/TrRoad_act!W31*100)</f>
        <v>7.1611727899439845</v>
      </c>
      <c r="X61" s="32">
        <f>IF(X18=0,0,X18/TrRoad_act!X31*100)</f>
        <v>6.7568494656219906</v>
      </c>
      <c r="Y61" s="32">
        <f>IF(Y18=0,0,Y18/TrRoad_act!Y31*100)</f>
        <v>6.7104740849039457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3.6834807002951533</v>
      </c>
      <c r="C62" s="141">
        <f>IF(C19=0,0,C19/TrRoad_act!C32*100)</f>
        <v>3.6617756609876455</v>
      </c>
      <c r="D62" s="141">
        <f>IF(D19=0,0,D19/TrRoad_act!D32*100)</f>
        <v>3.6497478051543673</v>
      </c>
      <c r="E62" s="141">
        <f>IF(E19=0,0,E19/TrRoad_act!E32*100)</f>
        <v>3.6463435334295746</v>
      </c>
      <c r="F62" s="141">
        <f>IF(F19=0,0,F19/TrRoad_act!F32*100)</f>
        <v>3.6127844851591249</v>
      </c>
      <c r="G62" s="141">
        <f>IF(G19=0,0,G19/TrRoad_act!G32*100)</f>
        <v>3.5946015282233859</v>
      </c>
      <c r="H62" s="141">
        <f>IF(H19=0,0,H19/TrRoad_act!H32*100)</f>
        <v>3.5783424319014405</v>
      </c>
      <c r="I62" s="141">
        <f>IF(I19=0,0,I19/TrRoad_act!I32*100)</f>
        <v>3.5612978769716821</v>
      </c>
      <c r="J62" s="141">
        <f>IF(J19=0,0,J19/TrRoad_act!J32*100)</f>
        <v>3.5431588988348492</v>
      </c>
      <c r="K62" s="141">
        <f>IF(K19=0,0,K19/TrRoad_act!K32*100)</f>
        <v>3.5343106038303187</v>
      </c>
      <c r="L62" s="141">
        <f>IF(L19=0,0,L19/TrRoad_act!L32*100)</f>
        <v>3.5176387465646566</v>
      </c>
      <c r="M62" s="141">
        <f>IF(M19=0,0,M19/TrRoad_act!M32*100)</f>
        <v>3.515191435458751</v>
      </c>
      <c r="N62" s="141">
        <f>IF(N19=0,0,N19/TrRoad_act!N32*100)</f>
        <v>3.491132493182779</v>
      </c>
      <c r="O62" s="141">
        <f>IF(O19=0,0,O19/TrRoad_act!O32*100)</f>
        <v>3.5231737531653207</v>
      </c>
      <c r="P62" s="141">
        <f>IF(P19=0,0,P19/TrRoad_act!P32*100)</f>
        <v>3.5555784256609999</v>
      </c>
      <c r="Q62" s="141">
        <f>IF(Q19=0,0,Q19/TrRoad_act!Q32*100)</f>
        <v>3.5361120735960196</v>
      </c>
      <c r="R62" s="141">
        <f>IF(R19=0,0,R19/TrRoad_act!R32*100)</f>
        <v>3.503278613580834</v>
      </c>
      <c r="S62" s="141">
        <f>IF(S19=0,0,S19/TrRoad_act!S32*100)</f>
        <v>3.6708709032122728</v>
      </c>
      <c r="T62" s="141">
        <f>IF(T19=0,0,T19/TrRoad_act!T32*100)</f>
        <v>3.6829137618408585</v>
      </c>
      <c r="U62" s="141">
        <f>IF(U19=0,0,U19/TrRoad_act!U32*100)</f>
        <v>3.6911954753512535</v>
      </c>
      <c r="V62" s="141">
        <f>IF(V19=0,0,V19/TrRoad_act!V32*100)</f>
        <v>3.7139975071135645</v>
      </c>
      <c r="W62" s="141">
        <f>IF(W19=0,0,W19/TrRoad_act!W32*100)</f>
        <v>3.5576428972582459</v>
      </c>
      <c r="X62" s="141">
        <f>IF(X19=0,0,X19/TrRoad_act!X32*100)</f>
        <v>3.579537322745062</v>
      </c>
      <c r="Y62" s="141">
        <f>IF(Y19=0,0,Y19/TrRoad_act!Y32*100)</f>
        <v>3.6028190503095128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6.8683069540679682</v>
      </c>
      <c r="C63" s="130">
        <f>IF(C21=0,0,C21/TrRoad_act!C33*100)</f>
        <v>7.0601366303153918</v>
      </c>
      <c r="D63" s="130">
        <f>IF(D21=0,0,D21/TrRoad_act!D33*100)</f>
        <v>7.6794572645958432</v>
      </c>
      <c r="E63" s="130">
        <f>IF(E21=0,0,E21/TrRoad_act!E33*100)</f>
        <v>8.0494649924184447</v>
      </c>
      <c r="F63" s="130">
        <f>IF(F21=0,0,F21/TrRoad_act!F33*100)</f>
        <v>8.0938955144383264</v>
      </c>
      <c r="G63" s="130">
        <f>IF(G21=0,0,G21/TrRoad_act!G33*100)</f>
        <v>8.2104329360713066</v>
      </c>
      <c r="H63" s="130">
        <f>IF(H21=0,0,H21/TrRoad_act!H33*100)</f>
        <v>8.0569721846930786</v>
      </c>
      <c r="I63" s="130">
        <f>IF(I21=0,0,I21/TrRoad_act!I33*100)</f>
        <v>8.0541252810638042</v>
      </c>
      <c r="J63" s="130">
        <f>IF(J21=0,0,J21/TrRoad_act!J33*100)</f>
        <v>8.0178340666546788</v>
      </c>
      <c r="K63" s="130">
        <f>IF(K21=0,0,K21/TrRoad_act!K33*100)</f>
        <v>7.9856643702205421</v>
      </c>
      <c r="L63" s="130">
        <f>IF(L21=0,0,L21/TrRoad_act!L33*100)</f>
        <v>7.9656182683686811</v>
      </c>
      <c r="M63" s="130">
        <f>IF(M21=0,0,M21/TrRoad_act!M33*100)</f>
        <v>7.6229034204309682</v>
      </c>
      <c r="N63" s="130">
        <f>IF(N21=0,0,N21/TrRoad_act!N33*100)</f>
        <v>7.5386874280248417</v>
      </c>
      <c r="O63" s="130">
        <f>IF(O21=0,0,O21/TrRoad_act!O33*100)</f>
        <v>7.5919665477190801</v>
      </c>
      <c r="P63" s="130">
        <f>IF(P21=0,0,P21/TrRoad_act!P33*100)</f>
        <v>7.4905609398619788</v>
      </c>
      <c r="Q63" s="130">
        <f>IF(Q21=0,0,Q21/TrRoad_act!Q33*100)</f>
        <v>7.4934696067006481</v>
      </c>
      <c r="R63" s="130">
        <f>IF(R21=0,0,R21/TrRoad_act!R33*100)</f>
        <v>7.3934740415692461</v>
      </c>
      <c r="S63" s="130">
        <f>IF(S21=0,0,S21/TrRoad_act!S33*100)</f>
        <v>7.2861986310154156</v>
      </c>
      <c r="T63" s="130">
        <f>IF(T21=0,0,T21/TrRoad_act!T33*100)</f>
        <v>7.2545653589154044</v>
      </c>
      <c r="U63" s="130">
        <f>IF(U21=0,0,U21/TrRoad_act!U33*100)</f>
        <v>7.1200347913282709</v>
      </c>
      <c r="V63" s="130">
        <f>IF(V21=0,0,V21/TrRoad_act!V33*100)</f>
        <v>6.9422662481944215</v>
      </c>
      <c r="W63" s="130">
        <f>IF(W21=0,0,W21/TrRoad_act!W33*100)</f>
        <v>6.8346157499926674</v>
      </c>
      <c r="X63" s="130">
        <f>IF(X21=0,0,X21/TrRoad_act!X33*100)</f>
        <v>6.4492999593964662</v>
      </c>
      <c r="Y63" s="130">
        <f>IF(Y21=0,0,Y21/TrRoad_act!Y33*100)</f>
        <v>6.4191445131809495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6.2679100242943289</v>
      </c>
      <c r="C64" s="96">
        <f>IF(C22=0,0,C22/TrRoad_act!C34*100)</f>
        <v>6.365006571438701</v>
      </c>
      <c r="D64" s="96">
        <f>IF(D22=0,0,D22/TrRoad_act!D34*100)</f>
        <v>7.1618800795177702</v>
      </c>
      <c r="E64" s="96">
        <f>IF(E22=0,0,E22/TrRoad_act!E34*100)</f>
        <v>7.6438566466734486</v>
      </c>
      <c r="F64" s="96">
        <f>IF(F22=0,0,F22/TrRoad_act!F34*100)</f>
        <v>7.7871526095094845</v>
      </c>
      <c r="G64" s="96">
        <f>IF(G22=0,0,G22/TrRoad_act!G34*100)</f>
        <v>7.928046600170779</v>
      </c>
      <c r="H64" s="96">
        <f>IF(H22=0,0,H22/TrRoad_act!H34*100)</f>
        <v>7.9072504242332391</v>
      </c>
      <c r="I64" s="96">
        <f>IF(I22=0,0,I22/TrRoad_act!I34*100)</f>
        <v>7.9908505978573352</v>
      </c>
      <c r="J64" s="96">
        <f>IF(J22=0,0,J22/TrRoad_act!J34*100)</f>
        <v>8.0399404031900517</v>
      </c>
      <c r="K64" s="96">
        <f>IF(K22=0,0,K22/TrRoad_act!K34*100)</f>
        <v>7.9425787638801069</v>
      </c>
      <c r="L64" s="96">
        <f>IF(L22=0,0,L22/TrRoad_act!L34*100)</f>
        <v>7.8424095922761561</v>
      </c>
      <c r="M64" s="96">
        <f>IF(M22=0,0,M22/TrRoad_act!M34*100)</f>
        <v>7.5178092722835803</v>
      </c>
      <c r="N64" s="96">
        <f>IF(N22=0,0,N22/TrRoad_act!N34*100)</f>
        <v>7.3931836971870348</v>
      </c>
      <c r="O64" s="96">
        <f>IF(O22=0,0,O22/TrRoad_act!O34*100)</f>
        <v>7.3382807237483778</v>
      </c>
      <c r="P64" s="96">
        <f>IF(P22=0,0,P22/TrRoad_act!P34*100)</f>
        <v>7.3537535261243168</v>
      </c>
      <c r="Q64" s="96">
        <f>IF(Q22=0,0,Q22/TrRoad_act!Q34*100)</f>
        <v>7.5057917261947438</v>
      </c>
      <c r="R64" s="96">
        <f>IF(R22=0,0,R22/TrRoad_act!R34*100)</f>
        <v>7.4763178474708551</v>
      </c>
      <c r="S64" s="96">
        <f>IF(S22=0,0,S22/TrRoad_act!S34*100)</f>
        <v>7.3861538543274579</v>
      </c>
      <c r="T64" s="96">
        <f>IF(T22=0,0,T22/TrRoad_act!T34*100)</f>
        <v>7.3109269457852042</v>
      </c>
      <c r="U64" s="96">
        <f>IF(U22=0,0,U22/TrRoad_act!U34*100)</f>
        <v>7.0850294226892405</v>
      </c>
      <c r="V64" s="96">
        <f>IF(V22=0,0,V22/TrRoad_act!V34*100)</f>
        <v>6.8618778269861735</v>
      </c>
      <c r="W64" s="96">
        <f>IF(W22=0,0,W22/TrRoad_act!W34*100)</f>
        <v>6.7881039358237372</v>
      </c>
      <c r="X64" s="96">
        <f>IF(X22=0,0,X22/TrRoad_act!X34*100)</f>
        <v>6.5089795791013509</v>
      </c>
      <c r="Y64" s="96">
        <f>IF(Y22=0,0,Y22/TrRoad_act!Y34*100)</f>
        <v>6.8546523444581871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7.6351591534246381</v>
      </c>
      <c r="C65" s="96">
        <f>IF(C24=0,0,C24/TrRoad_act!C35*100)</f>
        <v>7.8995855350711759</v>
      </c>
      <c r="D65" s="96">
        <f>IF(D24=0,0,D24/TrRoad_act!D35*100)</f>
        <v>8.2431872929664785</v>
      </c>
      <c r="E65" s="96">
        <f>IF(E24=0,0,E24/TrRoad_act!E35*100)</f>
        <v>8.4515757750592702</v>
      </c>
      <c r="F65" s="96">
        <f>IF(F24=0,0,F24/TrRoad_act!F35*100)</f>
        <v>8.3716773860458833</v>
      </c>
      <c r="G65" s="96">
        <f>IF(G24=0,0,G24/TrRoad_act!G35*100)</f>
        <v>8.4445472814574938</v>
      </c>
      <c r="H65" s="96">
        <f>IF(H24=0,0,H24/TrRoad_act!H35*100)</f>
        <v>8.1767289236945597</v>
      </c>
      <c r="I65" s="96">
        <f>IF(I24=0,0,I24/TrRoad_act!I35*100)</f>
        <v>8.1055263408697478</v>
      </c>
      <c r="J65" s="96">
        <f>IF(J24=0,0,J24/TrRoad_act!J35*100)</f>
        <v>8.0105266398298678</v>
      </c>
      <c r="K65" s="96">
        <f>IF(K24=0,0,K24/TrRoad_act!K35*100)</f>
        <v>8.0179256362148745</v>
      </c>
      <c r="L65" s="96">
        <f>IF(L24=0,0,L24/TrRoad_act!L35*100)</f>
        <v>8.0478712184763381</v>
      </c>
      <c r="M65" s="96">
        <f>IF(M24=0,0,M24/TrRoad_act!M35*100)</f>
        <v>7.6899522087245096</v>
      </c>
      <c r="N65" s="96">
        <f>IF(N24=0,0,N24/TrRoad_act!N35*100)</f>
        <v>7.6275482295766226</v>
      </c>
      <c r="O65" s="96">
        <f>IF(O24=0,0,O24/TrRoad_act!O35*100)</f>
        <v>7.7384668464599153</v>
      </c>
      <c r="P65" s="96">
        <f>IF(P24=0,0,P24/TrRoad_act!P35*100)</f>
        <v>7.5730680865092017</v>
      </c>
      <c r="Q65" s="96">
        <f>IF(Q24=0,0,Q24/TrRoad_act!Q35*100)</f>
        <v>7.504975636024275</v>
      </c>
      <c r="R65" s="96">
        <f>IF(R24=0,0,R24/TrRoad_act!R35*100)</f>
        <v>7.3779675629338239</v>
      </c>
      <c r="S65" s="96">
        <f>IF(S24=0,0,S24/TrRoad_act!S35*100)</f>
        <v>7.2735305250325872</v>
      </c>
      <c r="T65" s="96">
        <f>IF(T24=0,0,T24/TrRoad_act!T35*100)</f>
        <v>7.2740393787403841</v>
      </c>
      <c r="U65" s="96">
        <f>IF(U24=0,0,U24/TrRoad_act!U35*100)</f>
        <v>7.1972228729910839</v>
      </c>
      <c r="V65" s="96">
        <f>IF(V24=0,0,V24/TrRoad_act!V35*100)</f>
        <v>7.0789753748154949</v>
      </c>
      <c r="W65" s="96">
        <f>IF(W24=0,0,W24/TrRoad_act!W35*100)</f>
        <v>7.0388919857680436</v>
      </c>
      <c r="X65" s="96">
        <f>IF(X24=0,0,X24/TrRoad_act!X35*100)</f>
        <v>6.6447195409600592</v>
      </c>
      <c r="Y65" s="96">
        <f>IF(Y24=0,0,Y24/TrRoad_act!Y35*100)</f>
        <v>6.4951851788392494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7.9043364389210158</v>
      </c>
      <c r="C66" s="96">
        <f>IF(C26=0,0,C26/TrRoad_act!C36*100)</f>
        <v>7.9398687062909064</v>
      </c>
      <c r="D66" s="96">
        <f>IF(D26=0,0,D26/TrRoad_act!D36*100)</f>
        <v>7.544716508215596</v>
      </c>
      <c r="E66" s="96">
        <f>IF(E26=0,0,E26/TrRoad_act!E36*100)</f>
        <v>7.4046653593552989</v>
      </c>
      <c r="F66" s="96">
        <f>IF(F26=0,0,F26/TrRoad_act!F36*100)</f>
        <v>7.4334292969252189</v>
      </c>
      <c r="G66" s="96">
        <f>IF(G26=0,0,G26/TrRoad_act!G36*100)</f>
        <v>7.0195304991277077</v>
      </c>
      <c r="H66" s="96">
        <f>IF(H26=0,0,H26/TrRoad_act!H36*100)</f>
        <v>6.8764711637728864</v>
      </c>
      <c r="I66" s="96">
        <f>IF(I26=0,0,I26/TrRoad_act!I36*100)</f>
        <v>6.9190848553044955</v>
      </c>
      <c r="J66" s="96">
        <f>IF(J26=0,0,J26/TrRoad_act!J36*100)</f>
        <v>7.2058672730217594</v>
      </c>
      <c r="K66" s="96">
        <f>IF(K26=0,0,K26/TrRoad_act!K36*100)</f>
        <v>7.4702562977618419</v>
      </c>
      <c r="L66" s="96">
        <f>IF(L26=0,0,L26/TrRoad_act!L36*100)</f>
        <v>7.3472097961711249</v>
      </c>
      <c r="M66" s="96">
        <f>IF(M26=0,0,M26/TrRoad_act!M36*100)</f>
        <v>6.9947951567230913</v>
      </c>
      <c r="N66" s="96">
        <f>IF(N26=0,0,N26/TrRoad_act!N36*100)</f>
        <v>7.175323733843129</v>
      </c>
      <c r="O66" s="96">
        <f>IF(O26=0,0,O26/TrRoad_act!O36*100)</f>
        <v>7.1189657922963043</v>
      </c>
      <c r="P66" s="96">
        <f>IF(P26=0,0,P26/TrRoad_act!P36*100)</f>
        <v>6.7416555991642451</v>
      </c>
      <c r="Q66" s="96">
        <f>IF(Q26=0,0,Q26/TrRoad_act!Q36*100)</f>
        <v>6.5989939675876519</v>
      </c>
      <c r="R66" s="96">
        <f>IF(R26=0,0,R26/TrRoad_act!R36*100)</f>
        <v>7.3905039601340485</v>
      </c>
      <c r="S66" s="96">
        <f>IF(S26=0,0,S26/TrRoad_act!S36*100)</f>
        <v>7.9132075050266186</v>
      </c>
      <c r="T66" s="96">
        <f>IF(T26=0,0,T26/TrRoad_act!T36*100)</f>
        <v>7.4023945806931737</v>
      </c>
      <c r="U66" s="96">
        <f>IF(U26=0,0,U26/TrRoad_act!U36*100)</f>
        <v>8.4135293731399265</v>
      </c>
      <c r="V66" s="96">
        <f>IF(V26=0,0,V26/TrRoad_act!V36*100)</f>
        <v>6.8257422576210205</v>
      </c>
      <c r="W66" s="96">
        <f>IF(W26=0,0,W26/TrRoad_act!W36*100)</f>
        <v>5.033014793711823</v>
      </c>
      <c r="X66" s="96">
        <f>IF(X26=0,0,X26/TrRoad_act!X36*100)</f>
        <v>7.5251751292620535</v>
      </c>
      <c r="Y66" s="96">
        <f>IF(Y26=0,0,Y26/TrRoad_act!Y36*100)</f>
        <v>7.5030962749266239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6.9786932591948574</v>
      </c>
      <c r="I67" s="96">
        <f>IF(I27=0,0,I27/TrRoad_act!I37*100)</f>
        <v>6.8955726147769996</v>
      </c>
      <c r="J67" s="96">
        <f>IF(J27=0,0,J27/TrRoad_act!J37*100)</f>
        <v>6.6940548658554047</v>
      </c>
      <c r="K67" s="96">
        <f>IF(K27=0,0,K27/TrRoad_act!K37*100)</f>
        <v>6.6445305807359079</v>
      </c>
      <c r="L67" s="96">
        <f>IF(L27=0,0,L27/TrRoad_act!L37*100)</f>
        <v>6.9265001554072754</v>
      </c>
      <c r="M67" s="96">
        <f>IF(M27=0,0,M27/TrRoad_act!M37*100)</f>
        <v>7.0870796984417446</v>
      </c>
      <c r="N67" s="96">
        <f>IF(N27=0,0,N27/TrRoad_act!N37*100)</f>
        <v>7.0789767339142928</v>
      </c>
      <c r="O67" s="96">
        <f>IF(O27=0,0,O27/TrRoad_act!O37*100)</f>
        <v>6.8081763935806965</v>
      </c>
      <c r="P67" s="96">
        <f>IF(P27=0,0,P27/TrRoad_act!P37*100)</f>
        <v>6.5454475869091073</v>
      </c>
      <c r="Q67" s="96">
        <f>IF(Q27=0,0,Q27/TrRoad_act!Q37*100)</f>
        <v>6.4002170976660482</v>
      </c>
      <c r="R67" s="96">
        <f>IF(R27=0,0,R27/TrRoad_act!R37*100)</f>
        <v>6.2901825017376751</v>
      </c>
      <c r="S67" s="96">
        <f>IF(S27=0,0,S27/TrRoad_act!S37*100)</f>
        <v>6.2146835450078406</v>
      </c>
      <c r="T67" s="96">
        <f>IF(T27=0,0,T27/TrRoad_act!T37*100)</f>
        <v>6.1200978115868425</v>
      </c>
      <c r="U67" s="96">
        <f>IF(U27=0,0,U27/TrRoad_act!U37*100)</f>
        <v>6.0485693510937066</v>
      </c>
      <c r="V67" s="96">
        <f>IF(V27=0,0,V27/TrRoad_act!V37*100)</f>
        <v>5.9390963017541427</v>
      </c>
      <c r="W67" s="96">
        <f>IF(W27=0,0,W27/TrRoad_act!W37*100)</f>
        <v>5.8667670674657622</v>
      </c>
      <c r="X67" s="96">
        <f>IF(X27=0,0,X27/TrRoad_act!X37*100)</f>
        <v>5.8061126271839036</v>
      </c>
      <c r="Y67" s="96">
        <f>IF(Y27=0,0,Y27/TrRoad_act!Y37*100)</f>
        <v>5.7482135838652626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3.705541054964101</v>
      </c>
      <c r="N68" s="96">
        <f>IF(N29=0,0,N29/TrRoad_act!N38*100)</f>
        <v>3.0393759356397831</v>
      </c>
      <c r="O68" s="96">
        <f>IF(O29=0,0,O29/TrRoad_act!O38*100)</f>
        <v>2.5293513728826817</v>
      </c>
      <c r="P68" s="96">
        <f>IF(P29=0,0,P29/TrRoad_act!P38*100)</f>
        <v>2.770207530580961</v>
      </c>
      <c r="Q68" s="96">
        <f>IF(Q29=0,0,Q29/TrRoad_act!Q38*100)</f>
        <v>3.2961898085982857</v>
      </c>
      <c r="R68" s="96">
        <f>IF(R29=0,0,R29/TrRoad_act!R38*100)</f>
        <v>3.9124921740266863</v>
      </c>
      <c r="S68" s="96">
        <f>IF(S29=0,0,S29/TrRoad_act!S38*100)</f>
        <v>4.0757915188306706</v>
      </c>
      <c r="T68" s="96">
        <f>IF(T29=0,0,T29/TrRoad_act!T38*100)</f>
        <v>4.2109831268198894</v>
      </c>
      <c r="U68" s="96">
        <f>IF(U29=0,0,U29/TrRoad_act!U38*100)</f>
        <v>4.2415299991316848</v>
      </c>
      <c r="V68" s="96">
        <f>IF(V29=0,0,V29/TrRoad_act!V38*100)</f>
        <v>3.9073395705428253</v>
      </c>
      <c r="W68" s="96">
        <f>IF(W29=0,0,W29/TrRoad_act!W38*100)</f>
        <v>3.7014043597072348</v>
      </c>
      <c r="X68" s="96">
        <f>IF(X29=0,0,X29/TrRoad_act!X38*100)</f>
        <v>3.5508562553504244</v>
      </c>
      <c r="Y68" s="96">
        <f>IF(Y29=0,0,Y29/TrRoad_act!Y38*100)</f>
        <v>3.5824074845189062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1.3933846583001825</v>
      </c>
      <c r="K69" s="96">
        <f>IF(K32=0,0,K32/TrRoad_act!K39*100)</f>
        <v>1.3848686830975077</v>
      </c>
      <c r="L69" s="96">
        <f>IF(L32=0,0,L32/TrRoad_act!L39*100)</f>
        <v>1.3821992398678475</v>
      </c>
      <c r="M69" s="96">
        <f>IF(M32=0,0,M32/TrRoad_act!M39*100)</f>
        <v>1.3827546690889285</v>
      </c>
      <c r="N69" s="96">
        <f>IF(N32=0,0,N32/TrRoad_act!N39*100)</f>
        <v>1.3783700531933922</v>
      </c>
      <c r="O69" s="96">
        <f>IF(O32=0,0,O32/TrRoad_act!O39*100)</f>
        <v>1.383908815566544</v>
      </c>
      <c r="P69" s="96">
        <f>IF(P32=0,0,P32/TrRoad_act!P39*100)</f>
        <v>1.3588672703677978</v>
      </c>
      <c r="Q69" s="96">
        <f>IF(Q32=0,0,Q32/TrRoad_act!Q39*100)</f>
        <v>1.4182742099855017</v>
      </c>
      <c r="R69" s="96">
        <f>IF(R32=0,0,R32/TrRoad_act!R39*100)</f>
        <v>1.409931642509501</v>
      </c>
      <c r="S69" s="96">
        <f>IF(S32=0,0,S32/TrRoad_act!S39*100)</f>
        <v>1.3887028140474649</v>
      </c>
      <c r="T69" s="96">
        <f>IF(T32=0,0,T32/TrRoad_act!T39*100)</f>
        <v>1.4093561291168208</v>
      </c>
      <c r="U69" s="96">
        <f>IF(U32=0,0,U32/TrRoad_act!U39*100)</f>
        <v>1.4767967727057087</v>
      </c>
      <c r="V69" s="96">
        <f>IF(V32=0,0,V32/TrRoad_act!V39*100)</f>
        <v>1.53683681565732</v>
      </c>
      <c r="W69" s="96">
        <f>IF(W32=0,0,W32/TrRoad_act!W39*100)</f>
        <v>1.5878435294092004</v>
      </c>
      <c r="X69" s="96">
        <f>IF(X32=0,0,X32/TrRoad_act!X39*100)</f>
        <v>1.6099366377624813</v>
      </c>
      <c r="Y69" s="96">
        <f>IF(Y32=0,0,Y32/TrRoad_act!Y39*100)</f>
        <v>1.6190058187851055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57.276801568459568</v>
      </c>
      <c r="C70" s="130">
        <f>IF(C33=0,0,C33/TrRoad_act!C40*100)</f>
        <v>56.303302091654807</v>
      </c>
      <c r="D70" s="130">
        <f>IF(D33=0,0,D33/TrRoad_act!D40*100)</f>
        <v>55.781041487163598</v>
      </c>
      <c r="E70" s="130">
        <f>IF(E33=0,0,E33/TrRoad_act!E40*100)</f>
        <v>55.330144553960224</v>
      </c>
      <c r="F70" s="130">
        <f>IF(F33=0,0,F33/TrRoad_act!F40*100)</f>
        <v>54.856947039584291</v>
      </c>
      <c r="G70" s="130">
        <f>IF(G33=0,0,G33/TrRoad_act!G40*100)</f>
        <v>54.540986426695213</v>
      </c>
      <c r="H70" s="130">
        <f>IF(H33=0,0,H33/TrRoad_act!H40*100)</f>
        <v>54.213101170774145</v>
      </c>
      <c r="I70" s="130">
        <f>IF(I33=0,0,I33/TrRoad_act!I40*100)</f>
        <v>54.000515755072122</v>
      </c>
      <c r="J70" s="130">
        <f>IF(J33=0,0,J33/TrRoad_act!J40*100)</f>
        <v>53.787681004586695</v>
      </c>
      <c r="K70" s="130">
        <f>IF(K33=0,0,K33/TrRoad_act!K40*100)</f>
        <v>53.493092232483228</v>
      </c>
      <c r="L70" s="130">
        <f>IF(L33=0,0,L33/TrRoad_act!L40*100)</f>
        <v>53.253777250076219</v>
      </c>
      <c r="M70" s="130">
        <f>IF(M33=0,0,M33/TrRoad_act!M40*100)</f>
        <v>52.951349139309968</v>
      </c>
      <c r="N70" s="130">
        <f>IF(N33=0,0,N33/TrRoad_act!N40*100)</f>
        <v>52.846233820987173</v>
      </c>
      <c r="O70" s="130">
        <f>IF(O33=0,0,O33/TrRoad_act!O40*100)</f>
        <v>52.604163540610458</v>
      </c>
      <c r="P70" s="130">
        <f>IF(P33=0,0,P33/TrRoad_act!P40*100)</f>
        <v>52.753979352197099</v>
      </c>
      <c r="Q70" s="130">
        <f>IF(Q33=0,0,Q33/TrRoad_act!Q40*100)</f>
        <v>52.988465231705128</v>
      </c>
      <c r="R70" s="130">
        <f>IF(R33=0,0,R33/TrRoad_act!R40*100)</f>
        <v>53.89269056144569</v>
      </c>
      <c r="S70" s="130">
        <f>IF(S33=0,0,S33/TrRoad_act!S40*100)</f>
        <v>54.155972584015231</v>
      </c>
      <c r="T70" s="130">
        <f>IF(T33=0,0,T33/TrRoad_act!T40*100)</f>
        <v>54.264878485660887</v>
      </c>
      <c r="U70" s="130">
        <f>IF(U33=0,0,U33/TrRoad_act!U40*100)</f>
        <v>54.22015633474826</v>
      </c>
      <c r="V70" s="130">
        <f>IF(V33=0,0,V33/TrRoad_act!V40*100)</f>
        <v>54.017808057395186</v>
      </c>
      <c r="W70" s="130">
        <f>IF(W33=0,0,W33/TrRoad_act!W40*100)</f>
        <v>53.711283825873856</v>
      </c>
      <c r="X70" s="130">
        <f>IF(X33=0,0,X33/TrRoad_act!X40*100)</f>
        <v>53.265254800556264</v>
      </c>
      <c r="Y70" s="130">
        <f>IF(Y33=0,0,Y33/TrRoad_act!Y40*100)</f>
        <v>52.566777228693837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19.37044322470982</v>
      </c>
      <c r="C71" s="97">
        <f>IF(C34=0,0,C34/TrRoad_act!C41*100)</f>
        <v>19.121048386468196</v>
      </c>
      <c r="D71" s="97">
        <f>IF(D34=0,0,D34/TrRoad_act!D41*100)</f>
        <v>19.072430847071999</v>
      </c>
      <c r="E71" s="97">
        <f>IF(E34=0,0,E34/TrRoad_act!E41*100)</f>
        <v>19.043957332375602</v>
      </c>
      <c r="F71" s="97">
        <f>IF(F34=0,0,F34/TrRoad_act!F41*100)</f>
        <v>19.003321089598192</v>
      </c>
      <c r="G71" s="97">
        <f>IF(G34=0,0,G34/TrRoad_act!G41*100)</f>
        <v>18.933341183040735</v>
      </c>
      <c r="H71" s="97">
        <f>IF(H34=0,0,H34/TrRoad_act!H41*100)</f>
        <v>18.869227643338434</v>
      </c>
      <c r="I71" s="97">
        <f>IF(I34=0,0,I34/TrRoad_act!I41*100)</f>
        <v>18.205654843857857</v>
      </c>
      <c r="J71" s="97">
        <f>IF(J34=0,0,J34/TrRoad_act!J41*100)</f>
        <v>18.026212779569885</v>
      </c>
      <c r="K71" s="97">
        <f>IF(K34=0,0,K34/TrRoad_act!K41*100)</f>
        <v>17.734184097341497</v>
      </c>
      <c r="L71" s="97">
        <f>IF(L34=0,0,L34/TrRoad_act!L41*100)</f>
        <v>17.734184097341501</v>
      </c>
      <c r="M71" s="97">
        <f>IF(M34=0,0,M34/TrRoad_act!M41*100)</f>
        <v>17.280055798385479</v>
      </c>
      <c r="N71" s="97">
        <f>IF(N34=0,0,N34/TrRoad_act!N41*100)</f>
        <v>17.280055798385483</v>
      </c>
      <c r="O71" s="97">
        <f>IF(O34=0,0,O34/TrRoad_act!O41*100)</f>
        <v>16.477010937986471</v>
      </c>
      <c r="P71" s="97">
        <f>IF(P34=0,0,P34/TrRoad_act!P41*100)</f>
        <v>15.408968820702137</v>
      </c>
      <c r="Q71" s="97">
        <f>IF(Q34=0,0,Q34/TrRoad_act!Q41*100)</f>
        <v>15.408968820702137</v>
      </c>
      <c r="R71" s="97">
        <f>IF(R34=0,0,R34/TrRoad_act!R41*100)</f>
        <v>15.103604934948079</v>
      </c>
      <c r="S71" s="97">
        <f>IF(S34=0,0,S34/TrRoad_act!S41*100)</f>
        <v>15.103604934948079</v>
      </c>
      <c r="T71" s="97">
        <f>IF(T34=0,0,T34/TrRoad_act!T41*100)</f>
        <v>15.103604934948075</v>
      </c>
      <c r="U71" s="97">
        <f>IF(U34=0,0,U34/TrRoad_act!U41*100)</f>
        <v>15.103604934948075</v>
      </c>
      <c r="V71" s="97">
        <f>IF(V34=0,0,V34/TrRoad_act!V41*100)</f>
        <v>14.729216050691118</v>
      </c>
      <c r="W71" s="97">
        <f>IF(W34=0,0,W34/TrRoad_act!W41*100)</f>
        <v>14.740660050990718</v>
      </c>
      <c r="X71" s="97">
        <f>IF(X34=0,0,X34/TrRoad_act!X41*100)</f>
        <v>14.740660050990714</v>
      </c>
      <c r="Y71" s="97">
        <f>IF(Y34=0,0,Y34/TrRoad_act!Y41*100)</f>
        <v>14.406282410844526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57.579383969384153</v>
      </c>
      <c r="C72" s="97">
        <f>IF(C36=0,0,C36/TrRoad_act!C42*100)</f>
        <v>56.610517963756834</v>
      </c>
      <c r="D72" s="97">
        <f>IF(D36=0,0,D36/TrRoad_act!D42*100)</f>
        <v>56.086290298467986</v>
      </c>
      <c r="E72" s="97">
        <f>IF(E36=0,0,E36/TrRoad_act!E42*100)</f>
        <v>55.632938383214238</v>
      </c>
      <c r="F72" s="97">
        <f>IF(F36=0,0,F36/TrRoad_act!F42*100)</f>
        <v>55.157091448345795</v>
      </c>
      <c r="G72" s="97">
        <f>IF(G36=0,0,G36/TrRoad_act!G42*100)</f>
        <v>54.836023816574638</v>
      </c>
      <c r="H72" s="97">
        <f>IF(H36=0,0,H36/TrRoad_act!H42*100)</f>
        <v>54.530917186867597</v>
      </c>
      <c r="I72" s="97">
        <f>IF(I36=0,0,I36/TrRoad_act!I42*100)</f>
        <v>54.315776999458166</v>
      </c>
      <c r="J72" s="97">
        <f>IF(J36=0,0,J36/TrRoad_act!J42*100)</f>
        <v>54.108697239315681</v>
      </c>
      <c r="K72" s="97">
        <f>IF(K36=0,0,K36/TrRoad_act!K42*100)</f>
        <v>54.037209160299746</v>
      </c>
      <c r="L72" s="97">
        <f>IF(L36=0,0,L36/TrRoad_act!L42*100)</f>
        <v>53.938935138539534</v>
      </c>
      <c r="M72" s="97">
        <f>IF(M36=0,0,M36/TrRoad_act!M42*100)</f>
        <v>53.890409900884883</v>
      </c>
      <c r="N72" s="97">
        <f>IF(N36=0,0,N36/TrRoad_act!N42*100)</f>
        <v>53.901196998774736</v>
      </c>
      <c r="O72" s="97">
        <f>IF(O36=0,0,O36/TrRoad_act!O42*100)</f>
        <v>53.97758210344854</v>
      </c>
      <c r="P72" s="97">
        <f>IF(P36=0,0,P36/TrRoad_act!P42*100)</f>
        <v>54.155512595040165</v>
      </c>
      <c r="Q72" s="97">
        <f>IF(Q36=0,0,Q36/TrRoad_act!Q42*100)</f>
        <v>54.402189683377344</v>
      </c>
      <c r="R72" s="97">
        <f>IF(R36=0,0,R36/TrRoad_act!R42*100)</f>
        <v>54.667363344115827</v>
      </c>
      <c r="S72" s="97">
        <f>IF(S36=0,0,S36/TrRoad_act!S42*100)</f>
        <v>54.882597030484348</v>
      </c>
      <c r="T72" s="97">
        <f>IF(T36=0,0,T36/TrRoad_act!T42*100)</f>
        <v>55.034167389696663</v>
      </c>
      <c r="U72" s="97">
        <f>IF(U36=0,0,U36/TrRoad_act!U42*100)</f>
        <v>54.992549442549546</v>
      </c>
      <c r="V72" s="97">
        <f>IF(V36=0,0,V36/TrRoad_act!V42*100)</f>
        <v>54.862660434116876</v>
      </c>
      <c r="W72" s="97">
        <f>IF(W36=0,0,W36/TrRoad_act!W42*100)</f>
        <v>54.500479568687588</v>
      </c>
      <c r="X72" s="97">
        <f>IF(X36=0,0,X36/TrRoad_act!X42*100)</f>
        <v>54.080034693386047</v>
      </c>
      <c r="Y72" s="97">
        <f>IF(Y36=0,0,Y36/TrRoad_act!Y42*100)</f>
        <v>53.429935526862806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44.523590060655657</v>
      </c>
      <c r="D73" s="97">
        <f>IF(D38=0,0,D38/TrRoad_act!D43*100)</f>
        <v>44.570069918751472</v>
      </c>
      <c r="E73" s="97">
        <f>IF(E38=0,0,E38/TrRoad_act!E43*100)</f>
        <v>44.606036416220576</v>
      </c>
      <c r="F73" s="97">
        <f>IF(F38=0,0,F38/TrRoad_act!F43*100)</f>
        <v>44.673345002141907</v>
      </c>
      <c r="G73" s="97">
        <f>IF(G38=0,0,G38/TrRoad_act!G43*100)</f>
        <v>44.777956685669096</v>
      </c>
      <c r="H73" s="97">
        <f>IF(H38=0,0,H38/TrRoad_act!H43*100)</f>
        <v>44.906438999244266</v>
      </c>
      <c r="I73" s="97">
        <f>IF(I38=0,0,I38/TrRoad_act!I43*100)</f>
        <v>45.06457004558925</v>
      </c>
      <c r="J73" s="97">
        <f>IF(J38=0,0,J38/TrRoad_act!J43*100)</f>
        <v>45.184774938466724</v>
      </c>
      <c r="K73" s="97">
        <f>IF(K38=0,0,K38/TrRoad_act!K43*100)</f>
        <v>45.380085184760645</v>
      </c>
      <c r="L73" s="97">
        <f>IF(L38=0,0,L38/TrRoad_act!L43*100)</f>
        <v>45.447589777248041</v>
      </c>
      <c r="M73" s="97">
        <f>IF(M38=0,0,M38/TrRoad_act!M43*100)</f>
        <v>45.505296182924248</v>
      </c>
      <c r="N73" s="97">
        <f>IF(N38=0,0,N38/TrRoad_act!N43*100)</f>
        <v>45.519221000476321</v>
      </c>
      <c r="O73" s="97">
        <f>IF(O38=0,0,O38/TrRoad_act!O43*100)</f>
        <v>45.52765837820629</v>
      </c>
      <c r="P73" s="97">
        <f>IF(P38=0,0,P38/TrRoad_act!P43*100)</f>
        <v>45.547934549157155</v>
      </c>
      <c r="Q73" s="97">
        <f>IF(Q38=0,0,Q38/TrRoad_act!Q43*100)</f>
        <v>45.668723714606834</v>
      </c>
      <c r="R73" s="97">
        <f>IF(R38=0,0,R38/TrRoad_act!R43*100)</f>
        <v>45.774376954731714</v>
      </c>
      <c r="S73" s="97">
        <f>IF(S38=0,0,S38/TrRoad_act!S43*100)</f>
        <v>45.848990347055185</v>
      </c>
      <c r="T73" s="97">
        <f>IF(T38=0,0,T38/TrRoad_act!T43*100)</f>
        <v>45.891538888654601</v>
      </c>
      <c r="U73" s="97">
        <f>IF(U38=0,0,U38/TrRoad_act!U43*100)</f>
        <v>46.386661028605921</v>
      </c>
      <c r="V73" s="97">
        <f>IF(V38=0,0,V38/TrRoad_act!V43*100)</f>
        <v>46.370535922632214</v>
      </c>
      <c r="W73" s="97">
        <f>IF(W38=0,0,W38/TrRoad_act!W43*100)</f>
        <v>46.124309982340854</v>
      </c>
      <c r="X73" s="97">
        <f>IF(X38=0,0,X38/TrRoad_act!X43*100)</f>
        <v>45.692181151446576</v>
      </c>
      <c r="Y73" s="97">
        <f>IF(Y38=0,0,Y38/TrRoad_act!Y43*100)</f>
        <v>45.433451042689398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50.824562787208784</v>
      </c>
      <c r="G74" s="97">
        <f>IF(G39=0,0,G39/TrRoad_act!G44*100)</f>
        <v>64.312035112922345</v>
      </c>
      <c r="H74" s="97">
        <f>IF(H39=0,0,H39/TrRoad_act!H44*100)</f>
        <v>56.367771429719468</v>
      </c>
      <c r="I74" s="97">
        <f>IF(I39=0,0,I39/TrRoad_act!I44*100)</f>
        <v>52.644257802204443</v>
      </c>
      <c r="J74" s="97">
        <f>IF(J39=0,0,J39/TrRoad_act!J44*100)</f>
        <v>54.00179149080919</v>
      </c>
      <c r="K74" s="97">
        <f>IF(K39=0,0,K39/TrRoad_act!K44*100)</f>
        <v>47.921785148564453</v>
      </c>
      <c r="L74" s="97">
        <f>IF(L39=0,0,L39/TrRoad_act!L44*100)</f>
        <v>46.090624224663692</v>
      </c>
      <c r="M74" s="97">
        <f>IF(M39=0,0,M39/TrRoad_act!M44*100)</f>
        <v>40.753075144946543</v>
      </c>
      <c r="N74" s="97">
        <f>IF(N39=0,0,N39/TrRoad_act!N44*100)</f>
        <v>39.93747400953756</v>
      </c>
      <c r="O74" s="97">
        <f>IF(O39=0,0,O39/TrRoad_act!O44*100)</f>
        <v>37.362980813486736</v>
      </c>
      <c r="P74" s="97">
        <f>IF(P39=0,0,P39/TrRoad_act!P44*100)</f>
        <v>37.890636351319351</v>
      </c>
      <c r="Q74" s="97">
        <f>IF(Q39=0,0,Q39/TrRoad_act!Q44*100)</f>
        <v>37.584589236780133</v>
      </c>
      <c r="R74" s="97">
        <f>IF(R39=0,0,R39/TrRoad_act!R44*100)</f>
        <v>46.333134763469239</v>
      </c>
      <c r="S74" s="97">
        <f>IF(S39=0,0,S39/TrRoad_act!S44*100)</f>
        <v>46.436168570517907</v>
      </c>
      <c r="T74" s="97">
        <f>IF(T39=0,0,T39/TrRoad_act!T44*100)</f>
        <v>46.51321907254323</v>
      </c>
      <c r="U74" s="97">
        <f>IF(U39=0,0,U39/TrRoad_act!U44*100)</f>
        <v>46.591575495866863</v>
      </c>
      <c r="V74" s="97">
        <f>IF(V39=0,0,V39/TrRoad_act!V44*100)</f>
        <v>46.622388719408789</v>
      </c>
      <c r="W74" s="97">
        <f>IF(W39=0,0,W39/TrRoad_act!W44*100)</f>
        <v>46.881419850985523</v>
      </c>
      <c r="X74" s="97">
        <f>IF(X39=0,0,X39/TrRoad_act!X44*100)</f>
        <v>46.901628687992272</v>
      </c>
      <c r="Y74" s="97">
        <f>IF(Y39=0,0,Y39/TrRoad_act!Y44*100)</f>
        <v>46.977288531660143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33.645221796288652</v>
      </c>
      <c r="C75" s="97">
        <f>IF(C41=0,0,C41/TrRoad_act!C45*100)</f>
        <v>32.538737039061019</v>
      </c>
      <c r="D75" s="97">
        <f>IF(D41=0,0,D41/TrRoad_act!D45*100)</f>
        <v>31.994053616898814</v>
      </c>
      <c r="E75" s="97">
        <f>IF(E41=0,0,E41/TrRoad_act!E45*100)</f>
        <v>31.431985989539967</v>
      </c>
      <c r="F75" s="97">
        <f>IF(F41=0,0,F41/TrRoad_act!F45*100)</f>
        <v>31.359582063224828</v>
      </c>
      <c r="G75" s="97">
        <f>IF(G41=0,0,G41/TrRoad_act!G45*100)</f>
        <v>30.943018782870407</v>
      </c>
      <c r="H75" s="97">
        <f>IF(H41=0,0,H41/TrRoad_act!H45*100)</f>
        <v>30.878754528946235</v>
      </c>
      <c r="I75" s="97">
        <f>IF(I41=0,0,I41/TrRoad_act!I45*100)</f>
        <v>30.727789926604014</v>
      </c>
      <c r="J75" s="97">
        <f>IF(J41=0,0,J41/TrRoad_act!J45*100)</f>
        <v>30.620928309604256</v>
      </c>
      <c r="K75" s="97">
        <f>IF(K41=0,0,K41/TrRoad_act!K45*100)</f>
        <v>30.378962316249925</v>
      </c>
      <c r="L75" s="97">
        <f>IF(L41=0,0,L41/TrRoad_act!L45*100)</f>
        <v>30.135874888002917</v>
      </c>
      <c r="M75" s="97">
        <f>IF(M41=0,0,M41/TrRoad_act!M45*100)</f>
        <v>30.013243204382199</v>
      </c>
      <c r="N75" s="97">
        <f>IF(N41=0,0,N41/TrRoad_act!N45*100)</f>
        <v>29.757616734794929</v>
      </c>
      <c r="O75" s="97">
        <f>IF(O41=0,0,O41/TrRoad_act!O45*100)</f>
        <v>29.619090539471415</v>
      </c>
      <c r="P75" s="97">
        <f>IF(P41=0,0,P41/TrRoad_act!P45*100)</f>
        <v>29.53942829020227</v>
      </c>
      <c r="Q75" s="97">
        <f>IF(Q41=0,0,Q41/TrRoad_act!Q45*100)</f>
        <v>29.462743352374737</v>
      </c>
      <c r="R75" s="97">
        <f>IF(R41=0,0,R41/TrRoad_act!R45*100)</f>
        <v>29.369876308917618</v>
      </c>
      <c r="S75" s="97">
        <f>IF(S41=0,0,S41/TrRoad_act!S45*100)</f>
        <v>29.257536830263721</v>
      </c>
      <c r="T75" s="97">
        <f>IF(T41=0,0,T41/TrRoad_act!T45*100)</f>
        <v>29.167910826259707</v>
      </c>
      <c r="U75" s="97">
        <f>IF(U41=0,0,U41/TrRoad_act!U45*100)</f>
        <v>28.947265586411941</v>
      </c>
      <c r="V75" s="97">
        <f>IF(V41=0,0,V41/TrRoad_act!V45*100)</f>
        <v>28.77060766046381</v>
      </c>
      <c r="W75" s="97">
        <f>IF(W41=0,0,W41/TrRoad_act!W45*100)</f>
        <v>28.627245374999372</v>
      </c>
      <c r="X75" s="97">
        <f>IF(X41=0,0,X41/TrRoad_act!X45*100)</f>
        <v>28.147314968912458</v>
      </c>
      <c r="Y75" s="97">
        <f>IF(Y41=0,0,Y41/TrRoad_act!Y45*100)</f>
        <v>27.353571864375304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28.362925902746632</v>
      </c>
      <c r="C76" s="32">
        <f>IF(C42=0,0,C42/TrRoad_act!C46*100)</f>
        <v>30.922309724858732</v>
      </c>
      <c r="D76" s="32">
        <f>IF(D42=0,0,D42/TrRoad_act!D46*100)</f>
        <v>33.181557901007977</v>
      </c>
      <c r="E76" s="32">
        <f>IF(E42=0,0,E42/TrRoad_act!E46*100)</f>
        <v>35.07953622545412</v>
      </c>
      <c r="F76" s="32">
        <f>IF(F42=0,0,F42/TrRoad_act!F46*100)</f>
        <v>34.380082320569798</v>
      </c>
      <c r="G76" s="32">
        <f>IF(G42=0,0,G42/TrRoad_act!G46*100)</f>
        <v>35.294752264607112</v>
      </c>
      <c r="H76" s="32">
        <f>IF(H42=0,0,H42/TrRoad_act!H46*100)</f>
        <v>31.593364407565389</v>
      </c>
      <c r="I76" s="32">
        <f>IF(I42=0,0,I42/TrRoad_act!I46*100)</f>
        <v>30.407360086206442</v>
      </c>
      <c r="J76" s="32">
        <f>IF(J42=0,0,J42/TrRoad_act!J46*100)</f>
        <v>28.878491721748556</v>
      </c>
      <c r="K76" s="32">
        <f>IF(K42=0,0,K42/TrRoad_act!K46*100)</f>
        <v>28.959187686072262</v>
      </c>
      <c r="L76" s="32">
        <f>IF(L42=0,0,L42/TrRoad_act!L46*100)</f>
        <v>30.840355294602677</v>
      </c>
      <c r="M76" s="32">
        <f>IF(M42=0,0,M42/TrRoad_act!M46*100)</f>
        <v>28.054536549454774</v>
      </c>
      <c r="N76" s="32">
        <f>IF(N42=0,0,N42/TrRoad_act!N46*100)</f>
        <v>28.803225890622524</v>
      </c>
      <c r="O76" s="32">
        <f>IF(O42=0,0,O42/TrRoad_act!O46*100)</f>
        <v>32.185962306150792</v>
      </c>
      <c r="P76" s="32">
        <f>IF(P42=0,0,P42/TrRoad_act!P46*100)</f>
        <v>30.032676482394365</v>
      </c>
      <c r="Q76" s="32">
        <f>IF(Q42=0,0,Q42/TrRoad_act!Q46*100)</f>
        <v>29.757080545196001</v>
      </c>
      <c r="R76" s="32">
        <f>IF(R42=0,0,R42/TrRoad_act!R46*100)</f>
        <v>29.548825564086005</v>
      </c>
      <c r="S76" s="32">
        <f>IF(S42=0,0,S42/TrRoad_act!S46*100)</f>
        <v>29.377167574580724</v>
      </c>
      <c r="T76" s="32">
        <f>IF(T42=0,0,T42/TrRoad_act!T46*100)</f>
        <v>29.68686837113988</v>
      </c>
      <c r="U76" s="32">
        <f>IF(U42=0,0,U42/TrRoad_act!U46*100)</f>
        <v>29.660076570607529</v>
      </c>
      <c r="V76" s="32">
        <f>IF(V42=0,0,V42/TrRoad_act!V46*100)</f>
        <v>28.051930983914712</v>
      </c>
      <c r="W76" s="32">
        <f>IF(W42=0,0,W42/TrRoad_act!W46*100)</f>
        <v>27.661531884925722</v>
      </c>
      <c r="X76" s="32">
        <f>IF(X42=0,0,X42/TrRoad_act!X46*100)</f>
        <v>23.80329212577163</v>
      </c>
      <c r="Y76" s="32">
        <f>IF(Y42=0,0,Y42/TrRoad_act!Y46*100)</f>
        <v>22.074486911336706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10.827646867623619</v>
      </c>
      <c r="C77" s="141">
        <f>IF(C43=0,0,C43/TrRoad_act!C47*100)</f>
        <v>10.480116759071063</v>
      </c>
      <c r="D77" s="141">
        <f>IF(D43=0,0,D43/TrRoad_act!D47*100)</f>
        <v>10.310691864535674</v>
      </c>
      <c r="E77" s="141">
        <f>IF(E43=0,0,E43/TrRoad_act!E47*100)</f>
        <v>10.177533625377375</v>
      </c>
      <c r="F77" s="141">
        <f>IF(F43=0,0,F43/TrRoad_act!F47*100)</f>
        <v>10.038220477671791</v>
      </c>
      <c r="G77" s="141">
        <f>IF(G43=0,0,G43/TrRoad_act!G47*100)</f>
        <v>9.9339209876226864</v>
      </c>
      <c r="H77" s="141">
        <f>IF(H43=0,0,H43/TrRoad_act!H47*100)</f>
        <v>9.8560658633699596</v>
      </c>
      <c r="I77" s="141">
        <f>IF(I43=0,0,I43/TrRoad_act!I47*100)</f>
        <v>9.7895361007824366</v>
      </c>
      <c r="J77" s="141">
        <f>IF(J43=0,0,J43/TrRoad_act!J47*100)</f>
        <v>9.7275068668713125</v>
      </c>
      <c r="K77" s="141">
        <f>IF(K43=0,0,K43/TrRoad_act!K47*100)</f>
        <v>9.6969535791599135</v>
      </c>
      <c r="L77" s="141">
        <f>IF(L43=0,0,L43/TrRoad_act!L47*100)</f>
        <v>9.6459179513822839</v>
      </c>
      <c r="M77" s="141">
        <f>IF(M43=0,0,M43/TrRoad_act!M47*100)</f>
        <v>9.6314843534544003</v>
      </c>
      <c r="N77" s="141">
        <f>IF(N43=0,0,N43/TrRoad_act!N47*100)</f>
        <v>9.5732103276395879</v>
      </c>
      <c r="O77" s="141">
        <f>IF(O43=0,0,O43/TrRoad_act!O47*100)</f>
        <v>9.5032228319872267</v>
      </c>
      <c r="P77" s="141">
        <f>IF(P43=0,0,P43/TrRoad_act!P47*100)</f>
        <v>9.4525914360581869</v>
      </c>
      <c r="Q77" s="141">
        <f>IF(Q43=0,0,Q43/TrRoad_act!Q47*100)</f>
        <v>9.4026520318489926</v>
      </c>
      <c r="R77" s="141">
        <f>IF(R43=0,0,R43/TrRoad_act!R47*100)</f>
        <v>9.3324667186645858</v>
      </c>
      <c r="S77" s="141">
        <f>IF(S43=0,0,S43/TrRoad_act!S47*100)</f>
        <v>9.235313242114831</v>
      </c>
      <c r="T77" s="141">
        <f>IF(T43=0,0,T43/TrRoad_act!T47*100)</f>
        <v>9.162512035731627</v>
      </c>
      <c r="U77" s="141">
        <f>IF(U43=0,0,U43/TrRoad_act!U47*100)</f>
        <v>9.1187699551107002</v>
      </c>
      <c r="V77" s="141">
        <f>IF(V43=0,0,V43/TrRoad_act!V47*100)</f>
        <v>9.1203303024800277</v>
      </c>
      <c r="W77" s="141">
        <f>IF(W43=0,0,W43/TrRoad_act!W47*100)</f>
        <v>9.1477023476752368</v>
      </c>
      <c r="X77" s="141">
        <f>IF(X43=0,0,X43/TrRoad_act!X47*100)</f>
        <v>9.0641740215510289</v>
      </c>
      <c r="Y77" s="141">
        <f>IF(Y43=0,0,Y43/TrRoad_act!Y47*100)</f>
        <v>8.9819090253501503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11.197166981019825</v>
      </c>
      <c r="C78" s="96">
        <f>IF(C44=0,0,C44/TrRoad_act!C48*100)</f>
        <v>11.16842565836515</v>
      </c>
      <c r="D78" s="96">
        <f>IF(D44=0,0,D44/TrRoad_act!D48*100)</f>
        <v>11.140500213771878</v>
      </c>
      <c r="E78" s="96">
        <f>IF(E44=0,0,E44/TrRoad_act!E48*100)</f>
        <v>11.103641083628698</v>
      </c>
      <c r="F78" s="96">
        <f>IF(F44=0,0,F44/TrRoad_act!F48*100)</f>
        <v>11.039834806206816</v>
      </c>
      <c r="G78" s="96">
        <f>IF(G44=0,0,G44/TrRoad_act!G48*100)</f>
        <v>10.96038600453992</v>
      </c>
      <c r="H78" s="96">
        <f>IF(H44=0,0,H44/TrRoad_act!H48*100)</f>
        <v>10.855691552485878</v>
      </c>
      <c r="I78" s="96">
        <f>IF(I44=0,0,I44/TrRoad_act!I48*100)</f>
        <v>10.717981819287422</v>
      </c>
      <c r="J78" s="96">
        <f>IF(J44=0,0,J44/TrRoad_act!J48*100)</f>
        <v>10.545858062955411</v>
      </c>
      <c r="K78" s="96">
        <f>IF(K44=0,0,K44/TrRoad_act!K48*100)</f>
        <v>10.360977042441895</v>
      </c>
      <c r="L78" s="96">
        <f>IF(L44=0,0,L44/TrRoad_act!L48*100)</f>
        <v>10.227698580012197</v>
      </c>
      <c r="M78" s="96">
        <f>IF(M44=0,0,M44/TrRoad_act!M48*100)</f>
        <v>10.113863660946915</v>
      </c>
      <c r="N78" s="96">
        <f>IF(N44=0,0,N44/TrRoad_act!N48*100)</f>
        <v>9.8805275994447861</v>
      </c>
      <c r="O78" s="96">
        <f>IF(O44=0,0,O44/TrRoad_act!O48*100)</f>
        <v>9.5847111503024802</v>
      </c>
      <c r="P78" s="96">
        <f>IF(P44=0,0,P44/TrRoad_act!P48*100)</f>
        <v>9.3565761899575133</v>
      </c>
      <c r="Q78" s="96">
        <f>IF(Q44=0,0,Q44/TrRoad_act!Q48*100)</f>
        <v>9.168851635969899</v>
      </c>
      <c r="R78" s="96">
        <f>IF(R44=0,0,R44/TrRoad_act!R48*100)</f>
        <v>8.9806247177601346</v>
      </c>
      <c r="S78" s="96">
        <f>IF(S44=0,0,S44/TrRoad_act!S48*100)</f>
        <v>8.849027795702078</v>
      </c>
      <c r="T78" s="96">
        <f>IF(T44=0,0,T44/TrRoad_act!T48*100)</f>
        <v>8.6811936067546611</v>
      </c>
      <c r="U78" s="96">
        <f>IF(U44=0,0,U44/TrRoad_act!U48*100)</f>
        <v>8.5594195707987506</v>
      </c>
      <c r="V78" s="96">
        <f>IF(V44=0,0,V44/TrRoad_act!V48*100)</f>
        <v>8.5371729948886284</v>
      </c>
      <c r="W78" s="96">
        <f>IF(W44=0,0,W44/TrRoad_act!W48*100)</f>
        <v>8.501936745175767</v>
      </c>
      <c r="X78" s="96">
        <f>IF(X44=0,0,X44/TrRoad_act!X48*100)</f>
        <v>8.4068004779869199</v>
      </c>
      <c r="Y78" s="96">
        <f>IF(Y44=0,0,Y44/TrRoad_act!Y48*100)</f>
        <v>8.3262519154767851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10.765126316664675</v>
      </c>
      <c r="C79" s="96">
        <f>IF(C46=0,0,C46/TrRoad_act!C49*100)</f>
        <v>10.38072641444267</v>
      </c>
      <c r="D79" s="96">
        <f>IF(D46=0,0,D46/TrRoad_act!D49*100)</f>
        <v>10.235208565797999</v>
      </c>
      <c r="E79" s="96">
        <f>IF(E46=0,0,E46/TrRoad_act!E49*100)</f>
        <v>10.105839026479694</v>
      </c>
      <c r="F79" s="96">
        <f>IF(F46=0,0,F46/TrRoad_act!F49*100)</f>
        <v>9.9707842926236836</v>
      </c>
      <c r="G79" s="96">
        <f>IF(G46=0,0,G46/TrRoad_act!G49*100)</f>
        <v>9.8696455235509717</v>
      </c>
      <c r="H79" s="96">
        <f>IF(H46=0,0,H46/TrRoad_act!H49*100)</f>
        <v>9.7973780072543732</v>
      </c>
      <c r="I79" s="96">
        <f>IF(I46=0,0,I46/TrRoad_act!I49*100)</f>
        <v>9.7374352291343467</v>
      </c>
      <c r="J79" s="96">
        <f>IF(J46=0,0,J46/TrRoad_act!J49*100)</f>
        <v>9.6829476367527718</v>
      </c>
      <c r="K79" s="96">
        <f>IF(K46=0,0,K46/TrRoad_act!K49*100)</f>
        <v>9.6615930508008496</v>
      </c>
      <c r="L79" s="96">
        <f>IF(L46=0,0,L46/TrRoad_act!L49*100)</f>
        <v>9.6162191146032558</v>
      </c>
      <c r="M79" s="96">
        <f>IF(M46=0,0,M46/TrRoad_act!M49*100)</f>
        <v>9.6071798739040268</v>
      </c>
      <c r="N79" s="96">
        <f>IF(N46=0,0,N46/TrRoad_act!N49*100)</f>
        <v>9.5626744844572364</v>
      </c>
      <c r="O79" s="96">
        <f>IF(O46=0,0,O46/TrRoad_act!O49*100)</f>
        <v>9.5057318454665829</v>
      </c>
      <c r="P79" s="96">
        <f>IF(P46=0,0,P46/TrRoad_act!P49*100)</f>
        <v>9.4667986405444839</v>
      </c>
      <c r="Q79" s="96">
        <f>IF(Q46=0,0,Q46/TrRoad_act!Q49*100)</f>
        <v>9.4280465500565391</v>
      </c>
      <c r="R79" s="96">
        <f>IF(R46=0,0,R46/TrRoad_act!R49*100)</f>
        <v>9.3684491014051918</v>
      </c>
      <c r="S79" s="96">
        <f>IF(S46=0,0,S46/TrRoad_act!S49*100)</f>
        <v>9.2763239360134477</v>
      </c>
      <c r="T79" s="96">
        <f>IF(T46=0,0,T46/TrRoad_act!T49*100)</f>
        <v>9.214450732287581</v>
      </c>
      <c r="U79" s="96">
        <f>IF(U46=0,0,U46/TrRoad_act!U49*100)</f>
        <v>9.1791515124740126</v>
      </c>
      <c r="V79" s="96">
        <f>IF(V46=0,0,V46/TrRoad_act!V49*100)</f>
        <v>9.1897301943829071</v>
      </c>
      <c r="W79" s="96">
        <f>IF(W46=0,0,W46/TrRoad_act!W49*100)</f>
        <v>9.2439904621761571</v>
      </c>
      <c r="X79" s="96">
        <f>IF(X46=0,0,X46/TrRoad_act!X49*100)</f>
        <v>9.183245855162923</v>
      </c>
      <c r="Y79" s="96">
        <f>IF(Y46=0,0,Y46/TrRoad_act!Y49*100)</f>
        <v>9.1349853135370758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21.096253574658359</v>
      </c>
      <c r="F80" s="96">
        <f>IF(F48=0,0,F48/TrRoad_act!F50*100)</f>
        <v>20.979018479417061</v>
      </c>
      <c r="G80" s="96">
        <f>IF(G48=0,0,G48/TrRoad_act!G50*100)</f>
        <v>21.211476450919577</v>
      </c>
      <c r="H80" s="96">
        <f>IF(H48=0,0,H48/TrRoad_act!H50*100)</f>
        <v>21.219342494405865</v>
      </c>
      <c r="I80" s="96">
        <f>IF(I48=0,0,I48/TrRoad_act!I50*100)</f>
        <v>21.220838149352261</v>
      </c>
      <c r="J80" s="96">
        <f>IF(J48=0,0,J48/TrRoad_act!J50*100)</f>
        <v>21.22011460459731</v>
      </c>
      <c r="K80" s="96">
        <f>IF(K48=0,0,K48/TrRoad_act!K50*100)</f>
        <v>21.220927226777203</v>
      </c>
      <c r="L80" s="96">
        <f>IF(L48=0,0,L48/TrRoad_act!L50*100)</f>
        <v>21.223586919086927</v>
      </c>
      <c r="M80" s="96">
        <f>IF(M48=0,0,M48/TrRoad_act!M50*100)</f>
        <v>21.225744767657705</v>
      </c>
      <c r="N80" s="96">
        <f>IF(N48=0,0,N48/TrRoad_act!N50*100)</f>
        <v>21.060346772657866</v>
      </c>
      <c r="O80" s="96">
        <f>IF(O48=0,0,O48/TrRoad_act!O50*100)</f>
        <v>21.066344039244115</v>
      </c>
      <c r="P80" s="96">
        <f>IF(P48=0,0,P48/TrRoad_act!P50*100)</f>
        <v>20.713906552771888</v>
      </c>
      <c r="Q80" s="96">
        <f>IF(Q48=0,0,Q48/TrRoad_act!Q50*100)</f>
        <v>20.538558274637179</v>
      </c>
      <c r="R80" s="96">
        <f>IF(R48=0,0,R48/TrRoad_act!R50*100)</f>
        <v>22.005515395116305</v>
      </c>
      <c r="S80" s="96">
        <f>IF(S48=0,0,S48/TrRoad_act!S50*100)</f>
        <v>21.794836755099197</v>
      </c>
      <c r="T80" s="96">
        <f>IF(T48=0,0,T48/TrRoad_act!T50*100)</f>
        <v>21.662918760754398</v>
      </c>
      <c r="U80" s="96">
        <f>IF(U48=0,0,U48/TrRoad_act!U50*100)</f>
        <v>21.383680043087409</v>
      </c>
      <c r="V80" s="96">
        <f>IF(V48=0,0,V48/TrRoad_act!V50*100)</f>
        <v>20.68732499956414</v>
      </c>
      <c r="W80" s="96">
        <f>IF(W48=0,0,W48/TrRoad_act!W50*100)</f>
        <v>19.730758606991653</v>
      </c>
      <c r="X80" s="96">
        <f>IF(X48=0,0,X48/TrRoad_act!X50*100)</f>
        <v>19.295328704801001</v>
      </c>
      <c r="Y80" s="96">
        <f>IF(Y48=0,0,Y48/TrRoad_act!Y50*100)</f>
        <v>18.842369436888614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12.342200504986808</v>
      </c>
      <c r="I81" s="96">
        <f>IF(I49=0,0,I49/TrRoad_act!I51*100)</f>
        <v>12.285303517598036</v>
      </c>
      <c r="J81" s="96">
        <f>IF(J49=0,0,J49/TrRoad_act!J51*100)</f>
        <v>11.926668234914187</v>
      </c>
      <c r="K81" s="96">
        <f>IF(K49=0,0,K49/TrRoad_act!K51*100)</f>
        <v>11.637111484430731</v>
      </c>
      <c r="L81" s="96">
        <f>IF(L49=0,0,L49/TrRoad_act!L51*100)</f>
        <v>11.151943392843403</v>
      </c>
      <c r="M81" s="96">
        <f>IF(M49=0,0,M49/TrRoad_act!M51*100)</f>
        <v>10.884974409767292</v>
      </c>
      <c r="N81" s="96">
        <f>IF(N49=0,0,N49/TrRoad_act!N51*100)</f>
        <v>10.769617406536916</v>
      </c>
      <c r="O81" s="96">
        <f>IF(O49=0,0,O49/TrRoad_act!O51*100)</f>
        <v>11.008356289730189</v>
      </c>
      <c r="P81" s="96">
        <f>IF(P49=0,0,P49/TrRoad_act!P51*100)</f>
        <v>10.815983446815759</v>
      </c>
      <c r="Q81" s="96">
        <f>IF(Q49=0,0,Q49/TrRoad_act!Q51*100)</f>
        <v>10.533015349499937</v>
      </c>
      <c r="R81" s="96">
        <f>IF(R49=0,0,R49/TrRoad_act!R51*100)</f>
        <v>9.6785832180955165</v>
      </c>
      <c r="S81" s="96">
        <f>IF(S49=0,0,S49/TrRoad_act!S51*100)</f>
        <v>9.5484452187301603</v>
      </c>
      <c r="T81" s="96">
        <f>IF(T49=0,0,T49/TrRoad_act!T51*100)</f>
        <v>9.4672914452885024</v>
      </c>
      <c r="U81" s="96">
        <f>IF(U49=0,0,U49/TrRoad_act!U51*100)</f>
        <v>9.3752624691964161</v>
      </c>
      <c r="V81" s="96">
        <f>IF(V49=0,0,V49/TrRoad_act!V51*100)</f>
        <v>9.2164721819066937</v>
      </c>
      <c r="W81" s="96">
        <f>IF(W49=0,0,W49/TrRoad_act!W51*100)</f>
        <v>9.1783897968567558</v>
      </c>
      <c r="X81" s="96">
        <f>IF(X49=0,0,X49/TrRoad_act!X51*100)</f>
        <v>9.0354261327561751</v>
      </c>
      <c r="Y81" s="96">
        <f>IF(Y49=0,0,Y49/TrRoad_act!Y51*100)</f>
        <v>8.9568211979247572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2.1500310326623322</v>
      </c>
      <c r="C82" s="96">
        <f>IF(C51=0,0,C51/TrRoad_act!C52*100)</f>
        <v>2.0666505641938144</v>
      </c>
      <c r="D82" s="96">
        <f>IF(D51=0,0,D51/TrRoad_act!D52*100)</f>
        <v>2.0583713081140353</v>
      </c>
      <c r="E82" s="96">
        <f>IF(E51=0,0,E51/TrRoad_act!E52*100)</f>
        <v>2.0562261956236312</v>
      </c>
      <c r="F82" s="96">
        <f>IF(F51=0,0,F51/TrRoad_act!F52*100)</f>
        <v>2.0494038894461641</v>
      </c>
      <c r="G82" s="96">
        <f>IF(G51=0,0,G51/TrRoad_act!G52*100)</f>
        <v>2.0431174603775202</v>
      </c>
      <c r="H82" s="96">
        <f>IF(H51=0,0,H51/TrRoad_act!H52*100)</f>
        <v>2.0456528122781972</v>
      </c>
      <c r="I82" s="96">
        <f>IF(I51=0,0,I51/TrRoad_act!I52*100)</f>
        <v>1.93960674742261</v>
      </c>
      <c r="J82" s="96">
        <f>IF(J51=0,0,J51/TrRoad_act!J52*100)</f>
        <v>1.8898864879202362</v>
      </c>
      <c r="K82" s="96">
        <f>IF(K51=0,0,K51/TrRoad_act!K52*100)</f>
        <v>1.8009051149246194</v>
      </c>
      <c r="L82" s="96">
        <f>IF(L51=0,0,L51/TrRoad_act!L52*100)</f>
        <v>1.7500784781614498</v>
      </c>
      <c r="M82" s="96">
        <f>IF(M51=0,0,M51/TrRoad_act!M52*100)</f>
        <v>1.7232440189386338</v>
      </c>
      <c r="N82" s="96">
        <f>IF(N51=0,0,N51/TrRoad_act!N52*100)</f>
        <v>1.70466410999329</v>
      </c>
      <c r="O82" s="96">
        <f>IF(O51=0,0,O51/TrRoad_act!O52*100)</f>
        <v>1.712699033982477</v>
      </c>
      <c r="P82" s="96">
        <f>IF(P51=0,0,P51/TrRoad_act!P52*100)</f>
        <v>1.7272234683246925</v>
      </c>
      <c r="Q82" s="96">
        <f>IF(Q51=0,0,Q51/TrRoad_act!Q52*100)</f>
        <v>1.7488507444421701</v>
      </c>
      <c r="R82" s="96">
        <f>IF(R51=0,0,R51/TrRoad_act!R52*100)</f>
        <v>1.7820829499585529</v>
      </c>
      <c r="S82" s="96">
        <f>IF(S51=0,0,S51/TrRoad_act!S52*100)</f>
        <v>1.8001494422959756</v>
      </c>
      <c r="T82" s="96">
        <f>IF(T51=0,0,T51/TrRoad_act!T52*100)</f>
        <v>1.8372067419605616</v>
      </c>
      <c r="U82" s="96">
        <f>IF(U51=0,0,U51/TrRoad_act!U52*100)</f>
        <v>1.9070399421496649</v>
      </c>
      <c r="V82" s="96">
        <f>IF(V51=0,0,V51/TrRoad_act!V52*100)</f>
        <v>2.0863860080772265</v>
      </c>
      <c r="W82" s="96">
        <f>IF(W51=0,0,W51/TrRoad_act!W52*100)</f>
        <v>2.4406714578014155</v>
      </c>
      <c r="X82" s="96">
        <f>IF(X51=0,0,X51/TrRoad_act!X52*100)</f>
        <v>2.6104042518415116</v>
      </c>
      <c r="Y82" s="96">
        <f>IF(Y51=0,0,Y51/TrRoad_act!Y52*100)</f>
        <v>2.7053211489585163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55.403140926934491</v>
      </c>
      <c r="C83" s="130">
        <f>IF(C52=0,0,C52/TrRoad_act!C53*100)</f>
        <v>63.216971331572999</v>
      </c>
      <c r="D83" s="130">
        <f>IF(D52=0,0,D52/TrRoad_act!D53*100)</f>
        <v>70.259084159675822</v>
      </c>
      <c r="E83" s="130">
        <f>IF(E52=0,0,E52/TrRoad_act!E53*100)</f>
        <v>75.155670776824294</v>
      </c>
      <c r="F83" s="130">
        <f>IF(F52=0,0,F52/TrRoad_act!F53*100)</f>
        <v>72.10985065240429</v>
      </c>
      <c r="G83" s="130">
        <f>IF(G52=0,0,G52/TrRoad_act!G53*100)</f>
        <v>75.269472956387929</v>
      </c>
      <c r="H83" s="130">
        <f>IF(H52=0,0,H52/TrRoad_act!H53*100)</f>
        <v>63.271955566023443</v>
      </c>
      <c r="I83" s="130">
        <f>IF(I52=0,0,I52/TrRoad_act!I53*100)</f>
        <v>59.2550590542292</v>
      </c>
      <c r="J83" s="130">
        <f>IF(J52=0,0,J52/TrRoad_act!J53*100)</f>
        <v>53.922328719108577</v>
      </c>
      <c r="K83" s="130">
        <f>IF(K52=0,0,K52/TrRoad_act!K53*100)</f>
        <v>56.999858443395915</v>
      </c>
      <c r="L83" s="130">
        <f>IF(L52=0,0,L52/TrRoad_act!L53*100)</f>
        <v>61.502305093359212</v>
      </c>
      <c r="M83" s="130">
        <f>IF(M52=0,0,M52/TrRoad_act!M53*100)</f>
        <v>54.329911004713082</v>
      </c>
      <c r="N83" s="130">
        <f>IF(N52=0,0,N52/TrRoad_act!N53*100)</f>
        <v>56.86846133524547</v>
      </c>
      <c r="O83" s="130">
        <f>IF(O52=0,0,O52/TrRoad_act!O53*100)</f>
        <v>65.930255945873199</v>
      </c>
      <c r="P83" s="130">
        <f>IF(P52=0,0,P52/TrRoad_act!P53*100)</f>
        <v>61.439813357154783</v>
      </c>
      <c r="Q83" s="130">
        <f>IF(Q52=0,0,Q52/TrRoad_act!Q53*100)</f>
        <v>60.144972187373426</v>
      </c>
      <c r="R83" s="130">
        <f>IF(R52=0,0,R52/TrRoad_act!R53*100)</f>
        <v>59.36413013187066</v>
      </c>
      <c r="S83" s="130">
        <f>IF(S52=0,0,S52/TrRoad_act!S53*100)</f>
        <v>58.104988855286713</v>
      </c>
      <c r="T83" s="130">
        <f>IF(T52=0,0,T52/TrRoad_act!T53*100)</f>
        <v>59.474237663092467</v>
      </c>
      <c r="U83" s="130">
        <f>IF(U52=0,0,U52/TrRoad_act!U53*100)</f>
        <v>59.918145386305724</v>
      </c>
      <c r="V83" s="130">
        <f>IF(V52=0,0,V52/TrRoad_act!V53*100)</f>
        <v>56.463500364987517</v>
      </c>
      <c r="W83" s="130">
        <f>IF(W52=0,0,W52/TrRoad_act!W53*100)</f>
        <v>55.95017799526174</v>
      </c>
      <c r="X83" s="130">
        <f>IF(X52=0,0,X52/TrRoad_act!X53*100)</f>
        <v>46.833051913070001</v>
      </c>
      <c r="Y83" s="130">
        <f>IF(Y52=0,0,Y52/TrRoad_act!Y53*100)</f>
        <v>43.515852302451833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37.524039451550451</v>
      </c>
      <c r="C84" s="97">
        <f>IF(C53=0,0,C53/TrRoad_act!C54*100)</f>
        <v>38.878390834572059</v>
      </c>
      <c r="D84" s="97">
        <f>IF(D53=0,0,D53/TrRoad_act!D54*100)</f>
        <v>40.096544918558827</v>
      </c>
      <c r="E84" s="97">
        <f>IF(E53=0,0,E53/TrRoad_act!E54*100)</f>
        <v>40.925955721941982</v>
      </c>
      <c r="F84" s="97">
        <f>IF(F53=0,0,F53/TrRoad_act!F54*100)</f>
        <v>40.202521054166354</v>
      </c>
      <c r="G84" s="97">
        <f>IF(G53=0,0,G53/TrRoad_act!G54*100)</f>
        <v>40.667785391648273</v>
      </c>
      <c r="H84" s="97">
        <f>IF(H53=0,0,H53/TrRoad_act!H54*100)</f>
        <v>38.37615284492604</v>
      </c>
      <c r="I84" s="97">
        <f>IF(I53=0,0,I53/TrRoad_act!I54*100)</f>
        <v>37.506249079858897</v>
      </c>
      <c r="J84" s="97">
        <f>IF(J53=0,0,J53/TrRoad_act!J54*100)</f>
        <v>36.376146678987332</v>
      </c>
      <c r="K84" s="97">
        <f>IF(K53=0,0,K53/TrRoad_act!K54*100)</f>
        <v>36.9280549420466</v>
      </c>
      <c r="L84" s="97">
        <f>IF(L53=0,0,L53/TrRoad_act!L54*100)</f>
        <v>37.655310438528907</v>
      </c>
      <c r="M84" s="97">
        <f>IF(M53=0,0,M53/TrRoad_act!M54*100)</f>
        <v>36.330207145222715</v>
      </c>
      <c r="N84" s="97">
        <f>IF(N53=0,0,N53/TrRoad_act!N54*100)</f>
        <v>36.798253060656869</v>
      </c>
      <c r="O84" s="97">
        <f>IF(O53=0,0,O53/TrRoad_act!O54*100)</f>
        <v>38.257895503953534</v>
      </c>
      <c r="P84" s="97">
        <f>IF(P53=0,0,P53/TrRoad_act!P54*100)</f>
        <v>37.263723974481898</v>
      </c>
      <c r="Q84" s="97">
        <f>IF(Q53=0,0,Q53/TrRoad_act!Q54*100)</f>
        <v>36.973462932178606</v>
      </c>
      <c r="R84" s="97">
        <f>IF(R53=0,0,R53/TrRoad_act!R54*100)</f>
        <v>36.667988295919081</v>
      </c>
      <c r="S84" s="97">
        <f>IF(S53=0,0,S53/TrRoad_act!S54*100)</f>
        <v>36.237950371658847</v>
      </c>
      <c r="T84" s="97">
        <f>IF(T53=0,0,T53/TrRoad_act!T54*100)</f>
        <v>36.26393999587453</v>
      </c>
      <c r="U84" s="97">
        <f>IF(U53=0,0,U53/TrRoad_act!U54*100)</f>
        <v>36.027239373514959</v>
      </c>
      <c r="V84" s="97">
        <f>IF(V53=0,0,V53/TrRoad_act!V54*100)</f>
        <v>35.054068721489031</v>
      </c>
      <c r="W84" s="97">
        <f>IF(W53=0,0,W53/TrRoad_act!W54*100)</f>
        <v>34.734062219771985</v>
      </c>
      <c r="X84" s="97">
        <f>IF(X53=0,0,X53/TrRoad_act!X54*100)</f>
        <v>32.840580248063631</v>
      </c>
      <c r="Y84" s="97">
        <f>IF(Y53=0,0,Y53/TrRoad_act!Y54*100)</f>
        <v>31.979553236828739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83.423529672822212</v>
      </c>
      <c r="C85" s="98">
        <f>IF(C55=0,0,C55/TrRoad_act!C55*100)</f>
        <v>98.862201929447906</v>
      </c>
      <c r="D85" s="98">
        <f>IF(D55=0,0,D55/TrRoad_act!D55*100)</f>
        <v>112.03550158781258</v>
      </c>
      <c r="E85" s="98">
        <f>IF(E55=0,0,E55/TrRoad_act!E55*100)</f>
        <v>122.74980268478539</v>
      </c>
      <c r="F85" s="98">
        <f>IF(F55=0,0,F55/TrRoad_act!F55*100)</f>
        <v>107.88640611421549</v>
      </c>
      <c r="G85" s="98">
        <f>IF(G55=0,0,G55/TrRoad_act!G55*100)</f>
        <v>112.4273737459587</v>
      </c>
      <c r="H85" s="98">
        <f>IF(H55=0,0,H55/TrRoad_act!H55*100)</f>
        <v>92.91401559790107</v>
      </c>
      <c r="I85" s="98">
        <f>IF(I55=0,0,I55/TrRoad_act!I55*100)</f>
        <v>82.495060515954961</v>
      </c>
      <c r="J85" s="98">
        <f>IF(J55=0,0,J55/TrRoad_act!J55*100)</f>
        <v>70.414576886649243</v>
      </c>
      <c r="K85" s="98">
        <f>IF(K55=0,0,K55/TrRoad_act!K55*100)</f>
        <v>77.834507127507621</v>
      </c>
      <c r="L85" s="98">
        <f>IF(L55=0,0,L55/TrRoad_act!L55*100)</f>
        <v>85.039063323118157</v>
      </c>
      <c r="M85" s="98">
        <f>IF(M55=0,0,M55/TrRoad_act!M55*100)</f>
        <v>72.083457903676262</v>
      </c>
      <c r="N85" s="98">
        <f>IF(N55=0,0,N55/TrRoad_act!N55*100)</f>
        <v>76.704464657959136</v>
      </c>
      <c r="O85" s="98">
        <f>IF(O55=0,0,O55/TrRoad_act!O55*100)</f>
        <v>92.38754098311675</v>
      </c>
      <c r="P85" s="98">
        <f>IF(P55=0,0,P55/TrRoad_act!P55*100)</f>
        <v>85.335908748051935</v>
      </c>
      <c r="Q85" s="98">
        <f>IF(Q55=0,0,Q55/TrRoad_act!Q55*100)</f>
        <v>83.328276878763901</v>
      </c>
      <c r="R85" s="98">
        <f>IF(R55=0,0,R55/TrRoad_act!R55*100)</f>
        <v>82.474238595357193</v>
      </c>
      <c r="S85" s="98">
        <f>IF(S55=0,0,S55/TrRoad_act!S55*100)</f>
        <v>79.12006143315395</v>
      </c>
      <c r="T85" s="98">
        <f>IF(T55=0,0,T55/TrRoad_act!T55*100)</f>
        <v>81.995543790882763</v>
      </c>
      <c r="U85" s="98">
        <f>IF(U55=0,0,U55/TrRoad_act!U55*100)</f>
        <v>82.921493065125674</v>
      </c>
      <c r="V85" s="98">
        <f>IF(V55=0,0,V55/TrRoad_act!V55*100)</f>
        <v>76.11284739979655</v>
      </c>
      <c r="W85" s="98">
        <f>IF(W55=0,0,W55/TrRoad_act!W55*100)</f>
        <v>75.58371194511416</v>
      </c>
      <c r="X85" s="98">
        <f>IF(X55=0,0,X55/TrRoad_act!X55*100)</f>
        <v>59.254320934019688</v>
      </c>
      <c r="Y85" s="98">
        <f>IF(Y55=0,0,Y55/TrRoad_act!Y55*100)</f>
        <v>53.951732642434926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52.19542471165034</v>
      </c>
      <c r="C88" s="29">
        <f>IF(TrRoad_act!C4=0,0,C18/TrRoad_act!C4*1000)</f>
        <v>54.155734964332289</v>
      </c>
      <c r="D88" s="29">
        <f>IF(TrRoad_act!D4=0,0,D18/TrRoad_act!D4*1000)</f>
        <v>59.332907202950217</v>
      </c>
      <c r="E88" s="29">
        <f>IF(TrRoad_act!E4=0,0,E18/TrRoad_act!E4*1000)</f>
        <v>62.163515667898956</v>
      </c>
      <c r="F88" s="29">
        <f>IF(TrRoad_act!F4=0,0,F18/TrRoad_act!F4*1000)</f>
        <v>62.606996453039947</v>
      </c>
      <c r="G88" s="29">
        <f>IF(TrRoad_act!G4=0,0,G18/TrRoad_act!G4*1000)</f>
        <v>63.678804382499479</v>
      </c>
      <c r="H88" s="29">
        <f>IF(TrRoad_act!H4=0,0,H18/TrRoad_act!H4*1000)</f>
        <v>62.524003103197238</v>
      </c>
      <c r="I88" s="29">
        <f>IF(TrRoad_act!I4=0,0,I18/TrRoad_act!I4*1000)</f>
        <v>62.775319194315145</v>
      </c>
      <c r="J88" s="29">
        <f>IF(TrRoad_act!J4=0,0,J18/TrRoad_act!J4*1000)</f>
        <v>59.891946455483144</v>
      </c>
      <c r="K88" s="29">
        <f>IF(TrRoad_act!K4=0,0,K18/TrRoad_act!K4*1000)</f>
        <v>60.165843426898661</v>
      </c>
      <c r="L88" s="29">
        <f>IF(TrRoad_act!L4=0,0,L18/TrRoad_act!L4*1000)</f>
        <v>60.140438599204536</v>
      </c>
      <c r="M88" s="29">
        <f>IF(TrRoad_act!M4=0,0,M18/TrRoad_act!M4*1000)</f>
        <v>57.544785509092307</v>
      </c>
      <c r="N88" s="29">
        <f>IF(TrRoad_act!N4=0,0,N18/TrRoad_act!N4*1000)</f>
        <v>57.05266680586066</v>
      </c>
      <c r="O88" s="29">
        <f>IF(TrRoad_act!O4=0,0,O18/TrRoad_act!O4*1000)</f>
        <v>57.524861350469159</v>
      </c>
      <c r="P88" s="29">
        <f>IF(TrRoad_act!P4=0,0,P18/TrRoad_act!P4*1000)</f>
        <v>56.901051856787845</v>
      </c>
      <c r="Q88" s="29">
        <f>IF(TrRoad_act!Q4=0,0,Q18/TrRoad_act!Q4*1000)</f>
        <v>56.937179956011683</v>
      </c>
      <c r="R88" s="29">
        <f>IF(TrRoad_act!R4=0,0,R18/TrRoad_act!R4*1000)</f>
        <v>56.244760685153999</v>
      </c>
      <c r="S88" s="29">
        <f>IF(TrRoad_act!S4=0,0,S18/TrRoad_act!S4*1000)</f>
        <v>55.474583473776477</v>
      </c>
      <c r="T88" s="29">
        <f>IF(TrRoad_act!T4=0,0,T18/TrRoad_act!T4*1000)</f>
        <v>55.518896261530237</v>
      </c>
      <c r="U88" s="29">
        <f>IF(TrRoad_act!U4=0,0,U18/TrRoad_act!U4*1000)</f>
        <v>54.595039138535114</v>
      </c>
      <c r="V88" s="29">
        <f>IF(TrRoad_act!V4=0,0,V18/TrRoad_act!V4*1000)</f>
        <v>54.921787488404867</v>
      </c>
      <c r="W88" s="29">
        <f>IF(TrRoad_act!W4=0,0,W18/TrRoad_act!W4*1000)</f>
        <v>53.030147929759408</v>
      </c>
      <c r="X88" s="29">
        <f>IF(TrRoad_act!X4=0,0,X18/TrRoad_act!X4*1000)</f>
        <v>49.448625346062173</v>
      </c>
      <c r="Y88" s="29">
        <f>IF(TrRoad_act!Y4=0,0,Y18/TrRoad_act!Y4*1000)</f>
        <v>49.036621334803201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31.893063869781788</v>
      </c>
      <c r="C89" s="152">
        <f>IF(TrRoad_act!C5=0,0,C19/TrRoad_act!C5*1000)</f>
        <v>31.705740994900221</v>
      </c>
      <c r="D89" s="152">
        <f>IF(TrRoad_act!D5=0,0,D19/TrRoad_act!D5*1000)</f>
        <v>31.607089110032121</v>
      </c>
      <c r="E89" s="152">
        <f>IF(TrRoad_act!E5=0,0,E19/TrRoad_act!E5*1000)</f>
        <v>31.564351796062255</v>
      </c>
      <c r="F89" s="152">
        <f>IF(TrRoad_act!F5=0,0,F19/TrRoad_act!F5*1000)</f>
        <v>31.269662351700436</v>
      </c>
      <c r="G89" s="152">
        <f>IF(TrRoad_act!G5=0,0,G19/TrRoad_act!G5*1000)</f>
        <v>31.140482298010877</v>
      </c>
      <c r="H89" s="152">
        <f>IF(TrRoad_act!H5=0,0,H19/TrRoad_act!H5*1000)</f>
        <v>30.990982938870076</v>
      </c>
      <c r="I89" s="152">
        <f>IF(TrRoad_act!I5=0,0,I19/TrRoad_act!I5*1000)</f>
        <v>30.793938639608516</v>
      </c>
      <c r="J89" s="152">
        <f>IF(TrRoad_act!J5=0,0,J19/TrRoad_act!J5*1000)</f>
        <v>30.620978889510226</v>
      </c>
      <c r="K89" s="152">
        <f>IF(TrRoad_act!K5=0,0,K19/TrRoad_act!K5*1000)</f>
        <v>30.529858430211423</v>
      </c>
      <c r="L89" s="152">
        <f>IF(TrRoad_act!L5=0,0,L19/TrRoad_act!L5*1000)</f>
        <v>30.438137105976868</v>
      </c>
      <c r="M89" s="152">
        <f>IF(TrRoad_act!M5=0,0,M19/TrRoad_act!M5*1000)</f>
        <v>30.443629202989378</v>
      </c>
      <c r="N89" s="152">
        <f>IF(TrRoad_act!N5=0,0,N19/TrRoad_act!N5*1000)</f>
        <v>30.423029362312821</v>
      </c>
      <c r="O89" s="152">
        <f>IF(TrRoad_act!O5=0,0,O19/TrRoad_act!O5*1000)</f>
        <v>30.718051367448794</v>
      </c>
      <c r="P89" s="152">
        <f>IF(TrRoad_act!P5=0,0,P19/TrRoad_act!P5*1000)</f>
        <v>30.933418064864146</v>
      </c>
      <c r="Q89" s="152">
        <f>IF(TrRoad_act!Q5=0,0,Q19/TrRoad_act!Q5*1000)</f>
        <v>30.710982871082937</v>
      </c>
      <c r="R89" s="152">
        <f>IF(TrRoad_act!R5=0,0,R19/TrRoad_act!R5*1000)</f>
        <v>30.416838221045925</v>
      </c>
      <c r="S89" s="152">
        <f>IF(TrRoad_act!S5=0,0,S19/TrRoad_act!S5*1000)</f>
        <v>31.890436167470941</v>
      </c>
      <c r="T89" s="152">
        <f>IF(TrRoad_act!T5=0,0,T19/TrRoad_act!T5*1000)</f>
        <v>32.010520521141473</v>
      </c>
      <c r="U89" s="152">
        <f>IF(TrRoad_act!U5=0,0,U19/TrRoad_act!U5*1000)</f>
        <v>32.063344374520987</v>
      </c>
      <c r="V89" s="152">
        <f>IF(TrRoad_act!V5=0,0,V19/TrRoad_act!V5*1000)</f>
        <v>32.296643070260089</v>
      </c>
      <c r="W89" s="152">
        <f>IF(TrRoad_act!W5=0,0,W19/TrRoad_act!W5*1000)</f>
        <v>30.924596492386549</v>
      </c>
      <c r="X89" s="152">
        <f>IF(TrRoad_act!X5=0,0,X19/TrRoad_act!X5*1000)</f>
        <v>31.115504752522583</v>
      </c>
      <c r="Y89" s="152">
        <f>IF(TrRoad_act!Y5=0,0,Y19/TrRoad_act!Y5*1000)</f>
        <v>31.281535675025452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56.022491628221232</v>
      </c>
      <c r="C90" s="116">
        <f>IF(TrRoad_act!C6=0,0,C21/TrRoad_act!C6*1000)</f>
        <v>58.252478466563375</v>
      </c>
      <c r="D90" s="116">
        <f>IF(TrRoad_act!D6=0,0,D21/TrRoad_act!D6*1000)</f>
        <v>64.075453360039532</v>
      </c>
      <c r="E90" s="116">
        <f>IF(TrRoad_act!E6=0,0,E21/TrRoad_act!E6*1000)</f>
        <v>67.359048213182973</v>
      </c>
      <c r="F90" s="116">
        <f>IF(TrRoad_act!F6=0,0,F21/TrRoad_act!F6*1000)</f>
        <v>67.959261803043887</v>
      </c>
      <c r="G90" s="116">
        <f>IF(TrRoad_act!G6=0,0,G21/TrRoad_act!G6*1000)</f>
        <v>69.140237454886162</v>
      </c>
      <c r="H90" s="116">
        <f>IF(TrRoad_act!H6=0,0,H21/TrRoad_act!H6*1000)</f>
        <v>68.048742129978606</v>
      </c>
      <c r="I90" s="116">
        <f>IF(TrRoad_act!I6=0,0,I21/TrRoad_act!I6*1000)</f>
        <v>68.254870425913396</v>
      </c>
      <c r="J90" s="116">
        <f>IF(TrRoad_act!J6=0,0,J21/TrRoad_act!J6*1000)</f>
        <v>64.74226450041651</v>
      </c>
      <c r="K90" s="116">
        <f>IF(TrRoad_act!K6=0,0,K21/TrRoad_act!K6*1000)</f>
        <v>64.566321971653736</v>
      </c>
      <c r="L90" s="116">
        <f>IF(TrRoad_act!L6=0,0,L21/TrRoad_act!L6*1000)</f>
        <v>64.482679734671152</v>
      </c>
      <c r="M90" s="116">
        <f>IF(TrRoad_act!M6=0,0,M21/TrRoad_act!M6*1000)</f>
        <v>61.71753256819472</v>
      </c>
      <c r="N90" s="116">
        <f>IF(TrRoad_act!N6=0,0,N21/TrRoad_act!N6*1000)</f>
        <v>61.089610642932534</v>
      </c>
      <c r="O90" s="116">
        <f>IF(TrRoad_act!O6=0,0,O21/TrRoad_act!O6*1000)</f>
        <v>61.624042618513059</v>
      </c>
      <c r="P90" s="116">
        <f>IF(TrRoad_act!P6=0,0,P21/TrRoad_act!P6*1000)</f>
        <v>60.883328080732781</v>
      </c>
      <c r="Q90" s="116">
        <f>IF(TrRoad_act!Q6=0,0,Q21/TrRoad_act!Q6*1000)</f>
        <v>60.896923710883598</v>
      </c>
      <c r="R90" s="116">
        <f>IF(TrRoad_act!R6=0,0,R21/TrRoad_act!R6*1000)</f>
        <v>60.085829952618866</v>
      </c>
      <c r="S90" s="116">
        <f>IF(TrRoad_act!S6=0,0,S21/TrRoad_act!S6*1000)</f>
        <v>59.152936466023974</v>
      </c>
      <c r="T90" s="116">
        <f>IF(TrRoad_act!T6=0,0,T21/TrRoad_act!T6*1000)</f>
        <v>58.906181220561329</v>
      </c>
      <c r="U90" s="116">
        <f>IF(TrRoad_act!U6=0,0,U21/TrRoad_act!U6*1000)</f>
        <v>57.817727020907078</v>
      </c>
      <c r="V90" s="116">
        <f>IF(TrRoad_act!V6=0,0,V21/TrRoad_act!V6*1000)</f>
        <v>57.474766013234579</v>
      </c>
      <c r="W90" s="116">
        <f>IF(TrRoad_act!W6=0,0,W21/TrRoad_act!W6*1000)</f>
        <v>55.432930011822073</v>
      </c>
      <c r="X90" s="116">
        <f>IF(TrRoad_act!X6=0,0,X21/TrRoad_act!X6*1000)</f>
        <v>52.343375104763837</v>
      </c>
      <c r="Y90" s="116">
        <f>IF(TrRoad_act!Y6=0,0,Y21/TrRoad_act!Y6*1000)</f>
        <v>52.111316118225169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51.125253896012502</v>
      </c>
      <c r="C91" s="87">
        <f>IF(TrRoad_act!C7=0,0,C22/TrRoad_act!C7*1000)</f>
        <v>52.517030145024812</v>
      </c>
      <c r="D91" s="87">
        <f>IF(TrRoad_act!D7=0,0,D22/TrRoad_act!D7*1000)</f>
        <v>59.756919948103686</v>
      </c>
      <c r="E91" s="87">
        <f>IF(TrRoad_act!E7=0,0,E22/TrRoad_act!E7*1000)</f>
        <v>63.964860879932928</v>
      </c>
      <c r="F91" s="87">
        <f>IF(TrRoad_act!F7=0,0,F22/TrRoad_act!F7*1000)</f>
        <v>65.38373789800967</v>
      </c>
      <c r="G91" s="87">
        <f>IF(TrRoad_act!G7=0,0,G22/TrRoad_act!G7*1000)</f>
        <v>66.762255870943051</v>
      </c>
      <c r="H91" s="87">
        <f>IF(TrRoad_act!H7=0,0,H22/TrRoad_act!H7*1000)</f>
        <v>66.784200409438199</v>
      </c>
      <c r="I91" s="87">
        <f>IF(TrRoad_act!I7=0,0,I22/TrRoad_act!I7*1000)</f>
        <v>67.718647663939208</v>
      </c>
      <c r="J91" s="87">
        <f>IF(TrRoad_act!J7=0,0,J22/TrRoad_act!J7*1000)</f>
        <v>64.92076835509971</v>
      </c>
      <c r="K91" s="87">
        <f>IF(TrRoad_act!K7=0,0,K22/TrRoad_act!K7*1000)</f>
        <v>64.217962836790193</v>
      </c>
      <c r="L91" s="87">
        <f>IF(TrRoad_act!L7=0,0,L22/TrRoad_act!L7*1000)</f>
        <v>63.485290036428154</v>
      </c>
      <c r="M91" s="87">
        <f>IF(TrRoad_act!M7=0,0,M22/TrRoad_act!M7*1000)</f>
        <v>60.866655788931219</v>
      </c>
      <c r="N91" s="87">
        <f>IF(TrRoad_act!N7=0,0,N22/TrRoad_act!N7*1000)</f>
        <v>59.910523918772569</v>
      </c>
      <c r="O91" s="87">
        <f>IF(TrRoad_act!O7=0,0,O22/TrRoad_act!O7*1000)</f>
        <v>59.56487310955626</v>
      </c>
      <c r="P91" s="87">
        <f>IF(TrRoad_act!P7=0,0,P22/TrRoad_act!P7*1000)</f>
        <v>59.771356531293648</v>
      </c>
      <c r="Q91" s="87">
        <f>IF(TrRoad_act!Q7=0,0,Q22/TrRoad_act!Q7*1000)</f>
        <v>60.997061458839148</v>
      </c>
      <c r="R91" s="87">
        <f>IF(TrRoad_act!R7=0,0,R22/TrRoad_act!R7*1000)</f>
        <v>60.759091102390265</v>
      </c>
      <c r="S91" s="87">
        <f>IF(TrRoad_act!S7=0,0,S22/TrRoad_act!S7*1000)</f>
        <v>59.964422025703342</v>
      </c>
      <c r="T91" s="87">
        <f>IF(TrRoad_act!T7=0,0,T22/TrRoad_act!T7*1000)</f>
        <v>59.363830395360011</v>
      </c>
      <c r="U91" s="87">
        <f>IF(TrRoad_act!U7=0,0,U22/TrRoad_act!U7*1000)</f>
        <v>57.533468459319337</v>
      </c>
      <c r="V91" s="87">
        <f>IF(TrRoad_act!V7=0,0,V22/TrRoad_act!V7*1000)</f>
        <v>56.809233241379424</v>
      </c>
      <c r="W91" s="87">
        <f>IF(TrRoad_act!W7=0,0,W22/TrRoad_act!W7*1000)</f>
        <v>55.055690641846965</v>
      </c>
      <c r="X91" s="87">
        <f>IF(TrRoad_act!X7=0,0,X22/TrRoad_act!X7*1000)</f>
        <v>52.827742825290017</v>
      </c>
      <c r="Y91" s="87">
        <f>IF(TrRoad_act!Y7=0,0,Y22/TrRoad_act!Y7*1000)</f>
        <v>55.646816249286189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62.277449539369492</v>
      </c>
      <c r="C92" s="87">
        <f>IF(TrRoad_act!C8=0,0,C24/TrRoad_act!C8*1000)</f>
        <v>65.178687095174865</v>
      </c>
      <c r="D92" s="87">
        <f>IF(TrRoad_act!D8=0,0,D24/TrRoad_act!D8*1000)</f>
        <v>68.779074448868869</v>
      </c>
      <c r="E92" s="87">
        <f>IF(TrRoad_act!E8=0,0,E24/TrRoad_act!E8*1000)</f>
        <v>70.723967449486921</v>
      </c>
      <c r="F92" s="87">
        <f>IF(TrRoad_act!F8=0,0,F24/TrRoad_act!F8*1000)</f>
        <v>70.291618441827069</v>
      </c>
      <c r="G92" s="87">
        <f>IF(TrRoad_act!G8=0,0,G24/TrRoad_act!G8*1000)</f>
        <v>71.111719538429213</v>
      </c>
      <c r="H92" s="87">
        <f>IF(TrRoad_act!H8=0,0,H24/TrRoad_act!H8*1000)</f>
        <v>69.060200934083852</v>
      </c>
      <c r="I92" s="87">
        <f>IF(TrRoad_act!I8=0,0,I24/TrRoad_act!I8*1000)</f>
        <v>68.690469892569055</v>
      </c>
      <c r="J92" s="87">
        <f>IF(TrRoad_act!J8=0,0,J24/TrRoad_act!J8*1000)</f>
        <v>64.683258619728974</v>
      </c>
      <c r="K92" s="87">
        <f>IF(TrRoad_act!K8=0,0,K24/TrRoad_act!K8*1000)</f>
        <v>64.827163298165132</v>
      </c>
      <c r="L92" s="87">
        <f>IF(TrRoad_act!L8=0,0,L24/TrRoad_act!L8*1000)</f>
        <v>65.148527690263691</v>
      </c>
      <c r="M92" s="87">
        <f>IF(TrRoad_act!M8=0,0,M24/TrRoad_act!M8*1000)</f>
        <v>62.260381604439061</v>
      </c>
      <c r="N92" s="87">
        <f>IF(TrRoad_act!N8=0,0,N24/TrRoad_act!N8*1000)</f>
        <v>61.80969246354725</v>
      </c>
      <c r="O92" s="87">
        <f>IF(TrRoad_act!O8=0,0,O24/TrRoad_act!O8*1000)</f>
        <v>62.813186511137609</v>
      </c>
      <c r="P92" s="87">
        <f>IF(TrRoad_act!P8=0,0,P24/TrRoad_act!P8*1000)</f>
        <v>61.553946705780717</v>
      </c>
      <c r="Q92" s="87">
        <f>IF(TrRoad_act!Q8=0,0,Q24/TrRoad_act!Q8*1000)</f>
        <v>60.990429366702848</v>
      </c>
      <c r="R92" s="87">
        <f>IF(TrRoad_act!R8=0,0,R24/TrRoad_act!R8*1000)</f>
        <v>59.959810758771233</v>
      </c>
      <c r="S92" s="87">
        <f>IF(TrRoad_act!S8=0,0,S24/TrRoad_act!S8*1000)</f>
        <v>59.050090564299957</v>
      </c>
      <c r="T92" s="87">
        <f>IF(TrRoad_act!T8=0,0,T24/TrRoad_act!T8*1000)</f>
        <v>59.064307873799514</v>
      </c>
      <c r="U92" s="87">
        <f>IF(TrRoad_act!U8=0,0,U24/TrRoad_act!U8*1000)</f>
        <v>58.44452724950758</v>
      </c>
      <c r="V92" s="87">
        <f>IF(TrRoad_act!V8=0,0,V24/TrRoad_act!V8*1000)</f>
        <v>58.606575826271296</v>
      </c>
      <c r="W92" s="87">
        <f>IF(TrRoad_act!W8=0,0,W24/TrRoad_act!W8*1000)</f>
        <v>57.089735704347952</v>
      </c>
      <c r="X92" s="87">
        <f>IF(TrRoad_act!X8=0,0,X24/TrRoad_act!X8*1000)</f>
        <v>53.929426385522738</v>
      </c>
      <c r="Y92" s="87">
        <f>IF(TrRoad_act!Y8=0,0,Y24/TrRoad_act!Y8*1000)</f>
        <v>52.728622545557229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64.473038979980714</v>
      </c>
      <c r="C93" s="87">
        <f>IF(TrRoad_act!C9=0,0,C26/TrRoad_act!C9*1000)</f>
        <v>65.511059496293299</v>
      </c>
      <c r="D93" s="87">
        <f>IF(TrRoad_act!D9=0,0,D26/TrRoad_act!D9*1000)</f>
        <v>62.951210493171622</v>
      </c>
      <c r="E93" s="87">
        <f>IF(TrRoad_act!E9=0,0,E26/TrRoad_act!E9*1000)</f>
        <v>61.963274753424919</v>
      </c>
      <c r="F93" s="87">
        <f>IF(TrRoad_act!F9=0,0,F26/TrRoad_act!F9*1000)</f>
        <v>62.413749570031811</v>
      </c>
      <c r="G93" s="87">
        <f>IF(TrRoad_act!G9=0,0,G26/TrRoad_act!G9*1000)</f>
        <v>59.111621678227458</v>
      </c>
      <c r="H93" s="87">
        <f>IF(TrRoad_act!H9=0,0,H26/TrRoad_act!H9*1000)</f>
        <v>58.07829569981822</v>
      </c>
      <c r="I93" s="87">
        <f>IF(TrRoad_act!I9=0,0,I26/TrRoad_act!I9*1000)</f>
        <v>58.635944163303463</v>
      </c>
      <c r="J93" s="87">
        <f>IF(TrRoad_act!J9=0,0,J26/TrRoad_act!J9*1000)</f>
        <v>58.185809417669816</v>
      </c>
      <c r="K93" s="87">
        <f>IF(TrRoad_act!K9=0,0,K26/TrRoad_act!K9*1000)</f>
        <v>60.399104065870532</v>
      </c>
      <c r="L93" s="87">
        <f>IF(TrRoad_act!L9=0,0,L26/TrRoad_act!L9*1000)</f>
        <v>59.476585528993269</v>
      </c>
      <c r="M93" s="87">
        <f>IF(TrRoad_act!M9=0,0,M26/TrRoad_act!M9*1000)</f>
        <v>56.632161537801736</v>
      </c>
      <c r="N93" s="87">
        <f>IF(TrRoad_act!N9=0,0,N26/TrRoad_act!N9*1000)</f>
        <v>58.145099836340542</v>
      </c>
      <c r="O93" s="87">
        <f>IF(TrRoad_act!O9=0,0,O26/TrRoad_act!O9*1000)</f>
        <v>57.784692362218891</v>
      </c>
      <c r="P93" s="87">
        <f>IF(TrRoad_act!P9=0,0,P26/TrRoad_act!P9*1000)</f>
        <v>54.796220596369508</v>
      </c>
      <c r="Q93" s="87">
        <f>IF(TrRoad_act!Q9=0,0,Q26/TrRoad_act!Q9*1000)</f>
        <v>53.62781906173678</v>
      </c>
      <c r="R93" s="87">
        <f>IF(TrRoad_act!R9=0,0,R26/TrRoad_act!R9*1000)</f>
        <v>60.06169247583091</v>
      </c>
      <c r="S93" s="87">
        <f>IF(TrRoad_act!S9=0,0,S26/TrRoad_act!S9*1000)</f>
        <v>64.243302233728684</v>
      </c>
      <c r="T93" s="87">
        <f>IF(TrRoad_act!T9=0,0,T26/TrRoad_act!T9*1000)</f>
        <v>60.106536375820099</v>
      </c>
      <c r="U93" s="87">
        <f>IF(TrRoad_act!U9=0,0,U26/TrRoad_act!U9*1000)</f>
        <v>68.321456121401681</v>
      </c>
      <c r="V93" s="87">
        <f>IF(TrRoad_act!V9=0,0,V26/TrRoad_act!V9*1000)</f>
        <v>56.510068196455173</v>
      </c>
      <c r="W93" s="87">
        <f>IF(TrRoad_act!W9=0,0,W26/TrRoad_act!W9*1000)</f>
        <v>40.820840119445172</v>
      </c>
      <c r="X93" s="87">
        <f>IF(TrRoad_act!X9=0,0,X26/TrRoad_act!X9*1000)</f>
        <v>61.075320887519126</v>
      </c>
      <c r="Y93" s="87">
        <f>IF(TrRoad_act!Y9=0,0,Y26/TrRoad_act!Y9*1000)</f>
        <v>60.910954885859766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58.941657872592153</v>
      </c>
      <c r="I94" s="87">
        <f>IF(TrRoad_act!I10=0,0,I27/TrRoad_act!I10*1000)</f>
        <v>58.436689138750999</v>
      </c>
      <c r="J94" s="87">
        <f>IF(TrRoad_act!J10=0,0,J27/TrRoad_act!J10*1000)</f>
        <v>54.053035658087069</v>
      </c>
      <c r="K94" s="87">
        <f>IF(TrRoad_act!K10=0,0,K27/TrRoad_act!K10*1000)</f>
        <v>53.722881520807732</v>
      </c>
      <c r="L94" s="87">
        <f>IF(TrRoad_act!L10=0,0,L27/TrRoad_act!L10*1000)</f>
        <v>56.070888179122697</v>
      </c>
      <c r="M94" s="87">
        <f>IF(TrRoad_act!M10=0,0,M27/TrRoad_act!M10*1000)</f>
        <v>57.379327531509155</v>
      </c>
      <c r="N94" s="87">
        <f>IF(TrRoad_act!N10=0,0,N27/TrRoad_act!N10*1000)</f>
        <v>57.364353749112269</v>
      </c>
      <c r="O94" s="87">
        <f>IF(TrRoad_act!O10=0,0,O27/TrRoad_act!O10*1000)</f>
        <v>55.262012759845412</v>
      </c>
      <c r="P94" s="87">
        <f>IF(TrRoad_act!P10=0,0,P27/TrRoad_act!P10*1000)</f>
        <v>53.201440595498426</v>
      </c>
      <c r="Q94" s="87">
        <f>IF(TrRoad_act!Q10=0,0,Q27/TrRoad_act!Q10*1000)</f>
        <v>52.012425856928175</v>
      </c>
      <c r="R94" s="87">
        <f>IF(TrRoad_act!R10=0,0,R27/TrRoad_act!R10*1000)</f>
        <v>51.119518922410329</v>
      </c>
      <c r="S94" s="87">
        <f>IF(TrRoad_act!S10=0,0,S27/TrRoad_act!S10*1000)</f>
        <v>50.453851110982093</v>
      </c>
      <c r="T94" s="87">
        <f>IF(TrRoad_act!T10=0,0,T27/TrRoad_act!T10*1000)</f>
        <v>49.694443835129178</v>
      </c>
      <c r="U94" s="87">
        <f>IF(TrRoad_act!U10=0,0,U27/TrRoad_act!U10*1000)</f>
        <v>49.116969489319082</v>
      </c>
      <c r="V94" s="87">
        <f>IF(TrRoad_act!V10=0,0,V27/TrRoad_act!V10*1000)</f>
        <v>49.169559056045387</v>
      </c>
      <c r="W94" s="87">
        <f>IF(TrRoad_act!W10=0,0,W27/TrRoad_act!W10*1000)</f>
        <v>47.583082962175453</v>
      </c>
      <c r="X94" s="87">
        <f>IF(TrRoad_act!X10=0,0,X27/TrRoad_act!X10*1000)</f>
        <v>47.123181284567394</v>
      </c>
      <c r="Y94" s="87">
        <f>IF(TrRoad_act!Y10=0,0,Y27/TrRoad_act!Y10*1000)</f>
        <v>46.664625569465642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30.001278794845327</v>
      </c>
      <c r="N95" s="87">
        <f>IF(TrRoad_act!N11=0,0,N29/TrRoad_act!N11*1000)</f>
        <v>24.629525269278925</v>
      </c>
      <c r="O95" s="87">
        <f>IF(TrRoad_act!O11=0,0,O29/TrRoad_act!O11*1000)</f>
        <v>20.530761801966307</v>
      </c>
      <c r="P95" s="87">
        <f>IF(TrRoad_act!P11=0,0,P29/TrRoad_act!P11*1000)</f>
        <v>22.516264841867098</v>
      </c>
      <c r="Q95" s="87">
        <f>IF(TrRoad_act!Q11=0,0,Q29/TrRoad_act!Q11*1000)</f>
        <v>26.787033223076172</v>
      </c>
      <c r="R95" s="87">
        <f>IF(TrRoad_act!R11=0,0,R29/TrRoad_act!R11*1000)</f>
        <v>31.796329863034636</v>
      </c>
      <c r="S95" s="87">
        <f>IF(TrRoad_act!S11=0,0,S29/TrRoad_act!S11*1000)</f>
        <v>33.089275899763742</v>
      </c>
      <c r="T95" s="87">
        <f>IF(TrRoad_act!T11=0,0,T29/TrRoad_act!T11*1000)</f>
        <v>34.192666674418611</v>
      </c>
      <c r="U95" s="87">
        <f>IF(TrRoad_act!U11=0,0,U29/TrRoad_act!U11*1000)</f>
        <v>34.443037264293238</v>
      </c>
      <c r="V95" s="87">
        <f>IF(TrRoad_act!V11=0,0,V29/TrRoad_act!V11*1000)</f>
        <v>32.348720075322596</v>
      </c>
      <c r="W95" s="87">
        <f>IF(TrRoad_act!W11=0,0,W29/TrRoad_act!W11*1000)</f>
        <v>30.0206619248967</v>
      </c>
      <c r="X95" s="87">
        <f>IF(TrRoad_act!X11=0,0,X29/TrRoad_act!X11*1000)</f>
        <v>28.819221014228916</v>
      </c>
      <c r="Y95" s="87">
        <f>IF(TrRoad_act!Y11=0,0,Y29/TrRoad_act!Y11*1000)</f>
        <v>29.082375152440839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11.25127775762663</v>
      </c>
      <c r="K96" s="87">
        <f>IF(TrRoad_act!K12=0,0,K32/TrRoad_act!K12*1000)</f>
        <v>11.197049254258147</v>
      </c>
      <c r="L96" s="87">
        <f>IF(TrRoad_act!L12=0,0,L32/TrRoad_act!L12*1000)</f>
        <v>11.18907634173603</v>
      </c>
      <c r="M96" s="87">
        <f>IF(TrRoad_act!M12=0,0,M32/TrRoad_act!M12*1000)</f>
        <v>11.195236462604228</v>
      </c>
      <c r="N96" s="87">
        <f>IF(TrRoad_act!N12=0,0,N32/TrRoad_act!N12*1000)</f>
        <v>11.169595592786672</v>
      </c>
      <c r="O96" s="87">
        <f>IF(TrRoad_act!O12=0,0,O32/TrRoad_act!O12*1000)</f>
        <v>11.233196997717364</v>
      </c>
      <c r="P96" s="87">
        <f>IF(TrRoad_act!P12=0,0,P32/TrRoad_act!P12*1000)</f>
        <v>11.044882019409467</v>
      </c>
      <c r="Q96" s="87">
        <f>IF(TrRoad_act!Q12=0,0,Q32/TrRoad_act!Q12*1000)</f>
        <v>11.525840618526054</v>
      </c>
      <c r="R96" s="87">
        <f>IF(TrRoad_act!R12=0,0,R32/TrRoad_act!R12*1000)</f>
        <v>11.458336424842784</v>
      </c>
      <c r="S96" s="87">
        <f>IF(TrRoad_act!S12=0,0,S32/TrRoad_act!S12*1000)</f>
        <v>11.27417100322592</v>
      </c>
      <c r="T96" s="87">
        <f>IF(TrRoad_act!T12=0,0,T32/TrRoad_act!T12*1000)</f>
        <v>11.443798965025271</v>
      </c>
      <c r="U96" s="87">
        <f>IF(TrRoad_act!U12=0,0,U32/TrRoad_act!U12*1000)</f>
        <v>11.992221270273639</v>
      </c>
      <c r="V96" s="87">
        <f>IF(TrRoad_act!V12=0,0,V32/TrRoad_act!V12*1000)</f>
        <v>12.723415268523032</v>
      </c>
      <c r="W96" s="87">
        <f>IF(TrRoad_act!W12=0,0,W32/TrRoad_act!W12*1000)</f>
        <v>12.878385918851277</v>
      </c>
      <c r="X96" s="87">
        <f>IF(TrRoad_act!X12=0,0,X32/TrRoad_act!X12*1000)</f>
        <v>13.066459593420726</v>
      </c>
      <c r="Y96" s="87">
        <f>IF(TrRoad_act!Y12=0,0,Y32/TrRoad_act!Y12*1000)</f>
        <v>13.143266029720296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27.350347066733278</v>
      </c>
      <c r="C97" s="116">
        <f>IF(TrRoad_act!C13=0,0,C33/TrRoad_act!C13*1000)</f>
        <v>27.475473503409152</v>
      </c>
      <c r="D97" s="116">
        <f>IF(TrRoad_act!D13=0,0,D33/TrRoad_act!D13*1000)</f>
        <v>28.364740380306465</v>
      </c>
      <c r="E97" s="116">
        <f>IF(TrRoad_act!E13=0,0,E33/TrRoad_act!E13*1000)</f>
        <v>28.566175162421622</v>
      </c>
      <c r="F97" s="116">
        <f>IF(TrRoad_act!F13=0,0,F33/TrRoad_act!F13*1000)</f>
        <v>28.061454261356282</v>
      </c>
      <c r="G97" s="116">
        <f>IF(TrRoad_act!G13=0,0,G33/TrRoad_act!G13*1000)</f>
        <v>27.975263562062977</v>
      </c>
      <c r="H97" s="116">
        <f>IF(TrRoad_act!H13=0,0,H33/TrRoad_act!H13*1000)</f>
        <v>26.903293047246784</v>
      </c>
      <c r="I97" s="116">
        <f>IF(TrRoad_act!I13=0,0,I33/TrRoad_act!I13*1000)</f>
        <v>27.829856402225381</v>
      </c>
      <c r="J97" s="116">
        <f>IF(TrRoad_act!J13=0,0,J33/TrRoad_act!J13*1000)</f>
        <v>27.762035658203249</v>
      </c>
      <c r="K97" s="116">
        <f>IF(TrRoad_act!K13=0,0,K33/TrRoad_act!K13*1000)</f>
        <v>28.543936681130671</v>
      </c>
      <c r="L97" s="116">
        <f>IF(TrRoad_act!L13=0,0,L33/TrRoad_act!L13*1000)</f>
        <v>29.87634697208253</v>
      </c>
      <c r="M97" s="116">
        <f>IF(TrRoad_act!M13=0,0,M33/TrRoad_act!M13*1000)</f>
        <v>28.745005214157057</v>
      </c>
      <c r="N97" s="116">
        <f>IF(TrRoad_act!N13=0,0,N33/TrRoad_act!N13*1000)</f>
        <v>29.162715851123984</v>
      </c>
      <c r="O97" s="116">
        <f>IF(TrRoad_act!O13=0,0,O33/TrRoad_act!O13*1000)</f>
        <v>29.018411284344758</v>
      </c>
      <c r="P97" s="116">
        <f>IF(TrRoad_act!P13=0,0,P33/TrRoad_act!P13*1000)</f>
        <v>29.22088260991293</v>
      </c>
      <c r="Q97" s="116">
        <f>IF(TrRoad_act!Q13=0,0,Q33/TrRoad_act!Q13*1000)</f>
        <v>29.352941599477504</v>
      </c>
      <c r="R97" s="116">
        <f>IF(TrRoad_act!R13=0,0,R33/TrRoad_act!R13*1000)</f>
        <v>29.669740274785752</v>
      </c>
      <c r="S97" s="116">
        <f>IF(TrRoad_act!S13=0,0,S33/TrRoad_act!S13*1000)</f>
        <v>29.771615931295159</v>
      </c>
      <c r="T97" s="116">
        <f>IF(TrRoad_act!T13=0,0,T33/TrRoad_act!T13*1000)</f>
        <v>30.2045032202663</v>
      </c>
      <c r="U97" s="116">
        <f>IF(TrRoad_act!U13=0,0,U33/TrRoad_act!U13*1000)</f>
        <v>30.271185046881346</v>
      </c>
      <c r="V97" s="116">
        <f>IF(TrRoad_act!V13=0,0,V33/TrRoad_act!V13*1000)</f>
        <v>36.753599583942176</v>
      </c>
      <c r="W97" s="116">
        <f>IF(TrRoad_act!W13=0,0,W33/TrRoad_act!W13*1000)</f>
        <v>35.300245520842623</v>
      </c>
      <c r="X97" s="116">
        <f>IF(TrRoad_act!X13=0,0,X33/TrRoad_act!X13*1000)</f>
        <v>28.755252967462237</v>
      </c>
      <c r="Y97" s="116">
        <f>IF(TrRoad_act!Y13=0,0,Y33/TrRoad_act!Y13*1000)</f>
        <v>27.2749295577797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24.048998187119562</v>
      </c>
      <c r="C98" s="101">
        <f>IF(TrRoad_act!C14=0,0,C34/TrRoad_act!C14*1000)</f>
        <v>24.260311222171921</v>
      </c>
      <c r="D98" s="101">
        <f>IF(TrRoad_act!D14=0,0,D34/TrRoad_act!D14*1000)</f>
        <v>25.215732638478933</v>
      </c>
      <c r="E98" s="101">
        <f>IF(TrRoad_act!E14=0,0,E34/TrRoad_act!E14*1000)</f>
        <v>25.563530799574014</v>
      </c>
      <c r="F98" s="101">
        <f>IF(TrRoad_act!F14=0,0,F34/TrRoad_act!F14*1000)</f>
        <v>25.274431431274497</v>
      </c>
      <c r="G98" s="101">
        <f>IF(TrRoad_act!G14=0,0,G34/TrRoad_act!G14*1000)</f>
        <v>25.249443317028586</v>
      </c>
      <c r="H98" s="101">
        <f>IF(TrRoad_act!H14=0,0,H34/TrRoad_act!H14*1000)</f>
        <v>24.346058604701039</v>
      </c>
      <c r="I98" s="101">
        <f>IF(TrRoad_act!I14=0,0,I34/TrRoad_act!I14*1000)</f>
        <v>24.394544341184005</v>
      </c>
      <c r="J98" s="101">
        <f>IF(TrRoad_act!J14=0,0,J34/TrRoad_act!J14*1000)</f>
        <v>24.190582617009806</v>
      </c>
      <c r="K98" s="101">
        <f>IF(TrRoad_act!K14=0,0,K34/TrRoad_act!K14*1000)</f>
        <v>24.603717186356075</v>
      </c>
      <c r="L98" s="101">
        <f>IF(TrRoad_act!L14=0,0,L34/TrRoad_act!L14*1000)</f>
        <v>25.867927652612316</v>
      </c>
      <c r="M98" s="101">
        <f>IF(TrRoad_act!M14=0,0,M34/TrRoad_act!M14*1000)</f>
        <v>24.389553532784074</v>
      </c>
      <c r="N98" s="101">
        <f>IF(TrRoad_act!N14=0,0,N34/TrRoad_act!N14*1000)</f>
        <v>24.793190239478481</v>
      </c>
      <c r="O98" s="101">
        <f>IF(TrRoad_act!O14=0,0,O34/TrRoad_act!O14*1000)</f>
        <v>23.632261872040672</v>
      </c>
      <c r="P98" s="101">
        <f>IF(TrRoad_act!P14=0,0,P34/TrRoad_act!P14*1000)</f>
        <v>22.191416721629018</v>
      </c>
      <c r="Q98" s="101">
        <f>IF(TrRoad_act!Q14=0,0,Q34/TrRoad_act!Q14*1000)</f>
        <v>22.193061372953085</v>
      </c>
      <c r="R98" s="101">
        <f>IF(TrRoad_act!R14=0,0,R34/TrRoad_act!R14*1000)</f>
        <v>21.619111618060554</v>
      </c>
      <c r="S98" s="101">
        <f>IF(TrRoad_act!S14=0,0,S34/TrRoad_act!S14*1000)</f>
        <v>21.587880892908711</v>
      </c>
      <c r="T98" s="101">
        <f>IF(TrRoad_act!T14=0,0,T34/TrRoad_act!T14*1000)</f>
        <v>21.857819112985229</v>
      </c>
      <c r="U98" s="101">
        <f>IF(TrRoad_act!U14=0,0,U34/TrRoad_act!U14*1000)</f>
        <v>21.924142827973796</v>
      </c>
      <c r="V98" s="101">
        <f>IF(TrRoad_act!V14=0,0,V34/TrRoad_act!V14*1000)</f>
        <v>22.435015308208033</v>
      </c>
      <c r="W98" s="101">
        <f>IF(TrRoad_act!W14=0,0,W34/TrRoad_act!W14*1000)</f>
        <v>22.3844825679992</v>
      </c>
      <c r="X98" s="101">
        <f>IF(TrRoad_act!X14=0,0,X34/TrRoad_act!X14*1000)</f>
        <v>20.690141569356733</v>
      </c>
      <c r="Y98" s="101">
        <f>IF(TrRoad_act!Y14=0,0,Y34/TrRoad_act!Y14*1000)</f>
        <v>19.434687316155909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27.469976272319183</v>
      </c>
      <c r="C99" s="101">
        <f>IF(TrRoad_act!C15=0,0,C36/TrRoad_act!C15*1000)</f>
        <v>27.598421693160283</v>
      </c>
      <c r="D99" s="101">
        <f>IF(TrRoad_act!D15=0,0,D36/TrRoad_act!D15*1000)</f>
        <v>28.496243202789127</v>
      </c>
      <c r="E99" s="101">
        <f>IF(TrRoad_act!E15=0,0,E36/TrRoad_act!E15*1000)</f>
        <v>28.700871793435578</v>
      </c>
      <c r="F99" s="101">
        <f>IF(TrRoad_act!F15=0,0,F36/TrRoad_act!F15*1000)</f>
        <v>28.196258232131726</v>
      </c>
      <c r="G99" s="101">
        <f>IF(TrRoad_act!G15=0,0,G36/TrRoad_act!G15*1000)</f>
        <v>28.11190251647016</v>
      </c>
      <c r="H99" s="101">
        <f>IF(TrRoad_act!H15=0,0,H36/TrRoad_act!H15*1000)</f>
        <v>27.048890633814292</v>
      </c>
      <c r="I99" s="101">
        <f>IF(TrRoad_act!I15=0,0,I36/TrRoad_act!I15*1000)</f>
        <v>27.979781482625484</v>
      </c>
      <c r="J99" s="101">
        <f>IF(TrRoad_act!J15=0,0,J36/TrRoad_act!J15*1000)</f>
        <v>27.917373996482933</v>
      </c>
      <c r="K99" s="101">
        <f>IF(TrRoad_act!K15=0,0,K36/TrRoad_act!K15*1000)</f>
        <v>28.826131374683555</v>
      </c>
      <c r="L99" s="101">
        <f>IF(TrRoad_act!L15=0,0,L36/TrRoad_act!L15*1000)</f>
        <v>30.252265321478085</v>
      </c>
      <c r="M99" s="101">
        <f>IF(TrRoad_act!M15=0,0,M36/TrRoad_act!M15*1000)</f>
        <v>29.24862246230148</v>
      </c>
      <c r="N99" s="101">
        <f>IF(TrRoad_act!N15=0,0,N36/TrRoad_act!N15*1000)</f>
        <v>29.738594297001228</v>
      </c>
      <c r="O99" s="101">
        <f>IF(TrRoad_act!O15=0,0,O36/TrRoad_act!O15*1000)</f>
        <v>29.771904457224942</v>
      </c>
      <c r="P99" s="101">
        <f>IF(TrRoad_act!P15=0,0,P36/TrRoad_act!P15*1000)</f>
        <v>29.992034834159188</v>
      </c>
      <c r="Q99" s="101">
        <f>IF(TrRoad_act!Q15=0,0,Q36/TrRoad_act!Q15*1000)</f>
        <v>30.13193864998766</v>
      </c>
      <c r="R99" s="101">
        <f>IF(TrRoad_act!R15=0,0,R36/TrRoad_act!R15*1000)</f>
        <v>30.090784177557516</v>
      </c>
      <c r="S99" s="101">
        <f>IF(TrRoad_act!S15=0,0,S36/TrRoad_act!S15*1000)</f>
        <v>30.165689201560259</v>
      </c>
      <c r="T99" s="101">
        <f>IF(TrRoad_act!T15=0,0,T36/TrRoad_act!T15*1000)</f>
        <v>30.627041921612388</v>
      </c>
      <c r="U99" s="101">
        <f>IF(TrRoad_act!U15=0,0,U36/TrRoad_act!U15*1000)</f>
        <v>30.696811100468452</v>
      </c>
      <c r="V99" s="101">
        <f>IF(TrRoad_act!V15=0,0,V36/TrRoad_act!V15*1000)</f>
        <v>37.323802685889426</v>
      </c>
      <c r="W99" s="101">
        <f>IF(TrRoad_act!W15=0,0,W36/TrRoad_act!W15*1000)</f>
        <v>35.812891484300408</v>
      </c>
      <c r="X99" s="101">
        <f>IF(TrRoad_act!X15=0,0,X36/TrRoad_act!X15*1000)</f>
        <v>29.189910374711779</v>
      </c>
      <c r="Y99" s="101">
        <f>IF(TrRoad_act!Y15=0,0,Y36/TrRoad_act!Y15*1000)</f>
        <v>27.719180305461133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21.705874773554704</v>
      </c>
      <c r="D100" s="101">
        <f>IF(TrRoad_act!D16=0,0,D38/TrRoad_act!D16*1000)</f>
        <v>22.645098208692726</v>
      </c>
      <c r="E100" s="101">
        <f>IF(TrRoad_act!E16=0,0,E38/TrRoad_act!E16*1000)</f>
        <v>23.012125003656848</v>
      </c>
      <c r="F100" s="101">
        <f>IF(TrRoad_act!F16=0,0,F38/TrRoad_act!F16*1000)</f>
        <v>22.836975966238722</v>
      </c>
      <c r="G100" s="101">
        <f>IF(TrRoad_act!G16=0,0,G38/TrRoad_act!G16*1000)</f>
        <v>22.955594983416212</v>
      </c>
      <c r="H100" s="101">
        <f>IF(TrRoad_act!H16=0,0,H38/TrRoad_act!H16*1000)</f>
        <v>22.274874876616483</v>
      </c>
      <c r="I100" s="101">
        <f>IF(TrRoad_act!I16=0,0,I38/TrRoad_act!I16*1000)</f>
        <v>23.214191016666025</v>
      </c>
      <c r="J100" s="101">
        <f>IF(TrRoad_act!J16=0,0,J38/TrRoad_act!J16*1000)</f>
        <v>23.313077661524531</v>
      </c>
      <c r="K100" s="101">
        <f>IF(TrRoad_act!K16=0,0,K38/TrRoad_act!K16*1000)</f>
        <v>24.207991449923071</v>
      </c>
      <c r="L100" s="101">
        <f>IF(TrRoad_act!L16=0,0,L38/TrRoad_act!L16*1000)</f>
        <v>25.489797687545327</v>
      </c>
      <c r="M100" s="101">
        <f>IF(TrRoad_act!M16=0,0,M38/TrRoad_act!M16*1000)</f>
        <v>24.697663842926257</v>
      </c>
      <c r="N100" s="101">
        <f>IF(TrRoad_act!N16=0,0,N38/TrRoad_act!N16*1000)</f>
        <v>25.11405537208153</v>
      </c>
      <c r="O100" s="101">
        <f>IF(TrRoad_act!O16=0,0,O38/TrRoad_act!O16*1000)</f>
        <v>25.111259944904745</v>
      </c>
      <c r="P100" s="101">
        <f>IF(TrRoad_act!P16=0,0,P38/TrRoad_act!P16*1000)</f>
        <v>25.225044952255448</v>
      </c>
      <c r="Q100" s="101">
        <f>IF(TrRoad_act!Q16=0,0,Q38/TrRoad_act!Q16*1000)</f>
        <v>25.294702091968087</v>
      </c>
      <c r="R100" s="101">
        <f>IF(TrRoad_act!R16=0,0,R38/TrRoad_act!R16*1000)</f>
        <v>25.195780691611688</v>
      </c>
      <c r="S100" s="101">
        <f>IF(TrRoad_act!S16=0,0,S38/TrRoad_act!S16*1000)</f>
        <v>25.200454567526823</v>
      </c>
      <c r="T100" s="101">
        <f>IF(TrRoad_act!T16=0,0,T38/TrRoad_act!T16*1000)</f>
        <v>25.539081484373785</v>
      </c>
      <c r="U100" s="101">
        <f>IF(TrRoad_act!U16=0,0,U38/TrRoad_act!U16*1000)</f>
        <v>25.893008882305825</v>
      </c>
      <c r="V100" s="101">
        <f>IF(TrRoad_act!V16=0,0,V38/TrRoad_act!V16*1000)</f>
        <v>31.54649664307939</v>
      </c>
      <c r="W100" s="101">
        <f>IF(TrRoad_act!W16=0,0,W38/TrRoad_act!W16*1000)</f>
        <v>30.308814183992055</v>
      </c>
      <c r="X100" s="101">
        <f>IF(TrRoad_act!X16=0,0,X38/TrRoad_act!X16*1000)</f>
        <v>24.662533598539589</v>
      </c>
      <c r="Y100" s="101">
        <f>IF(TrRoad_act!Y16=0,0,Y38/TrRoad_act!Y16*1000)</f>
        <v>23.570644600880616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25.981473265779133</v>
      </c>
      <c r="G101" s="101">
        <f>IF(TrRoad_act!G17=0,0,G39/TrRoad_act!G17*1000)</f>
        <v>32.969816844813167</v>
      </c>
      <c r="H101" s="101">
        <f>IF(TrRoad_act!H17=0,0,H39/TrRoad_act!H17*1000)</f>
        <v>27.9600227417687</v>
      </c>
      <c r="I101" s="101">
        <f>IF(TrRoad_act!I17=0,0,I39/TrRoad_act!I17*1000)</f>
        <v>27.118728866483416</v>
      </c>
      <c r="J101" s="101">
        <f>IF(TrRoad_act!J17=0,0,J39/TrRoad_act!J17*1000)</f>
        <v>27.862215992027018</v>
      </c>
      <c r="K101" s="101">
        <f>IF(TrRoad_act!K17=0,0,K39/TrRoad_act!K17*1000)</f>
        <v>25.563860455931351</v>
      </c>
      <c r="L101" s="101">
        <f>IF(TrRoad_act!L17=0,0,L39/TrRoad_act!L17*1000)</f>
        <v>25.850450871819433</v>
      </c>
      <c r="M101" s="101">
        <f>IF(TrRoad_act!M17=0,0,M39/TrRoad_act!M17*1000)</f>
        <v>22.11843092833427</v>
      </c>
      <c r="N101" s="101">
        <f>IF(TrRoad_act!N17=0,0,N39/TrRoad_act!N17*1000)</f>
        <v>22.034470530286491</v>
      </c>
      <c r="O101" s="101">
        <f>IF(TrRoad_act!O17=0,0,O39/TrRoad_act!O17*1000)</f>
        <v>20.607945959572515</v>
      </c>
      <c r="P101" s="101">
        <f>IF(TrRoad_act!P17=0,0,P39/TrRoad_act!P17*1000)</f>
        <v>20.984332543115976</v>
      </c>
      <c r="Q101" s="101">
        <f>IF(TrRoad_act!Q17=0,0,Q39/TrRoad_act!Q17*1000)</f>
        <v>20.81711312832838</v>
      </c>
      <c r="R101" s="101">
        <f>IF(TrRoad_act!R17=0,0,R39/TrRoad_act!R17*1000)</f>
        <v>25.503340076256041</v>
      </c>
      <c r="S101" s="101">
        <f>IF(TrRoad_act!S17=0,0,S39/TrRoad_act!S17*1000)</f>
        <v>25.523191404944747</v>
      </c>
      <c r="T101" s="101">
        <f>IF(TrRoad_act!T17=0,0,T39/TrRoad_act!T17*1000)</f>
        <v>25.885052468525668</v>
      </c>
      <c r="U101" s="101">
        <f>IF(TrRoad_act!U17=0,0,U39/TrRoad_act!U17*1000)</f>
        <v>26.00739202615031</v>
      </c>
      <c r="V101" s="101">
        <f>IF(TrRoad_act!V17=0,0,V39/TrRoad_act!V17*1000)</f>
        <v>31.717835473868806</v>
      </c>
      <c r="W101" s="101">
        <f>IF(TrRoad_act!W17=0,0,W39/TrRoad_act!W17*1000)</f>
        <v>30.806319779943593</v>
      </c>
      <c r="X101" s="101">
        <f>IF(TrRoad_act!X17=0,0,X39/TrRoad_act!X17*1000)</f>
        <v>25.315337639713814</v>
      </c>
      <c r="Y101" s="101">
        <f>IF(TrRoad_act!Y17=0,0,Y39/TrRoad_act!Y17*1000)</f>
        <v>24.371579681507754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16.051464616439706</v>
      </c>
      <c r="C102" s="101">
        <f>IF(TrRoad_act!C18=0,0,C41/TrRoad_act!C18*1000)</f>
        <v>15.86309079068643</v>
      </c>
      <c r="D102" s="101">
        <f>IF(TrRoad_act!D18=0,0,D41/TrRoad_act!D18*1000)</f>
        <v>16.255493598497587</v>
      </c>
      <c r="E102" s="101">
        <f>IF(TrRoad_act!E18=0,0,E41/TrRoad_act!E18*1000)</f>
        <v>16.215670541878875</v>
      </c>
      <c r="F102" s="101">
        <f>IF(TrRoad_act!F18=0,0,F41/TrRoad_act!F18*1000)</f>
        <v>16.030991676464332</v>
      </c>
      <c r="G102" s="101">
        <f>IF(TrRoad_act!G18=0,0,G41/TrRoad_act!G18*1000)</f>
        <v>15.863059847282972</v>
      </c>
      <c r="H102" s="101">
        <f>IF(TrRoad_act!H18=0,0,H41/TrRoad_act!H18*1000)</f>
        <v>15.316743184415209</v>
      </c>
      <c r="I102" s="101">
        <f>IF(TrRoad_act!I18=0,0,I41/TrRoad_act!I18*1000)</f>
        <v>15.828860325407433</v>
      </c>
      <c r="J102" s="101">
        <f>IF(TrRoad_act!J18=0,0,J41/TrRoad_act!J18*1000)</f>
        <v>15.798863239264438</v>
      </c>
      <c r="K102" s="101">
        <f>IF(TrRoad_act!K18=0,0,K41/TrRoad_act!K18*1000)</f>
        <v>16.20564741152749</v>
      </c>
      <c r="L102" s="101">
        <f>IF(TrRoad_act!L18=0,0,L41/TrRoad_act!L18*1000)</f>
        <v>16.902048222960481</v>
      </c>
      <c r="M102" s="101">
        <f>IF(TrRoad_act!M18=0,0,M41/TrRoad_act!M18*1000)</f>
        <v>16.28946636273027</v>
      </c>
      <c r="N102" s="101">
        <f>IF(TrRoad_act!N18=0,0,N41/TrRoad_act!N18*1000)</f>
        <v>16.417997012976116</v>
      </c>
      <c r="O102" s="101">
        <f>IF(TrRoad_act!O18=0,0,O41/TrRoad_act!O18*1000)</f>
        <v>16.336721640495643</v>
      </c>
      <c r="P102" s="101">
        <f>IF(TrRoad_act!P18=0,0,P41/TrRoad_act!P18*1000)</f>
        <v>16.359323729160558</v>
      </c>
      <c r="Q102" s="101">
        <f>IF(TrRoad_act!Q18=0,0,Q41/TrRoad_act!Q18*1000)</f>
        <v>16.318636810777974</v>
      </c>
      <c r="R102" s="101">
        <f>IF(TrRoad_act!R18=0,0,R41/TrRoad_act!R18*1000)</f>
        <v>16.166183171669722</v>
      </c>
      <c r="S102" s="101">
        <f>IF(TrRoad_act!S18=0,0,S41/TrRoad_act!S18*1000)</f>
        <v>16.081122442779368</v>
      </c>
      <c r="T102" s="101">
        <f>IF(TrRoad_act!T18=0,0,T41/TrRoad_act!T18*1000)</f>
        <v>16.232222090616272</v>
      </c>
      <c r="U102" s="101">
        <f>IF(TrRoad_act!U18=0,0,U41/TrRoad_act!U18*1000)</f>
        <v>16.158347859640202</v>
      </c>
      <c r="V102" s="101">
        <f>IF(TrRoad_act!V18=0,0,V41/TrRoad_act!V18*1000)</f>
        <v>19.573029725049924</v>
      </c>
      <c r="W102" s="101">
        <f>IF(TrRoad_act!W18=0,0,W41/TrRoad_act!W18*1000)</f>
        <v>18.811291941334044</v>
      </c>
      <c r="X102" s="101">
        <f>IF(TrRoad_act!X18=0,0,X41/TrRoad_act!X18*1000)</f>
        <v>15.192623412496088</v>
      </c>
      <c r="Y102" s="101">
        <f>IF(TrRoad_act!Y18=0,0,Y41/TrRoad_act!Y18*1000)</f>
        <v>14.190894730273451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68.957662752017328</v>
      </c>
      <c r="C103" s="29">
        <f>IF(TrRoad_act!C19=0,0,C42/TrRoad_act!C19*1000)</f>
        <v>75.454504670948936</v>
      </c>
      <c r="D103" s="29">
        <f>IF(TrRoad_act!D19=0,0,D42/TrRoad_act!D19*1000)</f>
        <v>80.530164080049815</v>
      </c>
      <c r="E103" s="29">
        <f>IF(TrRoad_act!E19=0,0,E42/TrRoad_act!E19*1000)</f>
        <v>84.958885894601451</v>
      </c>
      <c r="F103" s="29">
        <f>IF(TrRoad_act!F19=0,0,F42/TrRoad_act!F19*1000)</f>
        <v>80.014734801187373</v>
      </c>
      <c r="G103" s="29">
        <f>IF(TrRoad_act!G19=0,0,G42/TrRoad_act!G19*1000)</f>
        <v>81.858245716038951</v>
      </c>
      <c r="H103" s="29">
        <f>IF(TrRoad_act!H19=0,0,H42/TrRoad_act!H19*1000)</f>
        <v>70.900764295711909</v>
      </c>
      <c r="I103" s="29">
        <f>IF(TrRoad_act!I19=0,0,I42/TrRoad_act!I19*1000)</f>
        <v>65.460820296596168</v>
      </c>
      <c r="J103" s="29">
        <f>IF(TrRoad_act!J19=0,0,J42/TrRoad_act!J19*1000)</f>
        <v>59.480013967368997</v>
      </c>
      <c r="K103" s="29">
        <f>IF(TrRoad_act!K19=0,0,K42/TrRoad_act!K19*1000)</f>
        <v>65.094945651181291</v>
      </c>
      <c r="L103" s="29">
        <f>IF(TrRoad_act!L19=0,0,L42/TrRoad_act!L19*1000)</f>
        <v>66.300194759440544</v>
      </c>
      <c r="M103" s="29">
        <f>IF(TrRoad_act!M19=0,0,M42/TrRoad_act!M19*1000)</f>
        <v>59.709035904750436</v>
      </c>
      <c r="N103" s="29">
        <f>IF(TrRoad_act!N19=0,0,N42/TrRoad_act!N19*1000)</f>
        <v>62.3025415788887</v>
      </c>
      <c r="O103" s="29">
        <f>IF(TrRoad_act!O19=0,0,O42/TrRoad_act!O19*1000)</f>
        <v>70.503743016055907</v>
      </c>
      <c r="P103" s="29">
        <f>IF(TrRoad_act!P19=0,0,P42/TrRoad_act!P19*1000)</f>
        <v>66.494714112589136</v>
      </c>
      <c r="Q103" s="29">
        <f>IF(TrRoad_act!Q19=0,0,Q42/TrRoad_act!Q19*1000)</f>
        <v>65.775729908821745</v>
      </c>
      <c r="R103" s="29">
        <f>IF(TrRoad_act!R19=0,0,R42/TrRoad_act!R19*1000)</f>
        <v>64.777820569280834</v>
      </c>
      <c r="S103" s="29">
        <f>IF(TrRoad_act!S19=0,0,S42/TrRoad_act!S19*1000)</f>
        <v>62.610476705847866</v>
      </c>
      <c r="T103" s="29">
        <f>IF(TrRoad_act!T19=0,0,T42/TrRoad_act!T19*1000)</f>
        <v>63.730258954276209</v>
      </c>
      <c r="U103" s="29">
        <f>IF(TrRoad_act!U19=0,0,U42/TrRoad_act!U19*1000)</f>
        <v>64.273666764843952</v>
      </c>
      <c r="V103" s="29">
        <f>IF(TrRoad_act!V19=0,0,V42/TrRoad_act!V19*1000)</f>
        <v>61.175216509239554</v>
      </c>
      <c r="W103" s="29">
        <f>IF(TrRoad_act!W19=0,0,W42/TrRoad_act!W19*1000)</f>
        <v>60.629071873350568</v>
      </c>
      <c r="X103" s="29">
        <f>IF(TrRoad_act!X19=0,0,X42/TrRoad_act!X19*1000)</f>
        <v>52.848683376525692</v>
      </c>
      <c r="Y103" s="29">
        <f>IF(TrRoad_act!Y19=0,0,Y42/TrRoad_act!Y19*1000)</f>
        <v>51.650984443122091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1619.9822302837665</v>
      </c>
      <c r="C104" s="152">
        <f>IF(TrRoad_act!C20=0,0,C43/TrRoad_act!C20*1000)</f>
        <v>1570.2468751024712</v>
      </c>
      <c r="D104" s="152">
        <f>IF(TrRoad_act!D20=0,0,D43/TrRoad_act!D20*1000)</f>
        <v>1555.3711787374566</v>
      </c>
      <c r="E104" s="152">
        <f>IF(TrRoad_act!E20=0,0,E43/TrRoad_act!E20*1000)</f>
        <v>1528.1568466220183</v>
      </c>
      <c r="F104" s="152">
        <f>IF(TrRoad_act!F20=0,0,F43/TrRoad_act!F20*1000)</f>
        <v>1498.478269223328</v>
      </c>
      <c r="G104" s="152">
        <f>IF(TrRoad_act!G20=0,0,G43/TrRoad_act!G20*1000)</f>
        <v>1481.4735265146469</v>
      </c>
      <c r="H104" s="152">
        <f>IF(TrRoad_act!H20=0,0,H43/TrRoad_act!H20*1000)</f>
        <v>1468.0110204974483</v>
      </c>
      <c r="I104" s="152">
        <f>IF(TrRoad_act!I20=0,0,I43/TrRoad_act!I20*1000)</f>
        <v>1455.6066327536769</v>
      </c>
      <c r="J104" s="152">
        <f>IF(TrRoad_act!J20=0,0,J43/TrRoad_act!J20*1000)</f>
        <v>1433.6903461186571</v>
      </c>
      <c r="K104" s="152">
        <f>IF(TrRoad_act!K20=0,0,K43/TrRoad_act!K20*1000)</f>
        <v>1418.9143438340577</v>
      </c>
      <c r="L104" s="152">
        <f>IF(TrRoad_act!L20=0,0,L43/TrRoad_act!L20*1000)</f>
        <v>1405.1561968183564</v>
      </c>
      <c r="M104" s="152">
        <f>IF(TrRoad_act!M20=0,0,M43/TrRoad_act!M20*1000)</f>
        <v>1397.8070905140883</v>
      </c>
      <c r="N104" s="152">
        <f>IF(TrRoad_act!N20=0,0,N43/TrRoad_act!N20*1000)</f>
        <v>1380.7605649397574</v>
      </c>
      <c r="O104" s="152">
        <f>IF(TrRoad_act!O20=0,0,O43/TrRoad_act!O20*1000)</f>
        <v>1369.3180188320021</v>
      </c>
      <c r="P104" s="152">
        <f>IF(TrRoad_act!P20=0,0,P43/TrRoad_act!P20*1000)</f>
        <v>1367.7715214813304</v>
      </c>
      <c r="Q104" s="152">
        <f>IF(TrRoad_act!Q20=0,0,Q43/TrRoad_act!Q20*1000)</f>
        <v>1362.8849097523328</v>
      </c>
      <c r="R104" s="152">
        <f>IF(TrRoad_act!R20=0,0,R43/TrRoad_act!R20*1000)</f>
        <v>1351.3304707464902</v>
      </c>
      <c r="S104" s="152">
        <f>IF(TrRoad_act!S20=0,0,S43/TrRoad_act!S20*1000)</f>
        <v>1331.3617903154118</v>
      </c>
      <c r="T104" s="152">
        <f>IF(TrRoad_act!T20=0,0,T43/TrRoad_act!T20*1000)</f>
        <v>1315.8827025620935</v>
      </c>
      <c r="U104" s="152">
        <f>IF(TrRoad_act!U20=0,0,U43/TrRoad_act!U20*1000)</f>
        <v>1310.9436043713176</v>
      </c>
      <c r="V104" s="152">
        <f>IF(TrRoad_act!V20=0,0,V43/TrRoad_act!V20*1000)</f>
        <v>1307.3762777958236</v>
      </c>
      <c r="W104" s="152">
        <f>IF(TrRoad_act!W20=0,0,W43/TrRoad_act!W20*1000)</f>
        <v>1313.6088472138003</v>
      </c>
      <c r="X104" s="152">
        <f>IF(TrRoad_act!X20=0,0,X43/TrRoad_act!X20*1000)</f>
        <v>1297.3085599758922</v>
      </c>
      <c r="Y104" s="152">
        <f>IF(TrRoad_act!Y20=0,0,Y43/TrRoad_act!Y20*1000)</f>
        <v>1287.6236048121311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2082.9067816360866</v>
      </c>
      <c r="C105" s="87">
        <f>IF(TrRoad_act!C21=0,0,C44/TrRoad_act!C21*1000)</f>
        <v>2077.6228268436189</v>
      </c>
      <c r="D105" s="87">
        <f>IF(TrRoad_act!D21=0,0,D44/TrRoad_act!D21*1000)</f>
        <v>2085.5468835493298</v>
      </c>
      <c r="E105" s="87">
        <f>IF(TrRoad_act!E21=0,0,E44/TrRoad_act!E21*1000)</f>
        <v>2069.1730243502425</v>
      </c>
      <c r="F105" s="87">
        <f>IF(TrRoad_act!F21=0,0,F44/TrRoad_act!F21*1000)</f>
        <v>2048.5144525337973</v>
      </c>
      <c r="G105" s="87">
        <f>IF(TrRoad_act!G21=0,0,G44/TrRoad_act!G21*1000)</f>
        <v>2035.3510127365091</v>
      </c>
      <c r="H105" s="87">
        <f>IF(TrRoad_act!H21=0,0,H44/TrRoad_act!H21*1000)</f>
        <v>2021.540417580236</v>
      </c>
      <c r="I105" s="87">
        <f>IF(TrRoad_act!I21=0,0,I44/TrRoad_act!I21*1000)</f>
        <v>1996.0158380142238</v>
      </c>
      <c r="J105" s="87">
        <f>IF(TrRoad_act!J21=0,0,J44/TrRoad_act!J21*1000)</f>
        <v>1944.0513412962694</v>
      </c>
      <c r="K105" s="87">
        <f>IF(TrRoad_act!K21=0,0,K44/TrRoad_act!K21*1000)</f>
        <v>1892.9092695870449</v>
      </c>
      <c r="L105" s="87">
        <f>IF(TrRoad_act!L21=0,0,L44/TrRoad_act!L21*1000)</f>
        <v>1856.1137851013332</v>
      </c>
      <c r="M105" s="87">
        <f>IF(TrRoad_act!M21=0,0,M44/TrRoad_act!M21*1000)</f>
        <v>1837.5041152921913</v>
      </c>
      <c r="N105" s="87">
        <f>IF(TrRoad_act!N21=0,0,N44/TrRoad_act!N21*1000)</f>
        <v>1790.4402158534476</v>
      </c>
      <c r="O105" s="87">
        <f>IF(TrRoad_act!O21=0,0,O44/TrRoad_act!O21*1000)</f>
        <v>1721.4782905221305</v>
      </c>
      <c r="P105" s="87">
        <f>IF(TrRoad_act!P21=0,0,P44/TrRoad_act!P21*1000)</f>
        <v>1683.0802346533794</v>
      </c>
      <c r="Q105" s="87">
        <f>IF(TrRoad_act!Q21=0,0,Q44/TrRoad_act!Q21*1000)</f>
        <v>1654.0133992729902</v>
      </c>
      <c r="R105" s="87">
        <f>IF(TrRoad_act!R21=0,0,R44/TrRoad_act!R21*1000)</f>
        <v>1612.4788912318277</v>
      </c>
      <c r="S105" s="87">
        <f>IF(TrRoad_act!S21=0,0,S44/TrRoad_act!S21*1000)</f>
        <v>1575.8889450224081</v>
      </c>
      <c r="T105" s="87">
        <f>IF(TrRoad_act!T21=0,0,T44/TrRoad_act!T21*1000)</f>
        <v>1534.3401828316348</v>
      </c>
      <c r="U105" s="87">
        <f>IF(TrRoad_act!U21=0,0,U44/TrRoad_act!U21*1000)</f>
        <v>1509.7884855407904</v>
      </c>
      <c r="V105" s="87">
        <f>IF(TrRoad_act!V21=0,0,V44/TrRoad_act!V21*1000)</f>
        <v>1496.5914732660317</v>
      </c>
      <c r="W105" s="87">
        <f>IF(TrRoad_act!W21=0,0,W44/TrRoad_act!W21*1000)</f>
        <v>1483.0222902327096</v>
      </c>
      <c r="X105" s="87">
        <f>IF(TrRoad_act!X21=0,0,X44/TrRoad_act!X21*1000)</f>
        <v>1454.534095096835</v>
      </c>
      <c r="Y105" s="87">
        <f>IF(TrRoad_act!Y21=0,0,Y44/TrRoad_act!Y21*1000)</f>
        <v>1435.4984246822098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1558.3581129141548</v>
      </c>
      <c r="C106" s="87">
        <f>IF(TrRoad_act!C22=0,0,C46/TrRoad_act!C22*1000)</f>
        <v>1512.4369416269769</v>
      </c>
      <c r="D106" s="87">
        <f>IF(TrRoad_act!D22=0,0,D46/TrRoad_act!D22*1000)</f>
        <v>1516.9070460548303</v>
      </c>
      <c r="E106" s="87">
        <f>IF(TrRoad_act!E22=0,0,E46/TrRoad_act!E22*1000)</f>
        <v>1494.7710102833391</v>
      </c>
      <c r="F106" s="87">
        <f>IF(TrRoad_act!F22=0,0,F46/TrRoad_act!F22*1000)</f>
        <v>1469.0971120381057</v>
      </c>
      <c r="G106" s="87">
        <f>IF(TrRoad_act!G22=0,0,G46/TrRoad_act!G22*1000)</f>
        <v>1454.6981023777716</v>
      </c>
      <c r="H106" s="87">
        <f>IF(TrRoad_act!H22=0,0,H46/TrRoad_act!H22*1000)</f>
        <v>1443.1433873300498</v>
      </c>
      <c r="I106" s="87">
        <f>IF(TrRoad_act!I22=0,0,I46/TrRoad_act!I22*1000)</f>
        <v>1432.5852509102565</v>
      </c>
      <c r="J106" s="87">
        <f>IF(TrRoad_act!J22=0,0,J46/TrRoad_act!J22*1000)</f>
        <v>1412.7687342376191</v>
      </c>
      <c r="K106" s="87">
        <f>IF(TrRoad_act!K22=0,0,K46/TrRoad_act!K22*1000)</f>
        <v>1399.8213098753019</v>
      </c>
      <c r="L106" s="87">
        <f>IF(TrRoad_act!L22=0,0,L46/TrRoad_act!L22*1000)</f>
        <v>1387.493522275731</v>
      </c>
      <c r="M106" s="87">
        <f>IF(TrRoad_act!M22=0,0,M46/TrRoad_act!M22*1000)</f>
        <v>1380.4505192182903</v>
      </c>
      <c r="N106" s="87">
        <f>IF(TrRoad_act!N22=0,0,N46/TrRoad_act!N22*1000)</f>
        <v>1364.8223404519235</v>
      </c>
      <c r="O106" s="87">
        <f>IF(TrRoad_act!O22=0,0,O46/TrRoad_act!O22*1000)</f>
        <v>1355.6777459873056</v>
      </c>
      <c r="P106" s="87">
        <f>IF(TrRoad_act!P22=0,0,P46/TrRoad_act!P22*1000)</f>
        <v>1355.901710559589</v>
      </c>
      <c r="Q106" s="87">
        <f>IF(TrRoad_act!Q22=0,0,Q46/TrRoad_act!Q22*1000)</f>
        <v>1352.3150404526834</v>
      </c>
      <c r="R106" s="87">
        <f>IF(TrRoad_act!R22=0,0,R46/TrRoad_act!R22*1000)</f>
        <v>1342.2304660795246</v>
      </c>
      <c r="S106" s="87">
        <f>IF(TrRoad_act!S22=0,0,S46/TrRoad_act!S22*1000)</f>
        <v>1323.3135200821332</v>
      </c>
      <c r="T106" s="87">
        <f>IF(TrRoad_act!T22=0,0,T46/TrRoad_act!T22*1000)</f>
        <v>1309.2731931541534</v>
      </c>
      <c r="U106" s="87">
        <f>IF(TrRoad_act!U22=0,0,U46/TrRoad_act!U22*1000)</f>
        <v>1305.9415777455906</v>
      </c>
      <c r="V106" s="87">
        <f>IF(TrRoad_act!V22=0,0,V46/TrRoad_act!V22*1000)</f>
        <v>1303.9299957198177</v>
      </c>
      <c r="W106" s="87">
        <f>IF(TrRoad_act!W22=0,0,W46/TrRoad_act!W22*1000)</f>
        <v>1313.8280042006531</v>
      </c>
      <c r="X106" s="87">
        <f>IF(TrRoad_act!X22=0,0,X46/TrRoad_act!X22*1000)</f>
        <v>1299.8233737351698</v>
      </c>
      <c r="Y106" s="87">
        <f>IF(TrRoad_act!Y22=0,0,Y46/TrRoad_act!Y22*1000)</f>
        <v>1293.7388900873641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3964.307475531481</v>
      </c>
      <c r="F107" s="87">
        <f>IF(TrRoad_act!F23=0,0,F48/TrRoad_act!F23*1000)</f>
        <v>3929.3540142364695</v>
      </c>
      <c r="G107" s="87">
        <f>IF(TrRoad_act!G23=0,0,G48/TrRoad_act!G23*1000)</f>
        <v>3979.9061978920158</v>
      </c>
      <c r="H107" s="87">
        <f>IF(TrRoad_act!H23=0,0,H48/TrRoad_act!H23*1000)</f>
        <v>3996.4488526541372</v>
      </c>
      <c r="I107" s="87">
        <f>IF(TrRoad_act!I23=0,0,I48/TrRoad_act!I23*1000)</f>
        <v>4000.9197130341977</v>
      </c>
      <c r="J107" s="87">
        <f>IF(TrRoad_act!J23=0,0,J48/TrRoad_act!J23*1000)</f>
        <v>3964.1383538845648</v>
      </c>
      <c r="K107" s="87">
        <f>IF(TrRoad_act!K23=0,0,K48/TrRoad_act!K23*1000)</f>
        <v>3932.7618325627182</v>
      </c>
      <c r="L107" s="87">
        <f>IF(TrRoad_act!L23=0,0,L48/TrRoad_act!L23*1000)</f>
        <v>3910.9169846556906</v>
      </c>
      <c r="M107" s="87">
        <f>IF(TrRoad_act!M23=0,0,M48/TrRoad_act!M23*1000)</f>
        <v>3896.101586104005</v>
      </c>
      <c r="N107" s="87">
        <f>IF(TrRoad_act!N23=0,0,N48/TrRoad_act!N23*1000)</f>
        <v>3836.403571100012</v>
      </c>
      <c r="O107" s="87">
        <f>IF(TrRoad_act!O23=0,0,O48/TrRoad_act!O23*1000)</f>
        <v>3806.5234961245405</v>
      </c>
      <c r="P107" s="87">
        <f>IF(TrRoad_act!P23=0,0,P48/TrRoad_act!P23*1000)</f>
        <v>3729.8354037572758</v>
      </c>
      <c r="Q107" s="87">
        <f>IF(TrRoad_act!Q23=0,0,Q48/TrRoad_act!Q23*1000)</f>
        <v>3705.0496547167127</v>
      </c>
      <c r="R107" s="87">
        <f>IF(TrRoad_act!R23=0,0,R48/TrRoad_act!R23*1000)</f>
        <v>3955.1123718772355</v>
      </c>
      <c r="S107" s="87">
        <f>IF(TrRoad_act!S23=0,0,S48/TrRoad_act!S23*1000)</f>
        <v>3889.2266748675388</v>
      </c>
      <c r="T107" s="87">
        <f>IF(TrRoad_act!T23=0,0,T48/TrRoad_act!T23*1000)</f>
        <v>3840.4186187534265</v>
      </c>
      <c r="U107" s="87">
        <f>IF(TrRoad_act!U23=0,0,U48/TrRoad_act!U23*1000)</f>
        <v>3787.1578963311686</v>
      </c>
      <c r="V107" s="87">
        <f>IF(TrRoad_act!V23=0,0,V48/TrRoad_act!V23*1000)</f>
        <v>3644.9576440783612</v>
      </c>
      <c r="W107" s="87">
        <f>IF(TrRoad_act!W23=0,0,W48/TrRoad_act!W23*1000)</f>
        <v>3462.6799271669593</v>
      </c>
      <c r="X107" s="87">
        <f>IF(TrRoad_act!X23=0,0,X48/TrRoad_act!X23*1000)</f>
        <v>3362.2027317171946</v>
      </c>
      <c r="Y107" s="87">
        <f>IF(TrRoad_act!Y23=0,0,Y48/TrRoad_act!Y23*1000)</f>
        <v>3274.9677740049428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2251.3190552676306</v>
      </c>
      <c r="I108" s="87">
        <f>IF(TrRoad_act!I24=0,0,I49/TrRoad_act!I24*1000)</f>
        <v>2252.2808437504013</v>
      </c>
      <c r="J108" s="87">
        <f>IF(TrRoad_act!J24=0,0,J49/TrRoad_act!J24*1000)</f>
        <v>2175.1880168973635</v>
      </c>
      <c r="K108" s="87">
        <f>IF(TrRoad_act!K24=0,0,K49/TrRoad_act!K24*1000)</f>
        <v>2113.9382941172812</v>
      </c>
      <c r="L108" s="87">
        <f>IF(TrRoad_act!L24=0,0,L49/TrRoad_act!L24*1000)</f>
        <v>2022.3737805732908</v>
      </c>
      <c r="M108" s="87">
        <f>IF(TrRoad_act!M24=0,0,M49/TrRoad_act!M24*1000)</f>
        <v>1974.1631417230292</v>
      </c>
      <c r="N108" s="87">
        <f>IF(TrRoad_act!N24=0,0,N49/TrRoad_act!N24*1000)</f>
        <v>1946.1870221197191</v>
      </c>
      <c r="O108" s="87">
        <f>IF(TrRoad_act!O24=0,0,O49/TrRoad_act!O24*1000)</f>
        <v>1981.1829590447514</v>
      </c>
      <c r="P108" s="87">
        <f>IF(TrRoad_act!P24=0,0,P49/TrRoad_act!P24*1000)</f>
        <v>1947.5726552888029</v>
      </c>
      <c r="Q108" s="87">
        <f>IF(TrRoad_act!Q24=0,0,Q49/TrRoad_act!Q24*1000)</f>
        <v>1900.101475573508</v>
      </c>
      <c r="R108" s="87">
        <f>IF(TrRoad_act!R24=0,0,R49/TrRoad_act!R24*1000)</f>
        <v>1739.5586306798541</v>
      </c>
      <c r="S108" s="87">
        <f>IF(TrRoad_act!S24=0,0,S49/TrRoad_act!S24*1000)</f>
        <v>1703.892911219363</v>
      </c>
      <c r="T108" s="87">
        <f>IF(TrRoad_act!T24=0,0,T49/TrRoad_act!T24*1000)</f>
        <v>1678.3685863014723</v>
      </c>
      <c r="U108" s="87">
        <f>IF(TrRoad_act!U24=0,0,U49/TrRoad_act!U24*1000)</f>
        <v>1660.4064042696041</v>
      </c>
      <c r="V108" s="87">
        <f>IF(TrRoad_act!V24=0,0,V49/TrRoad_act!V24*1000)</f>
        <v>1623.8760077286049</v>
      </c>
      <c r="W108" s="87">
        <f>IF(TrRoad_act!W24=0,0,W49/TrRoad_act!W24*1000)</f>
        <v>1610.775680060671</v>
      </c>
      <c r="X108" s="87">
        <f>IF(TrRoad_act!X24=0,0,X49/TrRoad_act!X24*1000)</f>
        <v>1574.4191192878177</v>
      </c>
      <c r="Y108" s="87">
        <f>IF(TrRoad_act!Y24=0,0,Y49/TrRoad_act!Y24*1000)</f>
        <v>1556.7734662552953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386.74853165425952</v>
      </c>
      <c r="C109" s="87">
        <f>IF(TrRoad_act!C25=0,0,C51/TrRoad_act!C25*1000)</f>
        <v>371.80326556184292</v>
      </c>
      <c r="D109" s="87">
        <f>IF(TrRoad_act!D25=0,0,D51/TrRoad_act!D25*1000)</f>
        <v>370.4775965860473</v>
      </c>
      <c r="E109" s="87">
        <f>IF(TrRoad_act!E25=0,0,E51/TrRoad_act!E25*1000)</f>
        <v>370.11953462521029</v>
      </c>
      <c r="F109" s="87">
        <f>IF(TrRoad_act!F25=0,0,F51/TrRoad_act!F25*1000)</f>
        <v>368.91424475797629</v>
      </c>
      <c r="G109" s="87">
        <f>IF(TrRoad_act!G25=0,0,G51/TrRoad_act!G25*1000)</f>
        <v>367.84836790517511</v>
      </c>
      <c r="H109" s="87">
        <f>IF(TrRoad_act!H25=0,0,H51/TrRoad_act!H25*1000)</f>
        <v>368.40600085100408</v>
      </c>
      <c r="I109" s="87">
        <f>IF(TrRoad_act!I25=0,0,I51/TrRoad_act!I25*1000)</f>
        <v>349.35846898497158</v>
      </c>
      <c r="J109" s="87">
        <f>IF(TrRoad_act!J25=0,0,J51/TrRoad_act!J25*1000)</f>
        <v>340.51986291336334</v>
      </c>
      <c r="K109" s="87">
        <f>IF(TrRoad_act!K25=0,0,K51/TrRoad_act!K25*1000)</f>
        <v>324.57983735840224</v>
      </c>
      <c r="L109" s="87">
        <f>IF(TrRoad_act!L25=0,0,L51/TrRoad_act!L25*1000)</f>
        <v>315.47493494388891</v>
      </c>
      <c r="M109" s="87">
        <f>IF(TrRoad_act!M25=0,0,M51/TrRoad_act!M25*1000)</f>
        <v>310.66587686108483</v>
      </c>
      <c r="N109" s="87">
        <f>IF(TrRoad_act!N25=0,0,N51/TrRoad_act!N25*1000)</f>
        <v>307.39867141248698</v>
      </c>
      <c r="O109" s="87">
        <f>IF(TrRoad_act!O25=0,0,O51/TrRoad_act!O25*1000)</f>
        <v>308.93752082516193</v>
      </c>
      <c r="P109" s="87">
        <f>IF(TrRoad_act!P25=0,0,P51/TrRoad_act!P25*1000)</f>
        <v>311.5795629349663</v>
      </c>
      <c r="Q109" s="87">
        <f>IF(TrRoad_act!Q25=0,0,Q51/TrRoad_act!Q25*1000)</f>
        <v>315.48362646506121</v>
      </c>
      <c r="R109" s="87">
        <f>IF(TrRoad_act!R25=0,0,R51/TrRoad_act!R25*1000)</f>
        <v>321.45303088132442</v>
      </c>
      <c r="S109" s="87">
        <f>IF(TrRoad_act!S25=0,0,S51/TrRoad_act!S25*1000)</f>
        <v>324.63196478945991</v>
      </c>
      <c r="T109" s="87">
        <f>IF(TrRoad_act!T25=0,0,T51/TrRoad_act!T25*1000)</f>
        <v>331.24299223302853</v>
      </c>
      <c r="U109" s="87">
        <f>IF(TrRoad_act!U25=0,0,U51/TrRoad_act!U25*1000)</f>
        <v>343.81703801901887</v>
      </c>
      <c r="V109" s="87">
        <f>IF(TrRoad_act!V25=0,0,V51/TrRoad_act!V25*1000)</f>
        <v>375.3045235584969</v>
      </c>
      <c r="W109" s="87">
        <f>IF(TrRoad_act!W25=0,0,W51/TrRoad_act!W25*1000)</f>
        <v>439.917644373472</v>
      </c>
      <c r="X109" s="87">
        <f>IF(TrRoad_act!X25=0,0,X51/TrRoad_act!X25*1000)</f>
        <v>470.45862196184055</v>
      </c>
      <c r="Y109" s="87">
        <f>IF(TrRoad_act!Y25=0,0,Y51/TrRoad_act!Y25*1000)</f>
        <v>487.55281778323553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53.516133430572211</v>
      </c>
      <c r="C110" s="116">
        <f>IF(TrRoad_act!C26=0,0,C52/TrRoad_act!C26*1000)</f>
        <v>60.396695116056158</v>
      </c>
      <c r="D110" s="116">
        <f>IF(TrRoad_act!D26=0,0,D52/TrRoad_act!D26*1000)</f>
        <v>65.707129570908577</v>
      </c>
      <c r="E110" s="116">
        <f>IF(TrRoad_act!E26=0,0,E52/TrRoad_act!E26*1000)</f>
        <v>70.457277439353419</v>
      </c>
      <c r="F110" s="116">
        <f>IF(TrRoad_act!F26=0,0,F52/TrRoad_act!F26*1000)</f>
        <v>66.443672746503495</v>
      </c>
      <c r="G110" s="116">
        <f>IF(TrRoad_act!G26=0,0,G52/TrRoad_act!G26*1000)</f>
        <v>68.412781326407654</v>
      </c>
      <c r="H110" s="116">
        <f>IF(TrRoad_act!H26=0,0,H52/TrRoad_act!H26*1000)</f>
        <v>58.304158826020412</v>
      </c>
      <c r="I110" s="116">
        <f>IF(TrRoad_act!I26=0,0,I52/TrRoad_act!I26*1000)</f>
        <v>53.622983897317511</v>
      </c>
      <c r="J110" s="116">
        <f>IF(TrRoad_act!J26=0,0,J52/TrRoad_act!J26*1000)</f>
        <v>48.510729149729201</v>
      </c>
      <c r="K110" s="116">
        <f>IF(TrRoad_act!K26=0,0,K52/TrRoad_act!K26*1000)</f>
        <v>52.653401920888541</v>
      </c>
      <c r="L110" s="116">
        <f>IF(TrRoad_act!L26=0,0,L52/TrRoad_act!L26*1000)</f>
        <v>54.514585734588188</v>
      </c>
      <c r="M110" s="116">
        <f>IF(TrRoad_act!M26=0,0,M52/TrRoad_act!M26*1000)</f>
        <v>48.07346520795889</v>
      </c>
      <c r="N110" s="116">
        <f>IF(TrRoad_act!N26=0,0,N52/TrRoad_act!N26*1000)</f>
        <v>50.463854774821144</v>
      </c>
      <c r="O110" s="116">
        <f>IF(TrRoad_act!O26=0,0,O52/TrRoad_act!O26*1000)</f>
        <v>58.587515198179084</v>
      </c>
      <c r="P110" s="116">
        <f>IF(TrRoad_act!P26=0,0,P52/TrRoad_act!P26*1000)</f>
        <v>54.353415202621456</v>
      </c>
      <c r="Q110" s="116">
        <f>IF(TrRoad_act!Q26=0,0,Q52/TrRoad_act!Q26*1000)</f>
        <v>53.820503662015867</v>
      </c>
      <c r="R110" s="116">
        <f>IF(TrRoad_act!R26=0,0,R52/TrRoad_act!R26*1000)</f>
        <v>53.064528832218606</v>
      </c>
      <c r="S110" s="116">
        <f>IF(TrRoad_act!S26=0,0,S52/TrRoad_act!S26*1000)</f>
        <v>51.487444372531314</v>
      </c>
      <c r="T110" s="116">
        <f>IF(TrRoad_act!T26=0,0,T52/TrRoad_act!T26*1000)</f>
        <v>52.549805500023155</v>
      </c>
      <c r="U110" s="116">
        <f>IF(TrRoad_act!U26=0,0,U52/TrRoad_act!U26*1000)</f>
        <v>52.979239008063779</v>
      </c>
      <c r="V110" s="116">
        <f>IF(TrRoad_act!V26=0,0,V52/TrRoad_act!V26*1000)</f>
        <v>49.692835532107452</v>
      </c>
      <c r="W110" s="116">
        <f>IF(TrRoad_act!W26=0,0,W52/TrRoad_act!W26*1000)</f>
        <v>48.961962536167093</v>
      </c>
      <c r="X110" s="116">
        <f>IF(TrRoad_act!X26=0,0,X52/TrRoad_act!X26*1000)</f>
        <v>40.965144517015659</v>
      </c>
      <c r="Y110" s="116">
        <f>IF(TrRoad_act!Y26=0,0,Y52/TrRoad_act!Y26*1000)</f>
        <v>38.997610396312851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47.734188534702966</v>
      </c>
      <c r="C111" s="101">
        <f>IF(TrRoad_act!C27=0,0,C53/TrRoad_act!C27*1000)</f>
        <v>49.292579996618976</v>
      </c>
      <c r="D111" s="101">
        <f>IF(TrRoad_act!D27=0,0,D53/TrRoad_act!D27*1000)</f>
        <v>49.74466719344224</v>
      </c>
      <c r="E111" s="101">
        <f>IF(TrRoad_act!E27=0,0,E53/TrRoad_act!E27*1000)</f>
        <v>50.608039754349853</v>
      </c>
      <c r="F111" s="101">
        <f>IF(TrRoad_act!F27=0,0,F53/TrRoad_act!F27*1000)</f>
        <v>49.928308710612221</v>
      </c>
      <c r="G111" s="101">
        <f>IF(TrRoad_act!G27=0,0,G53/TrRoad_act!G27*1000)</f>
        <v>49.526694052159158</v>
      </c>
      <c r="H111" s="101">
        <f>IF(TrRoad_act!H27=0,0,H53/TrRoad_act!H27*1000)</f>
        <v>47.182705063201297</v>
      </c>
      <c r="I111" s="101">
        <f>IF(TrRoad_act!I27=0,0,I53/TrRoad_act!I27*1000)</f>
        <v>45.839840505904597</v>
      </c>
      <c r="J111" s="101">
        <f>IF(TrRoad_act!J27=0,0,J53/TrRoad_act!J27*1000)</f>
        <v>44.706162025063648</v>
      </c>
      <c r="K111" s="101">
        <f>IF(TrRoad_act!K27=0,0,K53/TrRoad_act!K27*1000)</f>
        <v>46.012942226358554</v>
      </c>
      <c r="L111" s="101">
        <f>IF(TrRoad_act!L27=0,0,L53/TrRoad_act!L27*1000)</f>
        <v>45.113843970840655</v>
      </c>
      <c r="M111" s="101">
        <f>IF(TrRoad_act!M27=0,0,M53/TrRoad_act!M27*1000)</f>
        <v>43.094276800240003</v>
      </c>
      <c r="N111" s="101">
        <f>IF(TrRoad_act!N27=0,0,N53/TrRoad_act!N27*1000)</f>
        <v>43.710632088625552</v>
      </c>
      <c r="O111" s="101">
        <f>IF(TrRoad_act!O27=0,0,O53/TrRoad_act!O27*1000)</f>
        <v>46.258554081514596</v>
      </c>
      <c r="P111" s="101">
        <f>IF(TrRoad_act!P27=0,0,P53/TrRoad_act!P27*1000)</f>
        <v>44.171726333449435</v>
      </c>
      <c r="Q111" s="101">
        <f>IF(TrRoad_act!Q27=0,0,Q53/TrRoad_act!Q27*1000)</f>
        <v>44.300331829990505</v>
      </c>
      <c r="R111" s="101">
        <f>IF(TrRoad_act!R27=0,0,R53/TrRoad_act!R27*1000)</f>
        <v>43.188469704493599</v>
      </c>
      <c r="S111" s="101">
        <f>IF(TrRoad_act!S27=0,0,S53/TrRoad_act!S27*1000)</f>
        <v>42.895484906998419</v>
      </c>
      <c r="T111" s="101">
        <f>IF(TrRoad_act!T27=0,0,T53/TrRoad_act!T27*1000)</f>
        <v>43.159105599914518</v>
      </c>
      <c r="U111" s="101">
        <f>IF(TrRoad_act!U27=0,0,U53/TrRoad_act!U27*1000)</f>
        <v>42.629483194007783</v>
      </c>
      <c r="V111" s="101">
        <f>IF(TrRoad_act!V27=0,0,V53/TrRoad_act!V27*1000)</f>
        <v>40.575540738039876</v>
      </c>
      <c r="W111" s="101">
        <f>IF(TrRoad_act!W27=0,0,W53/TrRoad_act!W27*1000)</f>
        <v>40.401899034158191</v>
      </c>
      <c r="X111" s="101">
        <f>IF(TrRoad_act!X27=0,0,X53/TrRoad_act!X27*1000)</f>
        <v>38.421515747094091</v>
      </c>
      <c r="Y111" s="101">
        <f>IF(TrRoad_act!Y27=0,0,Y53/TrRoad_act!Y27*1000)</f>
        <v>39.011696198244024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58.51235225857458</v>
      </c>
      <c r="C112" s="88">
        <f>IF(TrRoad_act!C28=0,0,C55/TrRoad_act!C28*1000)</f>
        <v>69.401050692843171</v>
      </c>
      <c r="D112" s="88">
        <f>IF(TrRoad_act!D28=0,0,D55/TrRoad_act!D28*1000)</f>
        <v>78.13557303958514</v>
      </c>
      <c r="E112" s="88">
        <f>IF(TrRoad_act!E28=0,0,E55/TrRoad_act!E28*1000)</f>
        <v>86.115118197803511</v>
      </c>
      <c r="F112" s="88">
        <f>IF(TrRoad_act!F28=0,0,F55/TrRoad_act!F28*1000)</f>
        <v>77.099508950108927</v>
      </c>
      <c r="G112" s="88">
        <f>IF(TrRoad_act!G28=0,0,G55/TrRoad_act!G28*1000)</f>
        <v>80.308687455612983</v>
      </c>
      <c r="H112" s="88">
        <f>IF(TrRoad_act!H28=0,0,H55/TrRoad_act!H28*1000)</f>
        <v>65.948620224085872</v>
      </c>
      <c r="I112" s="88">
        <f>IF(TrRoad_act!I28=0,0,I55/TrRoad_act!I28*1000)</f>
        <v>58.443874465489223</v>
      </c>
      <c r="J112" s="88">
        <f>IF(TrRoad_act!J28=0,0,J55/TrRoad_act!J28*1000)</f>
        <v>50.601731845547242</v>
      </c>
      <c r="K112" s="88">
        <f>IF(TrRoad_act!K28=0,0,K55/TrRoad_act!K28*1000)</f>
        <v>56.681934130139808</v>
      </c>
      <c r="L112" s="88">
        <f>IF(TrRoad_act!L28=0,0,L55/TrRoad_act!L28*1000)</f>
        <v>59.976628483002507</v>
      </c>
      <c r="M112" s="88">
        <f>IF(TrRoad_act!M28=0,0,M55/TrRoad_act!M28*1000)</f>
        <v>51.002914543965097</v>
      </c>
      <c r="N112" s="88">
        <f>IF(TrRoad_act!N28=0,0,N55/TrRoad_act!N28*1000)</f>
        <v>54.452750238989005</v>
      </c>
      <c r="O112" s="88">
        <f>IF(TrRoad_act!O28=0,0,O55/TrRoad_act!O28*1000)</f>
        <v>65.499079712133181</v>
      </c>
      <c r="P112" s="88">
        <f>IF(TrRoad_act!P28=0,0,P55/TrRoad_act!P28*1000)</f>
        <v>60.358347529087865</v>
      </c>
      <c r="Q112" s="88">
        <f>IF(TrRoad_act!Q28=0,0,Q55/TrRoad_act!Q28*1000)</f>
        <v>59.496584775588353</v>
      </c>
      <c r="R112" s="88">
        <f>IF(TrRoad_act!R28=0,0,R55/TrRoad_act!R28*1000)</f>
        <v>59.192256845469494</v>
      </c>
      <c r="S112" s="88">
        <f>IF(TrRoad_act!S28=0,0,S55/TrRoad_act!S28*1000)</f>
        <v>56.465776634383531</v>
      </c>
      <c r="T112" s="88">
        <f>IF(TrRoad_act!T28=0,0,T55/TrRoad_act!T28*1000)</f>
        <v>57.961905067640615</v>
      </c>
      <c r="U112" s="88">
        <f>IF(TrRoad_act!U28=0,0,U55/TrRoad_act!U28*1000)</f>
        <v>58.968333816056642</v>
      </c>
      <c r="V112" s="88">
        <f>IF(TrRoad_act!V28=0,0,V55/TrRoad_act!V28*1000)</f>
        <v>54.907903752053031</v>
      </c>
      <c r="W112" s="88">
        <f>IF(TrRoad_act!W28=0,0,W55/TrRoad_act!W28*1000)</f>
        <v>53.810394994253272</v>
      </c>
      <c r="X112" s="88">
        <f>IF(TrRoad_act!X28=0,0,X55/TrRoad_act!X28*1000)</f>
        <v>42.344376453290046</v>
      </c>
      <c r="Y112" s="88">
        <f>IF(TrRoad_act!Y28=0,0,Y55/TrRoad_act!Y28*1000)</f>
        <v>38.99006172967011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58.314623218450357</v>
      </c>
      <c r="C116" s="152">
        <f>IF(C19=0,0,1000000*C19/TrRoad_act!C59)</f>
        <v>58.028766940911815</v>
      </c>
      <c r="D116" s="152">
        <f>IF(D19=0,0,1000000*D19/TrRoad_act!D59)</f>
        <v>58.425416086559558</v>
      </c>
      <c r="E116" s="152">
        <f>IF(E19=0,0,1000000*E19/TrRoad_act!E59)</f>
        <v>59.090223046054746</v>
      </c>
      <c r="F116" s="152">
        <f>IF(F19=0,0,1000000*F19/TrRoad_act!F59)</f>
        <v>61.283249630639631</v>
      </c>
      <c r="G116" s="152">
        <f>IF(G19=0,0,1000000*G19/TrRoad_act!G59)</f>
        <v>61.227984756941396</v>
      </c>
      <c r="H116" s="152">
        <f>IF(H19=0,0,1000000*H19/TrRoad_act!H59)</f>
        <v>61.240380742243708</v>
      </c>
      <c r="I116" s="152">
        <f>IF(I19=0,0,1000000*I19/TrRoad_act!I59)</f>
        <v>61.310207272659412</v>
      </c>
      <c r="J116" s="152">
        <f>IF(J19=0,0,1000000*J19/TrRoad_act!J59)</f>
        <v>61.390430716210105</v>
      </c>
      <c r="K116" s="152">
        <f>IF(K19=0,0,1000000*K19/TrRoad_act!K59)</f>
        <v>61.715384770883134</v>
      </c>
      <c r="L116" s="152">
        <f>IF(L19=0,0,1000000*L19/TrRoad_act!L59)</f>
        <v>62.093148903709412</v>
      </c>
      <c r="M116" s="152">
        <f>IF(M19=0,0,1000000*M19/TrRoad_act!M59)</f>
        <v>62.788686088037807</v>
      </c>
      <c r="N116" s="152">
        <f>IF(N19=0,0,1000000*N19/TrRoad_act!N59)</f>
        <v>63.821905280335656</v>
      </c>
      <c r="O116" s="152">
        <f>IF(O19=0,0,1000000*O19/TrRoad_act!O59)</f>
        <v>64.576792344099601</v>
      </c>
      <c r="P116" s="152">
        <f>IF(P19=0,0,1000000*P19/TrRoad_act!P59)</f>
        <v>65.977573539107013</v>
      </c>
      <c r="Q116" s="152">
        <f>IF(Q19=0,0,1000000*Q19/TrRoad_act!Q59)</f>
        <v>66.960182374786584</v>
      </c>
      <c r="R116" s="152">
        <f>IF(R19=0,0,1000000*R19/TrRoad_act!R59)</f>
        <v>66.921003590930781</v>
      </c>
      <c r="S116" s="152">
        <f>IF(S19=0,0,1000000*S19/TrRoad_act!S59)</f>
        <v>64.957503019530279</v>
      </c>
      <c r="T116" s="152">
        <f>IF(T19=0,0,1000000*T19/TrRoad_act!T59)</f>
        <v>61.015477670551036</v>
      </c>
      <c r="U116" s="152">
        <f>IF(U19=0,0,1000000*U19/TrRoad_act!U59)</f>
        <v>63.867749343125972</v>
      </c>
      <c r="V116" s="152">
        <f>IF(V19=0,0,1000000*V19/TrRoad_act!V59)</f>
        <v>56.132801811156618</v>
      </c>
      <c r="W116" s="152">
        <f>IF(W19=0,0,1000000*W19/TrRoad_act!W59)</f>
        <v>54.405620336022984</v>
      </c>
      <c r="X116" s="152">
        <f>IF(X19=0,0,1000000*X19/TrRoad_act!X59)</f>
        <v>54.18215421600727</v>
      </c>
      <c r="Y116" s="152">
        <f>IF(Y19=0,0,1000000*Y19/TrRoad_act!Y59)</f>
        <v>57.738730125382929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907.52439279616567</v>
      </c>
      <c r="C117" s="116">
        <f>IF(C21=0,0,1000000*C21/TrRoad_act!C60)</f>
        <v>934.71684555397485</v>
      </c>
      <c r="D117" s="116">
        <f>IF(D21=0,0,1000000*D21/TrRoad_act!D60)</f>
        <v>1092.1894776314086</v>
      </c>
      <c r="E117" s="116">
        <f>IF(E21=0,0,1000000*E21/TrRoad_act!E60)</f>
        <v>1145.4900958993892</v>
      </c>
      <c r="F117" s="116">
        <f>IF(F21=0,0,1000000*F21/TrRoad_act!F60)</f>
        <v>1151.2478056494231</v>
      </c>
      <c r="G117" s="116">
        <f>IF(G21=0,0,1000000*G21/TrRoad_act!G60)</f>
        <v>1173.5171598018107</v>
      </c>
      <c r="H117" s="116">
        <f>IF(H21=0,0,1000000*H21/TrRoad_act!H60)</f>
        <v>1147.251525637771</v>
      </c>
      <c r="I117" s="116">
        <f>IF(I21=0,0,1000000*I21/TrRoad_act!I60)</f>
        <v>1157.7757669689361</v>
      </c>
      <c r="J117" s="116">
        <f>IF(J21=0,0,1000000*J21/TrRoad_act!J60)</f>
        <v>1107.2030081312344</v>
      </c>
      <c r="K117" s="116">
        <f>IF(K21=0,0,1000000*K21/TrRoad_act!K60)</f>
        <v>1076.2309909566334</v>
      </c>
      <c r="L117" s="116">
        <f>IF(L21=0,0,1000000*L21/TrRoad_act!L60)</f>
        <v>1066.3689584022241</v>
      </c>
      <c r="M117" s="116">
        <f>IF(M21=0,0,1000000*M21/TrRoad_act!M60)</f>
        <v>1018.1101837918307</v>
      </c>
      <c r="N117" s="116">
        <f>IF(N21=0,0,1000000*N21/TrRoad_act!N60)</f>
        <v>988.17578573969922</v>
      </c>
      <c r="O117" s="116">
        <f>IF(O21=0,0,1000000*O21/TrRoad_act!O60)</f>
        <v>994.50556618383769</v>
      </c>
      <c r="P117" s="116">
        <f>IF(P21=0,0,1000000*P21/TrRoad_act!P60)</f>
        <v>993.258073686334</v>
      </c>
      <c r="Q117" s="116">
        <f>IF(Q21=0,0,1000000*Q21/TrRoad_act!Q60)</f>
        <v>1004.8547567136769</v>
      </c>
      <c r="R117" s="116">
        <f>IF(R21=0,0,1000000*R21/TrRoad_act!R60)</f>
        <v>1002.4910149576717</v>
      </c>
      <c r="S117" s="116">
        <f>IF(S21=0,0,1000000*S21/TrRoad_act!S60)</f>
        <v>987.71525143129008</v>
      </c>
      <c r="T117" s="116">
        <f>IF(T21=0,0,1000000*T21/TrRoad_act!T60)</f>
        <v>984.40553019216998</v>
      </c>
      <c r="U117" s="116">
        <f>IF(U21=0,0,1000000*U21/TrRoad_act!U60)</f>
        <v>961.06893201697915</v>
      </c>
      <c r="V117" s="116">
        <f>IF(V21=0,0,1000000*V21/TrRoad_act!V60)</f>
        <v>779.32427653957939</v>
      </c>
      <c r="W117" s="116">
        <f>IF(W21=0,0,1000000*W21/TrRoad_act!W60)</f>
        <v>801.48289701954207</v>
      </c>
      <c r="X117" s="116">
        <f>IF(X21=0,0,1000000*X21/TrRoad_act!X60)</f>
        <v>807.40102572418436</v>
      </c>
      <c r="Y117" s="116">
        <f>IF(Y21=0,0,1000000*Y21/TrRoad_act!Y60)</f>
        <v>818.2140164768249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736.82260220070452</v>
      </c>
      <c r="C118" s="87">
        <f>IF(C22=0,0,1000000*C22/TrRoad_act!C61)</f>
        <v>761.22634100323148</v>
      </c>
      <c r="D118" s="87">
        <f>IF(D22=0,0,1000000*D22/TrRoad_act!D61)</f>
        <v>943.3857252119069</v>
      </c>
      <c r="E118" s="87">
        <f>IF(E22=0,0,1000000*E22/TrRoad_act!E61)</f>
        <v>1003.4080992330853</v>
      </c>
      <c r="F118" s="87">
        <f>IF(F22=0,0,1000000*F22/TrRoad_act!F61)</f>
        <v>1024.9856038094938</v>
      </c>
      <c r="G118" s="87">
        <f>IF(G22=0,0,1000000*G22/TrRoad_act!G61)</f>
        <v>1027.1165022728353</v>
      </c>
      <c r="H118" s="87">
        <f>IF(H22=0,0,1000000*H22/TrRoad_act!H61)</f>
        <v>1009.3758805643344</v>
      </c>
      <c r="I118" s="87">
        <f>IF(I22=0,0,1000000*I22/TrRoad_act!I61)</f>
        <v>1000.9455197841397</v>
      </c>
      <c r="J118" s="87">
        <f>IF(J22=0,0,1000000*J22/TrRoad_act!J61)</f>
        <v>962.8678794842366</v>
      </c>
      <c r="K118" s="87">
        <f>IF(K22=0,0,1000000*K22/TrRoad_act!K61)</f>
        <v>910.51941143133251</v>
      </c>
      <c r="L118" s="87">
        <f>IF(L22=0,0,1000000*L22/TrRoad_act!L61)</f>
        <v>897.94833315347489</v>
      </c>
      <c r="M118" s="87">
        <f>IF(M22=0,0,1000000*M22/TrRoad_act!M61)</f>
        <v>824.41304241777038</v>
      </c>
      <c r="N118" s="87">
        <f>IF(N22=0,0,1000000*N22/TrRoad_act!N61)</f>
        <v>798.14495937315303</v>
      </c>
      <c r="O118" s="87">
        <f>IF(O22=0,0,1000000*O22/TrRoad_act!O61)</f>
        <v>776.7000084362279</v>
      </c>
      <c r="P118" s="87">
        <f>IF(P22=0,0,1000000*P22/TrRoad_act!P61)</f>
        <v>756.25486941976567</v>
      </c>
      <c r="Q118" s="87">
        <f>IF(Q22=0,0,1000000*Q22/TrRoad_act!Q61)</f>
        <v>757.39151430381924</v>
      </c>
      <c r="R118" s="87">
        <f>IF(R22=0,0,1000000*R22/TrRoad_act!R61)</f>
        <v>738.43764494697552</v>
      </c>
      <c r="S118" s="87">
        <f>IF(S22=0,0,1000000*S22/TrRoad_act!S61)</f>
        <v>712.9797022920734</v>
      </c>
      <c r="T118" s="87">
        <f>IF(T22=0,0,1000000*T22/TrRoad_act!T61)</f>
        <v>718.91234367550226</v>
      </c>
      <c r="U118" s="87">
        <f>IF(U22=0,0,1000000*U22/TrRoad_act!U61)</f>
        <v>697.5017732711708</v>
      </c>
      <c r="V118" s="87">
        <f>IF(V22=0,0,1000000*V22/TrRoad_act!V61)</f>
        <v>570.20197959968186</v>
      </c>
      <c r="W118" s="87">
        <f>IF(W22=0,0,1000000*W22/TrRoad_act!W61)</f>
        <v>590.11783506190807</v>
      </c>
      <c r="X118" s="87">
        <f>IF(X22=0,0,1000000*X22/TrRoad_act!X61)</f>
        <v>601.46402757790474</v>
      </c>
      <c r="Y118" s="87">
        <f>IF(Y22=0,0,1000000*Y22/TrRoad_act!Y61)</f>
        <v>665.24572245104343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1203.5831370956537</v>
      </c>
      <c r="C119" s="87">
        <f>IF(C24=0,0,1000000*C24/TrRoad_act!C62)</f>
        <v>1205.1143958881532</v>
      </c>
      <c r="D119" s="87">
        <f>IF(D24=0,0,1000000*D24/TrRoad_act!D62)</f>
        <v>1286.8781598759681</v>
      </c>
      <c r="E119" s="87">
        <f>IF(E24=0,0,1000000*E24/TrRoad_act!E62)</f>
        <v>1313.828984751236</v>
      </c>
      <c r="F119" s="87">
        <f>IF(F24=0,0,1000000*F24/TrRoad_act!F62)</f>
        <v>1285.2787786688807</v>
      </c>
      <c r="G119" s="87">
        <f>IF(G24=0,0,1000000*G24/TrRoad_act!G62)</f>
        <v>1317.5934080391155</v>
      </c>
      <c r="H119" s="87">
        <f>IF(H24=0,0,1000000*H24/TrRoad_act!H62)</f>
        <v>1274.8688274722228</v>
      </c>
      <c r="I119" s="87">
        <f>IF(I24=0,0,1000000*I24/TrRoad_act!I62)</f>
        <v>1296.7892860545478</v>
      </c>
      <c r="J119" s="87">
        <f>IF(J24=0,0,1000000*J24/TrRoad_act!J62)</f>
        <v>1232.379507614193</v>
      </c>
      <c r="K119" s="87">
        <f>IF(K24=0,0,1000000*K24/TrRoad_act!K62)</f>
        <v>1216.1679385084863</v>
      </c>
      <c r="L119" s="87">
        <f>IF(L24=0,0,1000000*L24/TrRoad_act!L62)</f>
        <v>1206.1718022791654</v>
      </c>
      <c r="M119" s="87">
        <f>IF(M24=0,0,1000000*M24/TrRoad_act!M62)</f>
        <v>1175.7295389978233</v>
      </c>
      <c r="N119" s="87">
        <f>IF(N24=0,0,1000000*N24/TrRoad_act!N62)</f>
        <v>1139.5900393996465</v>
      </c>
      <c r="O119" s="87">
        <f>IF(O24=0,0,1000000*O24/TrRoad_act!O62)</f>
        <v>1165.1117360906235</v>
      </c>
      <c r="P119" s="87">
        <f>IF(P24=0,0,1000000*P24/TrRoad_act!P62)</f>
        <v>1177.1323370602897</v>
      </c>
      <c r="Q119" s="87">
        <f>IF(Q24=0,0,1000000*Q24/TrRoad_act!Q62)</f>
        <v>1195.0135716325597</v>
      </c>
      <c r="R119" s="87">
        <f>IF(R24=0,0,1000000*R24/TrRoad_act!R62)</f>
        <v>1204.9089931178705</v>
      </c>
      <c r="S119" s="87">
        <f>IF(S24=0,0,1000000*S24/TrRoad_act!S62)</f>
        <v>1202.618534887825</v>
      </c>
      <c r="T119" s="87">
        <f>IF(T24=0,0,1000000*T24/TrRoad_act!T62)</f>
        <v>1200.0482944270839</v>
      </c>
      <c r="U119" s="87">
        <f>IF(U24=0,0,1000000*U24/TrRoad_act!U62)</f>
        <v>1181.905991458832</v>
      </c>
      <c r="V119" s="87">
        <f>IF(V24=0,0,1000000*V24/TrRoad_act!V62)</f>
        <v>961.19203480997817</v>
      </c>
      <c r="W119" s="87">
        <f>IF(W24=0,0,1000000*W24/TrRoad_act!W62)</f>
        <v>998.36023184308999</v>
      </c>
      <c r="X119" s="87">
        <f>IF(X24=0,0,1000000*X24/TrRoad_act!X62)</f>
        <v>1014.1819333851932</v>
      </c>
      <c r="Y119" s="87">
        <f>IF(Y24=0,0,1000000*Y24/TrRoad_act!Y62)</f>
        <v>997.20166907287751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890.83219074620592</v>
      </c>
      <c r="C120" s="87">
        <f>IF(C26=0,0,1000000*C26/TrRoad_act!C63)</f>
        <v>879.13462012011337</v>
      </c>
      <c r="D120" s="87">
        <f>IF(D26=0,0,1000000*D26/TrRoad_act!D63)</f>
        <v>881.65158134601018</v>
      </c>
      <c r="E120" s="87">
        <f>IF(E26=0,0,1000000*E26/TrRoad_act!E63)</f>
        <v>855.06495910802698</v>
      </c>
      <c r="F120" s="87">
        <f>IF(F26=0,0,1000000*F26/TrRoad_act!F63)</f>
        <v>860.15302089593217</v>
      </c>
      <c r="G120" s="87">
        <f>IF(G26=0,0,1000000*G26/TrRoad_act!G63)</f>
        <v>802.84496376516165</v>
      </c>
      <c r="H120" s="87">
        <f>IF(H26=0,0,1000000*H26/TrRoad_act!H63)</f>
        <v>775.30629347795377</v>
      </c>
      <c r="I120" s="87">
        <f>IF(I26=0,0,1000000*I26/TrRoad_act!I63)</f>
        <v>772.46965486263593</v>
      </c>
      <c r="J120" s="87">
        <f>IF(J26=0,0,1000000*J26/TrRoad_act!J63)</f>
        <v>806.69843825528665</v>
      </c>
      <c r="K120" s="87">
        <f>IF(K26=0,0,1000000*K26/TrRoad_act!K63)</f>
        <v>830.05857126369358</v>
      </c>
      <c r="L120" s="87">
        <f>IF(L26=0,0,1000000*L26/TrRoad_act!L63)</f>
        <v>796.5385671355773</v>
      </c>
      <c r="M120" s="87">
        <f>IF(M26=0,0,1000000*M26/TrRoad_act!M63)</f>
        <v>744.72198953825398</v>
      </c>
      <c r="N120" s="87">
        <f>IF(N26=0,0,1000000*N26/TrRoad_act!N63)</f>
        <v>742.18305222233084</v>
      </c>
      <c r="O120" s="87">
        <f>IF(O26=0,0,1000000*O26/TrRoad_act!O63)</f>
        <v>721.41713207707915</v>
      </c>
      <c r="P120" s="87">
        <f>IF(P26=0,0,1000000*P26/TrRoad_act!P63)</f>
        <v>679.93079195481846</v>
      </c>
      <c r="Q120" s="87">
        <f>IF(Q26=0,0,1000000*Q26/TrRoad_act!Q63)</f>
        <v>661.42002605777657</v>
      </c>
      <c r="R120" s="87">
        <f>IF(R26=0,0,1000000*R26/TrRoad_act!R63)</f>
        <v>686.99050391369178</v>
      </c>
      <c r="S120" s="87">
        <f>IF(S26=0,0,1000000*S26/TrRoad_act!S63)</f>
        <v>748.96301912159197</v>
      </c>
      <c r="T120" s="87">
        <f>IF(T26=0,0,1000000*T26/TrRoad_act!T63)</f>
        <v>662.84712313191937</v>
      </c>
      <c r="U120" s="87">
        <f>IF(U26=0,0,1000000*U26/TrRoad_act!U63)</f>
        <v>736.4596282480536</v>
      </c>
      <c r="V120" s="87">
        <f>IF(V26=0,0,1000000*V26/TrRoad_act!V63)</f>
        <v>522.00673000127404</v>
      </c>
      <c r="W120" s="87">
        <f>IF(W26=0,0,1000000*W26/TrRoad_act!W63)</f>
        <v>393.23589522875227</v>
      </c>
      <c r="X120" s="87">
        <f>IF(X26=0,0,1000000*X26/TrRoad_act!X63)</f>
        <v>616.37805981595045</v>
      </c>
      <c r="Y120" s="87">
        <f>IF(Y26=0,0,1000000*Y26/TrRoad_act!Y63)</f>
        <v>613.76320442207259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1128.611976850779</v>
      </c>
      <c r="I121" s="87">
        <f>IF(I27=0,0,1000000*I27/TrRoad_act!I64)</f>
        <v>1115.1794735430094</v>
      </c>
      <c r="J121" s="87">
        <f>IF(J27=0,0,1000000*J27/TrRoad_act!J64)</f>
        <v>1084.4882811755151</v>
      </c>
      <c r="K121" s="87">
        <f>IF(K27=0,0,1000000*K27/TrRoad_act!K64)</f>
        <v>1041.2020580159922</v>
      </c>
      <c r="L121" s="87">
        <f>IF(L27=0,0,1000000*L27/TrRoad_act!L64)</f>
        <v>1069.4844903084622</v>
      </c>
      <c r="M121" s="87">
        <f>IF(M27=0,0,1000000*M27/TrRoad_act!M64)</f>
        <v>1083.196785224623</v>
      </c>
      <c r="N121" s="87">
        <f>IF(N27=0,0,1000000*N27/TrRoad_act!N64)</f>
        <v>1052.7217967152808</v>
      </c>
      <c r="O121" s="87">
        <f>IF(O27=0,0,1000000*O27/TrRoad_act!O64)</f>
        <v>1001.7347515710254</v>
      </c>
      <c r="P121" s="87">
        <f>IF(P27=0,0,1000000*P27/TrRoad_act!P64)</f>
        <v>967.98513884794966</v>
      </c>
      <c r="Q121" s="87">
        <f>IF(Q27=0,0,1000000*Q27/TrRoad_act!Q64)</f>
        <v>949.95778393622902</v>
      </c>
      <c r="R121" s="87">
        <f>IF(R27=0,0,1000000*R27/TrRoad_act!R64)</f>
        <v>874.69981825395314</v>
      </c>
      <c r="S121" s="87">
        <f>IF(S27=0,0,1000000*S27/TrRoad_act!S64)</f>
        <v>855.34980658527513</v>
      </c>
      <c r="T121" s="87">
        <f>IF(T27=0,0,1000000*T27/TrRoad_act!T64)</f>
        <v>805.05499462517605</v>
      </c>
      <c r="U121" s="87">
        <f>IF(U27=0,0,1000000*U27/TrRoad_act!U64)</f>
        <v>754.89136494352022</v>
      </c>
      <c r="V121" s="87">
        <f>IF(V27=0,0,1000000*V27/TrRoad_act!V64)</f>
        <v>654.20938090329389</v>
      </c>
      <c r="W121" s="87">
        <f>IF(W27=0,0,1000000*W27/TrRoad_act!W64)</f>
        <v>666.9650770032963</v>
      </c>
      <c r="X121" s="87">
        <f>IF(X27=0,0,1000000*X27/TrRoad_act!X64)</f>
        <v>699.0438780937709</v>
      </c>
      <c r="Y121" s="87">
        <f>IF(Y27=0,0,1000000*Y27/TrRoad_act!Y64)</f>
        <v>698.21755798489528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450.01265788415844</v>
      </c>
      <c r="N122" s="87">
        <f>IF(N29=0,0,1000000*N29/TrRoad_act!N65)</f>
        <v>364.55150750288732</v>
      </c>
      <c r="O122" s="87">
        <f>IF(O29=0,0,1000000*O29/TrRoad_act!O65)</f>
        <v>304.69178606028578</v>
      </c>
      <c r="P122" s="87">
        <f>IF(P29=0,0,1000000*P29/TrRoad_act!P65)</f>
        <v>332.11805700077616</v>
      </c>
      <c r="Q122" s="87">
        <f>IF(Q29=0,0,1000000*Q29/TrRoad_act!Q65)</f>
        <v>401.15236985276556</v>
      </c>
      <c r="R122" s="87">
        <f>IF(R29=0,0,1000000*R29/TrRoad_act!R65)</f>
        <v>452.86388616229846</v>
      </c>
      <c r="S122" s="87">
        <f>IF(S29=0,0,1000000*S29/TrRoad_act!S65)</f>
        <v>473.91043504994605</v>
      </c>
      <c r="T122" s="87">
        <f>IF(T29=0,0,1000000*T29/TrRoad_act!T65)</f>
        <v>475.05196827067033</v>
      </c>
      <c r="U122" s="87">
        <f>IF(U29=0,0,1000000*U29/TrRoad_act!U65)</f>
        <v>460.86702786246371</v>
      </c>
      <c r="V122" s="87">
        <f>IF(V29=0,0,1000000*V29/TrRoad_act!V65)</f>
        <v>380.39055484914155</v>
      </c>
      <c r="W122" s="87">
        <f>IF(W29=0,0,1000000*W29/TrRoad_act!W65)</f>
        <v>377.53204240147579</v>
      </c>
      <c r="X122" s="87">
        <f>IF(X29=0,0,1000000*X29/TrRoad_act!X65)</f>
        <v>385.49876844623572</v>
      </c>
      <c r="Y122" s="87">
        <f>IF(Y29=0,0,1000000*Y29/TrRoad_act!Y65)</f>
        <v>398.32231967568691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208.16986480581792</v>
      </c>
      <c r="K123" s="87">
        <f>IF(K32=0,0,1000000*K32/TrRoad_act!K66)</f>
        <v>207.0538191825583</v>
      </c>
      <c r="L123" s="87">
        <f>IF(L32=0,0,1000000*L32/TrRoad_act!L66)</f>
        <v>206.76042197228102</v>
      </c>
      <c r="M123" s="87">
        <f>IF(M32=0,0,1000000*M32/TrRoad_act!M66)</f>
        <v>207.15436131373554</v>
      </c>
      <c r="N123" s="87">
        <f>IF(N32=0,0,1000000*N32/TrRoad_act!N66)</f>
        <v>206.60390856291136</v>
      </c>
      <c r="O123" s="87">
        <f>IF(O32=0,0,1000000*O32/TrRoad_act!O66)</f>
        <v>207.68953336323963</v>
      </c>
      <c r="P123" s="87">
        <f>IF(P32=0,0,1000000*P32/TrRoad_act!P66)</f>
        <v>204.09582541637812</v>
      </c>
      <c r="Q123" s="87">
        <f>IF(Q32=0,0,1000000*Q32/TrRoad_act!Q66)</f>
        <v>213.16760789713979</v>
      </c>
      <c r="R123" s="87">
        <f>IF(R32=0,0,1000000*R32/TrRoad_act!R66)</f>
        <v>211.58839194050299</v>
      </c>
      <c r="S123" s="87">
        <f>IF(S32=0,0,1000000*S32/TrRoad_act!S66)</f>
        <v>208.25924583645383</v>
      </c>
      <c r="T123" s="87">
        <f>IF(T32=0,0,1000000*T32/TrRoad_act!T66)</f>
        <v>211.05487519224158</v>
      </c>
      <c r="U123" s="87">
        <f>IF(U32=0,0,1000000*U32/TrRoad_act!U66)</f>
        <v>221.04351669429619</v>
      </c>
      <c r="V123" s="87">
        <f>IF(V32=0,0,1000000*V32/TrRoad_act!V66)</f>
        <v>199.6771563847027</v>
      </c>
      <c r="W123" s="87">
        <f>IF(W32=0,0,1000000*W32/TrRoad_act!W66)</f>
        <v>236.08524668043736</v>
      </c>
      <c r="X123" s="87">
        <f>IF(X32=0,0,1000000*X32/TrRoad_act!X66)</f>
        <v>239.77191700937263</v>
      </c>
      <c r="Y123" s="87">
        <f>IF(Y32=0,0,1000000*Y32/TrRoad_act!Y66)</f>
        <v>239.74972757886945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25987.65951382013</v>
      </c>
      <c r="C124" s="116">
        <f>IF(C33=0,0,1000000*C33/TrRoad_act!C67)</f>
        <v>26098.985720126802</v>
      </c>
      <c r="D124" s="116">
        <f>IF(D33=0,0,1000000*D33/TrRoad_act!D67)</f>
        <v>29083.616928650663</v>
      </c>
      <c r="E124" s="116">
        <f>IF(E33=0,0,1000000*E33/TrRoad_act!E67)</f>
        <v>29773.800176827892</v>
      </c>
      <c r="F124" s="116">
        <f>IF(F33=0,0,1000000*F33/TrRoad_act!F67)</f>
        <v>28887.403898114237</v>
      </c>
      <c r="G124" s="116">
        <f>IF(G33=0,0,1000000*G33/TrRoad_act!G67)</f>
        <v>29035.450539487854</v>
      </c>
      <c r="H124" s="116">
        <f>IF(H33=0,0,1000000*H33/TrRoad_act!H67)</f>
        <v>28520.957240368607</v>
      </c>
      <c r="I124" s="116">
        <f>IF(I33=0,0,1000000*I33/TrRoad_act!I67)</f>
        <v>30077.408089800232</v>
      </c>
      <c r="J124" s="116">
        <f>IF(J33=0,0,1000000*J33/TrRoad_act!J67)</f>
        <v>28998.675318295896</v>
      </c>
      <c r="K124" s="116">
        <f>IF(K33=0,0,1000000*K33/TrRoad_act!K67)</f>
        <v>25561.330574639724</v>
      </c>
      <c r="L124" s="116">
        <f>IF(L33=0,0,1000000*L33/TrRoad_act!L67)</f>
        <v>27355.104067301243</v>
      </c>
      <c r="M124" s="116">
        <f>IF(M33=0,0,1000000*M33/TrRoad_act!M67)</f>
        <v>27168.305277317824</v>
      </c>
      <c r="N124" s="116">
        <f>IF(N33=0,0,1000000*N33/TrRoad_act!N67)</f>
        <v>27285.912564713777</v>
      </c>
      <c r="O124" s="116">
        <f>IF(O33=0,0,1000000*O33/TrRoad_act!O67)</f>
        <v>26839.399129606023</v>
      </c>
      <c r="P124" s="116">
        <f>IF(P33=0,0,1000000*P33/TrRoad_act!P67)</f>
        <v>27399.190234860667</v>
      </c>
      <c r="Q124" s="116">
        <f>IF(Q33=0,0,1000000*Q33/TrRoad_act!Q67)</f>
        <v>27806.146276598902</v>
      </c>
      <c r="R124" s="116">
        <f>IF(R33=0,0,1000000*R33/TrRoad_act!R67)</f>
        <v>28596.979775094082</v>
      </c>
      <c r="S124" s="116">
        <f>IF(S33=0,0,1000000*S33/TrRoad_act!S67)</f>
        <v>29065.146390189944</v>
      </c>
      <c r="T124" s="116">
        <f>IF(T33=0,0,1000000*T33/TrRoad_act!T67)</f>
        <v>28990.094376733803</v>
      </c>
      <c r="U124" s="116">
        <f>IF(U33=0,0,1000000*U33/TrRoad_act!U67)</f>
        <v>28369.343369159069</v>
      </c>
      <c r="V124" s="116">
        <f>IF(V33=0,0,1000000*V33/TrRoad_act!V67)</f>
        <v>28439.298326601387</v>
      </c>
      <c r="W124" s="116">
        <f>IF(W33=0,0,1000000*W33/TrRoad_act!W67)</f>
        <v>28085.685990752681</v>
      </c>
      <c r="X124" s="116">
        <f>IF(X33=0,0,1000000*X33/TrRoad_act!X67)</f>
        <v>26834.282571289827</v>
      </c>
      <c r="Y124" s="116">
        <f>IF(Y33=0,0,1000000*Y33/TrRoad_act!Y67)</f>
        <v>25847.627739765892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9845.148897200339</v>
      </c>
      <c r="C125" s="101">
        <f>IF(C34=0,0,1000000*C34/TrRoad_act!C68)</f>
        <v>9939.4156512335048</v>
      </c>
      <c r="D125" s="101">
        <f>IF(D34=0,0,1000000*D34/TrRoad_act!D68)</f>
        <v>11217.106314783528</v>
      </c>
      <c r="E125" s="101">
        <f>IF(E34=0,0,1000000*E34/TrRoad_act!E68)</f>
        <v>11577.857175183131</v>
      </c>
      <c r="F125" s="101">
        <f>IF(F34=0,0,1000000*F34/TrRoad_act!F68)</f>
        <v>11293.670957168471</v>
      </c>
      <c r="G125" s="101">
        <f>IF(G34=0,0,1000000*G34/TrRoad_act!G68)</f>
        <v>11381.461179281006</v>
      </c>
      <c r="H125" s="101">
        <f>IF(H34=0,0,1000000*H34/TrRoad_act!H68)</f>
        <v>11202.678253896585</v>
      </c>
      <c r="I125" s="101">
        <f>IF(I34=0,0,1000000*I34/TrRoad_act!I68)</f>
        <v>11476.139816911507</v>
      </c>
      <c r="J125" s="101">
        <f>IF(J34=0,0,1000000*J34/TrRoad_act!J68)</f>
        <v>10980.939511958753</v>
      </c>
      <c r="K125" s="101">
        <f>IF(K34=0,0,1000000*K34/TrRoad_act!K68)</f>
        <v>9517.352479418083</v>
      </c>
      <c r="L125" s="101">
        <f>IF(L34=0,0,1000000*L34/TrRoad_act!L68)</f>
        <v>10268.061577316392</v>
      </c>
      <c r="M125" s="101">
        <f>IF(M34=0,0,1000000*M34/TrRoad_act!M68)</f>
        <v>9992.9757933515993</v>
      </c>
      <c r="N125" s="101">
        <f>IF(N34=0,0,1000000*N34/TrRoad_act!N68)</f>
        <v>10059.368182189168</v>
      </c>
      <c r="O125" s="101">
        <f>IF(O34=0,0,1000000*O34/TrRoad_act!O68)</f>
        <v>9472.6967252140548</v>
      </c>
      <c r="P125" s="101">
        <f>IF(P34=0,0,1000000*P34/TrRoad_act!P68)</f>
        <v>7521.4895851328802</v>
      </c>
      <c r="Q125" s="101">
        <f>IF(Q34=0,0,1000000*Q34/TrRoad_act!Q68)</f>
        <v>6082.6755685185808</v>
      </c>
      <c r="R125" s="101">
        <f>IF(R34=0,0,1000000*R34/TrRoad_act!R68)</f>
        <v>6032.1769918028504</v>
      </c>
      <c r="S125" s="101">
        <f>IF(S34=0,0,1000000*S34/TrRoad_act!S68)</f>
        <v>6104.5930966162487</v>
      </c>
      <c r="T125" s="101">
        <f>IF(T34=0,0,1000000*T34/TrRoad_act!T68)</f>
        <v>6075.2141675648236</v>
      </c>
      <c r="U125" s="101">
        <f>IF(U34=0,0,1000000*U34/TrRoad_act!U68)</f>
        <v>5943.8412658428961</v>
      </c>
      <c r="V125" s="101">
        <f>IF(V34=0,0,1000000*V34/TrRoad_act!V68)</f>
        <v>5834.3743251899286</v>
      </c>
      <c r="W125" s="101">
        <f>IF(W34=0,0,1000000*W34/TrRoad_act!W68)</f>
        <v>5797.2369256737884</v>
      </c>
      <c r="X125" s="101">
        <f>IF(X34=0,0,1000000*X34/TrRoad_act!X68)</f>
        <v>5574.9227089501592</v>
      </c>
      <c r="Y125" s="101">
        <f>IF(Y34=0,0,1000000*Y34/TrRoad_act!Y68)</f>
        <v>5311.4166487327757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26157.771641995187</v>
      </c>
      <c r="C126" s="101">
        <f>IF(C36=0,0,1000000*C36/TrRoad_act!C69)</f>
        <v>26302.812009844507</v>
      </c>
      <c r="D126" s="101">
        <f>IF(D36=0,0,1000000*D36/TrRoad_act!D69)</f>
        <v>29408.764142435895</v>
      </c>
      <c r="E126" s="101">
        <f>IF(E36=0,0,1000000*E36/TrRoad_act!E69)</f>
        <v>30150.748277570194</v>
      </c>
      <c r="F126" s="101">
        <f>IF(F36=0,0,1000000*F36/TrRoad_act!F69)</f>
        <v>29281.453110678092</v>
      </c>
      <c r="G126" s="101">
        <f>IF(G36=0,0,1000000*G36/TrRoad_act!G69)</f>
        <v>29514.118359506192</v>
      </c>
      <c r="H126" s="101">
        <f>IF(H36=0,0,1000000*H36/TrRoad_act!H69)</f>
        <v>29060.919859033147</v>
      </c>
      <c r="I126" s="101">
        <f>IF(I36=0,0,1000000*I36/TrRoad_act!I69)</f>
        <v>30732.43507648991</v>
      </c>
      <c r="J126" s="101">
        <f>IF(J36=0,0,1000000*J36/TrRoad_act!J69)</f>
        <v>29736.261186948868</v>
      </c>
      <c r="K126" s="101">
        <f>IF(K36=0,0,1000000*K36/TrRoad_act!K69)</f>
        <v>26343.940149257138</v>
      </c>
      <c r="L126" s="101">
        <f>IF(L36=0,0,1000000*L36/TrRoad_act!L69)</f>
        <v>28433.985267244614</v>
      </c>
      <c r="M126" s="101">
        <f>IF(M36=0,0,1000000*M36/TrRoad_act!M69)</f>
        <v>28410.398380075036</v>
      </c>
      <c r="N126" s="101">
        <f>IF(N36=0,0,1000000*N36/TrRoad_act!N69)</f>
        <v>28581.517356092852</v>
      </c>
      <c r="O126" s="101">
        <f>IF(O36=0,0,1000000*O36/TrRoad_act!O69)</f>
        <v>28285.76739930825</v>
      </c>
      <c r="P126" s="101">
        <f>IF(P36=0,0,1000000*P36/TrRoad_act!P69)</f>
        <v>28935.139623220275</v>
      </c>
      <c r="Q126" s="101">
        <f>IF(Q36=0,0,1000000*Q36/TrRoad_act!Q69)</f>
        <v>29145.976141745021</v>
      </c>
      <c r="R126" s="101">
        <f>IF(R36=0,0,1000000*R36/TrRoad_act!R69)</f>
        <v>29928.269962990795</v>
      </c>
      <c r="S126" s="101">
        <f>IF(S36=0,0,1000000*S36/TrRoad_act!S69)</f>
        <v>30344.47733913195</v>
      </c>
      <c r="T126" s="101">
        <f>IF(T36=0,0,1000000*T36/TrRoad_act!T69)</f>
        <v>30114.176448259987</v>
      </c>
      <c r="U126" s="101">
        <f>IF(U36=0,0,1000000*U36/TrRoad_act!U69)</f>
        <v>28972.300124675839</v>
      </c>
      <c r="V126" s="101">
        <f>IF(V36=0,0,1000000*V36/TrRoad_act!V69)</f>
        <v>28898.528795028655</v>
      </c>
      <c r="W126" s="101">
        <f>IF(W36=0,0,1000000*W36/TrRoad_act!W69)</f>
        <v>28410.947613249187</v>
      </c>
      <c r="X126" s="101">
        <f>IF(X36=0,0,1000000*X36/TrRoad_act!X69)</f>
        <v>27144.729628784466</v>
      </c>
      <c r="Y126" s="101">
        <f>IF(Y36=0,0,1000000*Y36/TrRoad_act!Y69)</f>
        <v>26138.338947333941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9166.2121299069731</v>
      </c>
      <c r="D127" s="101">
        <f>IF(D38=0,0,1000000*D38/TrRoad_act!D70)</f>
        <v>10278.915717441421</v>
      </c>
      <c r="E127" s="101">
        <f>IF(E38=0,0,1000000*E38/TrRoad_act!E70)</f>
        <v>10741.344125422933</v>
      </c>
      <c r="F127" s="101">
        <f>IF(F38=0,0,1000000*F38/TrRoad_act!F70)</f>
        <v>10622.161727523609</v>
      </c>
      <c r="G127" s="101">
        <f>IF(G38=0,0,1000000*G38/TrRoad_act!G70)</f>
        <v>10878.240370289048</v>
      </c>
      <c r="H127" s="101">
        <f>IF(H38=0,0,1000000*H38/TrRoad_act!H70)</f>
        <v>10883.404751472795</v>
      </c>
      <c r="I127" s="101">
        <f>IF(I38=0,0,1000000*I38/TrRoad_act!I70)</f>
        <v>11713.265497878836</v>
      </c>
      <c r="J127" s="101">
        <f>IF(J38=0,0,1000000*J38/TrRoad_act!J70)</f>
        <v>11464.237232592257</v>
      </c>
      <c r="K127" s="101">
        <f>IF(K38=0,0,1000000*K38/TrRoad_act!K70)</f>
        <v>10245.970200597918</v>
      </c>
      <c r="L127" s="101">
        <f>IF(L38=0,0,1000000*L38/TrRoad_act!L70)</f>
        <v>11182.418814744604</v>
      </c>
      <c r="M127" s="101">
        <f>IF(M38=0,0,1000000*M38/TrRoad_act!M70)</f>
        <v>11295.984594300975</v>
      </c>
      <c r="N127" s="101">
        <f>IF(N38=0,0,1000000*N38/TrRoad_act!N70)</f>
        <v>11489.407713500526</v>
      </c>
      <c r="O127" s="101">
        <f>IF(O38=0,0,1000000*O38/TrRoad_act!O70)</f>
        <v>11463.377094948943</v>
      </c>
      <c r="P127" s="101">
        <f>IF(P38=0,0,1000000*P38/TrRoad_act!P70)</f>
        <v>11802.85531459595</v>
      </c>
      <c r="Q127" s="101">
        <f>IF(Q38=0,0,1000000*Q38/TrRoad_act!Q70)</f>
        <v>12083.782042623325</v>
      </c>
      <c r="R127" s="101">
        <f>IF(R38=0,0,1000000*R38/TrRoad_act!R70)</f>
        <v>12131.48670593074</v>
      </c>
      <c r="S127" s="101">
        <f>IF(S38=0,0,1000000*S38/TrRoad_act!S70)</f>
        <v>12174.165497275451</v>
      </c>
      <c r="T127" s="101">
        <f>IF(T38=0,0,1000000*T38/TrRoad_act!T70)</f>
        <v>12005.551417436656</v>
      </c>
      <c r="U127" s="101">
        <f>IF(U38=0,0,1000000*U38/TrRoad_act!U70)</f>
        <v>11753.938343590613</v>
      </c>
      <c r="V127" s="101">
        <f>IF(V38=0,0,1000000*V38/TrRoad_act!V70)</f>
        <v>11708.349473100034</v>
      </c>
      <c r="W127" s="101">
        <f>IF(W38=0,0,1000000*W38/TrRoad_act!W70)</f>
        <v>11447.43274611686</v>
      </c>
      <c r="X127" s="101">
        <f>IF(X38=0,0,1000000*X38/TrRoad_act!X70)</f>
        <v>10796.25425931642</v>
      </c>
      <c r="Y127" s="101">
        <f>IF(Y38=0,0,1000000*Y38/TrRoad_act!Y70)</f>
        <v>10360.451004437269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26456.776241814929</v>
      </c>
      <c r="G128" s="101">
        <f>IF(G39=0,0,1000000*G39/TrRoad_act!G71)</f>
        <v>28401.349295588323</v>
      </c>
      <c r="H128" s="101">
        <f>IF(H39=0,0,1000000*H39/TrRoad_act!H71)</f>
        <v>19668.197052851865</v>
      </c>
      <c r="I128" s="101">
        <f>IF(I39=0,0,1000000*I39/TrRoad_act!I71)</f>
        <v>26004.302936305194</v>
      </c>
      <c r="J128" s="101">
        <f>IF(J39=0,0,1000000*J39/TrRoad_act!J71)</f>
        <v>21931.888589591348</v>
      </c>
      <c r="K128" s="101">
        <f>IF(K39=0,0,1000000*K39/TrRoad_act!K71)</f>
        <v>22861.752721447814</v>
      </c>
      <c r="L128" s="101">
        <f>IF(L39=0,0,1000000*L39/TrRoad_act!L71)</f>
        <v>22155.491424010259</v>
      </c>
      <c r="M128" s="101">
        <f>IF(M39=0,0,1000000*M39/TrRoad_act!M71)</f>
        <v>19832.749306280002</v>
      </c>
      <c r="N128" s="101">
        <f>IF(N39=0,0,1000000*N39/TrRoad_act!N71)</f>
        <v>19971.106188344049</v>
      </c>
      <c r="O128" s="101">
        <f>IF(O39=0,0,1000000*O39/TrRoad_act!O71)</f>
        <v>18360.832292997125</v>
      </c>
      <c r="P128" s="101">
        <f>IF(P39=0,0,1000000*P39/TrRoad_act!P71)</f>
        <v>18211.713035898858</v>
      </c>
      <c r="Q128" s="101">
        <f>IF(Q39=0,0,1000000*Q39/TrRoad_act!Q71)</f>
        <v>19178.095131627721</v>
      </c>
      <c r="R128" s="101">
        <f>IF(R39=0,0,1000000*R39/TrRoad_act!R71)</f>
        <v>18842.630498039111</v>
      </c>
      <c r="S128" s="101">
        <f>IF(S39=0,0,1000000*S39/TrRoad_act!S71)</f>
        <v>18533.599095368067</v>
      </c>
      <c r="T128" s="101">
        <f>IF(T39=0,0,1000000*T39/TrRoad_act!T71)</f>
        <v>20648.700736298819</v>
      </c>
      <c r="U128" s="101">
        <f>IF(U39=0,0,1000000*U39/TrRoad_act!U71)</f>
        <v>23435.514668827716</v>
      </c>
      <c r="V128" s="101">
        <f>IF(V39=0,0,1000000*V39/TrRoad_act!V71)</f>
        <v>26482.071765817938</v>
      </c>
      <c r="W128" s="101">
        <f>IF(W39=0,0,1000000*W39/TrRoad_act!W71)</f>
        <v>28311.692509399869</v>
      </c>
      <c r="X128" s="101">
        <f>IF(X39=0,0,1000000*X39/TrRoad_act!X71)</f>
        <v>27710.079821023392</v>
      </c>
      <c r="Y128" s="101">
        <f>IF(Y39=0,0,1000000*Y39/TrRoad_act!Y71)</f>
        <v>28388.562055024562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13441.323438909871</v>
      </c>
      <c r="C129" s="101">
        <f>IF(C41=0,0,1000000*C41/TrRoad_act!C72)</f>
        <v>13013.208731904262</v>
      </c>
      <c r="D129" s="101">
        <f>IF(D41=0,0,1000000*D41/TrRoad_act!D72)</f>
        <v>12870.830580125716</v>
      </c>
      <c r="E129" s="101">
        <f>IF(E41=0,0,1000000*E41/TrRoad_act!E72)</f>
        <v>12664.692834331423</v>
      </c>
      <c r="F129" s="101">
        <f>IF(F41=0,0,1000000*F41/TrRoad_act!F72)</f>
        <v>12649.194895753721</v>
      </c>
      <c r="G129" s="101">
        <f>IF(G41=0,0,1000000*G41/TrRoad_act!G72)</f>
        <v>12487.966759390625</v>
      </c>
      <c r="H129" s="101">
        <f>IF(H41=0,0,1000000*H41/TrRoad_act!H72)</f>
        <v>12469.41602748094</v>
      </c>
      <c r="I129" s="101">
        <f>IF(I41=0,0,1000000*I41/TrRoad_act!I72)</f>
        <v>12443.90817122057</v>
      </c>
      <c r="J129" s="101">
        <f>IF(J41=0,0,1000000*J41/TrRoad_act!J72)</f>
        <v>12420.846175118379</v>
      </c>
      <c r="K129" s="101">
        <f>IF(K41=0,0,1000000*K41/TrRoad_act!K72)</f>
        <v>12397.275288270481</v>
      </c>
      <c r="L129" s="101">
        <f>IF(L41=0,0,1000000*L41/TrRoad_act!L72)</f>
        <v>12342.616186210271</v>
      </c>
      <c r="M129" s="101">
        <f>IF(M41=0,0,1000000*M41/TrRoad_act!M72)</f>
        <v>12293.101547093454</v>
      </c>
      <c r="N129" s="101">
        <f>IF(N41=0,0,1000000*N41/TrRoad_act!N72)</f>
        <v>12192.243670468777</v>
      </c>
      <c r="O129" s="101">
        <f>IF(O41=0,0,1000000*O41/TrRoad_act!O72)</f>
        <v>12142.714826886235</v>
      </c>
      <c r="P129" s="101">
        <f>IF(P41=0,0,1000000*P41/TrRoad_act!P72)</f>
        <v>12120.838194711714</v>
      </c>
      <c r="Q129" s="101">
        <f>IF(Q41=0,0,1000000*Q41/TrRoad_act!Q72)</f>
        <v>12095.605079520898</v>
      </c>
      <c r="R129" s="101">
        <f>IF(R41=0,0,1000000*R41/TrRoad_act!R72)</f>
        <v>12050.775380927093</v>
      </c>
      <c r="S129" s="101">
        <f>IF(S41=0,0,1000000*S41/TrRoad_act!S72)</f>
        <v>11997.861432561405</v>
      </c>
      <c r="T129" s="101">
        <f>IF(T41=0,0,1000000*T41/TrRoad_act!T72)</f>
        <v>11958.360370555598</v>
      </c>
      <c r="U129" s="101">
        <f>IF(U41=0,0,1000000*U41/TrRoad_act!U72)</f>
        <v>11855.551059845189</v>
      </c>
      <c r="V129" s="101">
        <f>IF(V41=0,0,1000000*V41/TrRoad_act!V72)</f>
        <v>11728.51920384117</v>
      </c>
      <c r="W129" s="101">
        <f>IF(W41=0,0,1000000*W41/TrRoad_act!W72)</f>
        <v>11724.12146848593</v>
      </c>
      <c r="X129" s="101">
        <f>IF(X41=0,0,1000000*X41/TrRoad_act!X72)</f>
        <v>11506.123880959076</v>
      </c>
      <c r="Y129" s="101">
        <f>IF(Y41=0,0,1000000*Y41/TrRoad_act!Y72)</f>
        <v>11168.099785805214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1697.5911577113172</v>
      </c>
      <c r="C131" s="152">
        <f>IF(C43=0,0,1000000*C43/TrRoad_act!C74)</f>
        <v>1687.7174664898705</v>
      </c>
      <c r="D131" s="152">
        <f>IF(D43=0,0,1000000*D43/TrRoad_act!D74)</f>
        <v>1796.1823344262275</v>
      </c>
      <c r="E131" s="152">
        <f>IF(E43=0,0,1000000*E43/TrRoad_act!E74)</f>
        <v>1753.8379553576658</v>
      </c>
      <c r="F131" s="152">
        <f>IF(F43=0,0,1000000*F43/TrRoad_act!F74)</f>
        <v>1696.640473389765</v>
      </c>
      <c r="G131" s="152">
        <f>IF(G43=0,0,1000000*G43/TrRoad_act!G74)</f>
        <v>1682.2780072859264</v>
      </c>
      <c r="H131" s="152">
        <f>IF(H43=0,0,1000000*H43/TrRoad_act!H74)</f>
        <v>1665.3310856908161</v>
      </c>
      <c r="I131" s="152">
        <f>IF(I43=0,0,1000000*I43/TrRoad_act!I74)</f>
        <v>1644.5296422955973</v>
      </c>
      <c r="J131" s="152">
        <f>IF(J43=0,0,1000000*J43/TrRoad_act!J74)</f>
        <v>1566.6868216725795</v>
      </c>
      <c r="K131" s="152">
        <f>IF(K43=0,0,1000000*K43/TrRoad_act!K74)</f>
        <v>1507.5052939301265</v>
      </c>
      <c r="L131" s="152">
        <f>IF(L43=0,0,1000000*L43/TrRoad_act!L74)</f>
        <v>1467.9998853217401</v>
      </c>
      <c r="M131" s="152">
        <f>IF(M43=0,0,1000000*M43/TrRoad_act!M74)</f>
        <v>1437.4364047222105</v>
      </c>
      <c r="N131" s="152">
        <f>IF(N43=0,0,1000000*N43/TrRoad_act!N74)</f>
        <v>1382.5487264898888</v>
      </c>
      <c r="O131" s="152">
        <f>IF(O43=0,0,1000000*O43/TrRoad_act!O74)</f>
        <v>1363.9246968526777</v>
      </c>
      <c r="P131" s="152">
        <f>IF(P43=0,0,1000000*P43/TrRoad_act!P74)</f>
        <v>1384.7969024078136</v>
      </c>
      <c r="Q131" s="152">
        <f>IF(Q43=0,0,1000000*Q43/TrRoad_act!Q74)</f>
        <v>1387.8273222949306</v>
      </c>
      <c r="R131" s="152">
        <f>IF(R43=0,0,1000000*R43/TrRoad_act!R74)</f>
        <v>1367.6017719725021</v>
      </c>
      <c r="S131" s="152">
        <f>IF(S43=0,0,1000000*S43/TrRoad_act!S74)</f>
        <v>1323.3379010682127</v>
      </c>
      <c r="T131" s="152">
        <f>IF(T43=0,0,1000000*T43/TrRoad_act!T74)</f>
        <v>1285.7760004749871</v>
      </c>
      <c r="U131" s="152">
        <f>IF(U43=0,0,1000000*U43/TrRoad_act!U74)</f>
        <v>1286.8743986230363</v>
      </c>
      <c r="V131" s="152">
        <f>IF(V43=0,0,1000000*V43/TrRoad_act!V74)</f>
        <v>1268.8843997686895</v>
      </c>
      <c r="W131" s="152">
        <f>IF(W43=0,0,1000000*W43/TrRoad_act!W74)</f>
        <v>1281.1370226723088</v>
      </c>
      <c r="X131" s="152">
        <f>IF(X43=0,0,1000000*X43/TrRoad_act!X74)</f>
        <v>1241.9646562190273</v>
      </c>
      <c r="Y131" s="152">
        <f>IF(Y43=0,0,1000000*Y43/TrRoad_act!Y74)</f>
        <v>1232.1000926740667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1893.0468732080064</v>
      </c>
      <c r="C132" s="87">
        <f>IF(C44=0,0,1000000*C44/TrRoad_act!C75)</f>
        <v>1888.4719008891391</v>
      </c>
      <c r="D132" s="87">
        <f>IF(D44=0,0,1000000*D44/TrRoad_act!D75)</f>
        <v>1944.1324008679653</v>
      </c>
      <c r="E132" s="87">
        <f>IF(E44=0,0,1000000*E44/TrRoad_act!E75)</f>
        <v>1893.944271616316</v>
      </c>
      <c r="F132" s="87">
        <f>IF(F44=0,0,1000000*F44/TrRoad_act!F75)</f>
        <v>1843.2730725647721</v>
      </c>
      <c r="G132" s="87">
        <f>IF(G44=0,0,1000000*G44/TrRoad_act!G75)</f>
        <v>1837.1220383962586</v>
      </c>
      <c r="H132" s="87">
        <f>IF(H44=0,0,1000000*H44/TrRoad_act!H75)</f>
        <v>1845.1300452674118</v>
      </c>
      <c r="I132" s="87">
        <f>IF(I44=0,0,1000000*I44/TrRoad_act!I75)</f>
        <v>1822.2697581992147</v>
      </c>
      <c r="J132" s="87">
        <f>IF(J44=0,0,1000000*J44/TrRoad_act!J75)</f>
        <v>1703.9458162200506</v>
      </c>
      <c r="K132" s="87">
        <f>IF(K44=0,0,1000000*K44/TrRoad_act!K75)</f>
        <v>1600.6300319436004</v>
      </c>
      <c r="L132" s="87">
        <f>IF(L44=0,0,1000000*L44/TrRoad_act!L75)</f>
        <v>1528.1152715218798</v>
      </c>
      <c r="M132" s="87">
        <f>IF(M44=0,0,1000000*M44/TrRoad_act!M75)</f>
        <v>1519.5606525605808</v>
      </c>
      <c r="N132" s="87">
        <f>IF(N44=0,0,1000000*N44/TrRoad_act!N75)</f>
        <v>1465.2893572151713</v>
      </c>
      <c r="O132" s="87">
        <f>IF(O44=0,0,1000000*O44/TrRoad_act!O75)</f>
        <v>1359.6791901259198</v>
      </c>
      <c r="P132" s="87">
        <f>IF(P44=0,0,1000000*P44/TrRoad_act!P75)</f>
        <v>1337.5224573418636</v>
      </c>
      <c r="Q132" s="87">
        <f>IF(Q44=0,0,1000000*Q44/TrRoad_act!Q75)</f>
        <v>1329.474932138367</v>
      </c>
      <c r="R132" s="87">
        <f>IF(R44=0,0,1000000*R44/TrRoad_act!R75)</f>
        <v>1272.0049846231034</v>
      </c>
      <c r="S132" s="87">
        <f>IF(S44=0,0,1000000*S44/TrRoad_act!S75)</f>
        <v>1203.0692441318802</v>
      </c>
      <c r="T132" s="87">
        <f>IF(T44=0,0,1000000*T44/TrRoad_act!T75)</f>
        <v>1136.4107776117883</v>
      </c>
      <c r="U132" s="87">
        <f>IF(U44=0,0,1000000*U44/TrRoad_act!U75)</f>
        <v>1109.2976670982234</v>
      </c>
      <c r="V132" s="87">
        <f>IF(V44=0,0,1000000*V44/TrRoad_act!V75)</f>
        <v>1072.7655581893334</v>
      </c>
      <c r="W132" s="87">
        <f>IF(W44=0,0,1000000*W44/TrRoad_act!W75)</f>
        <v>1042.1056060005367</v>
      </c>
      <c r="X132" s="87">
        <f>IF(X44=0,0,1000000*X44/TrRoad_act!X75)</f>
        <v>989.33046987815692</v>
      </c>
      <c r="Y132" s="87">
        <f>IF(Y44=0,0,1000000*Y44/TrRoad_act!Y75)</f>
        <v>962.63186093240051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1667.084268120833</v>
      </c>
      <c r="C133" s="87">
        <f>IF(C46=0,0,1000000*C46/TrRoad_act!C76)</f>
        <v>1660.2486811669817</v>
      </c>
      <c r="D133" s="87">
        <f>IF(D46=0,0,1000000*D46/TrRoad_act!D76)</f>
        <v>1782.81302441512</v>
      </c>
      <c r="E133" s="87">
        <f>IF(E46=0,0,1000000*E46/TrRoad_act!E76)</f>
        <v>1742.9365212404603</v>
      </c>
      <c r="F133" s="87">
        <f>IF(F46=0,0,1000000*F46/TrRoad_act!F76)</f>
        <v>1686.6811208798329</v>
      </c>
      <c r="G133" s="87">
        <f>IF(G46=0,0,1000000*G46/TrRoad_act!G76)</f>
        <v>1672.4605569038442</v>
      </c>
      <c r="H133" s="87">
        <f>IF(H46=0,0,1000000*H46/TrRoad_act!H76)</f>
        <v>1655.0293608576749</v>
      </c>
      <c r="I133" s="87">
        <f>IF(I46=0,0,1000000*I46/TrRoad_act!I76)</f>
        <v>1635.0151936281868</v>
      </c>
      <c r="J133" s="87">
        <f>IF(J46=0,0,1000000*J46/TrRoad_act!J76)</f>
        <v>1559.6343235235872</v>
      </c>
      <c r="K133" s="87">
        <f>IF(K46=0,0,1000000*K46/TrRoad_act!K76)</f>
        <v>1502.6774932183596</v>
      </c>
      <c r="L133" s="87">
        <f>IF(L46=0,0,1000000*L46/TrRoad_act!L76)</f>
        <v>1464.9916897193289</v>
      </c>
      <c r="M133" s="87">
        <f>IF(M46=0,0,1000000*M46/TrRoad_act!M76)</f>
        <v>1433.5679282345391</v>
      </c>
      <c r="N133" s="87">
        <f>IF(N46=0,0,1000000*N46/TrRoad_act!N76)</f>
        <v>1379.6243972851848</v>
      </c>
      <c r="O133" s="87">
        <f>IF(O46=0,0,1000000*O46/TrRoad_act!O76)</f>
        <v>1366.2741203069422</v>
      </c>
      <c r="P133" s="87">
        <f>IF(P46=0,0,1000000*P46/TrRoad_act!P76)</f>
        <v>1390.0365711006493</v>
      </c>
      <c r="Q133" s="87">
        <f>IF(Q46=0,0,1000000*Q46/TrRoad_act!Q76)</f>
        <v>1394.4413773847004</v>
      </c>
      <c r="R133" s="87">
        <f>IF(R46=0,0,1000000*R46/TrRoad_act!R76)</f>
        <v>1377.7245493876305</v>
      </c>
      <c r="S133" s="87">
        <f>IF(S46=0,0,1000000*S46/TrRoad_act!S76)</f>
        <v>1335.0817706521727</v>
      </c>
      <c r="T133" s="87">
        <f>IF(T46=0,0,1000000*T46/TrRoad_act!T76)</f>
        <v>1300.0836988557442</v>
      </c>
      <c r="U133" s="87">
        <f>IF(U46=0,0,1000000*U46/TrRoad_act!U76)</f>
        <v>1303.4858857869949</v>
      </c>
      <c r="V133" s="87">
        <f>IF(V46=0,0,1000000*V46/TrRoad_act!V76)</f>
        <v>1287.5321390083179</v>
      </c>
      <c r="W133" s="87">
        <f>IF(W46=0,0,1000000*W46/TrRoad_act!W76)</f>
        <v>1306.02761682032</v>
      </c>
      <c r="X133" s="87">
        <f>IF(X46=0,0,1000000*X46/TrRoad_act!X76)</f>
        <v>1270.9679757222307</v>
      </c>
      <c r="Y133" s="87">
        <f>IF(Y46=0,0,1000000*Y46/TrRoad_act!Y76)</f>
        <v>1267.9423130575356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3636.3198163082388</v>
      </c>
      <c r="F134" s="87">
        <f>IF(F48=0,0,1000000*F48/TrRoad_act!F77)</f>
        <v>3557.2295606531061</v>
      </c>
      <c r="G134" s="87">
        <f>IF(G48=0,0,1000000*G48/TrRoad_act!G77)</f>
        <v>3628.5018474509761</v>
      </c>
      <c r="H134" s="87">
        <f>IF(H48=0,0,1000000*H48/TrRoad_act!H77)</f>
        <v>3699.0514218326753</v>
      </c>
      <c r="I134" s="87">
        <f>IF(I48=0,0,1000000*I48/TrRoad_act!I77)</f>
        <v>3718.7399855244885</v>
      </c>
      <c r="J134" s="87">
        <f>IF(J48=0,0,1000000*J48/TrRoad_act!J77)</f>
        <v>3551.402376120498</v>
      </c>
      <c r="K134" s="87">
        <f>IF(K48=0,0,1000000*K48/TrRoad_act!K77)</f>
        <v>3412.5385913819609</v>
      </c>
      <c r="L134" s="87">
        <f>IF(L48=0,0,1000000*L48/TrRoad_act!L77)</f>
        <v>3317.1462060426693</v>
      </c>
      <c r="M134" s="87">
        <f>IF(M48=0,0,1000000*M48/TrRoad_act!M77)</f>
        <v>3253.4667529892613</v>
      </c>
      <c r="N134" s="87">
        <f>IF(N48=0,0,1000000*N48/TrRoad_act!N77)</f>
        <v>3107.4641356448819</v>
      </c>
      <c r="O134" s="87">
        <f>IF(O48=0,0,1000000*O48/TrRoad_act!O77)</f>
        <v>2984.9196702524232</v>
      </c>
      <c r="P134" s="87">
        <f>IF(P48=0,0,1000000*P48/TrRoad_act!P77)</f>
        <v>2884.3439512176333</v>
      </c>
      <c r="Q134" s="87">
        <f>IF(Q48=0,0,1000000*Q48/TrRoad_act!Q77)</f>
        <v>2886.2710202310518</v>
      </c>
      <c r="R134" s="87">
        <f>IF(R48=0,0,1000000*R48/TrRoad_act!R77)</f>
        <v>3036.0905509399331</v>
      </c>
      <c r="S134" s="87">
        <f>IF(S48=0,0,1000000*S48/TrRoad_act!S77)</f>
        <v>2901.0055554087207</v>
      </c>
      <c r="T134" s="87">
        <f>IF(T48=0,0,1000000*T48/TrRoad_act!T77)</f>
        <v>2790.4337239947808</v>
      </c>
      <c r="U134" s="87">
        <f>IF(U48=0,0,1000000*U48/TrRoad_act!U77)</f>
        <v>2740.8422158327735</v>
      </c>
      <c r="V134" s="87">
        <f>IF(V48=0,0,1000000*V48/TrRoad_act!V77)</f>
        <v>2583.9960432171802</v>
      </c>
      <c r="W134" s="87">
        <f>IF(W48=0,0,1000000*W48/TrRoad_act!W77)</f>
        <v>2416.2027666593058</v>
      </c>
      <c r="X134" s="87">
        <f>IF(X48=0,0,1000000*X48/TrRoad_act!X77)</f>
        <v>2280.1190411979273</v>
      </c>
      <c r="Y134" s="87">
        <f>IF(Y48=0,0,1000000*Y48/TrRoad_act!Y77)</f>
        <v>2198.5677808018495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1454.2257021683877</v>
      </c>
      <c r="I135" s="87">
        <f>IF(I49=0,0,1000000*I49/TrRoad_act!I78)</f>
        <v>1484.5202391913576</v>
      </c>
      <c r="J135" s="87">
        <f>IF(J49=0,0,1000000*J49/TrRoad_act!J78)</f>
        <v>1404.1853107311483</v>
      </c>
      <c r="K135" s="87">
        <f>IF(K49=0,0,1000000*K49/TrRoad_act!K78)</f>
        <v>1343.0671304681402</v>
      </c>
      <c r="L135" s="87">
        <f>IF(L49=0,0,1000000*L49/TrRoad_act!L78)</f>
        <v>1276.2092125315728</v>
      </c>
      <c r="M135" s="87">
        <f>IF(M49=0,0,1000000*M49/TrRoad_act!M78)</f>
        <v>1246.2997743322728</v>
      </c>
      <c r="N135" s="87">
        <f>IF(N49=0,0,1000000*N49/TrRoad_act!N78)</f>
        <v>1210.9849062311425</v>
      </c>
      <c r="O135" s="87">
        <f>IF(O49=0,0,1000000*O49/TrRoad_act!O78)</f>
        <v>1212.69051206873</v>
      </c>
      <c r="P135" s="87">
        <f>IF(P49=0,0,1000000*P49/TrRoad_act!P78)</f>
        <v>1194.5965473147328</v>
      </c>
      <c r="Q135" s="87">
        <f>IF(Q49=0,0,1000000*Q49/TrRoad_act!Q78)</f>
        <v>1174.0594202482407</v>
      </c>
      <c r="R135" s="87">
        <f>IF(R49=0,0,1000000*R49/TrRoad_act!R78)</f>
        <v>1059.1687779929107</v>
      </c>
      <c r="S135" s="87">
        <f>IF(S49=0,0,1000000*S49/TrRoad_act!S78)</f>
        <v>1008.0865189750677</v>
      </c>
      <c r="T135" s="87">
        <f>IF(T49=0,0,1000000*T49/TrRoad_act!T78)</f>
        <v>967.276627529591</v>
      </c>
      <c r="U135" s="87">
        <f>IF(U49=0,0,1000000*U49/TrRoad_act!U78)</f>
        <v>953.13677990797828</v>
      </c>
      <c r="V135" s="87">
        <f>IF(V49=0,0,1000000*V49/TrRoad_act!V78)</f>
        <v>913.10859293555484</v>
      </c>
      <c r="W135" s="87">
        <f>IF(W49=0,0,1000000*W49/TrRoad_act!W78)</f>
        <v>891.5101621293511</v>
      </c>
      <c r="X135" s="87">
        <f>IF(X49=0,0,1000000*X49/TrRoad_act!X78)</f>
        <v>846.88450321748735</v>
      </c>
      <c r="Y135" s="87">
        <f>IF(Y49=0,0,1000000*Y49/TrRoad_act!Y78)</f>
        <v>828.95022821345037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263.42833155465536</v>
      </c>
      <c r="C136" s="87">
        <f>IF(C51=0,0,1000000*C51/TrRoad_act!C79)</f>
        <v>253.39370569971811</v>
      </c>
      <c r="D136" s="87">
        <f>IF(D51=0,0,1000000*D51/TrRoad_act!D79)</f>
        <v>252.93731371124875</v>
      </c>
      <c r="E136" s="87">
        <f>IF(E51=0,0,1000000*E51/TrRoad_act!E79)</f>
        <v>252.7694095263609</v>
      </c>
      <c r="F136" s="87">
        <f>IF(F51=0,0,1000000*F51/TrRoad_act!F79)</f>
        <v>252.00834771337151</v>
      </c>
      <c r="G136" s="87">
        <f>IF(G51=0,0,1000000*G51/TrRoad_act!G79)</f>
        <v>251.45996659330521</v>
      </c>
      <c r="H136" s="87">
        <f>IF(H51=0,0,1000000*H51/TrRoad_act!H79)</f>
        <v>252.11796702290994</v>
      </c>
      <c r="I136" s="87">
        <f>IF(I51=0,0,1000000*I51/TrRoad_act!I79)</f>
        <v>239.2211978173371</v>
      </c>
      <c r="J136" s="87">
        <f>IF(J51=0,0,1000000*J51/TrRoad_act!J79)</f>
        <v>233.48952236972568</v>
      </c>
      <c r="K136" s="87">
        <f>IF(K51=0,0,1000000*K51/TrRoad_act!K79)</f>
        <v>222.81395754338726</v>
      </c>
      <c r="L136" s="87">
        <f>IF(L51=0,0,1000000*L51/TrRoad_act!L79)</f>
        <v>216.7166248666756</v>
      </c>
      <c r="M136" s="87">
        <f>IF(M51=0,0,1000000*M51/TrRoad_act!M79)</f>
        <v>213.49055961307496</v>
      </c>
      <c r="N136" s="87">
        <f>IF(N51=0,0,1000000*N51/TrRoad_act!N79)</f>
        <v>211.47190981365245</v>
      </c>
      <c r="O136" s="87">
        <f>IF(O51=0,0,1000000*O51/TrRoad_act!O79)</f>
        <v>212.77818574087601</v>
      </c>
      <c r="P136" s="87">
        <f>IF(P51=0,0,1000000*P51/TrRoad_act!P79)</f>
        <v>214.6588137694103</v>
      </c>
      <c r="Q136" s="87">
        <f>IF(Q51=0,0,1000000*Q51/TrRoad_act!Q79)</f>
        <v>217.35576528310361</v>
      </c>
      <c r="R136" s="87">
        <f>IF(R51=0,0,1000000*R51/TrRoad_act!R79)</f>
        <v>221.39815198183712</v>
      </c>
      <c r="S136" s="87">
        <f>IF(S51=0,0,1000000*S51/TrRoad_act!S79)</f>
        <v>223.3676049729817</v>
      </c>
      <c r="T136" s="87">
        <f>IF(T51=0,0,1000000*T51/TrRoad_act!T79)</f>
        <v>227.71906971415055</v>
      </c>
      <c r="U136" s="87">
        <f>IF(U51=0,0,1000000*U51/TrRoad_act!U79)</f>
        <v>236.31747790095946</v>
      </c>
      <c r="V136" s="87">
        <f>IF(V51=0,0,1000000*V51/TrRoad_act!V79)</f>
        <v>255.64563162382228</v>
      </c>
      <c r="W136" s="87">
        <f>IF(W51=0,0,1000000*W51/TrRoad_act!W79)</f>
        <v>302.07698889491661</v>
      </c>
      <c r="X136" s="87">
        <f>IF(X51=0,0,1000000*X51/TrRoad_act!X79)</f>
        <v>322.90451327534203</v>
      </c>
      <c r="Y136" s="87">
        <f>IF(Y51=0,0,1000000*Y51/TrRoad_act!Y79)</f>
        <v>334.60395534913175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16905.310138507852</v>
      </c>
      <c r="C137" s="116">
        <f>IF(C52=0,0,1000000*C52/TrRoad_act!C80)</f>
        <v>20347.9584741613</v>
      </c>
      <c r="D137" s="116">
        <f>IF(D52=0,0,1000000*D52/TrRoad_act!D80)</f>
        <v>23404.359055518289</v>
      </c>
      <c r="E137" s="116">
        <f>IF(E52=0,0,1000000*E52/TrRoad_act!E80)</f>
        <v>25811.428041295661</v>
      </c>
      <c r="F137" s="116">
        <f>IF(F52=0,0,1000000*F52/TrRoad_act!F80)</f>
        <v>25383.346756543728</v>
      </c>
      <c r="G137" s="116">
        <f>IF(G52=0,0,1000000*G52/TrRoad_act!G80)</f>
        <v>26922.613371451604</v>
      </c>
      <c r="H137" s="116">
        <f>IF(H52=0,0,1000000*H52/TrRoad_act!H80)</f>
        <v>25316.757264993252</v>
      </c>
      <c r="I137" s="116">
        <f>IF(I52=0,0,1000000*I52/TrRoad_act!I80)</f>
        <v>24488.367568185338</v>
      </c>
      <c r="J137" s="116">
        <f>IF(J52=0,0,1000000*J52/TrRoad_act!J80)</f>
        <v>22708.737150874091</v>
      </c>
      <c r="K137" s="116">
        <f>IF(K52=0,0,1000000*K52/TrRoad_act!K80)</f>
        <v>22031.557288430886</v>
      </c>
      <c r="L137" s="116">
        <f>IF(L52=0,0,1000000*L52/TrRoad_act!L80)</f>
        <v>24092.453792007775</v>
      </c>
      <c r="M137" s="116">
        <f>IF(M52=0,0,1000000*M52/TrRoad_act!M80)</f>
        <v>21774.070397905318</v>
      </c>
      <c r="N137" s="116">
        <f>IF(N52=0,0,1000000*N52/TrRoad_act!N80)</f>
        <v>22334.564187027103</v>
      </c>
      <c r="O137" s="116">
        <f>IF(O52=0,0,1000000*O52/TrRoad_act!O80)</f>
        <v>27649.864623840134</v>
      </c>
      <c r="P137" s="116">
        <f>IF(P52=0,0,1000000*P52/TrRoad_act!P80)</f>
        <v>26529.702160104182</v>
      </c>
      <c r="Q137" s="116">
        <f>IF(Q52=0,0,1000000*Q52/TrRoad_act!Q80)</f>
        <v>27086.095392192117</v>
      </c>
      <c r="R137" s="116">
        <f>IF(R52=0,0,1000000*R52/TrRoad_act!R80)</f>
        <v>27308.389501740592</v>
      </c>
      <c r="S137" s="116">
        <f>IF(S52=0,0,1000000*S52/TrRoad_act!S80)</f>
        <v>27052.443224406608</v>
      </c>
      <c r="T137" s="116">
        <f>IF(T52=0,0,1000000*T52/TrRoad_act!T80)</f>
        <v>27286.757680649112</v>
      </c>
      <c r="U137" s="116">
        <f>IF(U52=0,0,1000000*U52/TrRoad_act!U80)</f>
        <v>27579.141223090148</v>
      </c>
      <c r="V137" s="116">
        <f>IF(V52=0,0,1000000*V52/TrRoad_act!V80)</f>
        <v>25635.33149411665</v>
      </c>
      <c r="W137" s="116">
        <f>IF(W52=0,0,1000000*W52/TrRoad_act!W80)</f>
        <v>26151.618704710509</v>
      </c>
      <c r="X137" s="116">
        <f>IF(X52=0,0,1000000*X52/TrRoad_act!X80)</f>
        <v>21643.393594745983</v>
      </c>
      <c r="Y137" s="116">
        <f>IF(Y52=0,0,1000000*Y52/TrRoad_act!Y80)</f>
        <v>19811.535465663746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8126.1265785837859</v>
      </c>
      <c r="C138" s="101">
        <f>IF(C53=0,0,1000000*C53/TrRoad_act!C81)</f>
        <v>8786.4228441903688</v>
      </c>
      <c r="D138" s="101">
        <f>IF(D53=0,0,1000000*D53/TrRoad_act!D81)</f>
        <v>9281.6349723806743</v>
      </c>
      <c r="E138" s="101">
        <f>IF(E53=0,0,1000000*E53/TrRoad_act!E81)</f>
        <v>9838.5863282037844</v>
      </c>
      <c r="F138" s="101">
        <f>IF(F53=0,0,1000000*F53/TrRoad_act!F81)</f>
        <v>9294.9960679102387</v>
      </c>
      <c r="G138" s="101">
        <f>IF(G53=0,0,1000000*G53/TrRoad_act!G81)</f>
        <v>9449.5494506421855</v>
      </c>
      <c r="H138" s="101">
        <f>IF(H53=0,0,1000000*H53/TrRoad_act!H81)</f>
        <v>10630.098517438157</v>
      </c>
      <c r="I138" s="101">
        <f>IF(I53=0,0,1000000*I53/TrRoad_act!I81)</f>
        <v>10467.292484304502</v>
      </c>
      <c r="J138" s="101">
        <f>IF(J53=0,0,1000000*J53/TrRoad_act!J81)</f>
        <v>9968.5060632409622</v>
      </c>
      <c r="K138" s="101">
        <f>IF(K53=0,0,1000000*K53/TrRoad_act!K81)</f>
        <v>9357.6827950586139</v>
      </c>
      <c r="L138" s="101">
        <f>IF(L53=0,0,1000000*L53/TrRoad_act!L81)</f>
        <v>9539.7268238643901</v>
      </c>
      <c r="M138" s="101">
        <f>IF(M53=0,0,1000000*M53/TrRoad_act!M81)</f>
        <v>9480.3741251021929</v>
      </c>
      <c r="N138" s="101">
        <f>IF(N53=0,0,1000000*N53/TrRoad_act!N81)</f>
        <v>9358.3255562041722</v>
      </c>
      <c r="O138" s="101">
        <f>IF(O53=0,0,1000000*O53/TrRoad_act!O81)</f>
        <v>10487.533340281519</v>
      </c>
      <c r="P138" s="101">
        <f>IF(P53=0,0,1000000*P53/TrRoad_act!P81)</f>
        <v>10742.994702529559</v>
      </c>
      <c r="Q138" s="101">
        <f>IF(Q53=0,0,1000000*Q53/TrRoad_act!Q81)</f>
        <v>11327.504416197284</v>
      </c>
      <c r="R138" s="101">
        <f>IF(R53=0,0,1000000*R53/TrRoad_act!R81)</f>
        <v>11628.288159616757</v>
      </c>
      <c r="S138" s="101">
        <f>IF(S53=0,0,1000000*S53/TrRoad_act!S81)</f>
        <v>11472.707248584073</v>
      </c>
      <c r="T138" s="101">
        <f>IF(T53=0,0,1000000*T53/TrRoad_act!T81)</f>
        <v>11285.179360556445</v>
      </c>
      <c r="U138" s="101">
        <f>IF(U53=0,0,1000000*U53/TrRoad_act!U81)</f>
        <v>11233.400892380463</v>
      </c>
      <c r="V138" s="101">
        <f>IF(V53=0,0,1000000*V53/TrRoad_act!V81)</f>
        <v>10556.6548984732</v>
      </c>
      <c r="W138" s="101">
        <f>IF(W53=0,0,1000000*W53/TrRoad_act!W81)</f>
        <v>10922.497125637523</v>
      </c>
      <c r="X138" s="101">
        <f>IF(X53=0,0,1000000*X53/TrRoad_act!X81)</f>
        <v>10024.269563568825</v>
      </c>
      <c r="Y138" s="101">
        <f>IF(Y53=0,0,1000000*Y53/TrRoad_act!Y81)</f>
        <v>9620.6667398488935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70907.937437423752</v>
      </c>
      <c r="C139" s="88">
        <f>IF(C55=0,0,1000000*C55/TrRoad_act!C82)</f>
        <v>84033.024020898054</v>
      </c>
      <c r="D139" s="88">
        <f>IF(D55=0,0,1000000*D55/TrRoad_act!D82)</f>
        <v>95231.915661506035</v>
      </c>
      <c r="E139" s="88">
        <f>IF(E55=0,0,1000000*E55/TrRoad_act!E82)</f>
        <v>104340.5651533549</v>
      </c>
      <c r="F139" s="88">
        <f>IF(F55=0,0,1000000*F55/TrRoad_act!F82)</f>
        <v>91702.028289313428</v>
      </c>
      <c r="G139" s="88">
        <f>IF(G55=0,0,1000000*G55/TrRoad_act!G82)</f>
        <v>95563.204916615025</v>
      </c>
      <c r="H139" s="88">
        <f>IF(H55=0,0,1000000*H55/TrRoad_act!H82)</f>
        <v>78975.523018076681</v>
      </c>
      <c r="I139" s="88">
        <f>IF(I55=0,0,1000000*I55/TrRoad_act!I82)</f>
        <v>70119.758550599741</v>
      </c>
      <c r="J139" s="88">
        <f>IF(J55=0,0,1000000*J55/TrRoad_act!J82)</f>
        <v>59851.367167927405</v>
      </c>
      <c r="K139" s="88">
        <f>IF(K55=0,0,1000000*K55/TrRoad_act!K82)</f>
        <v>66160.615249108829</v>
      </c>
      <c r="L139" s="88">
        <f>IF(L55=0,0,1000000*L55/TrRoad_act!L82)</f>
        <v>72284.171683494162</v>
      </c>
      <c r="M139" s="88">
        <f>IF(M55=0,0,1000000*M55/TrRoad_act!M82)</f>
        <v>61271.171343115289</v>
      </c>
      <c r="N139" s="88">
        <f>IF(N55=0,0,1000000*N55/TrRoad_act!N82)</f>
        <v>65199.964837950145</v>
      </c>
      <c r="O139" s="88">
        <f>IF(O55=0,0,1000000*O55/TrRoad_act!O82)</f>
        <v>78529.003356520843</v>
      </c>
      <c r="P139" s="88">
        <f>IF(P55=0,0,1000000*P55/TrRoad_act!P82)</f>
        <v>72535.375197758331</v>
      </c>
      <c r="Q139" s="88">
        <f>IF(Q55=0,0,1000000*Q55/TrRoad_act!Q82)</f>
        <v>70830.418077619179</v>
      </c>
      <c r="R139" s="88">
        <f>IF(R55=0,0,1000000*R55/TrRoad_act!R82)</f>
        <v>70102.828412453993</v>
      </c>
      <c r="S139" s="88">
        <f>IF(S55=0,0,1000000*S55/TrRoad_act!S82)</f>
        <v>67251.092560356788</v>
      </c>
      <c r="T139" s="88">
        <f>IF(T55=0,0,1000000*T55/TrRoad_act!T82)</f>
        <v>69695.824555460189</v>
      </c>
      <c r="U139" s="88">
        <f>IF(U55=0,0,1000000*U55/TrRoad_act!U82)</f>
        <v>70483.923906849639</v>
      </c>
      <c r="V139" s="88">
        <f>IF(V55=0,0,1000000*V55/TrRoad_act!V82)</f>
        <v>64695.57092198301</v>
      </c>
      <c r="W139" s="88">
        <f>IF(W55=0,0,1000000*W55/TrRoad_act!W82)</f>
        <v>64245.578975079217</v>
      </c>
      <c r="X139" s="88">
        <f>IF(X55=0,0,1000000*X55/TrRoad_act!X82)</f>
        <v>50365.475705080877</v>
      </c>
      <c r="Y139" s="88">
        <f>IF(Y55=0,0,1000000*Y55/TrRoad_act!Y82)</f>
        <v>45858.269985961873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0.6838227531191936</v>
      </c>
      <c r="C142" s="46">
        <f t="shared" si="42"/>
        <v>0.66465539198490375</v>
      </c>
      <c r="D142" s="46">
        <f t="shared" si="42"/>
        <v>0.66432931401657047</v>
      </c>
      <c r="E142" s="46">
        <f t="shared" si="42"/>
        <v>0.6613788279432784</v>
      </c>
      <c r="F142" s="46">
        <f t="shared" si="42"/>
        <v>0.66410375276663625</v>
      </c>
      <c r="G142" s="46">
        <f t="shared" si="42"/>
        <v>0.659668624232435</v>
      </c>
      <c r="H142" s="46">
        <f t="shared" si="42"/>
        <v>0.66920338975220628</v>
      </c>
      <c r="I142" s="46">
        <f t="shared" si="42"/>
        <v>0.67298855177088956</v>
      </c>
      <c r="J142" s="46">
        <f t="shared" si="42"/>
        <v>0.67239337061042359</v>
      </c>
      <c r="K142" s="46">
        <f t="shared" si="42"/>
        <v>0.67994714894339003</v>
      </c>
      <c r="L142" s="46">
        <f t="shared" ref="L142" si="43">IF(L18=0,0,L18/L$17)</f>
        <v>0.6661210329489835</v>
      </c>
      <c r="M142" s="46">
        <f t="shared" ref="M142:V142" si="44">IF(M18=0,0,M18/M$17)</f>
        <v>0.67597226495807194</v>
      </c>
      <c r="N142" s="46">
        <f t="shared" si="44"/>
        <v>0.66974879957795241</v>
      </c>
      <c r="O142" s="46">
        <f t="shared" si="44"/>
        <v>0.64262452022957295</v>
      </c>
      <c r="P142" s="46">
        <f t="shared" si="44"/>
        <v>0.65206744120738658</v>
      </c>
      <c r="Q142" s="46">
        <f t="shared" si="44"/>
        <v>0.64983239356335032</v>
      </c>
      <c r="R142" s="46">
        <f t="shared" si="44"/>
        <v>0.64774372223569476</v>
      </c>
      <c r="S142" s="46">
        <f t="shared" si="44"/>
        <v>0.64230380027797496</v>
      </c>
      <c r="T142" s="46">
        <f t="shared" si="44"/>
        <v>0.63805867950592732</v>
      </c>
      <c r="U142" s="46">
        <f t="shared" si="44"/>
        <v>0.62953717819728416</v>
      </c>
      <c r="V142" s="46">
        <f t="shared" si="44"/>
        <v>0.59737178581166583</v>
      </c>
      <c r="W142" s="46">
        <f t="shared" ref="W142:Y142" si="45">IF(W18=0,0,W18/W$17)</f>
        <v>0.5934245444430003</v>
      </c>
      <c r="X142" s="46">
        <f t="shared" si="45"/>
        <v>0.62736435919210254</v>
      </c>
      <c r="Y142" s="46">
        <f t="shared" si="45"/>
        <v>0.64855052089271747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5.6056259513949389E-3</v>
      </c>
      <c r="C143" s="154">
        <f t="shared" si="46"/>
        <v>5.3525176604315005E-3</v>
      </c>
      <c r="D143" s="154">
        <f t="shared" si="46"/>
        <v>4.9746288006094694E-3</v>
      </c>
      <c r="E143" s="154">
        <f t="shared" si="46"/>
        <v>4.7868038175662604E-3</v>
      </c>
      <c r="F143" s="154">
        <f t="shared" si="46"/>
        <v>4.9431637110806228E-3</v>
      </c>
      <c r="G143" s="154">
        <f t="shared" si="46"/>
        <v>4.8876684859737538E-3</v>
      </c>
      <c r="H143" s="154">
        <f t="shared" si="46"/>
        <v>5.1560899375371078E-3</v>
      </c>
      <c r="I143" s="154">
        <f t="shared" si="46"/>
        <v>5.2593909826747498E-3</v>
      </c>
      <c r="J143" s="154">
        <f t="shared" si="46"/>
        <v>5.6402929257565173E-3</v>
      </c>
      <c r="K143" s="154">
        <f t="shared" si="46"/>
        <v>5.9925321292037571E-3</v>
      </c>
      <c r="L143" s="154">
        <f t="shared" ref="L143" si="47">IF(L19=0,0,L19/L$17)</f>
        <v>5.958784511790413E-3</v>
      </c>
      <c r="M143" s="154">
        <f t="shared" ref="M143:V143" si="48">IF(M19=0,0,M19/M$17)</f>
        <v>6.4264129248210603E-3</v>
      </c>
      <c r="N143" s="154">
        <f t="shared" si="48"/>
        <v>6.7234794188103632E-3</v>
      </c>
      <c r="O143" s="154">
        <f t="shared" si="48"/>
        <v>6.5296300756114214E-3</v>
      </c>
      <c r="P143" s="154">
        <f t="shared" si="48"/>
        <v>6.7938068189305799E-3</v>
      </c>
      <c r="Q143" s="154">
        <f t="shared" si="48"/>
        <v>6.8165779951820486E-3</v>
      </c>
      <c r="R143" s="154">
        <f t="shared" si="48"/>
        <v>6.8306792868445699E-3</v>
      </c>
      <c r="S143" s="154">
        <f t="shared" si="48"/>
        <v>6.684076125650011E-3</v>
      </c>
      <c r="T143" s="154">
        <f t="shared" si="48"/>
        <v>6.2909015866082071E-3</v>
      </c>
      <c r="U143" s="154">
        <f t="shared" si="48"/>
        <v>6.673184697601379E-3</v>
      </c>
      <c r="V143" s="154">
        <f t="shared" si="48"/>
        <v>6.8909463100629764E-3</v>
      </c>
      <c r="W143" s="154">
        <f t="shared" ref="W143:Y143" si="49">IF(W19=0,0,W19/W$17)</f>
        <v>6.6006241323213928E-3</v>
      </c>
      <c r="X143" s="154">
        <f t="shared" si="49"/>
        <v>7.0431428920827372E-3</v>
      </c>
      <c r="Y143" s="154">
        <f t="shared" si="49"/>
        <v>7.7605893253693617E-3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0.63443494014428647</v>
      </c>
      <c r="C144" s="156">
        <f t="shared" si="50"/>
        <v>0.6184178314820582</v>
      </c>
      <c r="D144" s="156">
        <f t="shared" si="50"/>
        <v>0.62123628030690203</v>
      </c>
      <c r="E144" s="156">
        <f t="shared" si="50"/>
        <v>0.61988459616614955</v>
      </c>
      <c r="F144" s="156">
        <f t="shared" si="50"/>
        <v>0.62330873912389229</v>
      </c>
      <c r="G144" s="156">
        <f t="shared" si="50"/>
        <v>0.62038531015690557</v>
      </c>
      <c r="H144" s="156">
        <f t="shared" si="50"/>
        <v>0.629414627855022</v>
      </c>
      <c r="I144" s="156">
        <f t="shared" si="50"/>
        <v>0.63169254655420048</v>
      </c>
      <c r="J144" s="156">
        <f t="shared" si="50"/>
        <v>0.63059179552604627</v>
      </c>
      <c r="K144" s="156">
        <f t="shared" si="50"/>
        <v>0.63984209167420614</v>
      </c>
      <c r="L144" s="156">
        <f t="shared" ref="L144" si="51">IF(L21=0,0,L21/L$17)</f>
        <v>0.62439466487000461</v>
      </c>
      <c r="M144" s="156">
        <f t="shared" ref="M144:V144" si="52">IF(M21=0,0,M21/M$17)</f>
        <v>0.63256891883349831</v>
      </c>
      <c r="N144" s="156">
        <f t="shared" si="52"/>
        <v>0.62592860734426969</v>
      </c>
      <c r="O144" s="156">
        <f t="shared" si="52"/>
        <v>0.60118679313316536</v>
      </c>
      <c r="P144" s="156">
        <f t="shared" si="52"/>
        <v>0.60922768754429979</v>
      </c>
      <c r="Q144" s="156">
        <f t="shared" si="52"/>
        <v>0.6071964440029729</v>
      </c>
      <c r="R144" s="156">
        <f t="shared" si="52"/>
        <v>0.6042620065369525</v>
      </c>
      <c r="S144" s="156">
        <f t="shared" si="52"/>
        <v>0.59825473052814038</v>
      </c>
      <c r="T144" s="156">
        <f t="shared" si="52"/>
        <v>0.59636306864234634</v>
      </c>
      <c r="U144" s="156">
        <f t="shared" si="52"/>
        <v>0.58791777341856</v>
      </c>
      <c r="V144" s="156">
        <f t="shared" si="52"/>
        <v>0.55075644822480929</v>
      </c>
      <c r="W144" s="156">
        <f t="shared" ref="W144:Y144" si="53">IF(W21=0,0,W21/W$17)</f>
        <v>0.54885133942516307</v>
      </c>
      <c r="X144" s="156">
        <f t="shared" si="53"/>
        <v>0.58140743988735988</v>
      </c>
      <c r="Y144" s="156">
        <f t="shared" si="53"/>
        <v>0.60180681289578863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0.32516834903881908</v>
      </c>
      <c r="C145" s="103">
        <f t="shared" si="54"/>
        <v>0.30503903300807705</v>
      </c>
      <c r="D145" s="103">
        <f t="shared" si="54"/>
        <v>0.30007244436494129</v>
      </c>
      <c r="E145" s="103">
        <f t="shared" si="54"/>
        <v>0.28827922411089252</v>
      </c>
      <c r="F145" s="103">
        <f t="shared" si="54"/>
        <v>0.28010658014904194</v>
      </c>
      <c r="G145" s="103">
        <f t="shared" si="54"/>
        <v>0.26342574099839527</v>
      </c>
      <c r="H145" s="103">
        <f t="shared" si="54"/>
        <v>0.25962853317895379</v>
      </c>
      <c r="I145" s="103">
        <f t="shared" si="54"/>
        <v>0.25090335093638755</v>
      </c>
      <c r="J145" s="103">
        <f t="shared" si="54"/>
        <v>0.24941225939659101</v>
      </c>
      <c r="K145" s="103">
        <f t="shared" si="54"/>
        <v>0.24402694197779257</v>
      </c>
      <c r="L145" s="103">
        <f t="shared" ref="L145" si="55">IF(L22=0,0,L22/L$17)</f>
        <v>0.23492685300207067</v>
      </c>
      <c r="M145" s="103">
        <f t="shared" ref="M145:V145" si="56">IF(M22=0,0,M22/M$17)</f>
        <v>0.22647744132130304</v>
      </c>
      <c r="N145" s="103">
        <f t="shared" si="56"/>
        <v>0.22071492849840793</v>
      </c>
      <c r="O145" s="103">
        <f t="shared" si="56"/>
        <v>0.20298585212245626</v>
      </c>
      <c r="P145" s="103">
        <f t="shared" si="56"/>
        <v>0.1992546258095578</v>
      </c>
      <c r="Q145" s="103">
        <f t="shared" si="56"/>
        <v>0.19553305654459477</v>
      </c>
      <c r="R145" s="103">
        <f t="shared" si="56"/>
        <v>0.18936885273398654</v>
      </c>
      <c r="S145" s="103">
        <f t="shared" si="56"/>
        <v>0.18511901617145715</v>
      </c>
      <c r="T145" s="103">
        <f t="shared" si="56"/>
        <v>0.18950062202858745</v>
      </c>
      <c r="U145" s="103">
        <f t="shared" si="56"/>
        <v>0.18764241019711364</v>
      </c>
      <c r="V145" s="103">
        <f t="shared" si="56"/>
        <v>0.17804222185647486</v>
      </c>
      <c r="W145" s="103">
        <f t="shared" ref="W145:Y145" si="57">IF(W22=0,0,W22/W$17)</f>
        <v>0.17930682896105934</v>
      </c>
      <c r="X145" s="103">
        <f t="shared" si="57"/>
        <v>0.19358929525445445</v>
      </c>
      <c r="Y145" s="103">
        <f t="shared" si="57"/>
        <v>0.21977832316625995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0.30646713404585191</v>
      </c>
      <c r="C146" s="103">
        <f t="shared" si="58"/>
        <v>0.31062092650304646</v>
      </c>
      <c r="D146" s="103">
        <f t="shared" si="58"/>
        <v>0.31794262507055127</v>
      </c>
      <c r="E146" s="103">
        <f t="shared" si="58"/>
        <v>0.32803977720431804</v>
      </c>
      <c r="F146" s="103">
        <f t="shared" si="58"/>
        <v>0.34029969660155657</v>
      </c>
      <c r="G146" s="103">
        <f t="shared" si="58"/>
        <v>0.35435858374361812</v>
      </c>
      <c r="H146" s="103">
        <f t="shared" si="58"/>
        <v>0.36710230137607469</v>
      </c>
      <c r="I146" s="103">
        <f t="shared" si="58"/>
        <v>0.37827786323150214</v>
      </c>
      <c r="J146" s="103">
        <f t="shared" si="58"/>
        <v>0.37826698811225701</v>
      </c>
      <c r="K146" s="103">
        <f t="shared" si="58"/>
        <v>0.39304288994002917</v>
      </c>
      <c r="L146" s="103">
        <f t="shared" ref="L146" si="59">IF(L24=0,0,L24/L$17)</f>
        <v>0.38702045923422146</v>
      </c>
      <c r="M146" s="103">
        <f t="shared" ref="M146:V146" si="60">IF(M24=0,0,M24/M$17)</f>
        <v>0.40349815593270144</v>
      </c>
      <c r="N146" s="103">
        <f t="shared" si="60"/>
        <v>0.40238863074249515</v>
      </c>
      <c r="O146" s="103">
        <f t="shared" si="60"/>
        <v>0.39563261608464306</v>
      </c>
      <c r="P146" s="103">
        <f t="shared" si="60"/>
        <v>0.40758951492493278</v>
      </c>
      <c r="Q146" s="103">
        <f t="shared" si="60"/>
        <v>0.40963762287476363</v>
      </c>
      <c r="R146" s="103">
        <f t="shared" si="60"/>
        <v>0.41286488001584509</v>
      </c>
      <c r="S146" s="103">
        <f t="shared" si="60"/>
        <v>0.41088949548086995</v>
      </c>
      <c r="T146" s="103">
        <f t="shared" si="60"/>
        <v>0.40479135833308372</v>
      </c>
      <c r="U146" s="103">
        <f t="shared" si="60"/>
        <v>0.39795548318060142</v>
      </c>
      <c r="V146" s="103">
        <f t="shared" si="60"/>
        <v>0.36983868631354205</v>
      </c>
      <c r="W146" s="103">
        <f t="shared" ref="W146:Y146" si="61">IF(W24=0,0,W24/W$17)</f>
        <v>0.36496022976178011</v>
      </c>
      <c r="X146" s="103">
        <f t="shared" si="61"/>
        <v>0.38105095211607337</v>
      </c>
      <c r="Y146" s="103">
        <f t="shared" si="61"/>
        <v>0.37280211714701172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2.7994570596154792E-3</v>
      </c>
      <c r="C147" s="103">
        <f t="shared" si="62"/>
        <v>2.7578719709346862E-3</v>
      </c>
      <c r="D147" s="103">
        <f t="shared" si="62"/>
        <v>3.2212108714095452E-3</v>
      </c>
      <c r="E147" s="103">
        <f t="shared" si="62"/>
        <v>3.5655948509390528E-3</v>
      </c>
      <c r="F147" s="103">
        <f t="shared" si="62"/>
        <v>2.9024623732937598E-3</v>
      </c>
      <c r="G147" s="103">
        <f t="shared" si="62"/>
        <v>2.6009854148923003E-3</v>
      </c>
      <c r="H147" s="103">
        <f t="shared" si="62"/>
        <v>2.6758417718144899E-3</v>
      </c>
      <c r="I147" s="103">
        <f t="shared" si="62"/>
        <v>2.4809527944140743E-3</v>
      </c>
      <c r="J147" s="103">
        <f t="shared" si="62"/>
        <v>2.768349168931821E-3</v>
      </c>
      <c r="K147" s="103">
        <f t="shared" si="62"/>
        <v>2.5903560064668516E-3</v>
      </c>
      <c r="L147" s="103">
        <f t="shared" ref="L147" si="63">IF(L26=0,0,L26/L$17)</f>
        <v>2.2300240022744135E-3</v>
      </c>
      <c r="M147" s="103">
        <f t="shared" ref="M147:V147" si="64">IF(M26=0,0,M26/M$17)</f>
        <v>2.1668238872882234E-3</v>
      </c>
      <c r="N147" s="103">
        <f t="shared" si="64"/>
        <v>2.3196924972638928E-3</v>
      </c>
      <c r="O147" s="103">
        <f t="shared" si="64"/>
        <v>2.0197886570371766E-3</v>
      </c>
      <c r="P147" s="103">
        <f t="shared" si="64"/>
        <v>1.7206144657855107E-3</v>
      </c>
      <c r="Q147" s="103">
        <f t="shared" si="64"/>
        <v>1.2347774075019899E-3</v>
      </c>
      <c r="R147" s="103">
        <f t="shared" si="64"/>
        <v>1.1086662554718014E-3</v>
      </c>
      <c r="S147" s="103">
        <f t="shared" si="64"/>
        <v>1.087856715501101E-3</v>
      </c>
      <c r="T147" s="103">
        <f t="shared" si="64"/>
        <v>6.6321012098402533E-4</v>
      </c>
      <c r="U147" s="103">
        <f t="shared" si="64"/>
        <v>5.5130681120924463E-4</v>
      </c>
      <c r="V147" s="103">
        <f t="shared" si="64"/>
        <v>3.1726253736347366E-4</v>
      </c>
      <c r="W147" s="103">
        <f t="shared" ref="W147:Y147" si="65">IF(W26=0,0,W26/W$17)</f>
        <v>2.2722707608520897E-4</v>
      </c>
      <c r="X147" s="103">
        <f t="shared" si="65"/>
        <v>2.8711850027706429E-4</v>
      </c>
      <c r="Y147" s="103">
        <f t="shared" si="65"/>
        <v>1.5976360031569597E-4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7.9515281791263111E-6</v>
      </c>
      <c r="I148" s="103">
        <f t="shared" si="66"/>
        <v>3.0379591896714518E-5</v>
      </c>
      <c r="J148" s="103">
        <f t="shared" si="66"/>
        <v>1.44143510950767E-4</v>
      </c>
      <c r="K148" s="103">
        <f t="shared" si="66"/>
        <v>1.7264317578196352E-4</v>
      </c>
      <c r="L148" s="103">
        <f t="shared" ref="L148" si="67">IF(L27=0,0,L27/L$17)</f>
        <v>2.0770557503751045E-4</v>
      </c>
      <c r="M148" s="103">
        <f t="shared" ref="M148:V148" si="68">IF(M27=0,0,M27/M$17)</f>
        <v>3.9816800379853442E-4</v>
      </c>
      <c r="N148" s="103">
        <f t="shared" si="68"/>
        <v>4.5225181808248281E-4</v>
      </c>
      <c r="O148" s="103">
        <f t="shared" si="68"/>
        <v>4.7635024958272174E-4</v>
      </c>
      <c r="P148" s="103">
        <f t="shared" si="68"/>
        <v>5.3897841735397675E-4</v>
      </c>
      <c r="Q148" s="103">
        <f t="shared" si="68"/>
        <v>5.7728265332394684E-4</v>
      </c>
      <c r="R148" s="103">
        <f t="shared" si="68"/>
        <v>5.5013699126395829E-4</v>
      </c>
      <c r="S148" s="103">
        <f t="shared" si="68"/>
        <v>5.5059502017579915E-4</v>
      </c>
      <c r="T148" s="103">
        <f t="shared" si="68"/>
        <v>5.4287463379714882E-4</v>
      </c>
      <c r="U148" s="103">
        <f t="shared" si="68"/>
        <v>5.2652687640307721E-4</v>
      </c>
      <c r="V148" s="103">
        <f t="shared" si="68"/>
        <v>5.2037319997806251E-4</v>
      </c>
      <c r="W148" s="103">
        <f t="shared" ref="W148:Y148" si="69">IF(W27=0,0,W27/W$17)</f>
        <v>4.8530674499502516E-4</v>
      </c>
      <c r="X148" s="103">
        <f t="shared" si="69"/>
        <v>5.062245571353809E-4</v>
      </c>
      <c r="Y148" s="103">
        <f t="shared" si="69"/>
        <v>4.7333510807035428E-4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1.2390888797839687E-7</v>
      </c>
      <c r="N149" s="103">
        <f t="shared" si="72"/>
        <v>1.3449809839249676E-5</v>
      </c>
      <c r="O149" s="103">
        <f t="shared" si="72"/>
        <v>1.6191337797944671E-5</v>
      </c>
      <c r="P149" s="103">
        <f t="shared" si="72"/>
        <v>3.3670025818136896E-5</v>
      </c>
      <c r="Q149" s="103">
        <f t="shared" si="72"/>
        <v>7.7191944187565426E-5</v>
      </c>
      <c r="R149" s="103">
        <f t="shared" si="72"/>
        <v>1.2947661833094976E-4</v>
      </c>
      <c r="S149" s="103">
        <f t="shared" si="72"/>
        <v>2.3134374910677041E-4</v>
      </c>
      <c r="T149" s="103">
        <f t="shared" si="72"/>
        <v>3.3005377874137034E-4</v>
      </c>
      <c r="U149" s="103">
        <f t="shared" si="72"/>
        <v>4.4989396994591263E-4</v>
      </c>
      <c r="V149" s="103">
        <f t="shared" si="72"/>
        <v>8.0444607717160212E-4</v>
      </c>
      <c r="W149" s="103">
        <f t="shared" ref="W149:Y149" si="73">IF(W29=0,0,W29/W$17)</f>
        <v>1.4614523797497378E-3</v>
      </c>
      <c r="X149" s="103">
        <f t="shared" si="73"/>
        <v>2.2790792295800883E-3</v>
      </c>
      <c r="Y149" s="103">
        <f t="shared" si="73"/>
        <v>3.3051173575708564E-3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5.5337315687233021E-8</v>
      </c>
      <c r="K150" s="103">
        <f t="shared" si="74"/>
        <v>9.2605741356231424E-6</v>
      </c>
      <c r="L150" s="103">
        <f t="shared" ref="L150" si="75">IF(L32=0,0,L32/L$17)</f>
        <v>9.6230564005758219E-6</v>
      </c>
      <c r="M150" s="103">
        <f t="shared" ref="M150:V150" si="76">IF(M32=0,0,M32/M$17)</f>
        <v>2.8205779519141824E-5</v>
      </c>
      <c r="N150" s="103">
        <f t="shared" si="76"/>
        <v>3.9653978180922162E-5</v>
      </c>
      <c r="O150" s="103">
        <f t="shared" si="76"/>
        <v>5.5994681648128743E-5</v>
      </c>
      <c r="P150" s="103">
        <f t="shared" si="76"/>
        <v>9.0283900851627618E-5</v>
      </c>
      <c r="Q150" s="103">
        <f t="shared" si="76"/>
        <v>1.365125786011453E-4</v>
      </c>
      <c r="R150" s="103">
        <f t="shared" si="76"/>
        <v>2.3999392205404784E-4</v>
      </c>
      <c r="S150" s="103">
        <f t="shared" si="76"/>
        <v>3.7642339102965128E-4</v>
      </c>
      <c r="T150" s="103">
        <f t="shared" si="76"/>
        <v>5.3494974715262433E-4</v>
      </c>
      <c r="U150" s="103">
        <f t="shared" si="76"/>
        <v>7.9215238328662527E-4</v>
      </c>
      <c r="V150" s="103">
        <f t="shared" si="76"/>
        <v>1.2334582402792049E-3</v>
      </c>
      <c r="W150" s="103">
        <f t="shared" ref="W150:Y150" si="77">IF(W32=0,0,W32/W$17)</f>
        <v>2.4102945014936312E-3</v>
      </c>
      <c r="X150" s="103">
        <f t="shared" si="77"/>
        <v>3.6947702298394279E-3</v>
      </c>
      <c r="Y150" s="103">
        <f t="shared" si="77"/>
        <v>5.2881565165601935E-3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4.3782187023512165E-2</v>
      </c>
      <c r="C151" s="156">
        <f t="shared" si="78"/>
        <v>4.0885042842414114E-2</v>
      </c>
      <c r="D151" s="156">
        <f t="shared" si="78"/>
        <v>3.8118404909058851E-2</v>
      </c>
      <c r="E151" s="156">
        <f t="shared" si="78"/>
        <v>3.6707427959562527E-2</v>
      </c>
      <c r="F151" s="156">
        <f t="shared" si="78"/>
        <v>3.5851849931663307E-2</v>
      </c>
      <c r="G151" s="156">
        <f t="shared" si="78"/>
        <v>3.439564558955574E-2</v>
      </c>
      <c r="H151" s="156">
        <f t="shared" si="78"/>
        <v>3.4632671959647254E-2</v>
      </c>
      <c r="I151" s="156">
        <f t="shared" si="78"/>
        <v>3.6036614234014351E-2</v>
      </c>
      <c r="J151" s="156">
        <f t="shared" si="78"/>
        <v>3.61612821586208E-2</v>
      </c>
      <c r="K151" s="156">
        <f t="shared" si="78"/>
        <v>3.4112525139980067E-2</v>
      </c>
      <c r="L151" s="156">
        <f t="shared" ref="L151" si="79">IF(L33=0,0,L33/L$17)</f>
        <v>3.5767583567188573E-2</v>
      </c>
      <c r="M151" s="156">
        <f t="shared" ref="M151:V151" si="80">IF(M33=0,0,M33/M$17)</f>
        <v>3.6976933199752537E-2</v>
      </c>
      <c r="N151" s="156">
        <f t="shared" si="80"/>
        <v>3.7096712814872333E-2</v>
      </c>
      <c r="O151" s="156">
        <f t="shared" si="80"/>
        <v>3.4908097020796232E-2</v>
      </c>
      <c r="P151" s="156">
        <f t="shared" si="80"/>
        <v>3.6045946844156157E-2</v>
      </c>
      <c r="Q151" s="156">
        <f t="shared" si="80"/>
        <v>3.5819371565195317E-2</v>
      </c>
      <c r="R151" s="156">
        <f t="shared" si="80"/>
        <v>3.6651036411897729E-2</v>
      </c>
      <c r="S151" s="156">
        <f t="shared" si="80"/>
        <v>3.7364993624184648E-2</v>
      </c>
      <c r="T151" s="156">
        <f t="shared" si="80"/>
        <v>3.5404709276972812E-2</v>
      </c>
      <c r="U151" s="156">
        <f t="shared" si="80"/>
        <v>3.4946220081122907E-2</v>
      </c>
      <c r="V151" s="156">
        <f t="shared" si="80"/>
        <v>3.9724391276793621E-2</v>
      </c>
      <c r="W151" s="156">
        <f t="shared" ref="W151:Y151" si="81">IF(W33=0,0,W33/W$17)</f>
        <v>3.7972580885515902E-2</v>
      </c>
      <c r="X151" s="156">
        <f t="shared" si="81"/>
        <v>3.8913776412659848E-2</v>
      </c>
      <c r="Y151" s="156">
        <f t="shared" si="81"/>
        <v>3.8983118671559458E-2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2.1740614778073452E-5</v>
      </c>
      <c r="C152" s="103">
        <f t="shared" si="82"/>
        <v>2.2014396973824939E-5</v>
      </c>
      <c r="D152" s="103">
        <f t="shared" si="82"/>
        <v>1.7602976456797227E-5</v>
      </c>
      <c r="E152" s="103">
        <f t="shared" si="82"/>
        <v>1.5454819932011811E-5</v>
      </c>
      <c r="F152" s="103">
        <f t="shared" si="82"/>
        <v>1.3392939256113637E-5</v>
      </c>
      <c r="G152" s="103">
        <f t="shared" si="82"/>
        <v>1.013183475904781E-5</v>
      </c>
      <c r="H152" s="103">
        <f t="shared" si="82"/>
        <v>8.7697113942368657E-6</v>
      </c>
      <c r="I152" s="103">
        <f t="shared" si="82"/>
        <v>8.8480667163947148E-6</v>
      </c>
      <c r="J152" s="103">
        <f t="shared" si="82"/>
        <v>7.2975946456334682E-6</v>
      </c>
      <c r="K152" s="103">
        <f t="shared" si="82"/>
        <v>5.1910709977787374E-6</v>
      </c>
      <c r="L152" s="103">
        <f t="shared" ref="L152" si="83">IF(L34=0,0,L34/L$17)</f>
        <v>5.4152607325056388E-6</v>
      </c>
      <c r="M152" s="103">
        <f t="shared" ref="M152:V152" si="84">IF(M34=0,0,M34/M$17)</f>
        <v>4.1272789657884751E-6</v>
      </c>
      <c r="N152" s="103">
        <f t="shared" si="84"/>
        <v>4.1700181282900482E-6</v>
      </c>
      <c r="O152" s="103">
        <f t="shared" si="84"/>
        <v>2.4675471094229229E-6</v>
      </c>
      <c r="P152" s="103">
        <f t="shared" si="84"/>
        <v>2.9479108995303257E-6</v>
      </c>
      <c r="Q152" s="103">
        <f t="shared" si="84"/>
        <v>2.3223449802742433E-6</v>
      </c>
      <c r="R152" s="103">
        <f t="shared" si="84"/>
        <v>3.0164182621703908E-6</v>
      </c>
      <c r="S152" s="103">
        <f t="shared" si="84"/>
        <v>3.0192638445255536E-6</v>
      </c>
      <c r="T152" s="103">
        <f t="shared" si="84"/>
        <v>2.9568484317229691E-6</v>
      </c>
      <c r="U152" s="103">
        <f t="shared" si="84"/>
        <v>2.8860088556967769E-6</v>
      </c>
      <c r="V152" s="103">
        <f t="shared" si="84"/>
        <v>2.4293119694174541E-6</v>
      </c>
      <c r="W152" s="103">
        <f t="shared" ref="W152:Y152" si="85">IF(W34=0,0,W34/W$17)</f>
        <v>3.0931395863519764E-6</v>
      </c>
      <c r="X152" s="103">
        <f t="shared" si="85"/>
        <v>3.1175099959009739E-6</v>
      </c>
      <c r="Y152" s="103">
        <f t="shared" si="85"/>
        <v>2.2603336318292663E-6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4.3495592613435295E-2</v>
      </c>
      <c r="C153" s="103">
        <f t="shared" si="86"/>
        <v>4.0605129527247472E-2</v>
      </c>
      <c r="D153" s="103">
        <f t="shared" si="86"/>
        <v>3.7822923319738702E-2</v>
      </c>
      <c r="E153" s="103">
        <f t="shared" si="86"/>
        <v>3.6403440227148379E-2</v>
      </c>
      <c r="F153" s="103">
        <f t="shared" si="86"/>
        <v>3.5484367696414443E-2</v>
      </c>
      <c r="G153" s="103">
        <f t="shared" si="86"/>
        <v>3.3983048988235495E-2</v>
      </c>
      <c r="H153" s="103">
        <f t="shared" si="86"/>
        <v>3.4184989251921594E-2</v>
      </c>
      <c r="I153" s="103">
        <f t="shared" si="86"/>
        <v>3.5383948154755096E-2</v>
      </c>
      <c r="J153" s="103">
        <f t="shared" si="86"/>
        <v>3.537363014585871E-2</v>
      </c>
      <c r="K153" s="103">
        <f t="shared" si="86"/>
        <v>3.260647793258991E-2</v>
      </c>
      <c r="L153" s="103">
        <f t="shared" ref="L153" si="87">IF(L36=0,0,L36/L$17)</f>
        <v>3.3845442806774442E-2</v>
      </c>
      <c r="M153" s="103">
        <f t="shared" ref="M153:V153" si="88">IF(M36=0,0,M36/M$17)</f>
        <v>3.499471774265845E-2</v>
      </c>
      <c r="N153" s="103">
        <f t="shared" si="88"/>
        <v>3.4987746169890879E-2</v>
      </c>
      <c r="O153" s="103">
        <f t="shared" si="88"/>
        <v>3.2725738192701144E-2</v>
      </c>
      <c r="P153" s="103">
        <f t="shared" si="88"/>
        <v>3.3715607233121087E-2</v>
      </c>
      <c r="Q153" s="103">
        <f t="shared" si="88"/>
        <v>3.3632027295746617E-2</v>
      </c>
      <c r="R153" s="103">
        <f t="shared" si="88"/>
        <v>3.4642018645099804E-2</v>
      </c>
      <c r="S153" s="103">
        <f t="shared" si="88"/>
        <v>3.5482760867919738E-2</v>
      </c>
      <c r="T153" s="103">
        <f t="shared" si="88"/>
        <v>3.3589667227015479E-2</v>
      </c>
      <c r="U153" s="103">
        <f t="shared" si="88"/>
        <v>3.3149797218321529E-2</v>
      </c>
      <c r="V153" s="103">
        <f t="shared" si="88"/>
        <v>3.7401784192123859E-2</v>
      </c>
      <c r="W153" s="103">
        <f t="shared" ref="W153:Y153" si="89">IF(W36=0,0,W36/W$17)</f>
        <v>3.583156116259343E-2</v>
      </c>
      <c r="X153" s="103">
        <f t="shared" si="89"/>
        <v>3.671137203940205E-2</v>
      </c>
      <c r="Y153" s="103">
        <f t="shared" si="89"/>
        <v>3.6814967192056368E-2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2.3202126581357103E-5</v>
      </c>
      <c r="D154" s="103">
        <f t="shared" si="90"/>
        <v>7.0388405824079993E-5</v>
      </c>
      <c r="E154" s="103">
        <f t="shared" si="90"/>
        <v>9.7499705693873193E-5</v>
      </c>
      <c r="F154" s="103">
        <f t="shared" si="90"/>
        <v>1.2876534510039708E-4</v>
      </c>
      <c r="G154" s="103">
        <f t="shared" si="90"/>
        <v>1.8399343556437385E-4</v>
      </c>
      <c r="H154" s="103">
        <f t="shared" si="90"/>
        <v>2.3429386291236439E-4</v>
      </c>
      <c r="I154" s="103">
        <f t="shared" si="90"/>
        <v>3.0855540321532773E-4</v>
      </c>
      <c r="J154" s="103">
        <f t="shared" si="90"/>
        <v>3.6874892515711781E-4</v>
      </c>
      <c r="K154" s="103">
        <f t="shared" si="90"/>
        <v>4.4568148754385161E-4</v>
      </c>
      <c r="L154" s="103">
        <f t="shared" ref="L154" si="91">IF(L38=0,0,L38/L$17)</f>
        <v>5.3224779598336886E-4</v>
      </c>
      <c r="M154" s="103">
        <f t="shared" ref="M154:V154" si="92">IF(M38=0,0,M38/M$17)</f>
        <v>6.0495271027889794E-4</v>
      </c>
      <c r="N154" s="103">
        <f t="shared" si="92"/>
        <v>6.1758000499173788E-4</v>
      </c>
      <c r="O154" s="103">
        <f t="shared" si="92"/>
        <v>5.6586601649025344E-4</v>
      </c>
      <c r="P154" s="103">
        <f t="shared" si="92"/>
        <v>5.5202576676025299E-4</v>
      </c>
      <c r="Q154" s="103">
        <f t="shared" si="92"/>
        <v>4.3982482886267051E-4</v>
      </c>
      <c r="R154" s="103">
        <f t="shared" si="92"/>
        <v>3.5640138513599238E-4</v>
      </c>
      <c r="S154" s="103">
        <f t="shared" si="92"/>
        <v>2.8751262672288439E-4</v>
      </c>
      <c r="T154" s="103">
        <f t="shared" si="92"/>
        <v>2.7901204904829015E-4</v>
      </c>
      <c r="U154" s="103">
        <f t="shared" si="92"/>
        <v>2.2828314977961267E-5</v>
      </c>
      <c r="V154" s="103">
        <f t="shared" si="92"/>
        <v>2.6000602115930477E-5</v>
      </c>
      <c r="W154" s="103">
        <f t="shared" ref="W154:Y154" si="93">IF(W38=0,0,W38/W$17)</f>
        <v>2.290434295019816E-5</v>
      </c>
      <c r="X154" s="103">
        <f t="shared" si="93"/>
        <v>2.2639841166097705E-5</v>
      </c>
      <c r="Y154" s="103">
        <f t="shared" si="93"/>
        <v>1.0287684169461172E-5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4.5318814011646163E-5</v>
      </c>
      <c r="G155" s="103">
        <f t="shared" si="94"/>
        <v>4.6954190993251906E-5</v>
      </c>
      <c r="H155" s="103">
        <f t="shared" si="94"/>
        <v>2.5661186829512006E-5</v>
      </c>
      <c r="I155" s="103">
        <f t="shared" si="94"/>
        <v>1.7376002398827287E-4</v>
      </c>
      <c r="J155" s="103">
        <f t="shared" si="94"/>
        <v>2.4486434399390494E-4</v>
      </c>
      <c r="K155" s="103">
        <f t="shared" si="94"/>
        <v>8.7598499363724378E-4</v>
      </c>
      <c r="L155" s="103">
        <f t="shared" ref="L155" si="95">IF(L39=0,0,L39/L$17)</f>
        <v>1.2005883512121187E-3</v>
      </c>
      <c r="M155" s="103">
        <f t="shared" ref="M155:V155" si="96">IF(M39=0,0,M39/M$17)</f>
        <v>1.1768142712841184E-3</v>
      </c>
      <c r="N155" s="103">
        <f t="shared" si="96"/>
        <v>1.2749409798129665E-3</v>
      </c>
      <c r="O155" s="103">
        <f t="shared" si="96"/>
        <v>1.3941925008183705E-3</v>
      </c>
      <c r="P155" s="103">
        <f t="shared" si="96"/>
        <v>1.5679256060581186E-3</v>
      </c>
      <c r="Q155" s="103">
        <f t="shared" si="96"/>
        <v>1.5327662826393868E-3</v>
      </c>
      <c r="R155" s="103">
        <f t="shared" si="96"/>
        <v>1.4251297319941225E-3</v>
      </c>
      <c r="S155" s="103">
        <f t="shared" si="96"/>
        <v>1.3795600506335669E-3</v>
      </c>
      <c r="T155" s="103">
        <f t="shared" si="96"/>
        <v>1.3089948339033476E-3</v>
      </c>
      <c r="U155" s="103">
        <f t="shared" si="96"/>
        <v>1.5390127788258376E-3</v>
      </c>
      <c r="V155" s="103">
        <f t="shared" si="96"/>
        <v>2.0141891978360756E-3</v>
      </c>
      <c r="W155" s="103">
        <f t="shared" ref="W155:Y155" si="97">IF(W39=0,0,W39/W$17)</f>
        <v>1.8429100265497779E-3</v>
      </c>
      <c r="X155" s="103">
        <f t="shared" si="97"/>
        <v>1.851717308568731E-3</v>
      </c>
      <c r="Y155" s="103">
        <f t="shared" si="97"/>
        <v>1.7437017892022405E-3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2.6485379529879368E-4</v>
      </c>
      <c r="C156" s="103">
        <f t="shared" si="98"/>
        <v>2.3469679161146481E-4</v>
      </c>
      <c r="D156" s="103">
        <f t="shared" si="98"/>
        <v>2.0749020703927397E-4</v>
      </c>
      <c r="E156" s="103">
        <f t="shared" si="98"/>
        <v>1.910332067882693E-4</v>
      </c>
      <c r="F156" s="103">
        <f t="shared" si="98"/>
        <v>1.8000513688071508E-4</v>
      </c>
      <c r="G156" s="103">
        <f t="shared" si="98"/>
        <v>1.7151714000357272E-4</v>
      </c>
      <c r="H156" s="103">
        <f t="shared" si="98"/>
        <v>1.789579465895545E-4</v>
      </c>
      <c r="I156" s="103">
        <f t="shared" si="98"/>
        <v>1.6150258533926526E-4</v>
      </c>
      <c r="J156" s="103">
        <f t="shared" si="98"/>
        <v>1.6674114896543749E-4</v>
      </c>
      <c r="K156" s="103">
        <f t="shared" si="98"/>
        <v>1.7918965521127798E-4</v>
      </c>
      <c r="L156" s="103">
        <f t="shared" ref="L156" si="99">IF(L41=0,0,L41/L$17)</f>
        <v>1.8388935248613147E-4</v>
      </c>
      <c r="M156" s="103">
        <f t="shared" ref="M156:V156" si="100">IF(M41=0,0,M41/M$17)</f>
        <v>1.9632119656527982E-4</v>
      </c>
      <c r="N156" s="103">
        <f t="shared" si="100"/>
        <v>2.1227564204846886E-4</v>
      </c>
      <c r="O156" s="103">
        <f t="shared" si="100"/>
        <v>2.198327636770435E-4</v>
      </c>
      <c r="P156" s="103">
        <f t="shared" si="100"/>
        <v>2.0744032731717543E-4</v>
      </c>
      <c r="Q156" s="103">
        <f t="shared" si="100"/>
        <v>2.1243081296636192E-4</v>
      </c>
      <c r="R156" s="103">
        <f t="shared" si="100"/>
        <v>2.2447023140563502E-4</v>
      </c>
      <c r="S156" s="103">
        <f t="shared" si="100"/>
        <v>2.1214081506393267E-4</v>
      </c>
      <c r="T156" s="103">
        <f t="shared" si="100"/>
        <v>2.2407831857397778E-4</v>
      </c>
      <c r="U156" s="103">
        <f t="shared" si="100"/>
        <v>2.3169576014187441E-4</v>
      </c>
      <c r="V156" s="103">
        <f t="shared" si="100"/>
        <v>2.7998797274833657E-4</v>
      </c>
      <c r="W156" s="103">
        <f t="shared" ref="W156:Y156" si="101">IF(W41=0,0,W41/W$17)</f>
        <v>2.7211221383614142E-4</v>
      </c>
      <c r="X156" s="103">
        <f t="shared" si="101"/>
        <v>3.2492971352706844E-4</v>
      </c>
      <c r="Y156" s="103">
        <f t="shared" si="101"/>
        <v>4.1190167249955252E-4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0.31617724688080634</v>
      </c>
      <c r="C157" s="46">
        <f t="shared" si="102"/>
        <v>0.33534460801509625</v>
      </c>
      <c r="D157" s="46">
        <f t="shared" si="102"/>
        <v>0.33567068598342958</v>
      </c>
      <c r="E157" s="46">
        <f t="shared" si="102"/>
        <v>0.3386211720567216</v>
      </c>
      <c r="F157" s="46">
        <f t="shared" si="102"/>
        <v>0.33589624723336375</v>
      </c>
      <c r="G157" s="46">
        <f t="shared" si="102"/>
        <v>0.34033137576756495</v>
      </c>
      <c r="H157" s="46">
        <f t="shared" si="102"/>
        <v>0.33079661024779367</v>
      </c>
      <c r="I157" s="46">
        <f t="shared" si="102"/>
        <v>0.32701144822911038</v>
      </c>
      <c r="J157" s="46">
        <f t="shared" si="102"/>
        <v>0.32760662938957641</v>
      </c>
      <c r="K157" s="46">
        <f t="shared" si="102"/>
        <v>0.32005285105660997</v>
      </c>
      <c r="L157" s="46">
        <f t="shared" ref="L157" si="103">IF(L42=0,0,L42/L$17)</f>
        <v>0.3338789670510165</v>
      </c>
      <c r="M157" s="46">
        <f t="shared" ref="M157:V157" si="104">IF(M42=0,0,M42/M$17)</f>
        <v>0.324027735041928</v>
      </c>
      <c r="N157" s="46">
        <f t="shared" si="104"/>
        <v>0.33025120042204753</v>
      </c>
      <c r="O157" s="46">
        <f t="shared" si="104"/>
        <v>0.35737547977042694</v>
      </c>
      <c r="P157" s="46">
        <f t="shared" si="104"/>
        <v>0.34793255879261353</v>
      </c>
      <c r="Q157" s="46">
        <f t="shared" si="104"/>
        <v>0.35016760643664974</v>
      </c>
      <c r="R157" s="46">
        <f t="shared" si="104"/>
        <v>0.35225627776430524</v>
      </c>
      <c r="S157" s="46">
        <f t="shared" si="104"/>
        <v>0.35769619972202504</v>
      </c>
      <c r="T157" s="46">
        <f t="shared" si="104"/>
        <v>0.36194132049407252</v>
      </c>
      <c r="U157" s="46">
        <f t="shared" si="104"/>
        <v>0.37046282180271584</v>
      </c>
      <c r="V157" s="46">
        <f t="shared" si="104"/>
        <v>0.40262821418833417</v>
      </c>
      <c r="W157" s="46">
        <f t="shared" ref="W157:Y157" si="105">IF(W42=0,0,W42/W$17)</f>
        <v>0.4065754555569997</v>
      </c>
      <c r="X157" s="46">
        <f t="shared" si="105"/>
        <v>0.37263564080789752</v>
      </c>
      <c r="Y157" s="46">
        <f t="shared" si="105"/>
        <v>0.35144947910728258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7.321964885134144E-2</v>
      </c>
      <c r="C158" s="154">
        <f t="shared" si="106"/>
        <v>6.9598845885388769E-2</v>
      </c>
      <c r="D158" s="154">
        <f t="shared" si="106"/>
        <v>6.4511577546227647E-2</v>
      </c>
      <c r="E158" s="154">
        <f t="shared" si="106"/>
        <v>6.0592850121093299E-2</v>
      </c>
      <c r="F158" s="154">
        <f t="shared" si="106"/>
        <v>5.9613683427098677E-2</v>
      </c>
      <c r="G158" s="154">
        <f t="shared" si="106"/>
        <v>5.860685630888595E-2</v>
      </c>
      <c r="H158" s="154">
        <f t="shared" si="106"/>
        <v>6.1201795488002947E-2</v>
      </c>
      <c r="I158" s="154">
        <f t="shared" si="106"/>
        <v>6.1398098999464377E-2</v>
      </c>
      <c r="J158" s="154">
        <f t="shared" si="106"/>
        <v>6.2532990939096686E-2</v>
      </c>
      <c r="K158" s="154">
        <f t="shared" si="106"/>
        <v>6.3528884238110497E-2</v>
      </c>
      <c r="L158" s="154">
        <f t="shared" ref="L158" si="107">IF(L43=0,0,L43/L$17)</f>
        <v>6.1746275209390133E-2</v>
      </c>
      <c r="M158" s="154">
        <f t="shared" ref="M158:V158" si="108">IF(M43=0,0,M43/M$17)</f>
        <v>6.5392657519080091E-2</v>
      </c>
      <c r="N158" s="154">
        <f t="shared" si="108"/>
        <v>6.5134641987350014E-2</v>
      </c>
      <c r="O158" s="154">
        <f t="shared" si="108"/>
        <v>6.310187897797663E-2</v>
      </c>
      <c r="P158" s="154">
        <f t="shared" si="108"/>
        <v>6.6158196415284615E-2</v>
      </c>
      <c r="Q158" s="154">
        <f t="shared" si="108"/>
        <v>6.6262262300719396E-2</v>
      </c>
      <c r="R158" s="154">
        <f t="shared" si="108"/>
        <v>6.6299350689389192E-2</v>
      </c>
      <c r="S158" s="154">
        <f t="shared" si="108"/>
        <v>6.610271081882664E-2</v>
      </c>
      <c r="T158" s="154">
        <f t="shared" si="108"/>
        <v>6.6138032945928377E-2</v>
      </c>
      <c r="U158" s="154">
        <f t="shared" si="108"/>
        <v>6.7840877333235863E-2</v>
      </c>
      <c r="V158" s="154">
        <f t="shared" si="108"/>
        <v>7.8557906113604872E-2</v>
      </c>
      <c r="W158" s="154">
        <f t="shared" ref="W158:Y158" si="109">IF(W43=0,0,W43/W$17)</f>
        <v>8.1268134631672401E-2</v>
      </c>
      <c r="X158" s="154">
        <f t="shared" si="109"/>
        <v>8.6522871640036803E-2</v>
      </c>
      <c r="Y158" s="154">
        <f t="shared" si="109"/>
        <v>8.8786554860840014E-2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1.1073381091678583E-2</v>
      </c>
      <c r="C159" s="103">
        <f t="shared" si="110"/>
        <v>9.4340744618231064E-3</v>
      </c>
      <c r="D159" s="103">
        <f t="shared" si="110"/>
        <v>5.8630400913319584E-3</v>
      </c>
      <c r="E159" s="103">
        <f t="shared" si="110"/>
        <v>4.7713788091260523E-3</v>
      </c>
      <c r="F159" s="103">
        <f t="shared" si="110"/>
        <v>4.1218802606870246E-3</v>
      </c>
      <c r="G159" s="103">
        <f t="shared" si="110"/>
        <v>3.6366965955084937E-3</v>
      </c>
      <c r="H159" s="103">
        <f t="shared" si="110"/>
        <v>3.5298967563857924E-3</v>
      </c>
      <c r="I159" s="103">
        <f t="shared" si="110"/>
        <v>3.3314040307239213E-3</v>
      </c>
      <c r="J159" s="103">
        <f t="shared" si="110"/>
        <v>3.2087402448943082E-3</v>
      </c>
      <c r="K159" s="103">
        <f t="shared" si="110"/>
        <v>3.1835230145231255E-3</v>
      </c>
      <c r="L159" s="103">
        <f t="shared" ref="L159" si="111">IF(L44=0,0,L44/L$17)</f>
        <v>2.9947648600978428E-3</v>
      </c>
      <c r="M159" s="103">
        <f t="shared" ref="M159:V159" si="112">IF(M44=0,0,M44/M$17)</f>
        <v>3.201417773534851E-3</v>
      </c>
      <c r="N159" s="103">
        <f t="shared" si="112"/>
        <v>3.200709852545623E-3</v>
      </c>
      <c r="O159" s="103">
        <f t="shared" si="112"/>
        <v>2.9177633031894127E-3</v>
      </c>
      <c r="P159" s="103">
        <f t="shared" si="112"/>
        <v>2.9896128299661041E-3</v>
      </c>
      <c r="Q159" s="103">
        <f t="shared" si="112"/>
        <v>2.9863155018332033E-3</v>
      </c>
      <c r="R159" s="103">
        <f t="shared" si="112"/>
        <v>2.876158702172399E-3</v>
      </c>
      <c r="S159" s="103">
        <f t="shared" si="112"/>
        <v>2.8515069579057137E-3</v>
      </c>
      <c r="T159" s="103">
        <f t="shared" si="112"/>
        <v>2.8693389484672994E-3</v>
      </c>
      <c r="U159" s="103">
        <f t="shared" si="112"/>
        <v>2.8296146338442725E-3</v>
      </c>
      <c r="V159" s="103">
        <f t="shared" si="112"/>
        <v>3.1524990556342941E-3</v>
      </c>
      <c r="W159" s="103">
        <f t="shared" ref="W159:Y159" si="113">IF(W44=0,0,W44/W$17)</f>
        <v>3.0581085082833923E-3</v>
      </c>
      <c r="X159" s="103">
        <f t="shared" si="113"/>
        <v>3.336565979866681E-3</v>
      </c>
      <c r="Y159" s="103">
        <f t="shared" si="113"/>
        <v>3.4640757675732546E-3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6.2145149072460867E-2</v>
      </c>
      <c r="C160" s="103">
        <f t="shared" si="114"/>
        <v>6.0163448521580697E-2</v>
      </c>
      <c r="D160" s="103">
        <f t="shared" si="114"/>
        <v>5.8647490992837503E-2</v>
      </c>
      <c r="E160" s="103">
        <f t="shared" si="114"/>
        <v>5.5817128774068692E-2</v>
      </c>
      <c r="F160" s="103">
        <f t="shared" si="114"/>
        <v>5.5482034205473027E-2</v>
      </c>
      <c r="G160" s="103">
        <f t="shared" si="114"/>
        <v>5.4931553783146375E-2</v>
      </c>
      <c r="H160" s="103">
        <f t="shared" si="114"/>
        <v>5.7620059865863001E-2</v>
      </c>
      <c r="I160" s="103">
        <f t="shared" si="114"/>
        <v>5.8002332928723616E-2</v>
      </c>
      <c r="J160" s="103">
        <f t="shared" si="114"/>
        <v>5.9242995027876506E-2</v>
      </c>
      <c r="K160" s="103">
        <f t="shared" si="114"/>
        <v>6.0286118134570382E-2</v>
      </c>
      <c r="L160" s="103">
        <f t="shared" ref="L160" si="115">IF(L46=0,0,L46/L$17)</f>
        <v>5.8697116865747252E-2</v>
      </c>
      <c r="M160" s="103">
        <f t="shared" ref="M160:V160" si="116">IF(M46=0,0,M46/M$17)</f>
        <v>6.2133661275061952E-2</v>
      </c>
      <c r="N160" s="103">
        <f t="shared" si="116"/>
        <v>6.1859179085555376E-2</v>
      </c>
      <c r="O160" s="103">
        <f t="shared" si="116"/>
        <v>5.9988421819977586E-2</v>
      </c>
      <c r="P160" s="103">
        <f t="shared" si="116"/>
        <v>6.2954127594810311E-2</v>
      </c>
      <c r="Q160" s="103">
        <f t="shared" si="116"/>
        <v>6.3059467110822803E-2</v>
      </c>
      <c r="R160" s="103">
        <f t="shared" si="116"/>
        <v>6.3085154123850226E-2</v>
      </c>
      <c r="S160" s="103">
        <f t="shared" si="116"/>
        <v>6.292652059020333E-2</v>
      </c>
      <c r="T160" s="103">
        <f t="shared" si="116"/>
        <v>6.2933484751754698E-2</v>
      </c>
      <c r="U160" s="103">
        <f t="shared" si="116"/>
        <v>6.4665543916334861E-2</v>
      </c>
      <c r="V160" s="103">
        <f t="shared" si="116"/>
        <v>7.4994533839605901E-2</v>
      </c>
      <c r="W160" s="103">
        <f t="shared" ref="W160:Y160" si="117">IF(W46=0,0,W46/W$17)</f>
        <v>7.7705969309336431E-2</v>
      </c>
      <c r="X160" s="103">
        <f t="shared" si="117"/>
        <v>8.2560687485912262E-2</v>
      </c>
      <c r="Y160" s="103">
        <f t="shared" si="117"/>
        <v>8.4541269827886137E-2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3.3977848394690382E-6</v>
      </c>
      <c r="F161" s="103">
        <f t="shared" si="118"/>
        <v>8.9056116526058092E-6</v>
      </c>
      <c r="G161" s="103">
        <f t="shared" si="118"/>
        <v>3.7838441279932455E-5</v>
      </c>
      <c r="H161" s="103">
        <f t="shared" si="118"/>
        <v>3.7644120867097087E-5</v>
      </c>
      <c r="I161" s="103">
        <f t="shared" si="118"/>
        <v>3.6794918578451354E-5</v>
      </c>
      <c r="J161" s="103">
        <f t="shared" si="118"/>
        <v>3.5874322322865463E-5</v>
      </c>
      <c r="K161" s="103">
        <f t="shared" si="118"/>
        <v>3.4434209277570489E-5</v>
      </c>
      <c r="L161" s="103">
        <f t="shared" ref="L161" si="119">IF(L48=0,0,L48/L$17)</f>
        <v>3.1052307525124344E-5</v>
      </c>
      <c r="M161" s="103">
        <f t="shared" ref="M161:V161" si="120">IF(M48=0,0,M48/M$17)</f>
        <v>3.0010201385569749E-5</v>
      </c>
      <c r="N161" s="103">
        <f t="shared" si="120"/>
        <v>3.1345483225488621E-5</v>
      </c>
      <c r="O161" s="103">
        <f t="shared" si="120"/>
        <v>3.1490495238355098E-5</v>
      </c>
      <c r="P161" s="103">
        <f t="shared" si="120"/>
        <v>3.5421271026242219E-5</v>
      </c>
      <c r="Q161" s="103">
        <f t="shared" si="120"/>
        <v>3.5997638436345411E-5</v>
      </c>
      <c r="R161" s="103">
        <f t="shared" si="120"/>
        <v>5.8830686017875195E-5</v>
      </c>
      <c r="S161" s="103">
        <f t="shared" si="120"/>
        <v>5.9544410819016979E-5</v>
      </c>
      <c r="T161" s="103">
        <f t="shared" si="120"/>
        <v>5.8738830355488726E-5</v>
      </c>
      <c r="U161" s="103">
        <f t="shared" si="120"/>
        <v>6.3545948640642794E-5</v>
      </c>
      <c r="V161" s="103">
        <f t="shared" si="120"/>
        <v>8.0694160592496194E-5</v>
      </c>
      <c r="W161" s="103">
        <f t="shared" ref="W161:Y161" si="121">IF(W48=0,0,W48/W$17)</f>
        <v>8.4440956992570636E-5</v>
      </c>
      <c r="X161" s="103">
        <f t="shared" si="121"/>
        <v>9.3716026056372021E-5</v>
      </c>
      <c r="Y161" s="103">
        <f t="shared" si="121"/>
        <v>9.761692400653842E-5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1.3471078059719426E-5</v>
      </c>
      <c r="I162" s="103">
        <f t="shared" si="122"/>
        <v>2.6706407175907105E-5</v>
      </c>
      <c r="J162" s="103">
        <f t="shared" si="122"/>
        <v>4.441929028295579E-5</v>
      </c>
      <c r="K162" s="103">
        <f t="shared" si="122"/>
        <v>2.3441668154232267E-5</v>
      </c>
      <c r="L162" s="103">
        <f t="shared" ref="L162" si="123">IF(L49=0,0,L49/L$17)</f>
        <v>2.1369605865888277E-5</v>
      </c>
      <c r="M162" s="103">
        <f t="shared" ref="M162:V162" si="124">IF(M49=0,0,M49/M$17)</f>
        <v>2.4364561231329608E-5</v>
      </c>
      <c r="N162" s="103">
        <f t="shared" si="124"/>
        <v>3.2128166592478115E-5</v>
      </c>
      <c r="O162" s="103">
        <f t="shared" si="124"/>
        <v>1.4704879992064455E-4</v>
      </c>
      <c r="P162" s="103">
        <f t="shared" si="124"/>
        <v>1.5606678892131449E-4</v>
      </c>
      <c r="Q162" s="103">
        <f t="shared" si="124"/>
        <v>1.5091147966866665E-4</v>
      </c>
      <c r="R162" s="103">
        <f t="shared" si="124"/>
        <v>2.3860385231973982E-4</v>
      </c>
      <c r="S162" s="103">
        <f t="shared" si="124"/>
        <v>2.1788312179470194E-4</v>
      </c>
      <c r="T162" s="103">
        <f t="shared" si="124"/>
        <v>2.1714735497352583E-4</v>
      </c>
      <c r="U162" s="103">
        <f t="shared" si="124"/>
        <v>2.0744643861618026E-4</v>
      </c>
      <c r="V162" s="103">
        <f t="shared" si="124"/>
        <v>2.1202453363266483E-4</v>
      </c>
      <c r="W162" s="103">
        <f t="shared" ref="W162:Y162" si="125">IF(W49=0,0,W49/W$17)</f>
        <v>1.9288374333167836E-4</v>
      </c>
      <c r="X162" s="103">
        <f t="shared" si="125"/>
        <v>1.8457773562350537E-4</v>
      </c>
      <c r="Y162" s="103">
        <f t="shared" si="125"/>
        <v>1.687412563375968E-4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1.1186872019917001E-6</v>
      </c>
      <c r="C163" s="103">
        <f t="shared" si="126"/>
        <v>1.3229019849676262E-6</v>
      </c>
      <c r="D163" s="103">
        <f t="shared" si="126"/>
        <v>1.0464620581793519E-6</v>
      </c>
      <c r="E163" s="103">
        <f t="shared" si="126"/>
        <v>9.4475305908836197E-7</v>
      </c>
      <c r="F163" s="103">
        <f t="shared" si="126"/>
        <v>8.6334928602178634E-7</v>
      </c>
      <c r="G163" s="103">
        <f t="shared" si="126"/>
        <v>7.674889511456253E-7</v>
      </c>
      <c r="H163" s="103">
        <f t="shared" si="126"/>
        <v>7.2366682733686585E-7</v>
      </c>
      <c r="I163" s="103">
        <f t="shared" si="126"/>
        <v>8.6071426247419492E-7</v>
      </c>
      <c r="J163" s="103">
        <f t="shared" si="126"/>
        <v>9.6205372005622637E-7</v>
      </c>
      <c r="K163" s="103">
        <f t="shared" si="126"/>
        <v>1.3672115851868851E-6</v>
      </c>
      <c r="L163" s="103">
        <f t="shared" ref="L163" si="127">IF(L51=0,0,L51/L$17)</f>
        <v>1.9715701540172899E-6</v>
      </c>
      <c r="M163" s="103">
        <f t="shared" ref="M163:V163" si="128">IF(M51=0,0,M51/M$17)</f>
        <v>3.2037078663866132E-6</v>
      </c>
      <c r="N163" s="103">
        <f t="shared" si="128"/>
        <v>1.1279399431064579E-5</v>
      </c>
      <c r="O163" s="103">
        <f t="shared" si="128"/>
        <v>1.715455965063831E-5</v>
      </c>
      <c r="P163" s="103">
        <f t="shared" si="128"/>
        <v>2.296793056064797E-5</v>
      </c>
      <c r="Q163" s="103">
        <f t="shared" si="128"/>
        <v>2.9570569958387815E-5</v>
      </c>
      <c r="R163" s="103">
        <f t="shared" si="128"/>
        <v>4.0603325028944776E-5</v>
      </c>
      <c r="S163" s="103">
        <f t="shared" si="128"/>
        <v>4.7255738103867015E-5</v>
      </c>
      <c r="T163" s="103">
        <f t="shared" si="128"/>
        <v>5.9323060377371154E-5</v>
      </c>
      <c r="U163" s="103">
        <f t="shared" si="128"/>
        <v>7.4726395799913517E-5</v>
      </c>
      <c r="V163" s="103">
        <f t="shared" si="128"/>
        <v>1.1815452413952367E-4</v>
      </c>
      <c r="W163" s="103">
        <f t="shared" ref="W163:Y163" si="129">IF(W51=0,0,W51/W$17)</f>
        <v>2.2673211372831227E-4</v>
      </c>
      <c r="X163" s="103">
        <f t="shared" si="129"/>
        <v>3.4732441257797773E-4</v>
      </c>
      <c r="Y163" s="103">
        <f t="shared" si="129"/>
        <v>5.1485108503646743E-4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0.2429575980294649</v>
      </c>
      <c r="C164" s="156">
        <f t="shared" si="130"/>
        <v>0.26574576212970746</v>
      </c>
      <c r="D164" s="156">
        <f t="shared" si="130"/>
        <v>0.27115910843720187</v>
      </c>
      <c r="E164" s="156">
        <f t="shared" si="130"/>
        <v>0.27802832193562832</v>
      </c>
      <c r="F164" s="156">
        <f t="shared" si="130"/>
        <v>0.27628256380626509</v>
      </c>
      <c r="G164" s="156">
        <f t="shared" si="130"/>
        <v>0.28172451945867893</v>
      </c>
      <c r="H164" s="156">
        <f t="shared" si="130"/>
        <v>0.26959481475979075</v>
      </c>
      <c r="I164" s="156">
        <f t="shared" si="130"/>
        <v>0.26561334922964597</v>
      </c>
      <c r="J164" s="156">
        <f t="shared" si="130"/>
        <v>0.26507363845047971</v>
      </c>
      <c r="K164" s="156">
        <f t="shared" si="130"/>
        <v>0.25652396681849948</v>
      </c>
      <c r="L164" s="156">
        <f t="shared" ref="L164" si="131">IF(L52=0,0,L52/L$17)</f>
        <v>0.27213269184162636</v>
      </c>
      <c r="M164" s="156">
        <f t="shared" ref="M164:V164" si="132">IF(M52=0,0,M52/M$17)</f>
        <v>0.25863507752284792</v>
      </c>
      <c r="N164" s="156">
        <f t="shared" si="132"/>
        <v>0.2651165584346975</v>
      </c>
      <c r="O164" s="156">
        <f t="shared" si="132"/>
        <v>0.2942736007924503</v>
      </c>
      <c r="P164" s="156">
        <f t="shared" si="132"/>
        <v>0.28177436237732889</v>
      </c>
      <c r="Q164" s="156">
        <f t="shared" si="132"/>
        <v>0.28390534413593033</v>
      </c>
      <c r="R164" s="156">
        <f t="shared" si="132"/>
        <v>0.28595692707491599</v>
      </c>
      <c r="S164" s="156">
        <f t="shared" si="132"/>
        <v>0.29159348890319836</v>
      </c>
      <c r="T164" s="156">
        <f t="shared" si="132"/>
        <v>0.29580328754814417</v>
      </c>
      <c r="U164" s="156">
        <f t="shared" si="132"/>
        <v>0.30262194446947993</v>
      </c>
      <c r="V164" s="156">
        <f t="shared" si="132"/>
        <v>0.32407030807472925</v>
      </c>
      <c r="W164" s="156">
        <f t="shared" ref="W164:Y164" si="133">IF(W52=0,0,W52/W$17)</f>
        <v>0.32530732092532733</v>
      </c>
      <c r="X164" s="156">
        <f t="shared" si="133"/>
        <v>0.28611276916786071</v>
      </c>
      <c r="Y164" s="156">
        <f t="shared" si="133"/>
        <v>0.26266292424644261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0.10045509687906633</v>
      </c>
      <c r="C165" s="104">
        <f t="shared" si="134"/>
        <v>9.7119920164183429E-2</v>
      </c>
      <c r="D165" s="104">
        <f t="shared" si="134"/>
        <v>8.9866064566798409E-2</v>
      </c>
      <c r="E165" s="104">
        <f t="shared" si="134"/>
        <v>8.8064247628238057E-2</v>
      </c>
      <c r="F165" s="104">
        <f t="shared" si="134"/>
        <v>8.1418934542066071E-2</v>
      </c>
      <c r="G165" s="104">
        <f t="shared" si="134"/>
        <v>7.881838409647822E-2</v>
      </c>
      <c r="H165" s="104">
        <f t="shared" si="134"/>
        <v>8.8873437911816941E-2</v>
      </c>
      <c r="I165" s="104">
        <f t="shared" si="134"/>
        <v>8.6847981200031427E-2</v>
      </c>
      <c r="J165" s="104">
        <f t="shared" si="134"/>
        <v>8.664129409257057E-2</v>
      </c>
      <c r="K165" s="104">
        <f t="shared" si="134"/>
        <v>8.4645713520505317E-2</v>
      </c>
      <c r="L165" s="104">
        <f t="shared" ref="L165" si="135">IF(L53=0,0,L53/L$17)</f>
        <v>8.2762337498798438E-2</v>
      </c>
      <c r="M165" s="104">
        <f t="shared" ref="M165:V165" si="136">IF(M53=0,0,M53/M$17)</f>
        <v>8.5878787338435153E-2</v>
      </c>
      <c r="N165" s="104">
        <f t="shared" si="136"/>
        <v>8.5271960605673713E-2</v>
      </c>
      <c r="O165" s="104">
        <f t="shared" si="136"/>
        <v>8.3463715079296147E-2</v>
      </c>
      <c r="P165" s="104">
        <f t="shared" si="136"/>
        <v>8.4951475257485809E-2</v>
      </c>
      <c r="Q165" s="104">
        <f t="shared" si="136"/>
        <v>8.7286055600160908E-2</v>
      </c>
      <c r="R165" s="104">
        <f t="shared" si="136"/>
        <v>8.9112953724695756E-2</v>
      </c>
      <c r="S165" s="104">
        <f t="shared" si="136"/>
        <v>8.9121556507763974E-2</v>
      </c>
      <c r="T165" s="104">
        <f t="shared" si="136"/>
        <v>8.8823164467829202E-2</v>
      </c>
      <c r="U165" s="104">
        <f t="shared" si="136"/>
        <v>8.9257445846957176E-2</v>
      </c>
      <c r="V165" s="104">
        <f t="shared" si="136"/>
        <v>9.6283523252309572E-2</v>
      </c>
      <c r="W165" s="104">
        <f t="shared" ref="W165:Y165" si="137">IF(W53=0,0,W53/W$17)</f>
        <v>9.706397735239336E-2</v>
      </c>
      <c r="X165" s="104">
        <f t="shared" si="137"/>
        <v>9.4347774587520666E-2</v>
      </c>
      <c r="Y165" s="104">
        <f t="shared" si="137"/>
        <v>9.1681060339438666E-2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0.14250250115039861</v>
      </c>
      <c r="C166" s="105">
        <f t="shared" si="138"/>
        <v>0.16862584196552402</v>
      </c>
      <c r="D166" s="105">
        <f t="shared" si="138"/>
        <v>0.18129304387040349</v>
      </c>
      <c r="E166" s="105">
        <f t="shared" si="138"/>
        <v>0.18996407430739023</v>
      </c>
      <c r="F166" s="105">
        <f t="shared" si="138"/>
        <v>0.19486362926419901</v>
      </c>
      <c r="G166" s="105">
        <f t="shared" si="138"/>
        <v>0.20290613536220076</v>
      </c>
      <c r="H166" s="105">
        <f t="shared" si="138"/>
        <v>0.18072137684797376</v>
      </c>
      <c r="I166" s="105">
        <f t="shared" si="138"/>
        <v>0.17876536802961457</v>
      </c>
      <c r="J166" s="105">
        <f t="shared" si="138"/>
        <v>0.17843234435790914</v>
      </c>
      <c r="K166" s="105">
        <f t="shared" si="138"/>
        <v>0.17187825329799417</v>
      </c>
      <c r="L166" s="105">
        <f t="shared" ref="L166" si="139">IF(L55=0,0,L55/L$17)</f>
        <v>0.18937035434282792</v>
      </c>
      <c r="M166" s="105">
        <f t="shared" ref="M166:V166" si="140">IF(M55=0,0,M55/M$17)</f>
        <v>0.17275629018441274</v>
      </c>
      <c r="N166" s="105">
        <f t="shared" si="140"/>
        <v>0.17984459782902379</v>
      </c>
      <c r="O166" s="105">
        <f t="shared" si="140"/>
        <v>0.21080988571315415</v>
      </c>
      <c r="P166" s="105">
        <f t="shared" si="140"/>
        <v>0.19682288711984311</v>
      </c>
      <c r="Q166" s="105">
        <f t="shared" si="140"/>
        <v>0.1966192885357694</v>
      </c>
      <c r="R166" s="105">
        <f t="shared" si="140"/>
        <v>0.19684397335022027</v>
      </c>
      <c r="S166" s="105">
        <f t="shared" si="140"/>
        <v>0.2024719323954344</v>
      </c>
      <c r="T166" s="105">
        <f t="shared" si="140"/>
        <v>0.20698012308031496</v>
      </c>
      <c r="U166" s="105">
        <f t="shared" si="140"/>
        <v>0.21336449862252271</v>
      </c>
      <c r="V166" s="105">
        <f t="shared" si="140"/>
        <v>0.22778678482241968</v>
      </c>
      <c r="W166" s="105">
        <f t="shared" ref="W166:Y166" si="141">IF(W55=0,0,W55/W$17)</f>
        <v>0.22824334357293394</v>
      </c>
      <c r="X166" s="105">
        <f t="shared" si="141"/>
        <v>0.19176499458034002</v>
      </c>
      <c r="Y166" s="105">
        <f t="shared" si="141"/>
        <v>0.17098186390700393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17798.201511120002</v>
      </c>
      <c r="C4" s="146">
        <f t="shared" si="0"/>
        <v>19137.494764800002</v>
      </c>
      <c r="D4" s="146">
        <f t="shared" si="0"/>
        <v>21236.565013200001</v>
      </c>
      <c r="E4" s="146">
        <f t="shared" si="0"/>
        <v>22718.072040480001</v>
      </c>
      <c r="F4" s="146">
        <f t="shared" si="0"/>
        <v>23032.312335360002</v>
      </c>
      <c r="G4" s="146">
        <f t="shared" si="0"/>
        <v>23724.341958239998</v>
      </c>
      <c r="H4" s="146">
        <f t="shared" si="0"/>
        <v>22563.394295040001</v>
      </c>
      <c r="I4" s="146">
        <f t="shared" si="0"/>
        <v>22733.268906599998</v>
      </c>
      <c r="J4" s="146">
        <f t="shared" si="0"/>
        <v>21728.57470488</v>
      </c>
      <c r="K4" s="146">
        <f t="shared" si="0"/>
        <v>20798.693907119999</v>
      </c>
      <c r="L4" s="146">
        <f t="shared" ref="L4" si="1">L5+L9+L10+L15</f>
        <v>21625.751645279997</v>
      </c>
      <c r="M4" s="146">
        <f t="shared" ref="M4:V4" si="2">M5+M9+M10+M15</f>
        <v>20647.225249199997</v>
      </c>
      <c r="N4" s="146">
        <f t="shared" si="2"/>
        <v>20593.291339440002</v>
      </c>
      <c r="O4" s="146">
        <f t="shared" si="2"/>
        <v>21927.949169399995</v>
      </c>
      <c r="P4" s="146">
        <f t="shared" si="2"/>
        <v>21567.498315479999</v>
      </c>
      <c r="Q4" s="146">
        <f t="shared" si="2"/>
        <v>22016.921388840001</v>
      </c>
      <c r="R4" s="146">
        <f t="shared" si="2"/>
        <v>22797.887559119998</v>
      </c>
      <c r="S4" s="146">
        <f t="shared" si="2"/>
        <v>23273.951638319999</v>
      </c>
      <c r="T4" s="146">
        <f t="shared" si="2"/>
        <v>23617.369216080002</v>
      </c>
      <c r="U4" s="146">
        <f t="shared" si="2"/>
        <v>23699.289177514438</v>
      </c>
      <c r="V4" s="146">
        <f t="shared" si="2"/>
        <v>20768.553283410147</v>
      </c>
      <c r="W4" s="146">
        <f t="shared" ref="W4:Y4" si="3">W5+W9+W10+W15</f>
        <v>21582.99352870919</v>
      </c>
      <c r="X4" s="146">
        <f t="shared" si="3"/>
        <v>20525.974686130958</v>
      </c>
      <c r="Y4" s="146">
        <f t="shared" si="3"/>
        <v>19846.104569561339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17798.201511120002</v>
      </c>
      <c r="C5" s="101">
        <f t="shared" si="4"/>
        <v>19137.494764800002</v>
      </c>
      <c r="D5" s="101">
        <f t="shared" si="4"/>
        <v>21236.565013200001</v>
      </c>
      <c r="E5" s="101">
        <f t="shared" si="4"/>
        <v>22718.072040480001</v>
      </c>
      <c r="F5" s="101">
        <f t="shared" si="4"/>
        <v>23031.504495360001</v>
      </c>
      <c r="G5" s="101">
        <f t="shared" si="4"/>
        <v>23723.474741999999</v>
      </c>
      <c r="H5" s="101">
        <f t="shared" si="4"/>
        <v>22562.54666892</v>
      </c>
      <c r="I5" s="101">
        <f t="shared" si="4"/>
        <v>22729.04935632</v>
      </c>
      <c r="J5" s="101">
        <f t="shared" si="4"/>
        <v>21720.91597776</v>
      </c>
      <c r="K5" s="101">
        <f t="shared" si="4"/>
        <v>20780.230521959998</v>
      </c>
      <c r="L5" s="101">
        <f t="shared" ref="L5" si="5">SUM(L6:L8)</f>
        <v>21600.287720639997</v>
      </c>
      <c r="M5" s="101">
        <f t="shared" ref="M5:V5" si="6">SUM(M6:M8)</f>
        <v>20619.956609999997</v>
      </c>
      <c r="N5" s="101">
        <f t="shared" si="6"/>
        <v>20563.412569200002</v>
      </c>
      <c r="O5" s="101">
        <f t="shared" si="6"/>
        <v>21891.607275239996</v>
      </c>
      <c r="P5" s="101">
        <f t="shared" si="6"/>
        <v>21528.100968480001</v>
      </c>
      <c r="Q5" s="101">
        <f t="shared" si="6"/>
        <v>21976.169698080001</v>
      </c>
      <c r="R5" s="101">
        <f t="shared" si="6"/>
        <v>22757.252197319998</v>
      </c>
      <c r="S5" s="101">
        <f t="shared" si="6"/>
        <v>23233.749480719998</v>
      </c>
      <c r="T5" s="101">
        <f t="shared" si="6"/>
        <v>23578.290763920002</v>
      </c>
      <c r="U5" s="101">
        <f t="shared" si="6"/>
        <v>23656.271904360001</v>
      </c>
      <c r="V5" s="101">
        <f t="shared" si="6"/>
        <v>20722.928933880001</v>
      </c>
      <c r="W5" s="101">
        <f t="shared" ref="W5:Y5" si="7">SUM(W6:W8)</f>
        <v>21539.484435239996</v>
      </c>
      <c r="X5" s="101">
        <f t="shared" si="7"/>
        <v>20484.159617519996</v>
      </c>
      <c r="Y5" s="101">
        <f t="shared" si="7"/>
        <v>19807.979606999994</v>
      </c>
      <c r="DA5" s="175"/>
    </row>
    <row r="6" spans="1:105" ht="11.45" customHeight="1" x14ac:dyDescent="0.25">
      <c r="A6" s="128" t="s">
        <v>52</v>
      </c>
      <c r="B6" s="101">
        <v>43.539075719999992</v>
      </c>
      <c r="C6" s="101">
        <v>46.441499040000004</v>
      </c>
      <c r="D6" s="101">
        <v>60.954524280000001</v>
      </c>
      <c r="E6" s="101">
        <v>72.56489904</v>
      </c>
      <c r="F6" s="101">
        <v>60.954524280000001</v>
      </c>
      <c r="G6" s="101">
        <v>58.641126840000005</v>
      </c>
      <c r="H6" s="101">
        <v>59.68901592000001</v>
      </c>
      <c r="I6" s="101">
        <v>58.107073679999992</v>
      </c>
      <c r="J6" s="101">
        <v>63.067793760000022</v>
      </c>
      <c r="K6" s="101">
        <v>59.48888796</v>
      </c>
      <c r="L6" s="101">
        <v>55.970861040000003</v>
      </c>
      <c r="M6" s="101">
        <v>53.764910280000002</v>
      </c>
      <c r="N6" s="101">
        <v>56.75706180000001</v>
      </c>
      <c r="O6" s="101">
        <v>53.085701880000016</v>
      </c>
      <c r="P6" s="101">
        <v>46.673429399999996</v>
      </c>
      <c r="Q6" s="101">
        <v>35.509878359999995</v>
      </c>
      <c r="R6" s="101">
        <v>32.204018879999992</v>
      </c>
      <c r="S6" s="101">
        <v>30.658649400000016</v>
      </c>
      <c r="T6" s="101">
        <v>21.733078680000002</v>
      </c>
      <c r="U6" s="101">
        <v>13.87856736</v>
      </c>
      <c r="V6" s="101">
        <v>8.0698589999999992</v>
      </c>
      <c r="W6" s="101">
        <v>6.6264843600000001</v>
      </c>
      <c r="X6" s="101">
        <v>7.6246254000000002</v>
      </c>
      <c r="Y6" s="101">
        <v>4.9850262000000001</v>
      </c>
      <c r="DA6" s="175" t="s">
        <v>741</v>
      </c>
    </row>
    <row r="7" spans="1:105" ht="11.45" customHeight="1" x14ac:dyDescent="0.25">
      <c r="A7" s="128" t="s">
        <v>53</v>
      </c>
      <c r="B7" s="101">
        <v>5839.4119568400001</v>
      </c>
      <c r="C7" s="101">
        <v>5865.9815768400003</v>
      </c>
      <c r="D7" s="101">
        <v>6323.5695599999999</v>
      </c>
      <c r="E7" s="101">
        <v>6474.1307399999996</v>
      </c>
      <c r="F7" s="101">
        <v>6367.8522599999997</v>
      </c>
      <c r="G7" s="101">
        <v>6205.4855146800001</v>
      </c>
      <c r="H7" s="101">
        <v>5967.8713659600007</v>
      </c>
      <c r="I7" s="101">
        <v>5822.1472676400008</v>
      </c>
      <c r="J7" s="101">
        <v>5483.5689002399995</v>
      </c>
      <c r="K7" s="101">
        <v>5162.1839107199994</v>
      </c>
      <c r="L7" s="101">
        <v>5141.1590963999988</v>
      </c>
      <c r="M7" s="101">
        <v>4752.8829781199993</v>
      </c>
      <c r="N7" s="101">
        <v>4620.0240651600006</v>
      </c>
      <c r="O7" s="101">
        <v>4542.5495678399984</v>
      </c>
      <c r="P7" s="101">
        <v>4462.6303774800008</v>
      </c>
      <c r="Q7" s="101">
        <v>4511.1989761200002</v>
      </c>
      <c r="R7" s="101">
        <v>4459.0477150799998</v>
      </c>
      <c r="S7" s="101">
        <v>4411.3405532400002</v>
      </c>
      <c r="T7" s="101">
        <v>4577.7929083200006</v>
      </c>
      <c r="U7" s="101">
        <v>4557.7197716399987</v>
      </c>
      <c r="V7" s="101">
        <v>3780.94201092</v>
      </c>
      <c r="W7" s="101">
        <v>3978.8588674799989</v>
      </c>
      <c r="X7" s="101">
        <v>4110.1362233999989</v>
      </c>
      <c r="Y7" s="101">
        <v>4471.6742294399974</v>
      </c>
      <c r="DA7" s="175" t="s">
        <v>742</v>
      </c>
    </row>
    <row r="8" spans="1:105" ht="11.45" customHeight="1" x14ac:dyDescent="0.25">
      <c r="A8" s="128" t="s">
        <v>54</v>
      </c>
      <c r="B8" s="101">
        <v>11915.250478560001</v>
      </c>
      <c r="C8" s="101">
        <v>13225.071688919999</v>
      </c>
      <c r="D8" s="101">
        <v>14852.04092892</v>
      </c>
      <c r="E8" s="101">
        <v>16171.37640144</v>
      </c>
      <c r="F8" s="101">
        <v>16602.69771108</v>
      </c>
      <c r="G8" s="101">
        <v>17459.348100479998</v>
      </c>
      <c r="H8" s="101">
        <v>16534.986287039999</v>
      </c>
      <c r="I8" s="101">
        <v>16848.795015</v>
      </c>
      <c r="J8" s="101">
        <v>16174.279283759999</v>
      </c>
      <c r="K8" s="101">
        <v>15558.557723279999</v>
      </c>
      <c r="L8" s="101">
        <v>16403.157763199997</v>
      </c>
      <c r="M8" s="101">
        <v>15813.308721599999</v>
      </c>
      <c r="N8" s="101">
        <v>15886.631442239999</v>
      </c>
      <c r="O8" s="101">
        <v>17295.972005519998</v>
      </c>
      <c r="P8" s="101">
        <v>17018.7971616</v>
      </c>
      <c r="Q8" s="101">
        <v>17429.460843600002</v>
      </c>
      <c r="R8" s="101">
        <v>18266.000463359997</v>
      </c>
      <c r="S8" s="101">
        <v>18791.750278079999</v>
      </c>
      <c r="T8" s="101">
        <v>18978.764776920001</v>
      </c>
      <c r="U8" s="101">
        <v>19084.673565360001</v>
      </c>
      <c r="V8" s="101">
        <v>16933.917063960002</v>
      </c>
      <c r="W8" s="101">
        <v>17553.999083399998</v>
      </c>
      <c r="X8" s="101">
        <v>16366.398768719999</v>
      </c>
      <c r="Y8" s="101">
        <v>15331.320351359998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0.80783999999999989</v>
      </c>
      <c r="G9" s="101">
        <v>0.86721623999999975</v>
      </c>
      <c r="H9" s="101">
        <v>0.84762612000000026</v>
      </c>
      <c r="I9" s="101">
        <v>4.21955028</v>
      </c>
      <c r="J9" s="101">
        <v>7.65872712</v>
      </c>
      <c r="K9" s="101">
        <v>18.463385160000005</v>
      </c>
      <c r="L9" s="101">
        <v>25.463924639999998</v>
      </c>
      <c r="M9" s="101">
        <v>27.268639200000003</v>
      </c>
      <c r="N9" s="101">
        <v>29.878770239999994</v>
      </c>
      <c r="O9" s="101">
        <v>36.34189416000001</v>
      </c>
      <c r="P9" s="101">
        <v>39.397346999999989</v>
      </c>
      <c r="Q9" s="101">
        <v>40.751690759999995</v>
      </c>
      <c r="R9" s="101">
        <v>40.63536180000002</v>
      </c>
      <c r="S9" s="101">
        <v>40.2021576</v>
      </c>
      <c r="T9" s="101">
        <v>39.078452159999998</v>
      </c>
      <c r="U9" s="101">
        <v>43.017273154438357</v>
      </c>
      <c r="V9" s="101">
        <v>45.624349530145437</v>
      </c>
      <c r="W9" s="101">
        <v>43.509093469193296</v>
      </c>
      <c r="X9" s="101">
        <v>41.815068610963095</v>
      </c>
      <c r="Y9" s="101">
        <v>38.124962561347019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17798.201511120002</v>
      </c>
      <c r="C17" s="79">
        <f t="shared" si="12"/>
        <v>19137.494764800002</v>
      </c>
      <c r="D17" s="79">
        <f t="shared" si="12"/>
        <v>21236.565013200005</v>
      </c>
      <c r="E17" s="79">
        <f t="shared" si="12"/>
        <v>22718.072040480001</v>
      </c>
      <c r="F17" s="79">
        <f t="shared" si="12"/>
        <v>23032.312335360002</v>
      </c>
      <c r="G17" s="79">
        <f t="shared" si="12"/>
        <v>23724.341958239998</v>
      </c>
      <c r="H17" s="79">
        <f t="shared" si="12"/>
        <v>22563.394295039998</v>
      </c>
      <c r="I17" s="79">
        <f t="shared" si="12"/>
        <v>22733.268906600002</v>
      </c>
      <c r="J17" s="79">
        <f t="shared" si="12"/>
        <v>21728.574704879997</v>
      </c>
      <c r="K17" s="79">
        <f t="shared" si="12"/>
        <v>20798.693907119999</v>
      </c>
      <c r="L17" s="79">
        <f t="shared" ref="L17" si="13">SUM(L18,L33)</f>
        <v>21625.751645279994</v>
      </c>
      <c r="M17" s="79">
        <f t="shared" ref="M17:V17" si="14">SUM(M18,M33)</f>
        <v>20647.225249199997</v>
      </c>
      <c r="N17" s="79">
        <f t="shared" si="14"/>
        <v>20593.291339440002</v>
      </c>
      <c r="O17" s="79">
        <f t="shared" si="14"/>
        <v>21927.949169399999</v>
      </c>
      <c r="P17" s="79">
        <f t="shared" si="14"/>
        <v>21567.498315479999</v>
      </c>
      <c r="Q17" s="79">
        <f t="shared" si="14"/>
        <v>22016.921388840005</v>
      </c>
      <c r="R17" s="79">
        <f t="shared" si="14"/>
        <v>22797.887559119998</v>
      </c>
      <c r="S17" s="79">
        <f t="shared" si="14"/>
        <v>23273.951638319999</v>
      </c>
      <c r="T17" s="79">
        <f t="shared" si="14"/>
        <v>23617.369216080006</v>
      </c>
      <c r="U17" s="79">
        <f t="shared" si="14"/>
        <v>23699.289177514438</v>
      </c>
      <c r="V17" s="79">
        <f t="shared" si="14"/>
        <v>20768.553283410147</v>
      </c>
      <c r="W17" s="79">
        <f t="shared" ref="W17:Y17" si="15">SUM(W18,W33)</f>
        <v>21582.993528709194</v>
      </c>
      <c r="X17" s="79">
        <f t="shared" si="15"/>
        <v>20525.974686130961</v>
      </c>
      <c r="Y17" s="79">
        <f t="shared" si="15"/>
        <v>19846.104569561343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12059.421744625461</v>
      </c>
      <c r="C18" s="32">
        <f t="shared" si="16"/>
        <v>12599.169290659333</v>
      </c>
      <c r="D18" s="32">
        <f t="shared" si="16"/>
        <v>13972.487177176255</v>
      </c>
      <c r="E18" s="32">
        <f t="shared" si="16"/>
        <v>14882.906355260158</v>
      </c>
      <c r="F18" s="32">
        <f t="shared" si="16"/>
        <v>15156.481659649678</v>
      </c>
      <c r="G18" s="32">
        <f t="shared" si="16"/>
        <v>15533.245249093618</v>
      </c>
      <c r="H18" s="32">
        <f t="shared" si="16"/>
        <v>15057.006321599029</v>
      </c>
      <c r="I18" s="32">
        <f t="shared" si="16"/>
        <v>15261.78359670801</v>
      </c>
      <c r="J18" s="32">
        <f t="shared" si="16"/>
        <v>14550.6943532594</v>
      </c>
      <c r="K18" s="32">
        <f t="shared" si="16"/>
        <v>14093.828373303224</v>
      </c>
      <c r="L18" s="32">
        <f t="shared" ref="L18" si="17">SUM(L19,L20,L27)</f>
        <v>14342.402822176929</v>
      </c>
      <c r="M18" s="32">
        <f t="shared" ref="M18:V18" si="18">SUM(M19,M20,M27)</f>
        <v>13901.068304778122</v>
      </c>
      <c r="N18" s="32">
        <f t="shared" si="18"/>
        <v>13732.027464609075</v>
      </c>
      <c r="O18" s="32">
        <f t="shared" si="18"/>
        <v>14033.054735510075</v>
      </c>
      <c r="P18" s="32">
        <f t="shared" si="18"/>
        <v>14036.363780118674</v>
      </c>
      <c r="Q18" s="32">
        <f t="shared" si="18"/>
        <v>14295.183753094676</v>
      </c>
      <c r="R18" s="32">
        <f t="shared" si="18"/>
        <v>14723.840285084074</v>
      </c>
      <c r="S18" s="32">
        <f t="shared" si="18"/>
        <v>14885.74599348544</v>
      </c>
      <c r="T18" s="32">
        <f t="shared" si="18"/>
        <v>15004.701233057691</v>
      </c>
      <c r="U18" s="32">
        <f t="shared" si="18"/>
        <v>14849.071968284734</v>
      </c>
      <c r="V18" s="32">
        <f t="shared" si="18"/>
        <v>12319.178738800463</v>
      </c>
      <c r="W18" s="32">
        <f t="shared" ref="W18:Y18" si="19">SUM(W19,W20,W27)</f>
        <v>12712.618697378488</v>
      </c>
      <c r="X18" s="32">
        <f t="shared" si="19"/>
        <v>12781.916567132932</v>
      </c>
      <c r="Y18" s="32">
        <f t="shared" si="19"/>
        <v>12741.531129202753</v>
      </c>
      <c r="DA18" s="173" t="s">
        <v>403</v>
      </c>
    </row>
    <row r="19" spans="1:105" ht="11.45" customHeight="1" x14ac:dyDescent="0.25">
      <c r="A19" s="136" t="s">
        <v>173</v>
      </c>
      <c r="B19" s="141">
        <v>95.748810063378244</v>
      </c>
      <c r="C19" s="141">
        <v>98.164770051777992</v>
      </c>
      <c r="D19" s="141">
        <v>101.17274727681641</v>
      </c>
      <c r="E19" s="141">
        <v>104.04598290445058</v>
      </c>
      <c r="F19" s="141">
        <v>108.8484338820938</v>
      </c>
      <c r="G19" s="141">
        <v>111.52496490971674</v>
      </c>
      <c r="H19" s="141">
        <v>114.6783849669454</v>
      </c>
      <c r="I19" s="141">
        <v>117.99844142562365</v>
      </c>
      <c r="J19" s="141">
        <v>119.75492202336835</v>
      </c>
      <c r="K19" s="141">
        <v>122.17042885804462</v>
      </c>
      <c r="L19" s="141">
        <v>125.6123028939959</v>
      </c>
      <c r="M19" s="141">
        <v>129.36366201547776</v>
      </c>
      <c r="N19" s="141">
        <v>134.67295830803741</v>
      </c>
      <c r="O19" s="141">
        <v>139.61819462337905</v>
      </c>
      <c r="P19" s="141">
        <v>145.02110976154592</v>
      </c>
      <c r="Q19" s="141">
        <v>149.72219723545049</v>
      </c>
      <c r="R19" s="141">
        <v>152.92981696367653</v>
      </c>
      <c r="S19" s="141">
        <v>151.35265301093037</v>
      </c>
      <c r="T19" s="141">
        <v>144.79696164147276</v>
      </c>
      <c r="U19" s="141">
        <v>154.04033139959586</v>
      </c>
      <c r="V19" s="141">
        <v>138.16818894451123</v>
      </c>
      <c r="W19" s="141">
        <v>138.38983611633185</v>
      </c>
      <c r="X19" s="141">
        <v>141.09797581241395</v>
      </c>
      <c r="Y19" s="141">
        <v>149.12342115218473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11172.142684952065</v>
      </c>
      <c r="C20" s="130">
        <f t="shared" si="20"/>
        <v>11707.157968596952</v>
      </c>
      <c r="D20" s="130">
        <f t="shared" si="20"/>
        <v>13050.267854418362</v>
      </c>
      <c r="E20" s="130">
        <f t="shared" si="20"/>
        <v>13933.542684999828</v>
      </c>
      <c r="F20" s="130">
        <f t="shared" si="20"/>
        <v>14211.304618644879</v>
      </c>
      <c r="G20" s="130">
        <f t="shared" si="20"/>
        <v>14598.422010269051</v>
      </c>
      <c r="H20" s="130">
        <f t="shared" si="20"/>
        <v>14161.021947932488</v>
      </c>
      <c r="I20" s="130">
        <f t="shared" si="20"/>
        <v>14325.447428026897</v>
      </c>
      <c r="J20" s="130">
        <f t="shared" si="20"/>
        <v>13643.821843489843</v>
      </c>
      <c r="K20" s="130">
        <f t="shared" si="20"/>
        <v>13264.548083293223</v>
      </c>
      <c r="L20" s="130">
        <f t="shared" ref="L20" si="21">SUM(L21:L26)</f>
        <v>13446.068010970506</v>
      </c>
      <c r="M20" s="130">
        <f t="shared" ref="M20:V20" si="22">SUM(M21:M26)</f>
        <v>13011.105608523694</v>
      </c>
      <c r="N20" s="130">
        <f t="shared" si="22"/>
        <v>12836.610225837532</v>
      </c>
      <c r="O20" s="130">
        <f t="shared" si="22"/>
        <v>13133.551550947668</v>
      </c>
      <c r="P20" s="130">
        <f t="shared" si="22"/>
        <v>13122.826756525717</v>
      </c>
      <c r="Q20" s="130">
        <f t="shared" si="22"/>
        <v>13366.863564747497</v>
      </c>
      <c r="R20" s="130">
        <f t="shared" si="22"/>
        <v>13742.762386419587</v>
      </c>
      <c r="S20" s="130">
        <f t="shared" si="22"/>
        <v>13869.812006663911</v>
      </c>
      <c r="T20" s="130">
        <f t="shared" si="22"/>
        <v>14029.310397796804</v>
      </c>
      <c r="U20" s="130">
        <f t="shared" si="22"/>
        <v>13872.933375437065</v>
      </c>
      <c r="V20" s="130">
        <f t="shared" si="22"/>
        <v>11361.501347047202</v>
      </c>
      <c r="W20" s="130">
        <f t="shared" ref="W20:Y20" si="23">SUM(W21:W26)</f>
        <v>11759.393385176303</v>
      </c>
      <c r="X20" s="130">
        <f t="shared" si="23"/>
        <v>11845.87944714689</v>
      </c>
      <c r="Y20" s="130">
        <f t="shared" si="23"/>
        <v>11818.528311814425</v>
      </c>
      <c r="DA20" s="176" t="s">
        <v>405</v>
      </c>
    </row>
    <row r="21" spans="1:105" ht="11.45" customHeight="1" x14ac:dyDescent="0.25">
      <c r="A21" s="111" t="s">
        <v>110</v>
      </c>
      <c r="B21" s="96">
        <v>5554.1491281615872</v>
      </c>
      <c r="C21" s="96">
        <v>5594.3928505675631</v>
      </c>
      <c r="D21" s="96">
        <v>6102.7977755347874</v>
      </c>
      <c r="E21" s="96">
        <v>6266.0381262084193</v>
      </c>
      <c r="F21" s="96">
        <v>6167.9451362186792</v>
      </c>
      <c r="G21" s="96">
        <v>6010.7486024206428</v>
      </c>
      <c r="H21" s="96">
        <v>5774.4882725070083</v>
      </c>
      <c r="I21" s="96">
        <v>5629.2077269949041</v>
      </c>
      <c r="J21" s="96">
        <v>5295.5309358697386</v>
      </c>
      <c r="K21" s="96">
        <v>4975.0048079100416</v>
      </c>
      <c r="L21" s="96">
        <v>4952.3024299401432</v>
      </c>
      <c r="M21" s="96">
        <v>4558.9898308682104</v>
      </c>
      <c r="N21" s="96">
        <v>4420.9746936188149</v>
      </c>
      <c r="O21" s="96">
        <v>4340.2946076959479</v>
      </c>
      <c r="P21" s="96">
        <v>4253.3041827898505</v>
      </c>
      <c r="Q21" s="96">
        <v>4294.7706134533055</v>
      </c>
      <c r="R21" s="96">
        <v>4239.7165451765941</v>
      </c>
      <c r="S21" s="96">
        <v>4191.7916094348266</v>
      </c>
      <c r="T21" s="96">
        <v>4361.7141233491511</v>
      </c>
      <c r="U21" s="96">
        <v>4331.439988731584</v>
      </c>
      <c r="V21" s="96">
        <v>3569.8683813052648</v>
      </c>
      <c r="W21" s="96">
        <v>3759.3782310602733</v>
      </c>
      <c r="X21" s="96">
        <v>3878.2484066964466</v>
      </c>
      <c r="Y21" s="96">
        <v>4223.1451854441839</v>
      </c>
      <c r="DA21" s="171" t="s">
        <v>751</v>
      </c>
    </row>
    <row r="22" spans="1:105" ht="11.45" customHeight="1" x14ac:dyDescent="0.25">
      <c r="A22" s="111" t="s">
        <v>111</v>
      </c>
      <c r="B22" s="96">
        <v>5574.4544810704774</v>
      </c>
      <c r="C22" s="96">
        <v>6066.71107416015</v>
      </c>
      <c r="D22" s="96">
        <v>6887.819021833473</v>
      </c>
      <c r="E22" s="96">
        <v>7596.9365591124479</v>
      </c>
      <c r="F22" s="96">
        <v>7985.1652540822743</v>
      </c>
      <c r="G22" s="96">
        <v>8533.6406101642697</v>
      </c>
      <c r="H22" s="96">
        <v>8332.2079311607213</v>
      </c>
      <c r="I22" s="96">
        <v>8644.677522512764</v>
      </c>
      <c r="J22" s="96">
        <v>8290.7185953627632</v>
      </c>
      <c r="K22" s="96">
        <v>8236.383101573123</v>
      </c>
      <c r="L22" s="96">
        <v>8445.3822998202031</v>
      </c>
      <c r="M22" s="96">
        <v>8403.7449062851683</v>
      </c>
      <c r="N22" s="96">
        <v>8363.4227634716553</v>
      </c>
      <c r="O22" s="96">
        <v>8743.5119942377969</v>
      </c>
      <c r="P22" s="96">
        <v>8824.9194088578279</v>
      </c>
      <c r="Q22" s="96">
        <v>9034.9931021182147</v>
      </c>
      <c r="R22" s="96">
        <v>9467.5786177049558</v>
      </c>
      <c r="S22" s="96">
        <v>9640.9131668206264</v>
      </c>
      <c r="T22" s="96">
        <v>9637.7724774912622</v>
      </c>
      <c r="U22" s="96">
        <v>9512.6744466978125</v>
      </c>
      <c r="V22" s="96">
        <v>7767.3029615550449</v>
      </c>
      <c r="W22" s="96">
        <v>7970.2302074004647</v>
      </c>
      <c r="X22" s="96">
        <v>7929.9950303822025</v>
      </c>
      <c r="Y22" s="96">
        <v>7552.0454414656188</v>
      </c>
      <c r="DA22" s="171" t="s">
        <v>752</v>
      </c>
    </row>
    <row r="23" spans="1:105" ht="11.45" customHeight="1" x14ac:dyDescent="0.25">
      <c r="A23" s="111" t="s">
        <v>112</v>
      </c>
      <c r="B23" s="96">
        <v>43.539075719999992</v>
      </c>
      <c r="C23" s="96">
        <v>46.054043869238292</v>
      </c>
      <c r="D23" s="96">
        <v>59.651057050100661</v>
      </c>
      <c r="E23" s="96">
        <v>70.567999678960803</v>
      </c>
      <c r="F23" s="96">
        <v>58.194228343925815</v>
      </c>
      <c r="G23" s="96">
        <v>54.032797684137641</v>
      </c>
      <c r="H23" s="96">
        <v>54.182596855867978</v>
      </c>
      <c r="I23" s="96">
        <v>51.006881036541493</v>
      </c>
      <c r="J23" s="96">
        <v>55.025273317472134</v>
      </c>
      <c r="K23" s="96">
        <v>50.186881084164163</v>
      </c>
      <c r="L23" s="96">
        <v>44.683809977067661</v>
      </c>
      <c r="M23" s="96">
        <v>41.580284387148787</v>
      </c>
      <c r="N23" s="96">
        <v>44.350243469560255</v>
      </c>
      <c r="O23" s="96">
        <v>40.969029837441433</v>
      </c>
      <c r="P23" s="96">
        <v>34.79412384339583</v>
      </c>
      <c r="Q23" s="96">
        <v>25.632408950791312</v>
      </c>
      <c r="R23" s="96">
        <v>23.429062424322098</v>
      </c>
      <c r="S23" s="96">
        <v>23.243360492750323</v>
      </c>
      <c r="T23" s="96">
        <v>14.399759566190747</v>
      </c>
      <c r="U23" s="96">
        <v>11.998707531754643</v>
      </c>
      <c r="V23" s="96">
        <v>6.0389665234476686</v>
      </c>
      <c r="W23" s="96">
        <v>4.500421354933545</v>
      </c>
      <c r="X23" s="96">
        <v>5.4257994716973927</v>
      </c>
      <c r="Y23" s="96">
        <v>2.9754214662544873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0.14314740889202085</v>
      </c>
      <c r="I24" s="96">
        <v>0.55529748268720636</v>
      </c>
      <c r="J24" s="96">
        <v>2.5470389398681514</v>
      </c>
      <c r="K24" s="96">
        <v>2.9732927258944732</v>
      </c>
      <c r="L24" s="96">
        <v>3.6994712330926816</v>
      </c>
      <c r="M24" s="96">
        <v>6.7887086090655382</v>
      </c>
      <c r="N24" s="96">
        <v>7.6806497710563173</v>
      </c>
      <c r="O24" s="96">
        <v>8.5802650941238703</v>
      </c>
      <c r="P24" s="96">
        <v>9.3833820649724426</v>
      </c>
      <c r="Q24" s="96">
        <v>10.404978347572627</v>
      </c>
      <c r="R24" s="96">
        <v>10.097706670923944</v>
      </c>
      <c r="S24" s="96">
        <v>10.304801772657612</v>
      </c>
      <c r="T24" s="96">
        <v>10.253517599872033</v>
      </c>
      <c r="U24" s="96">
        <v>9.9647554055506546</v>
      </c>
      <c r="V24" s="96">
        <v>8.6440696597260551</v>
      </c>
      <c r="W24" s="96">
        <v>8.375412406059116</v>
      </c>
      <c r="X24" s="96">
        <v>8.3255266068026579</v>
      </c>
      <c r="Y24" s="96">
        <v>7.5639401957160732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1.8783741016868572E-3</v>
      </c>
      <c r="N25" s="96">
        <v>0.18187550644456432</v>
      </c>
      <c r="O25" s="96">
        <v>0.19565408235761977</v>
      </c>
      <c r="P25" s="96">
        <v>0.42565896967126776</v>
      </c>
      <c r="Q25" s="96">
        <v>1.0624618776124266</v>
      </c>
      <c r="R25" s="96">
        <v>1.9404544427905379</v>
      </c>
      <c r="S25" s="96">
        <v>3.5590681430492572</v>
      </c>
      <c r="T25" s="96">
        <v>5.1705197903257902</v>
      </c>
      <c r="U25" s="96">
        <v>6.8554770703631442</v>
      </c>
      <c r="V25" s="96">
        <v>9.6469680037189303</v>
      </c>
      <c r="W25" s="96">
        <v>16.909112954572461</v>
      </c>
      <c r="X25" s="96">
        <v>23.884683989741838</v>
      </c>
      <c r="Y25" s="96">
        <v>32.798323242651279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791.53024961001677</v>
      </c>
      <c r="C27" s="130">
        <f t="shared" si="24"/>
        <v>793.84655201060139</v>
      </c>
      <c r="D27" s="130">
        <f t="shared" si="24"/>
        <v>821.04657548107662</v>
      </c>
      <c r="E27" s="130">
        <f t="shared" si="24"/>
        <v>845.31768735587957</v>
      </c>
      <c r="F27" s="130">
        <f t="shared" si="24"/>
        <v>836.32860712270451</v>
      </c>
      <c r="G27" s="130">
        <f t="shared" si="24"/>
        <v>823.29827391485014</v>
      </c>
      <c r="H27" s="130">
        <f t="shared" si="24"/>
        <v>781.30598869959658</v>
      </c>
      <c r="I27" s="130">
        <f t="shared" si="24"/>
        <v>818.33772725548977</v>
      </c>
      <c r="J27" s="130">
        <f t="shared" si="24"/>
        <v>787.11758774618841</v>
      </c>
      <c r="K27" s="130">
        <f t="shared" si="24"/>
        <v>707.10986115195715</v>
      </c>
      <c r="L27" s="130">
        <f t="shared" ref="L27" si="25">SUM(L28:L32)</f>
        <v>770.72250831242593</v>
      </c>
      <c r="M27" s="130">
        <f t="shared" ref="M27:V27" si="26">SUM(M28:M32)</f>
        <v>760.59903423895082</v>
      </c>
      <c r="N27" s="130">
        <f t="shared" si="26"/>
        <v>760.74428046350442</v>
      </c>
      <c r="O27" s="130">
        <f t="shared" si="26"/>
        <v>759.88498993902704</v>
      </c>
      <c r="P27" s="130">
        <f t="shared" si="26"/>
        <v>768.51591383141033</v>
      </c>
      <c r="Q27" s="130">
        <f t="shared" si="26"/>
        <v>778.59799111172902</v>
      </c>
      <c r="R27" s="130">
        <f t="shared" si="26"/>
        <v>828.14808170081096</v>
      </c>
      <c r="S27" s="130">
        <f t="shared" si="26"/>
        <v>864.58133381059861</v>
      </c>
      <c r="T27" s="130">
        <f t="shared" si="26"/>
        <v>830.59387361941424</v>
      </c>
      <c r="U27" s="130">
        <f t="shared" si="26"/>
        <v>822.09826144807357</v>
      </c>
      <c r="V27" s="130">
        <f t="shared" si="26"/>
        <v>819.50920280874846</v>
      </c>
      <c r="W27" s="130">
        <f t="shared" ref="W27:Y27" si="27">SUM(W28:W32)</f>
        <v>814.83547608585206</v>
      </c>
      <c r="X27" s="130">
        <f t="shared" si="27"/>
        <v>794.93914417362873</v>
      </c>
      <c r="Y27" s="130">
        <f t="shared" si="27"/>
        <v>773.87939623614409</v>
      </c>
      <c r="DA27" s="176" t="s">
        <v>406</v>
      </c>
    </row>
    <row r="28" spans="1:105" ht="11.45" customHeight="1" x14ac:dyDescent="0.25">
      <c r="A28" s="111" t="s">
        <v>110</v>
      </c>
      <c r="B28" s="97">
        <v>0.37134800164981063</v>
      </c>
      <c r="C28" s="97">
        <v>0.40374237954216624</v>
      </c>
      <c r="D28" s="97">
        <v>0.35800490041892208</v>
      </c>
      <c r="E28" s="97">
        <v>0.33592601487792317</v>
      </c>
      <c r="F28" s="97">
        <v>0.29491243833138087</v>
      </c>
      <c r="G28" s="97">
        <v>0.23118436105404938</v>
      </c>
      <c r="H28" s="97">
        <v>0.19505019336371204</v>
      </c>
      <c r="I28" s="97">
        <v>0.19851311408560449</v>
      </c>
      <c r="J28" s="97">
        <v>0.15494281755388964</v>
      </c>
      <c r="K28" s="97">
        <v>0.10583095031573123</v>
      </c>
      <c r="L28" s="97">
        <v>0.11415471897591349</v>
      </c>
      <c r="M28" s="97">
        <v>8.3082106210708148E-2</v>
      </c>
      <c r="N28" s="97">
        <v>8.3526496112087761E-2</v>
      </c>
      <c r="O28" s="97">
        <v>5.2761713692257885E-2</v>
      </c>
      <c r="P28" s="97">
        <v>6.2926327097911156E-2</v>
      </c>
      <c r="Q28" s="97">
        <v>5.1008965705539845E-2</v>
      </c>
      <c r="R28" s="97">
        <v>6.7533589757030832E-2</v>
      </c>
      <c r="S28" s="97">
        <v>6.8367502766058658E-2</v>
      </c>
      <c r="T28" s="97">
        <v>6.8057441855274098E-2</v>
      </c>
      <c r="U28" s="97">
        <v>6.6619130250282751E-2</v>
      </c>
      <c r="V28" s="97">
        <v>4.8709367348497873E-2</v>
      </c>
      <c r="W28" s="97">
        <v>6.4851303734158108E-2</v>
      </c>
      <c r="X28" s="97">
        <v>6.2454270307515859E-2</v>
      </c>
      <c r="Y28" s="97">
        <v>4.3433387593625868E-2</v>
      </c>
      <c r="DA28" s="175" t="s">
        <v>757</v>
      </c>
    </row>
    <row r="29" spans="1:105" ht="11.45" customHeight="1" x14ac:dyDescent="0.25">
      <c r="A29" s="111" t="s">
        <v>111</v>
      </c>
      <c r="B29" s="97">
        <v>791.15890160836693</v>
      </c>
      <c r="C29" s="97">
        <v>793.05535446029739</v>
      </c>
      <c r="D29" s="97">
        <v>819.38510335075841</v>
      </c>
      <c r="E29" s="97">
        <v>843.05210878995763</v>
      </c>
      <c r="F29" s="97">
        <v>832.64411582549747</v>
      </c>
      <c r="G29" s="97">
        <v>818.37759887037305</v>
      </c>
      <c r="H29" s="97">
        <v>775.9048022957146</v>
      </c>
      <c r="I29" s="97">
        <v>808.6194065338982</v>
      </c>
      <c r="J29" s="97">
        <v>775.30639059817213</v>
      </c>
      <c r="K29" s="97">
        <v>683.28279360753106</v>
      </c>
      <c r="L29" s="97">
        <v>738.55967246662624</v>
      </c>
      <c r="M29" s="97">
        <v>728.84268900054963</v>
      </c>
      <c r="N29" s="97">
        <v>727.20074675045009</v>
      </c>
      <c r="O29" s="97">
        <v>723.24139308815495</v>
      </c>
      <c r="P29" s="97">
        <v>729.99305859915512</v>
      </c>
      <c r="Q29" s="97">
        <v>741.79010339638967</v>
      </c>
      <c r="R29" s="97">
        <v>794.39073380592708</v>
      </c>
      <c r="S29" s="97">
        <v>832.55040639655829</v>
      </c>
      <c r="T29" s="97">
        <v>799.74427236225301</v>
      </c>
      <c r="U29" s="97">
        <v>792.40830253576735</v>
      </c>
      <c r="V29" s="97">
        <v>785.50730324798076</v>
      </c>
      <c r="W29" s="97">
        <v>782.51208725627293</v>
      </c>
      <c r="X29" s="97">
        <v>763.99493614778044</v>
      </c>
      <c r="Y29" s="97">
        <v>745.77984505071151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0.38745517076171265</v>
      </c>
      <c r="D30" s="97">
        <v>1.3034672298993382</v>
      </c>
      <c r="E30" s="97">
        <v>1.9296525510440343</v>
      </c>
      <c r="F30" s="97">
        <v>2.5817388588756409</v>
      </c>
      <c r="G30" s="97">
        <v>3.822274443423161</v>
      </c>
      <c r="H30" s="97">
        <v>4.7441706208870444</v>
      </c>
      <c r="I30" s="97">
        <v>6.3437114887561812</v>
      </c>
      <c r="J30" s="97">
        <v>7.329462128552108</v>
      </c>
      <c r="K30" s="97">
        <v>8.6348609075109017</v>
      </c>
      <c r="L30" s="97">
        <v>10.664844572156023</v>
      </c>
      <c r="M30" s="97">
        <v>11.60874489234717</v>
      </c>
      <c r="N30" s="97">
        <v>11.807523460813215</v>
      </c>
      <c r="O30" s="97">
        <v>11.477924501066553</v>
      </c>
      <c r="P30" s="97">
        <v>11.163019534787598</v>
      </c>
      <c r="Q30" s="97">
        <v>9.1302042065436844</v>
      </c>
      <c r="R30" s="97">
        <v>7.5317078149118526</v>
      </c>
      <c r="S30" s="97">
        <v>6.1430513172493244</v>
      </c>
      <c r="T30" s="97">
        <v>6.0579691039762817</v>
      </c>
      <c r="U30" s="97">
        <v>0.4968381839189186</v>
      </c>
      <c r="V30" s="97">
        <v>0.49491114542685388</v>
      </c>
      <c r="W30" s="97">
        <v>0.45363957460394921</v>
      </c>
      <c r="X30" s="97">
        <v>0.42783463315595521</v>
      </c>
      <c r="Y30" s="97">
        <v>0.19159681088417446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0.80783999999999989</v>
      </c>
      <c r="G31" s="97">
        <v>0.86721623999999975</v>
      </c>
      <c r="H31" s="97">
        <v>0.46196558963113793</v>
      </c>
      <c r="I31" s="97">
        <v>3.1760961187497556</v>
      </c>
      <c r="J31" s="97">
        <v>4.3267922019102674</v>
      </c>
      <c r="K31" s="97">
        <v>15.086375686599473</v>
      </c>
      <c r="L31" s="97">
        <v>21.383836554667774</v>
      </c>
      <c r="M31" s="97">
        <v>20.064518239843281</v>
      </c>
      <c r="N31" s="97">
        <v>21.652483756129026</v>
      </c>
      <c r="O31" s="97">
        <v>25.112910636113241</v>
      </c>
      <c r="P31" s="97">
        <v>27.296909370369701</v>
      </c>
      <c r="Q31" s="97">
        <v>27.626674543090122</v>
      </c>
      <c r="R31" s="97">
        <v>26.158106490215012</v>
      </c>
      <c r="S31" s="97">
        <v>25.819508594024985</v>
      </c>
      <c r="T31" s="97">
        <v>24.723574711329665</v>
      </c>
      <c r="U31" s="97">
        <v>29.126501598136972</v>
      </c>
      <c r="V31" s="97">
        <v>33.45827904799242</v>
      </c>
      <c r="W31" s="97">
        <v>31.80489795124106</v>
      </c>
      <c r="X31" s="97">
        <v>30.453919122384843</v>
      </c>
      <c r="Y31" s="97">
        <v>27.864520986954709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5738.7797664945419</v>
      </c>
      <c r="C33" s="32">
        <f t="shared" si="28"/>
        <v>6538.3254741406708</v>
      </c>
      <c r="D33" s="32">
        <f t="shared" si="28"/>
        <v>7264.0778360237482</v>
      </c>
      <c r="E33" s="32">
        <f t="shared" si="28"/>
        <v>7835.1656852198412</v>
      </c>
      <c r="F33" s="32">
        <f t="shared" si="28"/>
        <v>7875.8306757103228</v>
      </c>
      <c r="G33" s="32">
        <f t="shared" si="28"/>
        <v>8191.0967091463808</v>
      </c>
      <c r="H33" s="32">
        <f t="shared" si="28"/>
        <v>7506.3879734409702</v>
      </c>
      <c r="I33" s="32">
        <f t="shared" si="28"/>
        <v>7471.4853098919903</v>
      </c>
      <c r="J33" s="32">
        <f t="shared" si="28"/>
        <v>7177.880351620598</v>
      </c>
      <c r="K33" s="32">
        <f t="shared" si="28"/>
        <v>6704.8655338167764</v>
      </c>
      <c r="L33" s="32">
        <f t="shared" ref="L33" si="29">L34+L40</f>
        <v>7283.3488231030642</v>
      </c>
      <c r="M33" s="32">
        <f t="shared" ref="M33:V33" si="30">M34+M40</f>
        <v>6746.1569444218767</v>
      </c>
      <c r="N33" s="32">
        <f t="shared" si="30"/>
        <v>6861.2638748309264</v>
      </c>
      <c r="O33" s="32">
        <f t="shared" si="30"/>
        <v>7894.8944338899228</v>
      </c>
      <c r="P33" s="32">
        <f t="shared" si="30"/>
        <v>7531.134535361326</v>
      </c>
      <c r="Q33" s="32">
        <f t="shared" si="30"/>
        <v>7721.7376357453268</v>
      </c>
      <c r="R33" s="32">
        <f t="shared" si="30"/>
        <v>8074.0472740359237</v>
      </c>
      <c r="S33" s="32">
        <f t="shared" si="30"/>
        <v>8388.2056448345593</v>
      </c>
      <c r="T33" s="32">
        <f t="shared" si="30"/>
        <v>8612.6679830223147</v>
      </c>
      <c r="U33" s="32">
        <f t="shared" si="30"/>
        <v>8850.2172092297023</v>
      </c>
      <c r="V33" s="32">
        <f t="shared" si="30"/>
        <v>8449.3745446096837</v>
      </c>
      <c r="W33" s="32">
        <f t="shared" ref="W33:Y33" si="31">W34+W40</f>
        <v>8870.3748313307042</v>
      </c>
      <c r="X33" s="32">
        <f t="shared" si="31"/>
        <v>7744.0581189980276</v>
      </c>
      <c r="Y33" s="32">
        <f t="shared" si="31"/>
        <v>7104.5734403585911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1319.5258870790765</v>
      </c>
      <c r="C34" s="141">
        <f t="shared" si="32"/>
        <v>1348.0674442857087</v>
      </c>
      <c r="D34" s="141">
        <f t="shared" si="32"/>
        <v>1389.7636743956098</v>
      </c>
      <c r="E34" s="141">
        <f t="shared" si="32"/>
        <v>1396.4235869836612</v>
      </c>
      <c r="F34" s="141">
        <f t="shared" si="32"/>
        <v>1392.8336267953355</v>
      </c>
      <c r="G34" s="141">
        <f t="shared" si="32"/>
        <v>1406.6249609721858</v>
      </c>
      <c r="H34" s="141">
        <f t="shared" si="32"/>
        <v>1387.3305735798051</v>
      </c>
      <c r="I34" s="141">
        <f t="shared" si="32"/>
        <v>1401.4982105949884</v>
      </c>
      <c r="J34" s="141">
        <f t="shared" si="32"/>
        <v>1368.0925231631256</v>
      </c>
      <c r="K34" s="141">
        <f t="shared" si="32"/>
        <v>1329.2952855551384</v>
      </c>
      <c r="L34" s="141">
        <f t="shared" ref="L34" si="33">SUM(L35:L39)</f>
        <v>1344.9944957138591</v>
      </c>
      <c r="M34" s="141">
        <f t="shared" ref="M34:V34" si="34">SUM(M35:M39)</f>
        <v>1359.5072575226466</v>
      </c>
      <c r="N34" s="141">
        <f t="shared" si="34"/>
        <v>1350.9644021677896</v>
      </c>
      <c r="O34" s="141">
        <f t="shared" si="34"/>
        <v>1391.4246654473211</v>
      </c>
      <c r="P34" s="141">
        <f t="shared" si="34"/>
        <v>1430.3003666506775</v>
      </c>
      <c r="Q34" s="141">
        <f t="shared" si="34"/>
        <v>1459.9035592722335</v>
      </c>
      <c r="R34" s="141">
        <f t="shared" si="34"/>
        <v>1516.6484266086798</v>
      </c>
      <c r="S34" s="141">
        <f t="shared" si="34"/>
        <v>1546.3965028510463</v>
      </c>
      <c r="T34" s="141">
        <f t="shared" si="34"/>
        <v>1569.8180683828841</v>
      </c>
      <c r="U34" s="141">
        <f t="shared" si="34"/>
        <v>1616.3828738993232</v>
      </c>
      <c r="V34" s="141">
        <f t="shared" si="34"/>
        <v>1643.2929830747516</v>
      </c>
      <c r="W34" s="141">
        <f t="shared" ref="W34:Y34" si="35">SUM(W35:W39)</f>
        <v>1766.1096964146661</v>
      </c>
      <c r="X34" s="141">
        <f t="shared" si="35"/>
        <v>1789.8075784065541</v>
      </c>
      <c r="Y34" s="141">
        <f t="shared" si="35"/>
        <v>1783.6746351751924</v>
      </c>
      <c r="DA34" s="174" t="s">
        <v>412</v>
      </c>
    </row>
    <row r="35" spans="1:105" ht="11.45" customHeight="1" x14ac:dyDescent="0.25">
      <c r="A35" s="111" t="s">
        <v>110</v>
      </c>
      <c r="B35" s="96">
        <v>189.14267061338515</v>
      </c>
      <c r="C35" s="96">
        <v>173.02021384111757</v>
      </c>
      <c r="D35" s="96">
        <v>119.24103228797635</v>
      </c>
      <c r="E35" s="96">
        <v>103.71070487225272</v>
      </c>
      <c r="F35" s="96">
        <v>90.763777460896151</v>
      </c>
      <c r="G35" s="96">
        <v>82.980762988586406</v>
      </c>
      <c r="H35" s="96">
        <v>78.509658292683426</v>
      </c>
      <c r="I35" s="96">
        <v>74.742586105386962</v>
      </c>
      <c r="J35" s="96">
        <v>68.12809952933813</v>
      </c>
      <c r="K35" s="96">
        <v>64.902843001598328</v>
      </c>
      <c r="L35" s="96">
        <v>63.130208846883832</v>
      </c>
      <c r="M35" s="96">
        <v>64.444524755999467</v>
      </c>
      <c r="N35" s="96">
        <v>64.111011230591387</v>
      </c>
      <c r="O35" s="96">
        <v>62.388349724621598</v>
      </c>
      <c r="P35" s="96">
        <v>63.816499631834823</v>
      </c>
      <c r="Q35" s="96">
        <v>65.592694587926175</v>
      </c>
      <c r="R35" s="96">
        <v>64.393364907181763</v>
      </c>
      <c r="S35" s="96">
        <v>64.56885514842736</v>
      </c>
      <c r="T35" s="96">
        <v>66.043246097195478</v>
      </c>
      <c r="U35" s="96">
        <v>65.3173553082068</v>
      </c>
      <c r="V35" s="96">
        <v>63.209763299155881</v>
      </c>
      <c r="W35" s="96">
        <v>64.116836045087496</v>
      </c>
      <c r="X35" s="96">
        <v>66.84270263108867</v>
      </c>
      <c r="Y35" s="96">
        <v>66.563866213384244</v>
      </c>
      <c r="DA35" s="171" t="s">
        <v>762</v>
      </c>
    </row>
    <row r="36" spans="1:105" ht="11.45" customHeight="1" x14ac:dyDescent="0.25">
      <c r="A36" s="111" t="s">
        <v>111</v>
      </c>
      <c r="B36" s="96">
        <v>1130.3832164656912</v>
      </c>
      <c r="C36" s="96">
        <v>1175.0472304445912</v>
      </c>
      <c r="D36" s="96">
        <v>1270.5226421076334</v>
      </c>
      <c r="E36" s="96">
        <v>1292.6456353014132</v>
      </c>
      <c r="F36" s="96">
        <v>1301.8912922572408</v>
      </c>
      <c r="G36" s="96">
        <v>1322.8581432711603</v>
      </c>
      <c r="H36" s="96">
        <v>1307.8161537223998</v>
      </c>
      <c r="I36" s="96">
        <v>1325.5109866563364</v>
      </c>
      <c r="J36" s="96">
        <v>1298.46646934159</v>
      </c>
      <c r="K36" s="96">
        <v>1263.3215798377091</v>
      </c>
      <c r="L36" s="96">
        <v>1280.8614635239594</v>
      </c>
      <c r="M36" s="96">
        <v>1294.0714394150518</v>
      </c>
      <c r="N36" s="96">
        <v>1285.7084593547568</v>
      </c>
      <c r="O36" s="96">
        <v>1325.7488497514446</v>
      </c>
      <c r="P36" s="96">
        <v>1363.0505254323682</v>
      </c>
      <c r="Q36" s="96">
        <v>1390.8435616123052</v>
      </c>
      <c r="R36" s="96">
        <v>1446.6322644218708</v>
      </c>
      <c r="S36" s="96">
        <v>1476.4775628793011</v>
      </c>
      <c r="T36" s="96">
        <v>1498.3981124270576</v>
      </c>
      <c r="U36" s="96">
        <v>1545.7564807960393</v>
      </c>
      <c r="V36" s="96">
        <v>1575.0252376220435</v>
      </c>
      <c r="W36" s="96">
        <v>1696.9916538272232</v>
      </c>
      <c r="X36" s="96">
        <v>1718.158261598543</v>
      </c>
      <c r="Y36" s="96">
        <v>1712.5962596602706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6.7246809995162707E-2</v>
      </c>
      <c r="F37" s="96">
        <v>0.17855707719853917</v>
      </c>
      <c r="G37" s="96">
        <v>0.78605471243919689</v>
      </c>
      <c r="H37" s="96">
        <v>0.76224844324498187</v>
      </c>
      <c r="I37" s="96">
        <v>0.75648115470231692</v>
      </c>
      <c r="J37" s="96">
        <v>0.71305831397577557</v>
      </c>
      <c r="K37" s="96">
        <v>0.66714596832494</v>
      </c>
      <c r="L37" s="96">
        <v>0.62220649077631884</v>
      </c>
      <c r="M37" s="96">
        <v>0.57588100050404067</v>
      </c>
      <c r="N37" s="96">
        <v>0.5992948696265441</v>
      </c>
      <c r="O37" s="96">
        <v>0.63874754149202595</v>
      </c>
      <c r="P37" s="96">
        <v>0.71628602181657819</v>
      </c>
      <c r="Q37" s="96">
        <v>0.74726520266499319</v>
      </c>
      <c r="R37" s="96">
        <v>1.243248640766039</v>
      </c>
      <c r="S37" s="96">
        <v>1.2722375900003657</v>
      </c>
      <c r="T37" s="96">
        <v>1.2753500098329733</v>
      </c>
      <c r="U37" s="96">
        <v>1.3830216443264376</v>
      </c>
      <c r="V37" s="96">
        <v>1.5359813311254766</v>
      </c>
      <c r="W37" s="96">
        <v>1.6724234304625056</v>
      </c>
      <c r="X37" s="96">
        <v>1.770991295146652</v>
      </c>
      <c r="Y37" s="96">
        <v>1.8180079228613379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0.24251312147684151</v>
      </c>
      <c r="I38" s="96">
        <v>0.48815667856303846</v>
      </c>
      <c r="J38" s="96">
        <v>0.78489597822158075</v>
      </c>
      <c r="K38" s="96">
        <v>0.40371674750605779</v>
      </c>
      <c r="L38" s="96">
        <v>0.38061685223954717</v>
      </c>
      <c r="M38" s="96">
        <v>0.41541235109118169</v>
      </c>
      <c r="N38" s="96">
        <v>0.54563671281465276</v>
      </c>
      <c r="O38" s="96">
        <v>2.6487184297628983</v>
      </c>
      <c r="P38" s="96">
        <v>2.7170555646578478</v>
      </c>
      <c r="Q38" s="96">
        <v>2.7200378693372507</v>
      </c>
      <c r="R38" s="96">
        <v>4.3795486388610625</v>
      </c>
      <c r="S38" s="96">
        <v>4.0778472333173967</v>
      </c>
      <c r="T38" s="96">
        <v>4.1013598487982996</v>
      </c>
      <c r="U38" s="96">
        <v>3.926016150750729</v>
      </c>
      <c r="V38" s="96">
        <v>3.5220008224269588</v>
      </c>
      <c r="W38" s="96">
        <v>3.328783111893121</v>
      </c>
      <c r="X38" s="96">
        <v>3.0356228817755979</v>
      </c>
      <c r="Y38" s="96">
        <v>2.6965013786762411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4419.2538794154652</v>
      </c>
      <c r="C40" s="130">
        <f t="shared" si="36"/>
        <v>5190.2580298549619</v>
      </c>
      <c r="D40" s="130">
        <f t="shared" si="36"/>
        <v>5874.3141616281382</v>
      </c>
      <c r="E40" s="130">
        <f t="shared" si="36"/>
        <v>6438.74209823618</v>
      </c>
      <c r="F40" s="130">
        <f t="shared" si="36"/>
        <v>6482.9970489149873</v>
      </c>
      <c r="G40" s="130">
        <f t="shared" si="36"/>
        <v>6784.4717481741955</v>
      </c>
      <c r="H40" s="130">
        <f t="shared" si="36"/>
        <v>6119.0573998611653</v>
      </c>
      <c r="I40" s="130">
        <f t="shared" si="36"/>
        <v>6069.9870992970018</v>
      </c>
      <c r="J40" s="130">
        <f t="shared" si="36"/>
        <v>5809.7878284574726</v>
      </c>
      <c r="K40" s="130">
        <f t="shared" si="36"/>
        <v>5375.570248261638</v>
      </c>
      <c r="L40" s="130">
        <f t="shared" ref="L40" si="37">SUM(L41:L42)</f>
        <v>5938.3543273892055</v>
      </c>
      <c r="M40" s="130">
        <f t="shared" ref="M40:V40" si="38">SUM(M41:M42)</f>
        <v>5386.6496868992299</v>
      </c>
      <c r="N40" s="130">
        <f t="shared" si="38"/>
        <v>5510.2994726631368</v>
      </c>
      <c r="O40" s="130">
        <f t="shared" si="38"/>
        <v>6503.4697684426019</v>
      </c>
      <c r="P40" s="130">
        <f t="shared" si="38"/>
        <v>6100.8341687106486</v>
      </c>
      <c r="Q40" s="130">
        <f t="shared" si="38"/>
        <v>6261.8340764730929</v>
      </c>
      <c r="R40" s="130">
        <f t="shared" si="38"/>
        <v>6557.3988474272437</v>
      </c>
      <c r="S40" s="130">
        <f t="shared" si="38"/>
        <v>6841.8091419835127</v>
      </c>
      <c r="T40" s="130">
        <f t="shared" si="38"/>
        <v>7042.8499146394297</v>
      </c>
      <c r="U40" s="130">
        <f t="shared" si="38"/>
        <v>7233.8343353303799</v>
      </c>
      <c r="V40" s="130">
        <f t="shared" si="38"/>
        <v>6806.0815615349329</v>
      </c>
      <c r="W40" s="130">
        <f t="shared" ref="W40:Y40" si="39">SUM(W41:W42)</f>
        <v>7104.2651349160387</v>
      </c>
      <c r="X40" s="130">
        <f t="shared" si="39"/>
        <v>5954.2505405914735</v>
      </c>
      <c r="Y40" s="130">
        <f t="shared" si="39"/>
        <v>5320.8988051833985</v>
      </c>
      <c r="DA40" s="176" t="s">
        <v>413</v>
      </c>
    </row>
    <row r="41" spans="1:105" ht="11.45" customHeight="1" x14ac:dyDescent="0.25">
      <c r="A41" s="128" t="s">
        <v>27</v>
      </c>
      <c r="B41" s="97">
        <v>1827.2183302373255</v>
      </c>
      <c r="C41" s="97">
        <v>1896.8409559998611</v>
      </c>
      <c r="D41" s="97">
        <v>1946.8329822185929</v>
      </c>
      <c r="E41" s="97">
        <v>2039.4432286819847</v>
      </c>
      <c r="F41" s="97">
        <v>1910.5031641886314</v>
      </c>
      <c r="G41" s="97">
        <v>1898.0992537205489</v>
      </c>
      <c r="H41" s="97">
        <v>2017.1814817356599</v>
      </c>
      <c r="I41" s="97">
        <v>1984.7124664972996</v>
      </c>
      <c r="J41" s="97">
        <v>1898.9724470653407</v>
      </c>
      <c r="K41" s="97">
        <v>1773.7873965033825</v>
      </c>
      <c r="L41" s="97">
        <v>1806.0016299580011</v>
      </c>
      <c r="M41" s="97">
        <v>1788.6164063998674</v>
      </c>
      <c r="N41" s="97">
        <v>1772.3300360136996</v>
      </c>
      <c r="O41" s="97">
        <v>1844.5546808085794</v>
      </c>
      <c r="P41" s="97">
        <v>1839.3258299320216</v>
      </c>
      <c r="Q41" s="97">
        <v>1925.1867167964315</v>
      </c>
      <c r="R41" s="97">
        <v>2043.4867097731378</v>
      </c>
      <c r="S41" s="97">
        <v>2091.1052656084589</v>
      </c>
      <c r="T41" s="97">
        <v>2114.8115745280184</v>
      </c>
      <c r="U41" s="97">
        <v>2133.598003223221</v>
      </c>
      <c r="V41" s="97">
        <v>2022.1337652940781</v>
      </c>
      <c r="W41" s="97">
        <v>2119.7439645668942</v>
      </c>
      <c r="X41" s="97">
        <v>1963.4575886816153</v>
      </c>
      <c r="Y41" s="97">
        <v>1857.2306914559645</v>
      </c>
      <c r="DA41" s="175" t="s">
        <v>767</v>
      </c>
    </row>
    <row r="42" spans="1:105" ht="11.45" customHeight="1" x14ac:dyDescent="0.25">
      <c r="A42" s="138" t="s">
        <v>116</v>
      </c>
      <c r="B42" s="98">
        <v>2592.0355491781397</v>
      </c>
      <c r="C42" s="98">
        <v>3293.4170738551011</v>
      </c>
      <c r="D42" s="98">
        <v>3927.4811794095453</v>
      </c>
      <c r="E42" s="98">
        <v>4399.2988695541953</v>
      </c>
      <c r="F42" s="98">
        <v>4572.4938847263556</v>
      </c>
      <c r="G42" s="98">
        <v>4886.3724944536471</v>
      </c>
      <c r="H42" s="98">
        <v>4101.8759181255055</v>
      </c>
      <c r="I42" s="98">
        <v>4085.274632799702</v>
      </c>
      <c r="J42" s="98">
        <v>3910.8153813921322</v>
      </c>
      <c r="K42" s="98">
        <v>3601.7828517582552</v>
      </c>
      <c r="L42" s="98">
        <v>4132.3526974312044</v>
      </c>
      <c r="M42" s="98">
        <v>3598.0332804993627</v>
      </c>
      <c r="N42" s="98">
        <v>3737.9694366494368</v>
      </c>
      <c r="O42" s="98">
        <v>4658.9150876340227</v>
      </c>
      <c r="P42" s="98">
        <v>4261.5083387786271</v>
      </c>
      <c r="Q42" s="98">
        <v>4336.6473596766618</v>
      </c>
      <c r="R42" s="98">
        <v>4513.9121376541061</v>
      </c>
      <c r="S42" s="98">
        <v>4750.7038763750543</v>
      </c>
      <c r="T42" s="98">
        <v>4928.0383401114113</v>
      </c>
      <c r="U42" s="98">
        <v>5100.2363321071589</v>
      </c>
      <c r="V42" s="98">
        <v>4783.9477962408546</v>
      </c>
      <c r="W42" s="98">
        <v>4984.5211703491441</v>
      </c>
      <c r="X42" s="98">
        <v>3990.7929519098584</v>
      </c>
      <c r="Y42" s="98">
        <v>3463.6681137274336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3.0233073460936044</v>
      </c>
      <c r="C47" s="145">
        <f>IF(C4=0,0,C4/TrRoad_ene!C4)</f>
        <v>3.0276313274909921</v>
      </c>
      <c r="D47" s="145">
        <f>IF(D4=0,0,D4/TrRoad_ene!D4)</f>
        <v>3.0296806863955981</v>
      </c>
      <c r="E47" s="145">
        <f>IF(E4=0,0,E4/TrRoad_ene!E4)</f>
        <v>3.0325448593429982</v>
      </c>
      <c r="F47" s="145">
        <f>IF(F4=0,0,F4/TrRoad_ene!F4)</f>
        <v>3.0348400071469226</v>
      </c>
      <c r="G47" s="145">
        <f>IF(G4=0,0,G4/TrRoad_ene!G4)</f>
        <v>3.0170757352266837</v>
      </c>
      <c r="H47" s="145">
        <f>IF(H4=0,0,H4/TrRoad_ene!H4)</f>
        <v>2.9438563939393312</v>
      </c>
      <c r="I47" s="145">
        <f>IF(I4=0,0,I4/TrRoad_ene!I4)</f>
        <v>2.9212128116303484</v>
      </c>
      <c r="J47" s="145">
        <f>IF(J4=0,0,J4/TrRoad_ene!J4)</f>
        <v>2.8880284833714458</v>
      </c>
      <c r="K47" s="145">
        <f>IF(K4=0,0,K4/TrRoad_ene!K4)</f>
        <v>2.8360696151165716</v>
      </c>
      <c r="L47" s="145">
        <f>IF(L4=0,0,L4/TrRoad_ene!L4)</f>
        <v>2.8512948333479655</v>
      </c>
      <c r="M47" s="145">
        <f>IF(M4=0,0,M4/TrRoad_ene!M4)</f>
        <v>2.8425586210137483</v>
      </c>
      <c r="N47" s="145">
        <f>IF(N4=0,0,N4/TrRoad_ene!N4)</f>
        <v>2.8455862121529676</v>
      </c>
      <c r="O47" s="145">
        <f>IF(O4=0,0,O4/TrRoad_ene!O4)</f>
        <v>2.8560107621994555</v>
      </c>
      <c r="P47" s="145">
        <f>IF(P4=0,0,P4/TrRoad_ene!P4)</f>
        <v>2.8176627621509533</v>
      </c>
      <c r="Q47" s="145">
        <f>IF(Q4=0,0,Q4/TrRoad_ene!Q4)</f>
        <v>2.8019953989270534</v>
      </c>
      <c r="R47" s="145">
        <f>IF(R4=0,0,R4/TrRoad_ene!R4)</f>
        <v>2.8500475228796249</v>
      </c>
      <c r="S47" s="145">
        <f>IF(S4=0,0,S4/TrRoad_ene!S4)</f>
        <v>2.8777594013500396</v>
      </c>
      <c r="T47" s="145">
        <f>IF(T4=0,0,T4/TrRoad_ene!T4)</f>
        <v>2.8736839229809492</v>
      </c>
      <c r="U47" s="145">
        <f>IF(U4=0,0,U4/TrRoad_ene!U4)</f>
        <v>2.8767742685641084</v>
      </c>
      <c r="V47" s="145">
        <f>IF(V4=0,0,V4/TrRoad_ene!V4)</f>
        <v>2.8825310288508672</v>
      </c>
      <c r="W47" s="145">
        <f>IF(W4=0,0,W4/TrRoad_ene!W4)</f>
        <v>2.8789237239889838</v>
      </c>
      <c r="X47" s="145">
        <f>IF(X4=0,0,X4/TrRoad_ene!X4)</f>
        <v>2.8695434268932618</v>
      </c>
      <c r="Y47" s="145">
        <f>IF(Y4=0,0,Y4/TrRoad_ene!Y4)</f>
        <v>2.8152450081331009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2.9017660187215064</v>
      </c>
      <c r="H48" s="97">
        <f>IF(H7=0,0,(H7+H12)/(TrRoad_ene!H7+TrRoad_ene!H12))</f>
        <v>2.9018387231920557</v>
      </c>
      <c r="I48" s="97">
        <f>IF(I7=0,0,(I7+I12)/(TrRoad_ene!I7+TrRoad_ene!I12))</f>
        <v>2.8829832628486995</v>
      </c>
      <c r="J48" s="97">
        <f>IF(J7=0,0,(J7+J12)/(TrRoad_ene!J7+TrRoad_ene!J12))</f>
        <v>2.8220320744896137</v>
      </c>
      <c r="K48" s="97">
        <f>IF(K7=0,0,(K7+K12)/(TrRoad_ene!K7+TrRoad_ene!K12))</f>
        <v>2.7799472212623679</v>
      </c>
      <c r="L48" s="97">
        <f>IF(L7=0,0,(L7+L12)/(TrRoad_ene!L7+TrRoad_ene!L12))</f>
        <v>2.7793639071102163</v>
      </c>
      <c r="M48" s="97">
        <f>IF(M7=0,0,(M7+M12)/(TrRoad_ene!M7+TrRoad_ene!M12))</f>
        <v>2.7713501940027143</v>
      </c>
      <c r="N48" s="97">
        <f>IF(N7=0,0,(N7+N12)/(TrRoad_ene!N7+TrRoad_ene!N12))</f>
        <v>2.7677847024222126</v>
      </c>
      <c r="O48" s="97">
        <f>IF(O7=0,0,(O7+O12)/(TrRoad_ene!O7+TrRoad_ene!O12))</f>
        <v>2.7849362870352863</v>
      </c>
      <c r="P48" s="97">
        <f>IF(P7=0,0,(P7+P12)/(TrRoad_ene!P7+TrRoad_ene!P12))</f>
        <v>2.7887351472813102</v>
      </c>
      <c r="Q48" s="97">
        <f>IF(Q7=0,0,(Q7+Q12)/(TrRoad_ene!Q7+TrRoad_ene!Q12))</f>
        <v>2.7953140648358321</v>
      </c>
      <c r="R48" s="97">
        <f>IF(R7=0,0,(R7+R12)/(TrRoad_ene!R7+TrRoad_ene!R12))</f>
        <v>2.7988895985977575</v>
      </c>
      <c r="S48" s="97">
        <f>IF(S7=0,0,(S7+S12)/(TrRoad_ene!S7+TrRoad_ene!S12))</f>
        <v>2.7998386495225409</v>
      </c>
      <c r="T48" s="97">
        <f>IF(T7=0,0,(T7+T12)/(TrRoad_ene!T7+TrRoad_ene!T12))</f>
        <v>2.8006190390220471</v>
      </c>
      <c r="U48" s="97">
        <f>IF(U7=0,0,(U7+U12)/(TrRoad_ene!U7+TrRoad_ene!U12))</f>
        <v>2.8020234420255616</v>
      </c>
      <c r="V48" s="97">
        <f>IF(V7=0,0,(V7+V12)/(TrRoad_ene!V7+TrRoad_ene!V12))</f>
        <v>2.7828957961664678</v>
      </c>
      <c r="W48" s="97">
        <f>IF(W7=0,0,(W7+W12)/(TrRoad_ene!W7+TrRoad_ene!W12))</f>
        <v>2.7966471167909321</v>
      </c>
      <c r="X48" s="97">
        <f>IF(X7=0,0,(X7+X12)/(TrRoad_ene!X7+TrRoad_ene!X12))</f>
        <v>2.8006787523372196</v>
      </c>
      <c r="Y48" s="97">
        <f>IF(Y7=0,0,(Y7+Y12)/(TrRoad_ene!Y7+TrRoad_ene!Y12))</f>
        <v>2.7257880189075623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3.0897592869829067</v>
      </c>
      <c r="C49" s="97">
        <f>IF(C8=0,0,(C8+C13+C14)/(TrRoad_ene!C8+TrRoad_ene!C13+TrRoad_ene!C14))</f>
        <v>3.089872128434219</v>
      </c>
      <c r="D49" s="97">
        <f>IF(D8=0,0,(D8+D13+D14)/(TrRoad_ene!D8+TrRoad_ene!D13+TrRoad_ene!D14))</f>
        <v>3.0906196300776863</v>
      </c>
      <c r="E49" s="97">
        <f>IF(E8=0,0,(E8+E13+E14)/(TrRoad_ene!E8+TrRoad_ene!E13+TrRoad_ene!E14))</f>
        <v>3.0913469726224005</v>
      </c>
      <c r="F49" s="97">
        <f>IF(F8=0,0,(F8+F13+F14)/(TrRoad_ene!F8+TrRoad_ene!F13+TrRoad_ene!F14))</f>
        <v>3.0918655886440276</v>
      </c>
      <c r="G49" s="97">
        <f>IF(G8=0,0,(G8+G13+G14)/(TrRoad_ene!G8+TrRoad_ene!G13+TrRoad_ene!G14))</f>
        <v>3.0625516960556665</v>
      </c>
      <c r="H49" s="97">
        <f>IF(H8=0,0,(H8+H13+H14)/(TrRoad_ene!H8+TrRoad_ene!H13+TrRoad_ene!H14))</f>
        <v>2.9613189107115718</v>
      </c>
      <c r="I49" s="97">
        <f>IF(I8=0,0,(I8+I13+I14)/(TrRoad_ene!I8+TrRoad_ene!I13+TrRoad_ene!I14))</f>
        <v>2.936562019816181</v>
      </c>
      <c r="J49" s="97">
        <f>IF(J8=0,0,(J8+J13+J14)/(TrRoad_ene!J8+TrRoad_ene!J13+TrRoad_ene!J14))</f>
        <v>2.9131575019712854</v>
      </c>
      <c r="K49" s="97">
        <f>IF(K8=0,0,(K8+K13+K14)/(TrRoad_ene!K8+TrRoad_ene!K13+TrRoad_ene!K14))</f>
        <v>2.8574419611775164</v>
      </c>
      <c r="L49" s="97">
        <f>IF(L8=0,0,(L8+L13+L14)/(TrRoad_ene!L8+TrRoad_ene!L13+TrRoad_ene!L14))</f>
        <v>2.8771089349619574</v>
      </c>
      <c r="M49" s="97">
        <f>IF(M8=0,0,(M8+M13+M14)/(TrRoad_ene!M8+TrRoad_ene!M13+TrRoad_ene!M14))</f>
        <v>2.8673389935791356</v>
      </c>
      <c r="N49" s="97">
        <f>IF(N8=0,0,(N8+N13+N14)/(TrRoad_ene!N8+TrRoad_ene!N13+TrRoad_ene!N14))</f>
        <v>2.871999323653331</v>
      </c>
      <c r="O49" s="97">
        <f>IF(O8=0,0,(O8+O13+O14)/(TrRoad_ene!O8+TrRoad_ene!O13+TrRoad_ene!O14))</f>
        <v>2.8784298263238237</v>
      </c>
      <c r="P49" s="97">
        <f>IF(P8=0,0,(P8+P13+P14)/(TrRoad_ene!P8+TrRoad_ene!P13+TrRoad_ene!P14))</f>
        <v>2.8286354782691658</v>
      </c>
      <c r="Q49" s="97">
        <f>IF(Q8=0,0,(Q8+Q13+Q14)/(TrRoad_ene!Q8+TrRoad_ene!Q13+TrRoad_ene!Q14))</f>
        <v>2.8069767414409732</v>
      </c>
      <c r="R49" s="97">
        <f>IF(R8=0,0,(R8+R13+R14)/(TrRoad_ene!R8+TrRoad_ene!R13+TrRoad_ene!R14))</f>
        <v>2.8667411000361698</v>
      </c>
      <c r="S49" s="97">
        <f>IF(S8=0,0,(S8+S13+S14)/(TrRoad_ene!S8+TrRoad_ene!S13+TrRoad_ene!S14))</f>
        <v>2.9011987830025969</v>
      </c>
      <c r="T49" s="97">
        <f>IF(T8=0,0,(T8+T13+T14)/(TrRoad_ene!T8+TrRoad_ene!T13+TrRoad_ene!T14))</f>
        <v>2.8970294916826536</v>
      </c>
      <c r="U49" s="97">
        <f>IF(U8=0,0,(U8+U13+U14)/(TrRoad_ene!U8+TrRoad_ene!U13+TrRoad_ene!U14))</f>
        <v>2.9016071077136609</v>
      </c>
      <c r="V49" s="97">
        <f>IF(V8=0,0,(V8+V13+V14)/(TrRoad_ene!V8+TrRoad_ene!V13+TrRoad_ene!V14))</f>
        <v>2.9149133757147836</v>
      </c>
      <c r="W49" s="97">
        <f>IF(W8=0,0,(W8+W13+W14)/(TrRoad_ene!W8+TrRoad_ene!W13+TrRoad_ene!W14))</f>
        <v>2.9130222523501637</v>
      </c>
      <c r="X49" s="97">
        <f>IF(X8=0,0,(X8+X13+X14)/(TrRoad_ene!X8+TrRoad_ene!X13+TrRoad_ene!X14))</f>
        <v>2.9093694667588723</v>
      </c>
      <c r="Y49" s="97">
        <f>IF(Y8=0,0,(Y8+Y13+Y14)/(TrRoad_ene!Y8+TrRoad_ene!Y13+TrRoad_ene!Y14))</f>
        <v>2.8736054997889848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2.3486090021252477</v>
      </c>
      <c r="K51" s="97">
        <f>IF(K9=0,0,(K9+K11)/(TrRoad_ene!K9+TrRoad_ene!K11))</f>
        <v>2.3483837987991736</v>
      </c>
      <c r="L51" s="97">
        <f>IF(L9=0,0,(L9+L11)/(TrRoad_ene!L9+TrRoad_ene!L11))</f>
        <v>2.3483477936625747</v>
      </c>
      <c r="M51" s="97">
        <f>IF(M9=0,0,(M9+M11)/(TrRoad_ene!M9+TrRoad_ene!M11))</f>
        <v>2.3472997046467219</v>
      </c>
      <c r="N51" s="97">
        <f>IF(N9=0,0,(N9+N11)/(TrRoad_ene!N9+TrRoad_ene!N11))</f>
        <v>2.3467327004821916</v>
      </c>
      <c r="O51" s="97">
        <f>IF(O9=0,0,(O9+O11)/(TrRoad_ene!O9+TrRoad_ene!O11))</f>
        <v>2.3460438899448817</v>
      </c>
      <c r="P51" s="97">
        <f>IF(P9=0,0,(P9+P11)/(TrRoad_ene!P9+TrRoad_ene!P11))</f>
        <v>2.2744545602156356</v>
      </c>
      <c r="Q51" s="97">
        <f>IF(Q9=0,0,(Q9+Q11)/(TrRoad_ene!Q9+TrRoad_ene!Q11))</f>
        <v>2.293841993750696</v>
      </c>
      <c r="R51" s="97">
        <f>IF(R9=0,0,(R9+R11)/(TrRoad_ene!R9+TrRoad_ene!R11))</f>
        <v>2.2946127218143686</v>
      </c>
      <c r="S51" s="97">
        <f>IF(S9=0,0,(S9+S11)/(TrRoad_ene!S9+TrRoad_ene!S11))</f>
        <v>2.3141511229855478</v>
      </c>
      <c r="T51" s="97">
        <f>IF(T9=0,0,(T9+T11)/(TrRoad_ene!T9+TrRoad_ene!T11))</f>
        <v>2.2981629084936719</v>
      </c>
      <c r="U51" s="97">
        <f>IF(U9=0,0,(U9+U11)/(TrRoad_ene!U9+TrRoad_ene!U11))</f>
        <v>2.297293922994105</v>
      </c>
      <c r="V51" s="97">
        <f>IF(V9=0,0,(V9+V11)/(TrRoad_ene!V9+TrRoad_ene!V11))</f>
        <v>2.3055316169039415</v>
      </c>
      <c r="W51" s="97">
        <f>IF(W9=0,0,(W9+W11)/(TrRoad_ene!W9+TrRoad_ene!W11))</f>
        <v>2.3020160730384065</v>
      </c>
      <c r="X51" s="97">
        <f>IF(X9=0,0,(X9+X11)/(TrRoad_ene!X9+TrRoad_ene!X11))</f>
        <v>2.2992040543586212</v>
      </c>
      <c r="Y51" s="97">
        <f>IF(Y9=0,0,(Y9+Y11)/(TrRoad_ene!Y9+TrRoad_ene!Y11))</f>
        <v>2.2668369866485989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285.74292496661843</v>
      </c>
      <c r="C54" s="62">
        <f>IF(TrRoad_act!C30=0,0,C17/TrRoad_act!C30*1000
)</f>
        <v>300.88103335111424</v>
      </c>
      <c r="D54" s="62">
        <f>IF(TrRoad_act!D30=0,0,D17/TrRoad_act!D30*1000
)</f>
        <v>325.56766181633515</v>
      </c>
      <c r="E54" s="62">
        <f>IF(TrRoad_act!E30=0,0,E17/TrRoad_act!E30*1000
)</f>
        <v>342.12477279047584</v>
      </c>
      <c r="F54" s="62">
        <f>IF(TrRoad_act!F30=0,0,F17/TrRoad_act!F30*1000
)</f>
        <v>341.75506483690975</v>
      </c>
      <c r="G54" s="62">
        <f>IF(TrRoad_act!G30=0,0,G17/TrRoad_act!G30*1000
)</f>
        <v>346.02063402881168</v>
      </c>
      <c r="H54" s="62">
        <f>IF(TrRoad_act!H30=0,0,H17/TrRoad_act!H30*1000
)</f>
        <v>324.67567919447015</v>
      </c>
      <c r="I54" s="62">
        <f>IF(TrRoad_act!I30=0,0,I17/TrRoad_act!I30*1000
)</f>
        <v>319.85445326255922</v>
      </c>
      <c r="J54" s="62">
        <f>IF(TrRoad_act!J30=0,0,J17/TrRoad_act!J30*1000
)</f>
        <v>313.04119642838617</v>
      </c>
      <c r="K54" s="62">
        <f>IF(TrRoad_act!K30=0,0,K17/TrRoad_act!K30*1000
)</f>
        <v>303.29399061497634</v>
      </c>
      <c r="L54" s="62">
        <f>IF(TrRoad_act!L30=0,0,L17/TrRoad_act!L30*1000
)</f>
        <v>311.35193814078337</v>
      </c>
      <c r="M54" s="62">
        <f>IF(TrRoad_act!M30=0,0,M17/TrRoad_act!M30*1000
)</f>
        <v>292.86884164403472</v>
      </c>
      <c r="N54" s="62">
        <f>IF(TrRoad_act!N30=0,0,N17/TrRoad_act!N30*1000
)</f>
        <v>292.98945957782621</v>
      </c>
      <c r="O54" s="62">
        <f>IF(TrRoad_act!O30=0,0,O17/TrRoad_act!O30*1000
)</f>
        <v>307.73449865010519</v>
      </c>
      <c r="P54" s="62">
        <f>IF(TrRoad_act!P30=0,0,P17/TrRoad_act!P30*1000
)</f>
        <v>295.00651681903582</v>
      </c>
      <c r="Q54" s="62">
        <f>IF(TrRoad_act!Q30=0,0,Q17/TrRoad_act!Q30*1000
)</f>
        <v>293.70618318164458</v>
      </c>
      <c r="R54" s="62">
        <f>IF(TrRoad_act!R30=0,0,R17/TrRoad_act!R30*1000
)</f>
        <v>296.01615593052202</v>
      </c>
      <c r="S54" s="62">
        <f>IF(TrRoad_act!S30=0,0,S17/TrRoad_act!S30*1000
)</f>
        <v>297.30540200189887</v>
      </c>
      <c r="T54" s="62">
        <f>IF(TrRoad_act!T30=0,0,T17/TrRoad_act!T30*1000
)</f>
        <v>296.99780020342467</v>
      </c>
      <c r="U54" s="62">
        <f>IF(TrRoad_act!U30=0,0,U17/TrRoad_act!U30*1000
)</f>
        <v>295.00840681317817</v>
      </c>
      <c r="V54" s="62">
        <f>IF(TrRoad_act!V30=0,0,V17/TrRoad_act!V30*1000
)</f>
        <v>299.39800042414998</v>
      </c>
      <c r="W54" s="62">
        <f>IF(TrRoad_act!W30=0,0,W17/TrRoad_act!W30*1000
)</f>
        <v>295.07697784749348</v>
      </c>
      <c r="X54" s="62">
        <f>IF(TrRoad_act!X30=0,0,X17/TrRoad_act!X30*1000
)</f>
        <v>264.46565038364145</v>
      </c>
      <c r="Y54" s="62">
        <f>IF(TrRoad_act!Y30=0,0,Y17/TrRoad_act!Y30*1000
)</f>
        <v>250.09157202855081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216.40993065264291</v>
      </c>
      <c r="C55" s="29">
        <f>IF(TrRoad_act!C31=0,0,C18/TrRoad_act!C31*1000
)</f>
        <v>222.01198927328281</v>
      </c>
      <c r="D55" s="29">
        <f>IF(TrRoad_act!D31=0,0,D18/TrRoad_act!D31*1000
)</f>
        <v>240.33147071773999</v>
      </c>
      <c r="E55" s="29">
        <f>IF(TrRoad_act!E31=0,0,E18/TrRoad_act!E31*1000
)</f>
        <v>251.52174495065032</v>
      </c>
      <c r="F55" s="29">
        <f>IF(TrRoad_act!F31=0,0,F18/TrRoad_act!F31*1000
)</f>
        <v>252.69478620409137</v>
      </c>
      <c r="G55" s="29">
        <f>IF(TrRoad_act!G31=0,0,G18/TrRoad_act!G31*1000
)</f>
        <v>254.72231392458838</v>
      </c>
      <c r="H55" s="29">
        <f>IF(TrRoad_act!H31=0,0,H18/TrRoad_act!H31*1000
)</f>
        <v>244.94873186301481</v>
      </c>
      <c r="I55" s="29">
        <f>IF(TrRoad_act!I31=0,0,I18/TrRoad_act!I31*1000
)</f>
        <v>243.3917251463017</v>
      </c>
      <c r="J55" s="29">
        <f>IF(TrRoad_act!J31=0,0,J18/TrRoad_act!J31*1000
)</f>
        <v>239.02128845441226</v>
      </c>
      <c r="K55" s="29">
        <f>IF(TrRoad_act!K31=0,0,K18/TrRoad_act!K31*1000
)</f>
        <v>233.06759964776339</v>
      </c>
      <c r="L55" s="29">
        <f>IF(TrRoad_act!L31=0,0,L18/TrRoad_act!L31*1000
)</f>
        <v>234.17495715851487</v>
      </c>
      <c r="M55" s="29">
        <f>IF(TrRoad_act!M31=0,0,M18/TrRoad_act!M31*1000
)</f>
        <v>223.81190516625807</v>
      </c>
      <c r="N55" s="29">
        <f>IF(TrRoad_act!N31=0,0,N18/TrRoad_act!N31*1000
)</f>
        <v>221.52323174166651</v>
      </c>
      <c r="O55" s="29">
        <f>IF(TrRoad_act!O31=0,0,O18/TrRoad_act!O31*1000
)</f>
        <v>223.70198714202502</v>
      </c>
      <c r="P55" s="29">
        <f>IF(TrRoad_act!P31=0,0,P18/TrRoad_act!P31*1000
)</f>
        <v>218.49598236784368</v>
      </c>
      <c r="Q55" s="29">
        <f>IF(TrRoad_act!Q31=0,0,Q18/TrRoad_act!Q31*1000
)</f>
        <v>217.52987004157691</v>
      </c>
      <c r="R55" s="29">
        <f>IF(TrRoad_act!R31=0,0,R18/TrRoad_act!R31*1000
)</f>
        <v>218.19625983681465</v>
      </c>
      <c r="S55" s="29">
        <f>IF(TrRoad_act!S31=0,0,S18/TrRoad_act!S31*1000
)</f>
        <v>217.51462233033598</v>
      </c>
      <c r="T55" s="29">
        <f>IF(TrRoad_act!T31=0,0,T18/TrRoad_act!T31*1000
)</f>
        <v>215.89379065057508</v>
      </c>
      <c r="U55" s="29">
        <f>IF(TrRoad_act!U31=0,0,U18/TrRoad_act!U31*1000
)</f>
        <v>211.99451824968148</v>
      </c>
      <c r="V55" s="29">
        <f>IF(TrRoad_act!V31=0,0,V18/TrRoad_act!V31*1000
)</f>
        <v>208.7061003880562</v>
      </c>
      <c r="W55" s="29">
        <f>IF(TrRoad_act!W31=0,0,W18/TrRoad_act!W31*1000
)</f>
        <v>204.63133932559992</v>
      </c>
      <c r="X55" s="29">
        <f>IF(TrRoad_act!X31=0,0,X18/TrRoad_act!X31*1000
)</f>
        <v>192.45508566881577</v>
      </c>
      <c r="Y55" s="29">
        <f>IF(TrRoad_act!Y31=0,0,Y18/TrRoad_act!Y31*1000
)</f>
        <v>187.0130582559436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106.87443918225053</v>
      </c>
      <c r="C56" s="152">
        <f>IF(TrRoad_act!C32=0,0,C19/TrRoad_act!C32*1000
)</f>
        <v>106.2446777983419</v>
      </c>
      <c r="D56" s="152">
        <f>IF(TrRoad_act!D32=0,0,D19/TrRoad_act!D32*1000
)</f>
        <v>105.89569528659871</v>
      </c>
      <c r="E56" s="152">
        <f>IF(TrRoad_act!E32=0,0,E19/TrRoad_act!E32*1000
)</f>
        <v>105.7969219629372</v>
      </c>
      <c r="F56" s="152">
        <f>IF(TrRoad_act!F32=0,0,F19/TrRoad_act!F32*1000
)</f>
        <v>104.82322215147707</v>
      </c>
      <c r="G56" s="152">
        <f>IF(TrRoad_act!G32=0,0,G19/TrRoad_act!G32*1000
)</f>
        <v>104.30692565443017</v>
      </c>
      <c r="H56" s="152">
        <f>IF(TrRoad_act!H32=0,0,H19/TrRoad_act!H32*1000
)</f>
        <v>103.83772633732831</v>
      </c>
      <c r="I56" s="152">
        <f>IF(TrRoad_act!I32=0,0,I19/TrRoad_act!I32*1000
)</f>
        <v>102.67162173327966</v>
      </c>
      <c r="J56" s="152">
        <f>IF(TrRoad_act!J32=0,0,J19/TrRoad_act!J32*1000
)</f>
        <v>99.98908057525243</v>
      </c>
      <c r="K56" s="152">
        <f>IF(TrRoad_act!K32=0,0,K19/TrRoad_act!K32*1000
)</f>
        <v>98.251969421962144</v>
      </c>
      <c r="L56" s="152">
        <f>IF(TrRoad_act!L32=0,0,L19/TrRoad_act!L32*1000
)</f>
        <v>97.767981704542279</v>
      </c>
      <c r="M56" s="152">
        <f>IF(TrRoad_act!M32=0,0,M19/TrRoad_act!M32*1000
)</f>
        <v>97.418264666152893</v>
      </c>
      <c r="N56" s="152">
        <f>IF(TrRoad_act!N32=0,0,N19/TrRoad_act!N32*1000
)</f>
        <v>96.627031087604152</v>
      </c>
      <c r="O56" s="152">
        <f>IF(TrRoad_act!O32=0,0,O19/TrRoad_act!O32*1000
)</f>
        <v>98.118144307204034</v>
      </c>
      <c r="P56" s="152">
        <f>IF(TrRoad_act!P32=0,0,P19/TrRoad_act!P32*1000
)</f>
        <v>99.155665245559788</v>
      </c>
      <c r="Q56" s="152">
        <f>IF(TrRoad_act!Q32=0,0,Q19/TrRoad_act!Q32*1000
)</f>
        <v>98.845438141587522</v>
      </c>
      <c r="R56" s="152">
        <f>IF(TrRoad_act!R32=0,0,R19/TrRoad_act!R32*1000
)</f>
        <v>98.052900725413693</v>
      </c>
      <c r="S56" s="152">
        <f>IF(TrRoad_act!S32=0,0,S19/TrRoad_act!S32*1000
)</f>
        <v>102.77846232221438</v>
      </c>
      <c r="T56" s="152">
        <f>IF(TrRoad_act!T32=0,0,T19/TrRoad_act!T32*1000
)</f>
        <v>103.14438400487821</v>
      </c>
      <c r="U56" s="152">
        <f>IF(TrRoad_act!U32=0,0,U19/TrRoad_act!U32*1000
)</f>
        <v>103.42816251032899</v>
      </c>
      <c r="V56" s="152">
        <f>IF(TrRoad_act!V32=0,0,V19/TrRoad_act!V32*1000
)</f>
        <v>103.3566804951908</v>
      </c>
      <c r="W56" s="152">
        <f>IF(TrRoad_act!W32=0,0,W19/TrRoad_act!W32*1000
)</f>
        <v>99.494717511890144</v>
      </c>
      <c r="X56" s="152">
        <f>IF(TrRoad_act!X32=0,0,X19/TrRoad_act!X32*1000
)</f>
        <v>100.25134123010152</v>
      </c>
      <c r="Y56" s="152">
        <f>IF(TrRoad_act!Y32=0,0,Y19/TrRoad_act!Y32*1000
)</f>
        <v>98.205210016255933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205.44957952430283</v>
      </c>
      <c r="C57" s="116">
        <f>IF(TrRoad_act!C33=0,0,C20/TrRoad_act!C33*1000
)</f>
        <v>211.44649283141499</v>
      </c>
      <c r="D57" s="116">
        <f>IF(TrRoad_act!D33=0,0,D20/TrRoad_act!D33*1000
)</f>
        <v>230.14721808723127</v>
      </c>
      <c r="E57" s="116">
        <f>IF(TrRoad_act!E33=0,0,E20/TrRoad_act!E33*1000
)</f>
        <v>241.52021433152186</v>
      </c>
      <c r="F57" s="116">
        <f>IF(TrRoad_act!F33=0,0,F20/TrRoad_act!F33*1000
)</f>
        <v>243.15689312421728</v>
      </c>
      <c r="G57" s="116">
        <f>IF(TrRoad_act!G33=0,0,G20/TrRoad_act!G33*1000
)</f>
        <v>245.69849889371636</v>
      </c>
      <c r="H57" s="116">
        <f>IF(TrRoad_act!H33=0,0,H20/TrRoad_act!H33*1000
)</f>
        <v>236.5058111419014</v>
      </c>
      <c r="I57" s="116">
        <f>IF(TrRoad_act!I33=0,0,I20/TrRoad_act!I33*1000
)</f>
        <v>234.70488610044725</v>
      </c>
      <c r="J57" s="116">
        <f>IF(TrRoad_act!J33=0,0,J20/TrRoad_act!J33*1000
)</f>
        <v>230.57648835213303</v>
      </c>
      <c r="K57" s="116">
        <f>IF(TrRoad_act!K33=0,0,K20/TrRoad_act!K33*1000
)</f>
        <v>225.74156346689216</v>
      </c>
      <c r="L57" s="116">
        <f>IF(TrRoad_act!L33=0,0,L20/TrRoad_act!L33*1000
)</f>
        <v>226.16558808189245</v>
      </c>
      <c r="M57" s="116">
        <f>IF(TrRoad_act!M33=0,0,M20/TrRoad_act!M33*1000
)</f>
        <v>215.86115889315695</v>
      </c>
      <c r="N57" s="116">
        <f>IF(TrRoad_act!N33=0,0,N20/TrRoad_act!N33*1000
)</f>
        <v>213.63247624179846</v>
      </c>
      <c r="O57" s="116">
        <f>IF(TrRoad_act!O33=0,0,O20/TrRoad_act!O33*1000
)</f>
        <v>216.01746302671995</v>
      </c>
      <c r="P57" s="116">
        <f>IF(TrRoad_act!P33=0,0,P20/TrRoad_act!P33*1000
)</f>
        <v>210.79065056552201</v>
      </c>
      <c r="Q57" s="116">
        <f>IF(TrRoad_act!Q33=0,0,Q20/TrRoad_act!Q33*1000
)</f>
        <v>209.93945814378256</v>
      </c>
      <c r="R57" s="116">
        <f>IF(TrRoad_act!R33=0,0,R20/TrRoad_act!R33*1000
)</f>
        <v>210.21068905984711</v>
      </c>
      <c r="S57" s="116">
        <f>IF(TrRoad_act!S33=0,0,S20/TrRoad_act!S33*1000
)</f>
        <v>208.86698300826617</v>
      </c>
      <c r="T57" s="116">
        <f>IF(TrRoad_act!T33=0,0,T20/TrRoad_act!T33*1000
)</f>
        <v>207.65598860637834</v>
      </c>
      <c r="U57" s="116">
        <f>IF(TrRoad_act!U33=0,0,U20/TrRoad_act!U33*1000
)</f>
        <v>203.94088145366581</v>
      </c>
      <c r="V57" s="116">
        <f>IF(TrRoad_act!V33=0,0,V20/TrRoad_act!V33*1000
)</f>
        <v>198.76739465224793</v>
      </c>
      <c r="W57" s="116">
        <f>IF(TrRoad_act!W33=0,0,W20/TrRoad_act!W33*1000
)</f>
        <v>195.3272212089536</v>
      </c>
      <c r="X57" s="116">
        <f>IF(TrRoad_act!X33=0,0,X20/TrRoad_act!X33*1000
)</f>
        <v>183.69964330568618</v>
      </c>
      <c r="Y57" s="116">
        <f>IF(TrRoad_act!Y33=0,0,Y20/TrRoad_act!Y33*1000
)</f>
        <v>178.82341101157382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181.86042582972843</v>
      </c>
      <c r="C58" s="87">
        <f>IF(TrRoad_act!C34=0,0,C21/TrRoad_act!C34*1000
)</f>
        <v>184.67763592716597</v>
      </c>
      <c r="D58" s="87">
        <f>IF(TrRoad_act!D34=0,0,D21/TrRoad_act!D34*1000
)</f>
        <v>207.79854145229027</v>
      </c>
      <c r="E58" s="87">
        <f>IF(TrRoad_act!E34=0,0,E21/TrRoad_act!E34*1000
)</f>
        <v>221.7828621274663</v>
      </c>
      <c r="F58" s="87">
        <f>IF(TrRoad_act!F34=0,0,F21/TrRoad_act!F34*1000
)</f>
        <v>225.94052628027561</v>
      </c>
      <c r="G58" s="87">
        <f>IF(TrRoad_act!G34=0,0,G21/TrRoad_act!G34*1000
)</f>
        <v>230.05336219216139</v>
      </c>
      <c r="H58" s="87">
        <f>IF(TrRoad_act!H34=0,0,H21/TrRoad_act!H34*1000
)</f>
        <v>229.45565475016826</v>
      </c>
      <c r="I58" s="87">
        <f>IF(TrRoad_act!I34=0,0,I21/TrRoad_act!I34*1000
)</f>
        <v>230.37488529547221</v>
      </c>
      <c r="J58" s="87">
        <f>IF(TrRoad_act!J34=0,0,J21/TrRoad_act!J34*1000
)</f>
        <v>226.88969694787284</v>
      </c>
      <c r="K58" s="87">
        <f>IF(TrRoad_act!K34=0,0,K21/TrRoad_act!K34*1000
)</f>
        <v>220.79949764305994</v>
      </c>
      <c r="L58" s="87">
        <f>IF(TrRoad_act!L34=0,0,L21/TrRoad_act!L34*1000
)</f>
        <v>217.96910165547294</v>
      </c>
      <c r="M58" s="87">
        <f>IF(TrRoad_act!M34=0,0,M21/TrRoad_act!M34*1000
)</f>
        <v>208.34482185218505</v>
      </c>
      <c r="N58" s="87">
        <f>IF(TrRoad_act!N34=0,0,N21/TrRoad_act!N34*1000
)</f>
        <v>204.62740739271572</v>
      </c>
      <c r="O58" s="87">
        <f>IF(TrRoad_act!O34=0,0,O21/TrRoad_act!O34*1000
)</f>
        <v>204.36644272018424</v>
      </c>
      <c r="P58" s="87">
        <f>IF(TrRoad_act!P34=0,0,P21/TrRoad_act!P34*1000
)</f>
        <v>205.07670922746755</v>
      </c>
      <c r="Q58" s="87">
        <f>IF(TrRoad_act!Q34=0,0,Q21/TrRoad_act!Q34*1000
)</f>
        <v>209.81045179960583</v>
      </c>
      <c r="R58" s="87">
        <f>IF(TrRoad_act!R34=0,0,R21/TrRoad_act!R34*1000
)</f>
        <v>209.25388259096957</v>
      </c>
      <c r="S58" s="87">
        <f>IF(TrRoad_act!S34=0,0,S21/TrRoad_act!S34*1000
)</f>
        <v>206.800390326659</v>
      </c>
      <c r="T58" s="87">
        <f>IF(TrRoad_act!T34=0,0,T21/TrRoad_act!T34*1000
)</f>
        <v>204.75121197265344</v>
      </c>
      <c r="U58" s="87">
        <f>IF(TrRoad_act!U34=0,0,U21/TrRoad_act!U34*1000
)</f>
        <v>198.52418529816092</v>
      </c>
      <c r="V58" s="87">
        <f>IF(TrRoad_act!V34=0,0,V21/TrRoad_act!V34*1000
)</f>
        <v>190.95890958527718</v>
      </c>
      <c r="W58" s="87">
        <f>IF(TrRoad_act!W34=0,0,W21/TrRoad_act!W34*1000
)</f>
        <v>189.83931300598636</v>
      </c>
      <c r="X58" s="87">
        <f>IF(TrRoad_act!X34=0,0,X21/TrRoad_act!X34*1000
)</f>
        <v>182.29560806586014</v>
      </c>
      <c r="Y58" s="87">
        <f>IF(TrRoad_act!Y34=0,0,Y21/TrRoad_act!Y34*1000
)</f>
        <v>186.84329234300765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235.90803901886321</v>
      </c>
      <c r="C59" s="87">
        <f>IF(TrRoad_act!C35=0,0,C22/TrRoad_act!C35*1000
)</f>
        <v>244.08709170998543</v>
      </c>
      <c r="D59" s="87">
        <f>IF(TrRoad_act!D35=0,0,D22/TrRoad_act!D35*1000
)</f>
        <v>254.76556462049138</v>
      </c>
      <c r="E59" s="87">
        <f>IF(TrRoad_act!E35=0,0,E22/TrRoad_act!E35*1000
)</f>
        <v>261.26753186118293</v>
      </c>
      <c r="F59" s="87">
        <f>IF(TrRoad_act!F35=0,0,F22/TrRoad_act!F35*1000
)</f>
        <v>258.84101229144648</v>
      </c>
      <c r="G59" s="87">
        <f>IF(TrRoad_act!G35=0,0,G22/TrRoad_act!G35*1000
)</f>
        <v>258.61862599249918</v>
      </c>
      <c r="H59" s="87">
        <f>IF(TrRoad_act!H35=0,0,H22/TrRoad_act!H35*1000
)</f>
        <v>242.13901989498979</v>
      </c>
      <c r="I59" s="87">
        <f>IF(TrRoad_act!I35=0,0,I22/TrRoad_act!I35*1000
)</f>
        <v>238.02380803217724</v>
      </c>
      <c r="J59" s="87">
        <f>IF(TrRoad_act!J35=0,0,J22/TrRoad_act!J35*1000
)</f>
        <v>233.35925775561211</v>
      </c>
      <c r="K59" s="87">
        <f>IF(TrRoad_act!K35=0,0,K22/TrRoad_act!K35*1000
)</f>
        <v>229.10757154521318</v>
      </c>
      <c r="L59" s="87">
        <f>IF(TrRoad_act!L35=0,0,L22/TrRoad_act!L35*1000
)</f>
        <v>231.54602190101446</v>
      </c>
      <c r="M59" s="87">
        <f>IF(TrRoad_act!M35=0,0,M22/TrRoad_act!M35*1000
)</f>
        <v>220.49699826835786</v>
      </c>
      <c r="N59" s="87">
        <f>IF(TrRoad_act!N35=0,0,N22/TrRoad_act!N35*1000
)</f>
        <v>219.06313356477224</v>
      </c>
      <c r="O59" s="87">
        <f>IF(TrRoad_act!O35=0,0,O22/TrRoad_act!O35*1000
)</f>
        <v>222.7463378086828</v>
      </c>
      <c r="P59" s="87">
        <f>IF(TrRoad_act!P35=0,0,P22/TrRoad_act!P35*1000
)</f>
        <v>214.21449068847912</v>
      </c>
      <c r="Q59" s="87">
        <f>IF(TrRoad_act!Q35=0,0,Q22/TrRoad_act!Q35*1000
)</f>
        <v>210.66292055401314</v>
      </c>
      <c r="R59" s="87">
        <f>IF(TrRoad_act!R35=0,0,R22/TrRoad_act!R35*1000
)</f>
        <v>211.50722847396091</v>
      </c>
      <c r="S59" s="87">
        <f>IF(TrRoad_act!S35=0,0,S22/TrRoad_act!S35*1000
)</f>
        <v>211.0195790735678</v>
      </c>
      <c r="T59" s="87">
        <f>IF(TrRoad_act!T35=0,0,T22/TrRoad_act!T35*1000
)</f>
        <v>210.73106603871864</v>
      </c>
      <c r="U59" s="87">
        <f>IF(TrRoad_act!U35=0,0,U22/TrRoad_act!U35*1000
)</f>
        <v>208.83513044070261</v>
      </c>
      <c r="V59" s="87">
        <f>IF(TrRoad_act!V35=0,0,V22/TrRoad_act!V35*1000
)</f>
        <v>206.34600006405259</v>
      </c>
      <c r="W59" s="87">
        <f>IF(TrRoad_act!W35=0,0,W22/TrRoad_act!W35*1000
)</f>
        <v>205.04448986431541</v>
      </c>
      <c r="X59" s="87">
        <f>IF(TrRoad_act!X35=0,0,X22/TrRoad_act!X35*1000
)</f>
        <v>193.31944147645225</v>
      </c>
      <c r="Y59" s="87">
        <f>IF(TrRoad_act!Y35=0,0,Y22/TrRoad_act!Y35*1000
)</f>
        <v>186.64599852060371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208.82235631361416</v>
      </c>
      <c r="C60" s="87">
        <f>IF(TrRoad_act!C36=0,0,C23/TrRoad_act!C36*1000
)</f>
        <v>209.76107290983725</v>
      </c>
      <c r="D60" s="87">
        <f>IF(TrRoad_act!D36=0,0,D23/TrRoad_act!D36*1000
)</f>
        <v>199.32166237332746</v>
      </c>
      <c r="E60" s="87">
        <f>IF(TrRoad_act!E36=0,0,E23/TrRoad_act!E36*1000
)</f>
        <v>195.62169196652275</v>
      </c>
      <c r="F60" s="87">
        <f>IF(TrRoad_act!F36=0,0,F23/TrRoad_act!F36*1000
)</f>
        <v>196.38159803411267</v>
      </c>
      <c r="G60" s="87">
        <f>IF(TrRoad_act!G36=0,0,G23/TrRoad_act!G36*1000
)</f>
        <v>185.44692655354922</v>
      </c>
      <c r="H60" s="87">
        <f>IF(TrRoad_act!H36=0,0,H23/TrRoad_act!H36*1000
)</f>
        <v>181.6674837461361</v>
      </c>
      <c r="I60" s="87">
        <f>IF(TrRoad_act!I36=0,0,I23/TrRoad_act!I36*1000
)</f>
        <v>182.79328241951174</v>
      </c>
      <c r="J60" s="87">
        <f>IF(TrRoad_act!J36=0,0,J23/TrRoad_act!J36*1000
)</f>
        <v>190.36970337271819</v>
      </c>
      <c r="K60" s="87">
        <f>IF(TrRoad_act!K36=0,0,K23/TrRoad_act!K36*1000
)</f>
        <v>197.35451981573118</v>
      </c>
      <c r="L60" s="87">
        <f>IF(TrRoad_act!L36=0,0,L23/TrRoad_act!L36*1000
)</f>
        <v>194.10379021978451</v>
      </c>
      <c r="M60" s="87">
        <f>IF(TrRoad_act!M36=0,0,M23/TrRoad_act!M36*1000
)</f>
        <v>184.79345076528162</v>
      </c>
      <c r="N60" s="87">
        <f>IF(TrRoad_act!N36=0,0,N23/TrRoad_act!N36*1000
)</f>
        <v>189.56278252987138</v>
      </c>
      <c r="O60" s="87">
        <f>IF(TrRoad_act!O36=0,0,O23/TrRoad_act!O36*1000
)</f>
        <v>188.07387852866472</v>
      </c>
      <c r="P60" s="87">
        <f>IF(TrRoad_act!P36=0,0,P23/TrRoad_act!P36*1000
)</f>
        <v>178.1058307108853</v>
      </c>
      <c r="Q60" s="87">
        <f>IF(TrRoad_act!Q36=0,0,Q23/TrRoad_act!Q36*1000
)</f>
        <v>174.33689472345966</v>
      </c>
      <c r="R60" s="87">
        <f>IF(TrRoad_act!R36=0,0,R23/TrRoad_act!R36*1000
)</f>
        <v>195.24756609562507</v>
      </c>
      <c r="S60" s="87">
        <f>IF(TrRoad_act!S36=0,0,S23/TrRoad_act!S36*1000
)</f>
        <v>209.05671841870682</v>
      </c>
      <c r="T60" s="87">
        <f>IF(TrRoad_act!T36=0,0,T23/TrRoad_act!T36*1000
)</f>
        <v>195.56170092811541</v>
      </c>
      <c r="U60" s="87">
        <f>IF(TrRoad_act!U36=0,0,U23/TrRoad_act!U36*1000
)</f>
        <v>222.27457575840683</v>
      </c>
      <c r="V60" s="87">
        <f>IF(TrRoad_act!V36=0,0,V23/TrRoad_act!V36*1000
)</f>
        <v>180.32729158735054</v>
      </c>
      <c r="W60" s="87">
        <f>IF(TrRoad_act!W36=0,0,W23/TrRoad_act!W36*1000
)</f>
        <v>132.9657481947529</v>
      </c>
      <c r="X60" s="87">
        <f>IF(TrRoad_act!X36=0,0,X23/TrRoad_act!X36*1000
)</f>
        <v>198.80540438883645</v>
      </c>
      <c r="Y60" s="87">
        <f>IF(TrRoad_act!Y36=0,0,Y23/TrRoad_act!Y36*1000
)</f>
        <v>198.22210958317422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163.91518437991934</v>
      </c>
      <c r="I61" s="87">
        <f>IF(TrRoad_act!I37=0,0,I24/TrRoad_act!I37*1000
)</f>
        <v>161.96285100610623</v>
      </c>
      <c r="J61" s="87">
        <f>IF(TrRoad_act!J37=0,0,J24/TrRoad_act!J37*1000
)</f>
        <v>157.21717518668319</v>
      </c>
      <c r="K61" s="87">
        <f>IF(TrRoad_act!K37=0,0,K24/TrRoad_act!K37*1000
)</f>
        <v>156.03907966425871</v>
      </c>
      <c r="L61" s="87">
        <f>IF(TrRoad_act!L37=0,0,L24/TrRoad_act!L37*1000
)</f>
        <v>162.65831357754163</v>
      </c>
      <c r="M61" s="87">
        <f>IF(TrRoad_act!M37=0,0,M24/TrRoad_act!M37*1000
)</f>
        <v>166.3550008296009</v>
      </c>
      <c r="N61" s="87">
        <f>IF(TrRoad_act!N37=0,0,N24/TrRoad_act!N37*1000
)</f>
        <v>166.12466187429291</v>
      </c>
      <c r="O61" s="87">
        <f>IF(TrRoad_act!O37=0,0,O24/TrRoad_act!O37*1000
)</f>
        <v>159.72280629826972</v>
      </c>
      <c r="P61" s="87">
        <f>IF(TrRoad_act!P37=0,0,P24/TrRoad_act!P37*1000
)</f>
        <v>148.87323112697848</v>
      </c>
      <c r="Q61" s="87">
        <f>IF(TrRoad_act!Q37=0,0,Q24/TrRoad_act!Q37*1000
)</f>
        <v>146.81086747747585</v>
      </c>
      <c r="R61" s="87">
        <f>IF(TrRoad_act!R37=0,0,R24/TrRoad_act!R37*1000
)</f>
        <v>144.335327910214</v>
      </c>
      <c r="S61" s="87">
        <f>IF(TrRoad_act!S37=0,0,S24/TrRoad_act!S37*1000
)</f>
        <v>143.81716904679698</v>
      </c>
      <c r="T61" s="87">
        <f>IF(TrRoad_act!T37=0,0,T24/TrRoad_act!T37*1000
)</f>
        <v>140.64981786942178</v>
      </c>
      <c r="U61" s="87">
        <f>IF(TrRoad_act!U37=0,0,U24/TrRoad_act!U37*1000
)</f>
        <v>138.95341613075971</v>
      </c>
      <c r="V61" s="87">
        <f>IF(TrRoad_act!V37=0,0,V24/TrRoad_act!V37*1000
)</f>
        <v>136.92774299531447</v>
      </c>
      <c r="W61" s="87">
        <f>IF(TrRoad_act!W37=0,0,W24/TrRoad_act!W37*1000
)</f>
        <v>135.05392086078581</v>
      </c>
      <c r="X61" s="87">
        <f>IF(TrRoad_act!X37=0,0,X24/TrRoad_act!X37*1000
)</f>
        <v>133.49437692484017</v>
      </c>
      <c r="Y61" s="87">
        <f>IF(TrRoad_act!Y37=0,0,Y24/TrRoad_act!Y37*1000
)</f>
        <v>130.30263159061678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77.335517439752721</v>
      </c>
      <c r="N62" s="87">
        <f>IF(TrRoad_act!N38=0,0,N25/TrRoad_act!N38*1000
)</f>
        <v>56.792171731545146</v>
      </c>
      <c r="O62" s="87">
        <f>IF(TrRoad_act!O38=0,0,O25/TrRoad_act!O38*1000
)</f>
        <v>39.808624268442493</v>
      </c>
      <c r="P62" s="87">
        <f>IF(TrRoad_act!P38=0,0,P25/TrRoad_act!P38*1000
)</f>
        <v>45.753032600616066</v>
      </c>
      <c r="Q62" s="87">
        <f>IF(TrRoad_act!Q38=0,0,Q25/TrRoad_act!Q38*1000
)</f>
        <v>57.73835612993188</v>
      </c>
      <c r="R62" s="87">
        <f>IF(TrRoad_act!R38=0,0,R25/TrRoad_act!R38*1000
)</f>
        <v>73.303224529012027</v>
      </c>
      <c r="S62" s="87">
        <f>IF(TrRoad_act!S38=0,0,S25/TrRoad_act!S38*1000
)</f>
        <v>77.530904201547557</v>
      </c>
      <c r="T62" s="87">
        <f>IF(TrRoad_act!T38=0,0,T25/TrRoad_act!T38*1000
)</f>
        <v>80.267636617304632</v>
      </c>
      <c r="U62" s="87">
        <f>IF(TrRoad_act!U38=0,0,U25/TrRoad_act!U38*1000
)</f>
        <v>78.454980466537052</v>
      </c>
      <c r="V62" s="87">
        <f>IF(TrRoad_act!V38=0,0,V25/TrRoad_act!V38*1000
)</f>
        <v>65.034349606225277</v>
      </c>
      <c r="W62" s="87">
        <f>IF(TrRoad_act!W38=0,0,W25/TrRoad_act!W38*1000
)</f>
        <v>57.124336227262617</v>
      </c>
      <c r="X62" s="87">
        <f>IF(TrRoad_act!X38=0,0,X25/TrRoad_act!X38*1000
)</f>
        <v>52.023813104550904</v>
      </c>
      <c r="Y62" s="87">
        <f>IF(TrRoad_act!Y38=0,0,Y25/TrRoad_act!Y38*1000
)</f>
        <v>50.429035514628552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1758.9561102444818</v>
      </c>
      <c r="C64" s="116">
        <f>IF(TrRoad_act!C40=0,0,C27/TrRoad_act!C40*1000
)</f>
        <v>1729.5131852082818</v>
      </c>
      <c r="D64" s="116">
        <f>IF(TrRoad_act!D40=0,0,D27/TrRoad_act!D40*1000
)</f>
        <v>1714.0847087287611</v>
      </c>
      <c r="E64" s="116">
        <f>IF(TrRoad_act!E40=0,0,E27/TrRoad_act!E40*1000
)</f>
        <v>1700.8404172150488</v>
      </c>
      <c r="F64" s="116">
        <f>IF(TrRoad_act!F40=0,0,F27/TrRoad_act!F40*1000
)</f>
        <v>1686.1463853280336</v>
      </c>
      <c r="G64" s="116">
        <f>IF(TrRoad_act!G40=0,0,G27/TrRoad_act!G40*1000
)</f>
        <v>1660.2319399132207</v>
      </c>
      <c r="H64" s="116">
        <f>IF(TrRoad_act!H40=0,0,H27/TrRoad_act!H40*1000
)</f>
        <v>1595.7012778944193</v>
      </c>
      <c r="I64" s="116">
        <f>IF(TrRoad_act!I40=0,0,I27/TrRoad_act!I40*1000
)</f>
        <v>1575.7517864685951</v>
      </c>
      <c r="J64" s="116">
        <f>IF(TrRoad_act!J40=0,0,J27/TrRoad_act!J40*1000
)</f>
        <v>1556.140655248847</v>
      </c>
      <c r="K64" s="116">
        <f>IF(TrRoad_act!K40=0,0,K27/TrRoad_act!K40*1000
)</f>
        <v>1511.9991677697062</v>
      </c>
      <c r="L64" s="116">
        <f>IF(TrRoad_act!L40=0,0,L27/TrRoad_act!L40*1000
)</f>
        <v>1512.9681137067969</v>
      </c>
      <c r="M64" s="116">
        <f>IF(TrRoad_act!M40=0,0,M27/TrRoad_act!M40*1000
)</f>
        <v>1499.5109616554682</v>
      </c>
      <c r="N64" s="116">
        <f>IF(TrRoad_act!N40=0,0,N27/TrRoad_act!N40*1000
)</f>
        <v>1497.4878043501051</v>
      </c>
      <c r="O64" s="116">
        <f>IF(TrRoad_act!O40=0,0,O27/TrRoad_act!O40*1000
)</f>
        <v>1491.4326101955185</v>
      </c>
      <c r="P64" s="116">
        <f>IF(TrRoad_act!P40=0,0,P27/TrRoad_act!P40*1000
)</f>
        <v>1469.4028968910084</v>
      </c>
      <c r="Q64" s="116">
        <f>IF(TrRoad_act!Q40=0,0,Q27/TrRoad_act!Q40*1000
)</f>
        <v>1465.8430880242863</v>
      </c>
      <c r="R64" s="116">
        <f>IF(TrRoad_act!R40=0,0,R27/TrRoad_act!R40*1000
)</f>
        <v>1522.3310325382556</v>
      </c>
      <c r="S64" s="116">
        <f>IF(TrRoad_act!S40=0,0,S27/TrRoad_act!S40*1000
)</f>
        <v>1549.4289136390662</v>
      </c>
      <c r="T64" s="116">
        <f>IF(TrRoad_act!T40=0,0,T27/TrRoad_act!T40*1000
)</f>
        <v>1549.0092278286015</v>
      </c>
      <c r="U64" s="116">
        <f>IF(TrRoad_act!U40=0,0,U27/TrRoad_act!U40*1000
)</f>
        <v>1548.2987132526569</v>
      </c>
      <c r="V64" s="116">
        <f>IF(TrRoad_act!V40=0,0,V27/TrRoad_act!V40*1000
)</f>
        <v>1546.6829111740701</v>
      </c>
      <c r="W64" s="116">
        <f>IF(TrRoad_act!W40=0,0,W27/TrRoad_act!W40*1000
)</f>
        <v>1537.3891943218234</v>
      </c>
      <c r="X64" s="116">
        <f>IF(TrRoad_act!X40=0,0,X27/TrRoad_act!X40*1000
)</f>
        <v>1521.1902221202454</v>
      </c>
      <c r="Y64" s="116">
        <f>IF(TrRoad_act!Y40=0,0,Y27/TrRoad_act!Y40*1000
)</f>
        <v>1480.2974055482168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562.02418983398047</v>
      </c>
      <c r="C65" s="101">
        <f>IF(TrRoad_act!C41=0,0,C28/TrRoad_act!C41*1000
)</f>
        <v>554.7881173143428</v>
      </c>
      <c r="D65" s="101">
        <f>IF(TrRoad_act!D41=0,0,D28/TrRoad_act!D41*1000
)</f>
        <v>553.3775025507108</v>
      </c>
      <c r="E65" s="101">
        <f>IF(TrRoad_act!E41=0,0,E28/TrRoad_act!E41*1000
)</f>
        <v>552.55135707518787</v>
      </c>
      <c r="F65" s="101">
        <f>IF(TrRoad_act!F41=0,0,F28/TrRoad_act!F41*1000
)</f>
        <v>551.37231583385289</v>
      </c>
      <c r="G65" s="101">
        <f>IF(TrRoad_act!G41=0,0,G28/TrRoad_act!G41*1000
)</f>
        <v>549.40126065808033</v>
      </c>
      <c r="H65" s="101">
        <f>IF(TrRoad_act!H41=0,0,H28/TrRoad_act!H41*1000
)</f>
        <v>547.5545545216545</v>
      </c>
      <c r="I65" s="101">
        <f>IF(TrRoad_act!I41=0,0,I28/TrRoad_act!I41*1000
)</f>
        <v>524.86598204042571</v>
      </c>
      <c r="J65" s="101">
        <f>IF(TrRoad_act!J41=0,0,J28/TrRoad_act!J41*1000
)</f>
        <v>508.70550645520797</v>
      </c>
      <c r="K65" s="101">
        <f>IF(TrRoad_act!K41=0,0,K28/TrRoad_act!K41*1000
)</f>
        <v>493.00095802759768</v>
      </c>
      <c r="L65" s="101">
        <f>IF(TrRoad_act!L41=0,0,L28/TrRoad_act!L41*1000
)</f>
        <v>492.89751202198931</v>
      </c>
      <c r="M65" s="101">
        <f>IF(TrRoad_act!M41=0,0,M28/TrRoad_act!M41*1000
)</f>
        <v>478.8908598923332</v>
      </c>
      <c r="N65" s="101">
        <f>IF(TrRoad_act!N41=0,0,N28/TrRoad_act!N41*1000
)</f>
        <v>478.2747409577359</v>
      </c>
      <c r="O65" s="101">
        <f>IF(TrRoad_act!O41=0,0,O28/TrRoad_act!O41*1000
)</f>
        <v>458.8742566307584</v>
      </c>
      <c r="P65" s="101">
        <f>IF(TrRoad_act!P41=0,0,P28/TrRoad_act!P41*1000
)</f>
        <v>429.71532933653896</v>
      </c>
      <c r="Q65" s="101">
        <f>IF(TrRoad_act!Q41=0,0,Q28/TrRoad_act!Q41*1000
)</f>
        <v>430.72907269125494</v>
      </c>
      <c r="R65" s="101">
        <f>IF(TrRoad_act!R41=0,0,R28/TrRoad_act!R41*1000
)</f>
        <v>422.73322753755946</v>
      </c>
      <c r="S65" s="101">
        <f>IF(TrRoad_act!S41=0,0,S28/TrRoad_act!S41*1000
)</f>
        <v>422.87656843987014</v>
      </c>
      <c r="T65" s="101">
        <f>IF(TrRoad_act!T41=0,0,T28/TrRoad_act!T41*1000
)</f>
        <v>422.99443538682937</v>
      </c>
      <c r="U65" s="101">
        <f>IF(TrRoad_act!U41=0,0,U28/TrRoad_act!U41*1000
)</f>
        <v>423.20655086817476</v>
      </c>
      <c r="V65" s="101">
        <f>IF(TrRoad_act!V41=0,0,V28/TrRoad_act!V41*1000
)</f>
        <v>409.89873428295977</v>
      </c>
      <c r="W65" s="101">
        <f>IF(TrRoad_act!W41=0,0,W28/TrRoad_act!W41*1000
)</f>
        <v>412.24424431198457</v>
      </c>
      <c r="X65" s="101">
        <f>IF(TrRoad_act!X41=0,0,X28/TrRoad_act!X41*1000
)</f>
        <v>412.83853400235773</v>
      </c>
      <c r="Y65" s="101">
        <f>IF(TrRoad_act!Y41=0,0,Y28/TrRoad_act!Y41*1000
)</f>
        <v>392.68471992478766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1779.0643635815936</v>
      </c>
      <c r="C66" s="101">
        <f>IF(TrRoad_act!C42=0,0,C29/TrRoad_act!C42*1000
)</f>
        <v>1749.1926163243693</v>
      </c>
      <c r="D66" s="101">
        <f>IF(TrRoad_act!D42=0,0,D29/TrRoad_act!D42*1000
)</f>
        <v>1733.4138977468085</v>
      </c>
      <c r="E66" s="101">
        <f>IF(TrRoad_act!E42=0,0,E29/TrRoad_act!E42*1000
)</f>
        <v>1719.8071564903785</v>
      </c>
      <c r="F66" s="101">
        <f>IF(TrRoad_act!F42=0,0,F29/TrRoad_act!F42*1000
)</f>
        <v>1705.3831301883213</v>
      </c>
      <c r="G66" s="101">
        <f>IF(TrRoad_act!G42=0,0,G29/TrRoad_act!G42*1000
)</f>
        <v>1679.3815774439956</v>
      </c>
      <c r="H66" s="101">
        <f>IF(TrRoad_act!H42=0,0,H29/TrRoad_act!H42*1000
)</f>
        <v>1614.8343628391769</v>
      </c>
      <c r="I66" s="101">
        <f>IF(TrRoad_act!I42=0,0,I29/TrRoad_act!I42*1000
)</f>
        <v>1595.0164781341414</v>
      </c>
      <c r="J66" s="101">
        <f>IF(TrRoad_act!J42=0,0,J29/TrRoad_act!J42*1000
)</f>
        <v>1576.2715728460548</v>
      </c>
      <c r="K66" s="101">
        <f>IF(TrRoad_act!K42=0,0,K29/TrRoad_act!K42*1000
)</f>
        <v>1544.0818891956658</v>
      </c>
      <c r="L66" s="101">
        <f>IF(TrRoad_act!L42=0,0,L29/TrRoad_act!L42*1000
)</f>
        <v>1551.8819222942557</v>
      </c>
      <c r="M66" s="101">
        <f>IF(TrRoad_act!M42=0,0,M29/TrRoad_act!M42*1000
)</f>
        <v>1545.2207368877037</v>
      </c>
      <c r="N66" s="101">
        <f>IF(TrRoad_act!N42=0,0,N29/TrRoad_act!N42*1000
)</f>
        <v>1548.0420132458601</v>
      </c>
      <c r="O66" s="101">
        <f>IF(TrRoad_act!O42=0,0,O29/TrRoad_act!O42*1000
)</f>
        <v>1553.7068227940931</v>
      </c>
      <c r="P66" s="101">
        <f>IF(TrRoad_act!P42=0,0,P29/TrRoad_act!P42*1000
)</f>
        <v>1531.8620427018329</v>
      </c>
      <c r="Q66" s="101">
        <f>IF(TrRoad_act!Q42=0,0,Q29/TrRoad_act!Q42*1000
)</f>
        <v>1527.0568112470028</v>
      </c>
      <c r="R66" s="101">
        <f>IF(TrRoad_act!R42=0,0,R29/TrRoad_act!R42*1000
)</f>
        <v>1567.1717732918762</v>
      </c>
      <c r="S66" s="101">
        <f>IF(TrRoad_act!S42=0,0,S29/TrRoad_act!S42*1000
)</f>
        <v>1592.2532371286313</v>
      </c>
      <c r="T66" s="101">
        <f>IF(TrRoad_act!T42=0,0,T29/TrRoad_act!T42*1000
)</f>
        <v>1594.3560597815103</v>
      </c>
      <c r="U66" s="101">
        <f>IF(TrRoad_act!U42=0,0,U29/TrRoad_act!U42*1000
)</f>
        <v>1595.6677233379671</v>
      </c>
      <c r="V66" s="101">
        <f>IF(TrRoad_act!V42=0,0,V29/TrRoad_act!V42*1000
)</f>
        <v>1599.199027267055</v>
      </c>
      <c r="W66" s="101">
        <f>IF(TrRoad_act!W42=0,0,W29/TrRoad_act!W42*1000
)</f>
        <v>1587.6110974734238</v>
      </c>
      <c r="X66" s="101">
        <f>IF(TrRoad_act!X42=0,0,X29/TrRoad_act!X42*1000
)</f>
        <v>1573.3880169819788</v>
      </c>
      <c r="Y66" s="101">
        <f>IF(TrRoad_act!Y42=0,0,Y29/TrRoad_act!Y42*1000
)</f>
        <v>1535.3655658336386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1176.255724924164</v>
      </c>
      <c r="D67" s="101">
        <f>IF(TrRoad_act!D43=0,0,D30/TrRoad_act!D43*1000
)</f>
        <v>1177.4836627230789</v>
      </c>
      <c r="E67" s="101">
        <f>IF(TrRoad_act!E43=0,0,E30/TrRoad_act!E43*1000
)</f>
        <v>1178.4338511174981</v>
      </c>
      <c r="F67" s="101">
        <f>IF(TrRoad_act!F43=0,0,F30/TrRoad_act!F43*1000
)</f>
        <v>1180.2120569948468</v>
      </c>
      <c r="G67" s="101">
        <f>IF(TrRoad_act!G43=0,0,G30/TrRoad_act!G43*1000
)</f>
        <v>1182.9757625153397</v>
      </c>
      <c r="H67" s="101">
        <f>IF(TrRoad_act!H43=0,0,H30/TrRoad_act!H43*1000
)</f>
        <v>1186.3700992408467</v>
      </c>
      <c r="I67" s="101">
        <f>IF(TrRoad_act!I43=0,0,I30/TrRoad_act!I43*1000
)</f>
        <v>1190.5477171799691</v>
      </c>
      <c r="J67" s="101">
        <f>IF(TrRoad_act!J43=0,0,J30/TrRoad_act!J43*1000
)</f>
        <v>1193.7233751450703</v>
      </c>
      <c r="K67" s="101">
        <f>IF(TrRoad_act!K43=0,0,K30/TrRoad_act!K43*1000
)</f>
        <v>1198.8832195113177</v>
      </c>
      <c r="L67" s="101">
        <f>IF(TrRoad_act!L43=0,0,L30/TrRoad_act!L43*1000
)</f>
        <v>1200.6666036289012</v>
      </c>
      <c r="M67" s="101">
        <f>IF(TrRoad_act!M43=0,0,M30/TrRoad_act!M43*1000
)</f>
        <v>1202.1911323101904</v>
      </c>
      <c r="N67" s="101">
        <f>IF(TrRoad_act!N43=0,0,N30/TrRoad_act!N43*1000
)</f>
        <v>1202.5590079990518</v>
      </c>
      <c r="O67" s="101">
        <f>IF(TrRoad_act!O43=0,0,O30/TrRoad_act!O43*1000
)</f>
        <v>1202.7819126175857</v>
      </c>
      <c r="P67" s="101">
        <f>IF(TrRoad_act!P43=0,0,P30/TrRoad_act!P43*1000
)</f>
        <v>1203.3175828572946</v>
      </c>
      <c r="Q67" s="101">
        <f>IF(TrRoad_act!Q43=0,0,Q30/TrRoad_act!Q43*1000
)</f>
        <v>1206.5086765488736</v>
      </c>
      <c r="R67" s="101">
        <f>IF(TrRoad_act!R43=0,0,R30/TrRoad_act!R43*1000
)</f>
        <v>1209.2998986489865</v>
      </c>
      <c r="S67" s="101">
        <f>IF(TrRoad_act!S43=0,0,S30/TrRoad_act!S43*1000
)</f>
        <v>1211.2710880736697</v>
      </c>
      <c r="T67" s="101">
        <f>IF(TrRoad_act!T43=0,0,T30/TrRoad_act!T43*1000
)</f>
        <v>1212.3951655700105</v>
      </c>
      <c r="U67" s="101">
        <f>IF(TrRoad_act!U43=0,0,U30/TrRoad_act!U43*1000
)</f>
        <v>1225.4756528097198</v>
      </c>
      <c r="V67" s="101">
        <f>IF(TrRoad_act!V43=0,0,V30/TrRoad_act!V43*1000
)</f>
        <v>1225.0496483435313</v>
      </c>
      <c r="W67" s="101">
        <f>IF(TrRoad_act!W43=0,0,W30/TrRoad_act!W43*1000
)</f>
        <v>1218.5446771249483</v>
      </c>
      <c r="X67" s="101">
        <f>IF(TrRoad_act!X43=0,0,X30/TrRoad_act!X43*1000
)</f>
        <v>1207.128391723171</v>
      </c>
      <c r="Y67" s="101">
        <f>IF(TrRoad_act!Y43=0,0,Y30/TrRoad_act!Y43*1000
)</f>
        <v>1200.2930765291069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1193.7646878686949</v>
      </c>
      <c r="G68" s="101">
        <f>IF(TrRoad_act!G44=0,0,G31/TrRoad_act!G44*1000
)</f>
        <v>1510.5577365064942</v>
      </c>
      <c r="H68" s="101">
        <f>IF(TrRoad_act!H44=0,0,H31/TrRoad_act!H44*1000
)</f>
        <v>1323.9632842171368</v>
      </c>
      <c r="I68" s="101">
        <f>IF(TrRoad_act!I44=0,0,I31/TrRoad_act!I44*1000
)</f>
        <v>1236.5055897567725</v>
      </c>
      <c r="J68" s="101">
        <f>IF(TrRoad_act!J44=0,0,J31/TrRoad_act!J44*1000
)</f>
        <v>1268.2909362620505</v>
      </c>
      <c r="K68" s="101">
        <f>IF(TrRoad_act!K44=0,0,K31/TrRoad_act!K44*1000
)</f>
        <v>1125.3874385242361</v>
      </c>
      <c r="L68" s="101">
        <f>IF(TrRoad_act!L44=0,0,L31/TrRoad_act!L44*1000
)</f>
        <v>1082.3681570651984</v>
      </c>
      <c r="M68" s="101">
        <f>IF(TrRoad_act!M44=0,0,M31/TrRoad_act!M44*1000
)</f>
        <v>956.59681251178699</v>
      </c>
      <c r="N68" s="101">
        <f>IF(TrRoad_act!N44=0,0,N31/TrRoad_act!N44*1000
)</f>
        <v>937.22576232839424</v>
      </c>
      <c r="O68" s="101">
        <f>IF(TrRoad_act!O44=0,0,O31/TrRoad_act!O44*1000
)</f>
        <v>876.55192847608396</v>
      </c>
      <c r="P68" s="101">
        <f>IF(TrRoad_act!P44=0,0,P31/TrRoad_act!P44*1000
)</f>
        <v>861.80530638730647</v>
      </c>
      <c r="Q68" s="101">
        <f>IF(TrRoad_act!Q44=0,0,Q31/TrRoad_act!Q44*1000
)</f>
        <v>862.13109109196682</v>
      </c>
      <c r="R68" s="101">
        <f>IF(TrRoad_act!R44=0,0,R31/TrRoad_act!R44*1000
)</f>
        <v>1063.1660046979609</v>
      </c>
      <c r="S68" s="101">
        <f>IF(TrRoad_act!S44=0,0,S31/TrRoad_act!S44*1000
)</f>
        <v>1074.6031164461019</v>
      </c>
      <c r="T68" s="101">
        <f>IF(TrRoad_act!T44=0,0,T31/TrRoad_act!T44*1000
)</f>
        <v>1068.9495482715929</v>
      </c>
      <c r="U68" s="101">
        <f>IF(TrRoad_act!U44=0,0,U31/TrRoad_act!U44*1000
)</f>
        <v>1070.3454324937597</v>
      </c>
      <c r="V68" s="101">
        <f>IF(TrRoad_act!V44=0,0,V31/TrRoad_act!V44*1000
)</f>
        <v>1074.8939124818262</v>
      </c>
      <c r="W68" s="101">
        <f>IF(TrRoad_act!W44=0,0,W31/TrRoad_act!W44*1000
)</f>
        <v>1079.2178202383047</v>
      </c>
      <c r="X68" s="101">
        <f>IF(TrRoad_act!X44=0,0,X31/TrRoad_act!X44*1000
)</f>
        <v>1078.3641483545443</v>
      </c>
      <c r="Y68" s="101">
        <f>IF(TrRoad_act!Y44=0,0,Y31/TrRoad_act!Y44*1000
)</f>
        <v>1064.8985517603028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874.47249705379772</v>
      </c>
      <c r="C70" s="29">
        <f>IF(TrRoad_act!C46=0,0,C33/TrRoad_act!C46*1000
)</f>
        <v>953.81695736116285</v>
      </c>
      <c r="D70" s="29">
        <f>IF(TrRoad_act!D46=0,0,D33/TrRoad_act!D46*1000
)</f>
        <v>1024.4161876509256</v>
      </c>
      <c r="E70" s="29">
        <f>IF(TrRoad_act!E46=0,0,E33/TrRoad_act!E46*1000
)</f>
        <v>1083.4869396352474</v>
      </c>
      <c r="F70" s="29">
        <f>IF(TrRoad_act!F46=0,0,F33/TrRoad_act!F46*1000
)</f>
        <v>1062.1757703357036</v>
      </c>
      <c r="G70" s="29">
        <f>IF(TrRoad_act!G46=0,0,G33/TrRoad_act!G46*1000
)</f>
        <v>1080.2946837749566</v>
      </c>
      <c r="H70" s="29">
        <f>IF(TrRoad_act!H46=0,0,H33/TrRoad_act!H46*1000
)</f>
        <v>935.35833706337621</v>
      </c>
      <c r="I70" s="29">
        <f>IF(TrRoad_act!I46=0,0,I33/TrRoad_act!I46*1000
)</f>
        <v>892.73798628563782</v>
      </c>
      <c r="J70" s="29">
        <f>IF(TrRoad_act!J46=0,0,J33/TrRoad_act!J46*1000
)</f>
        <v>840.98504499350042</v>
      </c>
      <c r="K70" s="29">
        <f>IF(TrRoad_act!K46=0,0,K33/TrRoad_act!K46*1000
)</f>
        <v>827.24770561969126</v>
      </c>
      <c r="L70" s="29">
        <f>IF(TrRoad_act!L46=0,0,L33/TrRoad_act!L46*1000
)</f>
        <v>887.01780537282548</v>
      </c>
      <c r="M70" s="29">
        <f>IF(TrRoad_act!M46=0,0,M33/TrRoad_act!M46*1000
)</f>
        <v>804.12782137728016</v>
      </c>
      <c r="N70" s="29">
        <f>IF(TrRoad_act!N46=0,0,N33/TrRoad_act!N46*1000
)</f>
        <v>826.88827108735018</v>
      </c>
      <c r="O70" s="29">
        <f>IF(TrRoad_act!O46=0,0,O33/TrRoad_act!O46*1000
)</f>
        <v>926.08297021316957</v>
      </c>
      <c r="P70" s="29">
        <f>IF(TrRoad_act!P46=0,0,P33/TrRoad_act!P46*1000
)</f>
        <v>849.27553253103281</v>
      </c>
      <c r="Q70" s="29">
        <f>IF(TrRoad_act!Q46=0,0,Q33/TrRoad_act!Q46*1000
)</f>
        <v>835.10333938310532</v>
      </c>
      <c r="R70" s="29">
        <f>IF(TrRoad_act!R46=0,0,R33/TrRoad_act!R46*1000
)</f>
        <v>846.70137456639566</v>
      </c>
      <c r="S70" s="29">
        <f>IF(TrRoad_act!S46=0,0,S33/TrRoad_act!S46*1000
)</f>
        <v>851.82232362804677</v>
      </c>
      <c r="T70" s="29">
        <f>IF(TrRoad_act!T46=0,0,T33/TrRoad_act!T46*1000
)</f>
        <v>859.55051547718199</v>
      </c>
      <c r="U70" s="29">
        <f>IF(TrRoad_act!U46=0,0,U33/TrRoad_act!U46*1000
)</f>
        <v>860.10610913229357</v>
      </c>
      <c r="V70" s="29">
        <f>IF(TrRoad_act!V46=0,0,V33/TrRoad_act!V46*1000
)</f>
        <v>817.05419617212522</v>
      </c>
      <c r="W70" s="29">
        <f>IF(TrRoad_act!W46=0,0,W33/TrRoad_act!W46*1000
)</f>
        <v>804.99933250552874</v>
      </c>
      <c r="X70" s="29">
        <f>IF(TrRoad_act!X46=0,0,X33/TrRoad_act!X46*1000
)</f>
        <v>691.56061545843306</v>
      </c>
      <c r="Y70" s="29">
        <f>IF(TrRoad_act!Y46=0,0,Y33/TrRoad_act!Y46*1000
)</f>
        <v>633.00427573813704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331.45954978722597</v>
      </c>
      <c r="C71" s="152">
        <f>IF(TrRoad_act!C47=0,0,C34/TrRoad_act!C47*1000
)</f>
        <v>321.13941298480324</v>
      </c>
      <c r="D71" s="152">
        <f>IF(TrRoad_act!D47=0,0,D34/TrRoad_act!D47*1000
)</f>
        <v>316.88646426654191</v>
      </c>
      <c r="E71" s="152">
        <f>IF(TrRoad_act!E47=0,0,E34/TrRoad_act!E47*1000
)</f>
        <v>313.09353665107801</v>
      </c>
      <c r="F71" s="152">
        <f>IF(TrRoad_act!F47=0,0,F34/TrRoad_act!F47*1000
)</f>
        <v>309.03543211853474</v>
      </c>
      <c r="G71" s="152">
        <f>IF(TrRoad_act!G47=0,0,G34/TrRoad_act!G47*1000
)</f>
        <v>303.20937953664259</v>
      </c>
      <c r="H71" s="152">
        <f>IF(TrRoad_act!H47=0,0,H34/TrRoad_act!H47*1000
)</f>
        <v>291.49531482681027</v>
      </c>
      <c r="I71" s="152">
        <f>IF(TrRoad_act!I47=0,0,I34/TrRoad_act!I47*1000
)</f>
        <v>287.14485733565806</v>
      </c>
      <c r="J71" s="152">
        <f>IF(TrRoad_act!J47=0,0,J34/TrRoad_act!J47*1000
)</f>
        <v>282.86423985950637</v>
      </c>
      <c r="K71" s="152">
        <f>IF(TrRoad_act!K47=0,0,K34/TrRoad_act!K47*1000
)</f>
        <v>276.67274357378864</v>
      </c>
      <c r="L71" s="152">
        <f>IF(TrRoad_act!L47=0,0,L34/TrRoad_act!L47*1000
)</f>
        <v>277.02835436532683</v>
      </c>
      <c r="M71" s="152">
        <f>IF(TrRoad_act!M47=0,0,M34/TrRoad_act!M47*1000
)</f>
        <v>275.67253546902725</v>
      </c>
      <c r="N71" s="152">
        <f>IF(TrRoad_act!N47=0,0,N34/TrRoad_act!N47*1000
)</f>
        <v>274.3692651312993</v>
      </c>
      <c r="O71" s="152">
        <f>IF(TrRoad_act!O47=0,0,O34/TrRoad_act!O47*1000
)</f>
        <v>272.92928842583046</v>
      </c>
      <c r="P71" s="152">
        <f>IF(TrRoad_act!P47=0,0,P34/TrRoad_act!P47*1000
)</f>
        <v>266.9830681037958</v>
      </c>
      <c r="Q71" s="152">
        <f>IF(TrRoad_act!Q47=0,0,Q34/TrRoad_act!Q47*1000
)</f>
        <v>263.64473227387379</v>
      </c>
      <c r="R71" s="152">
        <f>IF(TrRoad_act!R47=0,0,R34/TrRoad_act!R47*1000
)</f>
        <v>266.88833231166575</v>
      </c>
      <c r="S71" s="152">
        <f>IF(TrRoad_act!S47=0,0,S34/TrRoad_act!S47*1000
)</f>
        <v>267.13917053716852</v>
      </c>
      <c r="T71" s="152">
        <f>IF(TrRoad_act!T47=0,0,T34/TrRoad_act!T47*1000
)</f>
        <v>264.61842893151845</v>
      </c>
      <c r="U71" s="152">
        <f>IF(TrRoad_act!U47=0,0,U34/TrRoad_act!U47*1000
)</f>
        <v>263.72998466846701</v>
      </c>
      <c r="V71" s="152">
        <f>IF(TrRoad_act!V47=0,0,V34/TrRoad_act!V47*1000
)</f>
        <v>264.79111872872465</v>
      </c>
      <c r="W71" s="152">
        <f>IF(TrRoad_act!W47=0,0,W34/TrRoad_act!W47*1000
)</f>
        <v>265.17213571058068</v>
      </c>
      <c r="X71" s="152">
        <f>IF(TrRoad_act!X47=0,0,X34/TrRoad_act!X47*1000
)</f>
        <v>262.12754810552997</v>
      </c>
      <c r="Y71" s="152">
        <f>IF(TrRoad_act!Y47=0,0,Y34/TrRoad_act!Y47*1000
)</f>
        <v>255.9634796743419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324.88047010280729</v>
      </c>
      <c r="C72" s="87">
        <f>IF(TrRoad_act!C48=0,0,C35/TrRoad_act!C48*1000
)</f>
        <v>324.04655430685148</v>
      </c>
      <c r="D72" s="87">
        <f>IF(TrRoad_act!D48=0,0,D35/TrRoad_act!D48*1000
)</f>
        <v>323.23631082448929</v>
      </c>
      <c r="E72" s="87">
        <f>IF(TrRoad_act!E48=0,0,E35/TrRoad_act!E48*1000
)</f>
        <v>322.16686070833089</v>
      </c>
      <c r="F72" s="87">
        <f>IF(TrRoad_act!F48=0,0,F35/TrRoad_act!F48*1000
)</f>
        <v>320.31555194072303</v>
      </c>
      <c r="G72" s="87">
        <f>IF(TrRoad_act!G48=0,0,G35/TrRoad_act!G48*1000
)</f>
        <v>318.04475660044722</v>
      </c>
      <c r="H72" s="87">
        <f>IF(TrRoad_act!H48=0,0,H35/TrRoad_act!H48*1000
)</f>
        <v>315.01466114032405</v>
      </c>
      <c r="I72" s="87">
        <f>IF(TrRoad_act!I48=0,0,I35/TrRoad_act!I48*1000
)</f>
        <v>308.99762196522295</v>
      </c>
      <c r="J72" s="87">
        <f>IF(TrRoad_act!J48=0,0,J35/TrRoad_act!J48*1000
)</f>
        <v>297.6074970667508</v>
      </c>
      <c r="K72" s="87">
        <f>IF(TrRoad_act!K48=0,0,K35/TrRoad_act!K48*1000
)</f>
        <v>288.02969338699529</v>
      </c>
      <c r="L72" s="87">
        <f>IF(TrRoad_act!L48=0,0,L35/TrRoad_act!L48*1000
)</f>
        <v>284.26496286088303</v>
      </c>
      <c r="M72" s="87">
        <f>IF(TrRoad_act!M48=0,0,M35/TrRoad_act!M48*1000
)</f>
        <v>280.29058018882233</v>
      </c>
      <c r="N72" s="87">
        <f>IF(TrRoad_act!N48=0,0,N35/TrRoad_act!N48*1000
)</f>
        <v>273.47173141603747</v>
      </c>
      <c r="O72" s="87">
        <f>IF(TrRoad_act!O48=0,0,O35/TrRoad_act!O48*1000
)</f>
        <v>266.92809883229097</v>
      </c>
      <c r="P72" s="87">
        <f>IF(TrRoad_act!P48=0,0,P35/TrRoad_act!P48*1000
)</f>
        <v>260.93012879149967</v>
      </c>
      <c r="Q72" s="87">
        <f>IF(TrRoad_act!Q48=0,0,Q35/TrRoad_act!Q48*1000
)</f>
        <v>256.29819936419688</v>
      </c>
      <c r="R72" s="87">
        <f>IF(TrRoad_act!R48=0,0,R35/TrRoad_act!R48*1000
)</f>
        <v>251.35777111448766</v>
      </c>
      <c r="S72" s="87">
        <f>IF(TrRoad_act!S48=0,0,S35/TrRoad_act!S48*1000
)</f>
        <v>247.75850033105931</v>
      </c>
      <c r="T72" s="87">
        <f>IF(TrRoad_act!T48=0,0,T35/TrRoad_act!T48*1000
)</f>
        <v>243.12716096513577</v>
      </c>
      <c r="U72" s="87">
        <f>IF(TrRoad_act!U48=0,0,U35/TrRoad_act!U48*1000
)</f>
        <v>239.83694287510474</v>
      </c>
      <c r="V72" s="87">
        <f>IF(TrRoad_act!V48=0,0,V35/TrRoad_act!V48*1000
)</f>
        <v>237.58062838621458</v>
      </c>
      <c r="W72" s="87">
        <f>IF(TrRoad_act!W48=0,0,W35/TrRoad_act!W48*1000
)</f>
        <v>237.76916885534689</v>
      </c>
      <c r="X72" s="87">
        <f>IF(TrRoad_act!X48=0,0,X35/TrRoad_act!X48*1000
)</f>
        <v>235.44747473836352</v>
      </c>
      <c r="Y72" s="87">
        <f>IF(TrRoad_act!Y48=0,0,Y35/TrRoad_act!Y48*1000
)</f>
        <v>226.95597713612767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332.61649012458764</v>
      </c>
      <c r="C73" s="87">
        <f>IF(TrRoad_act!C49=0,0,C36/TrRoad_act!C49*1000
)</f>
        <v>320.7511722088729</v>
      </c>
      <c r="D73" s="87">
        <f>IF(TrRoad_act!D49=0,0,D36/TrRoad_act!D49*1000
)</f>
        <v>316.33136511394576</v>
      </c>
      <c r="E73" s="87">
        <f>IF(TrRoad_act!E49=0,0,E36/TrRoad_act!E49*1000
)</f>
        <v>312.40654880317317</v>
      </c>
      <c r="F73" s="87">
        <f>IF(TrRoad_act!F49=0,0,F36/TrRoad_act!F49*1000
)</f>
        <v>308.28324846155544</v>
      </c>
      <c r="G73" s="87">
        <f>IF(TrRoad_act!G49=0,0,G36/TrRoad_act!G49*1000
)</f>
        <v>302.2629963761924</v>
      </c>
      <c r="H73" s="87">
        <f>IF(TrRoad_act!H49=0,0,H36/TrRoad_act!H49*1000
)</f>
        <v>290.13160768272036</v>
      </c>
      <c r="I73" s="87">
        <f>IF(TrRoad_act!I49=0,0,I36/TrRoad_act!I49*1000
)</f>
        <v>285.94582464295996</v>
      </c>
      <c r="J73" s="87">
        <f>IF(TrRoad_act!J49=0,0,J36/TrRoad_act!J49*1000
)</f>
        <v>282.07951549201465</v>
      </c>
      <c r="K73" s="87">
        <f>IF(TrRoad_act!K49=0,0,K36/TrRoad_act!K49*1000
)</f>
        <v>276.07441395179444</v>
      </c>
      <c r="L73" s="87">
        <f>IF(TrRoad_act!L49=0,0,L36/TrRoad_act!L49*1000
)</f>
        <v>276.66909935176994</v>
      </c>
      <c r="M73" s="87">
        <f>IF(TrRoad_act!M49=0,0,M36/TrRoad_act!M49*1000
)</f>
        <v>275.47041470773701</v>
      </c>
      <c r="N73" s="87">
        <f>IF(TrRoad_act!N49=0,0,N36/TrRoad_act!N49*1000
)</f>
        <v>274.63994651678155</v>
      </c>
      <c r="O73" s="87">
        <f>IF(TrRoad_act!O49=0,0,O36/TrRoad_act!O49*1000
)</f>
        <v>273.61582065027216</v>
      </c>
      <c r="P73" s="87">
        <f>IF(TrRoad_act!P49=0,0,P36/TrRoad_act!P49*1000
)</f>
        <v>267.78122500274435</v>
      </c>
      <c r="Q73" s="87">
        <f>IF(TrRoad_act!Q49=0,0,Q36/TrRoad_act!Q49*1000
)</f>
        <v>264.64307383231517</v>
      </c>
      <c r="R73" s="87">
        <f>IF(TrRoad_act!R49=0,0,R36/TrRoad_act!R49*1000
)</f>
        <v>268.56918082595189</v>
      </c>
      <c r="S73" s="87">
        <f>IF(TrRoad_act!S49=0,0,S36/TrRoad_act!S49*1000
)</f>
        <v>269.12459713900074</v>
      </c>
      <c r="T73" s="87">
        <f>IF(TrRoad_act!T49=0,0,T36/TrRoad_act!T49*1000
)</f>
        <v>266.94535521093951</v>
      </c>
      <c r="U73" s="87">
        <f>IF(TrRoad_act!U49=0,0,U36/TrRoad_act!U49*1000
)</f>
        <v>266.34291271375196</v>
      </c>
      <c r="V73" s="87">
        <f>IF(TrRoad_act!V49=0,0,V36/TrRoad_act!V49*1000
)</f>
        <v>267.87267462816754</v>
      </c>
      <c r="W73" s="87">
        <f>IF(TrRoad_act!W49=0,0,W36/TrRoad_act!W49*1000
)</f>
        <v>269.27949916831818</v>
      </c>
      <c r="X73" s="87">
        <f>IF(TrRoad_act!X49=0,0,X36/TrRoad_act!X49*1000
)</f>
        <v>267.17455096750973</v>
      </c>
      <c r="Y73" s="87">
        <f>IF(TrRoad_act!Y49=0,0,Y36/TrRoad_act!Y49*1000
)</f>
        <v>262.50344037471746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557.33576308285546</v>
      </c>
      <c r="F74" s="87">
        <f>IF(TrRoad_act!F50=0,0,F37/TrRoad_act!F50*1000
)</f>
        <v>554.23856333432343</v>
      </c>
      <c r="G74" s="87">
        <f>IF(TrRoad_act!G50=0,0,G37/TrRoad_act!G50*1000
)</f>
        <v>560.37980260572078</v>
      </c>
      <c r="H74" s="87">
        <f>IF(TrRoad_act!H50=0,0,H37/TrRoad_act!H50*1000
)</f>
        <v>560.58761331170035</v>
      </c>
      <c r="I74" s="87">
        <f>IF(TrRoad_act!I50=0,0,I37/TrRoad_act!I50*1000
)</f>
        <v>560.6271265829979</v>
      </c>
      <c r="J74" s="87">
        <f>IF(TrRoad_act!J50=0,0,J37/TrRoad_act!J50*1000
)</f>
        <v>560.60801146539188</v>
      </c>
      <c r="K74" s="87">
        <f>IF(TrRoad_act!K50=0,0,K37/TrRoad_act!K50*1000
)</f>
        <v>560.62947989347674</v>
      </c>
      <c r="L74" s="87">
        <f>IF(TrRoad_act!L50=0,0,L37/TrRoad_act!L50*1000
)</f>
        <v>560.69974552797726</v>
      </c>
      <c r="M74" s="87">
        <f>IF(TrRoad_act!M50=0,0,M37/TrRoad_act!M50*1000
)</f>
        <v>560.75675309927692</v>
      </c>
      <c r="N74" s="87">
        <f>IF(TrRoad_act!N50=0,0,N37/TrRoad_act!N50*1000
)</f>
        <v>556.3871517655906</v>
      </c>
      <c r="O74" s="87">
        <f>IF(TrRoad_act!O50=0,0,O37/TrRoad_act!O50*1000
)</f>
        <v>556.54559180033084</v>
      </c>
      <c r="P74" s="87">
        <f>IF(TrRoad_act!P50=0,0,P37/TrRoad_act!P50*1000
)</f>
        <v>547.2346487569672</v>
      </c>
      <c r="Q74" s="87">
        <f>IF(TrRoad_act!Q50=0,0,Q37/TrRoad_act!Q50*1000
)</f>
        <v>542.60217379862343</v>
      </c>
      <c r="R74" s="87">
        <f>IF(TrRoad_act!R50=0,0,R37/TrRoad_act!R50*1000
)</f>
        <v>581.35728561308235</v>
      </c>
      <c r="S74" s="87">
        <f>IF(TrRoad_act!S50=0,0,S37/TrRoad_act!S50*1000
)</f>
        <v>575.79142814063334</v>
      </c>
      <c r="T74" s="87">
        <f>IF(TrRoad_act!T50=0,0,T37/TrRoad_act!T50*1000
)</f>
        <v>572.30632516809237</v>
      </c>
      <c r="U74" s="87">
        <f>IF(TrRoad_act!U50=0,0,U37/TrRoad_act!U50*1000
)</f>
        <v>564.92919902375377</v>
      </c>
      <c r="V74" s="87">
        <f>IF(TrRoad_act!V50=0,0,V37/TrRoad_act!V50*1000
)</f>
        <v>546.53239846458507</v>
      </c>
      <c r="W74" s="87">
        <f>IF(TrRoad_act!W50=0,0,W37/TrRoad_act!W50*1000
)</f>
        <v>521.26115025659919</v>
      </c>
      <c r="X74" s="87">
        <f>IF(TrRoad_act!X50=0,0,X37/TrRoad_act!X50*1000
)</f>
        <v>509.75765481615599</v>
      </c>
      <c r="Y74" s="87">
        <f>IF(TrRoad_act!Y50=0,0,Y37/TrRoad_act!Y50*1000
)</f>
        <v>497.79105618128483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289.89296366670391</v>
      </c>
      <c r="I75" s="87">
        <f>IF(TrRoad_act!I51=0,0,I38/TrRoad_act!I51*1000
)</f>
        <v>288.55657018555979</v>
      </c>
      <c r="J75" s="87">
        <f>IF(TrRoad_act!J51=0,0,J38/TrRoad_act!J51*1000
)</f>
        <v>280.11080381880697</v>
      </c>
      <c r="K75" s="87">
        <f>IF(TrRoad_act!K51=0,0,K38/TrRoad_act!K51*1000
)</f>
        <v>273.28404074856928</v>
      </c>
      <c r="L75" s="87">
        <f>IF(TrRoad_act!L51=0,0,L38/TrRoad_act!L51*1000
)</f>
        <v>261.88641661633744</v>
      </c>
      <c r="M75" s="87">
        <f>IF(TrRoad_act!M51=0,0,M38/TrRoad_act!M51*1000
)</f>
        <v>255.50297217133894</v>
      </c>
      <c r="N75" s="87">
        <f>IF(TrRoad_act!N51=0,0,N38/TrRoad_act!N51*1000
)</f>
        <v>252.73413339602396</v>
      </c>
      <c r="O75" s="87">
        <f>IF(TrRoad_act!O51=0,0,O38/TrRoad_act!O51*1000
)</f>
        <v>258.26087011857817</v>
      </c>
      <c r="P75" s="87">
        <f>IF(TrRoad_act!P51=0,0,P38/TrRoad_act!P51*1000
)</f>
        <v>246.00462873826936</v>
      </c>
      <c r="Q75" s="87">
        <f>IF(TrRoad_act!Q51=0,0,Q38/TrRoad_act!Q51*1000
)</f>
        <v>241.61072929503621</v>
      </c>
      <c r="R75" s="87">
        <f>IF(TrRoad_act!R51=0,0,R38/TrRoad_act!R51*1000
)</f>
        <v>222.08600181381024</v>
      </c>
      <c r="S75" s="87">
        <f>IF(TrRoad_act!S51=0,0,S38/TrRoad_act!S51*1000
)</f>
        <v>220.96545225690377</v>
      </c>
      <c r="T75" s="87">
        <f>IF(TrRoad_act!T51=0,0,T38/TrRoad_act!T51*1000
)</f>
        <v>217.57378043461486</v>
      </c>
      <c r="U75" s="87">
        <f>IF(TrRoad_act!U51=0,0,U38/TrRoad_act!U51*1000
)</f>
        <v>215.37733496959629</v>
      </c>
      <c r="V75" s="87">
        <f>IF(TrRoad_act!V51=0,0,V38/TrRoad_act!V51*1000
)</f>
        <v>212.48868011701538</v>
      </c>
      <c r="W75" s="87">
        <f>IF(TrRoad_act!W51=0,0,W38/TrRoad_act!W51*1000
)</f>
        <v>211.28800836975967</v>
      </c>
      <c r="X75" s="87">
        <f>IF(TrRoad_act!X51=0,0,X38/TrRoad_act!X51*1000
)</f>
        <v>207.74288397290837</v>
      </c>
      <c r="Y75" s="87">
        <f>IF(TrRoad_act!Y51=0,0,Y38/TrRoad_act!Y51*1000
)</f>
        <v>203.03653574254048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1711.8236920701859</v>
      </c>
      <c r="C77" s="116">
        <f>IF(TrRoad_act!C53=0,0,C40/TrRoad_act!C53*1000
)</f>
        <v>1953.3235776145245</v>
      </c>
      <c r="D77" s="116">
        <f>IF(TrRoad_act!D53=0,0,D40/TrRoad_act!D53*1000
)</f>
        <v>2171.4410469517434</v>
      </c>
      <c r="E77" s="116">
        <f>IF(TrRoad_act!E53=0,0,E40/TrRoad_act!E53*1000
)</f>
        <v>2323.3225533134159</v>
      </c>
      <c r="F77" s="116">
        <f>IF(TrRoad_act!F53=0,0,F40/TrRoad_act!F53*1000
)</f>
        <v>2229.5396583442889</v>
      </c>
      <c r="G77" s="116">
        <f>IF(TrRoad_act!G53=0,0,G40/TrRoad_act!G53*1000
)</f>
        <v>2305.1665206380198</v>
      </c>
      <c r="H77" s="116">
        <f>IF(TrRoad_act!H53=0,0,H40/TrRoad_act!H53*1000
)</f>
        <v>1873.684385353675</v>
      </c>
      <c r="I77" s="116">
        <f>IF(TrRoad_act!I53=0,0,I40/TrRoad_act!I53*1000
)</f>
        <v>1740.0615590061436</v>
      </c>
      <c r="J77" s="116">
        <f>IF(TrRoad_act!J53=0,0,J40/TrRoad_act!J53*1000
)</f>
        <v>1570.8423643183287</v>
      </c>
      <c r="K77" s="116">
        <f>IF(TrRoad_act!K53=0,0,K40/TrRoad_act!K53*1000
)</f>
        <v>1628.7378729733805</v>
      </c>
      <c r="L77" s="116">
        <f>IF(TrRoad_act!L53=0,0,L40/TrRoad_act!L53*1000
)</f>
        <v>1769.4883150486003</v>
      </c>
      <c r="M77" s="116">
        <f>IF(TrRoad_act!M53=0,0,M40/TrRoad_act!M53*1000
)</f>
        <v>1557.8227234149801</v>
      </c>
      <c r="N77" s="116">
        <f>IF(TrRoad_act!N53=0,0,N40/TrRoad_act!N53*1000
)</f>
        <v>1633.261824920306</v>
      </c>
      <c r="O77" s="116">
        <f>IF(TrRoad_act!O53=0,0,O40/TrRoad_act!O53*1000
)</f>
        <v>1897.7561517176503</v>
      </c>
      <c r="P77" s="116">
        <f>IF(TrRoad_act!P53=0,0,P40/TrRoad_act!P53*1000
)</f>
        <v>1737.9083584028378</v>
      </c>
      <c r="Q77" s="116">
        <f>IF(TrRoad_act!Q53=0,0,Q40/TrRoad_act!Q53*1000
)</f>
        <v>1688.2553804457143</v>
      </c>
      <c r="R77" s="116">
        <f>IF(TrRoad_act!R53=0,0,R40/TrRoad_act!R53*1000
)</f>
        <v>1701.8159171692926</v>
      </c>
      <c r="S77" s="116">
        <f>IF(TrRoad_act!S53=0,0,S40/TrRoad_act!S53*1000
)</f>
        <v>1685.7412295333725</v>
      </c>
      <c r="T77" s="116">
        <f>IF(TrRoad_act!T53=0,0,T40/TrRoad_act!T53*1000
)</f>
        <v>1722.9862050532213</v>
      </c>
      <c r="U77" s="116">
        <f>IF(TrRoad_act!U53=0,0,U40/TrRoad_act!U53*1000
)</f>
        <v>1738.5891653392516</v>
      </c>
      <c r="V77" s="116">
        <f>IF(TrRoad_act!V53=0,0,V40/TrRoad_act!V53*1000
)</f>
        <v>1645.8621245357867</v>
      </c>
      <c r="W77" s="116">
        <f>IF(TrRoad_act!W53=0,0,W40/TrRoad_act!W53*1000
)</f>
        <v>1629.8411352314995</v>
      </c>
      <c r="X77" s="116">
        <f>IF(TrRoad_act!X53=0,0,X40/TrRoad_act!X53*1000
)</f>
        <v>1362.5465127101904</v>
      </c>
      <c r="Y77" s="116">
        <f>IF(TrRoad_act!Y53=0,0,Y40/TrRoad_act!Y53*1000
)</f>
        <v>1250.4739250433076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1159.4024938054094</v>
      </c>
      <c r="C78" s="101">
        <f>IF(TrRoad_act!C54=0,0,C41/TrRoad_act!C54*1000
)</f>
        <v>1201.2925623811659</v>
      </c>
      <c r="D78" s="101">
        <f>IF(TrRoad_act!D54=0,0,D41/TrRoad_act!D54*1000
)</f>
        <v>1239.2316882358962</v>
      </c>
      <c r="E78" s="101">
        <f>IF(TrRoad_act!E54=0,0,E41/TrRoad_act!E54*1000
)</f>
        <v>1265.1632932270377</v>
      </c>
      <c r="F78" s="101">
        <f>IF(TrRoad_act!F54=0,0,F41/TrRoad_act!F54*1000
)</f>
        <v>1243.0079142411394</v>
      </c>
      <c r="G78" s="101">
        <f>IF(TrRoad_act!G54=0,0,G41/TrRoad_act!G54*1000
)</f>
        <v>1245.4719512602026</v>
      </c>
      <c r="H78" s="101">
        <f>IF(TrRoad_act!H54=0,0,H41/TrRoad_act!H54*1000
)</f>
        <v>1136.4402714003718</v>
      </c>
      <c r="I78" s="101">
        <f>IF(TrRoad_act!I54=0,0,I41/TrRoad_act!I54*1000
)</f>
        <v>1101.3942655367923</v>
      </c>
      <c r="J78" s="101">
        <f>IF(TrRoad_act!J54=0,0,J41/TrRoad_act!J54*1000
)</f>
        <v>1059.6944459069982</v>
      </c>
      <c r="K78" s="101">
        <f>IF(TrRoad_act!K54=0,0,K41/TrRoad_act!K54*1000
)</f>
        <v>1055.1977373607274</v>
      </c>
      <c r="L78" s="101">
        <f>IF(TrRoad_act!L54=0,0,L41/TrRoad_act!L54*1000
)</f>
        <v>1083.3843011145777</v>
      </c>
      <c r="M78" s="101">
        <f>IF(TrRoad_act!M54=0,0,M41/TrRoad_act!M54*1000
)</f>
        <v>1041.7101959230447</v>
      </c>
      <c r="N78" s="101">
        <f>IF(TrRoad_act!N54=0,0,N41/TrRoad_act!N54*1000
)</f>
        <v>1056.8455790183061</v>
      </c>
      <c r="O78" s="101">
        <f>IF(TrRoad_act!O54=0,0,O41/TrRoad_act!O54*1000
)</f>
        <v>1101.2266751095997</v>
      </c>
      <c r="P78" s="101">
        <f>IF(TrRoad_act!P54=0,0,P41/TrRoad_act!P54*1000
)</f>
        <v>1054.0549168664882</v>
      </c>
      <c r="Q78" s="101">
        <f>IF(TrRoad_act!Q54=0,0,Q41/TrRoad_act!Q54*1000
)</f>
        <v>1037.8365050115535</v>
      </c>
      <c r="R78" s="101">
        <f>IF(TrRoad_act!R54=0,0,R41/TrRoad_act!R54*1000
)</f>
        <v>1051.1762910355646</v>
      </c>
      <c r="S78" s="101">
        <f>IF(TrRoad_act!S54=0,0,S41/TrRoad_act!S54*1000
)</f>
        <v>1051.3349751676515</v>
      </c>
      <c r="T78" s="101">
        <f>IF(TrRoad_act!T54=0,0,T41/TrRoad_act!T54*1000
)</f>
        <v>1050.5770365265862</v>
      </c>
      <c r="U78" s="101">
        <f>IF(TrRoad_act!U54=0,0,U41/TrRoad_act!U54*1000
)</f>
        <v>1045.3689383749245</v>
      </c>
      <c r="V78" s="101">
        <f>IF(TrRoad_act!V54=0,0,V41/TrRoad_act!V54*1000
)</f>
        <v>1021.7957378949359</v>
      </c>
      <c r="W78" s="101">
        <f>IF(TrRoad_act!W54=0,0,W41/TrRoad_act!W54*1000
)</f>
        <v>1011.8109616071093</v>
      </c>
      <c r="X78" s="101">
        <f>IF(TrRoad_act!X54=0,0,X41/TrRoad_act!X54*1000
)</f>
        <v>955.45381444360839</v>
      </c>
      <c r="Y78" s="101">
        <f>IF(TrRoad_act!Y54=0,0,Y41/TrRoad_act!Y54*1000
)</f>
        <v>918.96620062145701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2577.5862555949643</v>
      </c>
      <c r="C79" s="88">
        <f>IF(TrRoad_act!C55=0,0,C42/TrRoad_act!C55*1000
)</f>
        <v>3054.7156229743669</v>
      </c>
      <c r="D79" s="88">
        <f>IF(TrRoad_act!D55=0,0,D42/TrRoad_act!D55*1000
)</f>
        <v>3462.591204728933</v>
      </c>
      <c r="E79" s="88">
        <f>IF(TrRoad_act!E55=0,0,E42/TrRoad_act!E55*1000
)</f>
        <v>3794.6223091960833</v>
      </c>
      <c r="F79" s="88">
        <f>IF(TrRoad_act!F55=0,0,F42/TrRoad_act!F55*1000
)</f>
        <v>3335.7026654701745</v>
      </c>
      <c r="G79" s="88">
        <f>IF(TrRoad_act!G55=0,0,G42/TrRoad_act!G55*1000
)</f>
        <v>3443.1464414877009</v>
      </c>
      <c r="H79" s="88">
        <f>IF(TrRoad_act!H55=0,0,H42/TrRoad_act!H55*1000
)</f>
        <v>2751.4803146021436</v>
      </c>
      <c r="I79" s="88">
        <f>IF(TrRoad_act!I55=0,0,I42/TrRoad_act!I55*1000
)</f>
        <v>2422.5186153359073</v>
      </c>
      <c r="J79" s="88">
        <f>IF(TrRoad_act!J55=0,0,J42/TrRoad_act!J55*1000
)</f>
        <v>2051.2875290547613</v>
      </c>
      <c r="K79" s="88">
        <f>IF(TrRoad_act!K55=0,0,K42/TrRoad_act!K55*1000
)</f>
        <v>2224.0758669371075</v>
      </c>
      <c r="L79" s="88">
        <f>IF(TrRoad_act!L55=0,0,L42/TrRoad_act!L55*1000
)</f>
        <v>2446.6664890773886</v>
      </c>
      <c r="M79" s="88">
        <f>IF(TrRoad_act!M55=0,0,M42/TrRoad_act!M55*1000
)</f>
        <v>2066.8770963923107</v>
      </c>
      <c r="N79" s="88">
        <f>IF(TrRoad_act!N55=0,0,N42/TrRoad_act!N55*1000
)</f>
        <v>2202.9517061884949</v>
      </c>
      <c r="O79" s="88">
        <f>IF(TrRoad_act!O55=0,0,O42/TrRoad_act!O55*1000
)</f>
        <v>2659.3105354651789</v>
      </c>
      <c r="P79" s="88">
        <f>IF(TrRoad_act!P55=0,0,P42/TrRoad_act!P55*1000
)</f>
        <v>2413.8417905507972</v>
      </c>
      <c r="Q79" s="88">
        <f>IF(TrRoad_act!Q55=0,0,Q42/TrRoad_act!Q55*1000
)</f>
        <v>2339.0053510304388</v>
      </c>
      <c r="R79" s="88">
        <f>IF(TrRoad_act!R55=0,0,R42/TrRoad_act!R55*1000
)</f>
        <v>2364.3228947549987</v>
      </c>
      <c r="S79" s="88">
        <f>IF(TrRoad_act!S55=0,0,S42/TrRoad_act!S55*1000
)</f>
        <v>2295.4302594095689</v>
      </c>
      <c r="T79" s="88">
        <f>IF(TrRoad_act!T55=0,0,T42/TrRoad_act!T55*1000
)</f>
        <v>2375.4350854874383</v>
      </c>
      <c r="U79" s="88">
        <f>IF(TrRoad_act!U55=0,0,U42/TrRoad_act!U55*1000
)</f>
        <v>2406.055936599977</v>
      </c>
      <c r="V79" s="88">
        <f>IF(TrRoad_act!V55=0,0,V42/TrRoad_act!V55*1000
)</f>
        <v>2218.6235694940515</v>
      </c>
      <c r="W79" s="88">
        <f>IF(TrRoad_act!W55=0,0,W42/TrRoad_act!W55*1000
)</f>
        <v>2201.770348113424</v>
      </c>
      <c r="X79" s="88">
        <f>IF(TrRoad_act!X55=0,0,X42/TrRoad_act!X55*1000
)</f>
        <v>1723.9271209896797</v>
      </c>
      <c r="Y79" s="88">
        <f>IF(TrRoad_act!Y55=0,0,Y42/TrRoad_act!Y55*1000
)</f>
        <v>1550.3599564444592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156.35852037871376</v>
      </c>
      <c r="C82" s="29">
        <f>IF(TrRoad_act!C4=0,0,C18/TrRoad_act!C4*1000)</f>
        <v>162.40811986079692</v>
      </c>
      <c r="D82" s="29">
        <f>IF(TrRoad_act!D4=0,0,D18/TrRoad_act!D4*1000)</f>
        <v>178.0321836305672</v>
      </c>
      <c r="E82" s="29">
        <f>IF(TrRoad_act!E4=0,0,E18/TrRoad_act!E4*1000)</f>
        <v>186.72771838320273</v>
      </c>
      <c r="F82" s="29">
        <f>IF(TrRoad_act!F4=0,0,F18/TrRoad_act!F4*1000)</f>
        <v>188.2710706790858</v>
      </c>
      <c r="G82" s="29">
        <f>IF(TrRoad_act!G4=0,0,G18/TrRoad_act!G4*1000)</f>
        <v>190.68797569145383</v>
      </c>
      <c r="H82" s="29">
        <f>IF(TrRoad_act!H4=0,0,H18/TrRoad_act!H4*1000)</f>
        <v>183.54369244965318</v>
      </c>
      <c r="I82" s="29">
        <f>IF(TrRoad_act!I4=0,0,I18/TrRoad_act!I4*1000)</f>
        <v>182.93122890439466</v>
      </c>
      <c r="J82" s="29">
        <f>IF(TrRoad_act!J4=0,0,J18/TrRoad_act!J4*1000)</f>
        <v>172.26575645538767</v>
      </c>
      <c r="K82" s="29">
        <f>IF(TrRoad_act!K4=0,0,K18/TrRoad_act!K4*1000)</f>
        <v>170.05313947810876</v>
      </c>
      <c r="L82" s="29">
        <f>IF(TrRoad_act!L4=0,0,L18/TrRoad_act!L4*1000)</f>
        <v>170.72859885761349</v>
      </c>
      <c r="M82" s="29">
        <f>IF(TrRoad_act!M4=0,0,M18/TrRoad_act!M4*1000)</f>
        <v>162.91947791773234</v>
      </c>
      <c r="N82" s="29">
        <f>IF(TrRoad_act!N4=0,0,N18/TrRoad_act!N4*1000)</f>
        <v>161.63844103916369</v>
      </c>
      <c r="O82" s="29">
        <f>IF(TrRoad_act!O4=0,0,O18/TrRoad_act!O4*1000)</f>
        <v>163.61093665776656</v>
      </c>
      <c r="P82" s="29">
        <f>IF(TrRoad_act!P4=0,0,P18/TrRoad_act!P4*1000)</f>
        <v>160.01903016813884</v>
      </c>
      <c r="Q82" s="29">
        <f>IF(TrRoad_act!Q4=0,0,Q18/TrRoad_act!Q4*1000)</f>
        <v>159.40251331586165</v>
      </c>
      <c r="R82" s="29">
        <f>IF(TrRoad_act!R4=0,0,R18/TrRoad_act!R4*1000)</f>
        <v>159.82968841427711</v>
      </c>
      <c r="S82" s="29">
        <f>IF(TrRoad_act!S4=0,0,S18/TrRoad_act!S4*1000)</f>
        <v>158.96756294922423</v>
      </c>
      <c r="T82" s="29">
        <f>IF(TrRoad_act!T4=0,0,T18/TrRoad_act!T4*1000)</f>
        <v>158.86017418961836</v>
      </c>
      <c r="U82" s="29">
        <f>IF(TrRoad_act!U4=0,0,U18/TrRoad_act!U4*1000)</f>
        <v>156.31533151101104</v>
      </c>
      <c r="V82" s="29">
        <f>IF(TrRoad_act!V4=0,0,V18/TrRoad_act!V4*1000)</f>
        <v>157.19888412670889</v>
      </c>
      <c r="W82" s="29">
        <f>IF(TrRoad_act!W4=0,0,W18/TrRoad_act!W4*1000)</f>
        <v>151.53426001310382</v>
      </c>
      <c r="X82" s="29">
        <f>IF(TrRoad_act!X4=0,0,X18/TrRoad_act!X4*1000)</f>
        <v>140.84433100960811</v>
      </c>
      <c r="Y82" s="29">
        <f>IF(TrRoad_act!Y4=0,0,Y18/TrRoad_act!Y4*1000)</f>
        <v>136.65932401095719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92.536206708331662</v>
      </c>
      <c r="C83" s="152">
        <f>IF(TrRoad_act!C5=0,0,C19/TrRoad_act!C5*1000)</f>
        <v>91.992698303431638</v>
      </c>
      <c r="D83" s="152">
        <f>IF(TrRoad_act!D5=0,0,D19/TrRoad_act!D5*1000)</f>
        <v>91.706464555316572</v>
      </c>
      <c r="E83" s="152">
        <f>IF(TrRoad_act!E5=0,0,E19/TrRoad_act!E5*1000)</f>
        <v>91.582464273129148</v>
      </c>
      <c r="F83" s="152">
        <f>IF(TrRoad_act!F5=0,0,F19/TrRoad_act!F5*1000)</f>
        <v>90.727436877530877</v>
      </c>
      <c r="G83" s="152">
        <f>IF(TrRoad_act!G5=0,0,G19/TrRoad_act!G5*1000)</f>
        <v>90.362393338966569</v>
      </c>
      <c r="H83" s="152">
        <f>IF(TrRoad_act!H5=0,0,H19/TrRoad_act!H5*1000)</f>
        <v>89.930834361797508</v>
      </c>
      <c r="I83" s="152">
        <f>IF(TrRoad_act!I5=0,0,I19/TrRoad_act!I5*1000)</f>
        <v>88.77840969518121</v>
      </c>
      <c r="J83" s="152">
        <f>IF(TrRoad_act!J5=0,0,J19/TrRoad_act!J5*1000)</f>
        <v>86.413384578467216</v>
      </c>
      <c r="K83" s="152">
        <f>IF(TrRoad_act!K5=0,0,K19/TrRoad_act!K5*1000)</f>
        <v>84.871395108599714</v>
      </c>
      <c r="L83" s="152">
        <f>IF(TrRoad_act!L5=0,0,L19/TrRoad_act!L5*1000)</f>
        <v>84.598659672024297</v>
      </c>
      <c r="M83" s="152">
        <f>IF(TrRoad_act!M5=0,0,M19/TrRoad_act!M5*1000)</f>
        <v>84.369957697851319</v>
      </c>
      <c r="N83" s="152">
        <f>IF(TrRoad_act!N5=0,0,N19/TrRoad_act!N5*1000)</f>
        <v>84.204395270351228</v>
      </c>
      <c r="O83" s="152">
        <f>IF(TrRoad_act!O5=0,0,O19/TrRoad_act!O5*1000)</f>
        <v>85.547815920222035</v>
      </c>
      <c r="P83" s="152">
        <f>IF(TrRoad_act!P5=0,0,P19/TrRoad_act!P5*1000)</f>
        <v>86.265110183033258</v>
      </c>
      <c r="Q83" s="152">
        <f>IF(TrRoad_act!Q5=0,0,Q19/TrRoad_act!Q5*1000)</f>
        <v>85.846842364470447</v>
      </c>
      <c r="R83" s="152">
        <f>IF(TrRoad_act!R5=0,0,R19/TrRoad_act!R5*1000)</f>
        <v>85.13337211911616</v>
      </c>
      <c r="S83" s="152">
        <f>IF(TrRoad_act!S5=0,0,S19/TrRoad_act!S5*1000)</f>
        <v>89.288075731816647</v>
      </c>
      <c r="T83" s="152">
        <f>IF(TrRoad_act!T5=0,0,T19/TrRoad_act!T5*1000)</f>
        <v>89.649273220514772</v>
      </c>
      <c r="U83" s="152">
        <f>IF(TrRoad_act!U5=0,0,U19/TrRoad_act!U5*1000)</f>
        <v>89.842242567146215</v>
      </c>
      <c r="V83" s="152">
        <f>IF(TrRoad_act!V5=0,0,V19/TrRoad_act!V5*1000)</f>
        <v>89.87819223051568</v>
      </c>
      <c r="W83" s="152">
        <f>IF(TrRoad_act!W5=0,0,W19/TrRoad_act!W5*1000)</f>
        <v>86.485183618355819</v>
      </c>
      <c r="X83" s="152">
        <f>IF(TrRoad_act!X5=0,0,X19/TrRoad_act!X5*1000)</f>
        <v>87.144533028637767</v>
      </c>
      <c r="Y83" s="152">
        <f>IF(TrRoad_act!Y5=0,0,Y19/TrRoad_act!Y5*1000)</f>
        <v>85.266835156013883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167.57837740645522</v>
      </c>
      <c r="C84" s="116">
        <f>IF(TrRoad_act!C6=0,0,C20/TrRoad_act!C6*1000)</f>
        <v>174.46237821522311</v>
      </c>
      <c r="D84" s="116">
        <f>IF(TrRoad_act!D6=0,0,D20/TrRoad_act!D6*1000)</f>
        <v>192.02903057326063</v>
      </c>
      <c r="E84" s="116">
        <f>IF(TrRoad_act!E6=0,0,E20/TrRoad_act!E6*1000)</f>
        <v>202.10749132940091</v>
      </c>
      <c r="F84" s="116">
        <f>IF(TrRoad_act!F6=0,0,F20/TrRoad_act!F6*1000)</f>
        <v>204.16328490484818</v>
      </c>
      <c r="G84" s="116">
        <f>IF(TrRoad_act!G6=0,0,G20/TrRoad_act!G6*1000)</f>
        <v>206.90324965919797</v>
      </c>
      <c r="H84" s="116">
        <f>IF(TrRoad_act!H6=0,0,H20/TrRoad_act!H6*1000)</f>
        <v>199.75150199987627</v>
      </c>
      <c r="I84" s="116">
        <f>IF(TrRoad_act!I6=0,0,I20/TrRoad_act!I6*1000)</f>
        <v>198.90119696522615</v>
      </c>
      <c r="J84" s="116">
        <f>IF(TrRoad_act!J6=0,0,J20/TrRoad_act!J6*1000)</f>
        <v>186.18549439124902</v>
      </c>
      <c r="K84" s="116">
        <f>IF(TrRoad_act!K6=0,0,K20/TrRoad_act!K6*1000)</f>
        <v>182.51834529310847</v>
      </c>
      <c r="L84" s="116">
        <f>IF(TrRoad_act!L6=0,0,L20/TrRoad_act!L6*1000)</f>
        <v>183.08388240496129</v>
      </c>
      <c r="M84" s="116">
        <f>IF(TrRoad_act!M6=0,0,M20/TrRoad_act!M6*1000)</f>
        <v>174.7682919409659</v>
      </c>
      <c r="N84" s="116">
        <f>IF(TrRoad_act!N6=0,0,N20/TrRoad_act!N6*1000)</f>
        <v>173.11667208513424</v>
      </c>
      <c r="O84" s="116">
        <f>IF(TrRoad_act!O6=0,0,O20/TrRoad_act!O6*1000)</f>
        <v>175.34151743465017</v>
      </c>
      <c r="P84" s="116">
        <f>IF(TrRoad_act!P6=0,0,P20/TrRoad_act!P6*1000)</f>
        <v>171.33077799869352</v>
      </c>
      <c r="Q84" s="116">
        <f>IF(TrRoad_act!Q6=0,0,Q20/TrRoad_act!Q6*1000)</f>
        <v>170.61078295498979</v>
      </c>
      <c r="R84" s="116">
        <f>IF(TrRoad_act!R6=0,0,R20/TrRoad_act!R6*1000)</f>
        <v>170.83557264227548</v>
      </c>
      <c r="S84" s="116">
        <f>IF(TrRoad_act!S6=0,0,S20/TrRoad_act!S6*1000)</f>
        <v>169.56846774867915</v>
      </c>
      <c r="T84" s="116">
        <f>IF(TrRoad_act!T6=0,0,T20/TrRoad_act!T6*1000)</f>
        <v>168.61411664517587</v>
      </c>
      <c r="U84" s="116">
        <f>IF(TrRoad_act!U6=0,0,U20/TrRoad_act!U6*1000)</f>
        <v>165.6087162193696</v>
      </c>
      <c r="V84" s="116">
        <f>IF(TrRoad_act!V6=0,0,V20/TrRoad_act!V6*1000)</f>
        <v>164.55879233484373</v>
      </c>
      <c r="W84" s="116">
        <f>IF(TrRoad_act!W6=0,0,W20/TrRoad_act!W6*1000)</f>
        <v>158.42236899259814</v>
      </c>
      <c r="X84" s="116">
        <f>IF(TrRoad_act!X6=0,0,X20/TrRoad_act!X6*1000)</f>
        <v>149.09307051459703</v>
      </c>
      <c r="Y84" s="116">
        <f>IF(TrRoad_act!Y6=0,0,Y20/TrRoad_act!Y6*1000)</f>
        <v>145.17079778198701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148.33749061719485</v>
      </c>
      <c r="C85" s="87">
        <f>IF(TrRoad_act!C7=0,0,C21/TrRoad_act!C7*1000)</f>
        <v>152.3756631551546</v>
      </c>
      <c r="D85" s="87">
        <f>IF(TrRoad_act!D7=0,0,D21/TrRoad_act!D7*1000)</f>
        <v>173.38185880003331</v>
      </c>
      <c r="E85" s="87">
        <f>IF(TrRoad_act!E7=0,0,E21/TrRoad_act!E7*1000)</f>
        <v>185.59099911574754</v>
      </c>
      <c r="F85" s="87">
        <f>IF(TrRoad_act!F7=0,0,F21/TrRoad_act!F7*1000)</f>
        <v>189.7078032451511</v>
      </c>
      <c r="G85" s="87">
        <f>IF(TrRoad_act!G7=0,0,G21/TrRoad_act!G7*1000)</f>
        <v>193.72844541949291</v>
      </c>
      <c r="H85" s="87">
        <f>IF(TrRoad_act!H7=0,0,H21/TrRoad_act!H7*1000)</f>
        <v>193.79697884552652</v>
      </c>
      <c r="I85" s="87">
        <f>IF(TrRoad_act!I7=0,0,I21/TrRoad_act!I7*1000)</f>
        <v>195.2317277978849</v>
      </c>
      <c r="J85" s="87">
        <f>IF(TrRoad_act!J7=0,0,J21/TrRoad_act!J7*1000)</f>
        <v>183.20849059860171</v>
      </c>
      <c r="K85" s="87">
        <f>IF(TrRoad_act!K7=0,0,K21/TrRoad_act!K7*1000)</f>
        <v>178.5225473432649</v>
      </c>
      <c r="L85" s="87">
        <f>IF(TrRoad_act!L7=0,0,L21/TrRoad_act!L7*1000)</f>
        <v>176.44872375967222</v>
      </c>
      <c r="M85" s="87">
        <f>IF(TrRoad_act!M7=0,0,M21/TrRoad_act!M7*1000)</f>
        <v>168.68281832895099</v>
      </c>
      <c r="N85" s="87">
        <f>IF(TrRoad_act!N7=0,0,N21/TrRoad_act!N7*1000)</f>
        <v>165.81943161647879</v>
      </c>
      <c r="O85" s="87">
        <f>IF(TrRoad_act!O7=0,0,O21/TrRoad_act!O7*1000)</f>
        <v>165.88437655545556</v>
      </c>
      <c r="P85" s="87">
        <f>IF(TrRoad_act!P7=0,0,P21/TrRoad_act!P7*1000)</f>
        <v>166.6864827595009</v>
      </c>
      <c r="Q85" s="87">
        <f>IF(TrRoad_act!Q7=0,0,Q21/TrRoad_act!Q7*1000)</f>
        <v>170.50594380954871</v>
      </c>
      <c r="R85" s="87">
        <f>IF(TrRoad_act!R7=0,0,R21/TrRoad_act!R7*1000)</f>
        <v>170.05798810673366</v>
      </c>
      <c r="S85" s="87">
        <f>IF(TrRoad_act!S7=0,0,S21/TrRoad_act!S7*1000)</f>
        <v>167.89070638384496</v>
      </c>
      <c r="T85" s="87">
        <f>IF(TrRoad_act!T7=0,0,T21/TrRoad_act!T7*1000)</f>
        <v>166.25547363452091</v>
      </c>
      <c r="U85" s="87">
        <f>IF(TrRoad_act!U7=0,0,U21/TrRoad_act!U7*1000)</f>
        <v>161.21012732405109</v>
      </c>
      <c r="V85" s="87">
        <f>IF(TrRoad_act!V7=0,0,V21/TrRoad_act!V7*1000)</f>
        <v>158.09417637087515</v>
      </c>
      <c r="W85" s="87">
        <f>IF(TrRoad_act!W7=0,0,W21/TrRoad_act!W7*1000)</f>
        <v>153.97133849645482</v>
      </c>
      <c r="X85" s="87">
        <f>IF(TrRoad_act!X7=0,0,X21/TrRoad_act!X7*1000)</f>
        <v>147.95353686472475</v>
      </c>
      <c r="Y85" s="87">
        <f>IF(TrRoad_act!Y7=0,0,Y21/TrRoad_act!Y7*1000)</f>
        <v>151.68142502265499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192.42232808387621</v>
      </c>
      <c r="C86" s="87">
        <f>IF(TrRoad_act!C8=0,0,C22/TrRoad_act!C8*1000)</f>
        <v>201.39380862331595</v>
      </c>
      <c r="D86" s="87">
        <f>IF(TrRoad_act!D8=0,0,D22/TrRoad_act!D8*1000)</f>
        <v>212.56995763024872</v>
      </c>
      <c r="E86" s="87">
        <f>IF(TrRoad_act!E8=0,0,E22/TrRoad_act!E8*1000)</f>
        <v>218.63232266681663</v>
      </c>
      <c r="F86" s="87">
        <f>IF(TrRoad_act!F8=0,0,F22/TrRoad_act!F8*1000)</f>
        <v>217.33223623038103</v>
      </c>
      <c r="G86" s="87">
        <f>IF(TrRoad_act!G8=0,0,G22/TrRoad_act!G8*1000)</f>
        <v>217.78331728185125</v>
      </c>
      <c r="H86" s="87">
        <f>IF(TrRoad_act!H8=0,0,H22/TrRoad_act!H8*1000)</f>
        <v>204.50927900364348</v>
      </c>
      <c r="I86" s="87">
        <f>IF(TrRoad_act!I8=0,0,I22/TrRoad_act!I8*1000)</f>
        <v>201.71382500984515</v>
      </c>
      <c r="J86" s="87">
        <f>IF(TrRoad_act!J8=0,0,J22/TrRoad_act!J8*1000)</f>
        <v>188.43252010001225</v>
      </c>
      <c r="K86" s="87">
        <f>IF(TrRoad_act!K8=0,0,K22/TrRoad_act!K8*1000)</f>
        <v>185.2398566322841</v>
      </c>
      <c r="L86" s="87">
        <f>IF(TrRoad_act!L8=0,0,L22/TrRoad_act!L8*1000)</f>
        <v>187.43941111727418</v>
      </c>
      <c r="M86" s="87">
        <f>IF(TrRoad_act!M8=0,0,M22/TrRoad_act!M8*1000)</f>
        <v>178.5216199295252</v>
      </c>
      <c r="N86" s="87">
        <f>IF(TrRoad_act!N8=0,0,N22/TrRoad_act!N8*1000)</f>
        <v>177.51739495052809</v>
      </c>
      <c r="O86" s="87">
        <f>IF(TrRoad_act!O8=0,0,O22/TrRoad_act!O8*1000)</f>
        <v>180.80334954009979</v>
      </c>
      <c r="P86" s="87">
        <f>IF(TrRoad_act!P8=0,0,P22/TrRoad_act!P8*1000)</f>
        <v>174.11367747946076</v>
      </c>
      <c r="Q86" s="87">
        <f>IF(TrRoad_act!Q8=0,0,Q22/TrRoad_act!Q8*1000)</f>
        <v>171.19871668283341</v>
      </c>
      <c r="R86" s="87">
        <f>IF(TrRoad_act!R8=0,0,R22/TrRoad_act!R8*1000)</f>
        <v>171.88925385256047</v>
      </c>
      <c r="S86" s="87">
        <f>IF(TrRoad_act!S8=0,0,S22/TrRoad_act!S8*1000)</f>
        <v>171.31605088134017</v>
      </c>
      <c r="T86" s="87">
        <f>IF(TrRoad_act!T8=0,0,T22/TrRoad_act!T8*1000)</f>
        <v>171.11104181622116</v>
      </c>
      <c r="U86" s="87">
        <f>IF(TrRoad_act!U8=0,0,U22/TrRoad_act!U8*1000)</f>
        <v>169.58305567413589</v>
      </c>
      <c r="V86" s="87">
        <f>IF(TrRoad_act!V8=0,0,V22/TrRoad_act!V8*1000)</f>
        <v>170.83309178084087</v>
      </c>
      <c r="W86" s="87">
        <f>IF(TrRoad_act!W8=0,0,W22/TrRoad_act!W8*1000)</f>
        <v>166.30367048755519</v>
      </c>
      <c r="X86" s="87">
        <f>IF(TrRoad_act!X8=0,0,X22/TrRoad_act!X8*1000)</f>
        <v>156.90062648586016</v>
      </c>
      <c r="Y86" s="87">
        <f>IF(TrRoad_act!Y8=0,0,Y22/TrRoad_act!Y8*1000)</f>
        <v>151.52125974321075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170.32943906847288</v>
      </c>
      <c r="C87" s="87">
        <f>IF(TrRoad_act!C9=0,0,C23/TrRoad_act!C9*1000)</f>
        <v>173.07175516031998</v>
      </c>
      <c r="D87" s="87">
        <f>IF(TrRoad_act!D9=0,0,D23/TrRoad_act!D9*1000)</f>
        <v>166.30896482656371</v>
      </c>
      <c r="E87" s="87">
        <f>IF(TrRoad_act!E9=0,0,E23/TrRoad_act!E9*1000)</f>
        <v>163.69896624345051</v>
      </c>
      <c r="F87" s="87">
        <f>IF(TrRoad_act!F9=0,0,F23/TrRoad_act!F9*1000)</f>
        <v>164.88906250757961</v>
      </c>
      <c r="G87" s="87">
        <f>IF(TrRoad_act!G9=0,0,G23/TrRoad_act!G9*1000)</f>
        <v>156.16526725235616</v>
      </c>
      <c r="H87" s="87">
        <f>IF(TrRoad_act!H9=0,0,H23/TrRoad_act!H9*1000)</f>
        <v>153.43535352311534</v>
      </c>
      <c r="I87" s="87">
        <f>IF(TrRoad_act!I9=0,0,I23/TrRoad_act!I9*1000)</f>
        <v>154.90858871546186</v>
      </c>
      <c r="J87" s="87">
        <f>IF(TrRoad_act!J9=0,0,J23/TrRoad_act!J9*1000)</f>
        <v>153.71939087490691</v>
      </c>
      <c r="K87" s="87">
        <f>IF(TrRoad_act!K9=0,0,K23/TrRoad_act!K9*1000)</f>
        <v>159.56662937778466</v>
      </c>
      <c r="L87" s="87">
        <f>IF(TrRoad_act!L9=0,0,L23/TrRoad_act!L9*1000)</f>
        <v>157.12945459274991</v>
      </c>
      <c r="M87" s="87">
        <f>IF(TrRoad_act!M9=0,0,M23/TrRoad_act!M9*1000)</f>
        <v>149.61485390760154</v>
      </c>
      <c r="N87" s="87">
        <f>IF(TrRoad_act!N9=0,0,N23/TrRoad_act!N9*1000)</f>
        <v>153.61184142071289</v>
      </c>
      <c r="O87" s="87">
        <f>IF(TrRoad_act!O9=0,0,O23/TrRoad_act!O9*1000)</f>
        <v>152.65969143872911</v>
      </c>
      <c r="P87" s="87">
        <f>IF(TrRoad_act!P9=0,0,P23/TrRoad_act!P9*1000)</f>
        <v>144.76453514390721</v>
      </c>
      <c r="Q87" s="87">
        <f>IF(TrRoad_act!Q9=0,0,Q23/TrRoad_act!Q9*1000)</f>
        <v>141.67776924688582</v>
      </c>
      <c r="R87" s="87">
        <f>IF(TrRoad_act!R9=0,0,R23/TrRoad_act!R9*1000)</f>
        <v>158.67523155047738</v>
      </c>
      <c r="S87" s="87">
        <f>IF(TrRoad_act!S9=0,0,S23/TrRoad_act!S9*1000)</f>
        <v>169.72250426686264</v>
      </c>
      <c r="T87" s="87">
        <f>IF(TrRoad_act!T9=0,0,T23/TrRoad_act!T9*1000)</f>
        <v>158.79370334041698</v>
      </c>
      <c r="U87" s="87">
        <f>IF(TrRoad_act!U9=0,0,U23/TrRoad_act!U9*1000)</f>
        <v>180.49645994061237</v>
      </c>
      <c r="V87" s="87">
        <f>IF(TrRoad_act!V9=0,0,V23/TrRoad_act!V9*1000)</f>
        <v>149.29229907422362</v>
      </c>
      <c r="W87" s="87">
        <f>IF(TrRoad_act!W9=0,0,W23/TrRoad_act!W9*1000)</f>
        <v>107.84338554303072</v>
      </c>
      <c r="X87" s="87">
        <f>IF(TrRoad_act!X9=0,0,X23/TrRoad_act!X9*1000)</f>
        <v>161.35310685336688</v>
      </c>
      <c r="Y87" s="87">
        <f>IF(TrRoad_act!Y9=0,0,Y23/TrRoad_act!Y9*1000)</f>
        <v>160.91887311307028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138.44185951452354</v>
      </c>
      <c r="I88" s="87">
        <f>IF(TrRoad_act!I10=0,0,I24/TrRoad_act!I10*1000)</f>
        <v>137.25579157831484</v>
      </c>
      <c r="J88" s="87">
        <f>IF(TrRoad_act!J10=0,0,J24/TrRoad_act!J10*1000)</f>
        <v>126.94944613878029</v>
      </c>
      <c r="K88" s="87">
        <f>IF(TrRoad_act!K10=0,0,K24/TrRoad_act!K10*1000)</f>
        <v>126.16194458827238</v>
      </c>
      <c r="L88" s="87">
        <f>IF(TrRoad_act!L10=0,0,L24/TrRoad_act!L10*1000)</f>
        <v>131.67394654414377</v>
      </c>
      <c r="M88" s="87">
        <f>IF(TrRoad_act!M10=0,0,M24/TrRoad_act!M10*1000)</f>
        <v>134.68647856753898</v>
      </c>
      <c r="N88" s="87">
        <f>IF(TrRoad_act!N10=0,0,N24/TrRoad_act!N10*1000)</f>
        <v>134.61880478506995</v>
      </c>
      <c r="O88" s="87">
        <f>IF(TrRoad_act!O10=0,0,O24/TrRoad_act!O10*1000)</f>
        <v>129.64710738129142</v>
      </c>
      <c r="P88" s="87">
        <f>IF(TrRoad_act!P10=0,0,P24/TrRoad_act!P10*1000)</f>
        <v>121.00425917247263</v>
      </c>
      <c r="Q88" s="87">
        <f>IF(TrRoad_act!Q10=0,0,Q24/TrRoad_act!Q10*1000)</f>
        <v>119.30828662746639</v>
      </c>
      <c r="R88" s="87">
        <f>IF(TrRoad_act!R10=0,0,R24/TrRoad_act!R10*1000)</f>
        <v>117.29949845239307</v>
      </c>
      <c r="S88" s="87">
        <f>IF(TrRoad_act!S10=0,0,S24/TrRoad_act!S10*1000)</f>
        <v>116.75783620742483</v>
      </c>
      <c r="T88" s="87">
        <f>IF(TrRoad_act!T10=0,0,T24/TrRoad_act!T10*1000)</f>
        <v>114.20592758011593</v>
      </c>
      <c r="U88" s="87">
        <f>IF(TrRoad_act!U10=0,0,U24/TrRoad_act!U10*1000)</f>
        <v>112.83611552369959</v>
      </c>
      <c r="V88" s="87">
        <f>IF(TrRoad_act!V10=0,0,V24/TrRoad_act!V10*1000)</f>
        <v>113.36197299293816</v>
      </c>
      <c r="W88" s="87">
        <f>IF(TrRoad_act!W10=0,0,W24/TrRoad_act!W10*1000)</f>
        <v>109.53702178364786</v>
      </c>
      <c r="X88" s="87">
        <f>IF(TrRoad_act!X10=0,0,X24/TrRoad_act!X10*1000)</f>
        <v>108.34580946375368</v>
      </c>
      <c r="Y88" s="87">
        <f>IF(TrRoad_act!Y10=0,0,Y24/TrRoad_act!Y10*1000)</f>
        <v>105.78109920897266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62.613377777732431</v>
      </c>
      <c r="N89" s="87">
        <f>IF(TrRoad_act!N11=0,0,N25/TrRoad_act!N11*1000)</f>
        <v>46.021428687296691</v>
      </c>
      <c r="O89" s="87">
        <f>IF(TrRoad_act!O11=0,0,O25/TrRoad_act!O11*1000)</f>
        <v>32.31268661529996</v>
      </c>
      <c r="P89" s="87">
        <f>IF(TrRoad_act!P11=0,0,P25/TrRoad_act!P11*1000)</f>
        <v>37.188094681772903</v>
      </c>
      <c r="Q89" s="87">
        <f>IF(TrRoad_act!Q11=0,0,Q25/TrRoad_act!Q11*1000)</f>
        <v>46.92203282298243</v>
      </c>
      <c r="R89" s="87">
        <f>IF(TrRoad_act!R11=0,0,R25/TrRoad_act!R11*1000)</f>
        <v>59.572604965743778</v>
      </c>
      <c r="S89" s="87">
        <f>IF(TrRoad_act!S11=0,0,S25/TrRoad_act!S11*1000)</f>
        <v>62.943393155182143</v>
      </c>
      <c r="T89" s="87">
        <f>IF(TrRoad_act!T11=0,0,T25/TrRoad_act!T11*1000)</f>
        <v>65.176336758953823</v>
      </c>
      <c r="U89" s="87">
        <f>IF(TrRoad_act!U11=0,0,U25/TrRoad_act!U11*1000)</f>
        <v>63.70879886106021</v>
      </c>
      <c r="V89" s="87">
        <f>IF(TrRoad_act!V11=0,0,V25/TrRoad_act!V11*1000)</f>
        <v>53.841697981733944</v>
      </c>
      <c r="W89" s="87">
        <f>IF(TrRoad_act!W11=0,0,W25/TrRoad_act!W11*1000)</f>
        <v>46.331343968547721</v>
      </c>
      <c r="X89" s="87">
        <f>IF(TrRoad_act!X11=0,0,X25/TrRoad_act!X11*1000)</f>
        <v>42.223217726819257</v>
      </c>
      <c r="Y89" s="87">
        <f>IF(TrRoad_act!Y11=0,0,Y25/TrRoad_act!Y11*1000)</f>
        <v>40.938841707705507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83.992225077088193</v>
      </c>
      <c r="C91" s="116">
        <f>IF(TrRoad_act!C13=0,0,C27/TrRoad_act!C13*1000)</f>
        <v>84.398591074874332</v>
      </c>
      <c r="D91" s="116">
        <f>IF(TrRoad_act!D13=0,0,D27/TrRoad_act!D13*1000)</f>
        <v>87.161455678687787</v>
      </c>
      <c r="E91" s="116">
        <f>IF(TrRoad_act!E13=0,0,E27/TrRoad_act!E13*1000)</f>
        <v>87.811997733184683</v>
      </c>
      <c r="F91" s="116">
        <f>IF(TrRoad_act!F13=0,0,F27/TrRoad_act!F13*1000)</f>
        <v>86.252921869113933</v>
      </c>
      <c r="G91" s="116">
        <f>IF(TrRoad_act!G13=0,0,G27/TrRoad_act!G13*1000)</f>
        <v>85.156923510453097</v>
      </c>
      <c r="H91" s="116">
        <f>IF(TrRoad_act!H13=0,0,H27/TrRoad_act!H13*1000)</f>
        <v>79.186798334648216</v>
      </c>
      <c r="I91" s="116">
        <f>IF(TrRoad_act!I13=0,0,I27/TrRoad_act!I13*1000)</f>
        <v>81.208383530766795</v>
      </c>
      <c r="J91" s="116">
        <f>IF(TrRoad_act!J13=0,0,J27/TrRoad_act!J13*1000)</f>
        <v>80.318823108425661</v>
      </c>
      <c r="K91" s="116">
        <f>IF(TrRoad_act!K13=0,0,K27/TrRoad_act!K13*1000)</f>
        <v>80.680339658011377</v>
      </c>
      <c r="L91" s="116">
        <f>IF(TrRoad_act!L13=0,0,L27/TrRoad_act!L13*1000)</f>
        <v>84.880289543661974</v>
      </c>
      <c r="M91" s="116">
        <f>IF(TrRoad_act!M13=0,0,M27/TrRoad_act!M13*1000)</f>
        <v>81.401987129867109</v>
      </c>
      <c r="N91" s="116">
        <f>IF(TrRoad_act!N13=0,0,N27/TrRoad_act!N13*1000)</f>
        <v>82.637509186969496</v>
      </c>
      <c r="O91" s="116">
        <f>IF(TrRoad_act!O13=0,0,O27/TrRoad_act!O13*1000)</f>
        <v>82.272964671562477</v>
      </c>
      <c r="P91" s="116">
        <f>IF(TrRoad_act!P13=0,0,P27/TrRoad_act!P13*1000)</f>
        <v>81.391489483778443</v>
      </c>
      <c r="Q91" s="116">
        <f>IF(TrRoad_act!Q13=0,0,Q27/TrRoad_act!Q13*1000)</f>
        <v>81.200326087251867</v>
      </c>
      <c r="R91" s="116">
        <f>IF(TrRoad_act!R13=0,0,R27/TrRoad_act!R13*1000)</f>
        <v>83.809447769469159</v>
      </c>
      <c r="S91" s="116">
        <f>IF(TrRoad_act!S13=0,0,S27/TrRoad_act!S13*1000)</f>
        <v>85.178052075684988</v>
      </c>
      <c r="T91" s="116">
        <f>IF(TrRoad_act!T13=0,0,T27/TrRoad_act!T13*1000)</f>
        <v>86.219771454080302</v>
      </c>
      <c r="U91" s="116">
        <f>IF(TrRoad_act!U13=0,0,U27/TrRoad_act!U13*1000)</f>
        <v>86.441722091978662</v>
      </c>
      <c r="V91" s="116">
        <f>IF(TrRoad_act!V13=0,0,V27/TrRoad_act!V13*1000)</f>
        <v>105.23597021970495</v>
      </c>
      <c r="W91" s="116">
        <f>IF(TrRoad_act!W13=0,0,W27/TrRoad_act!W13*1000)</f>
        <v>101.04062341274309</v>
      </c>
      <c r="X91" s="116">
        <f>IF(TrRoad_act!X13=0,0,X27/TrRoad_act!X13*1000)</f>
        <v>82.121468887145781</v>
      </c>
      <c r="Y91" s="116">
        <f>IF(TrRoad_act!Y13=0,0,Y27/TrRoad_act!Y13*1000)</f>
        <v>76.807081562635275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69.777023507613706</v>
      </c>
      <c r="C92" s="101">
        <f>IF(TrRoad_act!C14=0,0,C28/TrRoad_act!C14*1000)</f>
        <v>70.390138220317667</v>
      </c>
      <c r="D92" s="101">
        <f>IF(TrRoad_act!D14=0,0,D28/TrRoad_act!D14*1000)</f>
        <v>73.162247981673048</v>
      </c>
      <c r="E92" s="101">
        <f>IF(TrRoad_act!E14=0,0,E28/TrRoad_act!E14*1000)</f>
        <v>74.171367790897946</v>
      </c>
      <c r="F92" s="101">
        <f>IF(TrRoad_act!F14=0,0,F28/TrRoad_act!F14*1000)</f>
        <v>73.332559734906823</v>
      </c>
      <c r="G92" s="101">
        <f>IF(TrRoad_act!G14=0,0,G28/TrRoad_act!G14*1000)</f>
        <v>73.267976608988391</v>
      </c>
      <c r="H92" s="101">
        <f>IF(TrRoad_act!H14=0,0,H28/TrRoad_act!H14*1000)</f>
        <v>70.648335616224614</v>
      </c>
      <c r="I92" s="101">
        <f>IF(TrRoad_act!I14=0,0,I28/TrRoad_act!I14*1000)</f>
        <v>70.329063040453946</v>
      </c>
      <c r="J92" s="101">
        <f>IF(TrRoad_act!J14=0,0,J28/TrRoad_act!J14*1000)</f>
        <v>68.266600045792572</v>
      </c>
      <c r="K92" s="101">
        <f>IF(TrRoad_act!K14=0,0,K28/TrRoad_act!K14*1000)</f>
        <v>68.397035224935735</v>
      </c>
      <c r="L92" s="101">
        <f>IF(TrRoad_act!L14=0,0,L28/TrRoad_act!L14*1000)</f>
        <v>71.896384469408972</v>
      </c>
      <c r="M92" s="101">
        <f>IF(TrRoad_act!M14=0,0,M28/TrRoad_act!M14*1000)</f>
        <v>67.591993914720732</v>
      </c>
      <c r="N92" s="101">
        <f>IF(TrRoad_act!N14=0,0,N28/TrRoad_act!N14*1000)</f>
        <v>68.622212669072255</v>
      </c>
      <c r="O92" s="101">
        <f>IF(TrRoad_act!O14=0,0,O28/TrRoad_act!O14*1000)</f>
        <v>65.814343632166512</v>
      </c>
      <c r="P92" s="101">
        <f>IF(TrRoad_act!P14=0,0,P28/TrRoad_act!P14*1000)</f>
        <v>61.885983779573046</v>
      </c>
      <c r="Q92" s="101">
        <f>IF(TrRoad_act!Q14=0,0,Q28/TrRoad_act!Q14*1000)</f>
        <v>62.036576597580584</v>
      </c>
      <c r="R92" s="101">
        <f>IF(TrRoad_act!R14=0,0,R28/TrRoad_act!R14*1000)</f>
        <v>60.509506638713624</v>
      </c>
      <c r="S92" s="101">
        <f>IF(TrRoad_act!S14=0,0,S28/TrRoad_act!S14*1000)</f>
        <v>60.44258328525499</v>
      </c>
      <c r="T92" s="101">
        <f>IF(TrRoad_act!T14=0,0,T28/TrRoad_act!T14*1000)</f>
        <v>61.215424359326434</v>
      </c>
      <c r="U92" s="101">
        <f>IF(TrRoad_act!U14=0,0,U28/TrRoad_act!U14*1000)</f>
        <v>61.431962150299178</v>
      </c>
      <c r="V92" s="101">
        <f>IF(TrRoad_act!V14=0,0,V28/TrRoad_act!V14*1000)</f>
        <v>62.434309788142485</v>
      </c>
      <c r="W92" s="101">
        <f>IF(TrRoad_act!W14=0,0,W28/TrRoad_act!W14*1000)</f>
        <v>62.601498634651847</v>
      </c>
      <c r="X92" s="101">
        <f>IF(TrRoad_act!X14=0,0,X28/TrRoad_act!X14*1000)</f>
        <v>57.946439876146464</v>
      </c>
      <c r="Y92" s="101">
        <f>IF(TrRoad_act!Y14=0,0,Y28/TrRoad_act!Y14*1000)</f>
        <v>52.974837837592545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84.875614300598286</v>
      </c>
      <c r="C93" s="101">
        <f>IF(TrRoad_act!C15=0,0,C29/TrRoad_act!C15*1000)</f>
        <v>85.275593978470297</v>
      </c>
      <c r="D93" s="101">
        <f>IF(TrRoad_act!D15=0,0,D29/TrRoad_act!D15*1000)</f>
        <v>88.071048626007908</v>
      </c>
      <c r="E93" s="101">
        <f>IF(TrRoad_act!E15=0,0,E29/TrRoad_act!E15*1000)</f>
        <v>88.72435313026071</v>
      </c>
      <c r="F93" s="101">
        <f>IF(TrRoad_act!F15=0,0,F29/TrRoad_act!F15*1000)</f>
        <v>87.179040556448953</v>
      </c>
      <c r="G93" s="101">
        <f>IF(TrRoad_act!G15=0,0,G29/TrRoad_act!G15*1000)</f>
        <v>86.094154731167251</v>
      </c>
      <c r="H93" s="101">
        <f>IF(TrRoad_act!H15=0,0,H29/TrRoad_act!H15*1000)</f>
        <v>80.10039134768337</v>
      </c>
      <c r="I93" s="101">
        <f>IF(TrRoad_act!I15=0,0,I29/TrRoad_act!I15*1000)</f>
        <v>82.164363624634078</v>
      </c>
      <c r="J93" s="101">
        <f>IF(TrRoad_act!J15=0,0,J29/TrRoad_act!J15*1000)</f>
        <v>81.327707493192364</v>
      </c>
      <c r="K93" s="101">
        <f>IF(TrRoad_act!K15=0,0,K29/TrRoad_act!K15*1000)</f>
        <v>82.36899736843651</v>
      </c>
      <c r="L93" s="101">
        <f>IF(TrRoad_act!L15=0,0,L29/TrRoad_act!L15*1000)</f>
        <v>87.039062859264348</v>
      </c>
      <c r="M93" s="101">
        <f>IF(TrRoad_act!M15=0,0,M29/TrRoad_act!M15*1000)</f>
        <v>83.865715694631618</v>
      </c>
      <c r="N93" s="101">
        <f>IF(TrRoad_act!N15=0,0,N29/TrRoad_act!N15*1000)</f>
        <v>85.409222707388338</v>
      </c>
      <c r="O93" s="101">
        <f>IF(TrRoad_act!O15=0,0,O29/TrRoad_act!O15*1000)</f>
        <v>85.696337776139458</v>
      </c>
      <c r="P93" s="101">
        <f>IF(TrRoad_act!P15=0,0,P29/TrRoad_act!P15*1000)</f>
        <v>84.836533797387375</v>
      </c>
      <c r="Q93" s="101">
        <f>IF(TrRoad_act!Q15=0,0,Q29/TrRoad_act!Q15*1000)</f>
        <v>84.579650965041679</v>
      </c>
      <c r="R93" s="101">
        <f>IF(TrRoad_act!R15=0,0,R29/TrRoad_act!R15*1000)</f>
        <v>86.262487734122217</v>
      </c>
      <c r="S93" s="101">
        <f>IF(TrRoad_act!S15=0,0,S29/TrRoad_act!S15*1000)</f>
        <v>87.516660800001205</v>
      </c>
      <c r="T93" s="101">
        <f>IF(TrRoad_act!T15=0,0,T29/TrRoad_act!T15*1000)</f>
        <v>88.727443689912079</v>
      </c>
      <c r="U93" s="101">
        <f>IF(TrRoad_act!U15=0,0,U29/TrRoad_act!U15*1000)</f>
        <v>89.070085273262862</v>
      </c>
      <c r="V93" s="101">
        <f>IF(TrRoad_act!V15=0,0,V29/TrRoad_act!V15*1000)</f>
        <v>108.79565168163843</v>
      </c>
      <c r="W93" s="101">
        <f>IF(TrRoad_act!W15=0,0,W29/TrRoad_act!W15*1000)</f>
        <v>104.32374981476879</v>
      </c>
      <c r="X93" s="101">
        <f>IF(TrRoad_act!X15=0,0,X29/TrRoad_act!X15*1000)</f>
        <v>84.924233981614478</v>
      </c>
      <c r="Y93" s="101">
        <f>IF(TrRoad_act!Y15=0,0,Y29/TrRoad_act!Y15*1000)</f>
        <v>79.653988975415629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57.344116752710789</v>
      </c>
      <c r="D94" s="101">
        <f>IF(TrRoad_act!D16=0,0,D30/TrRoad_act!D16*1000)</f>
        <v>59.82542372067762</v>
      </c>
      <c r="E94" s="101">
        <f>IF(TrRoad_act!E16=0,0,E30/TrRoad_act!E16*1000)</f>
        <v>60.795061093110924</v>
      </c>
      <c r="F94" s="101">
        <f>IF(TrRoad_act!F16=0,0,F30/TrRoad_act!F16*1000)</f>
        <v>60.33233996550787</v>
      </c>
      <c r="G94" s="101">
        <f>IF(TrRoad_act!G16=0,0,G30/TrRoad_act!G16*1000)</f>
        <v>60.645716083313779</v>
      </c>
      <c r="H94" s="101">
        <f>IF(TrRoad_act!H16=0,0,H30/TrRoad_act!H16*1000)</f>
        <v>58.847341510186702</v>
      </c>
      <c r="I94" s="101">
        <f>IF(TrRoad_act!I16=0,0,I30/TrRoad_act!I16*1000)</f>
        <v>61.328893392552288</v>
      </c>
      <c r="J94" s="101">
        <f>IF(TrRoad_act!J16=0,0,J30/TrRoad_act!J16*1000)</f>
        <v>61.590139132113954</v>
      </c>
      <c r="K94" s="101">
        <f>IF(TrRoad_act!K16=0,0,K30/TrRoad_act!K16*1000)</f>
        <v>63.954385738201431</v>
      </c>
      <c r="L94" s="101">
        <f>IF(TrRoad_act!L16=0,0,L30/TrRoad_act!L16*1000)</f>
        <v>67.340752208633546</v>
      </c>
      <c r="M94" s="101">
        <f>IF(TrRoad_act!M16=0,0,M30/TrRoad_act!M16*1000)</f>
        <v>65.248036934842688</v>
      </c>
      <c r="N94" s="101">
        <f>IF(TrRoad_act!N16=0,0,N30/TrRoad_act!N16*1000)</f>
        <v>66.348089557085331</v>
      </c>
      <c r="O94" s="101">
        <f>IF(TrRoad_act!O16=0,0,O30/TrRoad_act!O16*1000)</f>
        <v>66.340704399653461</v>
      </c>
      <c r="P94" s="101">
        <f>IF(TrRoad_act!P16=0,0,P30/TrRoad_act!P16*1000)</f>
        <v>66.641309688051066</v>
      </c>
      <c r="Q94" s="101">
        <f>IF(TrRoad_act!Q16=0,0,Q30/TrRoad_act!Q16*1000)</f>
        <v>66.825334851469421</v>
      </c>
      <c r="R94" s="101">
        <f>IF(TrRoad_act!R16=0,0,R30/TrRoad_act!R16*1000)</f>
        <v>66.563997292372719</v>
      </c>
      <c r="S94" s="101">
        <f>IF(TrRoad_act!S16=0,0,S30/TrRoad_act!S16*1000)</f>
        <v>66.576345068675749</v>
      </c>
      <c r="T94" s="101">
        <f>IF(TrRoad_act!T16=0,0,T30/TrRoad_act!T16*1000)</f>
        <v>67.470953632387761</v>
      </c>
      <c r="U94" s="101">
        <f>IF(TrRoad_act!U16=0,0,U30/TrRoad_act!U16*1000)</f>
        <v>68.405984090304401</v>
      </c>
      <c r="V94" s="101">
        <f>IF(TrRoad_act!V16=0,0,V30/TrRoad_act!V16*1000)</f>
        <v>83.341768323649475</v>
      </c>
      <c r="W94" s="101">
        <f>IF(TrRoad_act!W16=0,0,W30/TrRoad_act!W16*1000)</f>
        <v>80.071971175314445</v>
      </c>
      <c r="X94" s="101">
        <f>IF(TrRoad_act!X16=0,0,X30/TrRoad_act!X16*1000)</f>
        <v>65.155227368000666</v>
      </c>
      <c r="Y94" s="101">
        <f>IF(TrRoad_act!Y16=0,0,Y30/TrRoad_act!Y16*1000)</f>
        <v>62.270597708244168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61.025149303001051</v>
      </c>
      <c r="G95" s="101">
        <f>IF(TrRoad_act!G17=0,0,G31/TrRoad_act!G17*1000)</f>
        <v>77.439334362049578</v>
      </c>
      <c r="H95" s="101">
        <f>IF(TrRoad_act!H17=0,0,H31/TrRoad_act!H17*1000)</f>
        <v>65.67235602374808</v>
      </c>
      <c r="I95" s="101">
        <f>IF(TrRoad_act!I17=0,0,I31/TrRoad_act!I17*1000)</f>
        <v>63.696329344206148</v>
      </c>
      <c r="J95" s="101">
        <f>IF(TrRoad_act!J17=0,0,J31/TrRoad_act!J17*1000)</f>
        <v>65.437451298032684</v>
      </c>
      <c r="K95" s="101">
        <f>IF(TrRoad_act!K17=0,0,K31/TrRoad_act!K17*1000)</f>
        <v>60.033755729472041</v>
      </c>
      <c r="L95" s="101">
        <f>IF(TrRoad_act!L17=0,0,L31/TrRoad_act!L17*1000)</f>
        <v>60.705849270019954</v>
      </c>
      <c r="M95" s="101">
        <f>IF(TrRoad_act!M17=0,0,M31/TrRoad_act!M17*1000)</f>
        <v>51.918586385327956</v>
      </c>
      <c r="N95" s="101">
        <f>IF(TrRoad_act!N17=0,0,N31/TrRoad_act!N17*1000)</f>
        <v>51.709012531234485</v>
      </c>
      <c r="O95" s="101">
        <f>IF(TrRoad_act!O17=0,0,O31/TrRoad_act!O17*1000)</f>
        <v>48.347145702769403</v>
      </c>
      <c r="P95" s="101">
        <f>IF(TrRoad_act!P17=0,0,P31/TrRoad_act!P17*1000)</f>
        <v>47.727910845771504</v>
      </c>
      <c r="Q95" s="101">
        <f>IF(TrRoad_act!Q17=0,0,Q31/TrRoad_act!Q17*1000)</f>
        <v>47.751168282418561</v>
      </c>
      <c r="R95" s="101">
        <f>IF(TrRoad_act!R17=0,0,R31/TrRoad_act!R17*1000)</f>
        <v>58.520288587735351</v>
      </c>
      <c r="S95" s="101">
        <f>IF(TrRoad_act!S17=0,0,S31/TrRoad_act!S17*1000)</f>
        <v>59.064522051927959</v>
      </c>
      <c r="T95" s="101">
        <f>IF(TrRoad_act!T17=0,0,T31/TrRoad_act!T17*1000)</f>
        <v>59.488067467578254</v>
      </c>
      <c r="U95" s="101">
        <f>IF(TrRoad_act!U17=0,0,U31/TrRoad_act!U17*1000)</f>
        <v>59.746623654600441</v>
      </c>
      <c r="V95" s="101">
        <f>IF(TrRoad_act!V17=0,0,V31/TrRoad_act!V17*1000)</f>
        <v>73.126472504761921</v>
      </c>
      <c r="W95" s="101">
        <f>IF(TrRoad_act!W17=0,0,W31/TrRoad_act!W17*1000)</f>
        <v>70.916643284591132</v>
      </c>
      <c r="X95" s="101">
        <f>IF(TrRoad_act!X17=0,0,X31/TrRoad_act!X17*1000)</f>
        <v>58.205126938687407</v>
      </c>
      <c r="Y95" s="101">
        <f>IF(TrRoad_act!Y17=0,0,Y31/TrRoad_act!Y17*1000)</f>
        <v>55.246398245095257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212.60704817449988</v>
      </c>
      <c r="C97" s="29">
        <f>IF(TrRoad_act!C19=0,0,C33/TrRoad_act!C19*1000)</f>
        <v>232.74388848961365</v>
      </c>
      <c r="D97" s="29">
        <f>IF(TrRoad_act!D19=0,0,D33/TrRoad_act!D19*1000)</f>
        <v>248.62124895974856</v>
      </c>
      <c r="E97" s="29">
        <f>IF(TrRoad_act!E19=0,0,E33/TrRoad_act!E19*1000)</f>
        <v>262.40895170663066</v>
      </c>
      <c r="F97" s="29">
        <f>IF(TrRoad_act!F19=0,0,F33/TrRoad_act!F19*1000)</f>
        <v>247.2062509425941</v>
      </c>
      <c r="G97" s="29">
        <f>IF(TrRoad_act!G19=0,0,G33/TrRoad_act!G19*1000)</f>
        <v>250.55007330043765</v>
      </c>
      <c r="H97" s="29">
        <f>IF(TrRoad_act!H19=0,0,H33/TrRoad_act!H19*1000)</f>
        <v>209.90996758888707</v>
      </c>
      <c r="I97" s="29">
        <f>IF(TrRoad_act!I19=0,0,I33/TrRoad_act!I19*1000)</f>
        <v>192.18820945491703</v>
      </c>
      <c r="J97" s="29">
        <f>IF(TrRoad_act!J19=0,0,J33/TrRoad_act!J19*1000)</f>
        <v>173.21473262708577</v>
      </c>
      <c r="K97" s="29">
        <f>IF(TrRoad_act!K19=0,0,K33/TrRoad_act!K19*1000)</f>
        <v>185.95012063572784</v>
      </c>
      <c r="L97" s="29">
        <f>IF(TrRoad_act!L19=0,0,L33/TrRoad_act!L19*1000)</f>
        <v>190.68993430695659</v>
      </c>
      <c r="M97" s="29">
        <f>IF(TrRoad_act!M19=0,0,M33/TrRoad_act!M19*1000)</f>
        <v>171.14414588166807</v>
      </c>
      <c r="N97" s="29">
        <f>IF(TrRoad_act!N19=0,0,N33/TrRoad_act!N19*1000)</f>
        <v>178.85927460398634</v>
      </c>
      <c r="O97" s="29">
        <f>IF(TrRoad_act!O19=0,0,O33/TrRoad_act!O19*1000)</f>
        <v>202.85960420384131</v>
      </c>
      <c r="P97" s="29">
        <f>IF(TrRoad_act!P19=0,0,P33/TrRoad_act!P19*1000)</f>
        <v>188.03630029968497</v>
      </c>
      <c r="Q97" s="29">
        <f>IF(TrRoad_act!Q19=0,0,Q33/TrRoad_act!Q19*1000)</f>
        <v>184.59314788555793</v>
      </c>
      <c r="R97" s="29">
        <f>IF(TrRoad_act!R19=0,0,R33/TrRoad_act!R19*1000)</f>
        <v>185.61641171988808</v>
      </c>
      <c r="S97" s="29">
        <f>IF(TrRoad_act!S19=0,0,S33/TrRoad_act!S19*1000)</f>
        <v>181.54575867682573</v>
      </c>
      <c r="T97" s="29">
        <f>IF(TrRoad_act!T19=0,0,T33/TrRoad_act!T19*1000)</f>
        <v>184.52393243639077</v>
      </c>
      <c r="U97" s="29">
        <f>IF(TrRoad_act!U19=0,0,U33/TrRoad_act!U19*1000)</f>
        <v>186.38580824015452</v>
      </c>
      <c r="V97" s="29">
        <f>IF(TrRoad_act!V19=0,0,V33/TrRoad_act!V19*1000)</f>
        <v>178.18191332095293</v>
      </c>
      <c r="W97" s="29">
        <f>IF(TrRoad_act!W19=0,0,W33/TrRoad_act!W19*1000)</f>
        <v>176.44128528931614</v>
      </c>
      <c r="X97" s="29">
        <f>IF(TrRoad_act!X19=0,0,X33/TrRoad_act!X19*1000)</f>
        <v>153.54207228531919</v>
      </c>
      <c r="Y97" s="29">
        <f>IF(TrRoad_act!Y19=0,0,Y33/TrRoad_act!Y19*1000)</f>
        <v>148.11349468688709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4959.1438220870941</v>
      </c>
      <c r="C98" s="152">
        <f>IF(TrRoad_act!C20=0,0,C34/TrRoad_act!C20*1000)</f>
        <v>4811.6654738141169</v>
      </c>
      <c r="D98" s="152">
        <f>IF(TrRoad_act!D20=0,0,D34/TrRoad_act!D20*1000)</f>
        <v>4780.242489327773</v>
      </c>
      <c r="E98" s="152">
        <f>IF(TrRoad_act!E20=0,0,E34/TrRoad_act!E20*1000)</f>
        <v>4701.0999843167392</v>
      </c>
      <c r="F98" s="152">
        <f>IF(TrRoad_act!F20=0,0,F34/TrRoad_act!F20*1000)</f>
        <v>4613.1969354499579</v>
      </c>
      <c r="G98" s="152">
        <f>IF(TrRoad_act!G20=0,0,G34/TrRoad_act!G20*1000)</f>
        <v>4521.8466035128631</v>
      </c>
      <c r="H98" s="152">
        <f>IF(TrRoad_act!H20=0,0,H34/TrRoad_act!H20*1000)</f>
        <v>4341.6748682604493</v>
      </c>
      <c r="I98" s="152">
        <f>IF(TrRoad_act!I20=0,0,I34/TrRoad_act!I20*1000)</f>
        <v>4269.5583794362383</v>
      </c>
      <c r="J98" s="152">
        <f>IF(TrRoad_act!J20=0,0,J34/TrRoad_act!J20*1000)</f>
        <v>4168.9996779123458</v>
      </c>
      <c r="K98" s="152">
        <f>IF(TrRoad_act!K20=0,0,K34/TrRoad_act!K20*1000)</f>
        <v>4048.4356370279866</v>
      </c>
      <c r="L98" s="152">
        <f>IF(TrRoad_act!L20=0,0,L34/TrRoad_act!L20*1000)</f>
        <v>4035.5735015872442</v>
      </c>
      <c r="M98" s="152">
        <f>IF(TrRoad_act!M20=0,0,M34/TrRoad_act!M20*1000)</f>
        <v>4000.8062163377645</v>
      </c>
      <c r="N98" s="152">
        <f>IF(TrRoad_act!N20=0,0,N34/TrRoad_act!N20*1000)</f>
        <v>3957.2750264456681</v>
      </c>
      <c r="O98" s="152">
        <f>IF(TrRoad_act!O20=0,0,O34/TrRoad_act!O20*1000)</f>
        <v>3932.6342138431773</v>
      </c>
      <c r="P98" s="152">
        <f>IF(TrRoad_act!P20=0,0,P34/TrRoad_act!P20*1000)</f>
        <v>3863.1928581731049</v>
      </c>
      <c r="Q98" s="152">
        <f>IF(TrRoad_act!Q20=0,0,Q34/TrRoad_act!Q20*1000)</f>
        <v>3821.4476717277626</v>
      </c>
      <c r="R98" s="152">
        <f>IF(TrRoad_act!R20=0,0,R34/TrRoad_act!R20*1000)</f>
        <v>3864.5124232607627</v>
      </c>
      <c r="S98" s="152">
        <f>IF(TrRoad_act!S20=0,0,S34/TrRoad_act!S20*1000)</f>
        <v>3851.0754862960671</v>
      </c>
      <c r="T98" s="152">
        <f>IF(TrRoad_act!T20=0,0,T34/TrRoad_act!T20*1000)</f>
        <v>3800.3422211312541</v>
      </c>
      <c r="U98" s="152">
        <f>IF(TrRoad_act!U20=0,0,U34/TrRoad_act!U20*1000)</f>
        <v>3791.4668138798916</v>
      </c>
      <c r="V98" s="152">
        <f>IF(TrRoad_act!V20=0,0,V34/TrRoad_act!V20*1000)</f>
        <v>3795.7137046102075</v>
      </c>
      <c r="W98" s="152">
        <f>IF(TrRoad_act!W20=0,0,W34/TrRoad_act!W20*1000)</f>
        <v>3807.8683615292894</v>
      </c>
      <c r="X98" s="152">
        <f>IF(TrRoad_act!X20=0,0,X34/TrRoad_act!X20*1000)</f>
        <v>3751.6966372696206</v>
      </c>
      <c r="Y98" s="152">
        <f>IF(TrRoad_act!Y20=0,0,Y34/TrRoad_act!Y20*1000)</f>
        <v>3669.4272617138236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6043.4548805542991</v>
      </c>
      <c r="C99" s="87">
        <f>IF(TrRoad_act!C21=0,0,C35/TrRoad_act!C21*1000)</f>
        <v>6028.123737240202</v>
      </c>
      <c r="D99" s="87">
        <f>IF(TrRoad_act!D21=0,0,D35/TrRoad_act!D21*1000)</f>
        <v>6051.1150105867237</v>
      </c>
      <c r="E99" s="87">
        <f>IF(TrRoad_act!E21=0,0,E35/TrRoad_act!E21*1000)</f>
        <v>6003.6070375162708</v>
      </c>
      <c r="F99" s="87">
        <f>IF(TrRoad_act!F21=0,0,F35/TrRoad_act!F21*1000)</f>
        <v>5943.6671747388727</v>
      </c>
      <c r="G99" s="87">
        <f>IF(TrRoad_act!G21=0,0,G35/TrRoad_act!G21*1000)</f>
        <v>5906.1124049292048</v>
      </c>
      <c r="H99" s="87">
        <f>IF(TrRoad_act!H21=0,0,H35/TrRoad_act!H21*1000)</f>
        <v>5866.1842642321672</v>
      </c>
      <c r="I99" s="87">
        <f>IF(TrRoad_act!I21=0,0,I35/TrRoad_act!I21*1000)</f>
        <v>5754.4802533759284</v>
      </c>
      <c r="J99" s="87">
        <f>IF(TrRoad_act!J21=0,0,J35/TrRoad_act!J21*1000)</f>
        <v>5486.1752395926278</v>
      </c>
      <c r="K99" s="87">
        <f>IF(TrRoad_act!K21=0,0,K35/TrRoad_act!K21*1000)</f>
        <v>5262.1878640902833</v>
      </c>
      <c r="L99" s="87">
        <f>IF(TrRoad_act!L21=0,0,L35/TrRoad_act!L21*1000)</f>
        <v>5158.8156618003723</v>
      </c>
      <c r="M99" s="87">
        <f>IF(TrRoad_act!M21=0,0,M35/TrRoad_act!M21*1000)</f>
        <v>5092.3673863958002</v>
      </c>
      <c r="N99" s="87">
        <f>IF(TrRoad_act!N21=0,0,N35/TrRoad_act!N21*1000)</f>
        <v>4955.553040040696</v>
      </c>
      <c r="O99" s="87">
        <f>IF(TrRoad_act!O21=0,0,O35/TrRoad_act!O21*1000)</f>
        <v>4794.2073586185534</v>
      </c>
      <c r="P99" s="87">
        <f>IF(TrRoad_act!P21=0,0,P35/TrRoad_act!P21*1000)</f>
        <v>4693.665006072355</v>
      </c>
      <c r="Q99" s="87">
        <f>IF(TrRoad_act!Q21=0,0,Q35/TrRoad_act!Q21*1000)</f>
        <v>4623.4869184147146</v>
      </c>
      <c r="R99" s="87">
        <f>IF(TrRoad_act!R21=0,0,R35/TrRoad_act!R21*1000)</f>
        <v>4513.1503966272076</v>
      </c>
      <c r="S99" s="87">
        <f>IF(TrRoad_act!S21=0,0,S35/TrRoad_act!S21*1000)</f>
        <v>4412.2347756290401</v>
      </c>
      <c r="T99" s="87">
        <f>IF(TrRoad_act!T21=0,0,T35/TrRoad_act!T21*1000)</f>
        <v>4297.1023283748455</v>
      </c>
      <c r="U99" s="87">
        <f>IF(TrRoad_act!U21=0,0,U35/TrRoad_act!U21*1000)</f>
        <v>4230.4627289855662</v>
      </c>
      <c r="V99" s="87">
        <f>IF(TrRoad_act!V21=0,0,V35/TrRoad_act!V21*1000)</f>
        <v>4164.8581195306197</v>
      </c>
      <c r="W99" s="87">
        <f>IF(TrRoad_act!W21=0,0,W35/TrRoad_act!W21*1000)</f>
        <v>4147.4900121159917</v>
      </c>
      <c r="X99" s="87">
        <f>IF(TrRoad_act!X21=0,0,X35/TrRoad_act!X21*1000)</f>
        <v>4073.6827346877512</v>
      </c>
      <c r="Y99" s="87">
        <f>IF(TrRoad_act!Y21=0,0,Y35/TrRoad_act!Y21*1000)</f>
        <v>3912.8644071594472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4814.9514518216656</v>
      </c>
      <c r="C100" s="87">
        <f>IF(TrRoad_act!C22=0,0,C36/TrRoad_act!C22*1000)</f>
        <v>4673.2367519474874</v>
      </c>
      <c r="D100" s="87">
        <f>IF(TrRoad_act!D22=0,0,D36/TrRoad_act!D22*1000)</f>
        <v>4688.182693540215</v>
      </c>
      <c r="E100" s="87">
        <f>IF(TrRoad_act!E22=0,0,E36/TrRoad_act!E22*1000)</f>
        <v>4620.8558374031281</v>
      </c>
      <c r="F100" s="87">
        <f>IF(TrRoad_act!F22=0,0,F36/TrRoad_act!F22*1000)</f>
        <v>4542.2508070869389</v>
      </c>
      <c r="G100" s="87">
        <f>IF(TrRoad_act!G22=0,0,G36/TrRoad_act!G22*1000)</f>
        <v>4455.0881406860044</v>
      </c>
      <c r="H100" s="87">
        <f>IF(TrRoad_act!H22=0,0,H36/TrRoad_act!H22*1000)</f>
        <v>4273.6078037688321</v>
      </c>
      <c r="I100" s="87">
        <f>IF(TrRoad_act!I22=0,0,I36/TrRoad_act!I22*1000)</f>
        <v>4206.8754379718948</v>
      </c>
      <c r="J100" s="87">
        <f>IF(TrRoad_act!J22=0,0,J36/TrRoad_act!J22*1000)</f>
        <v>4115.617836694797</v>
      </c>
      <c r="K100" s="87">
        <f>IF(TrRoad_act!K22=0,0,K36/TrRoad_act!K22*1000)</f>
        <v>3999.9081489881623</v>
      </c>
      <c r="L100" s="87">
        <f>IF(TrRoad_act!L22=0,0,L36/TrRoad_act!L22*1000)</f>
        <v>3991.9700101413437</v>
      </c>
      <c r="M100" s="87">
        <f>IF(TrRoad_act!M22=0,0,M36/TrRoad_act!M22*1000)</f>
        <v>3958.2196024611681</v>
      </c>
      <c r="N100" s="87">
        <f>IF(TrRoad_act!N22=0,0,N36/TrRoad_act!N22*1000)</f>
        <v>3919.7688386848804</v>
      </c>
      <c r="O100" s="87">
        <f>IF(TrRoad_act!O22=0,0,O36/TrRoad_act!O22*1000)</f>
        <v>3902.2232589333125</v>
      </c>
      <c r="P100" s="87">
        <f>IF(TrRoad_act!P22=0,0,P36/TrRoad_act!P22*1000)</f>
        <v>3835.3516835347032</v>
      </c>
      <c r="Q100" s="87">
        <f>IF(TrRoad_act!Q22=0,0,Q36/TrRoad_act!Q22*1000)</f>
        <v>3795.9168656514921</v>
      </c>
      <c r="R100" s="87">
        <f>IF(TrRoad_act!R22=0,0,R36/TrRoad_act!R22*1000)</f>
        <v>3847.8272428308774</v>
      </c>
      <c r="S100" s="87">
        <f>IF(TrRoad_act!S22=0,0,S36/TrRoad_act!S22*1000)</f>
        <v>3839.1955739931664</v>
      </c>
      <c r="T100" s="87">
        <f>IF(TrRoad_act!T22=0,0,T36/TrRoad_act!T22*1000)</f>
        <v>3793.003053237102</v>
      </c>
      <c r="U100" s="87">
        <f>IF(TrRoad_act!U22=0,0,U36/TrRoad_act!U22*1000)</f>
        <v>3789.3293642453987</v>
      </c>
      <c r="V100" s="87">
        <f>IF(TrRoad_act!V22=0,0,V36/TrRoad_act!V22*1000)</f>
        <v>3800.8429855194177</v>
      </c>
      <c r="W100" s="87">
        <f>IF(TrRoad_act!W22=0,0,W36/TrRoad_act!W22*1000)</f>
        <v>3827.2102119973069</v>
      </c>
      <c r="X100" s="87">
        <f>IF(TrRoad_act!X22=0,0,X36/TrRoad_act!X22*1000)</f>
        <v>3781.6664357246082</v>
      </c>
      <c r="Y100" s="87">
        <f>IF(TrRoad_act!Y22=0,0,Y36/TrRoad_act!Y22*1000)</f>
        <v>3717.6951898459461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10473.188161828337</v>
      </c>
      <c r="F101" s="87">
        <f>IF(TrRoad_act!F23=0,0,F37/TrRoad_act!F23*1000)</f>
        <v>10380.845633074116</v>
      </c>
      <c r="G101" s="87">
        <f>IF(TrRoad_act!G23=0,0,G37/TrRoad_act!G23*1000)</f>
        <v>10514.39797094994</v>
      </c>
      <c r="H101" s="87">
        <f>IF(TrRoad_act!H23=0,0,H37/TrRoad_act!H23*1000)</f>
        <v>10558.101527520468</v>
      </c>
      <c r="I101" s="87">
        <f>IF(TrRoad_act!I23=0,0,I37/TrRoad_act!I23*1000)</f>
        <v>10569.912963009427</v>
      </c>
      <c r="J101" s="87">
        <f>IF(TrRoad_act!J23=0,0,J37/TrRoad_act!J23*1000)</f>
        <v>10472.7413642877</v>
      </c>
      <c r="K101" s="87">
        <f>IF(TrRoad_act!K23=0,0,K37/TrRoad_act!K23*1000)</f>
        <v>10389.848648801935</v>
      </c>
      <c r="L101" s="87">
        <f>IF(TrRoad_act!L23=0,0,L37/TrRoad_act!L23*1000)</f>
        <v>10332.13738298592</v>
      </c>
      <c r="M101" s="87">
        <f>IF(TrRoad_act!M23=0,0,M37/TrRoad_act!M23*1000)</f>
        <v>10292.99701416186</v>
      </c>
      <c r="N101" s="87">
        <f>IF(TrRoad_act!N23=0,0,N37/TrRoad_act!N23*1000)</f>
        <v>10135.282571504848</v>
      </c>
      <c r="O101" s="87">
        <f>IF(TrRoad_act!O23=0,0,O37/TrRoad_act!O23*1000)</f>
        <v>10056.343273925337</v>
      </c>
      <c r="P101" s="87">
        <f>IF(TrRoad_act!P23=0,0,P37/TrRoad_act!P23*1000)</f>
        <v>9853.743241992559</v>
      </c>
      <c r="Q101" s="87">
        <f>IF(TrRoad_act!Q23=0,0,Q37/TrRoad_act!Q23*1000)</f>
        <v>9788.2624953461655</v>
      </c>
      <c r="R101" s="87">
        <f>IF(TrRoad_act!R23=0,0,R37/TrRoad_act!R23*1000)</f>
        <v>10448.895885981208</v>
      </c>
      <c r="S101" s="87">
        <f>IF(TrRoad_act!S23=0,0,S37/TrRoad_act!S23*1000)</f>
        <v>10274.834386913646</v>
      </c>
      <c r="T101" s="87">
        <f>IF(TrRoad_act!T23=0,0,T37/TrRoad_act!T23*1000)</f>
        <v>10145.88980866101</v>
      </c>
      <c r="U101" s="87">
        <f>IF(TrRoad_act!U23=0,0,U37/TrRoad_act!U23*1000)</f>
        <v>10005.181861306744</v>
      </c>
      <c r="V101" s="87">
        <f>IF(TrRoad_act!V23=0,0,V37/TrRoad_act!V23*1000)</f>
        <v>9629.5071671274163</v>
      </c>
      <c r="W101" s="87">
        <f>IF(TrRoad_act!W23=0,0,W37/TrRoad_act!W23*1000)</f>
        <v>9147.952989328518</v>
      </c>
      <c r="X101" s="87">
        <f>IF(TrRoad_act!X23=0,0,X37/TrRoad_act!X23*1000)</f>
        <v>8882.5052206038927</v>
      </c>
      <c r="Y101" s="87">
        <f>IF(TrRoad_act!Y23=0,0,Y37/TrRoad_act!Y23*1000)</f>
        <v>8652.0417330846576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5287.8864901535244</v>
      </c>
      <c r="I102" s="87">
        <f>IF(TrRoad_act!I24=0,0,I38/TrRoad_act!I24*1000)</f>
        <v>5290.1455339405557</v>
      </c>
      <c r="J102" s="87">
        <f>IF(TrRoad_act!J24=0,0,J38/TrRoad_act!J24*1000)</f>
        <v>5108.6661578001131</v>
      </c>
      <c r="K102" s="87">
        <f>IF(TrRoad_act!K24=0,0,K38/TrRoad_act!K24*1000)</f>
        <v>4964.3384415661858</v>
      </c>
      <c r="L102" s="87">
        <f>IF(TrRoad_act!L24=0,0,L38/TrRoad_act!L24*1000)</f>
        <v>4749.2370055703277</v>
      </c>
      <c r="M102" s="87">
        <f>IF(TrRoad_act!M24=0,0,M38/TrRoad_act!M24*1000)</f>
        <v>4633.952559490911</v>
      </c>
      <c r="N102" s="87">
        <f>IF(TrRoad_act!N24=0,0,N38/TrRoad_act!N24*1000)</f>
        <v>4567.1807260624028</v>
      </c>
      <c r="O102" s="87">
        <f>IF(TrRoad_act!O24=0,0,O38/TrRoad_act!O24*1000)</f>
        <v>4647.9421759298593</v>
      </c>
      <c r="P102" s="87">
        <f>IF(TrRoad_act!P24=0,0,P38/TrRoad_act!P24*1000)</f>
        <v>4429.6655071728928</v>
      </c>
      <c r="Q102" s="87">
        <f>IF(TrRoad_act!Q24=0,0,Q38/TrRoad_act!Q24*1000)</f>
        <v>4358.5325570581754</v>
      </c>
      <c r="R102" s="87">
        <f>IF(TrRoad_act!R24=0,0,R38/TrRoad_act!R24*1000)</f>
        <v>3991.6133642999762</v>
      </c>
      <c r="S102" s="87">
        <f>IF(TrRoad_act!S24=0,0,S38/TrRoad_act!S24*1000)</f>
        <v>3943.0656939454025</v>
      </c>
      <c r="T102" s="87">
        <f>IF(TrRoad_act!T24=0,0,T38/TrRoad_act!T24*1000)</f>
        <v>3857.1644318190042</v>
      </c>
      <c r="U102" s="87">
        <f>IF(TrRoad_act!U24=0,0,U38/TrRoad_act!U24*1000)</f>
        <v>3814.441542229054</v>
      </c>
      <c r="V102" s="87">
        <f>IF(TrRoad_act!V24=0,0,V38/TrRoad_act!V24*1000)</f>
        <v>3743.897477750048</v>
      </c>
      <c r="W102" s="87">
        <f>IF(TrRoad_act!W24=0,0,W38/TrRoad_act!W24*1000)</f>
        <v>3708.0315055590345</v>
      </c>
      <c r="X102" s="87">
        <f>IF(TrRoad_act!X24=0,0,X38/TrRoad_act!X24*1000)</f>
        <v>3619.9108223262801</v>
      </c>
      <c r="Y102" s="87">
        <f>IF(TrRoad_act!Y24=0,0,Y38/TrRoad_act!Y24*1000)</f>
        <v>3528.9516731406475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165.35197027052689</v>
      </c>
      <c r="C104" s="116">
        <f>IF(TrRoad_act!C26=0,0,C40/TrRoad_act!C26*1000)</f>
        <v>186.61806488864104</v>
      </c>
      <c r="D104" s="116">
        <f>IF(TrRoad_act!D26=0,0,D40/TrRoad_act!D26*1000)</f>
        <v>203.07574448790808</v>
      </c>
      <c r="E104" s="116">
        <f>IF(TrRoad_act!E26=0,0,E40/TrRoad_act!E26*1000)</f>
        <v>217.80789131136174</v>
      </c>
      <c r="F104" s="116">
        <f>IF(TrRoad_act!F26=0,0,F40/TrRoad_act!F26*1000)</f>
        <v>205.43490534803917</v>
      </c>
      <c r="G104" s="116">
        <f>IF(TrRoad_act!G26=0,0,G40/TrRoad_act!G26*1000)</f>
        <v>209.51767948307517</v>
      </c>
      <c r="H104" s="116">
        <f>IF(TrRoad_act!H26=0,0,H40/TrRoad_act!H26*1000)</f>
        <v>172.65720810462523</v>
      </c>
      <c r="I104" s="116">
        <f>IF(TrRoad_act!I26=0,0,I40/TrRoad_act!I26*1000)</f>
        <v>157.46721790207724</v>
      </c>
      <c r="J104" s="116">
        <f>IF(TrRoad_act!J26=0,0,J40/TrRoad_act!J26*1000)</f>
        <v>141.31939454863073</v>
      </c>
      <c r="K104" s="116">
        <f>IF(TrRoad_act!K26=0,0,K40/TrRoad_act!K26*1000)</f>
        <v>150.45404004749176</v>
      </c>
      <c r="L104" s="116">
        <f>IF(TrRoad_act!L26=0,0,L40/TrRoad_act!L26*1000)</f>
        <v>156.84440170273328</v>
      </c>
      <c r="M104" s="116">
        <f>IF(TrRoad_act!M26=0,0,M40/TrRoad_act!M26*1000)</f>
        <v>137.84292134725044</v>
      </c>
      <c r="N104" s="116">
        <f>IF(TrRoad_act!N26=0,0,N40/TrRoad_act!N26*1000)</f>
        <v>144.93215678222626</v>
      </c>
      <c r="O104" s="116">
        <f>IF(TrRoad_act!O26=0,0,O40/TrRoad_act!O26*1000)</f>
        <v>168.64005119663898</v>
      </c>
      <c r="P104" s="116">
        <f>IF(TrRoad_act!P26=0,0,P40/TrRoad_act!P26*1000)</f>
        <v>153.74599860722967</v>
      </c>
      <c r="Q104" s="116">
        <f>IF(TrRoad_act!Q26=0,0,Q40/TrRoad_act!Q26*1000)</f>
        <v>151.07290199191729</v>
      </c>
      <c r="R104" s="116">
        <f>IF(TrRoad_act!R26=0,0,R40/TrRoad_act!R26*1000)</f>
        <v>152.12226575737546</v>
      </c>
      <c r="S104" s="116">
        <f>IF(TrRoad_act!S26=0,0,S40/TrRoad_act!S26*1000)</f>
        <v>149.37531095350172</v>
      </c>
      <c r="T104" s="116">
        <f>IF(TrRoad_act!T26=0,0,T40/TrRoad_act!T26*1000)</f>
        <v>152.2383363157544</v>
      </c>
      <c r="U104" s="116">
        <f>IF(TrRoad_act!U26=0,0,U40/TrRoad_act!U26*1000)</f>
        <v>153.72493646705868</v>
      </c>
      <c r="V104" s="116">
        <f>IF(TrRoad_act!V26=0,0,V40/TrRoad_act!V26*1000)</f>
        <v>144.85031096973489</v>
      </c>
      <c r="W104" s="116">
        <f>IF(TrRoad_act!W26=0,0,W40/TrRoad_act!W26*1000)</f>
        <v>142.62728638658982</v>
      </c>
      <c r="X104" s="116">
        <f>IF(TrRoad_act!X26=0,0,X40/TrRoad_act!X26*1000)</f>
        <v>119.18274065916999</v>
      </c>
      <c r="Y104" s="116">
        <f>IF(TrRoad_act!Y26=0,0,Y40/TrRoad_act!Y26*1000)</f>
        <v>112.06374771347274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147.48715233169148</v>
      </c>
      <c r="C105" s="101">
        <f>IF(TrRoad_act!C27=0,0,C41/TrRoad_act!C27*1000)</f>
        <v>152.3077690701671</v>
      </c>
      <c r="D105" s="101">
        <f>IF(TrRoad_act!D27=0,0,D41/TrRoad_act!D27*1000)</f>
        <v>153.74184491973409</v>
      </c>
      <c r="E105" s="101">
        <f>IF(TrRoad_act!E27=0,0,E41/TrRoad_act!E27*1000)</f>
        <v>156.44701048496353</v>
      </c>
      <c r="F105" s="101">
        <f>IF(TrRoad_act!F27=0,0,F41/TrRoad_act!F27*1000)</f>
        <v>154.37161960153779</v>
      </c>
      <c r="G105" s="101">
        <f>IF(TrRoad_act!G27=0,0,G41/TrRoad_act!G27*1000)</f>
        <v>151.6780608694701</v>
      </c>
      <c r="H105" s="101">
        <f>IF(TrRoad_act!H27=0,0,H41/TrRoad_act!H27*1000)</f>
        <v>139.72303676218465</v>
      </c>
      <c r="I105" s="101">
        <f>IF(TrRoad_act!I27=0,0,I41/TrRoad_act!I27*1000)</f>
        <v>134.61153462407077</v>
      </c>
      <c r="J105" s="101">
        <f>IF(TrRoad_act!J27=0,0,J41/TrRoad_act!J27*1000)</f>
        <v>130.23609128765796</v>
      </c>
      <c r="K105" s="101">
        <f>IF(TrRoad_act!K27=0,0,K41/TrRoad_act!K27*1000)</f>
        <v>131.47931187483374</v>
      </c>
      <c r="L105" s="101">
        <f>IF(TrRoad_act!L27=0,0,L41/TrRoad_act!L27*1000)</f>
        <v>129.79744357898525</v>
      </c>
      <c r="M105" s="101">
        <f>IF(TrRoad_act!M27=0,0,M41/TrRoad_act!M27*1000)</f>
        <v>123.56590026942089</v>
      </c>
      <c r="N105" s="101">
        <f>IF(TrRoad_act!N27=0,0,N41/TrRoad_act!N27*1000)</f>
        <v>125.53690579499217</v>
      </c>
      <c r="O105" s="101">
        <f>IF(TrRoad_act!O27=0,0,O41/TrRoad_act!O27*1000)</f>
        <v>133.15200179084528</v>
      </c>
      <c r="P105" s="101">
        <f>IF(TrRoad_act!P27=0,0,P41/TrRoad_act!P27*1000)</f>
        <v>124.94571224319145</v>
      </c>
      <c r="Q105" s="101">
        <f>IF(TrRoad_act!Q27=0,0,Q41/TrRoad_act!Q27*1000)</f>
        <v>124.35000108490061</v>
      </c>
      <c r="R105" s="101">
        <f>IF(TrRoad_act!R27=0,0,R41/TrRoad_act!R27*1000)</f>
        <v>123.8101611495388</v>
      </c>
      <c r="S105" s="101">
        <f>IF(TrRoad_act!S27=0,0,S41/TrRoad_act!S27*1000)</f>
        <v>124.44832860849009</v>
      </c>
      <c r="T105" s="101">
        <f>IF(TrRoad_act!T27=0,0,T41/TrRoad_act!T27*1000)</f>
        <v>125.03320175759836</v>
      </c>
      <c r="U105" s="101">
        <f>IF(TrRoad_act!U27=0,0,U41/TrRoad_act!U27*1000)</f>
        <v>123.69401143389304</v>
      </c>
      <c r="V105" s="101">
        <f>IF(TrRoad_act!V27=0,0,V41/TrRoad_act!V27*1000)</f>
        <v>118.27418642417254</v>
      </c>
      <c r="W105" s="101">
        <f>IF(TrRoad_act!W27=0,0,W41/TrRoad_act!W27*1000)</f>
        <v>117.69163092370741</v>
      </c>
      <c r="X105" s="101">
        <f>IF(TrRoad_act!X27=0,0,X41/TrRoad_act!X27*1000)</f>
        <v>111.78238478119073</v>
      </c>
      <c r="Y105" s="101">
        <f>IF(TrRoad_act!Y27=0,0,Y41/TrRoad_act!Y27*1000)</f>
        <v>112.10422475137106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180.78908379414605</v>
      </c>
      <c r="C106" s="88">
        <f>IF(TrRoad_act!C28=0,0,C42/TrRoad_act!C28*1000)</f>
        <v>214.4403722198665</v>
      </c>
      <c r="D106" s="88">
        <f>IF(TrRoad_act!D28=0,0,D42/TrRoad_act!D28*1000)</f>
        <v>241.48733584351066</v>
      </c>
      <c r="E106" s="88">
        <f>IF(TrRoad_act!E28=0,0,E42/TrRoad_act!E28*1000)</f>
        <v>266.21170993780009</v>
      </c>
      <c r="F106" s="88">
        <f>IF(TrRoad_act!F28=0,0,F42/TrRoad_act!F28*1000)</f>
        <v>238.38131862419402</v>
      </c>
      <c r="G106" s="88">
        <f>IF(TrRoad_act!G28=0,0,G42/TrRoad_act!G28*1000)</f>
        <v>245.94950697519195</v>
      </c>
      <c r="H106" s="88">
        <f>IF(TrRoad_act!H28=0,0,H42/TrRoad_act!H28*1000)</f>
        <v>195.29489620492114</v>
      </c>
      <c r="I106" s="88">
        <f>IF(TrRoad_act!I28=0,0,I42/TrRoad_act!I28*1000)</f>
        <v>171.62406204626032</v>
      </c>
      <c r="J106" s="88">
        <f>IF(TrRoad_act!J28=0,0,J42/TrRoad_act!J28*1000)</f>
        <v>147.41081473859523</v>
      </c>
      <c r="K106" s="88">
        <f>IF(TrRoad_act!K28=0,0,K42/TrRoad_act!K28*1000)</f>
        <v>161.9653370241615</v>
      </c>
      <c r="L106" s="88">
        <f>IF(TrRoad_act!L28=0,0,L42/TrRoad_act!L28*1000)</f>
        <v>172.55929369734031</v>
      </c>
      <c r="M106" s="88">
        <f>IF(TrRoad_act!M28=0,0,M42/TrRoad_act!M28*1000)</f>
        <v>146.24264565809554</v>
      </c>
      <c r="N106" s="88">
        <f>IF(TrRoad_act!N28=0,0,N42/TrRoad_act!N28*1000)</f>
        <v>156.3882618574402</v>
      </c>
      <c r="O106" s="88">
        <f>IF(TrRoad_act!O28=0,0,O42/TrRoad_act!O28*1000)</f>
        <v>188.53450464016581</v>
      </c>
      <c r="P106" s="88">
        <f>IF(TrRoad_act!P28=0,0,P42/TrRoad_act!P28*1000)</f>
        <v>170.73176323047795</v>
      </c>
      <c r="Q106" s="88">
        <f>IF(TrRoad_act!Q28=0,0,Q42/TrRoad_act!Q28*1000)</f>
        <v>167.00552966024762</v>
      </c>
      <c r="R106" s="88">
        <f>IF(TrRoad_act!R28=0,0,R42/TrRoad_act!R28*1000)</f>
        <v>169.68887550280473</v>
      </c>
      <c r="S106" s="88">
        <f>IF(TrRoad_act!S28=0,0,S42/TrRoad_act!S28*1000)</f>
        <v>163.81844245296995</v>
      </c>
      <c r="T106" s="88">
        <f>IF(TrRoad_act!T28=0,0,T42/TrRoad_act!T28*1000)</f>
        <v>167.91734837506513</v>
      </c>
      <c r="U106" s="88">
        <f>IF(TrRoad_act!U28=0,0,U42/TrRoad_act!U28*1000)</f>
        <v>171.10293653070181</v>
      </c>
      <c r="V106" s="88">
        <f>IF(TrRoad_act!V28=0,0,V42/TrRoad_act!V28*1000)</f>
        <v>160.05178307931934</v>
      </c>
      <c r="W106" s="88">
        <f>IF(TrRoad_act!W28=0,0,W42/TrRoad_act!W28*1000)</f>
        <v>156.75087802601163</v>
      </c>
      <c r="X106" s="88">
        <f>IF(TrRoad_act!X28=0,0,X42/TrRoad_act!X28*1000)</f>
        <v>123.19543594214541</v>
      </c>
      <c r="Y106" s="88">
        <f>IF(TrRoad_act!Y28=0,0,Y42/TrRoad_act!Y28*1000)</f>
        <v>112.04205582349206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169.19710349226852</v>
      </c>
      <c r="C110" s="152">
        <f>IF(C19=0,0,1000000*C19/TrRoad_act!C59)</f>
        <v>168.36770510974927</v>
      </c>
      <c r="D110" s="152">
        <f>IF(D19=0,0,1000000*D19/TrRoad_act!D59)</f>
        <v>169.51856372534687</v>
      </c>
      <c r="E110" s="152">
        <f>IF(E19=0,0,1000000*E19/TrRoad_act!E59)</f>
        <v>171.44746947351084</v>
      </c>
      <c r="F110" s="152">
        <f>IF(F19=0,0,1000000*F19/TrRoad_act!F59)</f>
        <v>177.81043172061848</v>
      </c>
      <c r="G110" s="152">
        <f>IF(G19=0,0,1000000*G19/TrRoad_act!G59)</f>
        <v>177.66928556249093</v>
      </c>
      <c r="H110" s="152">
        <f>IF(H19=0,0,1000000*H19/TrRoad_act!H59)</f>
        <v>177.70970826086781</v>
      </c>
      <c r="I110" s="152">
        <f>IF(I19=0,0,1000000*I19/TrRoad_act!I59)</f>
        <v>176.75630140886167</v>
      </c>
      <c r="J110" s="152">
        <f>IF(J19=0,0,1000000*J19/TrRoad_act!J59)</f>
        <v>173.24576454787731</v>
      </c>
      <c r="K110" s="152">
        <f>IF(K19=0,0,1000000*K19/TrRoad_act!K59)</f>
        <v>171.5655124029544</v>
      </c>
      <c r="L110" s="152">
        <f>IF(L19=0,0,1000000*L19/TrRoad_act!L59)</f>
        <v>172.57945694179023</v>
      </c>
      <c r="M110" s="152">
        <f>IF(M19=0,0,1000000*M19/TrRoad_act!M59)</f>
        <v>174.00943737125908</v>
      </c>
      <c r="N110" s="152">
        <f>IF(N19=0,0,1000000*N19/TrRoad_act!N59)</f>
        <v>176.64529311435246</v>
      </c>
      <c r="O110" s="152">
        <f>IF(O19=0,0,1000000*O19/TrRoad_act!O59)</f>
        <v>179.84225229942544</v>
      </c>
      <c r="P110" s="152">
        <f>IF(P19=0,0,1000000*P19/TrRoad_act!P59)</f>
        <v>183.9939782608451</v>
      </c>
      <c r="Q110" s="152">
        <f>IF(Q19=0,0,1000000*Q19/TrRoad_act!Q59)</f>
        <v>187.17473957621334</v>
      </c>
      <c r="R110" s="152">
        <f>IF(R19=0,0,1000000*R19/TrRoad_act!R59)</f>
        <v>187.30450087837934</v>
      </c>
      <c r="S110" s="152">
        <f>IF(S19=0,0,1000000*S19/TrRoad_act!S59)</f>
        <v>181.87052753055798</v>
      </c>
      <c r="T110" s="152">
        <f>IF(T19=0,0,1000000*T19/TrRoad_act!T59)</f>
        <v>170.88110843916985</v>
      </c>
      <c r="U110" s="152">
        <f>IF(U19=0,0,1000000*U19/TrRoad_act!U59)</f>
        <v>178.95893084885165</v>
      </c>
      <c r="V110" s="152">
        <f>IF(V19=0,0,1000000*V19/TrRoad_act!V59)</f>
        <v>156.21173818731322</v>
      </c>
      <c r="W110" s="152">
        <f>IF(W19=0,0,1000000*W19/TrRoad_act!W59)</f>
        <v>152.15332124996081</v>
      </c>
      <c r="X110" s="152">
        <f>IF(X19=0,0,1000000*X19/TrRoad_act!X59)</f>
        <v>151.74680806863009</v>
      </c>
      <c r="Y110" s="152">
        <f>IF(Y19=0,0,1000000*Y19/TrRoad_act!Y59)</f>
        <v>157.38353880270594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2714.6501482084959</v>
      </c>
      <c r="C111" s="116">
        <f>IF(C20=0,0,1000000*C20/TrRoad_act!C60)</f>
        <v>2799.4160613574732</v>
      </c>
      <c r="D111" s="116">
        <f>IF(D20=0,0,1000000*D20/TrRoad_act!D60)</f>
        <v>3273.2048794628445</v>
      </c>
      <c r="E111" s="116">
        <f>IF(E20=0,0,1000000*E20/TrRoad_act!E60)</f>
        <v>3436.9863554513636</v>
      </c>
      <c r="F111" s="116">
        <f>IF(F20=0,0,1000000*F20/TrRoad_act!F60)</f>
        <v>3458.5798536492766</v>
      </c>
      <c r="G111" s="116">
        <f>IF(G20=0,0,1000000*G20/TrRoad_act!G60)</f>
        <v>3511.7685855831251</v>
      </c>
      <c r="H111" s="116">
        <f>IF(H20=0,0,1000000*H20/TrRoad_act!H60)</f>
        <v>3367.6627700196163</v>
      </c>
      <c r="I111" s="116">
        <f>IF(I20=0,0,1000000*I20/TrRoad_act!I60)</f>
        <v>3373.868918517875</v>
      </c>
      <c r="J111" s="116">
        <f>IF(J20=0,0,1000000*J20/TrRoad_act!J60)</f>
        <v>3184.089111666241</v>
      </c>
      <c r="K111" s="116">
        <f>IF(K20=0,0,1000000*K20/TrRoad_act!K60)</f>
        <v>3042.3275420397299</v>
      </c>
      <c r="L111" s="116">
        <f>IF(L20=0,0,1000000*L20/TrRoad_act!L60)</f>
        <v>3027.7117790971643</v>
      </c>
      <c r="M111" s="116">
        <f>IF(M20=0,0,1000000*M20/TrRoad_act!M60)</f>
        <v>2883.028054182073</v>
      </c>
      <c r="N111" s="116">
        <f>IF(N20=0,0,1000000*N20/TrRoad_act!N60)</f>
        <v>2800.307640889514</v>
      </c>
      <c r="O111" s="116">
        <f>IF(O20=0,0,1000000*O20/TrRoad_act!O60)</f>
        <v>2829.7091145314357</v>
      </c>
      <c r="P111" s="116">
        <f>IF(P20=0,0,1000000*P20/TrRoad_act!P60)</f>
        <v>2795.1113035822577</v>
      </c>
      <c r="Q111" s="116">
        <f>IF(Q20=0,0,1000000*Q20/TrRoad_act!Q60)</f>
        <v>2815.2334527257303</v>
      </c>
      <c r="R111" s="116">
        <f>IF(R20=0,0,1000000*R20/TrRoad_act!R60)</f>
        <v>2850.2747943080599</v>
      </c>
      <c r="S111" s="116">
        <f>IF(S20=0,0,1000000*S20/TrRoad_act!S60)</f>
        <v>2831.3955614596548</v>
      </c>
      <c r="T111" s="116">
        <f>IF(T20=0,0,1000000*T20/TrRoad_act!T60)</f>
        <v>2817.7801625348184</v>
      </c>
      <c r="U111" s="116">
        <f>IF(U20=0,0,1000000*U20/TrRoad_act!U60)</f>
        <v>2752.8130251834223</v>
      </c>
      <c r="V111" s="116">
        <f>IF(V20=0,0,1000000*V20/TrRoad_act!V60)</f>
        <v>2231.321163709451</v>
      </c>
      <c r="W111" s="116">
        <f>IF(W20=0,0,1000000*W20/TrRoad_act!W60)</f>
        <v>2290.5666221469296</v>
      </c>
      <c r="X111" s="116">
        <f>IF(X20=0,0,1000000*X20/TrRoad_act!X60)</f>
        <v>2299.7733298802518</v>
      </c>
      <c r="Y111" s="116">
        <f>IF(Y20=0,0,1000000*Y20/TrRoad_act!Y60)</f>
        <v>2279.3663713821015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2137.8557075294793</v>
      </c>
      <c r="C112" s="87">
        <f>IF(C21=0,0,1000000*C21/TrRoad_act!C61)</f>
        <v>2208.6619940470446</v>
      </c>
      <c r="D112" s="87">
        <f>IF(D21=0,0,1000000*D21/TrRoad_act!D61)</f>
        <v>2737.1887765418278</v>
      </c>
      <c r="E112" s="87">
        <f>IF(E21=0,0,1000000*E21/TrRoad_act!E61)</f>
        <v>2911.3408376992738</v>
      </c>
      <c r="F112" s="87">
        <f>IF(F21=0,0,1000000*F21/TrRoad_act!F61)</f>
        <v>2973.9469401385054</v>
      </c>
      <c r="G112" s="87">
        <f>IF(G21=0,0,1000000*G21/TrRoad_act!G61)</f>
        <v>2980.4517635634043</v>
      </c>
      <c r="H112" s="87">
        <f>IF(H21=0,0,1000000*H21/TrRoad_act!H61)</f>
        <v>2929.0460164776655</v>
      </c>
      <c r="I112" s="87">
        <f>IF(I21=0,0,1000000*I21/TrRoad_act!I61)</f>
        <v>2885.7091805610671</v>
      </c>
      <c r="J112" s="87">
        <f>IF(J21=0,0,1000000*J21/TrRoad_act!J61)</f>
        <v>2717.2440394003156</v>
      </c>
      <c r="K112" s="87">
        <f>IF(K21=0,0,1000000*K21/TrRoad_act!K61)</f>
        <v>2531.1959077139795</v>
      </c>
      <c r="L112" s="87">
        <f>IF(L21=0,0,1000000*L21/TrRoad_act!L61)</f>
        <v>2495.7251876165483</v>
      </c>
      <c r="M112" s="87">
        <f>IF(M21=0,0,1000000*M21/TrRoad_act!M61)</f>
        <v>2284.7372450428561</v>
      </c>
      <c r="N112" s="87">
        <f>IF(N21=0,0,1000000*N21/TrRoad_act!N61)</f>
        <v>2209.0934088684112</v>
      </c>
      <c r="O112" s="87">
        <f>IF(O21=0,0,1000000*O21/TrRoad_act!O61)</f>
        <v>2163.0600376346638</v>
      </c>
      <c r="P112" s="87">
        <f>IF(P21=0,0,1000000*P21/TrRoad_act!P61)</f>
        <v>2108.9945346535387</v>
      </c>
      <c r="Q112" s="87">
        <f>IF(Q21=0,0,1000000*Q21/TrRoad_act!Q61)</f>
        <v>2117.1471525207749</v>
      </c>
      <c r="R112" s="87">
        <f>IF(R21=0,0,1000000*R21/TrRoad_act!R61)</f>
        <v>2066.8054436551142</v>
      </c>
      <c r="S112" s="87">
        <f>IF(S21=0,0,1000000*S21/TrRoad_act!S61)</f>
        <v>1996.2281268024219</v>
      </c>
      <c r="T112" s="87">
        <f>IF(T21=0,0,1000000*T21/TrRoad_act!T61)</f>
        <v>2013.3995970855726</v>
      </c>
      <c r="U112" s="87">
        <f>IF(U21=0,0,1000000*U21/TrRoad_act!U61)</f>
        <v>1954.4163195602191</v>
      </c>
      <c r="V112" s="87">
        <f>IF(V21=0,0,1000000*V21/TrRoad_act!V61)</f>
        <v>1586.8126919937524</v>
      </c>
      <c r="W112" s="87">
        <f>IF(W21=0,0,1000000*W21/TrRoad_act!W61)</f>
        <v>1650.3513419927922</v>
      </c>
      <c r="X112" s="87">
        <f>IF(X21=0,0,1000000*X21/TrRoad_act!X61)</f>
        <v>1684.5075223326053</v>
      </c>
      <c r="Y112" s="87">
        <f>IF(Y21=0,0,1000000*Y21/TrRoad_act!Y61)</f>
        <v>1813.3188198865605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3718.7821754973165</v>
      </c>
      <c r="C113" s="87">
        <f>IF(C22=0,0,1000000*C22/TrRoad_act!C62)</f>
        <v>3723.6493834296462</v>
      </c>
      <c r="D113" s="87">
        <f>IF(D22=0,0,1000000*D22/TrRoad_act!D62)</f>
        <v>3977.2509024309179</v>
      </c>
      <c r="E113" s="87">
        <f>IF(E22=0,0,1000000*E22/TrRoad_act!E62)</f>
        <v>4061.5012545542963</v>
      </c>
      <c r="F113" s="87">
        <f>IF(F22=0,0,1000000*F22/TrRoad_act!F62)</f>
        <v>3973.9092275807352</v>
      </c>
      <c r="G113" s="87">
        <f>IF(G22=0,0,1000000*G22/TrRoad_act!G62)</f>
        <v>4035.197926501959</v>
      </c>
      <c r="H113" s="87">
        <f>IF(H22=0,0,1000000*H22/TrRoad_act!H62)</f>
        <v>3775.2931674701822</v>
      </c>
      <c r="I113" s="87">
        <f>IF(I22=0,0,1000000*I22/TrRoad_act!I62)</f>
        <v>3808.1021651323254</v>
      </c>
      <c r="J113" s="87">
        <f>IF(J22=0,0,1000000*J22/TrRoad_act!J62)</f>
        <v>3590.1156078819649</v>
      </c>
      <c r="K113" s="87">
        <f>IF(K22=0,0,1000000*K22/TrRoad_act!K62)</f>
        <v>3475.1292993329052</v>
      </c>
      <c r="L113" s="87">
        <f>IF(L22=0,0,1000000*L22/TrRoad_act!L62)</f>
        <v>3470.2876694365536</v>
      </c>
      <c r="M113" s="87">
        <f>IF(M22=0,0,1000000*M22/TrRoad_act!M62)</f>
        <v>3371.2151530712799</v>
      </c>
      <c r="N113" s="87">
        <f>IF(N22=0,0,1000000*N22/TrRoad_act!N62)</f>
        <v>3272.9018223978574</v>
      </c>
      <c r="O113" s="87">
        <f>IF(O22=0,0,1000000*O22/TrRoad_act!O62)</f>
        <v>3353.692372163182</v>
      </c>
      <c r="P113" s="87">
        <f>IF(P22=0,0,1000000*P22/TrRoad_act!P62)</f>
        <v>3329.678291226634</v>
      </c>
      <c r="Q113" s="87">
        <f>IF(Q22=0,0,1000000*Q22/TrRoad_act!Q62)</f>
        <v>3354.3753012789016</v>
      </c>
      <c r="R113" s="87">
        <f>IF(R22=0,0,1000000*R22/TrRoad_act!R62)</f>
        <v>3454.1621323741988</v>
      </c>
      <c r="S113" s="87">
        <f>IF(S22=0,0,1000000*S22/TrRoad_act!S62)</f>
        <v>3489.0354298329248</v>
      </c>
      <c r="T113" s="87">
        <f>IF(T22=0,0,1000000*T22/TrRoad_act!T62)</f>
        <v>3476.5753003987306</v>
      </c>
      <c r="U113" s="87">
        <f>IF(U22=0,0,1000000*U22/TrRoad_act!U62)</f>
        <v>3429.4268254663079</v>
      </c>
      <c r="V113" s="87">
        <f>IF(V22=0,0,1000000*V22/TrRoad_act!V62)</f>
        <v>2801.7915188981151</v>
      </c>
      <c r="W113" s="87">
        <f>IF(W22=0,0,1000000*W22/TrRoad_act!W62)</f>
        <v>2908.2455712203896</v>
      </c>
      <c r="X113" s="87">
        <f>IF(X22=0,0,1000000*X22/TrRoad_act!X62)</f>
        <v>2950.6299507293611</v>
      </c>
      <c r="Y113" s="87">
        <f>IF(Y22=0,0,1000000*Y22/TrRoad_act!Y62)</f>
        <v>2865.5642006465764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2353.4635524324322</v>
      </c>
      <c r="C114" s="87">
        <f>IF(C23=0,0,1000000*C23/TrRoad_act!C63)</f>
        <v>2322.5600821644207</v>
      </c>
      <c r="D114" s="87">
        <f>IF(D23=0,0,1000000*D23/TrRoad_act!D63)</f>
        <v>2329.2095685318495</v>
      </c>
      <c r="E114" s="87">
        <f>IF(E23=0,0,1000000*E23/TrRoad_act!E63)</f>
        <v>2258.9711475706904</v>
      </c>
      <c r="F114" s="87">
        <f>IF(F23=0,0,1000000*F23/TrRoad_act!F63)</f>
        <v>2272.413149436753</v>
      </c>
      <c r="G114" s="87">
        <f>IF(G23=0,0,1000000*G23/TrRoad_act!G63)</f>
        <v>2121.0126666982392</v>
      </c>
      <c r="H114" s="87">
        <f>IF(H23=0,0,1000000*H23/TrRoad_act!H63)</f>
        <v>2048.2590577956366</v>
      </c>
      <c r="I114" s="87">
        <f>IF(I23=0,0,1000000*I23/TrRoad_act!I63)</f>
        <v>2040.7650250676759</v>
      </c>
      <c r="J114" s="87">
        <f>IF(J23=0,0,1000000*J23/TrRoad_act!J63)</f>
        <v>2131.1930484322452</v>
      </c>
      <c r="K114" s="87">
        <f>IF(K23=0,0,1000000*K23/TrRoad_act!K63)</f>
        <v>2192.9075017112718</v>
      </c>
      <c r="L114" s="87">
        <f>IF(L23=0,0,1000000*L23/TrRoad_act!L63)</f>
        <v>2104.3519815893219</v>
      </c>
      <c r="M114" s="87">
        <f>IF(M23=0,0,1000000*M23/TrRoad_act!M63)</f>
        <v>1967.4592782790191</v>
      </c>
      <c r="N114" s="87">
        <f>IF(N23=0,0,1000000*N23/TrRoad_act!N63)</f>
        <v>1960.7517339210513</v>
      </c>
      <c r="O114" s="87">
        <f>IF(O23=0,0,1000000*O23/TrRoad_act!O63)</f>
        <v>1905.8908558541789</v>
      </c>
      <c r="P114" s="87">
        <f>IF(P23=0,0,1000000*P23/TrRoad_act!P63)</f>
        <v>1796.2893052863103</v>
      </c>
      <c r="Q114" s="87">
        <f>IF(Q23=0,0,1000000*Q23/TrRoad_act!Q63)</f>
        <v>1747.3862533772794</v>
      </c>
      <c r="R114" s="87">
        <f>IF(R23=0,0,1000000*R23/TrRoad_act!R63)</f>
        <v>1814.9401521668678</v>
      </c>
      <c r="S114" s="87">
        <f>IF(S23=0,0,1000000*S23/TrRoad_act!S63)</f>
        <v>1978.6635304971758</v>
      </c>
      <c r="T114" s="87">
        <f>IF(T23=0,0,1000000*T23/TrRoad_act!T63)</f>
        <v>1751.1564594662225</v>
      </c>
      <c r="U114" s="87">
        <f>IF(U23=0,0,1000000*U23/TrRoad_act!U63)</f>
        <v>1945.6311872473882</v>
      </c>
      <c r="V114" s="87">
        <f>IF(V23=0,0,1000000*V23/TrRoad_act!V63)</f>
        <v>1379.0743373938499</v>
      </c>
      <c r="W114" s="87">
        <f>IF(W23=0,0,1000000*W23/TrRoad_act!W63)</f>
        <v>1038.8784291167001</v>
      </c>
      <c r="X114" s="87">
        <f>IF(X23=0,0,1000000*X23/TrRoad_act!X63)</f>
        <v>1628.3911979884133</v>
      </c>
      <c r="Y114" s="87">
        <f>IF(Y23=0,0,1000000*Y23/TrRoad_act!Y63)</f>
        <v>1621.4830878771047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2650.8779424448303</v>
      </c>
      <c r="I115" s="87">
        <f>IF(I24=0,0,1000000*I24/TrRoad_act!I64)</f>
        <v>2619.3277485245585</v>
      </c>
      <c r="J115" s="87">
        <f>IF(J24=0,0,1000000*J24/TrRoad_act!J64)</f>
        <v>2547.0389398681514</v>
      </c>
      <c r="K115" s="87">
        <f>IF(K24=0,0,1000000*K24/TrRoad_act!K64)</f>
        <v>2445.1420443211127</v>
      </c>
      <c r="L115" s="87">
        <f>IF(L24=0,0,1000000*L24/TrRoad_act!L64)</f>
        <v>2511.5215431722208</v>
      </c>
      <c r="M115" s="87">
        <f>IF(M24=0,0,1000000*M24/TrRoad_act!M64)</f>
        <v>2542.5874940320368</v>
      </c>
      <c r="N115" s="87">
        <f>IF(N24=0,0,1000000*N24/TrRoad_act!N64)</f>
        <v>2470.4566648621158</v>
      </c>
      <c r="O115" s="87">
        <f>IF(O24=0,0,1000000*O24/TrRoad_act!O64)</f>
        <v>2350.1136932686582</v>
      </c>
      <c r="P115" s="87">
        <f>IF(P24=0,0,1000000*P24/TrRoad_act!P64)</f>
        <v>2201.6382132736844</v>
      </c>
      <c r="Q115" s="87">
        <f>IF(Q24=0,0,1000000*Q24/TrRoad_act!Q64)</f>
        <v>2179.0530570832725</v>
      </c>
      <c r="R115" s="87">
        <f>IF(R24=0,0,1000000*R24/TrRoad_act!R64)</f>
        <v>2007.0973307342367</v>
      </c>
      <c r="S115" s="87">
        <f>IF(S24=0,0,1000000*S24/TrRoad_act!S64)</f>
        <v>1979.4087154547854</v>
      </c>
      <c r="T115" s="87">
        <f>IF(T24=0,0,1000000*T24/TrRoad_act!T64)</f>
        <v>1850.1475279451522</v>
      </c>
      <c r="U115" s="87">
        <f>IF(U24=0,0,1000000*U24/TrRoad_act!U64)</f>
        <v>1734.2073452054742</v>
      </c>
      <c r="V115" s="87">
        <f>IF(V24=0,0,1000000*V24/TrRoad_act!V64)</f>
        <v>1508.3004117476976</v>
      </c>
      <c r="W115" s="87">
        <f>IF(W24=0,0,1000000*W24/TrRoad_act!W64)</f>
        <v>1535.3643274168865</v>
      </c>
      <c r="X115" s="87">
        <f>IF(X24=0,0,1000000*X24/TrRoad_act!X64)</f>
        <v>1607.2445186877719</v>
      </c>
      <c r="Y115" s="87">
        <f>IF(Y24=0,0,1000000*Y24/TrRoad_act!Y64)</f>
        <v>1582.7453851676235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939.18705084342855</v>
      </c>
      <c r="N116" s="87">
        <f>IF(N25=0,0,1000000*N25/TrRoad_act!N65)</f>
        <v>681.18167207701993</v>
      </c>
      <c r="O116" s="87">
        <f>IF(O25=0,0,1000000*O25/TrRoad_act!O65)</f>
        <v>479.54431950397003</v>
      </c>
      <c r="P116" s="87">
        <f>IF(P25=0,0,1000000*P25/TrRoad_act!P65)</f>
        <v>548.52960009183994</v>
      </c>
      <c r="Q116" s="87">
        <f>IF(Q25=0,0,1000000*Q25/TrRoad_act!Q65)</f>
        <v>702.68642699234567</v>
      </c>
      <c r="R116" s="87">
        <f>IF(R25=0,0,1000000*R25/TrRoad_act!R65)</f>
        <v>848.47155347203227</v>
      </c>
      <c r="S116" s="87">
        <f>IF(S25=0,0,1000000*S25/TrRoad_act!S65)</f>
        <v>901.48635842179772</v>
      </c>
      <c r="T116" s="87">
        <f>IF(T25=0,0,1000000*T25/TrRoad_act!T65)</f>
        <v>905.52010338455182</v>
      </c>
      <c r="U116" s="87">
        <f>IF(U25=0,0,1000000*U25/TrRoad_act!U65)</f>
        <v>852.45922287529777</v>
      </c>
      <c r="V116" s="87">
        <f>IF(V25=0,0,1000000*V25/TrRoad_act!V65)</f>
        <v>633.12778130333595</v>
      </c>
      <c r="W116" s="87">
        <f>IF(W25=0,0,1000000*W25/TrRoad_act!W65)</f>
        <v>582.65094085567216</v>
      </c>
      <c r="X116" s="87">
        <f>IF(X25=0,0,1000000*X25/TrRoad_act!X65)</f>
        <v>564.79661353405947</v>
      </c>
      <c r="Y116" s="87">
        <f>IF(Y25=0,0,1000000*Y25/TrRoad_act!Y65)</f>
        <v>560.71260715032793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79807.446018352173</v>
      </c>
      <c r="C118" s="116">
        <f>IF(C27=0,0,1000000*C27/TrRoad_act!C67)</f>
        <v>80170.324379983984</v>
      </c>
      <c r="D118" s="116">
        <f>IF(D27=0,0,1000000*D27/TrRoad_act!D67)</f>
        <v>89370.477357252268</v>
      </c>
      <c r="E118" s="116">
        <f>IF(E27=0,0,1000000*E27/TrRoad_act!E67)</f>
        <v>91524.219072745735</v>
      </c>
      <c r="F118" s="116">
        <f>IF(F27=0,0,1000000*F27/TrRoad_act!F67)</f>
        <v>88791.655921297861</v>
      </c>
      <c r="G118" s="116">
        <f>IF(G27=0,0,1000000*G27/TrRoad_act!G67)</f>
        <v>88384.141053660773</v>
      </c>
      <c r="H118" s="116">
        <f>IF(H27=0,0,1000000*H27/TrRoad_act!H67)</f>
        <v>83948.20980977721</v>
      </c>
      <c r="I118" s="116">
        <f>IF(I27=0,0,1000000*I27/TrRoad_act!I67)</f>
        <v>87766.809014960294</v>
      </c>
      <c r="J118" s="116">
        <f>IF(J27=0,0,1000000*J27/TrRoad_act!J67)</f>
        <v>83896.566589872993</v>
      </c>
      <c r="K118" s="116">
        <f>IF(K27=0,0,1000000*K27/TrRoad_act!K67)</f>
        <v>72249.909180745599</v>
      </c>
      <c r="L118" s="116">
        <f>IF(L27=0,0,1000000*L27/TrRoad_act!L67)</f>
        <v>77717.304458246042</v>
      </c>
      <c r="M118" s="116">
        <f>IF(M27=0,0,1000000*M27/TrRoad_act!M67)</f>
        <v>76936.985053505035</v>
      </c>
      <c r="N118" s="116">
        <f>IF(N27=0,0,1000000*N27/TrRoad_act!N67)</f>
        <v>77319.268265423772</v>
      </c>
      <c r="O118" s="116">
        <f>IF(O27=0,0,1000000*O27/TrRoad_act!O67)</f>
        <v>76095.032038756966</v>
      </c>
      <c r="P118" s="116">
        <f>IF(P27=0,0,1000000*P27/TrRoad_act!P67)</f>
        <v>76317.369794578975</v>
      </c>
      <c r="Q118" s="116">
        <f>IF(Q27=0,0,1000000*Q27/TrRoad_act!Q67)</f>
        <v>76921.358537021239</v>
      </c>
      <c r="R118" s="116">
        <f>IF(R27=0,0,1000000*R27/TrRoad_act!R67)</f>
        <v>80779.173010223458</v>
      </c>
      <c r="S118" s="116">
        <f>IF(S27=0,0,1000000*S27/TrRoad_act!S67)</f>
        <v>83156.808099509333</v>
      </c>
      <c r="T118" s="116">
        <f>IF(T27=0,0,1000000*T27/TrRoad_act!T67)</f>
        <v>82753.200520017359</v>
      </c>
      <c r="U118" s="116">
        <f>IF(U27=0,0,1000000*U27/TrRoad_act!U67)</f>
        <v>81010.865337807802</v>
      </c>
      <c r="V118" s="116">
        <f>IF(V27=0,0,1000000*V27/TrRoad_act!V67)</f>
        <v>81429.769754446388</v>
      </c>
      <c r="W118" s="116">
        <f>IF(W27=0,0,1000000*W27/TrRoad_act!W67)</f>
        <v>80390.240339961718</v>
      </c>
      <c r="X118" s="116">
        <f>IF(X27=0,0,1000000*X27/TrRoad_act!X67)</f>
        <v>76635.413494035354</v>
      </c>
      <c r="Y118" s="116">
        <f>IF(Y27=0,0,1000000*Y27/TrRoad_act!Y67)</f>
        <v>72787.753596326569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28565.230896139281</v>
      </c>
      <c r="C119" s="101">
        <f>IF(C28=0,0,1000000*C28/TrRoad_act!C68)</f>
        <v>28838.741395869019</v>
      </c>
      <c r="D119" s="101">
        <f>IF(D28=0,0,1000000*D28/TrRoad_act!D68)</f>
        <v>32545.900038083826</v>
      </c>
      <c r="E119" s="101">
        <f>IF(E28=0,0,1000000*E28/TrRoad_act!E68)</f>
        <v>33592.601487792315</v>
      </c>
      <c r="F119" s="101">
        <f>IF(F28=0,0,1000000*F28/TrRoad_act!F68)</f>
        <v>32768.048703486769</v>
      </c>
      <c r="G119" s="101">
        <f>IF(G28=0,0,1000000*G28/TrRoad_act!G68)</f>
        <v>33026.337293435623</v>
      </c>
      <c r="H119" s="101">
        <f>IF(H28=0,0,1000000*H28/TrRoad_act!H68)</f>
        <v>32508.365560618677</v>
      </c>
      <c r="I119" s="101">
        <f>IF(I28=0,0,1000000*I28/TrRoad_act!I68)</f>
        <v>33085.519014267418</v>
      </c>
      <c r="J119" s="101">
        <f>IF(J28=0,0,1000000*J28/TrRoad_act!J68)</f>
        <v>30988.563510777931</v>
      </c>
      <c r="K119" s="101">
        <f>IF(K28=0,0,1000000*K28/TrRoad_act!K68)</f>
        <v>26457.737578932807</v>
      </c>
      <c r="L119" s="101">
        <f>IF(L28=0,0,1000000*L28/TrRoad_act!L68)</f>
        <v>28538.679743978373</v>
      </c>
      <c r="M119" s="101">
        <f>IF(M28=0,0,1000000*M28/TrRoad_act!M68)</f>
        <v>27694.035403569385</v>
      </c>
      <c r="N119" s="101">
        <f>IF(N28=0,0,1000000*N28/TrRoad_act!N68)</f>
        <v>27842.165370695919</v>
      </c>
      <c r="O119" s="101">
        <f>IF(O28=0,0,1000000*O28/TrRoad_act!O68)</f>
        <v>26380.856846128943</v>
      </c>
      <c r="P119" s="101">
        <f>IF(P28=0,0,1000000*P28/TrRoad_act!P68)</f>
        <v>20975.442365970386</v>
      </c>
      <c r="Q119" s="101">
        <f>IF(Q28=0,0,1000000*Q28/TrRoad_act!Q68)</f>
        <v>17002.988568513279</v>
      </c>
      <c r="R119" s="101">
        <f>IF(R28=0,0,1000000*R28/TrRoad_act!R68)</f>
        <v>16883.397439257707</v>
      </c>
      <c r="S119" s="101">
        <f>IF(S28=0,0,1000000*S28/TrRoad_act!S68)</f>
        <v>17091.875691514666</v>
      </c>
      <c r="T119" s="101">
        <f>IF(T28=0,0,1000000*T28/TrRoad_act!T68)</f>
        <v>17014.360463818524</v>
      </c>
      <c r="U119" s="101">
        <f>IF(U28=0,0,1000000*U28/TrRoad_act!U68)</f>
        <v>16654.782562570686</v>
      </c>
      <c r="V119" s="101">
        <f>IF(V28=0,0,1000000*V28/TrRoad_act!V68)</f>
        <v>16236.455782832623</v>
      </c>
      <c r="W119" s="101">
        <f>IF(W28=0,0,1000000*W28/TrRoad_act!W68)</f>
        <v>16212.825933539527</v>
      </c>
      <c r="X119" s="101">
        <f>IF(X28=0,0,1000000*X28/TrRoad_act!X68)</f>
        <v>15613.567576878964</v>
      </c>
      <c r="Y119" s="101">
        <f>IF(Y28=0,0,1000000*Y28/TrRoad_act!Y68)</f>
        <v>14477.795864541957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80821.217857632742</v>
      </c>
      <c r="C120" s="101">
        <f>IF(C29=0,0,1000000*C29/TrRoad_act!C69)</f>
        <v>81272.325728663389</v>
      </c>
      <c r="D120" s="101">
        <f>IF(D29=0,0,1000000*D29/TrRoad_act!D69)</f>
        <v>90891.303754937151</v>
      </c>
      <c r="E120" s="101">
        <f>IF(E29=0,0,1000000*E29/TrRoad_act!E69)</f>
        <v>93206.424410166685</v>
      </c>
      <c r="F120" s="101">
        <f>IF(F29=0,0,1000000*F29/TrRoad_act!F69)</f>
        <v>90534.317258399213</v>
      </c>
      <c r="G120" s="101">
        <f>IF(G29=0,0,1000000*G29/TrRoad_act!G69)</f>
        <v>90388.513239493375</v>
      </c>
      <c r="H120" s="101">
        <f>IF(H29=0,0,1000000*H29/TrRoad_act!H69)</f>
        <v>86058.651541228333</v>
      </c>
      <c r="I120" s="101">
        <f>IF(I29=0,0,1000000*I29/TrRoad_act!I69)</f>
        <v>90247.701622086854</v>
      </c>
      <c r="J120" s="101">
        <f>IF(J29=0,0,1000000*J29/TrRoad_act!J69)</f>
        <v>86626.412357337671</v>
      </c>
      <c r="K120" s="101">
        <f>IF(K29=0,0,1000000*K29/TrRoad_act!K69)</f>
        <v>75276.280005236433</v>
      </c>
      <c r="L120" s="101">
        <f>IF(L29=0,0,1000000*L29/TrRoad_act!L69)</f>
        <v>81807.673068966134</v>
      </c>
      <c r="M120" s="101">
        <f>IF(M29=0,0,1000000*M29/TrRoad_act!M69)</f>
        <v>81462.243098306659</v>
      </c>
      <c r="N120" s="101">
        <f>IF(N29=0,0,1000000*N29/TrRoad_act!N69)</f>
        <v>82086.098515684629</v>
      </c>
      <c r="O120" s="101">
        <f>IF(O29=0,0,1000000*O29/TrRoad_act!O69)</f>
        <v>81418.596542626925</v>
      </c>
      <c r="P120" s="101">
        <f>IF(P29=0,0,1000000*P29/TrRoad_act!P69)</f>
        <v>81846.96250691278</v>
      </c>
      <c r="Q120" s="101">
        <f>IF(Q29=0,0,1000000*Q29/TrRoad_act!Q69)</f>
        <v>81812.077136471795</v>
      </c>
      <c r="R120" s="101">
        <f>IF(R29=0,0,1000000*R29/TrRoad_act!R69)</f>
        <v>85796.601555883681</v>
      </c>
      <c r="S120" s="101">
        <f>IF(S29=0,0,1000000*S29/TrRoad_act!S69)</f>
        <v>88035.360727139501</v>
      </c>
      <c r="T120" s="101">
        <f>IF(T29=0,0,1000000*T29/TrRoad_act!T69)</f>
        <v>87241.657288344402</v>
      </c>
      <c r="U120" s="101">
        <f>IF(U29=0,0,1000000*U29/TrRoad_act!U69)</f>
        <v>84066.231968572814</v>
      </c>
      <c r="V120" s="101">
        <f>IF(V29=0,0,1000000*V29/TrRoad_act!V69)</f>
        <v>84236.708123107848</v>
      </c>
      <c r="W120" s="101">
        <f>IF(W29=0,0,1000000*W29/TrRoad_act!W69)</f>
        <v>82761.722607749645</v>
      </c>
      <c r="X120" s="101">
        <f>IF(X29=0,0,1000000*X29/TrRoad_act!X69)</f>
        <v>78974.047565410423</v>
      </c>
      <c r="Y120" s="101">
        <f>IF(Y29=0,0,1000000*Y29/TrRoad_act!Y69)</f>
        <v>75111.274554407442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24215.948172607041</v>
      </c>
      <c r="D121" s="101">
        <f>IF(D30=0,0,1000000*D30/TrRoad_act!D70)</f>
        <v>27155.567289569546</v>
      </c>
      <c r="E121" s="101">
        <f>IF(E30=0,0,1000000*E30/TrRoad_act!E70)</f>
        <v>28377.243397706388</v>
      </c>
      <c r="F121" s="101">
        <f>IF(F30=0,0,1000000*F30/TrRoad_act!F70)</f>
        <v>28062.378900822187</v>
      </c>
      <c r="G121" s="101">
        <f>IF(G30=0,0,1000000*G30/TrRoad_act!G70)</f>
        <v>28738.905589647824</v>
      </c>
      <c r="H121" s="101">
        <f>IF(H30=0,0,1000000*H30/TrRoad_act!H70)</f>
        <v>28752.549217497242</v>
      </c>
      <c r="I121" s="101">
        <f>IF(I30=0,0,1000000*I30/TrRoad_act!I70)</f>
        <v>30944.934091493564</v>
      </c>
      <c r="J121" s="101">
        <f>IF(J30=0,0,1000000*J30/TrRoad_act!J70)</f>
        <v>30287.033589058297</v>
      </c>
      <c r="K121" s="101">
        <f>IF(K30=0,0,1000000*K30/TrRoad_act!K70)</f>
        <v>27068.529490629782</v>
      </c>
      <c r="L121" s="101">
        <f>IF(L30=0,0,1000000*L30/TrRoad_act!L70)</f>
        <v>29542.505740044387</v>
      </c>
      <c r="M121" s="101">
        <f>IF(M30=0,0,1000000*M30/TrRoad_act!M70)</f>
        <v>29842.531856933598</v>
      </c>
      <c r="N121" s="101">
        <f>IF(N30=0,0,1000000*N30/TrRoad_act!N70)</f>
        <v>30353.530747591813</v>
      </c>
      <c r="O121" s="101">
        <f>IF(O30=0,0,1000000*O30/TrRoad_act!O70)</f>
        <v>30284.76121653444</v>
      </c>
      <c r="P121" s="101">
        <f>IF(P30=0,0,1000000*P30/TrRoad_act!P70)</f>
        <v>31181.61881225586</v>
      </c>
      <c r="Q121" s="101">
        <f>IF(Q30=0,0,1000000*Q30/TrRoad_act!Q70)</f>
        <v>31923.790931970922</v>
      </c>
      <c r="R121" s="101">
        <f>IF(R30=0,0,1000000*R30/TrRoad_act!R70)</f>
        <v>32049.820488986607</v>
      </c>
      <c r="S121" s="101">
        <f>IF(S30=0,0,1000000*S30/TrRoad_act!S70)</f>
        <v>32162.5723416195</v>
      </c>
      <c r="T121" s="101">
        <f>IF(T30=0,0,1000000*T30/TrRoad_act!T70)</f>
        <v>31717.11572762451</v>
      </c>
      <c r="U121" s="101">
        <f>IF(U30=0,0,1000000*U30/TrRoad_act!U70)</f>
        <v>31052.386494932412</v>
      </c>
      <c r="V121" s="101">
        <f>IF(V30=0,0,1000000*V30/TrRoad_act!V70)</f>
        <v>30931.946589178369</v>
      </c>
      <c r="W121" s="101">
        <f>IF(W30=0,0,1000000*W30/TrRoad_act!W70)</f>
        <v>30242.638306929948</v>
      </c>
      <c r="X121" s="101">
        <f>IF(X30=0,0,1000000*X30/TrRoad_act!X70)</f>
        <v>28522.308877063682</v>
      </c>
      <c r="Y121" s="101">
        <f>IF(Y30=0,0,1000000*Y30/TrRoad_act!Y70)</f>
        <v>27370.972983453492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62141.538461538454</v>
      </c>
      <c r="G122" s="101">
        <f>IF(G31=0,0,1000000*G31/TrRoad_act!G71)</f>
        <v>66708.941538461513</v>
      </c>
      <c r="H122" s="101">
        <f>IF(H31=0,0,1000000*H31/TrRoad_act!H71)</f>
        <v>46196.558963113792</v>
      </c>
      <c r="I122" s="101">
        <f>IF(I31=0,0,1000000*I31/TrRoad_act!I71)</f>
        <v>61078.771514418375</v>
      </c>
      <c r="J122" s="101">
        <f>IF(J31=0,0,1000000*J31/TrRoad_act!J71)</f>
        <v>51509.430975122232</v>
      </c>
      <c r="K122" s="101">
        <f>IF(K31=0,0,1000000*K31/TrRoad_act!K71)</f>
        <v>53688.169703200969</v>
      </c>
      <c r="L122" s="101">
        <f>IF(L31=0,0,1000000*L31/TrRoad_act!L71)</f>
        <v>52028.799403084609</v>
      </c>
      <c r="M122" s="101">
        <f>IF(M31=0,0,1000000*M31/TrRoad_act!M71)</f>
        <v>46553.406588963524</v>
      </c>
      <c r="N122" s="101">
        <f>IF(N31=0,0,1000000*N31/TrRoad_act!N71)</f>
        <v>46866.847956989237</v>
      </c>
      <c r="O122" s="101">
        <f>IF(O31=0,0,1000000*O31/TrRoad_act!O71)</f>
        <v>43075.318415288581</v>
      </c>
      <c r="P122" s="101">
        <f>IF(P31=0,0,1000000*P31/TrRoad_act!P71)</f>
        <v>41421.713763838692</v>
      </c>
      <c r="Q122" s="101">
        <f>IF(Q31=0,0,1000000*Q31/TrRoad_act!Q71)</f>
        <v>43991.519973073438</v>
      </c>
      <c r="R122" s="101">
        <f>IF(R31=0,0,1000000*R31/TrRoad_act!R71)</f>
        <v>43236.53965324795</v>
      </c>
      <c r="S122" s="101">
        <f>IF(S31=0,0,1000000*S31/TrRoad_act!S71)</f>
        <v>42889.549159509945</v>
      </c>
      <c r="T122" s="101">
        <f>IF(T31=0,0,1000000*T31/TrRoad_act!T71)</f>
        <v>47454.078140747915</v>
      </c>
      <c r="U122" s="101">
        <f>IF(U31=0,0,1000000*U31/TrRoad_act!U71)</f>
        <v>53838.265430937106</v>
      </c>
      <c r="V122" s="101">
        <f>IF(V31=0,0,1000000*V31/TrRoad_act!V71)</f>
        <v>61055.253737212443</v>
      </c>
      <c r="W122" s="101">
        <f>IF(W31=0,0,1000000*W31/TrRoad_act!W71)</f>
        <v>65173.971211559554</v>
      </c>
      <c r="X122" s="101">
        <f>IF(X31=0,0,1000000*X31/TrRoad_act!X71)</f>
        <v>63711.127871097997</v>
      </c>
      <c r="Y122" s="101">
        <f>IF(Y31=0,0,1000000*Y31/TrRoad_act!Y71)</f>
        <v>64352.242464098636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5196.7228682002897</v>
      </c>
      <c r="C125" s="152">
        <f>IF(C34=0,0,1000000*C34/TrRoad_act!C74)</f>
        <v>5171.6274630588905</v>
      </c>
      <c r="D125" s="152">
        <f>IF(D34=0,0,1000000*D34/TrRoad_act!D74)</f>
        <v>5520.346031211584</v>
      </c>
      <c r="E125" s="152">
        <f>IF(E34=0,0,1000000*E34/TrRoad_act!E74)</f>
        <v>5395.3673686385509</v>
      </c>
      <c r="F125" s="152">
        <f>IF(F34=0,0,1000000*F34/TrRoad_act!F74)</f>
        <v>5223.2566818995556</v>
      </c>
      <c r="G125" s="152">
        <f>IF(G34=0,0,1000000*G34/TrRoad_act!G74)</f>
        <v>5134.7546596439606</v>
      </c>
      <c r="H125" s="152">
        <f>IF(H34=0,0,1000000*H34/TrRoad_act!H74)</f>
        <v>4925.2532992747192</v>
      </c>
      <c r="I125" s="152">
        <f>IF(I34=0,0,1000000*I34/TrRoad_act!I74)</f>
        <v>4823.7038472485692</v>
      </c>
      <c r="J125" s="152">
        <f>IF(J34=0,0,1000000*J34/TrRoad_act!J74)</f>
        <v>4555.7374872648625</v>
      </c>
      <c r="K125" s="152">
        <f>IF(K34=0,0,1000000*K34/TrRoad_act!K74)</f>
        <v>4301.2026634842623</v>
      </c>
      <c r="L125" s="152">
        <f>IF(L34=0,0,1000000*L34/TrRoad_act!L74)</f>
        <v>4216.0590053629085</v>
      </c>
      <c r="M125" s="152">
        <f>IF(M34=0,0,1000000*M34/TrRoad_act!M74)</f>
        <v>4114.2333177661503</v>
      </c>
      <c r="N125" s="152">
        <f>IF(N34=0,0,1000000*N34/TrRoad_act!N74)</f>
        <v>3962.3999171944806</v>
      </c>
      <c r="O125" s="152">
        <f>IF(O34=0,0,1000000*O34/TrRoad_act!O74)</f>
        <v>3917.1447787737002</v>
      </c>
      <c r="P125" s="152">
        <f>IF(P34=0,0,1000000*P34/TrRoad_act!P74)</f>
        <v>3911.2800781289889</v>
      </c>
      <c r="Q125" s="152">
        <f>IF(Q34=0,0,1000000*Q34/TrRoad_act!Q74)</f>
        <v>3891.3847028417872</v>
      </c>
      <c r="R125" s="152">
        <f>IF(R34=0,0,1000000*R34/TrRoad_act!R74)</f>
        <v>3911.0448201035615</v>
      </c>
      <c r="S125" s="152">
        <f>IF(S34=0,0,1000000*S34/TrRoad_act!S74)</f>
        <v>3827.8657146100991</v>
      </c>
      <c r="T125" s="152">
        <f>IF(T34=0,0,1000000*T34/TrRoad_act!T74)</f>
        <v>3713.3923958482869</v>
      </c>
      <c r="U125" s="152">
        <f>IF(U34=0,0,1000000*U34/TrRoad_act!U74)</f>
        <v>3721.8546699808271</v>
      </c>
      <c r="V125" s="152">
        <f>IF(V34=0,0,1000000*V34/TrRoad_act!V74)</f>
        <v>3683.9599949665671</v>
      </c>
      <c r="W125" s="152">
        <f>IF(W34=0,0,1000000*W34/TrRoad_act!W74)</f>
        <v>3713.7395547882734</v>
      </c>
      <c r="X125" s="152">
        <f>IF(X34=0,0,1000000*X34/TrRoad_act!X74)</f>
        <v>3591.6471748488516</v>
      </c>
      <c r="Y125" s="152">
        <f>IF(Y34=0,0,1000000*Y34/TrRoad_act!Y74)</f>
        <v>3511.1981889132835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5492.5853935818659</v>
      </c>
      <c r="C126" s="87">
        <f>IF(C35=0,0,1000000*C35/TrRoad_act!C75)</f>
        <v>5479.3113291673544</v>
      </c>
      <c r="D126" s="87">
        <f>IF(D35=0,0,1000000*D35/TrRoad_act!D75)</f>
        <v>5640.8076204161198</v>
      </c>
      <c r="E126" s="87">
        <f>IF(E35=0,0,1000000*E35/TrRoad_act!E75)</f>
        <v>5495.1891523474123</v>
      </c>
      <c r="F126" s="87">
        <f>IF(F35=0,0,1000000*F35/TrRoad_act!F75)</f>
        <v>5348.1690802484327</v>
      </c>
      <c r="G126" s="87">
        <f>IF(G35=0,0,1000000*G35/TrRoad_act!G75)</f>
        <v>5330.8983032626502</v>
      </c>
      <c r="H126" s="87">
        <f>IF(H35=0,0,1000000*H35/TrRoad_act!H75)</f>
        <v>5354.2698146820858</v>
      </c>
      <c r="I126" s="87">
        <f>IF(I35=0,0,1000000*I35/TrRoad_act!I75)</f>
        <v>5253.5732132836829</v>
      </c>
      <c r="J126" s="87">
        <f>IF(J35=0,0,1000000*J35/TrRoad_act!J75)</f>
        <v>4808.5897465653679</v>
      </c>
      <c r="K126" s="87">
        <f>IF(K35=0,0,1000000*K35/TrRoad_act!K75)</f>
        <v>4449.6670095707068</v>
      </c>
      <c r="L126" s="87">
        <f>IF(L35=0,0,1000000*L35/TrRoad_act!L75)</f>
        <v>4247.1884315718398</v>
      </c>
      <c r="M126" s="87">
        <f>IF(M35=0,0,1000000*M35/TrRoad_act!M75)</f>
        <v>4211.2347092726568</v>
      </c>
      <c r="N126" s="87">
        <f>IF(N35=0,0,1000000*N35/TrRoad_act!N75)</f>
        <v>4055.6054675222285</v>
      </c>
      <c r="O126" s="87">
        <f>IF(O35=0,0,1000000*O35/TrRoad_act!O75)</f>
        <v>3786.6199153084244</v>
      </c>
      <c r="P126" s="87">
        <f>IF(P35=0,0,1000000*P35/TrRoad_act!P75)</f>
        <v>3729.9958870673227</v>
      </c>
      <c r="Q126" s="87">
        <f>IF(Q35=0,0,1000000*Q35/TrRoad_act!Q75)</f>
        <v>3716.2999766530411</v>
      </c>
      <c r="R126" s="87">
        <f>IF(R35=0,0,1000000*R35/TrRoad_act!R75)</f>
        <v>3560.201520826105</v>
      </c>
      <c r="S126" s="87">
        <f>IF(S35=0,0,1000000*S35/TrRoad_act!S75)</f>
        <v>3368.3997677723073</v>
      </c>
      <c r="T126" s="87">
        <f>IF(T35=0,0,1000000*T35/TrRoad_act!T75)</f>
        <v>3182.6536599294241</v>
      </c>
      <c r="U126" s="87">
        <f>IF(U35=0,0,1000000*U35/TrRoad_act!U75)</f>
        <v>3108.2780673934899</v>
      </c>
      <c r="V126" s="87">
        <f>IF(V35=0,0,1000000*V35/TrRoad_act!V75)</f>
        <v>2985.3947621572702</v>
      </c>
      <c r="W126" s="87">
        <f>IF(W35=0,0,1000000*W35/TrRoad_act!W75)</f>
        <v>2914.4016384130678</v>
      </c>
      <c r="X126" s="87">
        <f>IF(X35=0,0,1000000*X35/TrRoad_act!X75)</f>
        <v>2770.796826027552</v>
      </c>
      <c r="Y126" s="87">
        <f>IF(Y35=0,0,1000000*Y35/TrRoad_act!Y75)</f>
        <v>2623.9303931482277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5150.889099609446</v>
      </c>
      <c r="C127" s="87">
        <f>IF(C36=0,0,1000000*C36/TrRoad_act!C76)</f>
        <v>5129.9561262075258</v>
      </c>
      <c r="D127" s="87">
        <f>IF(D36=0,0,1000000*D36/TrRoad_act!D76)</f>
        <v>5509.9969300155399</v>
      </c>
      <c r="E127" s="87">
        <f>IF(E36=0,0,1000000*E36/TrRoad_act!E76)</f>
        <v>5388.0215384097155</v>
      </c>
      <c r="F127" s="87">
        <f>IF(F36=0,0,1000000*F36/TrRoad_act!F76)</f>
        <v>5214.9913166638926</v>
      </c>
      <c r="G127" s="87">
        <f>IF(G36=0,0,1000000*G36/TrRoad_act!G76)</f>
        <v>5121.9969151320729</v>
      </c>
      <c r="H127" s="87">
        <f>IF(H36=0,0,1000000*H36/TrRoad_act!H76)</f>
        <v>4901.0697440907188</v>
      </c>
      <c r="I127" s="87">
        <f>IF(I36=0,0,1000000*I36/TrRoad_act!I76)</f>
        <v>4801.3235194309318</v>
      </c>
      <c r="J127" s="87">
        <f>IF(J36=0,0,1000000*J36/TrRoad_act!J76)</f>
        <v>4543.4604299046496</v>
      </c>
      <c r="K127" s="87">
        <f>IF(K36=0,0,1000000*K36/TrRoad_act!K76)</f>
        <v>4293.8137232391828</v>
      </c>
      <c r="L127" s="87">
        <f>IF(L36=0,0,1000000*L36/TrRoad_act!L76)</f>
        <v>4214.9406801364967</v>
      </c>
      <c r="M127" s="87">
        <f>IF(M36=0,0,1000000*M36/TrRoad_act!M76)</f>
        <v>4110.5252205713505</v>
      </c>
      <c r="N127" s="87">
        <f>IF(N36=0,0,1000000*N36/TrRoad_act!N76)</f>
        <v>3962.2803358986857</v>
      </c>
      <c r="O127" s="87">
        <f>IF(O36=0,0,1000000*O36/TrRoad_act!O76)</f>
        <v>3932.7241788258461</v>
      </c>
      <c r="P127" s="87">
        <f>IF(P36=0,0,1000000*P36/TrRoad_act!P76)</f>
        <v>3931.9067611069172</v>
      </c>
      <c r="Q127" s="87">
        <f>IF(Q36=0,0,1000000*Q36/TrRoad_act!Q76)</f>
        <v>3914.1645136217699</v>
      </c>
      <c r="R127" s="87">
        <f>IF(R36=0,0,1000000*R36/TrRoad_act!R76)</f>
        <v>3949.5795902583322</v>
      </c>
      <c r="S127" s="87">
        <f>IF(S36=0,0,1000000*S36/TrRoad_act!S76)</f>
        <v>3873.3376082250347</v>
      </c>
      <c r="T127" s="87">
        <f>IF(T36=0,0,1000000*T36/TrRoad_act!T76)</f>
        <v>3766.3808172409613</v>
      </c>
      <c r="U127" s="87">
        <f>IF(U36=0,0,1000000*U36/TrRoad_act!U76)</f>
        <v>3782.2039110039818</v>
      </c>
      <c r="V127" s="87">
        <f>IF(V36=0,0,1000000*V36/TrRoad_act!V76)</f>
        <v>3753.044653658013</v>
      </c>
      <c r="W127" s="87">
        <f>IF(W36=0,0,1000000*W36/TrRoad_act!W76)</f>
        <v>3804.4875099814444</v>
      </c>
      <c r="X127" s="87">
        <f>IF(X36=0,0,1000000*X36/TrRoad_act!X76)</f>
        <v>3697.7154217945895</v>
      </c>
      <c r="Y127" s="87">
        <f>IF(Y36=0,0,1000000*Y36/TrRoad_act!Y76)</f>
        <v>3643.5660042173008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9606.6871421661017</v>
      </c>
      <c r="F128" s="87">
        <f>IF(F37=0,0,1000000*F37/TrRoad_act!F77)</f>
        <v>9397.7409051862724</v>
      </c>
      <c r="G128" s="87">
        <f>IF(G37=0,0,1000000*G37/TrRoad_act!G77)</f>
        <v>9586.0330785267906</v>
      </c>
      <c r="H128" s="87">
        <f>IF(H37=0,0,1000000*H37/TrRoad_act!H77)</f>
        <v>9772.4159390382283</v>
      </c>
      <c r="I128" s="87">
        <f>IF(I37=0,0,1000000*I37/TrRoad_act!I77)</f>
        <v>9824.4305805495715</v>
      </c>
      <c r="J128" s="87">
        <f>IF(J37=0,0,1000000*J37/TrRoad_act!J77)</f>
        <v>9382.3462365233627</v>
      </c>
      <c r="K128" s="87">
        <f>IF(K37=0,0,1000000*K37/TrRoad_act!K77)</f>
        <v>9015.4860584451344</v>
      </c>
      <c r="L128" s="87">
        <f>IF(L37=0,0,1000000*L37/TrRoad_act!L77)</f>
        <v>8763.4717010749137</v>
      </c>
      <c r="M128" s="87">
        <f>IF(M37=0,0,1000000*M37/TrRoad_act!M77)</f>
        <v>8595.2388134931443</v>
      </c>
      <c r="N128" s="87">
        <f>IF(N37=0,0,1000000*N37/TrRoad_act!N77)</f>
        <v>8209.5187620074521</v>
      </c>
      <c r="O128" s="87">
        <f>IF(O37=0,0,1000000*O37/TrRoad_act!O77)</f>
        <v>7885.7721171855055</v>
      </c>
      <c r="P128" s="87">
        <f>IF(P37=0,0,1000000*P37/TrRoad_act!P77)</f>
        <v>7620.0640618784919</v>
      </c>
      <c r="Q128" s="87">
        <f>IF(Q37=0,0,1000000*Q37/TrRoad_act!Q77)</f>
        <v>7625.1551292346248</v>
      </c>
      <c r="R128" s="87">
        <f>IF(R37=0,0,1000000*R37/TrRoad_act!R77)</f>
        <v>8020.9589726841232</v>
      </c>
      <c r="S128" s="87">
        <f>IF(S37=0,0,1000000*S37/TrRoad_act!S77)</f>
        <v>7664.0818674720822</v>
      </c>
      <c r="T128" s="87">
        <f>IF(T37=0,0,1000000*T37/TrRoad_act!T77)</f>
        <v>7371.965374757071</v>
      </c>
      <c r="U128" s="87">
        <f>IF(U37=0,0,1000000*U37/TrRoad_act!U77)</f>
        <v>7240.9510174159032</v>
      </c>
      <c r="V128" s="87">
        <f>IF(V37=0,0,1000000*V37/TrRoad_act!V77)</f>
        <v>6826.583693891007</v>
      </c>
      <c r="W128" s="87">
        <f>IF(W37=0,0,1000000*W37/TrRoad_act!W77)</f>
        <v>6383.2955361164341</v>
      </c>
      <c r="X128" s="87">
        <f>IF(X37=0,0,1000000*X37/TrRoad_act!X77)</f>
        <v>6023.7799154648028</v>
      </c>
      <c r="Y128" s="87">
        <f>IF(Y37=0,0,1000000*Y37/TrRoad_act!Y77)</f>
        <v>5808.3320219212073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3415.6777672794578</v>
      </c>
      <c r="I129" s="87">
        <f>IF(I38=0,0,1000000*I38/TrRoad_act!I78)</f>
        <v>3486.8334183074176</v>
      </c>
      <c r="J129" s="87">
        <f>IF(J38=0,0,1000000*J38/TrRoad_act!J78)</f>
        <v>3297.882261435213</v>
      </c>
      <c r="K129" s="87">
        <f>IF(K38=0,0,1000000*K38/TrRoad_act!K78)</f>
        <v>3154.0370898910764</v>
      </c>
      <c r="L129" s="87">
        <f>IF(L38=0,0,1000000*L38/TrRoad_act!L78)</f>
        <v>2996.9830885003717</v>
      </c>
      <c r="M129" s="87">
        <f>IF(M38=0,0,1000000*M38/TrRoad_act!M78)</f>
        <v>2925.4390921914205</v>
      </c>
      <c r="N129" s="87">
        <f>IF(N38=0,0,1000000*N38/TrRoad_act!N78)</f>
        <v>2841.857879242983</v>
      </c>
      <c r="O129" s="87">
        <f>IF(O38=0,0,1000000*O38/TrRoad_act!O78)</f>
        <v>2845.0251662329738</v>
      </c>
      <c r="P129" s="87">
        <f>IF(P38=0,0,1000000*P38/TrRoad_act!P78)</f>
        <v>2717.0555646578478</v>
      </c>
      <c r="Q129" s="87">
        <f>IF(Q38=0,0,1000000*Q38/TrRoad_act!Q78)</f>
        <v>2693.1068013240106</v>
      </c>
      <c r="R129" s="87">
        <f>IF(R38=0,0,1000000*R38/TrRoad_act!R78)</f>
        <v>2430.3821525311114</v>
      </c>
      <c r="S129" s="87">
        <f>IF(S38=0,0,1000000*S38/TrRoad_act!S78)</f>
        <v>2332.8645499527443</v>
      </c>
      <c r="T129" s="87">
        <f>IF(T38=0,0,1000000*T38/TrRoad_act!T78)</f>
        <v>2222.9592676413549</v>
      </c>
      <c r="U129" s="87">
        <f>IF(U38=0,0,1000000*U38/TrRoad_act!U78)</f>
        <v>2189.6353322647678</v>
      </c>
      <c r="V129" s="87">
        <f>IF(V38=0,0,1000000*V38/TrRoad_act!V78)</f>
        <v>2105.2007306795931</v>
      </c>
      <c r="W129" s="87">
        <f>IF(W38=0,0,1000000*W38/TrRoad_act!W78)</f>
        <v>2052.2707224988417</v>
      </c>
      <c r="X129" s="87">
        <f>IF(X38=0,0,1000000*X38/TrRoad_act!X78)</f>
        <v>1947.160283371134</v>
      </c>
      <c r="Y129" s="87">
        <f>IF(Y38=0,0,1000000*Y38/TrRoad_act!Y78)</f>
        <v>1879.0950374050462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52233.338999780928</v>
      </c>
      <c r="C131" s="116">
        <f>IF(C40=0,0,1000000*C40/TrRoad_act!C80)</f>
        <v>62872.589759847884</v>
      </c>
      <c r="D131" s="116">
        <f>IF(D40=0,0,1000000*D40/TrRoad_act!D80)</f>
        <v>72333.971526371286</v>
      </c>
      <c r="E131" s="116">
        <f>IF(E40=0,0,1000000*E40/TrRoad_act!E80)</f>
        <v>79792.079934520283</v>
      </c>
      <c r="F131" s="116">
        <f>IF(F40=0,0,1000000*F40/TrRoad_act!F80)</f>
        <v>78481.896361176536</v>
      </c>
      <c r="G131" s="116">
        <f>IF(G40=0,0,1000000*G40/TrRoad_act!G80)</f>
        <v>82451.895242990067</v>
      </c>
      <c r="H131" s="116">
        <f>IF(H40=0,0,1000000*H40/TrRoad_act!H80)</f>
        <v>74970.992046719082</v>
      </c>
      <c r="I131" s="116">
        <f>IF(I40=0,0,1000000*I40/TrRoad_act!I80)</f>
        <v>71911.610128031389</v>
      </c>
      <c r="J131" s="116">
        <f>IF(J40=0,0,1000000*J40/TrRoad_act!J80)</f>
        <v>66154.127991362897</v>
      </c>
      <c r="K131" s="116">
        <f>IF(K40=0,0,1000000*K40/TrRoad_act!K80)</f>
        <v>62953.89626604876</v>
      </c>
      <c r="L131" s="116">
        <f>IF(L40=0,0,1000000*L40/TrRoad_act!L80)</f>
        <v>69316.614070143638</v>
      </c>
      <c r="M131" s="116">
        <f>IF(M40=0,0,1000000*M40/TrRoad_act!M80)</f>
        <v>62433.641100851084</v>
      </c>
      <c r="N131" s="116">
        <f>IF(N40=0,0,1000000*N40/TrRoad_act!N80)</f>
        <v>64144.853239233758</v>
      </c>
      <c r="O131" s="116">
        <f>IF(O40=0,0,1000000*O40/TrRoad_act!O80)</f>
        <v>79588.195027077396</v>
      </c>
      <c r="P131" s="116">
        <f>IF(P40=0,0,1000000*P40/TrRoad_act!P80)</f>
        <v>75042.856757984802</v>
      </c>
      <c r="Q131" s="116">
        <f>IF(Q40=0,0,1000000*Q40/TrRoad_act!Q80)</f>
        <v>76030.039782334788</v>
      </c>
      <c r="R131" s="116">
        <f>IF(R40=0,0,1000000*R40/TrRoad_act!R80)</f>
        <v>78286.082560436029</v>
      </c>
      <c r="S131" s="116">
        <f>IF(S40=0,0,1000000*S40/TrRoad_act!S80)</f>
        <v>78484.515359895304</v>
      </c>
      <c r="T131" s="116">
        <f>IF(T40=0,0,1000000*T40/TrRoad_act!T80)</f>
        <v>79050.541733238642</v>
      </c>
      <c r="U131" s="116">
        <f>IF(U40=0,0,1000000*U40/TrRoad_act!U80)</f>
        <v>80023.832197557189</v>
      </c>
      <c r="V131" s="116">
        <f>IF(V40=0,0,1000000*V40/TrRoad_act!V80)</f>
        <v>74724.77066308308</v>
      </c>
      <c r="W131" s="116">
        <f>IF(W40=0,0,1000000*W40/TrRoad_act!W80)</f>
        <v>76180.247221798476</v>
      </c>
      <c r="X131" s="116">
        <f>IF(X40=0,0,1000000*X40/TrRoad_act!X80)</f>
        <v>62968.628481598513</v>
      </c>
      <c r="Y131" s="116">
        <f>IF(Y40=0,0,1000000*Y40/TrRoad_act!Y80)</f>
        <v>56930.537273395872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25107.775063377881</v>
      </c>
      <c r="C132" s="101">
        <f>IF(C41=0,0,1000000*C41/TrRoad_act!C81)</f>
        <v>27148.923054901545</v>
      </c>
      <c r="D132" s="101">
        <f>IF(D41=0,0,1000000*D41/TrRoad_act!D81)</f>
        <v>28686.003244855274</v>
      </c>
      <c r="E132" s="101">
        <f>IF(E41=0,0,1000000*E41/TrRoad_act!E81)</f>
        <v>30414.48406057691</v>
      </c>
      <c r="F132" s="101">
        <f>IF(F41=0,0,1000000*F41/TrRoad_act!F81)</f>
        <v>28738.878488953211</v>
      </c>
      <c r="G132" s="101">
        <f>IF(G41=0,0,1000000*G41/TrRoad_act!G81)</f>
        <v>28939.733697026117</v>
      </c>
      <c r="H132" s="101">
        <f>IF(H41=0,0,1000000*H41/TrRoad_act!H81)</f>
        <v>31479.111762416665</v>
      </c>
      <c r="I132" s="101">
        <f>IF(I41=0,0,1000000*I41/TrRoad_act!I81)</f>
        <v>30737.853559715957</v>
      </c>
      <c r="J132" s="101">
        <f>IF(J41=0,0,1000000*J41/TrRoad_act!J81)</f>
        <v>29039.828221576656</v>
      </c>
      <c r="K132" s="101">
        <f>IF(K41=0,0,1000000*K41/TrRoad_act!K81)</f>
        <v>26739.035477989393</v>
      </c>
      <c r="L132" s="101">
        <f>IF(L41=0,0,1000000*L41/TrRoad_act!L81)</f>
        <v>27446.833282036492</v>
      </c>
      <c r="M132" s="101">
        <f>IF(M41=0,0,1000000*M41/TrRoad_act!M81)</f>
        <v>27183.446402624202</v>
      </c>
      <c r="N132" s="101">
        <f>IF(N41=0,0,1000000*N41/TrRoad_act!N81)</f>
        <v>26877.104667946067</v>
      </c>
      <c r="O132" s="101">
        <f>IF(O41=0,0,1000000*O41/TrRoad_act!O81)</f>
        <v>30187.628771231844</v>
      </c>
      <c r="P132" s="101">
        <f>IF(P41=0,0,1000000*P41/TrRoad_act!P81)</f>
        <v>30388.015958432818</v>
      </c>
      <c r="Q132" s="101">
        <f>IF(Q41=0,0,1000000*Q41/TrRoad_act!Q81)</f>
        <v>31796.041434835694</v>
      </c>
      <c r="R132" s="101">
        <f>IF(R41=0,0,1000000*R41/TrRoad_act!R81)</f>
        <v>33335.291590237321</v>
      </c>
      <c r="S132" s="101">
        <f>IF(S41=0,0,1000000*S41/TrRoad_act!S81)</f>
        <v>33284.604307337191</v>
      </c>
      <c r="T132" s="101">
        <f>IF(T41=0,0,1000000*T41/TrRoad_act!T81)</f>
        <v>32693.497426460413</v>
      </c>
      <c r="U132" s="101">
        <f>IF(U41=0,0,1000000*U41/TrRoad_act!U81)</f>
        <v>32594.915873128128</v>
      </c>
      <c r="V132" s="101">
        <f>IF(V41=0,0,1000000*V41/TrRoad_act!V81)</f>
        <v>30771.734566364521</v>
      </c>
      <c r="W132" s="101">
        <f>IF(W41=0,0,1000000*W41/TrRoad_act!W81)</f>
        <v>31817.477178212815</v>
      </c>
      <c r="X132" s="101">
        <f>IF(X41=0,0,1000000*X41/TrRoad_act!X81)</f>
        <v>29164.303794807431</v>
      </c>
      <c r="Y132" s="101">
        <f>IF(Y41=0,0,1000000*Y41/TrRoad_act!Y81)</f>
        <v>27646.000855266742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219088.45821808299</v>
      </c>
      <c r="C133" s="88">
        <f>IF(C42=0,0,1000000*C42/TrRoad_act!C82)</f>
        <v>259651.2987902161</v>
      </c>
      <c r="D133" s="88">
        <f>IF(D42=0,0,1000000*D42/TrRoad_act!D82)</f>
        <v>294325.62795335322</v>
      </c>
      <c r="E133" s="88">
        <f>IF(E42=0,0,1000000*E42/TrRoad_act!E82)</f>
        <v>322552.89020853402</v>
      </c>
      <c r="F133" s="88">
        <f>IF(F42=0,0,1000000*F42/TrRoad_act!F82)</f>
        <v>283530.34567658929</v>
      </c>
      <c r="G133" s="88">
        <f>IF(G42=0,0,1000000*G42/TrRoad_act!G82)</f>
        <v>292667.25529789453</v>
      </c>
      <c r="H133" s="88">
        <f>IF(H42=0,0,1000000*H42/TrRoad_act!H82)</f>
        <v>233871.70979676751</v>
      </c>
      <c r="I133" s="88">
        <f>IF(I42=0,0,1000000*I42/TrRoad_act!I82)</f>
        <v>205911.01979837209</v>
      </c>
      <c r="J133" s="88">
        <f>IF(J42=0,0,1000000*J42/TrRoad_act!J82)</f>
        <v>174356.4592684856</v>
      </c>
      <c r="K133" s="88">
        <f>IF(K42=0,0,1000000*K42/TrRoad_act!K82)</f>
        <v>189050.11819012466</v>
      </c>
      <c r="L133" s="88">
        <f>IF(L42=0,0,1000000*L42/TrRoad_act!L82)</f>
        <v>207969.43620690511</v>
      </c>
      <c r="M133" s="88">
        <f>IF(M42=0,0,1000000*M42/TrRoad_act!M82)</f>
        <v>175685.21877438296</v>
      </c>
      <c r="N133" s="88">
        <f>IF(N42=0,0,1000000*N42/TrRoad_act!N82)</f>
        <v>187254.25491681381</v>
      </c>
      <c r="O133" s="88">
        <f>IF(O42=0,0,1000000*O42/TrRoad_act!O82)</f>
        <v>226040.22549289325</v>
      </c>
      <c r="P133" s="88">
        <f>IF(P42=0,0,1000000*P42/TrRoad_act!P82)</f>
        <v>205176.13571394447</v>
      </c>
      <c r="Q133" s="88">
        <f>IF(Q42=0,0,1000000*Q42/TrRoad_act!Q82)</f>
        <v>198819.33613041727</v>
      </c>
      <c r="R133" s="88">
        <f>IF(R42=0,0,1000000*R42/TrRoad_act!R82)</f>
        <v>200966.65943876523</v>
      </c>
      <c r="S133" s="88">
        <f>IF(S42=0,0,1000000*S42/TrRoad_act!S82)</f>
        <v>195108.78789170209</v>
      </c>
      <c r="T133" s="88">
        <f>IF(T42=0,0,1000000*T42/TrRoad_act!T82)</f>
        <v>201910.85918430824</v>
      </c>
      <c r="U133" s="88">
        <f>IF(U42=0,0,1000000*U42/TrRoad_act!U82)</f>
        <v>204516.65458766374</v>
      </c>
      <c r="V133" s="88">
        <f>IF(V42=0,0,1000000*V42/TrRoad_act!V82)</f>
        <v>188581.98502999268</v>
      </c>
      <c r="W133" s="88">
        <f>IF(W42=0,0,1000000*W42/TrRoad_act!W82)</f>
        <v>187148.80116952557</v>
      </c>
      <c r="X133" s="88">
        <f>IF(X42=0,0,1000000*X42/TrRoad_act!X82)</f>
        <v>146531.77719514808</v>
      </c>
      <c r="Y133" s="88">
        <f>IF(Y42=0,0,1000000*Y42/TrRoad_act!Y82)</f>
        <v>131778.57684246817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0.67756406382358059</v>
      </c>
      <c r="C136" s="46">
        <f t="shared" si="40"/>
        <v>0.6583499797388972</v>
      </c>
      <c r="D136" s="46">
        <f t="shared" si="40"/>
        <v>0.65794478384293231</v>
      </c>
      <c r="E136" s="46">
        <f t="shared" si="40"/>
        <v>0.65511308920674161</v>
      </c>
      <c r="F136" s="46">
        <f t="shared" si="40"/>
        <v>0.65805297527078621</v>
      </c>
      <c r="G136" s="46">
        <f t="shared" si="40"/>
        <v>0.65473871841990428</v>
      </c>
      <c r="H136" s="46">
        <f t="shared" si="40"/>
        <v>0.66732009043998042</v>
      </c>
      <c r="I136" s="46">
        <f t="shared" si="40"/>
        <v>0.67134135699583242</v>
      </c>
      <c r="J136" s="46">
        <f t="shared" si="40"/>
        <v>0.66965710134643464</v>
      </c>
      <c r="K136" s="46">
        <f t="shared" si="40"/>
        <v>0.67763045296216873</v>
      </c>
      <c r="L136" s="46">
        <f t="shared" si="41"/>
        <v>0.66320944850521679</v>
      </c>
      <c r="M136" s="46">
        <f t="shared" si="40"/>
        <v>0.67326568761663197</v>
      </c>
      <c r="N136" s="46">
        <f t="shared" si="40"/>
        <v>0.66682043381330092</v>
      </c>
      <c r="O136" s="46">
        <f t="shared" si="40"/>
        <v>0.63996202413187431</v>
      </c>
      <c r="P136" s="46">
        <f t="shared" si="40"/>
        <v>0.65081093666037848</v>
      </c>
      <c r="Q136" s="46">
        <f t="shared" si="40"/>
        <v>0.64928168205844872</v>
      </c>
      <c r="R136" s="46">
        <f t="shared" si="40"/>
        <v>0.64584230652519359</v>
      </c>
      <c r="S136" s="46">
        <f t="shared" si="40"/>
        <v>0.63958824976573458</v>
      </c>
      <c r="T136" s="46">
        <f t="shared" si="40"/>
        <v>0.63532483638531867</v>
      </c>
      <c r="U136" s="46">
        <f t="shared" si="40"/>
        <v>0.62656191318908128</v>
      </c>
      <c r="V136" s="46">
        <f t="shared" si="40"/>
        <v>0.59316499183604587</v>
      </c>
      <c r="W136" s="46">
        <f t="shared" si="42"/>
        <v>0.58901091178424625</v>
      </c>
      <c r="X136" s="46">
        <f t="shared" si="42"/>
        <v>0.62271910409055742</v>
      </c>
      <c r="Y136" s="46">
        <f t="shared" si="42"/>
        <v>0.64201672849919778</v>
      </c>
      <c r="DA136" s="211"/>
    </row>
    <row r="137" spans="1:105" ht="11.45" customHeight="1" x14ac:dyDescent="0.25">
      <c r="A137" s="153" t="s">
        <v>173</v>
      </c>
      <c r="B137" s="154">
        <f t="shared" si="40"/>
        <v>5.3796901896832712E-3</v>
      </c>
      <c r="C137" s="154">
        <f t="shared" si="40"/>
        <v>5.1294472582866244E-3</v>
      </c>
      <c r="D137" s="154">
        <f t="shared" si="40"/>
        <v>4.7640824782129547E-3</v>
      </c>
      <c r="E137" s="154">
        <f t="shared" si="40"/>
        <v>4.579877320533941E-3</v>
      </c>
      <c r="F137" s="154">
        <f t="shared" si="40"/>
        <v>4.7259012598134106E-3</v>
      </c>
      <c r="G137" s="154">
        <f t="shared" si="40"/>
        <v>4.7008665237596448E-3</v>
      </c>
      <c r="H137" s="154">
        <f t="shared" si="40"/>
        <v>5.0824970510821854E-3</v>
      </c>
      <c r="I137" s="154">
        <f t="shared" si="40"/>
        <v>5.190561986946186E-3</v>
      </c>
      <c r="J137" s="154">
        <f t="shared" si="40"/>
        <v>5.5114025494029635E-3</v>
      </c>
      <c r="K137" s="154">
        <f t="shared" si="40"/>
        <v>5.8739471528172311E-3</v>
      </c>
      <c r="L137" s="154">
        <f t="shared" si="41"/>
        <v>5.8084595141187556E-3</v>
      </c>
      <c r="M137" s="154">
        <f t="shared" si="40"/>
        <v>6.2654260053897617E-3</v>
      </c>
      <c r="N137" s="154">
        <f t="shared" si="40"/>
        <v>6.5396519715191677E-3</v>
      </c>
      <c r="O137" s="154">
        <f t="shared" si="40"/>
        <v>6.367134178613172E-3</v>
      </c>
      <c r="P137" s="154">
        <f t="shared" si="40"/>
        <v>6.7240580080378401E-3</v>
      </c>
      <c r="Q137" s="154">
        <f t="shared" si="40"/>
        <v>6.8003239231867393E-3</v>
      </c>
      <c r="R137" s="154">
        <f t="shared" si="40"/>
        <v>6.708069621235541E-3</v>
      </c>
      <c r="S137" s="154">
        <f t="shared" si="40"/>
        <v>6.5030921849013332E-3</v>
      </c>
      <c r="T137" s="154">
        <f t="shared" si="40"/>
        <v>6.1309521952549661E-3</v>
      </c>
      <c r="U137" s="154">
        <f t="shared" si="40"/>
        <v>6.4997869871028548E-3</v>
      </c>
      <c r="V137" s="154">
        <f t="shared" si="40"/>
        <v>6.6527594415967109E-3</v>
      </c>
      <c r="W137" s="154">
        <f t="shared" si="42"/>
        <v>6.4119852481190308E-3</v>
      </c>
      <c r="X137" s="154">
        <f t="shared" si="42"/>
        <v>6.8741181829358568E-3</v>
      </c>
      <c r="Y137" s="154">
        <f t="shared" si="42"/>
        <v>7.5139894899526266E-3</v>
      </c>
      <c r="DA137" s="212"/>
    </row>
    <row r="138" spans="1:105" ht="11.45" customHeight="1" x14ac:dyDescent="0.25">
      <c r="A138" s="155" t="s">
        <v>20</v>
      </c>
      <c r="B138" s="156">
        <f t="shared" si="40"/>
        <v>0.6277118886406533</v>
      </c>
      <c r="C138" s="156">
        <f t="shared" si="40"/>
        <v>0.61173931658652492</v>
      </c>
      <c r="D138" s="156">
        <f t="shared" si="40"/>
        <v>0.61451877204749028</v>
      </c>
      <c r="E138" s="156">
        <f t="shared" si="40"/>
        <v>0.6133241702980986</v>
      </c>
      <c r="F138" s="156">
        <f t="shared" si="40"/>
        <v>0.61701597354718019</v>
      </c>
      <c r="G138" s="156">
        <f t="shared" si="40"/>
        <v>0.61533517076956012</v>
      </c>
      <c r="H138" s="156">
        <f t="shared" si="40"/>
        <v>0.62761044560770884</v>
      </c>
      <c r="I138" s="156">
        <f t="shared" si="40"/>
        <v>0.63015343226190768</v>
      </c>
      <c r="J138" s="156">
        <f t="shared" si="40"/>
        <v>0.62792070022087509</v>
      </c>
      <c r="K138" s="156">
        <f t="shared" si="40"/>
        <v>0.63775870458636741</v>
      </c>
      <c r="L138" s="156">
        <f t="shared" si="41"/>
        <v>0.62176188053584835</v>
      </c>
      <c r="M138" s="156">
        <f t="shared" si="40"/>
        <v>0.63016242867926409</v>
      </c>
      <c r="N138" s="156">
        <f t="shared" si="40"/>
        <v>0.62333941739818077</v>
      </c>
      <c r="O138" s="156">
        <f t="shared" si="40"/>
        <v>0.59894117089961463</v>
      </c>
      <c r="P138" s="156">
        <f t="shared" si="40"/>
        <v>0.60845382086372313</v>
      </c>
      <c r="Q138" s="156">
        <f t="shared" si="40"/>
        <v>0.60711774042682132</v>
      </c>
      <c r="R138" s="156">
        <f t="shared" si="40"/>
        <v>0.60280858701410578</v>
      </c>
      <c r="S138" s="156">
        <f t="shared" si="40"/>
        <v>0.59593713273115168</v>
      </c>
      <c r="T138" s="156">
        <f t="shared" si="40"/>
        <v>0.5940251121723108</v>
      </c>
      <c r="U138" s="156">
        <f t="shared" si="40"/>
        <v>0.5853733954434176</v>
      </c>
      <c r="V138" s="156">
        <f t="shared" si="40"/>
        <v>0.54705309474409725</v>
      </c>
      <c r="W138" s="156">
        <f t="shared" si="42"/>
        <v>0.54484533711851568</v>
      </c>
      <c r="X138" s="156">
        <f t="shared" si="42"/>
        <v>0.57711653786414063</v>
      </c>
      <c r="Y138" s="156">
        <f t="shared" si="42"/>
        <v>0.59550871912369696</v>
      </c>
      <c r="DA138" s="213"/>
    </row>
    <row r="139" spans="1:105" ht="11.45" customHeight="1" x14ac:dyDescent="0.25">
      <c r="A139" s="157" t="s">
        <v>110</v>
      </c>
      <c r="B139" s="103">
        <f t="shared" si="40"/>
        <v>0.31206238027429078</v>
      </c>
      <c r="C139" s="103">
        <f t="shared" si="40"/>
        <v>0.29232629031765683</v>
      </c>
      <c r="D139" s="103">
        <f t="shared" si="40"/>
        <v>0.28737217020461986</v>
      </c>
      <c r="E139" s="103">
        <f t="shared" si="40"/>
        <v>0.27581733674597619</v>
      </c>
      <c r="F139" s="103">
        <f t="shared" si="40"/>
        <v>0.26779530628149029</v>
      </c>
      <c r="G139" s="103">
        <f t="shared" si="40"/>
        <v>0.2533578639610265</v>
      </c>
      <c r="H139" s="103">
        <f t="shared" si="40"/>
        <v>0.2559228543808405</v>
      </c>
      <c r="I139" s="103">
        <f t="shared" si="40"/>
        <v>0.24761980998520688</v>
      </c>
      <c r="J139" s="103">
        <f t="shared" si="40"/>
        <v>0.24371276108968257</v>
      </c>
      <c r="K139" s="103">
        <f t="shared" si="40"/>
        <v>0.23919794339619338</v>
      </c>
      <c r="L139" s="103">
        <f t="shared" si="41"/>
        <v>0.22900024522481863</v>
      </c>
      <c r="M139" s="103">
        <f t="shared" si="40"/>
        <v>0.22080399549304353</v>
      </c>
      <c r="N139" s="103">
        <f t="shared" si="40"/>
        <v>0.21468033549119087</v>
      </c>
      <c r="O139" s="103">
        <f t="shared" si="40"/>
        <v>0.19793436103695186</v>
      </c>
      <c r="P139" s="103">
        <f t="shared" si="40"/>
        <v>0.19720897252775282</v>
      </c>
      <c r="Q139" s="103">
        <f t="shared" si="40"/>
        <v>0.19506680964170814</v>
      </c>
      <c r="R139" s="103">
        <f t="shared" si="40"/>
        <v>0.18596971031557485</v>
      </c>
      <c r="S139" s="103">
        <f t="shared" si="40"/>
        <v>0.18010657040865991</v>
      </c>
      <c r="T139" s="103">
        <f t="shared" si="40"/>
        <v>0.18468247176232719</v>
      </c>
      <c r="U139" s="103">
        <f t="shared" si="40"/>
        <v>0.18276666259008287</v>
      </c>
      <c r="V139" s="103">
        <f t="shared" si="40"/>
        <v>0.17188815863052262</v>
      </c>
      <c r="W139" s="103">
        <f t="shared" si="42"/>
        <v>0.17418242868208417</v>
      </c>
      <c r="X139" s="103">
        <f t="shared" si="42"/>
        <v>0.18894344682773631</v>
      </c>
      <c r="Y139" s="103">
        <f t="shared" si="42"/>
        <v>0.21279466560512675</v>
      </c>
      <c r="DA139" s="191"/>
    </row>
    <row r="140" spans="1:105" ht="11.45" customHeight="1" x14ac:dyDescent="0.25">
      <c r="A140" s="157" t="s">
        <v>111</v>
      </c>
      <c r="B140" s="103">
        <f t="shared" si="40"/>
        <v>0.31320324570927333</v>
      </c>
      <c r="C140" s="103">
        <f t="shared" si="40"/>
        <v>0.31700654389302718</v>
      </c>
      <c r="D140" s="103">
        <f t="shared" si="40"/>
        <v>0.32433771740167083</v>
      </c>
      <c r="E140" s="103">
        <f t="shared" si="40"/>
        <v>0.33440058406258732</v>
      </c>
      <c r="F140" s="103">
        <f t="shared" si="40"/>
        <v>0.34669403305299801</v>
      </c>
      <c r="G140" s="103">
        <f t="shared" si="40"/>
        <v>0.35969978114399687</v>
      </c>
      <c r="H140" s="103">
        <f t="shared" si="40"/>
        <v>0.36927989743955991</v>
      </c>
      <c r="I140" s="103">
        <f t="shared" si="40"/>
        <v>0.38026548482884531</v>
      </c>
      <c r="J140" s="103">
        <f t="shared" si="40"/>
        <v>0.381558326211832</v>
      </c>
      <c r="K140" s="103">
        <f t="shared" si="40"/>
        <v>0.3960048231083188</v>
      </c>
      <c r="L140" s="103">
        <f t="shared" si="41"/>
        <v>0.39052433590965985</v>
      </c>
      <c r="M140" s="103">
        <f t="shared" si="40"/>
        <v>0.40701570331397346</v>
      </c>
      <c r="N140" s="103">
        <f t="shared" si="40"/>
        <v>0.40612365578755921</v>
      </c>
      <c r="O140" s="103">
        <f t="shared" si="40"/>
        <v>0.39873824618488207</v>
      </c>
      <c r="P140" s="103">
        <f t="shared" si="40"/>
        <v>0.40917677515355461</v>
      </c>
      <c r="Q140" s="103">
        <f t="shared" si="40"/>
        <v>0.4103658700756363</v>
      </c>
      <c r="R140" s="103">
        <f t="shared" si="40"/>
        <v>0.41528315257952814</v>
      </c>
      <c r="S140" s="103">
        <f t="shared" si="40"/>
        <v>0.41423619489468627</v>
      </c>
      <c r="T140" s="103">
        <f t="shared" si="40"/>
        <v>0.4080798495934651</v>
      </c>
      <c r="U140" s="103">
        <f t="shared" si="40"/>
        <v>0.40139070735181831</v>
      </c>
      <c r="V140" s="103">
        <f t="shared" si="40"/>
        <v>0.37399345325413402</v>
      </c>
      <c r="W140" s="103">
        <f t="shared" si="42"/>
        <v>0.36928288917840107</v>
      </c>
      <c r="X140" s="103">
        <f t="shared" si="42"/>
        <v>0.38633951135778999</v>
      </c>
      <c r="Y140" s="103">
        <f t="shared" si="42"/>
        <v>0.38053036629911002</v>
      </c>
      <c r="DA140" s="191"/>
    </row>
    <row r="141" spans="1:105" ht="11.45" customHeight="1" x14ac:dyDescent="0.25">
      <c r="A141" s="157" t="s">
        <v>112</v>
      </c>
      <c r="B141" s="103">
        <f t="shared" si="40"/>
        <v>2.4462626570891191E-3</v>
      </c>
      <c r="C141" s="103">
        <f t="shared" si="40"/>
        <v>2.406482375840879E-3</v>
      </c>
      <c r="D141" s="103">
        <f t="shared" si="40"/>
        <v>2.8088844411995714E-3</v>
      </c>
      <c r="E141" s="103">
        <f t="shared" si="40"/>
        <v>3.1062494895350195E-3</v>
      </c>
      <c r="F141" s="103">
        <f t="shared" si="40"/>
        <v>2.5266342126918809E-3</v>
      </c>
      <c r="G141" s="103">
        <f t="shared" si="40"/>
        <v>2.2775256645367497E-3</v>
      </c>
      <c r="H141" s="103">
        <f t="shared" si="40"/>
        <v>2.4013495552740786E-3</v>
      </c>
      <c r="I141" s="103">
        <f t="shared" si="40"/>
        <v>2.2437108031451206E-3</v>
      </c>
      <c r="J141" s="103">
        <f t="shared" si="40"/>
        <v>2.5323922100198349E-3</v>
      </c>
      <c r="K141" s="103">
        <f t="shared" si="40"/>
        <v>2.4129823395777623E-3</v>
      </c>
      <c r="L141" s="103">
        <f t="shared" si="41"/>
        <v>2.066231533127788E-3</v>
      </c>
      <c r="M141" s="103">
        <f t="shared" si="40"/>
        <v>2.013843694990438E-3</v>
      </c>
      <c r="N141" s="103">
        <f t="shared" si="40"/>
        <v>2.1536257967963214E-3</v>
      </c>
      <c r="O141" s="103">
        <f t="shared" si="40"/>
        <v>1.8683475376991875E-3</v>
      </c>
      <c r="P141" s="103">
        <f t="shared" si="40"/>
        <v>1.6132665613063926E-3</v>
      </c>
      <c r="Q141" s="103">
        <f t="shared" si="40"/>
        <v>1.1642140378347327E-3</v>
      </c>
      <c r="R141" s="103">
        <f t="shared" si="40"/>
        <v>1.0276856732258778E-3</v>
      </c>
      <c r="S141" s="103">
        <f t="shared" si="40"/>
        <v>9.9868560586336753E-4</v>
      </c>
      <c r="T141" s="103">
        <f t="shared" si="40"/>
        <v>6.0971056659378465E-4</v>
      </c>
      <c r="U141" s="103">
        <f t="shared" si="40"/>
        <v>5.0628976429971807E-4</v>
      </c>
      <c r="V141" s="103">
        <f t="shared" si="40"/>
        <v>2.9077453980733343E-4</v>
      </c>
      <c r="W141" s="103">
        <f t="shared" si="42"/>
        <v>2.0851701358975944E-4</v>
      </c>
      <c r="X141" s="103">
        <f t="shared" si="42"/>
        <v>2.6433821315016573E-4</v>
      </c>
      <c r="Y141" s="103">
        <f t="shared" si="42"/>
        <v>1.4992470969935301E-4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6.3442320344279161E-6</v>
      </c>
      <c r="I142" s="103">
        <f t="shared" si="40"/>
        <v>2.4426644710387008E-5</v>
      </c>
      <c r="J142" s="103">
        <f t="shared" si="40"/>
        <v>1.1722070934068744E-4</v>
      </c>
      <c r="K142" s="103">
        <f t="shared" si="40"/>
        <v>1.4295574227748159E-4</v>
      </c>
      <c r="L142" s="103">
        <f t="shared" si="41"/>
        <v>1.710678682421715E-4</v>
      </c>
      <c r="M142" s="103">
        <f t="shared" si="40"/>
        <v>3.2879520260615044E-4</v>
      </c>
      <c r="N142" s="103">
        <f t="shared" si="40"/>
        <v>3.729685383679508E-4</v>
      </c>
      <c r="O142" s="103">
        <f t="shared" si="40"/>
        <v>3.9129355088516227E-4</v>
      </c>
      <c r="P142" s="103">
        <f t="shared" si="40"/>
        <v>4.3507049022174034E-4</v>
      </c>
      <c r="Q142" s="103">
        <f t="shared" si="40"/>
        <v>4.7259006669509796E-4</v>
      </c>
      <c r="R142" s="103">
        <f t="shared" si="40"/>
        <v>4.4292290874487134E-4</v>
      </c>
      <c r="S142" s="103">
        <f t="shared" si="40"/>
        <v>4.4276115774387901E-4</v>
      </c>
      <c r="T142" s="103">
        <f t="shared" si="40"/>
        <v>4.3415155625762392E-4</v>
      </c>
      <c r="U142" s="103">
        <f t="shared" si="40"/>
        <v>4.2046642542364009E-4</v>
      </c>
      <c r="V142" s="103">
        <f t="shared" si="40"/>
        <v>4.1620952320405052E-4</v>
      </c>
      <c r="W142" s="103">
        <f t="shared" si="42"/>
        <v>3.8805610514214988E-4</v>
      </c>
      <c r="X142" s="103">
        <f t="shared" si="42"/>
        <v>4.0560931863703746E-4</v>
      </c>
      <c r="Y142" s="103">
        <f t="shared" si="42"/>
        <v>3.8112971586963973E-4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9.0974650540979462E-8</v>
      </c>
      <c r="N143" s="103">
        <f t="shared" si="40"/>
        <v>8.8317842663760464E-6</v>
      </c>
      <c r="O143" s="103">
        <f t="shared" si="40"/>
        <v>8.9225891963782461E-6</v>
      </c>
      <c r="P143" s="103">
        <f t="shared" si="40"/>
        <v>1.9736130887547236E-5</v>
      </c>
      <c r="Q143" s="103">
        <f t="shared" si="40"/>
        <v>4.8256604947091742E-5</v>
      </c>
      <c r="R143" s="103">
        <f t="shared" si="40"/>
        <v>8.5115537032038943E-5</v>
      </c>
      <c r="S143" s="103">
        <f t="shared" si="40"/>
        <v>1.5292066419822484E-4</v>
      </c>
      <c r="T143" s="103">
        <f t="shared" si="40"/>
        <v>2.1892869366692272E-4</v>
      </c>
      <c r="U143" s="103">
        <f t="shared" si="40"/>
        <v>2.8926931179301056E-4</v>
      </c>
      <c r="V143" s="103">
        <f t="shared" si="40"/>
        <v>4.6449879642916181E-4</v>
      </c>
      <c r="W143" s="103">
        <f t="shared" si="42"/>
        <v>7.83446139298534E-4</v>
      </c>
      <c r="X143" s="103">
        <f t="shared" si="42"/>
        <v>1.1636321468271272E-3</v>
      </c>
      <c r="Y143" s="103">
        <f t="shared" si="42"/>
        <v>1.6526327938912104E-3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4.4472484993243987E-2</v>
      </c>
      <c r="C145" s="156">
        <f t="shared" si="40"/>
        <v>4.1481215894085578E-2</v>
      </c>
      <c r="D145" s="156">
        <f t="shared" si="40"/>
        <v>3.8661929317228984E-2</v>
      </c>
      <c r="E145" s="156">
        <f t="shared" si="40"/>
        <v>3.7209041588109129E-2</v>
      </c>
      <c r="F145" s="156">
        <f t="shared" si="40"/>
        <v>3.631110046379251E-2</v>
      </c>
      <c r="G145" s="156">
        <f t="shared" si="40"/>
        <v>3.4702681126584423E-2</v>
      </c>
      <c r="H145" s="156">
        <f t="shared" si="40"/>
        <v>3.4627147781189437E-2</v>
      </c>
      <c r="I145" s="156">
        <f t="shared" si="40"/>
        <v>3.5997362746978595E-2</v>
      </c>
      <c r="J145" s="156">
        <f t="shared" si="40"/>
        <v>3.622499857615652E-2</v>
      </c>
      <c r="K145" s="156">
        <f t="shared" si="40"/>
        <v>3.3997801222984139E-2</v>
      </c>
      <c r="L145" s="156">
        <f t="shared" si="41"/>
        <v>3.5639108455249591E-2</v>
      </c>
      <c r="M145" s="156">
        <f t="shared" si="40"/>
        <v>3.6837832931978169E-2</v>
      </c>
      <c r="N145" s="156">
        <f t="shared" si="40"/>
        <v>3.6941364443600959E-2</v>
      </c>
      <c r="O145" s="156">
        <f t="shared" si="40"/>
        <v>3.4653719053646427E-2</v>
      </c>
      <c r="P145" s="156">
        <f t="shared" si="40"/>
        <v>3.5633057788617542E-2</v>
      </c>
      <c r="Q145" s="156">
        <f t="shared" si="40"/>
        <v>3.5363617708440695E-2</v>
      </c>
      <c r="R145" s="156">
        <f t="shared" si="40"/>
        <v>3.6325649889852235E-2</v>
      </c>
      <c r="S145" s="156">
        <f t="shared" si="40"/>
        <v>3.7148024849681577E-2</v>
      </c>
      <c r="T145" s="156">
        <f t="shared" si="40"/>
        <v>3.5168772017752939E-2</v>
      </c>
      <c r="U145" s="156">
        <f t="shared" si="40"/>
        <v>3.4688730758560861E-2</v>
      </c>
      <c r="V145" s="156">
        <f t="shared" si="40"/>
        <v>3.9459137650351882E-2</v>
      </c>
      <c r="W145" s="156">
        <f t="shared" si="42"/>
        <v>3.7753589417611463E-2</v>
      </c>
      <c r="X145" s="156">
        <f t="shared" si="42"/>
        <v>3.8728448043480981E-2</v>
      </c>
      <c r="Y145" s="156">
        <f t="shared" si="42"/>
        <v>3.8994019885548202E-2</v>
      </c>
      <c r="DA145" s="213"/>
    </row>
    <row r="146" spans="1:105" ht="11.45" customHeight="1" x14ac:dyDescent="0.25">
      <c r="A146" s="157" t="s">
        <v>110</v>
      </c>
      <c r="B146" s="103">
        <f t="shared" si="40"/>
        <v>2.086435539106572E-5</v>
      </c>
      <c r="C146" s="103">
        <f t="shared" si="40"/>
        <v>2.1096929587919633E-5</v>
      </c>
      <c r="D146" s="103">
        <f t="shared" si="40"/>
        <v>1.6857947610472649E-5</v>
      </c>
      <c r="E146" s="103">
        <f t="shared" si="40"/>
        <v>1.4786730770082791E-5</v>
      </c>
      <c r="F146" s="103">
        <f t="shared" si="40"/>
        <v>1.2804291381487611E-5</v>
      </c>
      <c r="G146" s="103">
        <f t="shared" si="40"/>
        <v>9.7446058339988587E-6</v>
      </c>
      <c r="H146" s="103">
        <f t="shared" si="40"/>
        <v>8.6445412783744597E-6</v>
      </c>
      <c r="I146" s="103">
        <f t="shared" si="40"/>
        <v>8.7322731676292913E-6</v>
      </c>
      <c r="J146" s="103">
        <f t="shared" si="40"/>
        <v>7.1308320798000247E-6</v>
      </c>
      <c r="K146" s="103">
        <f t="shared" si="40"/>
        <v>5.0883459696237079E-6</v>
      </c>
      <c r="L146" s="103">
        <f t="shared" si="41"/>
        <v>5.2786474592123021E-6</v>
      </c>
      <c r="M146" s="103">
        <f t="shared" si="40"/>
        <v>4.0238872394694906E-6</v>
      </c>
      <c r="N146" s="103">
        <f t="shared" si="40"/>
        <v>4.0560051686404745E-6</v>
      </c>
      <c r="O146" s="103">
        <f t="shared" si="40"/>
        <v>2.4061399123400817E-6</v>
      </c>
      <c r="P146" s="103">
        <f t="shared" si="40"/>
        <v>2.9176460884545887E-6</v>
      </c>
      <c r="Q146" s="103">
        <f t="shared" si="40"/>
        <v>2.3168073685086327E-6</v>
      </c>
      <c r="R146" s="103">
        <f t="shared" si="40"/>
        <v>2.9622740081466406E-6</v>
      </c>
      <c r="S146" s="103">
        <f t="shared" si="40"/>
        <v>2.9375115935831549E-6</v>
      </c>
      <c r="T146" s="103">
        <f t="shared" si="40"/>
        <v>2.8816690475811696E-6</v>
      </c>
      <c r="U146" s="103">
        <f t="shared" si="40"/>
        <v>2.811018075322279E-6</v>
      </c>
      <c r="V146" s="103">
        <f t="shared" si="40"/>
        <v>2.3453423396326194E-6</v>
      </c>
      <c r="W146" s="103">
        <f t="shared" si="42"/>
        <v>3.0047409154756231E-6</v>
      </c>
      <c r="X146" s="103">
        <f t="shared" si="42"/>
        <v>3.0426945011149754E-6</v>
      </c>
      <c r="Y146" s="103">
        <f t="shared" si="42"/>
        <v>2.188509459949191E-6</v>
      </c>
      <c r="DA146" s="191"/>
    </row>
    <row r="147" spans="1:105" ht="11.45" customHeight="1" x14ac:dyDescent="0.25">
      <c r="A147" s="157" t="s">
        <v>111</v>
      </c>
      <c r="B147" s="103">
        <f t="shared" si="40"/>
        <v>4.4451620637852921E-2</v>
      </c>
      <c r="C147" s="103">
        <f t="shared" si="40"/>
        <v>4.1439873097652305E-2</v>
      </c>
      <c r="D147" s="103">
        <f t="shared" si="40"/>
        <v>3.8583692929692416E-2</v>
      </c>
      <c r="E147" s="103">
        <f t="shared" si="40"/>
        <v>3.7109315759179411E-2</v>
      </c>
      <c r="F147" s="103">
        <f t="shared" si="40"/>
        <v>3.6151129930067569E-2</v>
      </c>
      <c r="G147" s="103">
        <f t="shared" si="40"/>
        <v>3.4495270735470582E-2</v>
      </c>
      <c r="H147" s="103">
        <f t="shared" si="40"/>
        <v>3.4387769506216449E-2</v>
      </c>
      <c r="I147" s="103">
        <f t="shared" si="40"/>
        <v>3.5569869421600737E-2</v>
      </c>
      <c r="J147" s="103">
        <f t="shared" si="40"/>
        <v>3.5681419565179624E-2</v>
      </c>
      <c r="K147" s="103">
        <f t="shared" si="40"/>
        <v>3.2852197193672023E-2</v>
      </c>
      <c r="L147" s="103">
        <f t="shared" si="41"/>
        <v>3.415186138179032E-2</v>
      </c>
      <c r="M147" s="103">
        <f t="shared" si="40"/>
        <v>3.5299788722399375E-2</v>
      </c>
      <c r="N147" s="103">
        <f t="shared" si="40"/>
        <v>3.5312507105540958E-2</v>
      </c>
      <c r="O147" s="103">
        <f t="shared" si="40"/>
        <v>3.2982628129101257E-2</v>
      </c>
      <c r="P147" s="103">
        <f t="shared" si="40"/>
        <v>3.3846904630343941E-2</v>
      </c>
      <c r="Q147" s="103">
        <f t="shared" si="40"/>
        <v>3.3691817774867933E-2</v>
      </c>
      <c r="R147" s="103">
        <f t="shared" ref="R147:V147" si="43">IF(R29=0,0,R29/R$17)</f>
        <v>3.4844927265558927E-2</v>
      </c>
      <c r="S147" s="103">
        <f t="shared" si="43"/>
        <v>3.5771768341469959E-2</v>
      </c>
      <c r="T147" s="103">
        <f t="shared" si="43"/>
        <v>3.3862546884254281E-2</v>
      </c>
      <c r="U147" s="103">
        <f t="shared" si="43"/>
        <v>3.3435952302214765E-2</v>
      </c>
      <c r="V147" s="103">
        <f t="shared" si="43"/>
        <v>3.7821955748619303E-2</v>
      </c>
      <c r="W147" s="103">
        <f t="shared" ref="W147:Y147" si="44">IF(W29=0,0,W29/W$17)</f>
        <v>3.6255957090261533E-2</v>
      </c>
      <c r="X147" s="103">
        <f t="shared" si="44"/>
        <v>3.7220884651290073E-2</v>
      </c>
      <c r="Y147" s="103">
        <f t="shared" si="44"/>
        <v>3.7578147511856806E-2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2.0245866845349431E-5</v>
      </c>
      <c r="D148" s="103">
        <f t="shared" si="45"/>
        <v>6.1378439926096454E-5</v>
      </c>
      <c r="E148" s="103">
        <f t="shared" si="45"/>
        <v>8.4939098159636934E-5</v>
      </c>
      <c r="F148" s="103">
        <f t="shared" si="45"/>
        <v>1.1209203927440955E-4</v>
      </c>
      <c r="G148" s="103">
        <f t="shared" si="45"/>
        <v>1.6111192673546839E-4</v>
      </c>
      <c r="H148" s="103">
        <f t="shared" si="45"/>
        <v>2.102596160334765E-4</v>
      </c>
      <c r="I148" s="103">
        <f t="shared" si="45"/>
        <v>2.7904968329981144E-4</v>
      </c>
      <c r="J148" s="103">
        <f t="shared" si="45"/>
        <v>3.3731904775631657E-4</v>
      </c>
      <c r="K148" s="103">
        <f t="shared" si="45"/>
        <v>4.1516361296874208E-4</v>
      </c>
      <c r="L148" s="103">
        <f t="shared" ref="L148:L150" si="46">IF(L30=0,0,L30/L$17)</f>
        <v>4.9315486217949413E-4</v>
      </c>
      <c r="M148" s="103">
        <f t="shared" ref="M148:V148" si="47">IF(M30=0,0,M30/M$17)</f>
        <v>5.6224237166187577E-4</v>
      </c>
      <c r="N148" s="103">
        <f t="shared" si="47"/>
        <v>5.7336747517380089E-4</v>
      </c>
      <c r="O148" s="103">
        <f t="shared" si="47"/>
        <v>5.2343812056458792E-4</v>
      </c>
      <c r="P148" s="103">
        <f t="shared" si="47"/>
        <v>5.175852744486076E-4</v>
      </c>
      <c r="Q148" s="103">
        <f t="shared" si="47"/>
        <v>4.1469032138033733E-4</v>
      </c>
      <c r="R148" s="103">
        <f t="shared" si="47"/>
        <v>3.3036867101745535E-4</v>
      </c>
      <c r="S148" s="103">
        <f t="shared" si="47"/>
        <v>2.6394535026595737E-4</v>
      </c>
      <c r="T148" s="103">
        <f t="shared" si="47"/>
        <v>2.5650482272393331E-4</v>
      </c>
      <c r="U148" s="103">
        <f t="shared" si="47"/>
        <v>2.0964265223208123E-5</v>
      </c>
      <c r="V148" s="103">
        <f t="shared" si="47"/>
        <v>2.3829832471874067E-5</v>
      </c>
      <c r="W148" s="103">
        <f t="shared" ref="W148:Y148" si="48">IF(W30=0,0,W30/W$17)</f>
        <v>2.1018380698698187E-5</v>
      </c>
      <c r="X148" s="103">
        <f t="shared" si="48"/>
        <v>2.0843572093316256E-5</v>
      </c>
      <c r="Y148" s="103">
        <f t="shared" si="48"/>
        <v>9.6541268445210718E-6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3.5074203069041227E-5</v>
      </c>
      <c r="G149" s="103">
        <f t="shared" si="49"/>
        <v>3.6553858544379816E-5</v>
      </c>
      <c r="H149" s="103">
        <f t="shared" si="49"/>
        <v>2.047411766113087E-5</v>
      </c>
      <c r="I149" s="103">
        <f t="shared" si="49"/>
        <v>1.3971136891041924E-4</v>
      </c>
      <c r="J149" s="103">
        <f t="shared" si="49"/>
        <v>1.9912913114077924E-4</v>
      </c>
      <c r="K149" s="103">
        <f t="shared" si="49"/>
        <v>7.2535207037375388E-4</v>
      </c>
      <c r="L149" s="103">
        <f t="shared" si="46"/>
        <v>9.8881356382056582E-4</v>
      </c>
      <c r="M149" s="103">
        <f t="shared" ref="M149:V149" si="50">IF(M31=0,0,M31/M$17)</f>
        <v>9.7177795067745023E-4</v>
      </c>
      <c r="N149" s="103">
        <f t="shared" si="50"/>
        <v>1.0514338577175602E-3</v>
      </c>
      <c r="O149" s="103">
        <f t="shared" si="50"/>
        <v>1.1452466640682381E-3</v>
      </c>
      <c r="P149" s="103">
        <f t="shared" si="50"/>
        <v>1.2656502377365406E-3</v>
      </c>
      <c r="Q149" s="103">
        <f t="shared" si="50"/>
        <v>1.2547928048239117E-3</v>
      </c>
      <c r="R149" s="103">
        <f t="shared" si="50"/>
        <v>1.1473916792677048E-3</v>
      </c>
      <c r="S149" s="103">
        <f t="shared" si="50"/>
        <v>1.1093736463520783E-3</v>
      </c>
      <c r="T149" s="103">
        <f t="shared" si="50"/>
        <v>1.0468386417271443E-3</v>
      </c>
      <c r="U149" s="103">
        <f t="shared" si="50"/>
        <v>1.2290031730475613E-3</v>
      </c>
      <c r="V149" s="103">
        <f t="shared" si="50"/>
        <v>1.6110067269210699E-3</v>
      </c>
      <c r="W149" s="103">
        <f t="shared" ref="W149:Y149" si="51">IF(W31=0,0,W31/W$17)</f>
        <v>1.4736092057357534E-3</v>
      </c>
      <c r="X149" s="103">
        <f t="shared" si="51"/>
        <v>1.4836771255964775E-3</v>
      </c>
      <c r="Y149" s="103">
        <f t="shared" si="51"/>
        <v>1.4040297373869271E-3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0.32243593617641952</v>
      </c>
      <c r="C151" s="46">
        <f t="shared" si="55"/>
        <v>0.34165002026110286</v>
      </c>
      <c r="D151" s="46">
        <f t="shared" si="55"/>
        <v>0.34205521615706769</v>
      </c>
      <c r="E151" s="46">
        <f t="shared" si="55"/>
        <v>0.34488691079325828</v>
      </c>
      <c r="F151" s="46">
        <f t="shared" si="55"/>
        <v>0.34194702472921379</v>
      </c>
      <c r="G151" s="46">
        <f t="shared" si="55"/>
        <v>0.34526128158009578</v>
      </c>
      <c r="H151" s="46">
        <f t="shared" si="55"/>
        <v>0.33267990956001969</v>
      </c>
      <c r="I151" s="46">
        <f t="shared" si="55"/>
        <v>0.32865864300416747</v>
      </c>
      <c r="J151" s="46">
        <f t="shared" si="55"/>
        <v>0.33034289865356542</v>
      </c>
      <c r="K151" s="46">
        <f t="shared" si="55"/>
        <v>0.32236954703783133</v>
      </c>
      <c r="L151" s="46">
        <f t="shared" ref="L151" si="56">IF(L33=0,0,L33/L$17)</f>
        <v>0.33679055149478321</v>
      </c>
      <c r="M151" s="46">
        <f t="shared" ref="M151:V151" si="57">IF(M33=0,0,M33/M$17)</f>
        <v>0.32673431238336809</v>
      </c>
      <c r="N151" s="46">
        <f t="shared" si="57"/>
        <v>0.33317956618669903</v>
      </c>
      <c r="O151" s="46">
        <f t="shared" si="57"/>
        <v>0.36003797586812564</v>
      </c>
      <c r="P151" s="46">
        <f t="shared" si="57"/>
        <v>0.34918906333962152</v>
      </c>
      <c r="Q151" s="46">
        <f t="shared" si="57"/>
        <v>0.35071831794155117</v>
      </c>
      <c r="R151" s="46">
        <f t="shared" si="57"/>
        <v>0.35415769347480647</v>
      </c>
      <c r="S151" s="46">
        <f t="shared" si="57"/>
        <v>0.36041175023426542</v>
      </c>
      <c r="T151" s="46">
        <f t="shared" si="57"/>
        <v>0.36467516361468133</v>
      </c>
      <c r="U151" s="46">
        <f t="shared" si="57"/>
        <v>0.37343808681091867</v>
      </c>
      <c r="V151" s="46">
        <f t="shared" si="57"/>
        <v>0.40683500816395413</v>
      </c>
      <c r="W151" s="46">
        <f t="shared" ref="W151:Y151" si="58">IF(W33=0,0,W33/W$17)</f>
        <v>0.4109890882157537</v>
      </c>
      <c r="X151" s="46">
        <f t="shared" si="58"/>
        <v>0.37728089590944253</v>
      </c>
      <c r="Y151" s="46">
        <f t="shared" si="58"/>
        <v>0.35798327150080228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7.4138158636683604E-2</v>
      </c>
      <c r="C152" s="154">
        <f t="shared" si="59"/>
        <v>7.0441165933862862E-2</v>
      </c>
      <c r="D152" s="154">
        <f t="shared" si="59"/>
        <v>6.5442018213951972E-2</v>
      </c>
      <c r="E152" s="154">
        <f t="shared" si="59"/>
        <v>6.1467521737560114E-2</v>
      </c>
      <c r="F152" s="154">
        <f t="shared" si="59"/>
        <v>6.0473026177966904E-2</v>
      </c>
      <c r="G152" s="154">
        <f t="shared" si="59"/>
        <v>5.9290367819185529E-2</v>
      </c>
      <c r="H152" s="154">
        <f t="shared" si="59"/>
        <v>6.1485898594821585E-2</v>
      </c>
      <c r="I152" s="154">
        <f t="shared" si="59"/>
        <v>6.1649656120862609E-2</v>
      </c>
      <c r="J152" s="154">
        <f t="shared" si="59"/>
        <v>6.2962828521645614E-2</v>
      </c>
      <c r="K152" s="154">
        <f t="shared" si="59"/>
        <v>6.3912440439352874E-2</v>
      </c>
      <c r="L152" s="154">
        <f t="shared" ref="L152" si="60">IF(L34=0,0,L34/L$17)</f>
        <v>6.2194115505225259E-2</v>
      </c>
      <c r="M152" s="154">
        <f t="shared" ref="M152:V152" si="61">IF(M34=0,0,M34/M$17)</f>
        <v>6.5844550108510216E-2</v>
      </c>
      <c r="N152" s="154">
        <f t="shared" si="61"/>
        <v>6.5602160426897871E-2</v>
      </c>
      <c r="O152" s="154">
        <f t="shared" si="61"/>
        <v>6.3454391229118015E-2</v>
      </c>
      <c r="P152" s="154">
        <f t="shared" si="61"/>
        <v>6.6317397860839719E-2</v>
      </c>
      <c r="Q152" s="154">
        <f t="shared" si="61"/>
        <v>6.630825143483654E-2</v>
      </c>
      <c r="R152" s="154">
        <f t="shared" si="61"/>
        <v>6.6525831512927361E-2</v>
      </c>
      <c r="S152" s="154">
        <f t="shared" si="61"/>
        <v>6.6443229189534866E-2</v>
      </c>
      <c r="T152" s="154">
        <f t="shared" si="61"/>
        <v>6.6468794810307055E-2</v>
      </c>
      <c r="U152" s="154">
        <f t="shared" si="61"/>
        <v>6.8203854630075791E-2</v>
      </c>
      <c r="V152" s="154">
        <f t="shared" si="61"/>
        <v>7.9124095003160796E-2</v>
      </c>
      <c r="W152" s="154">
        <f t="shared" ref="W152:Y152" si="62">IF(W34=0,0,W34/W$17)</f>
        <v>8.1828764581031277E-2</v>
      </c>
      <c r="X152" s="154">
        <f t="shared" si="62"/>
        <v>8.7197202850293656E-2</v>
      </c>
      <c r="Y152" s="154">
        <f t="shared" si="62"/>
        <v>8.9875301670579513E-2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1.0627066476082549E-2</v>
      </c>
      <c r="C153" s="103">
        <f t="shared" si="63"/>
        <v>9.0409019554303048E-3</v>
      </c>
      <c r="D153" s="103">
        <f t="shared" si="63"/>
        <v>5.6148926257075828E-3</v>
      </c>
      <c r="E153" s="103">
        <f t="shared" si="63"/>
        <v>4.565119112548666E-3</v>
      </c>
      <c r="F153" s="103">
        <f t="shared" si="63"/>
        <v>3.9407149460001225E-3</v>
      </c>
      <c r="G153" s="103">
        <f t="shared" si="63"/>
        <v>3.4977055690164388E-3</v>
      </c>
      <c r="H153" s="103">
        <f t="shared" si="63"/>
        <v>3.4795145298658291E-3</v>
      </c>
      <c r="I153" s="103">
        <f t="shared" si="63"/>
        <v>3.2878063604696744E-3</v>
      </c>
      <c r="J153" s="103">
        <f t="shared" si="63"/>
        <v>3.1354150216782195E-3</v>
      </c>
      <c r="K153" s="103">
        <f t="shared" si="63"/>
        <v>3.120524937355811E-3</v>
      </c>
      <c r="L153" s="103">
        <f t="shared" ref="L153" si="64">IF(L35=0,0,L35/L$17)</f>
        <v>2.9192145495050364E-3</v>
      </c>
      <c r="M153" s="103">
        <f t="shared" ref="M153:V153" si="65">IF(M35=0,0,M35/M$17)</f>
        <v>3.1212196301532795E-3</v>
      </c>
      <c r="N153" s="103">
        <f t="shared" si="65"/>
        <v>3.1131988652929325E-3</v>
      </c>
      <c r="O153" s="103">
        <f t="shared" si="65"/>
        <v>2.8451520588018897E-3</v>
      </c>
      <c r="P153" s="103">
        <f t="shared" si="65"/>
        <v>2.9589198848357272E-3</v>
      </c>
      <c r="Q153" s="103">
        <f t="shared" si="65"/>
        <v>2.9791946580312529E-3</v>
      </c>
      <c r="R153" s="103">
        <f t="shared" si="65"/>
        <v>2.8245320861503258E-3</v>
      </c>
      <c r="S153" s="103">
        <f t="shared" si="65"/>
        <v>2.7742970403924145E-3</v>
      </c>
      <c r="T153" s="103">
        <f t="shared" si="65"/>
        <v>2.7963845377083573E-3</v>
      </c>
      <c r="U153" s="103">
        <f t="shared" si="65"/>
        <v>2.7560892151220727E-3</v>
      </c>
      <c r="V153" s="103">
        <f t="shared" si="65"/>
        <v>3.0435323268110173E-3</v>
      </c>
      <c r="W153" s="103">
        <f t="shared" ref="W153:Y153" si="66">IF(W35=0,0,W35/W$17)</f>
        <v>2.9707109887143679E-3</v>
      </c>
      <c r="X153" s="103">
        <f t="shared" si="66"/>
        <v>3.2564934748873634E-3</v>
      </c>
      <c r="Y153" s="103">
        <f t="shared" si="66"/>
        <v>3.354001586562007E-3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6.3511092160601051E-2</v>
      </c>
      <c r="C154" s="103">
        <f t="shared" si="67"/>
        <v>6.1400263978432554E-2</v>
      </c>
      <c r="D154" s="103">
        <f t="shared" si="67"/>
        <v>5.9827125588244379E-2</v>
      </c>
      <c r="E154" s="103">
        <f t="shared" si="67"/>
        <v>5.6899442567050748E-2</v>
      </c>
      <c r="F154" s="103">
        <f t="shared" si="67"/>
        <v>5.6524558772092212E-2</v>
      </c>
      <c r="G154" s="103">
        <f t="shared" si="67"/>
        <v>5.575952941496453E-2</v>
      </c>
      <c r="H154" s="103">
        <f t="shared" si="67"/>
        <v>5.7961853461466602E-2</v>
      </c>
      <c r="I154" s="103">
        <f t="shared" si="67"/>
        <v>5.8307100140425006E-2</v>
      </c>
      <c r="J154" s="103">
        <f t="shared" si="67"/>
        <v>5.9758474128078401E-2</v>
      </c>
      <c r="K154" s="103">
        <f t="shared" si="67"/>
        <v>6.0740428484561584E-2</v>
      </c>
      <c r="L154" s="103">
        <f t="shared" ref="L154" si="68">IF(L36=0,0,L36/L$17)</f>
        <v>5.9228529233735026E-2</v>
      </c>
      <c r="M154" s="103">
        <f t="shared" ref="M154:V154" si="69">IF(M36=0,0,M36/M$17)</f>
        <v>6.2675319506440327E-2</v>
      </c>
      <c r="N154" s="103">
        <f t="shared" si="69"/>
        <v>6.2433364252579907E-2</v>
      </c>
      <c r="O154" s="103">
        <f t="shared" si="69"/>
        <v>6.0459317901078488E-2</v>
      </c>
      <c r="P154" s="103">
        <f t="shared" si="69"/>
        <v>6.3199287441420282E-2</v>
      </c>
      <c r="Q154" s="103">
        <f t="shared" si="69"/>
        <v>6.317157322082731E-2</v>
      </c>
      <c r="R154" s="103">
        <f t="shared" si="69"/>
        <v>6.3454662659881589E-2</v>
      </c>
      <c r="S154" s="103">
        <f t="shared" si="69"/>
        <v>6.3439057785456443E-2</v>
      </c>
      <c r="T154" s="103">
        <f t="shared" si="69"/>
        <v>6.3444751137093872E-2</v>
      </c>
      <c r="U154" s="103">
        <f t="shared" si="69"/>
        <v>6.5223748662581488E-2</v>
      </c>
      <c r="V154" s="103">
        <f t="shared" si="69"/>
        <v>7.583702225807748E-2</v>
      </c>
      <c r="W154" s="103">
        <f t="shared" ref="W154:Y154" si="70">IF(W36=0,0,W36/W$17)</f>
        <v>7.8626333810920365E-2</v>
      </c>
      <c r="X154" s="103">
        <f t="shared" si="70"/>
        <v>8.3706537100987091E-2</v>
      </c>
      <c r="Y154" s="103">
        <f t="shared" si="70"/>
        <v>8.6293824244327452E-2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2.9600579606992865E-6</v>
      </c>
      <c r="F155" s="103">
        <f t="shared" si="71"/>
        <v>7.7524598745742153E-6</v>
      </c>
      <c r="G155" s="103">
        <f t="shared" si="71"/>
        <v>3.3132835204568545E-5</v>
      </c>
      <c r="H155" s="103">
        <f t="shared" si="71"/>
        <v>3.378252550470845E-5</v>
      </c>
      <c r="I155" s="103">
        <f t="shared" si="71"/>
        <v>3.3276391433644312E-5</v>
      </c>
      <c r="J155" s="103">
        <f t="shared" si="71"/>
        <v>3.2816616996771104E-5</v>
      </c>
      <c r="K155" s="103">
        <f t="shared" si="71"/>
        <v>3.2076339567483923E-5</v>
      </c>
      <c r="L155" s="103">
        <f t="shared" ref="L155" si="72">IF(L37=0,0,L37/L$17)</f>
        <v>2.8771554440380376E-5</v>
      </c>
      <c r="M155" s="103">
        <f t="shared" ref="M155:V155" si="73">IF(M37=0,0,M37/M$17)</f>
        <v>2.789144756999994E-5</v>
      </c>
      <c r="N155" s="103">
        <f t="shared" si="73"/>
        <v>2.9101461235522968E-5</v>
      </c>
      <c r="O155" s="103">
        <f t="shared" si="73"/>
        <v>2.9129378974636851E-5</v>
      </c>
      <c r="P155" s="103">
        <f t="shared" si="73"/>
        <v>3.3211363290218334E-5</v>
      </c>
      <c r="Q155" s="103">
        <f t="shared" si="73"/>
        <v>3.3940494652616099E-5</v>
      </c>
      <c r="R155" s="103">
        <f t="shared" si="73"/>
        <v>5.4533501735282208E-5</v>
      </c>
      <c r="S155" s="103">
        <f t="shared" si="73"/>
        <v>5.466358312378966E-5</v>
      </c>
      <c r="T155" s="103">
        <f t="shared" si="73"/>
        <v>5.4000511156197906E-5</v>
      </c>
      <c r="U155" s="103">
        <f t="shared" si="73"/>
        <v>5.8357093918185095E-5</v>
      </c>
      <c r="V155" s="103">
        <f t="shared" si="73"/>
        <v>7.3957069140314822E-5</v>
      </c>
      <c r="W155" s="103">
        <f t="shared" ref="W155:Y155" si="74">IF(W37=0,0,W37/W$17)</f>
        <v>7.7488019826252877E-5</v>
      </c>
      <c r="X155" s="103">
        <f t="shared" si="74"/>
        <v>8.6280496893688543E-5</v>
      </c>
      <c r="Y155" s="103">
        <f t="shared" si="74"/>
        <v>9.1605277826142247E-5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1.0748077984443679E-5</v>
      </c>
      <c r="I156" s="103">
        <f t="shared" si="75"/>
        <v>2.1473228534296497E-5</v>
      </c>
      <c r="J156" s="103">
        <f t="shared" si="75"/>
        <v>3.6122754892215819E-5</v>
      </c>
      <c r="K156" s="103">
        <f t="shared" si="75"/>
        <v>1.941067786799121E-5</v>
      </c>
      <c r="L156" s="103">
        <f t="shared" ref="L156" si="76">IF(L38=0,0,L38/L$17)</f>
        <v>1.7600167544817803E-5</v>
      </c>
      <c r="M156" s="103">
        <f t="shared" ref="M156:V156" si="77">IF(M38=0,0,M38/M$17)</f>
        <v>2.011952434660814E-5</v>
      </c>
      <c r="N156" s="103">
        <f t="shared" si="77"/>
        <v>2.6495847789501063E-5</v>
      </c>
      <c r="O156" s="103">
        <f t="shared" si="77"/>
        <v>1.2079189026300417E-4</v>
      </c>
      <c r="P156" s="103">
        <f t="shared" si="77"/>
        <v>1.2597917129348704E-4</v>
      </c>
      <c r="Q156" s="103">
        <f t="shared" si="77"/>
        <v>1.2354306132536725E-4</v>
      </c>
      <c r="R156" s="103">
        <f t="shared" si="77"/>
        <v>1.9210326516015653E-4</v>
      </c>
      <c r="S156" s="103">
        <f t="shared" si="77"/>
        <v>1.7521078056221959E-4</v>
      </c>
      <c r="T156" s="103">
        <f t="shared" si="77"/>
        <v>1.7365862434863693E-4</v>
      </c>
      <c r="U156" s="103">
        <f t="shared" si="77"/>
        <v>1.6565965845404679E-4</v>
      </c>
      <c r="V156" s="103">
        <f t="shared" si="77"/>
        <v>1.6958334913199377E-4</v>
      </c>
      <c r="W156" s="103">
        <f t="shared" ref="W156:Y156" si="78">IF(W38=0,0,W38/W$17)</f>
        <v>1.5423176157029615E-4</v>
      </c>
      <c r="X156" s="103">
        <f t="shared" si="78"/>
        <v>1.478917775255133E-4</v>
      </c>
      <c r="Y156" s="103">
        <f t="shared" si="78"/>
        <v>1.358705618639115E-4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0.24829777753973589</v>
      </c>
      <c r="C158" s="156">
        <f t="shared" si="83"/>
        <v>0.27120885432724001</v>
      </c>
      <c r="D158" s="156">
        <f t="shared" si="83"/>
        <v>0.27661319794311567</v>
      </c>
      <c r="E158" s="156">
        <f t="shared" si="83"/>
        <v>0.28341938905569813</v>
      </c>
      <c r="F158" s="156">
        <f t="shared" si="83"/>
        <v>0.28147399855124688</v>
      </c>
      <c r="G158" s="156">
        <f t="shared" si="83"/>
        <v>0.28597091376091027</v>
      </c>
      <c r="H158" s="156">
        <f t="shared" si="83"/>
        <v>0.27119401096519807</v>
      </c>
      <c r="I158" s="156">
        <f t="shared" si="83"/>
        <v>0.26700898688330482</v>
      </c>
      <c r="J158" s="156">
        <f t="shared" si="83"/>
        <v>0.26738007013191983</v>
      </c>
      <c r="K158" s="156">
        <f t="shared" si="83"/>
        <v>0.25845710659847843</v>
      </c>
      <c r="L158" s="156">
        <f t="shared" ref="L158" si="84">IF(L40=0,0,L40/L$17)</f>
        <v>0.27459643598955796</v>
      </c>
      <c r="M158" s="156">
        <f t="shared" ref="M158:V158" si="85">IF(M40=0,0,M40/M$17)</f>
        <v>0.26088976227485783</v>
      </c>
      <c r="N158" s="156">
        <f t="shared" si="85"/>
        <v>0.26757740575980116</v>
      </c>
      <c r="O158" s="156">
        <f t="shared" si="85"/>
        <v>0.29658358463900764</v>
      </c>
      <c r="P158" s="156">
        <f t="shared" si="85"/>
        <v>0.28287166547878179</v>
      </c>
      <c r="Q158" s="156">
        <f t="shared" si="85"/>
        <v>0.28441006650671458</v>
      </c>
      <c r="R158" s="156">
        <f t="shared" si="85"/>
        <v>0.28763186196187907</v>
      </c>
      <c r="S158" s="156">
        <f t="shared" si="85"/>
        <v>0.29396852104473054</v>
      </c>
      <c r="T158" s="156">
        <f t="shared" si="85"/>
        <v>0.29820636880437429</v>
      </c>
      <c r="U158" s="156">
        <f t="shared" si="85"/>
        <v>0.30523423218084295</v>
      </c>
      <c r="V158" s="156">
        <f t="shared" si="85"/>
        <v>0.32771091316079337</v>
      </c>
      <c r="W158" s="156">
        <f t="shared" ref="W158:Y158" si="86">IF(W40=0,0,W40/W$17)</f>
        <v>0.32916032363472247</v>
      </c>
      <c r="X158" s="156">
        <f t="shared" si="86"/>
        <v>0.29008369305914888</v>
      </c>
      <c r="Y158" s="156">
        <f t="shared" si="86"/>
        <v>0.26810796983022278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0.10266308812694989</v>
      </c>
      <c r="C159" s="103">
        <f t="shared" si="87"/>
        <v>9.9116471581680618E-2</v>
      </c>
      <c r="D159" s="103">
        <f t="shared" si="87"/>
        <v>9.1673628998310247E-2</v>
      </c>
      <c r="E159" s="103">
        <f t="shared" si="87"/>
        <v>8.9771844417432092E-2</v>
      </c>
      <c r="F159" s="103">
        <f t="shared" si="87"/>
        <v>8.2948821480488558E-2</v>
      </c>
      <c r="G159" s="103">
        <f t="shared" si="87"/>
        <v>8.0006402582698241E-2</v>
      </c>
      <c r="H159" s="103">
        <f t="shared" si="87"/>
        <v>8.9400621881570677E-2</v>
      </c>
      <c r="I159" s="103">
        <f t="shared" si="87"/>
        <v>8.730431486345068E-2</v>
      </c>
      <c r="J159" s="103">
        <f t="shared" si="87"/>
        <v>8.739516847549382E-2</v>
      </c>
      <c r="K159" s="103">
        <f t="shared" si="87"/>
        <v>8.5283595423083919E-2</v>
      </c>
      <c r="L159" s="103">
        <f t="shared" ref="L159" si="88">IF(L41=0,0,L41/L$17)</f>
        <v>8.3511623530189594E-2</v>
      </c>
      <c r="M159" s="103">
        <f t="shared" ref="M159:V159" si="89">IF(M41=0,0,M41/M$17)</f>
        <v>8.6627446778552955E-2</v>
      </c>
      <c r="N159" s="103">
        <f t="shared" si="89"/>
        <v>8.6063466339611108E-2</v>
      </c>
      <c r="O159" s="103">
        <f t="shared" si="89"/>
        <v>8.4118887113374813E-2</v>
      </c>
      <c r="P159" s="103">
        <f t="shared" si="89"/>
        <v>8.5282298532132109E-2</v>
      </c>
      <c r="Q159" s="103">
        <f t="shared" si="89"/>
        <v>8.7441231350913362E-2</v>
      </c>
      <c r="R159" s="103">
        <f t="shared" si="89"/>
        <v>8.9634914834715362E-2</v>
      </c>
      <c r="S159" s="103">
        <f t="shared" si="89"/>
        <v>8.9847452555736368E-2</v>
      </c>
      <c r="T159" s="103">
        <f t="shared" si="89"/>
        <v>8.9544756453573932E-2</v>
      </c>
      <c r="U159" s="103">
        <f t="shared" si="89"/>
        <v>9.0027932367167773E-2</v>
      </c>
      <c r="V159" s="103">
        <f t="shared" si="89"/>
        <v>9.7365172128255656E-2</v>
      </c>
      <c r="W159" s="103">
        <f t="shared" ref="W159:Y159" si="90">IF(W41=0,0,W41/W$17)</f>
        <v>9.8213621838289494E-2</v>
      </c>
      <c r="X159" s="103">
        <f t="shared" si="90"/>
        <v>9.5657215733014084E-2</v>
      </c>
      <c r="Y159" s="103">
        <f t="shared" si="90"/>
        <v>9.3581623786486712E-2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0.14563468941278598</v>
      </c>
      <c r="C160" s="105">
        <f t="shared" si="91"/>
        <v>0.17209238274555941</v>
      </c>
      <c r="D160" s="105">
        <f t="shared" si="91"/>
        <v>0.18493956894480545</v>
      </c>
      <c r="E160" s="105">
        <f t="shared" si="91"/>
        <v>0.19364754463826606</v>
      </c>
      <c r="F160" s="105">
        <f t="shared" si="91"/>
        <v>0.19852517707075831</v>
      </c>
      <c r="G160" s="105">
        <f t="shared" si="91"/>
        <v>0.20596451117821205</v>
      </c>
      <c r="H160" s="105">
        <f t="shared" si="91"/>
        <v>0.18179338908362741</v>
      </c>
      <c r="I160" s="105">
        <f t="shared" si="91"/>
        <v>0.17970467201985416</v>
      </c>
      <c r="J160" s="105">
        <f t="shared" si="91"/>
        <v>0.17998490165642603</v>
      </c>
      <c r="K160" s="105">
        <f t="shared" si="91"/>
        <v>0.17317351117539453</v>
      </c>
      <c r="L160" s="105">
        <f t="shared" ref="L160" si="92">IF(L42=0,0,L42/L$17)</f>
        <v>0.19108481245936837</v>
      </c>
      <c r="M160" s="105">
        <f t="shared" ref="M160:V160" si="93">IF(M42=0,0,M42/M$17)</f>
        <v>0.17426231549630491</v>
      </c>
      <c r="N160" s="105">
        <f t="shared" si="93"/>
        <v>0.18151393942019003</v>
      </c>
      <c r="O160" s="105">
        <f t="shared" si="93"/>
        <v>0.21246469752563285</v>
      </c>
      <c r="P160" s="105">
        <f t="shared" si="93"/>
        <v>0.19758936694664972</v>
      </c>
      <c r="Q160" s="105">
        <f t="shared" si="93"/>
        <v>0.19696883515580127</v>
      </c>
      <c r="R160" s="105">
        <f t="shared" si="93"/>
        <v>0.19799694712716373</v>
      </c>
      <c r="S160" s="105">
        <f t="shared" si="93"/>
        <v>0.20412106848899417</v>
      </c>
      <c r="T160" s="105">
        <f t="shared" si="93"/>
        <v>0.20866161235080033</v>
      </c>
      <c r="U160" s="105">
        <f t="shared" si="93"/>
        <v>0.21520629981367514</v>
      </c>
      <c r="V160" s="105">
        <f t="shared" si="93"/>
        <v>0.23034574103253772</v>
      </c>
      <c r="W160" s="105">
        <f t="shared" ref="W160:Y160" si="94">IF(W42=0,0,W42/W$17)</f>
        <v>0.23094670179643295</v>
      </c>
      <c r="X160" s="105">
        <f t="shared" si="94"/>
        <v>0.1944264773261348</v>
      </c>
      <c r="Y160" s="105">
        <f t="shared" si="94"/>
        <v>0.17452634604373601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5029840</v>
      </c>
      <c r="C3" s="54">
        <f>TrRoad_act!C57</f>
        <v>5118158</v>
      </c>
      <c r="D3" s="54">
        <f>TrRoad_act!D57</f>
        <v>4925975</v>
      </c>
      <c r="E3" s="54">
        <f>TrRoad_act!E57</f>
        <v>5009617</v>
      </c>
      <c r="F3" s="54">
        <f>TrRoad_act!F57</f>
        <v>5079844</v>
      </c>
      <c r="G3" s="54">
        <f>TrRoad_act!G57</f>
        <v>5150252</v>
      </c>
      <c r="H3" s="54">
        <f>TrRoad_act!H57</f>
        <v>5222916</v>
      </c>
      <c r="I3" s="54">
        <f>TrRoad_act!I57</f>
        <v>5297854</v>
      </c>
      <c r="J3" s="54">
        <f>TrRoad_act!J57</f>
        <v>5373748</v>
      </c>
      <c r="K3" s="54">
        <f>TrRoad_act!K57</f>
        <v>5476320</v>
      </c>
      <c r="L3" s="54">
        <f>TrRoad_act!L57</f>
        <v>5583456</v>
      </c>
      <c r="M3" s="54">
        <f>TrRoad_act!M57</f>
        <v>5683033</v>
      </c>
      <c r="N3" s="54">
        <f>TrRoad_act!N57</f>
        <v>5783081</v>
      </c>
      <c r="O3" s="54">
        <f>TrRoad_act!O57</f>
        <v>5864559</v>
      </c>
      <c r="P3" s="54">
        <f>TrRoad_act!P57</f>
        <v>5940159</v>
      </c>
      <c r="Q3" s="54">
        <f>TrRoad_act!Q57</f>
        <v>6015599</v>
      </c>
      <c r="R3" s="54">
        <f>TrRoad_act!R57</f>
        <v>6119834</v>
      </c>
      <c r="S3" s="54">
        <f>TrRoad_act!S57</f>
        <v>6232333</v>
      </c>
      <c r="T3" s="54">
        <f>TrRoad_act!T57</f>
        <v>6348082</v>
      </c>
      <c r="U3" s="54">
        <f>TrRoad_act!U57</f>
        <v>6435145</v>
      </c>
      <c r="V3" s="54">
        <f>TrRoad_act!V57</f>
        <v>6523533</v>
      </c>
      <c r="W3" s="54">
        <f>TrRoad_act!W57</f>
        <v>6622331</v>
      </c>
      <c r="X3" s="54">
        <f>TrRoad_act!X57</f>
        <v>6683972</v>
      </c>
      <c r="Y3" s="54">
        <f>TrRoad_act!Y57</f>
        <v>6744613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4691319</v>
      </c>
      <c r="C4" s="28">
        <f>TrRoad_act!C58</f>
        <v>4774940</v>
      </c>
      <c r="D4" s="28">
        <f>TrRoad_act!D58</f>
        <v>4593011</v>
      </c>
      <c r="E4" s="28">
        <f>TrRoad_act!E58</f>
        <v>4670104</v>
      </c>
      <c r="F4" s="28">
        <f>TrRoad_act!F58</f>
        <v>4730579</v>
      </c>
      <c r="G4" s="28">
        <f>TrRoad_act!G58</f>
        <v>4794026</v>
      </c>
      <c r="H4" s="28">
        <f>TrRoad_act!H58</f>
        <v>4859620</v>
      </c>
      <c r="I4" s="28">
        <f>TrRoad_act!I58</f>
        <v>4922901</v>
      </c>
      <c r="J4" s="28">
        <f>TrRoad_act!J58</f>
        <v>4985625</v>
      </c>
      <c r="K4" s="28">
        <f>TrRoad_act!K58</f>
        <v>5081879</v>
      </c>
      <c r="L4" s="28">
        <f>TrRoad_act!L58</f>
        <v>5178769</v>
      </c>
      <c r="M4" s="28">
        <f>TrRoad_act!M58</f>
        <v>5266315</v>
      </c>
      <c r="N4" s="28">
        <f>TrRoad_act!N58</f>
        <v>5356231</v>
      </c>
      <c r="O4" s="28">
        <f>TrRoad_act!O58</f>
        <v>5427631</v>
      </c>
      <c r="P4" s="28">
        <f>TrRoad_act!P58</f>
        <v>5493175</v>
      </c>
      <c r="Q4" s="28">
        <f>TrRoad_act!Q58</f>
        <v>5558076</v>
      </c>
      <c r="R4" s="28">
        <f>TrRoad_act!R58</f>
        <v>5648286</v>
      </c>
      <c r="S4" s="28">
        <f>TrRoad_act!S58</f>
        <v>5741175</v>
      </c>
      <c r="T4" s="28">
        <f>TrRoad_act!T58</f>
        <v>5836244</v>
      </c>
      <c r="U4" s="28">
        <f>TrRoad_act!U58</f>
        <v>5910454</v>
      </c>
      <c r="V4" s="28">
        <f>TrRoad_act!V58</f>
        <v>5986384</v>
      </c>
      <c r="W4" s="28">
        <f>TrRoad_act!W58</f>
        <v>6053514</v>
      </c>
      <c r="X4" s="28">
        <f>TrRoad_act!X58</f>
        <v>6091088</v>
      </c>
      <c r="Y4" s="28">
        <f>TrRoad_act!Y58</f>
        <v>6143154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565901</v>
      </c>
      <c r="C5" s="137">
        <f>TrRoad_act!C59</f>
        <v>583038</v>
      </c>
      <c r="D5" s="137">
        <f>TrRoad_act!D59</f>
        <v>596824</v>
      </c>
      <c r="E5" s="137">
        <f>TrRoad_act!E59</f>
        <v>606868</v>
      </c>
      <c r="F5" s="137">
        <f>TrRoad_act!F59</f>
        <v>612160</v>
      </c>
      <c r="G5" s="137">
        <f>TrRoad_act!G59</f>
        <v>627711</v>
      </c>
      <c r="H5" s="137">
        <f>TrRoad_act!H59</f>
        <v>645313</v>
      </c>
      <c r="I5" s="137">
        <f>TrRoad_act!I59</f>
        <v>667577</v>
      </c>
      <c r="J5" s="137">
        <f>TrRoad_act!J59</f>
        <v>691243</v>
      </c>
      <c r="K5" s="137">
        <f>TrRoad_act!K59</f>
        <v>712092</v>
      </c>
      <c r="L5" s="137">
        <f>TrRoad_act!L59</f>
        <v>727852</v>
      </c>
      <c r="M5" s="137">
        <f>TrRoad_act!M59</f>
        <v>743429</v>
      </c>
      <c r="N5" s="137">
        <f>TrRoad_act!N59</f>
        <v>762392</v>
      </c>
      <c r="O5" s="137">
        <f>TrRoad_act!O59</f>
        <v>776337</v>
      </c>
      <c r="P5" s="137">
        <f>TrRoad_act!P59</f>
        <v>788184</v>
      </c>
      <c r="Q5" s="137">
        <f>TrRoad_act!Q59</f>
        <v>799906</v>
      </c>
      <c r="R5" s="137">
        <f>TrRoad_act!R59</f>
        <v>816477</v>
      </c>
      <c r="S5" s="137">
        <f>TrRoad_act!S59</f>
        <v>832200</v>
      </c>
      <c r="T5" s="137">
        <f>TrRoad_act!T59</f>
        <v>847355</v>
      </c>
      <c r="U5" s="137">
        <f>TrRoad_act!U59</f>
        <v>860758</v>
      </c>
      <c r="V5" s="137">
        <f>TrRoad_act!V59</f>
        <v>884493</v>
      </c>
      <c r="W5" s="137">
        <f>TrRoad_act!W59</f>
        <v>909542</v>
      </c>
      <c r="X5" s="137">
        <f>TrRoad_act!X59</f>
        <v>929825</v>
      </c>
      <c r="Y5" s="137">
        <f>TrRoad_act!Y59</f>
        <v>947516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4115500</v>
      </c>
      <c r="C6" s="110">
        <f>TrRoad_act!C60</f>
        <v>4182000</v>
      </c>
      <c r="D6" s="110">
        <f>TrRoad_act!D60</f>
        <v>3987000</v>
      </c>
      <c r="E6" s="110">
        <f>TrRoad_act!E60</f>
        <v>4054000</v>
      </c>
      <c r="F6" s="110">
        <f>TrRoad_act!F60</f>
        <v>4109000</v>
      </c>
      <c r="G6" s="110">
        <f>TrRoad_act!G60</f>
        <v>4157000</v>
      </c>
      <c r="H6" s="110">
        <f>TrRoad_act!H60</f>
        <v>4205000</v>
      </c>
      <c r="I6" s="110">
        <f>TrRoad_act!I60</f>
        <v>4246000</v>
      </c>
      <c r="J6" s="110">
        <f>TrRoad_act!J60</f>
        <v>4285000</v>
      </c>
      <c r="K6" s="110">
        <f>TrRoad_act!K60</f>
        <v>4360000</v>
      </c>
      <c r="L6" s="110">
        <f>TrRoad_act!L60</f>
        <v>4441000</v>
      </c>
      <c r="M6" s="110">
        <f>TrRoad_act!M60</f>
        <v>4513000</v>
      </c>
      <c r="N6" s="110">
        <f>TrRoad_act!N60</f>
        <v>4584000</v>
      </c>
      <c r="O6" s="110">
        <f>TrRoad_act!O60</f>
        <v>4641308</v>
      </c>
      <c r="P6" s="110">
        <f>TrRoad_act!P60</f>
        <v>4694921</v>
      </c>
      <c r="Q6" s="110">
        <f>TrRoad_act!Q60</f>
        <v>4748048</v>
      </c>
      <c r="R6" s="110">
        <f>TrRoad_act!R60</f>
        <v>4821557</v>
      </c>
      <c r="S6" s="110">
        <f>TrRoad_act!S60</f>
        <v>4898578</v>
      </c>
      <c r="T6" s="110">
        <f>TrRoad_act!T60</f>
        <v>4978852</v>
      </c>
      <c r="U6" s="110">
        <f>TrRoad_act!U60</f>
        <v>5039548</v>
      </c>
      <c r="V6" s="110">
        <f>TrRoad_act!V60</f>
        <v>5091827</v>
      </c>
      <c r="W6" s="110">
        <f>TrRoad_act!W60</f>
        <v>5133836</v>
      </c>
      <c r="X6" s="110">
        <f>TrRoad_act!X60</f>
        <v>5150890</v>
      </c>
      <c r="Y6" s="110">
        <f>TrRoad_act!Y60</f>
        <v>5185006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2598000</v>
      </c>
      <c r="C7" s="84">
        <f>TrRoad_act!C61</f>
        <v>2532933</v>
      </c>
      <c r="D7" s="84">
        <f>TrRoad_act!D61</f>
        <v>2229586</v>
      </c>
      <c r="E7" s="84">
        <f>TrRoad_act!E61</f>
        <v>2152286</v>
      </c>
      <c r="F7" s="84">
        <f>TrRoad_act!F61</f>
        <v>2073993</v>
      </c>
      <c r="G7" s="84">
        <f>TrRoad_act!G61</f>
        <v>2016724</v>
      </c>
      <c r="H7" s="84">
        <f>TrRoad_act!H61</f>
        <v>1971457</v>
      </c>
      <c r="I7" s="84">
        <f>TrRoad_act!I61</f>
        <v>1950719</v>
      </c>
      <c r="J7" s="84">
        <f>TrRoad_act!J61</f>
        <v>1948861</v>
      </c>
      <c r="K7" s="84">
        <f>TrRoad_act!K61</f>
        <v>1965476</v>
      </c>
      <c r="L7" s="84">
        <f>TrRoad_act!L61</f>
        <v>1984314</v>
      </c>
      <c r="M7" s="84">
        <f>TrRoad_act!M61</f>
        <v>1995411</v>
      </c>
      <c r="N7" s="84">
        <f>TrRoad_act!N61</f>
        <v>2001262</v>
      </c>
      <c r="O7" s="84">
        <f>TrRoad_act!O61</f>
        <v>2006553</v>
      </c>
      <c r="P7" s="84">
        <f>TrRoad_act!P61</f>
        <v>2016745</v>
      </c>
      <c r="Q7" s="84">
        <f>TrRoad_act!Q61</f>
        <v>2028565</v>
      </c>
      <c r="R7" s="84">
        <f>TrRoad_act!R61</f>
        <v>2051338</v>
      </c>
      <c r="S7" s="84">
        <f>TrRoad_act!S61</f>
        <v>2099856</v>
      </c>
      <c r="T7" s="84">
        <f>TrRoad_act!T61</f>
        <v>2166343</v>
      </c>
      <c r="U7" s="84">
        <f>TrRoad_act!U61</f>
        <v>2216232</v>
      </c>
      <c r="V7" s="84">
        <f>TrRoad_act!V61</f>
        <v>2249710</v>
      </c>
      <c r="W7" s="84">
        <f>TrRoad_act!W61</f>
        <v>2277926</v>
      </c>
      <c r="X7" s="84">
        <f>TrRoad_act!X61</f>
        <v>2302304</v>
      </c>
      <c r="Y7" s="84">
        <f>TrRoad_act!Y61</f>
        <v>2328959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1499000</v>
      </c>
      <c r="C8" s="84">
        <f>TrRoad_act!C62</f>
        <v>1629238</v>
      </c>
      <c r="D8" s="84">
        <f>TrRoad_act!D62</f>
        <v>1731804</v>
      </c>
      <c r="E8" s="84">
        <f>TrRoad_act!E62</f>
        <v>1870475</v>
      </c>
      <c r="F8" s="84">
        <f>TrRoad_act!F62</f>
        <v>2009398</v>
      </c>
      <c r="G8" s="84">
        <f>TrRoad_act!G62</f>
        <v>2114801</v>
      </c>
      <c r="H8" s="84">
        <f>TrRoad_act!H62</f>
        <v>2207036</v>
      </c>
      <c r="I8" s="84">
        <f>TrRoad_act!I62</f>
        <v>2270075</v>
      </c>
      <c r="J8" s="84">
        <f>TrRoad_act!J62</f>
        <v>2309318</v>
      </c>
      <c r="K8" s="84">
        <f>TrRoad_act!K62</f>
        <v>2370094</v>
      </c>
      <c r="L8" s="84">
        <f>TrRoad_act!L62</f>
        <v>2433626</v>
      </c>
      <c r="M8" s="84">
        <f>TrRoad_act!M62</f>
        <v>2492794</v>
      </c>
      <c r="N8" s="84">
        <f>TrRoad_act!N62</f>
        <v>2555354</v>
      </c>
      <c r="O8" s="84">
        <f>TrRoad_act!O62</f>
        <v>2607130</v>
      </c>
      <c r="P8" s="84">
        <f>TrRoad_act!P62</f>
        <v>2650382</v>
      </c>
      <c r="Q8" s="84">
        <f>TrRoad_act!Q62</f>
        <v>2693495</v>
      </c>
      <c r="R8" s="84">
        <f>TrRoad_act!R62</f>
        <v>2740919</v>
      </c>
      <c r="S8" s="84">
        <f>TrRoad_act!S62</f>
        <v>2763203</v>
      </c>
      <c r="T8" s="84">
        <f>TrRoad_act!T62</f>
        <v>2772203</v>
      </c>
      <c r="U8" s="84">
        <f>TrRoad_act!U62</f>
        <v>2773838</v>
      </c>
      <c r="V8" s="84">
        <f>TrRoad_act!V62</f>
        <v>2772263</v>
      </c>
      <c r="W8" s="84">
        <f>TrRoad_act!W62</f>
        <v>2740563</v>
      </c>
      <c r="X8" s="84">
        <f>TrRoad_act!X62</f>
        <v>2687560</v>
      </c>
      <c r="Y8" s="84">
        <f>TrRoad_act!Y62</f>
        <v>2635448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18500</v>
      </c>
      <c r="C9" s="84">
        <f>TrRoad_act!C63</f>
        <v>19829</v>
      </c>
      <c r="D9" s="84">
        <f>TrRoad_act!D63</f>
        <v>25610</v>
      </c>
      <c r="E9" s="84">
        <f>TrRoad_act!E63</f>
        <v>31239</v>
      </c>
      <c r="F9" s="84">
        <f>TrRoad_act!F63</f>
        <v>25609</v>
      </c>
      <c r="G9" s="84">
        <f>TrRoad_act!G63</f>
        <v>25475</v>
      </c>
      <c r="H9" s="84">
        <f>TrRoad_act!H63</f>
        <v>26453</v>
      </c>
      <c r="I9" s="84">
        <f>TrRoad_act!I63</f>
        <v>24994</v>
      </c>
      <c r="J9" s="84">
        <f>TrRoad_act!J63</f>
        <v>25819</v>
      </c>
      <c r="K9" s="84">
        <f>TrRoad_act!K63</f>
        <v>22886</v>
      </c>
      <c r="L9" s="84">
        <f>TrRoad_act!L63</f>
        <v>21234</v>
      </c>
      <c r="M9" s="84">
        <f>TrRoad_act!M63</f>
        <v>21134</v>
      </c>
      <c r="N9" s="84">
        <f>TrRoad_act!N63</f>
        <v>22619</v>
      </c>
      <c r="O9" s="84">
        <f>TrRoad_act!O63</f>
        <v>21496</v>
      </c>
      <c r="P9" s="84">
        <f>TrRoad_act!P63</f>
        <v>19370</v>
      </c>
      <c r="Q9" s="84">
        <f>TrRoad_act!Q63</f>
        <v>14669</v>
      </c>
      <c r="R9" s="84">
        <f>TrRoad_act!R63</f>
        <v>12909</v>
      </c>
      <c r="S9" s="84">
        <f>TrRoad_act!S63</f>
        <v>11747</v>
      </c>
      <c r="T9" s="84">
        <f>TrRoad_act!T63</f>
        <v>8223</v>
      </c>
      <c r="U9" s="84">
        <f>TrRoad_act!U63</f>
        <v>6167</v>
      </c>
      <c r="V9" s="84">
        <f>TrRoad_act!V63</f>
        <v>4379</v>
      </c>
      <c r="W9" s="84">
        <f>TrRoad_act!W63</f>
        <v>4332</v>
      </c>
      <c r="X9" s="84">
        <f>TrRoad_act!X63</f>
        <v>3332</v>
      </c>
      <c r="Y9" s="84">
        <f>TrRoad_act!Y63</f>
        <v>1835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54</v>
      </c>
      <c r="I10" s="84">
        <f>TrRoad_act!I64</f>
        <v>212</v>
      </c>
      <c r="J10" s="84">
        <f>TrRoad_act!J64</f>
        <v>1000</v>
      </c>
      <c r="K10" s="84">
        <f>TrRoad_act!K64</f>
        <v>1216</v>
      </c>
      <c r="L10" s="84">
        <f>TrRoad_act!L64</f>
        <v>1473</v>
      </c>
      <c r="M10" s="84">
        <f>TrRoad_act!M64</f>
        <v>2670</v>
      </c>
      <c r="N10" s="84">
        <f>TrRoad_act!N64</f>
        <v>3109</v>
      </c>
      <c r="O10" s="84">
        <f>TrRoad_act!O64</f>
        <v>3651</v>
      </c>
      <c r="P10" s="84">
        <f>TrRoad_act!P64</f>
        <v>4262</v>
      </c>
      <c r="Q10" s="84">
        <f>TrRoad_act!Q64</f>
        <v>4775</v>
      </c>
      <c r="R10" s="84">
        <f>TrRoad_act!R64</f>
        <v>5031</v>
      </c>
      <c r="S10" s="84">
        <f>TrRoad_act!S64</f>
        <v>5206</v>
      </c>
      <c r="T10" s="84">
        <f>TrRoad_act!T64</f>
        <v>5542</v>
      </c>
      <c r="U10" s="84">
        <f>TrRoad_act!U64</f>
        <v>5746</v>
      </c>
      <c r="V10" s="84">
        <f>TrRoad_act!V64</f>
        <v>5731</v>
      </c>
      <c r="W10" s="84">
        <f>TrRoad_act!W64</f>
        <v>5455</v>
      </c>
      <c r="X10" s="84">
        <f>TrRoad_act!X64</f>
        <v>5180</v>
      </c>
      <c r="Y10" s="84">
        <f>TrRoad_act!Y64</f>
        <v>4779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2</v>
      </c>
      <c r="N11" s="84">
        <f>TrRoad_act!N65</f>
        <v>267</v>
      </c>
      <c r="O11" s="84">
        <f>TrRoad_act!O65</f>
        <v>408</v>
      </c>
      <c r="P11" s="84">
        <f>TrRoad_act!P65</f>
        <v>776</v>
      </c>
      <c r="Q11" s="84">
        <f>TrRoad_act!Q65</f>
        <v>1512</v>
      </c>
      <c r="R11" s="84">
        <f>TrRoad_act!R65</f>
        <v>2287</v>
      </c>
      <c r="S11" s="84">
        <f>TrRoad_act!S65</f>
        <v>3948</v>
      </c>
      <c r="T11" s="84">
        <f>TrRoad_act!T65</f>
        <v>5710</v>
      </c>
      <c r="U11" s="84">
        <f>TrRoad_act!U65</f>
        <v>8042</v>
      </c>
      <c r="V11" s="84">
        <f>TrRoad_act!V65</f>
        <v>15237</v>
      </c>
      <c r="W11" s="84">
        <f>TrRoad_act!W65</f>
        <v>29021</v>
      </c>
      <c r="X11" s="84">
        <f>TrRoad_act!X65</f>
        <v>42289</v>
      </c>
      <c r="Y11" s="84">
        <f>TrRoad_act!Y65</f>
        <v>58494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2</v>
      </c>
      <c r="K12" s="84">
        <f>TrRoad_act!K66</f>
        <v>328</v>
      </c>
      <c r="L12" s="84">
        <f>TrRoad_act!L66</f>
        <v>353</v>
      </c>
      <c r="M12" s="84">
        <f>TrRoad_act!M66</f>
        <v>989</v>
      </c>
      <c r="N12" s="84">
        <f>TrRoad_act!N66</f>
        <v>1389</v>
      </c>
      <c r="O12" s="84">
        <f>TrRoad_act!O66</f>
        <v>2070</v>
      </c>
      <c r="P12" s="84">
        <f>TrRoad_act!P66</f>
        <v>3386</v>
      </c>
      <c r="Q12" s="84">
        <f>TrRoad_act!Q66</f>
        <v>5032</v>
      </c>
      <c r="R12" s="84">
        <f>TrRoad_act!R66</f>
        <v>9073</v>
      </c>
      <c r="S12" s="84">
        <f>TrRoad_act!S66</f>
        <v>14618</v>
      </c>
      <c r="T12" s="84">
        <f>TrRoad_act!T66</f>
        <v>20831</v>
      </c>
      <c r="U12" s="84">
        <f>TrRoad_act!U66</f>
        <v>29523</v>
      </c>
      <c r="V12" s="84">
        <f>TrRoad_act!V66</f>
        <v>44507</v>
      </c>
      <c r="W12" s="84">
        <f>TrRoad_act!W66</f>
        <v>76539</v>
      </c>
      <c r="X12" s="84">
        <f>TrRoad_act!X66</f>
        <v>110225</v>
      </c>
      <c r="Y12" s="84">
        <f>TrRoad_act!Y66</f>
        <v>155491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9918</v>
      </c>
      <c r="C13" s="110">
        <f>TrRoad_act!C67</f>
        <v>9902</v>
      </c>
      <c r="D13" s="110">
        <f>TrRoad_act!D67</f>
        <v>9187</v>
      </c>
      <c r="E13" s="110">
        <f>TrRoad_act!E67</f>
        <v>9236</v>
      </c>
      <c r="F13" s="110">
        <f>TrRoad_act!F67</f>
        <v>9419</v>
      </c>
      <c r="G13" s="110">
        <f>TrRoad_act!G67</f>
        <v>9315</v>
      </c>
      <c r="H13" s="110">
        <f>TrRoad_act!H67</f>
        <v>9307</v>
      </c>
      <c r="I13" s="110">
        <f>TrRoad_act!I67</f>
        <v>9324</v>
      </c>
      <c r="J13" s="110">
        <f>TrRoad_act!J67</f>
        <v>9382</v>
      </c>
      <c r="K13" s="110">
        <f>TrRoad_act!K67</f>
        <v>9787</v>
      </c>
      <c r="L13" s="110">
        <f>TrRoad_act!L67</f>
        <v>9917</v>
      </c>
      <c r="M13" s="110">
        <f>TrRoad_act!M67</f>
        <v>9886</v>
      </c>
      <c r="N13" s="110">
        <f>TrRoad_act!N67</f>
        <v>9839</v>
      </c>
      <c r="O13" s="110">
        <f>TrRoad_act!O67</f>
        <v>9986</v>
      </c>
      <c r="P13" s="110">
        <f>TrRoad_act!P67</f>
        <v>10070</v>
      </c>
      <c r="Q13" s="110">
        <f>TrRoad_act!Q67</f>
        <v>10122</v>
      </c>
      <c r="R13" s="110">
        <f>TrRoad_act!R67</f>
        <v>10252</v>
      </c>
      <c r="S13" s="110">
        <f>TrRoad_act!S67</f>
        <v>10397</v>
      </c>
      <c r="T13" s="110">
        <f>TrRoad_act!T67</f>
        <v>10037</v>
      </c>
      <c r="U13" s="110">
        <f>TrRoad_act!U67</f>
        <v>10148</v>
      </c>
      <c r="V13" s="110">
        <f>TrRoad_act!V67</f>
        <v>10064</v>
      </c>
      <c r="W13" s="110">
        <f>TrRoad_act!W67</f>
        <v>10136</v>
      </c>
      <c r="X13" s="110">
        <f>TrRoad_act!X67</f>
        <v>10373</v>
      </c>
      <c r="Y13" s="110">
        <f>TrRoad_act!Y67</f>
        <v>10632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13</v>
      </c>
      <c r="C14" s="102">
        <f>TrRoad_act!C68</f>
        <v>14</v>
      </c>
      <c r="D14" s="102">
        <f>TrRoad_act!D68</f>
        <v>11</v>
      </c>
      <c r="E14" s="102">
        <f>TrRoad_act!E68</f>
        <v>10</v>
      </c>
      <c r="F14" s="102">
        <f>TrRoad_act!F68</f>
        <v>9</v>
      </c>
      <c r="G14" s="102">
        <f>TrRoad_act!G68</f>
        <v>7</v>
      </c>
      <c r="H14" s="102">
        <f>TrRoad_act!H68</f>
        <v>6</v>
      </c>
      <c r="I14" s="102">
        <f>TrRoad_act!I68</f>
        <v>6</v>
      </c>
      <c r="J14" s="102">
        <f>TrRoad_act!J68</f>
        <v>5</v>
      </c>
      <c r="K14" s="102">
        <f>TrRoad_act!K68</f>
        <v>4</v>
      </c>
      <c r="L14" s="102">
        <f>TrRoad_act!L68</f>
        <v>4</v>
      </c>
      <c r="M14" s="102">
        <f>TrRoad_act!M68</f>
        <v>3</v>
      </c>
      <c r="N14" s="102">
        <f>TrRoad_act!N68</f>
        <v>3</v>
      </c>
      <c r="O14" s="102">
        <f>TrRoad_act!O68</f>
        <v>2</v>
      </c>
      <c r="P14" s="102">
        <f>TrRoad_act!P68</f>
        <v>3</v>
      </c>
      <c r="Q14" s="102">
        <f>TrRoad_act!Q68</f>
        <v>3</v>
      </c>
      <c r="R14" s="102">
        <f>TrRoad_act!R68</f>
        <v>4</v>
      </c>
      <c r="S14" s="102">
        <f>TrRoad_act!S68</f>
        <v>4</v>
      </c>
      <c r="T14" s="102">
        <f>TrRoad_act!T68</f>
        <v>4</v>
      </c>
      <c r="U14" s="102">
        <f>TrRoad_act!U68</f>
        <v>4</v>
      </c>
      <c r="V14" s="102">
        <f>TrRoad_act!V68</f>
        <v>3</v>
      </c>
      <c r="W14" s="102">
        <f>TrRoad_act!W68</f>
        <v>4</v>
      </c>
      <c r="X14" s="102">
        <f>TrRoad_act!X68</f>
        <v>4</v>
      </c>
      <c r="Y14" s="102">
        <f>TrRoad_act!Y68</f>
        <v>3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9789</v>
      </c>
      <c r="C15" s="102">
        <f>TrRoad_act!C69</f>
        <v>9758</v>
      </c>
      <c r="D15" s="102">
        <f>TrRoad_act!D69</f>
        <v>9015</v>
      </c>
      <c r="E15" s="102">
        <f>TrRoad_act!E69</f>
        <v>9045</v>
      </c>
      <c r="F15" s="102">
        <f>TrRoad_act!F69</f>
        <v>9197</v>
      </c>
      <c r="G15" s="102">
        <f>TrRoad_act!G69</f>
        <v>9054</v>
      </c>
      <c r="H15" s="102">
        <f>TrRoad_act!H69</f>
        <v>9016</v>
      </c>
      <c r="I15" s="102">
        <f>TrRoad_act!I69</f>
        <v>8960</v>
      </c>
      <c r="J15" s="102">
        <f>TrRoad_act!J69</f>
        <v>8950</v>
      </c>
      <c r="K15" s="102">
        <f>TrRoad_act!K69</f>
        <v>9077</v>
      </c>
      <c r="L15" s="102">
        <f>TrRoad_act!L69</f>
        <v>9028</v>
      </c>
      <c r="M15" s="102">
        <f>TrRoad_act!M69</f>
        <v>8947</v>
      </c>
      <c r="N15" s="102">
        <f>TrRoad_act!N69</f>
        <v>8859</v>
      </c>
      <c r="O15" s="102">
        <f>TrRoad_act!O69</f>
        <v>8883</v>
      </c>
      <c r="P15" s="102">
        <f>TrRoad_act!P69</f>
        <v>8919</v>
      </c>
      <c r="Q15" s="102">
        <f>TrRoad_act!Q69</f>
        <v>9067</v>
      </c>
      <c r="R15" s="102">
        <f>TrRoad_act!R69</f>
        <v>9259</v>
      </c>
      <c r="S15" s="102">
        <f>TrRoad_act!S69</f>
        <v>9457</v>
      </c>
      <c r="T15" s="102">
        <f>TrRoad_act!T69</f>
        <v>9167</v>
      </c>
      <c r="U15" s="102">
        <f>TrRoad_act!U69</f>
        <v>9426</v>
      </c>
      <c r="V15" s="102">
        <f>TrRoad_act!V69</f>
        <v>9325</v>
      </c>
      <c r="W15" s="102">
        <f>TrRoad_act!W69</f>
        <v>9455</v>
      </c>
      <c r="X15" s="102">
        <f>TrRoad_act!X69</f>
        <v>9674</v>
      </c>
      <c r="Y15" s="102">
        <f>TrRoad_act!Y69</f>
        <v>9929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16</v>
      </c>
      <c r="D16" s="102">
        <f>TrRoad_act!D70</f>
        <v>48</v>
      </c>
      <c r="E16" s="102">
        <f>TrRoad_act!E70</f>
        <v>68</v>
      </c>
      <c r="F16" s="102">
        <f>TrRoad_act!F70</f>
        <v>92</v>
      </c>
      <c r="G16" s="102">
        <f>TrRoad_act!G70</f>
        <v>133</v>
      </c>
      <c r="H16" s="102">
        <f>TrRoad_act!H70</f>
        <v>165</v>
      </c>
      <c r="I16" s="102">
        <f>TrRoad_act!I70</f>
        <v>205</v>
      </c>
      <c r="J16" s="102">
        <f>TrRoad_act!J70</f>
        <v>242</v>
      </c>
      <c r="K16" s="102">
        <f>TrRoad_act!K70</f>
        <v>319</v>
      </c>
      <c r="L16" s="102">
        <f>TrRoad_act!L70</f>
        <v>361</v>
      </c>
      <c r="M16" s="102">
        <f>TrRoad_act!M70</f>
        <v>389</v>
      </c>
      <c r="N16" s="102">
        <f>TrRoad_act!N70</f>
        <v>389</v>
      </c>
      <c r="O16" s="102">
        <f>TrRoad_act!O70</f>
        <v>379</v>
      </c>
      <c r="P16" s="102">
        <f>TrRoad_act!P70</f>
        <v>358</v>
      </c>
      <c r="Q16" s="102">
        <f>TrRoad_act!Q70</f>
        <v>286</v>
      </c>
      <c r="R16" s="102">
        <f>TrRoad_act!R70</f>
        <v>235</v>
      </c>
      <c r="S16" s="102">
        <f>TrRoad_act!S70</f>
        <v>191</v>
      </c>
      <c r="T16" s="102">
        <f>TrRoad_act!T70</f>
        <v>191</v>
      </c>
      <c r="U16" s="102">
        <f>TrRoad_act!U70</f>
        <v>16</v>
      </c>
      <c r="V16" s="102">
        <f>TrRoad_act!V70</f>
        <v>16</v>
      </c>
      <c r="W16" s="102">
        <f>TrRoad_act!W70</f>
        <v>15</v>
      </c>
      <c r="X16" s="102">
        <f>TrRoad_act!X70</f>
        <v>15</v>
      </c>
      <c r="Y16" s="102">
        <f>TrRoad_act!Y70</f>
        <v>7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13</v>
      </c>
      <c r="G17" s="102">
        <f>TrRoad_act!G71</f>
        <v>13</v>
      </c>
      <c r="H17" s="102">
        <f>TrRoad_act!H71</f>
        <v>10</v>
      </c>
      <c r="I17" s="102">
        <f>TrRoad_act!I71</f>
        <v>52</v>
      </c>
      <c r="J17" s="102">
        <f>TrRoad_act!J71</f>
        <v>84</v>
      </c>
      <c r="K17" s="102">
        <f>TrRoad_act!K71</f>
        <v>281</v>
      </c>
      <c r="L17" s="102">
        <f>TrRoad_act!L71</f>
        <v>411</v>
      </c>
      <c r="M17" s="102">
        <f>TrRoad_act!M71</f>
        <v>431</v>
      </c>
      <c r="N17" s="102">
        <f>TrRoad_act!N71</f>
        <v>462</v>
      </c>
      <c r="O17" s="102">
        <f>TrRoad_act!O71</f>
        <v>583</v>
      </c>
      <c r="P17" s="102">
        <f>TrRoad_act!P71</f>
        <v>659</v>
      </c>
      <c r="Q17" s="102">
        <f>TrRoad_act!Q71</f>
        <v>628</v>
      </c>
      <c r="R17" s="102">
        <f>TrRoad_act!R71</f>
        <v>605</v>
      </c>
      <c r="S17" s="102">
        <f>TrRoad_act!S71</f>
        <v>602</v>
      </c>
      <c r="T17" s="102">
        <f>TrRoad_act!T71</f>
        <v>521</v>
      </c>
      <c r="U17" s="102">
        <f>TrRoad_act!U71</f>
        <v>541</v>
      </c>
      <c r="V17" s="102">
        <f>TrRoad_act!V71</f>
        <v>548</v>
      </c>
      <c r="W17" s="102">
        <f>TrRoad_act!W71</f>
        <v>488</v>
      </c>
      <c r="X17" s="102">
        <f>TrRoad_act!X71</f>
        <v>478</v>
      </c>
      <c r="Y17" s="102">
        <f>TrRoad_act!Y71</f>
        <v>433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116</v>
      </c>
      <c r="C18" s="102">
        <f>TrRoad_act!C72</f>
        <v>114</v>
      </c>
      <c r="D18" s="102">
        <f>TrRoad_act!D72</f>
        <v>113</v>
      </c>
      <c r="E18" s="102">
        <f>TrRoad_act!E72</f>
        <v>113</v>
      </c>
      <c r="F18" s="102">
        <f>TrRoad_act!F72</f>
        <v>108</v>
      </c>
      <c r="G18" s="102">
        <f>TrRoad_act!G72</f>
        <v>108</v>
      </c>
      <c r="H18" s="102">
        <f>TrRoad_act!H72</f>
        <v>110</v>
      </c>
      <c r="I18" s="102">
        <f>TrRoad_act!I72</f>
        <v>101</v>
      </c>
      <c r="J18" s="102">
        <f>TrRoad_act!J72</f>
        <v>101</v>
      </c>
      <c r="K18" s="102">
        <f>TrRoad_act!K72</f>
        <v>106</v>
      </c>
      <c r="L18" s="102">
        <f>TrRoad_act!L72</f>
        <v>113</v>
      </c>
      <c r="M18" s="102">
        <f>TrRoad_act!M72</f>
        <v>116</v>
      </c>
      <c r="N18" s="102">
        <f>TrRoad_act!N72</f>
        <v>126</v>
      </c>
      <c r="O18" s="102">
        <f>TrRoad_act!O72</f>
        <v>139</v>
      </c>
      <c r="P18" s="102">
        <f>TrRoad_act!P72</f>
        <v>131</v>
      </c>
      <c r="Q18" s="102">
        <f>TrRoad_act!Q72</f>
        <v>138</v>
      </c>
      <c r="R18" s="102">
        <f>TrRoad_act!R72</f>
        <v>149</v>
      </c>
      <c r="S18" s="102">
        <f>TrRoad_act!S72</f>
        <v>143</v>
      </c>
      <c r="T18" s="102">
        <f>TrRoad_act!T72</f>
        <v>154</v>
      </c>
      <c r="U18" s="102">
        <f>TrRoad_act!U72</f>
        <v>161</v>
      </c>
      <c r="V18" s="102">
        <f>TrRoad_act!V72</f>
        <v>172</v>
      </c>
      <c r="W18" s="102">
        <f>TrRoad_act!W72</f>
        <v>174</v>
      </c>
      <c r="X18" s="102">
        <f>TrRoad_act!X72</f>
        <v>202</v>
      </c>
      <c r="Y18" s="102">
        <f>TrRoad_act!Y72</f>
        <v>260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338521</v>
      </c>
      <c r="C19" s="28">
        <f>TrRoad_act!C73</f>
        <v>343218</v>
      </c>
      <c r="D19" s="28">
        <f>TrRoad_act!D73</f>
        <v>332964</v>
      </c>
      <c r="E19" s="28">
        <f>TrRoad_act!E73</f>
        <v>339513</v>
      </c>
      <c r="F19" s="28">
        <f>TrRoad_act!F73</f>
        <v>349265</v>
      </c>
      <c r="G19" s="28">
        <f>TrRoad_act!G73</f>
        <v>356226</v>
      </c>
      <c r="H19" s="28">
        <f>TrRoad_act!H73</f>
        <v>363296</v>
      </c>
      <c r="I19" s="28">
        <f>TrRoad_act!I73</f>
        <v>374953</v>
      </c>
      <c r="J19" s="28">
        <f>TrRoad_act!J73</f>
        <v>388123</v>
      </c>
      <c r="K19" s="28">
        <f>TrRoad_act!K73</f>
        <v>394441</v>
      </c>
      <c r="L19" s="28">
        <f>TrRoad_act!L73</f>
        <v>404687</v>
      </c>
      <c r="M19" s="28">
        <f>TrRoad_act!M73</f>
        <v>416718</v>
      </c>
      <c r="N19" s="28">
        <f>TrRoad_act!N73</f>
        <v>426850</v>
      </c>
      <c r="O19" s="28">
        <f>TrRoad_act!O73</f>
        <v>436928</v>
      </c>
      <c r="P19" s="28">
        <f>TrRoad_act!P73</f>
        <v>446984</v>
      </c>
      <c r="Q19" s="28">
        <f>TrRoad_act!Q73</f>
        <v>457523</v>
      </c>
      <c r="R19" s="28">
        <f>TrRoad_act!R73</f>
        <v>471548</v>
      </c>
      <c r="S19" s="28">
        <f>TrRoad_act!S73</f>
        <v>491158</v>
      </c>
      <c r="T19" s="28">
        <f>TrRoad_act!T73</f>
        <v>511838</v>
      </c>
      <c r="U19" s="28">
        <f>TrRoad_act!U73</f>
        <v>524691</v>
      </c>
      <c r="V19" s="28">
        <f>TrRoad_act!V73</f>
        <v>537149</v>
      </c>
      <c r="W19" s="28">
        <f>TrRoad_act!W73</f>
        <v>568817</v>
      </c>
      <c r="X19" s="28">
        <f>TrRoad_act!X73</f>
        <v>592884</v>
      </c>
      <c r="Y19" s="28">
        <f>TrRoad_act!Y73</f>
        <v>601459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253915</v>
      </c>
      <c r="C20" s="137">
        <f>TrRoad_act!C74</f>
        <v>260666</v>
      </c>
      <c r="D20" s="137">
        <f>TrRoad_act!D74</f>
        <v>251753</v>
      </c>
      <c r="E20" s="137">
        <f>TrRoad_act!E74</f>
        <v>258819</v>
      </c>
      <c r="F20" s="137">
        <f>TrRoad_act!F74</f>
        <v>266660</v>
      </c>
      <c r="G20" s="137">
        <f>TrRoad_act!G74</f>
        <v>273942</v>
      </c>
      <c r="H20" s="137">
        <f>TrRoad_act!H74</f>
        <v>281677</v>
      </c>
      <c r="I20" s="137">
        <f>TrRoad_act!I74</f>
        <v>290544</v>
      </c>
      <c r="J20" s="137">
        <f>TrRoad_act!J74</f>
        <v>300301</v>
      </c>
      <c r="K20" s="137">
        <f>TrRoad_act!K74</f>
        <v>309052</v>
      </c>
      <c r="L20" s="137">
        <f>TrRoad_act!L74</f>
        <v>319017</v>
      </c>
      <c r="M20" s="137">
        <f>TrRoad_act!M74</f>
        <v>330440</v>
      </c>
      <c r="N20" s="137">
        <f>TrRoad_act!N74</f>
        <v>340946</v>
      </c>
      <c r="O20" s="137">
        <f>TrRoad_act!O74</f>
        <v>355214</v>
      </c>
      <c r="P20" s="137">
        <f>TrRoad_act!P74</f>
        <v>365686</v>
      </c>
      <c r="Q20" s="137">
        <f>TrRoad_act!Q74</f>
        <v>375163</v>
      </c>
      <c r="R20" s="137">
        <f>TrRoad_act!R74</f>
        <v>387786</v>
      </c>
      <c r="S20" s="137">
        <f>TrRoad_act!S74</f>
        <v>403984</v>
      </c>
      <c r="T20" s="137">
        <f>TrRoad_act!T74</f>
        <v>422745</v>
      </c>
      <c r="U20" s="137">
        <f>TrRoad_act!U74</f>
        <v>434295</v>
      </c>
      <c r="V20" s="137">
        <f>TrRoad_act!V74</f>
        <v>446067</v>
      </c>
      <c r="W20" s="137">
        <f>TrRoad_act!W74</f>
        <v>475561</v>
      </c>
      <c r="X20" s="137">
        <f>TrRoad_act!X74</f>
        <v>498325</v>
      </c>
      <c r="Y20" s="137">
        <f>TrRoad_act!Y74</f>
        <v>507996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34436</v>
      </c>
      <c r="C21" s="84">
        <f>TrRoad_act!C75</f>
        <v>31577</v>
      </c>
      <c r="D21" s="84">
        <f>TrRoad_act!D75</f>
        <v>21139</v>
      </c>
      <c r="E21" s="84">
        <f>TrRoad_act!E75</f>
        <v>18873</v>
      </c>
      <c r="F21" s="84">
        <f>TrRoad_act!F75</f>
        <v>16971</v>
      </c>
      <c r="G21" s="84">
        <f>TrRoad_act!G75</f>
        <v>15566</v>
      </c>
      <c r="H21" s="84">
        <f>TrRoad_act!H75</f>
        <v>14663</v>
      </c>
      <c r="I21" s="84">
        <f>TrRoad_act!I75</f>
        <v>14227</v>
      </c>
      <c r="J21" s="84">
        <f>TrRoad_act!J75</f>
        <v>14168</v>
      </c>
      <c r="K21" s="84">
        <f>TrRoad_act!K75</f>
        <v>14586</v>
      </c>
      <c r="L21" s="84">
        <f>TrRoad_act!L75</f>
        <v>14864</v>
      </c>
      <c r="M21" s="84">
        <f>TrRoad_act!M75</f>
        <v>15303</v>
      </c>
      <c r="N21" s="84">
        <f>TrRoad_act!N75</f>
        <v>15808</v>
      </c>
      <c r="O21" s="84">
        <f>TrRoad_act!O75</f>
        <v>16476</v>
      </c>
      <c r="P21" s="84">
        <f>TrRoad_act!P75</f>
        <v>17109</v>
      </c>
      <c r="Q21" s="84">
        <f>TrRoad_act!Q75</f>
        <v>17650</v>
      </c>
      <c r="R21" s="84">
        <f>TrRoad_act!R75</f>
        <v>18087</v>
      </c>
      <c r="S21" s="84">
        <f>TrRoad_act!S75</f>
        <v>19169</v>
      </c>
      <c r="T21" s="84">
        <f>TrRoad_act!T75</f>
        <v>20751</v>
      </c>
      <c r="U21" s="84">
        <f>TrRoad_act!U75</f>
        <v>21014</v>
      </c>
      <c r="V21" s="84">
        <f>TrRoad_act!V75</f>
        <v>21173</v>
      </c>
      <c r="W21" s="84">
        <f>TrRoad_act!W75</f>
        <v>22000</v>
      </c>
      <c r="X21" s="84">
        <f>TrRoad_act!X75</f>
        <v>24124</v>
      </c>
      <c r="Y21" s="84">
        <f>TrRoad_act!Y75</f>
        <v>25368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219454</v>
      </c>
      <c r="C22" s="84">
        <f>TrRoad_act!C76</f>
        <v>229056</v>
      </c>
      <c r="D22" s="84">
        <f>TrRoad_act!D76</f>
        <v>230585</v>
      </c>
      <c r="E22" s="84">
        <f>TrRoad_act!E76</f>
        <v>239911</v>
      </c>
      <c r="F22" s="84">
        <f>TrRoad_act!F76</f>
        <v>249644</v>
      </c>
      <c r="G22" s="84">
        <f>TrRoad_act!G76</f>
        <v>258270</v>
      </c>
      <c r="H22" s="84">
        <f>TrRoad_act!H76</f>
        <v>266843</v>
      </c>
      <c r="I22" s="84">
        <f>TrRoad_act!I76</f>
        <v>276072</v>
      </c>
      <c r="J22" s="84">
        <f>TrRoad_act!J76</f>
        <v>285788</v>
      </c>
      <c r="K22" s="84">
        <f>TrRoad_act!K76</f>
        <v>294219</v>
      </c>
      <c r="L22" s="84">
        <f>TrRoad_act!L76</f>
        <v>303886</v>
      </c>
      <c r="M22" s="84">
        <f>TrRoad_act!M76</f>
        <v>314819</v>
      </c>
      <c r="N22" s="84">
        <f>TrRoad_act!N76</f>
        <v>324487</v>
      </c>
      <c r="O22" s="84">
        <f>TrRoad_act!O76</f>
        <v>337107</v>
      </c>
      <c r="P22" s="84">
        <f>TrRoad_act!P76</f>
        <v>346664</v>
      </c>
      <c r="Q22" s="84">
        <f>TrRoad_act!Q76</f>
        <v>355336</v>
      </c>
      <c r="R22" s="84">
        <f>TrRoad_act!R76</f>
        <v>366275</v>
      </c>
      <c r="S22" s="84">
        <f>TrRoad_act!S76</f>
        <v>381190</v>
      </c>
      <c r="T22" s="84">
        <f>TrRoad_act!T76</f>
        <v>397835</v>
      </c>
      <c r="U22" s="84">
        <f>TrRoad_act!U76</f>
        <v>408692</v>
      </c>
      <c r="V22" s="84">
        <f>TrRoad_act!V76</f>
        <v>419666</v>
      </c>
      <c r="W22" s="84">
        <f>TrRoad_act!W76</f>
        <v>446050</v>
      </c>
      <c r="X22" s="84">
        <f>TrRoad_act!X76</f>
        <v>464654</v>
      </c>
      <c r="Y22" s="84">
        <f>TrRoad_act!Y76</f>
        <v>470033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7</v>
      </c>
      <c r="F23" s="84">
        <f>TrRoad_act!F77</f>
        <v>19</v>
      </c>
      <c r="G23" s="84">
        <f>TrRoad_act!G77</f>
        <v>82</v>
      </c>
      <c r="H23" s="84">
        <f>TrRoad_act!H77</f>
        <v>78</v>
      </c>
      <c r="I23" s="84">
        <f>TrRoad_act!I77</f>
        <v>77</v>
      </c>
      <c r="J23" s="84">
        <f>TrRoad_act!J77</f>
        <v>76</v>
      </c>
      <c r="K23" s="84">
        <f>TrRoad_act!K77</f>
        <v>74</v>
      </c>
      <c r="L23" s="84">
        <f>TrRoad_act!L77</f>
        <v>71</v>
      </c>
      <c r="M23" s="84">
        <f>TrRoad_act!M77</f>
        <v>67</v>
      </c>
      <c r="N23" s="84">
        <f>TrRoad_act!N77</f>
        <v>73</v>
      </c>
      <c r="O23" s="84">
        <f>TrRoad_act!O77</f>
        <v>81</v>
      </c>
      <c r="P23" s="84">
        <f>TrRoad_act!P77</f>
        <v>94</v>
      </c>
      <c r="Q23" s="84">
        <f>TrRoad_act!Q77</f>
        <v>98</v>
      </c>
      <c r="R23" s="84">
        <f>TrRoad_act!R77</f>
        <v>155</v>
      </c>
      <c r="S23" s="84">
        <f>TrRoad_act!S77</f>
        <v>166</v>
      </c>
      <c r="T23" s="84">
        <f>TrRoad_act!T77</f>
        <v>173</v>
      </c>
      <c r="U23" s="84">
        <f>TrRoad_act!U77</f>
        <v>191</v>
      </c>
      <c r="V23" s="84">
        <f>TrRoad_act!V77</f>
        <v>225</v>
      </c>
      <c r="W23" s="84">
        <f>TrRoad_act!W77</f>
        <v>262</v>
      </c>
      <c r="X23" s="84">
        <f>TrRoad_act!X77</f>
        <v>294</v>
      </c>
      <c r="Y23" s="84">
        <f>TrRoad_act!Y77</f>
        <v>313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71</v>
      </c>
      <c r="I24" s="84">
        <f>TrRoad_act!I78</f>
        <v>140</v>
      </c>
      <c r="J24" s="84">
        <f>TrRoad_act!J78</f>
        <v>238</v>
      </c>
      <c r="K24" s="84">
        <f>TrRoad_act!K78</f>
        <v>128</v>
      </c>
      <c r="L24" s="84">
        <f>TrRoad_act!L78</f>
        <v>127</v>
      </c>
      <c r="M24" s="84">
        <f>TrRoad_act!M78</f>
        <v>142</v>
      </c>
      <c r="N24" s="84">
        <f>TrRoad_act!N78</f>
        <v>192</v>
      </c>
      <c r="O24" s="84">
        <f>TrRoad_act!O78</f>
        <v>931</v>
      </c>
      <c r="P24" s="84">
        <f>TrRoad_act!P78</f>
        <v>1000</v>
      </c>
      <c r="Q24" s="84">
        <f>TrRoad_act!Q78</f>
        <v>1010</v>
      </c>
      <c r="R24" s="84">
        <f>TrRoad_act!R78</f>
        <v>1802</v>
      </c>
      <c r="S24" s="84">
        <f>TrRoad_act!S78</f>
        <v>1748</v>
      </c>
      <c r="T24" s="84">
        <f>TrRoad_act!T78</f>
        <v>1845</v>
      </c>
      <c r="U24" s="84">
        <f>TrRoad_act!U78</f>
        <v>1793</v>
      </c>
      <c r="V24" s="84">
        <f>TrRoad_act!V78</f>
        <v>1673</v>
      </c>
      <c r="W24" s="84">
        <f>TrRoad_act!W78</f>
        <v>1622</v>
      </c>
      <c r="X24" s="84">
        <f>TrRoad_act!X78</f>
        <v>1559</v>
      </c>
      <c r="Y24" s="84">
        <f>TrRoad_act!Y78</f>
        <v>1435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25</v>
      </c>
      <c r="C25" s="84">
        <f>TrRoad_act!C79</f>
        <v>33</v>
      </c>
      <c r="D25" s="84">
        <f>TrRoad_act!D79</f>
        <v>29</v>
      </c>
      <c r="E25" s="84">
        <f>TrRoad_act!E79</f>
        <v>28</v>
      </c>
      <c r="F25" s="84">
        <f>TrRoad_act!F79</f>
        <v>26</v>
      </c>
      <c r="G25" s="84">
        <f>TrRoad_act!G79</f>
        <v>24</v>
      </c>
      <c r="H25" s="84">
        <f>TrRoad_act!H79</f>
        <v>22</v>
      </c>
      <c r="I25" s="84">
        <f>TrRoad_act!I79</f>
        <v>28</v>
      </c>
      <c r="J25" s="84">
        <f>TrRoad_act!J79</f>
        <v>31</v>
      </c>
      <c r="K25" s="84">
        <f>TrRoad_act!K79</f>
        <v>45</v>
      </c>
      <c r="L25" s="84">
        <f>TrRoad_act!L79</f>
        <v>69</v>
      </c>
      <c r="M25" s="84">
        <f>TrRoad_act!M79</f>
        <v>109</v>
      </c>
      <c r="N25" s="84">
        <f>TrRoad_act!N79</f>
        <v>386</v>
      </c>
      <c r="O25" s="84">
        <f>TrRoad_act!O79</f>
        <v>619</v>
      </c>
      <c r="P25" s="84">
        <f>TrRoad_act!P79</f>
        <v>819</v>
      </c>
      <c r="Q25" s="84">
        <f>TrRoad_act!Q79</f>
        <v>1069</v>
      </c>
      <c r="R25" s="84">
        <f>TrRoad_act!R79</f>
        <v>1467</v>
      </c>
      <c r="S25" s="84">
        <f>TrRoad_act!S79</f>
        <v>1711</v>
      </c>
      <c r="T25" s="84">
        <f>TrRoad_act!T79</f>
        <v>2141</v>
      </c>
      <c r="U25" s="84">
        <f>TrRoad_act!U79</f>
        <v>2605</v>
      </c>
      <c r="V25" s="84">
        <f>TrRoad_act!V79</f>
        <v>3330</v>
      </c>
      <c r="W25" s="84">
        <f>TrRoad_act!W79</f>
        <v>5627</v>
      </c>
      <c r="X25" s="84">
        <f>TrRoad_act!X79</f>
        <v>7694</v>
      </c>
      <c r="Y25" s="84">
        <f>TrRoad_act!Y79</f>
        <v>10847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84606</v>
      </c>
      <c r="C26" s="110">
        <f>TrRoad_act!C80</f>
        <v>82552</v>
      </c>
      <c r="D26" s="110">
        <f>TrRoad_act!D80</f>
        <v>81211</v>
      </c>
      <c r="E26" s="110">
        <f>TrRoad_act!E80</f>
        <v>80694</v>
      </c>
      <c r="F26" s="110">
        <f>TrRoad_act!F80</f>
        <v>82605</v>
      </c>
      <c r="G26" s="110">
        <f>TrRoad_act!G80</f>
        <v>82284</v>
      </c>
      <c r="H26" s="110">
        <f>TrRoad_act!H80</f>
        <v>81619</v>
      </c>
      <c r="I26" s="110">
        <f>TrRoad_act!I80</f>
        <v>84409</v>
      </c>
      <c r="J26" s="110">
        <f>TrRoad_act!J80</f>
        <v>87822</v>
      </c>
      <c r="K26" s="110">
        <f>TrRoad_act!K80</f>
        <v>85389</v>
      </c>
      <c r="L26" s="110">
        <f>TrRoad_act!L80</f>
        <v>85670</v>
      </c>
      <c r="M26" s="110">
        <f>TrRoad_act!M80</f>
        <v>86278</v>
      </c>
      <c r="N26" s="110">
        <f>TrRoad_act!N80</f>
        <v>85904</v>
      </c>
      <c r="O26" s="110">
        <f>TrRoad_act!O80</f>
        <v>81714</v>
      </c>
      <c r="P26" s="110">
        <f>TrRoad_act!P80</f>
        <v>81298</v>
      </c>
      <c r="Q26" s="110">
        <f>TrRoad_act!Q80</f>
        <v>82360</v>
      </c>
      <c r="R26" s="110">
        <f>TrRoad_act!R80</f>
        <v>83762</v>
      </c>
      <c r="S26" s="110">
        <f>TrRoad_act!S80</f>
        <v>87174</v>
      </c>
      <c r="T26" s="110">
        <f>TrRoad_act!T80</f>
        <v>89093</v>
      </c>
      <c r="U26" s="110">
        <f>TrRoad_act!U80</f>
        <v>90396</v>
      </c>
      <c r="V26" s="110">
        <f>TrRoad_act!V80</f>
        <v>91082</v>
      </c>
      <c r="W26" s="110">
        <f>TrRoad_act!W80</f>
        <v>93256</v>
      </c>
      <c r="X26" s="110">
        <f>TrRoad_act!X80</f>
        <v>94559</v>
      </c>
      <c r="Y26" s="110">
        <f>TrRoad_act!Y80</f>
        <v>93463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72775</v>
      </c>
      <c r="C27" s="102">
        <f>TrRoad_act!C81</f>
        <v>69868</v>
      </c>
      <c r="D27" s="102">
        <f>TrRoad_act!D81</f>
        <v>67867</v>
      </c>
      <c r="E27" s="102">
        <f>TrRoad_act!E81</f>
        <v>67055</v>
      </c>
      <c r="F27" s="102">
        <f>TrRoad_act!F81</f>
        <v>66478</v>
      </c>
      <c r="G27" s="102">
        <f>TrRoad_act!G81</f>
        <v>65588</v>
      </c>
      <c r="H27" s="102">
        <f>TrRoad_act!H81</f>
        <v>64080</v>
      </c>
      <c r="I27" s="102">
        <f>TrRoad_act!I81</f>
        <v>64569</v>
      </c>
      <c r="J27" s="102">
        <f>TrRoad_act!J81</f>
        <v>65392</v>
      </c>
      <c r="K27" s="102">
        <f>TrRoad_act!K81</f>
        <v>66337</v>
      </c>
      <c r="L27" s="102">
        <f>TrRoad_act!L81</f>
        <v>65800</v>
      </c>
      <c r="M27" s="102">
        <f>TrRoad_act!M81</f>
        <v>65798</v>
      </c>
      <c r="N27" s="102">
        <f>TrRoad_act!N81</f>
        <v>65942</v>
      </c>
      <c r="O27" s="102">
        <f>TrRoad_act!O81</f>
        <v>61103</v>
      </c>
      <c r="P27" s="102">
        <f>TrRoad_act!P81</f>
        <v>60528</v>
      </c>
      <c r="Q27" s="102">
        <f>TrRoad_act!Q81</f>
        <v>60548</v>
      </c>
      <c r="R27" s="102">
        <f>TrRoad_act!R81</f>
        <v>61301</v>
      </c>
      <c r="S27" s="102">
        <f>TrRoad_act!S81</f>
        <v>62825</v>
      </c>
      <c r="T27" s="102">
        <f>TrRoad_act!T81</f>
        <v>64686</v>
      </c>
      <c r="U27" s="102">
        <f>TrRoad_act!U81</f>
        <v>65458</v>
      </c>
      <c r="V27" s="102">
        <f>TrRoad_act!V81</f>
        <v>65714</v>
      </c>
      <c r="W27" s="102">
        <f>TrRoad_act!W81</f>
        <v>66622</v>
      </c>
      <c r="X27" s="102">
        <f>TrRoad_act!X81</f>
        <v>67324</v>
      </c>
      <c r="Y27" s="102">
        <f>TrRoad_act!Y81</f>
        <v>67179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11831</v>
      </c>
      <c r="C28" s="86">
        <f>TrRoad_act!C82</f>
        <v>12684</v>
      </c>
      <c r="D28" s="86">
        <f>TrRoad_act!D82</f>
        <v>13344</v>
      </c>
      <c r="E28" s="86">
        <f>TrRoad_act!E82</f>
        <v>13639</v>
      </c>
      <c r="F28" s="86">
        <f>TrRoad_act!F82</f>
        <v>16127</v>
      </c>
      <c r="G28" s="86">
        <f>TrRoad_act!G82</f>
        <v>16696</v>
      </c>
      <c r="H28" s="86">
        <f>TrRoad_act!H82</f>
        <v>17539</v>
      </c>
      <c r="I28" s="86">
        <f>TrRoad_act!I82</f>
        <v>19840</v>
      </c>
      <c r="J28" s="86">
        <f>TrRoad_act!J82</f>
        <v>22430</v>
      </c>
      <c r="K28" s="86">
        <f>TrRoad_act!K82</f>
        <v>19052</v>
      </c>
      <c r="L28" s="86">
        <f>TrRoad_act!L82</f>
        <v>19870</v>
      </c>
      <c r="M28" s="86">
        <f>TrRoad_act!M82</f>
        <v>20480</v>
      </c>
      <c r="N28" s="86">
        <f>TrRoad_act!N82</f>
        <v>19962</v>
      </c>
      <c r="O28" s="86">
        <f>TrRoad_act!O82</f>
        <v>20611</v>
      </c>
      <c r="P28" s="86">
        <f>TrRoad_act!P82</f>
        <v>20770</v>
      </c>
      <c r="Q28" s="86">
        <f>TrRoad_act!Q82</f>
        <v>21812</v>
      </c>
      <c r="R28" s="86">
        <f>TrRoad_act!R82</f>
        <v>22461</v>
      </c>
      <c r="S28" s="86">
        <f>TrRoad_act!S82</f>
        <v>24349</v>
      </c>
      <c r="T28" s="86">
        <f>TrRoad_act!T82</f>
        <v>24407</v>
      </c>
      <c r="U28" s="86">
        <f>TrRoad_act!U82</f>
        <v>24938</v>
      </c>
      <c r="V28" s="86">
        <f>TrRoad_act!V82</f>
        <v>25368</v>
      </c>
      <c r="W28" s="86">
        <f>TrRoad_act!W82</f>
        <v>26634</v>
      </c>
      <c r="X28" s="86">
        <f>TrRoad_act!X82</f>
        <v>27235</v>
      </c>
      <c r="Y28" s="86">
        <f>TrRoad_act!Y82</f>
        <v>26284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393072</v>
      </c>
      <c r="C30" s="54">
        <f>TrRoad_act!C111</f>
        <v>377296</v>
      </c>
      <c r="D30" s="54">
        <f>TrRoad_act!D111</f>
        <v>359068</v>
      </c>
      <c r="E30" s="54">
        <f>TrRoad_act!E111</f>
        <v>375872</v>
      </c>
      <c r="F30" s="54">
        <f>TrRoad_act!F111</f>
        <v>386544</v>
      </c>
      <c r="G30" s="54">
        <f>TrRoad_act!G111</f>
        <v>392860</v>
      </c>
      <c r="H30" s="54">
        <f>TrRoad_act!H111</f>
        <v>401199</v>
      </c>
      <c r="I30" s="54">
        <f>TrRoad_act!I111</f>
        <v>403234</v>
      </c>
      <c r="J30" s="54">
        <f>TrRoad_act!J111</f>
        <v>404132</v>
      </c>
      <c r="K30" s="54">
        <f>TrRoad_act!K111</f>
        <v>411800</v>
      </c>
      <c r="L30" s="54">
        <f>TrRoad_act!L111</f>
        <v>418606</v>
      </c>
      <c r="M30" s="54">
        <f>TrRoad_act!M111</f>
        <v>452250</v>
      </c>
      <c r="N30" s="54">
        <f>TrRoad_act!N111</f>
        <v>439554</v>
      </c>
      <c r="O30" s="54">
        <f>TrRoad_act!O111</f>
        <v>413598</v>
      </c>
      <c r="P30" s="54">
        <f>TrRoad_act!P111</f>
        <v>394898</v>
      </c>
      <c r="Q30" s="54">
        <f>TrRoad_act!Q111</f>
        <v>402659</v>
      </c>
      <c r="R30" s="54">
        <f>TrRoad_act!R111</f>
        <v>438538</v>
      </c>
      <c r="S30" s="54">
        <f>TrRoad_act!S111</f>
        <v>466706</v>
      </c>
      <c r="T30" s="54">
        <f>TrRoad_act!T111</f>
        <v>455988</v>
      </c>
      <c r="U30" s="54">
        <f>TrRoad_act!U111</f>
        <v>453054</v>
      </c>
      <c r="V30" s="54">
        <f>TrRoad_act!V111</f>
        <v>392790</v>
      </c>
      <c r="W30" s="54">
        <f>TrRoad_act!W111</f>
        <v>425853</v>
      </c>
      <c r="X30" s="54">
        <f>TrRoad_act!X111</f>
        <v>416622</v>
      </c>
      <c r="Y30" s="54">
        <f>TrRoad_act!Y111</f>
        <v>476416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359956</v>
      </c>
      <c r="C31" s="28">
        <f>TrRoad_act!C112</f>
        <v>347638</v>
      </c>
      <c r="D31" s="28">
        <f>TrRoad_act!D112</f>
        <v>331651</v>
      </c>
      <c r="E31" s="28">
        <f>TrRoad_act!E112</f>
        <v>345211</v>
      </c>
      <c r="F31" s="28">
        <f>TrRoad_act!F112</f>
        <v>349716</v>
      </c>
      <c r="G31" s="28">
        <f>TrRoad_act!G112</f>
        <v>358042</v>
      </c>
      <c r="H31" s="28">
        <f>TrRoad_act!H112</f>
        <v>364563</v>
      </c>
      <c r="I31" s="28">
        <f>TrRoad_act!I112</f>
        <v>362899</v>
      </c>
      <c r="J31" s="28">
        <f>TrRoad_act!J112</f>
        <v>362600</v>
      </c>
      <c r="K31" s="28">
        <f>TrRoad_act!K112</f>
        <v>382577</v>
      </c>
      <c r="L31" s="28">
        <f>TrRoad_act!L112</f>
        <v>384707</v>
      </c>
      <c r="M31" s="28">
        <f>TrRoad_act!M112</f>
        <v>413086</v>
      </c>
      <c r="N31" s="28">
        <f>TrRoad_act!N112</f>
        <v>402855</v>
      </c>
      <c r="O31" s="28">
        <f>TrRoad_act!O112</f>
        <v>374946</v>
      </c>
      <c r="P31" s="28">
        <f>TrRoad_act!P112</f>
        <v>356765</v>
      </c>
      <c r="Q31" s="28">
        <f>TrRoad_act!Q112</f>
        <v>361943</v>
      </c>
      <c r="R31" s="28">
        <f>TrRoad_act!R112</f>
        <v>394026</v>
      </c>
      <c r="S31" s="28">
        <f>TrRoad_act!S112</f>
        <v>417512</v>
      </c>
      <c r="T31" s="28">
        <f>TrRoad_act!T112</f>
        <v>404857</v>
      </c>
      <c r="U31" s="28">
        <f>TrRoad_act!U112</f>
        <v>400996</v>
      </c>
      <c r="V31" s="28">
        <f>TrRoad_act!V112</f>
        <v>347233</v>
      </c>
      <c r="W31" s="28">
        <f>TrRoad_act!W112</f>
        <v>360067</v>
      </c>
      <c r="X31" s="28">
        <f>TrRoad_act!X112</f>
        <v>366385</v>
      </c>
      <c r="Y31" s="28">
        <f>TrRoad_act!Y112</f>
        <v>428481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47550</v>
      </c>
      <c r="C32" s="137">
        <f>TrRoad_act!C113</f>
        <v>51250</v>
      </c>
      <c r="D32" s="137">
        <f>TrRoad_act!D113</f>
        <v>45064</v>
      </c>
      <c r="E32" s="137">
        <f>TrRoad_act!E113</f>
        <v>37992</v>
      </c>
      <c r="F32" s="137">
        <f>TrRoad_act!F113</f>
        <v>37496</v>
      </c>
      <c r="G32" s="137">
        <f>TrRoad_act!G113</f>
        <v>49466</v>
      </c>
      <c r="H32" s="137">
        <f>TrRoad_act!H113</f>
        <v>54036</v>
      </c>
      <c r="I32" s="137">
        <f>TrRoad_act!I113</f>
        <v>63888</v>
      </c>
      <c r="J32" s="137">
        <f>TrRoad_act!J113</f>
        <v>67360</v>
      </c>
      <c r="K32" s="137">
        <f>TrRoad_act!K113</f>
        <v>62436</v>
      </c>
      <c r="L32" s="137">
        <f>TrRoad_act!L113</f>
        <v>52882</v>
      </c>
      <c r="M32" s="137">
        <f>TrRoad_act!M113</f>
        <v>52990</v>
      </c>
      <c r="N32" s="137">
        <f>TrRoad_act!N113</f>
        <v>60228</v>
      </c>
      <c r="O32" s="137">
        <f>TrRoad_act!O113</f>
        <v>51992</v>
      </c>
      <c r="P32" s="137">
        <f>TrRoad_act!P113</f>
        <v>50310</v>
      </c>
      <c r="Q32" s="137">
        <f>TrRoad_act!Q113</f>
        <v>49782</v>
      </c>
      <c r="R32" s="137">
        <f>TrRoad_act!R113</f>
        <v>59526</v>
      </c>
      <c r="S32" s="137">
        <f>TrRoad_act!S113</f>
        <v>55940</v>
      </c>
      <c r="T32" s="137">
        <f>TrRoad_act!T113</f>
        <v>55276</v>
      </c>
      <c r="U32" s="137">
        <f>TrRoad_act!U113</f>
        <v>55976</v>
      </c>
      <c r="V32" s="137">
        <f>TrRoad_act!V113</f>
        <v>73292</v>
      </c>
      <c r="W32" s="137">
        <f>TrRoad_act!W113</f>
        <v>76632</v>
      </c>
      <c r="X32" s="137">
        <f>TrRoad_act!X113</f>
        <v>68350</v>
      </c>
      <c r="Y32" s="137">
        <f>TrRoad_act!Y113</f>
        <v>73700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311614</v>
      </c>
      <c r="C33" s="110">
        <f>TrRoad_act!C114</f>
        <v>295780</v>
      </c>
      <c r="D33" s="110">
        <f>TrRoad_act!D114</f>
        <v>285876</v>
      </c>
      <c r="E33" s="110">
        <f>TrRoad_act!E114</f>
        <v>306464</v>
      </c>
      <c r="F33" s="110">
        <f>TrRoad_act!F114</f>
        <v>311277</v>
      </c>
      <c r="G33" s="110">
        <f>TrRoad_act!G114</f>
        <v>307915</v>
      </c>
      <c r="H33" s="110">
        <f>TrRoad_act!H114</f>
        <v>309697</v>
      </c>
      <c r="I33" s="110">
        <f>TrRoad_act!I114</f>
        <v>298223</v>
      </c>
      <c r="J33" s="110">
        <f>TrRoad_act!J114</f>
        <v>294277</v>
      </c>
      <c r="K33" s="110">
        <f>TrRoad_act!K114</f>
        <v>319309</v>
      </c>
      <c r="L33" s="110">
        <f>TrRoad_act!L114</f>
        <v>330983</v>
      </c>
      <c r="M33" s="110">
        <f>TrRoad_act!M114</f>
        <v>359475</v>
      </c>
      <c r="N33" s="110">
        <f>TrRoad_act!N114</f>
        <v>341895</v>
      </c>
      <c r="O33" s="110">
        <f>TrRoad_act!O114</f>
        <v>322127</v>
      </c>
      <c r="P33" s="110">
        <f>TrRoad_act!P114</f>
        <v>305555</v>
      </c>
      <c r="Q33" s="110">
        <f>TrRoad_act!Q114</f>
        <v>311262</v>
      </c>
      <c r="R33" s="110">
        <f>TrRoad_act!R114</f>
        <v>333457</v>
      </c>
      <c r="S33" s="110">
        <f>TrRoad_act!S114</f>
        <v>360328</v>
      </c>
      <c r="T33" s="110">
        <f>TrRoad_act!T114</f>
        <v>348456</v>
      </c>
      <c r="U33" s="110">
        <f>TrRoad_act!U114</f>
        <v>343857</v>
      </c>
      <c r="V33" s="110">
        <f>TrRoad_act!V114</f>
        <v>273069</v>
      </c>
      <c r="W33" s="110">
        <f>TrRoad_act!W114</f>
        <v>282548</v>
      </c>
      <c r="X33" s="110">
        <f>TrRoad_act!X114</f>
        <v>297101</v>
      </c>
      <c r="Y33" s="110">
        <f>TrRoad_act!Y114</f>
        <v>353615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118133</v>
      </c>
      <c r="C34" s="84">
        <f>TrRoad_act!C115</f>
        <v>100833</v>
      </c>
      <c r="D34" s="84">
        <f>TrRoad_act!D115</f>
        <v>84905</v>
      </c>
      <c r="E34" s="84">
        <f>TrRoad_act!E115</f>
        <v>85586</v>
      </c>
      <c r="F34" s="84">
        <f>TrRoad_act!F115</f>
        <v>91022</v>
      </c>
      <c r="G34" s="84">
        <f>TrRoad_act!G115</f>
        <v>103340</v>
      </c>
      <c r="H34" s="84">
        <f>TrRoad_act!H115</f>
        <v>116899</v>
      </c>
      <c r="I34" s="84">
        <f>TrRoad_act!I115</f>
        <v>121319</v>
      </c>
      <c r="J34" s="84">
        <f>TrRoad_act!J115</f>
        <v>132203</v>
      </c>
      <c r="K34" s="84">
        <f>TrRoad_act!K115</f>
        <v>171805</v>
      </c>
      <c r="L34" s="84">
        <f>TrRoad_act!L115</f>
        <v>162923</v>
      </c>
      <c r="M34" s="84">
        <f>TrRoad_act!M115</f>
        <v>162332</v>
      </c>
      <c r="N34" s="84">
        <f>TrRoad_act!N115</f>
        <v>147965</v>
      </c>
      <c r="O34" s="84">
        <f>TrRoad_act!O115</f>
        <v>139008</v>
      </c>
      <c r="P34" s="84">
        <f>TrRoad_act!P115</f>
        <v>130389</v>
      </c>
      <c r="Q34" s="84">
        <f>TrRoad_act!Q115</f>
        <v>126838</v>
      </c>
      <c r="R34" s="84">
        <f>TrRoad_act!R115</f>
        <v>138506</v>
      </c>
      <c r="S34" s="84">
        <f>TrRoad_act!S115</f>
        <v>176905</v>
      </c>
      <c r="T34" s="84">
        <f>TrRoad_act!T115</f>
        <v>196884</v>
      </c>
      <c r="U34" s="84">
        <f>TrRoad_act!U115</f>
        <v>197195</v>
      </c>
      <c r="V34" s="84">
        <f>TrRoad_act!V115</f>
        <v>143102</v>
      </c>
      <c r="W34" s="84">
        <f>TrRoad_act!W115</f>
        <v>150163</v>
      </c>
      <c r="X34" s="84">
        <f>TrRoad_act!X115</f>
        <v>134865</v>
      </c>
      <c r="Y34" s="84">
        <f>TrRoad_act!Y115</f>
        <v>150621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191281</v>
      </c>
      <c r="C35" s="84">
        <f>TrRoad_act!C116</f>
        <v>192681</v>
      </c>
      <c r="D35" s="84">
        <f>TrRoad_act!D116</f>
        <v>194555</v>
      </c>
      <c r="E35" s="84">
        <f>TrRoad_act!E116</f>
        <v>214505</v>
      </c>
      <c r="F35" s="84">
        <f>TrRoad_act!F116</f>
        <v>220255</v>
      </c>
      <c r="G35" s="84">
        <f>TrRoad_act!G116</f>
        <v>204575</v>
      </c>
      <c r="H35" s="84">
        <f>TrRoad_act!H116</f>
        <v>191766</v>
      </c>
      <c r="I35" s="84">
        <f>TrRoad_act!I116</f>
        <v>176746</v>
      </c>
      <c r="J35" s="84">
        <f>TrRoad_act!J116</f>
        <v>160459</v>
      </c>
      <c r="K35" s="84">
        <f>TrRoad_act!K116</f>
        <v>146962</v>
      </c>
      <c r="L35" s="84">
        <f>TrRoad_act!L116</f>
        <v>167618</v>
      </c>
      <c r="M35" s="84">
        <f>TrRoad_act!M116</f>
        <v>195291</v>
      </c>
      <c r="N35" s="84">
        <f>TrRoad_act!N116</f>
        <v>191108</v>
      </c>
      <c r="O35" s="84">
        <f>TrRoad_act!O116</f>
        <v>181062</v>
      </c>
      <c r="P35" s="84">
        <f>TrRoad_act!P116</f>
        <v>172664</v>
      </c>
      <c r="Q35" s="84">
        <f>TrRoad_act!Q116</f>
        <v>181038</v>
      </c>
      <c r="R35" s="84">
        <f>TrRoad_act!R116</f>
        <v>189228</v>
      </c>
      <c r="S35" s="84">
        <f>TrRoad_act!S116</f>
        <v>175601</v>
      </c>
      <c r="T35" s="84">
        <f>TrRoad_act!T116</f>
        <v>141938</v>
      </c>
      <c r="U35" s="84">
        <f>TrRoad_act!U116</f>
        <v>134073</v>
      </c>
      <c r="V35" s="84">
        <f>TrRoad_act!V116</f>
        <v>105826</v>
      </c>
      <c r="W35" s="84">
        <f>TrRoad_act!W116</f>
        <v>83914</v>
      </c>
      <c r="X35" s="84">
        <f>TrRoad_act!X116</f>
        <v>114670</v>
      </c>
      <c r="Y35" s="84">
        <f>TrRoad_act!Y116</f>
        <v>138952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2200</v>
      </c>
      <c r="C36" s="84">
        <f>TrRoad_act!C117</f>
        <v>2266</v>
      </c>
      <c r="D36" s="84">
        <f>TrRoad_act!D117</f>
        <v>6416</v>
      </c>
      <c r="E36" s="84">
        <f>TrRoad_act!E117</f>
        <v>6373</v>
      </c>
      <c r="F36" s="84">
        <f>TrRoad_act!F117</f>
        <v>0</v>
      </c>
      <c r="G36" s="84">
        <f>TrRoad_act!G117</f>
        <v>0</v>
      </c>
      <c r="H36" s="84">
        <f>TrRoad_act!H117</f>
        <v>978</v>
      </c>
      <c r="I36" s="84">
        <f>TrRoad_act!I117</f>
        <v>0</v>
      </c>
      <c r="J36" s="84">
        <f>TrRoad_act!J117</f>
        <v>825</v>
      </c>
      <c r="K36" s="84">
        <f>TrRoad_act!K117</f>
        <v>0</v>
      </c>
      <c r="L36" s="84">
        <f>TrRoad_act!L117</f>
        <v>0</v>
      </c>
      <c r="M36" s="84">
        <f>TrRoad_act!M117</f>
        <v>12</v>
      </c>
      <c r="N36" s="84">
        <f>TrRoad_act!N117</f>
        <v>1668</v>
      </c>
      <c r="O36" s="84">
        <f>TrRoad_act!O117</f>
        <v>591</v>
      </c>
      <c r="P36" s="84">
        <f>TrRoad_act!P117</f>
        <v>2</v>
      </c>
      <c r="Q36" s="84">
        <f>TrRoad_act!Q117</f>
        <v>0</v>
      </c>
      <c r="R36" s="84">
        <f>TrRoad_act!R117</f>
        <v>2</v>
      </c>
      <c r="S36" s="84">
        <f>TrRoad_act!S117</f>
        <v>0</v>
      </c>
      <c r="T36" s="84">
        <f>TrRoad_act!T117</f>
        <v>1</v>
      </c>
      <c r="U36" s="84">
        <f>TrRoad_act!U117</f>
        <v>2</v>
      </c>
      <c r="V36" s="84">
        <f>TrRoad_act!V117</f>
        <v>0</v>
      </c>
      <c r="W36" s="84">
        <f>TrRoad_act!W117</f>
        <v>375</v>
      </c>
      <c r="X36" s="84">
        <f>TrRoad_act!X117</f>
        <v>4</v>
      </c>
      <c r="Y36" s="84">
        <f>TrRoad_act!Y117</f>
        <v>5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54</v>
      </c>
      <c r="I37" s="84">
        <f>TrRoad_act!I118</f>
        <v>158</v>
      </c>
      <c r="J37" s="84">
        <f>TrRoad_act!J118</f>
        <v>788</v>
      </c>
      <c r="K37" s="84">
        <f>TrRoad_act!K118</f>
        <v>216</v>
      </c>
      <c r="L37" s="84">
        <f>TrRoad_act!L118</f>
        <v>330</v>
      </c>
      <c r="M37" s="84">
        <f>TrRoad_act!M118</f>
        <v>1201</v>
      </c>
      <c r="N37" s="84">
        <f>TrRoad_act!N118</f>
        <v>460</v>
      </c>
      <c r="O37" s="84">
        <f>TrRoad_act!O118</f>
        <v>628</v>
      </c>
      <c r="P37" s="84">
        <f>TrRoad_act!P118</f>
        <v>788</v>
      </c>
      <c r="Q37" s="84">
        <f>TrRoad_act!Q118</f>
        <v>703</v>
      </c>
      <c r="R37" s="84">
        <f>TrRoad_act!R118</f>
        <v>484</v>
      </c>
      <c r="S37" s="84">
        <f>TrRoad_act!S118</f>
        <v>435</v>
      </c>
      <c r="T37" s="84">
        <f>TrRoad_act!T118</f>
        <v>641</v>
      </c>
      <c r="U37" s="84">
        <f>TrRoad_act!U118</f>
        <v>579</v>
      </c>
      <c r="V37" s="84">
        <f>TrRoad_act!V118</f>
        <v>407</v>
      </c>
      <c r="W37" s="84">
        <f>TrRoad_act!W118</f>
        <v>84</v>
      </c>
      <c r="X37" s="84">
        <f>TrRoad_act!X118</f>
        <v>59</v>
      </c>
      <c r="Y37" s="84">
        <f>TrRoad_act!Y118</f>
        <v>6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2</v>
      </c>
      <c r="N38" s="84">
        <f>TrRoad_act!N119</f>
        <v>267</v>
      </c>
      <c r="O38" s="84">
        <f>TrRoad_act!O119</f>
        <v>154</v>
      </c>
      <c r="P38" s="84">
        <f>TrRoad_act!P119</f>
        <v>368</v>
      </c>
      <c r="Q38" s="84">
        <f>TrRoad_act!Q119</f>
        <v>984</v>
      </c>
      <c r="R38" s="84">
        <f>TrRoad_act!R119</f>
        <v>1182</v>
      </c>
      <c r="S38" s="84">
        <f>TrRoad_act!S119</f>
        <v>1820</v>
      </c>
      <c r="T38" s="84">
        <f>TrRoad_act!T119</f>
        <v>2218</v>
      </c>
      <c r="U38" s="84">
        <f>TrRoad_act!U119</f>
        <v>2766</v>
      </c>
      <c r="V38" s="84">
        <f>TrRoad_act!V119</f>
        <v>7762</v>
      </c>
      <c r="W38" s="84">
        <f>TrRoad_act!W119</f>
        <v>14633</v>
      </c>
      <c r="X38" s="84">
        <f>TrRoad_act!X119</f>
        <v>13338</v>
      </c>
      <c r="Y38" s="84">
        <f>TrRoad_act!Y119</f>
        <v>16410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2</v>
      </c>
      <c r="K39" s="84">
        <f>TrRoad_act!K120</f>
        <v>326</v>
      </c>
      <c r="L39" s="84">
        <f>TrRoad_act!L120</f>
        <v>112</v>
      </c>
      <c r="M39" s="84">
        <f>TrRoad_act!M120</f>
        <v>637</v>
      </c>
      <c r="N39" s="84">
        <f>TrRoad_act!N120</f>
        <v>427</v>
      </c>
      <c r="O39" s="84">
        <f>TrRoad_act!O120</f>
        <v>684</v>
      </c>
      <c r="P39" s="84">
        <f>TrRoad_act!P120</f>
        <v>1344</v>
      </c>
      <c r="Q39" s="84">
        <f>TrRoad_act!Q120</f>
        <v>1699</v>
      </c>
      <c r="R39" s="84">
        <f>TrRoad_act!R120</f>
        <v>4055</v>
      </c>
      <c r="S39" s="84">
        <f>TrRoad_act!S120</f>
        <v>5567</v>
      </c>
      <c r="T39" s="84">
        <f>TrRoad_act!T120</f>
        <v>6774</v>
      </c>
      <c r="U39" s="84">
        <f>TrRoad_act!U120</f>
        <v>9242</v>
      </c>
      <c r="V39" s="84">
        <f>TrRoad_act!V120</f>
        <v>15972</v>
      </c>
      <c r="W39" s="84">
        <f>TrRoad_act!W120</f>
        <v>33379</v>
      </c>
      <c r="X39" s="84">
        <f>TrRoad_act!X120</f>
        <v>34165</v>
      </c>
      <c r="Y39" s="84">
        <f>TrRoad_act!Y120</f>
        <v>47621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792</v>
      </c>
      <c r="C40" s="110">
        <f>TrRoad_act!C121</f>
        <v>608</v>
      </c>
      <c r="D40" s="110">
        <f>TrRoad_act!D121</f>
        <v>711</v>
      </c>
      <c r="E40" s="110">
        <f>TrRoad_act!E121</f>
        <v>755</v>
      </c>
      <c r="F40" s="110">
        <f>TrRoad_act!F121</f>
        <v>943</v>
      </c>
      <c r="G40" s="110">
        <f>TrRoad_act!G121</f>
        <v>661</v>
      </c>
      <c r="H40" s="110">
        <f>TrRoad_act!H121</f>
        <v>830</v>
      </c>
      <c r="I40" s="110">
        <f>TrRoad_act!I121</f>
        <v>788</v>
      </c>
      <c r="J40" s="110">
        <f>TrRoad_act!J121</f>
        <v>963</v>
      </c>
      <c r="K40" s="110">
        <f>TrRoad_act!K121</f>
        <v>832</v>
      </c>
      <c r="L40" s="110">
        <f>TrRoad_act!L121</f>
        <v>842</v>
      </c>
      <c r="M40" s="110">
        <f>TrRoad_act!M121</f>
        <v>621</v>
      </c>
      <c r="N40" s="110">
        <f>TrRoad_act!N121</f>
        <v>732</v>
      </c>
      <c r="O40" s="110">
        <f>TrRoad_act!O121</f>
        <v>827</v>
      </c>
      <c r="P40" s="110">
        <f>TrRoad_act!P121</f>
        <v>900</v>
      </c>
      <c r="Q40" s="110">
        <f>TrRoad_act!Q121</f>
        <v>899</v>
      </c>
      <c r="R40" s="110">
        <f>TrRoad_act!R121</f>
        <v>1043</v>
      </c>
      <c r="S40" s="110">
        <f>TrRoad_act!S121</f>
        <v>1244</v>
      </c>
      <c r="T40" s="110">
        <f>TrRoad_act!T121</f>
        <v>1125</v>
      </c>
      <c r="U40" s="110">
        <f>TrRoad_act!U121</f>
        <v>1163</v>
      </c>
      <c r="V40" s="110">
        <f>TrRoad_act!V121</f>
        <v>872</v>
      </c>
      <c r="W40" s="110">
        <f>TrRoad_act!W121</f>
        <v>887</v>
      </c>
      <c r="X40" s="110">
        <f>TrRoad_act!X121</f>
        <v>934</v>
      </c>
      <c r="Y40" s="110">
        <f>TrRoad_act!Y121</f>
        <v>1166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1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1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1</v>
      </c>
      <c r="Q41" s="102">
        <f>TrRoad_act!Q122</f>
        <v>0</v>
      </c>
      <c r="R41" s="102">
        <f>TrRoad_act!R122</f>
        <v>1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1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781</v>
      </c>
      <c r="C42" s="102">
        <f>TrRoad_act!C123</f>
        <v>582</v>
      </c>
      <c r="D42" s="102">
        <f>TrRoad_act!D123</f>
        <v>669</v>
      </c>
      <c r="E42" s="102">
        <f>TrRoad_act!E123</f>
        <v>724</v>
      </c>
      <c r="F42" s="102">
        <f>TrRoad_act!F123</f>
        <v>905</v>
      </c>
      <c r="G42" s="102">
        <f>TrRoad_act!G123</f>
        <v>612</v>
      </c>
      <c r="H42" s="102">
        <f>TrRoad_act!H123</f>
        <v>794</v>
      </c>
      <c r="I42" s="102">
        <f>TrRoad_act!I123</f>
        <v>705</v>
      </c>
      <c r="J42" s="102">
        <f>TrRoad_act!J123</f>
        <v>880</v>
      </c>
      <c r="K42" s="102">
        <f>TrRoad_act!K123</f>
        <v>549</v>
      </c>
      <c r="L42" s="102">
        <f>TrRoad_act!L123</f>
        <v>659</v>
      </c>
      <c r="M42" s="102">
        <f>TrRoad_act!M123</f>
        <v>566</v>
      </c>
      <c r="N42" s="102">
        <f>TrRoad_act!N123</f>
        <v>684</v>
      </c>
      <c r="O42" s="102">
        <f>TrRoad_act!O123</f>
        <v>691</v>
      </c>
      <c r="P42" s="102">
        <f>TrRoad_act!P123</f>
        <v>822</v>
      </c>
      <c r="Q42" s="102">
        <f>TrRoad_act!Q123</f>
        <v>865</v>
      </c>
      <c r="R42" s="102">
        <f>TrRoad_act!R123</f>
        <v>1020</v>
      </c>
      <c r="S42" s="102">
        <f>TrRoad_act!S123</f>
        <v>1192</v>
      </c>
      <c r="T42" s="102">
        <f>TrRoad_act!T123</f>
        <v>1102</v>
      </c>
      <c r="U42" s="102">
        <f>TrRoad_act!U123</f>
        <v>1121</v>
      </c>
      <c r="V42" s="102">
        <f>TrRoad_act!V123</f>
        <v>844</v>
      </c>
      <c r="W42" s="102">
        <f>TrRoad_act!W123</f>
        <v>870</v>
      </c>
      <c r="X42" s="102">
        <f>TrRoad_act!X123</f>
        <v>897</v>
      </c>
      <c r="Y42" s="102">
        <f>TrRoad_act!Y123</f>
        <v>1106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16</v>
      </c>
      <c r="D43" s="102">
        <f>TrRoad_act!D124</f>
        <v>32</v>
      </c>
      <c r="E43" s="102">
        <f>TrRoad_act!E124</f>
        <v>20</v>
      </c>
      <c r="F43" s="102">
        <f>TrRoad_act!F124</f>
        <v>25</v>
      </c>
      <c r="G43" s="102">
        <f>TrRoad_act!G124</f>
        <v>41</v>
      </c>
      <c r="H43" s="102">
        <f>TrRoad_act!H124</f>
        <v>32</v>
      </c>
      <c r="I43" s="102">
        <f>TrRoad_act!I124</f>
        <v>40</v>
      </c>
      <c r="J43" s="102">
        <f>TrRoad_act!J124</f>
        <v>38</v>
      </c>
      <c r="K43" s="102">
        <f>TrRoad_act!K124</f>
        <v>79</v>
      </c>
      <c r="L43" s="102">
        <f>TrRoad_act!L124</f>
        <v>44</v>
      </c>
      <c r="M43" s="102">
        <f>TrRoad_act!M124</f>
        <v>30</v>
      </c>
      <c r="N43" s="102">
        <f>TrRoad_act!N124</f>
        <v>3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6</v>
      </c>
      <c r="U43" s="102">
        <f>TrRoad_act!U124</f>
        <v>0</v>
      </c>
      <c r="V43" s="102">
        <f>TrRoad_act!V124</f>
        <v>6</v>
      </c>
      <c r="W43" s="102">
        <f>TrRoad_act!W124</f>
        <v>5</v>
      </c>
      <c r="X43" s="102">
        <f>TrRoad_act!X124</f>
        <v>6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13</v>
      </c>
      <c r="G44" s="102">
        <f>TrRoad_act!G125</f>
        <v>0</v>
      </c>
      <c r="H44" s="102">
        <f>TrRoad_act!H125</f>
        <v>2</v>
      </c>
      <c r="I44" s="102">
        <f>TrRoad_act!I125</f>
        <v>42</v>
      </c>
      <c r="J44" s="102">
        <f>TrRoad_act!J125</f>
        <v>43</v>
      </c>
      <c r="K44" s="102">
        <f>TrRoad_act!K125</f>
        <v>197</v>
      </c>
      <c r="L44" s="102">
        <f>TrRoad_act!L125</f>
        <v>130</v>
      </c>
      <c r="M44" s="102">
        <f>TrRoad_act!M125</f>
        <v>20</v>
      </c>
      <c r="N44" s="102">
        <f>TrRoad_act!N125</f>
        <v>31</v>
      </c>
      <c r="O44" s="102">
        <f>TrRoad_act!O125</f>
        <v>121</v>
      </c>
      <c r="P44" s="102">
        <f>TrRoad_act!P125</f>
        <v>76</v>
      </c>
      <c r="Q44" s="102">
        <f>TrRoad_act!Q125</f>
        <v>22</v>
      </c>
      <c r="R44" s="102">
        <f>TrRoad_act!R125</f>
        <v>0</v>
      </c>
      <c r="S44" s="102">
        <f>TrRoad_act!S125</f>
        <v>46</v>
      </c>
      <c r="T44" s="102">
        <f>TrRoad_act!T125</f>
        <v>0</v>
      </c>
      <c r="U44" s="102">
        <f>TrRoad_act!U125</f>
        <v>20</v>
      </c>
      <c r="V44" s="102">
        <f>TrRoad_act!V125</f>
        <v>8</v>
      </c>
      <c r="W44" s="102">
        <f>TrRoad_act!W125</f>
        <v>0</v>
      </c>
      <c r="X44" s="102">
        <f>TrRoad_act!X125</f>
        <v>1</v>
      </c>
      <c r="Y44" s="102">
        <f>TrRoad_act!Y125</f>
        <v>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11</v>
      </c>
      <c r="C45" s="102">
        <f>TrRoad_act!C126</f>
        <v>9</v>
      </c>
      <c r="D45" s="102">
        <f>TrRoad_act!D126</f>
        <v>10</v>
      </c>
      <c r="E45" s="102">
        <f>TrRoad_act!E126</f>
        <v>11</v>
      </c>
      <c r="F45" s="102">
        <f>TrRoad_act!F126</f>
        <v>0</v>
      </c>
      <c r="G45" s="102">
        <f>TrRoad_act!G126</f>
        <v>8</v>
      </c>
      <c r="H45" s="102">
        <f>TrRoad_act!H126</f>
        <v>2</v>
      </c>
      <c r="I45" s="102">
        <f>TrRoad_act!I126</f>
        <v>0</v>
      </c>
      <c r="J45" s="102">
        <f>TrRoad_act!J126</f>
        <v>2</v>
      </c>
      <c r="K45" s="102">
        <f>TrRoad_act!K126</f>
        <v>7</v>
      </c>
      <c r="L45" s="102">
        <f>TrRoad_act!L126</f>
        <v>9</v>
      </c>
      <c r="M45" s="102">
        <f>TrRoad_act!M126</f>
        <v>5</v>
      </c>
      <c r="N45" s="102">
        <f>TrRoad_act!N126</f>
        <v>14</v>
      </c>
      <c r="O45" s="102">
        <f>TrRoad_act!O126</f>
        <v>15</v>
      </c>
      <c r="P45" s="102">
        <f>TrRoad_act!P126</f>
        <v>1</v>
      </c>
      <c r="Q45" s="102">
        <f>TrRoad_act!Q126</f>
        <v>12</v>
      </c>
      <c r="R45" s="102">
        <f>TrRoad_act!R126</f>
        <v>22</v>
      </c>
      <c r="S45" s="102">
        <f>TrRoad_act!S126</f>
        <v>6</v>
      </c>
      <c r="T45" s="102">
        <f>TrRoad_act!T126</f>
        <v>17</v>
      </c>
      <c r="U45" s="102">
        <f>TrRoad_act!U126</f>
        <v>22</v>
      </c>
      <c r="V45" s="102">
        <f>TrRoad_act!V126</f>
        <v>14</v>
      </c>
      <c r="W45" s="102">
        <f>TrRoad_act!W126</f>
        <v>11</v>
      </c>
      <c r="X45" s="102">
        <f>TrRoad_act!X126</f>
        <v>30</v>
      </c>
      <c r="Y45" s="102">
        <f>TrRoad_act!Y126</f>
        <v>60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33116</v>
      </c>
      <c r="C46" s="28">
        <f>TrRoad_act!C127</f>
        <v>29658</v>
      </c>
      <c r="D46" s="28">
        <f>TrRoad_act!D127</f>
        <v>27417</v>
      </c>
      <c r="E46" s="28">
        <f>TrRoad_act!E127</f>
        <v>30661</v>
      </c>
      <c r="F46" s="28">
        <f>TrRoad_act!F127</f>
        <v>36828</v>
      </c>
      <c r="G46" s="28">
        <f>TrRoad_act!G127</f>
        <v>34818</v>
      </c>
      <c r="H46" s="28">
        <f>TrRoad_act!H127</f>
        <v>36636</v>
      </c>
      <c r="I46" s="28">
        <f>TrRoad_act!I127</f>
        <v>40335</v>
      </c>
      <c r="J46" s="28">
        <f>TrRoad_act!J127</f>
        <v>41532</v>
      </c>
      <c r="K46" s="28">
        <f>TrRoad_act!K127</f>
        <v>29223</v>
      </c>
      <c r="L46" s="28">
        <f>TrRoad_act!L127</f>
        <v>33899</v>
      </c>
      <c r="M46" s="28">
        <f>TrRoad_act!M127</f>
        <v>39164</v>
      </c>
      <c r="N46" s="28">
        <f>TrRoad_act!N127</f>
        <v>36699</v>
      </c>
      <c r="O46" s="28">
        <f>TrRoad_act!O127</f>
        <v>38652</v>
      </c>
      <c r="P46" s="28">
        <f>TrRoad_act!P127</f>
        <v>38133</v>
      </c>
      <c r="Q46" s="28">
        <f>TrRoad_act!Q127</f>
        <v>40716</v>
      </c>
      <c r="R46" s="28">
        <f>TrRoad_act!R127</f>
        <v>44512</v>
      </c>
      <c r="S46" s="28">
        <f>TrRoad_act!S127</f>
        <v>49194</v>
      </c>
      <c r="T46" s="28">
        <f>TrRoad_act!T127</f>
        <v>51131</v>
      </c>
      <c r="U46" s="28">
        <f>TrRoad_act!U127</f>
        <v>52058</v>
      </c>
      <c r="V46" s="28">
        <f>TrRoad_act!V127</f>
        <v>45557</v>
      </c>
      <c r="W46" s="28">
        <f>TrRoad_act!W127</f>
        <v>65786</v>
      </c>
      <c r="X46" s="28">
        <f>TrRoad_act!X127</f>
        <v>50237</v>
      </c>
      <c r="Y46" s="28">
        <f>TrRoad_act!Y127</f>
        <v>47935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26360</v>
      </c>
      <c r="C47" s="137">
        <f>TrRoad_act!C128</f>
        <v>23313</v>
      </c>
      <c r="D47" s="137">
        <f>TrRoad_act!D128</f>
        <v>21795</v>
      </c>
      <c r="E47" s="137">
        <f>TrRoad_act!E128</f>
        <v>24837</v>
      </c>
      <c r="F47" s="137">
        <f>TrRoad_act!F128</f>
        <v>28196</v>
      </c>
      <c r="G47" s="137">
        <f>TrRoad_act!G128</f>
        <v>28195</v>
      </c>
      <c r="H47" s="137">
        <f>TrRoad_act!H128</f>
        <v>29860</v>
      </c>
      <c r="I47" s="137">
        <f>TrRoad_act!I128</f>
        <v>31794</v>
      </c>
      <c r="J47" s="137">
        <f>TrRoad_act!J128</f>
        <v>32203</v>
      </c>
      <c r="K47" s="137">
        <f>TrRoad_act!K128</f>
        <v>25156</v>
      </c>
      <c r="L47" s="137">
        <f>TrRoad_act!L128</f>
        <v>27741</v>
      </c>
      <c r="M47" s="137">
        <f>TrRoad_act!M128</f>
        <v>35348</v>
      </c>
      <c r="N47" s="137">
        <f>TrRoad_act!N128</f>
        <v>31516</v>
      </c>
      <c r="O47" s="137">
        <f>TrRoad_act!O128</f>
        <v>32296</v>
      </c>
      <c r="P47" s="137">
        <f>TrRoad_act!P128</f>
        <v>32148</v>
      </c>
      <c r="Q47" s="137">
        <f>TrRoad_act!Q128</f>
        <v>33834</v>
      </c>
      <c r="R47" s="137">
        <f>TrRoad_act!R128</f>
        <v>37460</v>
      </c>
      <c r="S47" s="137">
        <f>TrRoad_act!S128</f>
        <v>40852</v>
      </c>
      <c r="T47" s="137">
        <f>TrRoad_act!T128</f>
        <v>44158</v>
      </c>
      <c r="U47" s="137">
        <f>TrRoad_act!U128</f>
        <v>44217</v>
      </c>
      <c r="V47" s="137">
        <f>TrRoad_act!V128</f>
        <v>38750</v>
      </c>
      <c r="W47" s="137">
        <f>TrRoad_act!W128</f>
        <v>57783</v>
      </c>
      <c r="X47" s="137">
        <f>TrRoad_act!X128</f>
        <v>43465</v>
      </c>
      <c r="Y47" s="137">
        <f>TrRoad_act!Y128</f>
        <v>42093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378</v>
      </c>
      <c r="C48" s="84">
        <f>TrRoad_act!C129</f>
        <v>199</v>
      </c>
      <c r="D48" s="84">
        <f>TrRoad_act!D129</f>
        <v>217</v>
      </c>
      <c r="E48" s="84">
        <f>TrRoad_act!E129</f>
        <v>317</v>
      </c>
      <c r="F48" s="84">
        <f>TrRoad_act!F129</f>
        <v>473</v>
      </c>
      <c r="G48" s="84">
        <f>TrRoad_act!G129</f>
        <v>500</v>
      </c>
      <c r="H48" s="84">
        <f>TrRoad_act!H129</f>
        <v>651</v>
      </c>
      <c r="I48" s="84">
        <f>TrRoad_act!I129</f>
        <v>903</v>
      </c>
      <c r="J48" s="84">
        <f>TrRoad_act!J129</f>
        <v>1070</v>
      </c>
      <c r="K48" s="84">
        <f>TrRoad_act!K129</f>
        <v>1294</v>
      </c>
      <c r="L48" s="84">
        <f>TrRoad_act!L129</f>
        <v>1149</v>
      </c>
      <c r="M48" s="84">
        <f>TrRoad_act!M129</f>
        <v>1235</v>
      </c>
      <c r="N48" s="84">
        <f>TrRoad_act!N129</f>
        <v>1400</v>
      </c>
      <c r="O48" s="84">
        <f>TrRoad_act!O129</f>
        <v>2301</v>
      </c>
      <c r="P48" s="84">
        <f>TrRoad_act!P129</f>
        <v>2300</v>
      </c>
      <c r="Q48" s="84">
        <f>TrRoad_act!Q129</f>
        <v>2087</v>
      </c>
      <c r="R48" s="84">
        <f>TrRoad_act!R129</f>
        <v>1846</v>
      </c>
      <c r="S48" s="84">
        <f>TrRoad_act!S129</f>
        <v>2230</v>
      </c>
      <c r="T48" s="84">
        <f>TrRoad_act!T129</f>
        <v>2654</v>
      </c>
      <c r="U48" s="84">
        <f>TrRoad_act!U129</f>
        <v>2079</v>
      </c>
      <c r="V48" s="84">
        <f>TrRoad_act!V129</f>
        <v>1124</v>
      </c>
      <c r="W48" s="84">
        <f>TrRoad_act!W129</f>
        <v>1919</v>
      </c>
      <c r="X48" s="84">
        <f>TrRoad_act!X129</f>
        <v>2832</v>
      </c>
      <c r="Y48" s="84">
        <f>TrRoad_act!Y129</f>
        <v>2707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25982</v>
      </c>
      <c r="C49" s="84">
        <f>TrRoad_act!C130</f>
        <v>23105</v>
      </c>
      <c r="D49" s="84">
        <f>TrRoad_act!D130</f>
        <v>21578</v>
      </c>
      <c r="E49" s="84">
        <f>TrRoad_act!E130</f>
        <v>24513</v>
      </c>
      <c r="F49" s="84">
        <f>TrRoad_act!F130</f>
        <v>27711</v>
      </c>
      <c r="G49" s="84">
        <f>TrRoad_act!G130</f>
        <v>27631</v>
      </c>
      <c r="H49" s="84">
        <f>TrRoad_act!H130</f>
        <v>29138</v>
      </c>
      <c r="I49" s="84">
        <f>TrRoad_act!I130</f>
        <v>30812</v>
      </c>
      <c r="J49" s="84">
        <f>TrRoad_act!J130</f>
        <v>30891</v>
      </c>
      <c r="K49" s="84">
        <f>TrRoad_act!K130</f>
        <v>23719</v>
      </c>
      <c r="L49" s="84">
        <f>TrRoad_act!L130</f>
        <v>26440</v>
      </c>
      <c r="M49" s="84">
        <f>TrRoad_act!M130</f>
        <v>33930</v>
      </c>
      <c r="N49" s="84">
        <f>TrRoad_act!N130</f>
        <v>29637</v>
      </c>
      <c r="O49" s="84">
        <f>TrRoad_act!O130</f>
        <v>29004</v>
      </c>
      <c r="P49" s="84">
        <f>TrRoad_act!P130</f>
        <v>29456</v>
      </c>
      <c r="Q49" s="84">
        <f>TrRoad_act!Q130</f>
        <v>31334</v>
      </c>
      <c r="R49" s="84">
        <f>TrRoad_act!R130</f>
        <v>34304</v>
      </c>
      <c r="S49" s="84">
        <f>TrRoad_act!S130</f>
        <v>38242</v>
      </c>
      <c r="T49" s="84">
        <f>TrRoad_act!T130</f>
        <v>40922</v>
      </c>
      <c r="U49" s="84">
        <f>TrRoad_act!U130</f>
        <v>41541</v>
      </c>
      <c r="V49" s="84">
        <f>TrRoad_act!V130</f>
        <v>36755</v>
      </c>
      <c r="W49" s="84">
        <f>TrRoad_act!W130</f>
        <v>53424</v>
      </c>
      <c r="X49" s="84">
        <f>TrRoad_act!X130</f>
        <v>38444</v>
      </c>
      <c r="Y49" s="84">
        <f>TrRoad_act!Y130</f>
        <v>36100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7</v>
      </c>
      <c r="F50" s="84">
        <f>TrRoad_act!F131</f>
        <v>12</v>
      </c>
      <c r="G50" s="84">
        <f>TrRoad_act!G131</f>
        <v>64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9</v>
      </c>
      <c r="O50" s="84">
        <f>TrRoad_act!O131</f>
        <v>13</v>
      </c>
      <c r="P50" s="84">
        <f>TrRoad_act!P131</f>
        <v>18</v>
      </c>
      <c r="Q50" s="84">
        <f>TrRoad_act!Q131</f>
        <v>11</v>
      </c>
      <c r="R50" s="84">
        <f>TrRoad_act!R131</f>
        <v>59</v>
      </c>
      <c r="S50" s="84">
        <f>TrRoad_act!S131</f>
        <v>13</v>
      </c>
      <c r="T50" s="84">
        <f>TrRoad_act!T131</f>
        <v>9</v>
      </c>
      <c r="U50" s="84">
        <f>TrRoad_act!U131</f>
        <v>20</v>
      </c>
      <c r="V50" s="84">
        <f>TrRoad_act!V131</f>
        <v>36</v>
      </c>
      <c r="W50" s="84">
        <f>TrRoad_act!W131</f>
        <v>40</v>
      </c>
      <c r="X50" s="84">
        <f>TrRoad_act!X131</f>
        <v>35</v>
      </c>
      <c r="Y50" s="84">
        <f>TrRoad_act!Y131</f>
        <v>22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71</v>
      </c>
      <c r="I51" s="84">
        <f>TrRoad_act!I132</f>
        <v>73</v>
      </c>
      <c r="J51" s="84">
        <f>TrRoad_act!J132</f>
        <v>238</v>
      </c>
      <c r="K51" s="84">
        <f>TrRoad_act!K132</f>
        <v>128</v>
      </c>
      <c r="L51" s="84">
        <f>TrRoad_act!L132</f>
        <v>127</v>
      </c>
      <c r="M51" s="84">
        <f>TrRoad_act!M132</f>
        <v>142</v>
      </c>
      <c r="N51" s="84">
        <f>TrRoad_act!N132</f>
        <v>192</v>
      </c>
      <c r="O51" s="84">
        <f>TrRoad_act!O132</f>
        <v>744</v>
      </c>
      <c r="P51" s="84">
        <f>TrRoad_act!P132</f>
        <v>172</v>
      </c>
      <c r="Q51" s="84">
        <f>TrRoad_act!Q132</f>
        <v>149</v>
      </c>
      <c r="R51" s="84">
        <f>TrRoad_act!R132</f>
        <v>806</v>
      </c>
      <c r="S51" s="84">
        <f>TrRoad_act!S132</f>
        <v>100</v>
      </c>
      <c r="T51" s="84">
        <f>TrRoad_act!T132</f>
        <v>120</v>
      </c>
      <c r="U51" s="84">
        <f>TrRoad_act!U132</f>
        <v>88</v>
      </c>
      <c r="V51" s="84">
        <f>TrRoad_act!V132</f>
        <v>52</v>
      </c>
      <c r="W51" s="84">
        <f>TrRoad_act!W132</f>
        <v>78</v>
      </c>
      <c r="X51" s="84">
        <f>TrRoad_act!X132</f>
        <v>56</v>
      </c>
      <c r="Y51" s="84">
        <f>TrRoad_act!Y132</f>
        <v>5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9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6</v>
      </c>
      <c r="J52" s="84">
        <f>TrRoad_act!J133</f>
        <v>4</v>
      </c>
      <c r="K52" s="84">
        <f>TrRoad_act!K133</f>
        <v>15</v>
      </c>
      <c r="L52" s="84">
        <f>TrRoad_act!L133</f>
        <v>25</v>
      </c>
      <c r="M52" s="84">
        <f>TrRoad_act!M133</f>
        <v>41</v>
      </c>
      <c r="N52" s="84">
        <f>TrRoad_act!N133</f>
        <v>278</v>
      </c>
      <c r="O52" s="84">
        <f>TrRoad_act!O133</f>
        <v>234</v>
      </c>
      <c r="P52" s="84">
        <f>TrRoad_act!P133</f>
        <v>202</v>
      </c>
      <c r="Q52" s="84">
        <f>TrRoad_act!Q133</f>
        <v>253</v>
      </c>
      <c r="R52" s="84">
        <f>TrRoad_act!R133</f>
        <v>445</v>
      </c>
      <c r="S52" s="84">
        <f>TrRoad_act!S133</f>
        <v>267</v>
      </c>
      <c r="T52" s="84">
        <f>TrRoad_act!T133</f>
        <v>453</v>
      </c>
      <c r="U52" s="84">
        <f>TrRoad_act!U133</f>
        <v>489</v>
      </c>
      <c r="V52" s="84">
        <f>TrRoad_act!V133</f>
        <v>783</v>
      </c>
      <c r="W52" s="84">
        <f>TrRoad_act!W133</f>
        <v>2322</v>
      </c>
      <c r="X52" s="84">
        <f>TrRoad_act!X133</f>
        <v>2098</v>
      </c>
      <c r="Y52" s="84">
        <f>TrRoad_act!Y133</f>
        <v>3259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6756</v>
      </c>
      <c r="C53" s="110">
        <f>TrRoad_act!C134</f>
        <v>6345</v>
      </c>
      <c r="D53" s="110">
        <f>TrRoad_act!D134</f>
        <v>5622</v>
      </c>
      <c r="E53" s="110">
        <f>TrRoad_act!E134</f>
        <v>5824</v>
      </c>
      <c r="F53" s="110">
        <f>TrRoad_act!F134</f>
        <v>8632</v>
      </c>
      <c r="G53" s="110">
        <f>TrRoad_act!G134</f>
        <v>6623</v>
      </c>
      <c r="H53" s="110">
        <f>TrRoad_act!H134</f>
        <v>6776</v>
      </c>
      <c r="I53" s="110">
        <f>TrRoad_act!I134</f>
        <v>8541</v>
      </c>
      <c r="J53" s="110">
        <f>TrRoad_act!J134</f>
        <v>9329</v>
      </c>
      <c r="K53" s="110">
        <f>TrRoad_act!K134</f>
        <v>4067</v>
      </c>
      <c r="L53" s="110">
        <f>TrRoad_act!L134</f>
        <v>6158</v>
      </c>
      <c r="M53" s="110">
        <f>TrRoad_act!M134</f>
        <v>3816</v>
      </c>
      <c r="N53" s="110">
        <f>TrRoad_act!N134</f>
        <v>5183</v>
      </c>
      <c r="O53" s="110">
        <f>TrRoad_act!O134</f>
        <v>6356</v>
      </c>
      <c r="P53" s="110">
        <f>TrRoad_act!P134</f>
        <v>5985</v>
      </c>
      <c r="Q53" s="110">
        <f>TrRoad_act!Q134</f>
        <v>6882</v>
      </c>
      <c r="R53" s="110">
        <f>TrRoad_act!R134</f>
        <v>7052</v>
      </c>
      <c r="S53" s="110">
        <f>TrRoad_act!S134</f>
        <v>8342</v>
      </c>
      <c r="T53" s="110">
        <f>TrRoad_act!T134</f>
        <v>6973</v>
      </c>
      <c r="U53" s="110">
        <f>TrRoad_act!U134</f>
        <v>7841</v>
      </c>
      <c r="V53" s="110">
        <f>TrRoad_act!V134</f>
        <v>6807</v>
      </c>
      <c r="W53" s="110">
        <f>TrRoad_act!W134</f>
        <v>8003</v>
      </c>
      <c r="X53" s="110">
        <f>TrRoad_act!X134</f>
        <v>6772</v>
      </c>
      <c r="Y53" s="110">
        <f>TrRoad_act!Y134</f>
        <v>5842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5573</v>
      </c>
      <c r="C54" s="102">
        <f>TrRoad_act!C135</f>
        <v>4975</v>
      </c>
      <c r="D54" s="102">
        <f>TrRoad_act!D135</f>
        <v>4334</v>
      </c>
      <c r="E54" s="102">
        <f>TrRoad_act!E135</f>
        <v>4788</v>
      </c>
      <c r="F54" s="102">
        <f>TrRoad_act!F135</f>
        <v>5295</v>
      </c>
      <c r="G54" s="102">
        <f>TrRoad_act!G135</f>
        <v>5079</v>
      </c>
      <c r="H54" s="102">
        <f>TrRoad_act!H135</f>
        <v>4842</v>
      </c>
      <c r="I54" s="102">
        <f>TrRoad_act!I135</f>
        <v>5037</v>
      </c>
      <c r="J54" s="102">
        <f>TrRoad_act!J135</f>
        <v>5420</v>
      </c>
      <c r="K54" s="102">
        <f>TrRoad_act!K135</f>
        <v>4067</v>
      </c>
      <c r="L54" s="102">
        <f>TrRoad_act!L135</f>
        <v>4057</v>
      </c>
      <c r="M54" s="102">
        <f>TrRoad_act!M135</f>
        <v>1854</v>
      </c>
      <c r="N54" s="102">
        <f>TrRoad_act!N135</f>
        <v>4290</v>
      </c>
      <c r="O54" s="102">
        <f>TrRoad_act!O135</f>
        <v>4266</v>
      </c>
      <c r="P54" s="102">
        <f>TrRoad_act!P135</f>
        <v>4344</v>
      </c>
      <c r="Q54" s="102">
        <f>TrRoad_act!Q135</f>
        <v>4288</v>
      </c>
      <c r="R54" s="102">
        <f>TrRoad_act!R135</f>
        <v>4784</v>
      </c>
      <c r="S54" s="102">
        <f>TrRoad_act!S135</f>
        <v>4759</v>
      </c>
      <c r="T54" s="102">
        <f>TrRoad_act!T135</f>
        <v>5135</v>
      </c>
      <c r="U54" s="102">
        <f>TrRoad_act!U135</f>
        <v>5460</v>
      </c>
      <c r="V54" s="102">
        <f>TrRoad_act!V135</f>
        <v>4469</v>
      </c>
      <c r="W54" s="102">
        <f>TrRoad_act!W135</f>
        <v>4768</v>
      </c>
      <c r="X54" s="102">
        <f>TrRoad_act!X135</f>
        <v>4142</v>
      </c>
      <c r="Y54" s="102">
        <f>TrRoad_act!Y135</f>
        <v>4715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1183</v>
      </c>
      <c r="C55" s="86">
        <f>TrRoad_act!C136</f>
        <v>1370</v>
      </c>
      <c r="D55" s="86">
        <f>TrRoad_act!D136</f>
        <v>1288</v>
      </c>
      <c r="E55" s="86">
        <f>TrRoad_act!E136</f>
        <v>1036</v>
      </c>
      <c r="F55" s="86">
        <f>TrRoad_act!F136</f>
        <v>3337</v>
      </c>
      <c r="G55" s="86">
        <f>TrRoad_act!G136</f>
        <v>1544</v>
      </c>
      <c r="H55" s="86">
        <f>TrRoad_act!H136</f>
        <v>1934</v>
      </c>
      <c r="I55" s="86">
        <f>TrRoad_act!I136</f>
        <v>3504</v>
      </c>
      <c r="J55" s="86">
        <f>TrRoad_act!J136</f>
        <v>3909</v>
      </c>
      <c r="K55" s="86">
        <f>TrRoad_act!K136</f>
        <v>0</v>
      </c>
      <c r="L55" s="86">
        <f>TrRoad_act!L136</f>
        <v>2101</v>
      </c>
      <c r="M55" s="86">
        <f>TrRoad_act!M136</f>
        <v>1962</v>
      </c>
      <c r="N55" s="86">
        <f>TrRoad_act!N136</f>
        <v>893</v>
      </c>
      <c r="O55" s="86">
        <f>TrRoad_act!O136</f>
        <v>2090</v>
      </c>
      <c r="P55" s="86">
        <f>TrRoad_act!P136</f>
        <v>1641</v>
      </c>
      <c r="Q55" s="86">
        <f>TrRoad_act!Q136</f>
        <v>2594</v>
      </c>
      <c r="R55" s="86">
        <f>TrRoad_act!R136</f>
        <v>2268</v>
      </c>
      <c r="S55" s="86">
        <f>TrRoad_act!S136</f>
        <v>3583</v>
      </c>
      <c r="T55" s="86">
        <f>TrRoad_act!T136</f>
        <v>1838</v>
      </c>
      <c r="U55" s="86">
        <f>TrRoad_act!U136</f>
        <v>2381</v>
      </c>
      <c r="V55" s="86">
        <f>TrRoad_act!V136</f>
        <v>2338</v>
      </c>
      <c r="W55" s="86">
        <f>TrRoad_act!W136</f>
        <v>3235</v>
      </c>
      <c r="X55" s="86">
        <f>TrRoad_act!X136</f>
        <v>2630</v>
      </c>
      <c r="Y55" s="86">
        <f>TrRoad_act!Y136</f>
        <v>1127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3</v>
      </c>
      <c r="C59" s="54">
        <f t="shared" si="0"/>
        <v>43854</v>
      </c>
      <c r="D59" s="54">
        <f t="shared" si="0"/>
        <v>66611</v>
      </c>
      <c r="E59" s="54">
        <f t="shared" si="0"/>
        <v>88446</v>
      </c>
      <c r="F59" s="54">
        <f t="shared" si="0"/>
        <v>116082</v>
      </c>
      <c r="G59" s="54">
        <f t="shared" si="0"/>
        <v>141099</v>
      </c>
      <c r="H59" s="54">
        <f t="shared" si="0"/>
        <v>171273</v>
      </c>
      <c r="I59" s="54">
        <f t="shared" si="0"/>
        <v>198145</v>
      </c>
      <c r="J59" s="54">
        <f t="shared" si="0"/>
        <v>223665</v>
      </c>
      <c r="K59" s="54">
        <f t="shared" si="0"/>
        <v>254879</v>
      </c>
      <c r="L59" s="54">
        <f t="shared" ref="L59" si="1">L60+L75</f>
        <v>283275</v>
      </c>
      <c r="M59" s="54">
        <f t="shared" ref="M59:V59" si="2">M60+M75</f>
        <v>329692</v>
      </c>
      <c r="N59" s="54">
        <f t="shared" si="2"/>
        <v>343764</v>
      </c>
      <c r="O59" s="54">
        <f t="shared" si="2"/>
        <v>341090</v>
      </c>
      <c r="P59" s="54">
        <f t="shared" si="2"/>
        <v>341119</v>
      </c>
      <c r="Q59" s="54">
        <f t="shared" si="2"/>
        <v>361810</v>
      </c>
      <c r="R59" s="54">
        <f t="shared" si="2"/>
        <v>406776</v>
      </c>
      <c r="S59" s="54">
        <f t="shared" si="2"/>
        <v>442771</v>
      </c>
      <c r="T59" s="54">
        <f t="shared" si="2"/>
        <v>440461</v>
      </c>
      <c r="U59" s="54">
        <f t="shared" si="2"/>
        <v>443921</v>
      </c>
      <c r="V59" s="54">
        <f t="shared" si="2"/>
        <v>389092</v>
      </c>
      <c r="W59" s="54">
        <f t="shared" ref="W59:Y59" si="3">W60+W75</f>
        <v>424127</v>
      </c>
      <c r="X59" s="54">
        <f t="shared" si="3"/>
        <v>416242</v>
      </c>
      <c r="Y59" s="54">
        <f t="shared" si="3"/>
        <v>476416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3</v>
      </c>
      <c r="C60" s="28">
        <f t="shared" si="4"/>
        <v>43854</v>
      </c>
      <c r="D60" s="28">
        <f t="shared" si="4"/>
        <v>66611</v>
      </c>
      <c r="E60" s="28">
        <f t="shared" si="4"/>
        <v>88446</v>
      </c>
      <c r="F60" s="28">
        <f t="shared" si="4"/>
        <v>115867</v>
      </c>
      <c r="G60" s="28">
        <f t="shared" si="4"/>
        <v>139611</v>
      </c>
      <c r="H60" s="28">
        <f t="shared" si="4"/>
        <v>164231</v>
      </c>
      <c r="I60" s="28">
        <f t="shared" si="4"/>
        <v>186355</v>
      </c>
      <c r="J60" s="28">
        <f t="shared" si="4"/>
        <v>207530</v>
      </c>
      <c r="K60" s="28">
        <f t="shared" si="4"/>
        <v>241371</v>
      </c>
      <c r="L60" s="28">
        <f t="shared" ref="L60" si="5">L61+L62+L69</f>
        <v>264949</v>
      </c>
      <c r="M60" s="28">
        <f t="shared" ref="M60:V60" si="6">M61+M62+M69</f>
        <v>306250</v>
      </c>
      <c r="N60" s="28">
        <f t="shared" si="6"/>
        <v>319053</v>
      </c>
      <c r="O60" s="28">
        <f t="shared" si="6"/>
        <v>313099</v>
      </c>
      <c r="P60" s="28">
        <f t="shared" si="6"/>
        <v>310836</v>
      </c>
      <c r="Q60" s="28">
        <f t="shared" si="6"/>
        <v>327506</v>
      </c>
      <c r="R60" s="28">
        <f t="shared" si="6"/>
        <v>367289</v>
      </c>
      <c r="S60" s="28">
        <f t="shared" si="6"/>
        <v>397578</v>
      </c>
      <c r="T60" s="28">
        <f t="shared" si="6"/>
        <v>391819</v>
      </c>
      <c r="U60" s="28">
        <f t="shared" si="6"/>
        <v>393356</v>
      </c>
      <c r="V60" s="28">
        <f t="shared" si="6"/>
        <v>344206</v>
      </c>
      <c r="W60" s="28">
        <f t="shared" ref="W60:Y60" si="7">W61+W62+W69</f>
        <v>358736</v>
      </c>
      <c r="X60" s="28">
        <f t="shared" si="7"/>
        <v>366117</v>
      </c>
      <c r="Y60" s="28">
        <f t="shared" si="7"/>
        <v>428481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0</v>
      </c>
      <c r="E61" s="137">
        <v>1547</v>
      </c>
      <c r="F61" s="137">
        <v>8445</v>
      </c>
      <c r="G61" s="137">
        <v>15509</v>
      </c>
      <c r="H61" s="137">
        <v>21786</v>
      </c>
      <c r="I61" s="137">
        <v>31410</v>
      </c>
      <c r="J61" s="137">
        <v>38842</v>
      </c>
      <c r="K61" s="137">
        <v>40967</v>
      </c>
      <c r="L61" s="137">
        <v>38527</v>
      </c>
      <c r="M61" s="137">
        <v>42004</v>
      </c>
      <c r="N61" s="137">
        <v>51064</v>
      </c>
      <c r="O61" s="137">
        <v>46465</v>
      </c>
      <c r="P61" s="137">
        <v>46802</v>
      </c>
      <c r="Q61" s="137">
        <v>47694</v>
      </c>
      <c r="R61" s="137">
        <v>58197</v>
      </c>
      <c r="S61" s="137">
        <v>55381</v>
      </c>
      <c r="T61" s="137">
        <v>55057</v>
      </c>
      <c r="U61" s="137">
        <v>55887</v>
      </c>
      <c r="V61" s="137">
        <v>73257</v>
      </c>
      <c r="W61" s="137">
        <v>76625</v>
      </c>
      <c r="X61" s="137">
        <v>68350</v>
      </c>
      <c r="Y61" s="137">
        <v>73700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43851</v>
      </c>
      <c r="D62" s="110">
        <f t="shared" si="8"/>
        <v>66607</v>
      </c>
      <c r="E62" s="110">
        <f t="shared" si="8"/>
        <v>86894</v>
      </c>
      <c r="F62" s="110">
        <f t="shared" si="8"/>
        <v>107422</v>
      </c>
      <c r="G62" s="110">
        <f t="shared" si="8"/>
        <v>124098</v>
      </c>
      <c r="H62" s="110">
        <f t="shared" si="8"/>
        <v>142443</v>
      </c>
      <c r="I62" s="110">
        <f t="shared" si="8"/>
        <v>154945</v>
      </c>
      <c r="J62" s="110">
        <f t="shared" si="8"/>
        <v>168686</v>
      </c>
      <c r="K62" s="110">
        <f t="shared" si="8"/>
        <v>200340</v>
      </c>
      <c r="L62" s="110">
        <f t="shared" ref="L62" si="9">SUM(L63:L68)</f>
        <v>226260</v>
      </c>
      <c r="M62" s="110">
        <f t="shared" ref="M62:V62" si="10">SUM(M63:M68)</f>
        <v>264041</v>
      </c>
      <c r="N62" s="110">
        <f t="shared" si="10"/>
        <v>267651</v>
      </c>
      <c r="O62" s="110">
        <f t="shared" si="10"/>
        <v>266135</v>
      </c>
      <c r="P62" s="110">
        <f t="shared" si="10"/>
        <v>263420</v>
      </c>
      <c r="Q62" s="110">
        <f t="shared" si="10"/>
        <v>279125</v>
      </c>
      <c r="R62" s="110">
        <f t="shared" si="10"/>
        <v>308215</v>
      </c>
      <c r="S62" s="110">
        <f t="shared" si="10"/>
        <v>341074</v>
      </c>
      <c r="T62" s="110">
        <f t="shared" si="10"/>
        <v>335703</v>
      </c>
      <c r="U62" s="110">
        <f t="shared" si="10"/>
        <v>336332</v>
      </c>
      <c r="V62" s="110">
        <f t="shared" si="10"/>
        <v>270088</v>
      </c>
      <c r="W62" s="110">
        <f t="shared" ref="W62:Y62" si="11">SUM(W63:W68)</f>
        <v>281228</v>
      </c>
      <c r="X62" s="110">
        <f t="shared" si="11"/>
        <v>296833</v>
      </c>
      <c r="Y62" s="110">
        <f t="shared" si="11"/>
        <v>353615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13937</v>
      </c>
      <c r="D63" s="84">
        <v>22099</v>
      </c>
      <c r="E63" s="84">
        <v>26051</v>
      </c>
      <c r="F63" s="84">
        <v>31969</v>
      </c>
      <c r="G63" s="84">
        <v>41367</v>
      </c>
      <c r="H63" s="84">
        <v>52720</v>
      </c>
      <c r="I63" s="84">
        <v>60975</v>
      </c>
      <c r="J63" s="84">
        <v>73297</v>
      </c>
      <c r="K63" s="84">
        <v>104071</v>
      </c>
      <c r="L63" s="84">
        <v>106858</v>
      </c>
      <c r="M63" s="84">
        <v>114309</v>
      </c>
      <c r="N63" s="84">
        <v>110976</v>
      </c>
      <c r="O63" s="84">
        <v>110219</v>
      </c>
      <c r="P63" s="84">
        <v>108530</v>
      </c>
      <c r="Q63" s="84">
        <v>110100</v>
      </c>
      <c r="R63" s="84">
        <v>124605</v>
      </c>
      <c r="S63" s="84">
        <v>163987</v>
      </c>
      <c r="T63" s="84">
        <v>187027</v>
      </c>
      <c r="U63" s="84">
        <v>190978</v>
      </c>
      <c r="V63" s="84">
        <v>140614</v>
      </c>
      <c r="W63" s="84">
        <v>149031</v>
      </c>
      <c r="X63" s="84">
        <v>134618</v>
      </c>
      <c r="Y63" s="84">
        <v>150621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29914</v>
      </c>
      <c r="D64" s="84">
        <v>44508</v>
      </c>
      <c r="E64" s="84">
        <v>60843</v>
      </c>
      <c r="F64" s="84">
        <v>75453</v>
      </c>
      <c r="G64" s="84">
        <v>82731</v>
      </c>
      <c r="H64" s="84">
        <v>89723</v>
      </c>
      <c r="I64" s="84">
        <v>93970</v>
      </c>
      <c r="J64" s="84">
        <v>95389</v>
      </c>
      <c r="K64" s="84">
        <v>96269</v>
      </c>
      <c r="L64" s="84">
        <v>119402</v>
      </c>
      <c r="M64" s="84">
        <v>149477</v>
      </c>
      <c r="N64" s="84">
        <v>155472</v>
      </c>
      <c r="O64" s="84">
        <v>155026</v>
      </c>
      <c r="P64" s="84">
        <v>154210</v>
      </c>
      <c r="Q64" s="84">
        <v>167312</v>
      </c>
      <c r="R64" s="84">
        <v>179663</v>
      </c>
      <c r="S64" s="84">
        <v>170179</v>
      </c>
      <c r="T64" s="84">
        <v>139596</v>
      </c>
      <c r="U64" s="84">
        <v>133140</v>
      </c>
      <c r="V64" s="84">
        <v>105643</v>
      </c>
      <c r="W64" s="84">
        <v>83907</v>
      </c>
      <c r="X64" s="84">
        <v>114669</v>
      </c>
      <c r="Y64" s="84">
        <v>138952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974</v>
      </c>
      <c r="O65" s="84">
        <v>470</v>
      </c>
      <c r="P65" s="84">
        <v>2</v>
      </c>
      <c r="Q65" s="84">
        <v>0</v>
      </c>
      <c r="R65" s="84">
        <v>2</v>
      </c>
      <c r="S65" s="84">
        <v>0</v>
      </c>
      <c r="T65" s="84">
        <v>1</v>
      </c>
      <c r="U65" s="84">
        <v>2</v>
      </c>
      <c r="V65" s="84">
        <v>0</v>
      </c>
      <c r="W65" s="84">
        <v>375</v>
      </c>
      <c r="X65" s="84">
        <v>4</v>
      </c>
      <c r="Y65" s="84">
        <v>5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255</v>
      </c>
      <c r="N66" s="84">
        <v>229</v>
      </c>
      <c r="O66" s="84">
        <v>420</v>
      </c>
      <c r="P66" s="84">
        <v>623</v>
      </c>
      <c r="Q66" s="84">
        <v>617</v>
      </c>
      <c r="R66" s="84">
        <v>451</v>
      </c>
      <c r="S66" s="84">
        <v>421</v>
      </c>
      <c r="T66" s="84">
        <v>632</v>
      </c>
      <c r="U66" s="84">
        <v>576</v>
      </c>
      <c r="V66" s="84">
        <v>406</v>
      </c>
      <c r="W66" s="84">
        <v>84</v>
      </c>
      <c r="X66" s="84">
        <v>59</v>
      </c>
      <c r="Y66" s="84">
        <v>6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232</v>
      </c>
      <c r="S67" s="84">
        <v>1534</v>
      </c>
      <c r="T67" s="84">
        <v>2102</v>
      </c>
      <c r="U67" s="84">
        <v>2689</v>
      </c>
      <c r="V67" s="84">
        <v>7655</v>
      </c>
      <c r="W67" s="84">
        <v>14551</v>
      </c>
      <c r="X67" s="84">
        <v>13321</v>
      </c>
      <c r="Y67" s="84">
        <v>16410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55</v>
      </c>
      <c r="Q68" s="84">
        <v>1096</v>
      </c>
      <c r="R68" s="84">
        <v>3262</v>
      </c>
      <c r="S68" s="84">
        <v>4953</v>
      </c>
      <c r="T68" s="84">
        <v>6345</v>
      </c>
      <c r="U68" s="84">
        <v>8947</v>
      </c>
      <c r="V68" s="84">
        <v>15770</v>
      </c>
      <c r="W68" s="84">
        <v>33280</v>
      </c>
      <c r="X68" s="84">
        <v>34162</v>
      </c>
      <c r="Y68" s="84">
        <v>47621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3</v>
      </c>
      <c r="C69" s="110">
        <f t="shared" si="12"/>
        <v>3</v>
      </c>
      <c r="D69" s="110">
        <f t="shared" si="12"/>
        <v>4</v>
      </c>
      <c r="E69" s="110">
        <f t="shared" si="12"/>
        <v>5</v>
      </c>
      <c r="F69" s="110">
        <f t="shared" si="12"/>
        <v>0</v>
      </c>
      <c r="G69" s="110">
        <f t="shared" si="12"/>
        <v>4</v>
      </c>
      <c r="H69" s="110">
        <f t="shared" si="12"/>
        <v>2</v>
      </c>
      <c r="I69" s="110">
        <f t="shared" si="12"/>
        <v>0</v>
      </c>
      <c r="J69" s="110">
        <f t="shared" si="12"/>
        <v>2</v>
      </c>
      <c r="K69" s="110">
        <f t="shared" si="12"/>
        <v>64</v>
      </c>
      <c r="L69" s="110">
        <f t="shared" ref="L69" si="13">SUM(L70:L74)</f>
        <v>162</v>
      </c>
      <c r="M69" s="110">
        <f t="shared" ref="M69:V69" si="14">SUM(M70:M74)</f>
        <v>205</v>
      </c>
      <c r="N69" s="110">
        <f t="shared" si="14"/>
        <v>338</v>
      </c>
      <c r="O69" s="110">
        <f t="shared" si="14"/>
        <v>499</v>
      </c>
      <c r="P69" s="110">
        <f t="shared" si="14"/>
        <v>614</v>
      </c>
      <c r="Q69" s="110">
        <f t="shared" si="14"/>
        <v>687</v>
      </c>
      <c r="R69" s="110">
        <f t="shared" si="14"/>
        <v>877</v>
      </c>
      <c r="S69" s="110">
        <f t="shared" si="14"/>
        <v>1123</v>
      </c>
      <c r="T69" s="110">
        <f t="shared" si="14"/>
        <v>1059</v>
      </c>
      <c r="U69" s="110">
        <f t="shared" si="14"/>
        <v>1137</v>
      </c>
      <c r="V69" s="110">
        <f t="shared" si="14"/>
        <v>861</v>
      </c>
      <c r="W69" s="110">
        <f t="shared" ref="W69:Y69" si="15">SUM(W70:W74)</f>
        <v>883</v>
      </c>
      <c r="X69" s="110">
        <f t="shared" si="15"/>
        <v>934</v>
      </c>
      <c r="Y69" s="110">
        <f t="shared" si="15"/>
        <v>1166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1</v>
      </c>
      <c r="Q70" s="102">
        <v>0</v>
      </c>
      <c r="R70" s="102">
        <v>1</v>
      </c>
      <c r="S70" s="102">
        <v>0</v>
      </c>
      <c r="T70" s="102">
        <v>0</v>
      </c>
      <c r="U70" s="102">
        <v>0</v>
      </c>
      <c r="V70" s="102">
        <v>0</v>
      </c>
      <c r="W70" s="102">
        <v>1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85</v>
      </c>
      <c r="M71" s="102">
        <v>186</v>
      </c>
      <c r="N71" s="102">
        <v>302</v>
      </c>
      <c r="O71" s="102">
        <v>383</v>
      </c>
      <c r="P71" s="102">
        <v>544</v>
      </c>
      <c r="Q71" s="102">
        <v>654</v>
      </c>
      <c r="R71" s="102">
        <v>854</v>
      </c>
      <c r="S71" s="102">
        <v>1072</v>
      </c>
      <c r="T71" s="102">
        <v>1042</v>
      </c>
      <c r="U71" s="102">
        <v>1095</v>
      </c>
      <c r="V71" s="102">
        <v>839</v>
      </c>
      <c r="W71" s="102">
        <v>870</v>
      </c>
      <c r="X71" s="102">
        <v>897</v>
      </c>
      <c r="Y71" s="102">
        <v>1106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1</v>
      </c>
      <c r="X72" s="102">
        <v>6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59</v>
      </c>
      <c r="L73" s="102">
        <v>70</v>
      </c>
      <c r="M73" s="102">
        <v>14</v>
      </c>
      <c r="N73" s="102">
        <v>24</v>
      </c>
      <c r="O73" s="102">
        <v>103</v>
      </c>
      <c r="P73" s="102">
        <v>68</v>
      </c>
      <c r="Q73" s="102">
        <v>21</v>
      </c>
      <c r="R73" s="102">
        <v>0</v>
      </c>
      <c r="S73" s="102">
        <v>45</v>
      </c>
      <c r="T73" s="102">
        <v>0</v>
      </c>
      <c r="U73" s="102">
        <v>20</v>
      </c>
      <c r="V73" s="102">
        <v>8</v>
      </c>
      <c r="W73" s="102">
        <v>0</v>
      </c>
      <c r="X73" s="102">
        <v>1</v>
      </c>
      <c r="Y73" s="102">
        <v>0</v>
      </c>
      <c r="DA73" s="175" t="s">
        <v>852</v>
      </c>
    </row>
    <row r="74" spans="1:105" ht="11.45" customHeight="1" x14ac:dyDescent="0.25">
      <c r="A74" s="111" t="s">
        <v>115</v>
      </c>
      <c r="B74" s="102">
        <v>3</v>
      </c>
      <c r="C74" s="102">
        <v>3</v>
      </c>
      <c r="D74" s="102">
        <v>4</v>
      </c>
      <c r="E74" s="102">
        <v>5</v>
      </c>
      <c r="F74" s="102">
        <v>0</v>
      </c>
      <c r="G74" s="102">
        <v>4</v>
      </c>
      <c r="H74" s="102">
        <v>2</v>
      </c>
      <c r="I74" s="102">
        <v>0</v>
      </c>
      <c r="J74" s="102">
        <v>2</v>
      </c>
      <c r="K74" s="102">
        <v>5</v>
      </c>
      <c r="L74" s="102">
        <v>7</v>
      </c>
      <c r="M74" s="102">
        <v>5</v>
      </c>
      <c r="N74" s="102">
        <v>12</v>
      </c>
      <c r="O74" s="102">
        <v>13</v>
      </c>
      <c r="P74" s="102">
        <v>1</v>
      </c>
      <c r="Q74" s="102">
        <v>12</v>
      </c>
      <c r="R74" s="102">
        <v>22</v>
      </c>
      <c r="S74" s="102">
        <v>6</v>
      </c>
      <c r="T74" s="102">
        <v>17</v>
      </c>
      <c r="U74" s="102">
        <v>22</v>
      </c>
      <c r="V74" s="102">
        <v>14</v>
      </c>
      <c r="W74" s="102">
        <v>11</v>
      </c>
      <c r="X74" s="102">
        <v>30</v>
      </c>
      <c r="Y74" s="102">
        <v>60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215</v>
      </c>
      <c r="G75" s="28">
        <f t="shared" si="16"/>
        <v>1488</v>
      </c>
      <c r="H75" s="28">
        <f t="shared" si="16"/>
        <v>7042</v>
      </c>
      <c r="I75" s="28">
        <f t="shared" si="16"/>
        <v>11790</v>
      </c>
      <c r="J75" s="28">
        <f t="shared" si="16"/>
        <v>16135</v>
      </c>
      <c r="K75" s="28">
        <f t="shared" si="16"/>
        <v>13508</v>
      </c>
      <c r="L75" s="28">
        <f t="shared" ref="L75" si="17">L76+L82</f>
        <v>18326</v>
      </c>
      <c r="M75" s="28">
        <f t="shared" ref="M75:V75" si="18">M76+M82</f>
        <v>23442</v>
      </c>
      <c r="N75" s="28">
        <f t="shared" si="18"/>
        <v>24711</v>
      </c>
      <c r="O75" s="28">
        <f t="shared" si="18"/>
        <v>27991</v>
      </c>
      <c r="P75" s="28">
        <f t="shared" si="18"/>
        <v>30283</v>
      </c>
      <c r="Q75" s="28">
        <f t="shared" si="18"/>
        <v>34304</v>
      </c>
      <c r="R75" s="28">
        <f t="shared" si="18"/>
        <v>39487</v>
      </c>
      <c r="S75" s="28">
        <f t="shared" si="18"/>
        <v>45193</v>
      </c>
      <c r="T75" s="28">
        <f t="shared" si="18"/>
        <v>48642</v>
      </c>
      <c r="U75" s="28">
        <f t="shared" si="18"/>
        <v>50565</v>
      </c>
      <c r="V75" s="28">
        <f t="shared" si="18"/>
        <v>44886</v>
      </c>
      <c r="W75" s="28">
        <f t="shared" ref="W75:Y75" si="19">W76+W82</f>
        <v>65391</v>
      </c>
      <c r="X75" s="28">
        <f t="shared" si="19"/>
        <v>50125</v>
      </c>
      <c r="Y75" s="28">
        <f t="shared" si="19"/>
        <v>47935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30</v>
      </c>
      <c r="H76" s="137">
        <f t="shared" si="20"/>
        <v>5266</v>
      </c>
      <c r="I76" s="137">
        <f t="shared" si="20"/>
        <v>9560</v>
      </c>
      <c r="J76" s="137">
        <f t="shared" si="20"/>
        <v>11847</v>
      </c>
      <c r="K76" s="137">
        <f t="shared" si="20"/>
        <v>11102</v>
      </c>
      <c r="L76" s="137">
        <f t="shared" ref="L76" si="21">SUM(L77:L81)</f>
        <v>14292</v>
      </c>
      <c r="M76" s="137">
        <f t="shared" ref="M76:V76" si="22">SUM(M77:M81)</f>
        <v>20800</v>
      </c>
      <c r="N76" s="137">
        <f t="shared" si="22"/>
        <v>20745</v>
      </c>
      <c r="O76" s="137">
        <f t="shared" si="22"/>
        <v>22964</v>
      </c>
      <c r="P76" s="137">
        <f t="shared" si="22"/>
        <v>25284</v>
      </c>
      <c r="Q76" s="137">
        <f t="shared" si="22"/>
        <v>28444</v>
      </c>
      <c r="R76" s="137">
        <f t="shared" si="22"/>
        <v>33224</v>
      </c>
      <c r="S76" s="137">
        <f t="shared" si="22"/>
        <v>37736</v>
      </c>
      <c r="T76" s="137">
        <f t="shared" si="22"/>
        <v>42082</v>
      </c>
      <c r="U76" s="137">
        <f t="shared" si="22"/>
        <v>43104</v>
      </c>
      <c r="V76" s="137">
        <f t="shared" si="22"/>
        <v>38338</v>
      </c>
      <c r="W76" s="137">
        <f t="shared" ref="W76:Y76" si="23">SUM(W77:W81)</f>
        <v>57629</v>
      </c>
      <c r="X76" s="137">
        <f t="shared" si="23"/>
        <v>43456</v>
      </c>
      <c r="Y76" s="137">
        <f t="shared" si="23"/>
        <v>42093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323</v>
      </c>
      <c r="J77" s="84">
        <v>445</v>
      </c>
      <c r="K77" s="84">
        <v>617</v>
      </c>
      <c r="L77" s="84">
        <v>618</v>
      </c>
      <c r="M77" s="84">
        <v>740</v>
      </c>
      <c r="N77" s="84">
        <v>922</v>
      </c>
      <c r="O77" s="84">
        <v>1646</v>
      </c>
      <c r="P77" s="84">
        <v>1768</v>
      </c>
      <c r="Q77" s="84">
        <v>1706</v>
      </c>
      <c r="R77" s="84">
        <v>1589</v>
      </c>
      <c r="S77" s="84">
        <v>2005</v>
      </c>
      <c r="T77" s="84">
        <v>2471</v>
      </c>
      <c r="U77" s="84">
        <v>1989</v>
      </c>
      <c r="V77" s="84">
        <v>1097</v>
      </c>
      <c r="W77" s="84">
        <v>1900</v>
      </c>
      <c r="X77" s="84">
        <v>2825</v>
      </c>
      <c r="Y77" s="84">
        <v>2707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5266</v>
      </c>
      <c r="I78" s="84">
        <v>9237</v>
      </c>
      <c r="J78" s="84">
        <v>11402</v>
      </c>
      <c r="K78" s="84">
        <v>10485</v>
      </c>
      <c r="L78" s="84">
        <v>13657</v>
      </c>
      <c r="M78" s="84">
        <v>20031</v>
      </c>
      <c r="N78" s="84">
        <v>19606</v>
      </c>
      <c r="O78" s="84">
        <v>21118</v>
      </c>
      <c r="P78" s="84">
        <v>23230</v>
      </c>
      <c r="Q78" s="84">
        <v>26384</v>
      </c>
      <c r="R78" s="84">
        <v>30447</v>
      </c>
      <c r="S78" s="84">
        <v>35372</v>
      </c>
      <c r="T78" s="84">
        <v>39048</v>
      </c>
      <c r="U78" s="84">
        <v>40529</v>
      </c>
      <c r="V78" s="84">
        <v>36378</v>
      </c>
      <c r="W78" s="84">
        <v>53299</v>
      </c>
      <c r="X78" s="84">
        <v>38444</v>
      </c>
      <c r="Y78" s="84">
        <v>36100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30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9</v>
      </c>
      <c r="O79" s="84">
        <v>13</v>
      </c>
      <c r="P79" s="84">
        <v>18</v>
      </c>
      <c r="Q79" s="84">
        <v>11</v>
      </c>
      <c r="R79" s="84">
        <v>57</v>
      </c>
      <c r="S79" s="84">
        <v>13</v>
      </c>
      <c r="T79" s="84">
        <v>9</v>
      </c>
      <c r="U79" s="84">
        <v>20</v>
      </c>
      <c r="V79" s="84">
        <v>36</v>
      </c>
      <c r="W79" s="84">
        <v>40</v>
      </c>
      <c r="X79" s="84">
        <v>35</v>
      </c>
      <c r="Y79" s="84">
        <v>22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98</v>
      </c>
      <c r="Q80" s="84">
        <v>120</v>
      </c>
      <c r="R80" s="84">
        <v>725</v>
      </c>
      <c r="S80" s="84">
        <v>95</v>
      </c>
      <c r="T80" s="84">
        <v>118</v>
      </c>
      <c r="U80" s="84">
        <v>88</v>
      </c>
      <c r="V80" s="84">
        <v>52</v>
      </c>
      <c r="W80" s="84">
        <v>78</v>
      </c>
      <c r="X80" s="84">
        <v>56</v>
      </c>
      <c r="Y80" s="84">
        <v>5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17</v>
      </c>
      <c r="M81" s="84">
        <v>29</v>
      </c>
      <c r="N81" s="84">
        <v>208</v>
      </c>
      <c r="O81" s="84">
        <v>187</v>
      </c>
      <c r="P81" s="84">
        <v>170</v>
      </c>
      <c r="Q81" s="84">
        <v>223</v>
      </c>
      <c r="R81" s="84">
        <v>406</v>
      </c>
      <c r="S81" s="84">
        <v>251</v>
      </c>
      <c r="T81" s="84">
        <v>436</v>
      </c>
      <c r="U81" s="84">
        <v>478</v>
      </c>
      <c r="V81" s="84">
        <v>775</v>
      </c>
      <c r="W81" s="84">
        <v>2312</v>
      </c>
      <c r="X81" s="84">
        <v>2096</v>
      </c>
      <c r="Y81" s="84">
        <v>3259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215</v>
      </c>
      <c r="G82" s="110">
        <f t="shared" si="24"/>
        <v>1458</v>
      </c>
      <c r="H82" s="110">
        <f t="shared" si="24"/>
        <v>1776</v>
      </c>
      <c r="I82" s="110">
        <f t="shared" si="24"/>
        <v>2230</v>
      </c>
      <c r="J82" s="110">
        <f t="shared" si="24"/>
        <v>4288</v>
      </c>
      <c r="K82" s="110">
        <f t="shared" si="24"/>
        <v>2406</v>
      </c>
      <c r="L82" s="110">
        <f t="shared" ref="L82" si="25">SUM(L83:L84)</f>
        <v>4034</v>
      </c>
      <c r="M82" s="110">
        <f t="shared" ref="M82:V82" si="26">SUM(M83:M84)</f>
        <v>2642</v>
      </c>
      <c r="N82" s="110">
        <f t="shared" si="26"/>
        <v>3966</v>
      </c>
      <c r="O82" s="110">
        <f t="shared" si="26"/>
        <v>5027</v>
      </c>
      <c r="P82" s="110">
        <f t="shared" si="26"/>
        <v>4999</v>
      </c>
      <c r="Q82" s="110">
        <f t="shared" si="26"/>
        <v>5860</v>
      </c>
      <c r="R82" s="110">
        <f t="shared" si="26"/>
        <v>6263</v>
      </c>
      <c r="S82" s="110">
        <f t="shared" si="26"/>
        <v>7457</v>
      </c>
      <c r="T82" s="110">
        <f t="shared" si="26"/>
        <v>6560</v>
      </c>
      <c r="U82" s="110">
        <f t="shared" si="26"/>
        <v>7461</v>
      </c>
      <c r="V82" s="110">
        <f t="shared" si="26"/>
        <v>6548</v>
      </c>
      <c r="W82" s="110">
        <f t="shared" ref="W82:Y82" si="27">SUM(W83:W84)</f>
        <v>7762</v>
      </c>
      <c r="X82" s="110">
        <f t="shared" si="27"/>
        <v>6669</v>
      </c>
      <c r="Y82" s="110">
        <f t="shared" si="27"/>
        <v>5842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215</v>
      </c>
      <c r="G83" s="102">
        <v>1458</v>
      </c>
      <c r="H83" s="102">
        <v>1776</v>
      </c>
      <c r="I83" s="102">
        <v>2230</v>
      </c>
      <c r="J83" s="102">
        <v>2809</v>
      </c>
      <c r="K83" s="102">
        <v>2406</v>
      </c>
      <c r="L83" s="102">
        <v>2682</v>
      </c>
      <c r="M83" s="102">
        <v>1345</v>
      </c>
      <c r="N83" s="102">
        <v>3359</v>
      </c>
      <c r="O83" s="102">
        <v>3557</v>
      </c>
      <c r="P83" s="102">
        <v>3809</v>
      </c>
      <c r="Q83" s="102">
        <v>3913</v>
      </c>
      <c r="R83" s="102">
        <v>4503</v>
      </c>
      <c r="S83" s="102">
        <v>4586</v>
      </c>
      <c r="T83" s="102">
        <v>5034</v>
      </c>
      <c r="U83" s="102">
        <v>5413</v>
      </c>
      <c r="V83" s="102">
        <v>4460</v>
      </c>
      <c r="W83" s="102">
        <v>4767</v>
      </c>
      <c r="X83" s="102">
        <v>4142</v>
      </c>
      <c r="Y83" s="102">
        <v>4715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1479</v>
      </c>
      <c r="K84" s="86">
        <v>0</v>
      </c>
      <c r="L84" s="86">
        <v>1352</v>
      </c>
      <c r="M84" s="86">
        <v>1297</v>
      </c>
      <c r="N84" s="86">
        <v>607</v>
      </c>
      <c r="O84" s="86">
        <v>1470</v>
      </c>
      <c r="P84" s="86">
        <v>1190</v>
      </c>
      <c r="Q84" s="86">
        <v>1947</v>
      </c>
      <c r="R84" s="86">
        <v>1760</v>
      </c>
      <c r="S84" s="86">
        <v>2871</v>
      </c>
      <c r="T84" s="86">
        <v>1526</v>
      </c>
      <c r="U84" s="86">
        <v>2048</v>
      </c>
      <c r="V84" s="86">
        <v>2088</v>
      </c>
      <c r="W84" s="86">
        <v>2995</v>
      </c>
      <c r="X84" s="86">
        <v>2527</v>
      </c>
      <c r="Y84" s="86">
        <v>1127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3.4344808394150266</v>
      </c>
      <c r="C90" s="141">
        <v>3.4132184188791097</v>
      </c>
      <c r="D90" s="141">
        <v>3.3939755916206136</v>
      </c>
      <c r="E90" s="141">
        <v>3.3768678295369714</v>
      </c>
      <c r="F90" s="141">
        <v>3.3585402159398874</v>
      </c>
      <c r="G90" s="141">
        <v>3.3343934628705614</v>
      </c>
      <c r="H90" s="141">
        <v>3.3092777583138746</v>
      </c>
      <c r="I90" s="141">
        <v>3.2792576140304339</v>
      </c>
      <c r="J90" s="141">
        <v>3.2451126295623052</v>
      </c>
      <c r="K90" s="141">
        <v>3.2111468600015893</v>
      </c>
      <c r="L90" s="141">
        <v>3.1784459077114109</v>
      </c>
      <c r="M90" s="141">
        <v>3.1574618289499585</v>
      </c>
      <c r="N90" s="141">
        <v>3.118314190714532</v>
      </c>
      <c r="O90" s="141">
        <v>3.082797090858739</v>
      </c>
      <c r="P90" s="141">
        <v>3.0621175460497616</v>
      </c>
      <c r="Q90" s="141">
        <v>3.0362320295034833</v>
      </c>
      <c r="R90" s="141">
        <v>3.0006362236718624</v>
      </c>
      <c r="S90" s="141">
        <v>2.9821844920260876</v>
      </c>
      <c r="T90" s="141">
        <v>2.9635921453798941</v>
      </c>
      <c r="U90" s="141">
        <v>2.9323875919425153</v>
      </c>
      <c r="V90" s="141">
        <v>2.9033002578863711</v>
      </c>
      <c r="W90" s="141">
        <v>2.8767111941491259</v>
      </c>
      <c r="X90" s="141">
        <v>2.8537789626044781</v>
      </c>
      <c r="Y90" s="141">
        <v>2.8297265529312106</v>
      </c>
      <c r="DA90" s="174" t="s">
        <v>864</v>
      </c>
    </row>
    <row r="91" spans="1:105" ht="11.45" customHeight="1" x14ac:dyDescent="0.25">
      <c r="A91" s="109" t="s">
        <v>20</v>
      </c>
      <c r="B91" s="130">
        <v>7.683529763537714</v>
      </c>
      <c r="C91" s="130">
        <v>7.6128678247787134</v>
      </c>
      <c r="D91" s="130">
        <v>7.5687272983361797</v>
      </c>
      <c r="E91" s="130">
        <v>7.5285541124527544</v>
      </c>
      <c r="F91" s="130">
        <v>7.4795828528907986</v>
      </c>
      <c r="G91" s="130">
        <v>7.4342109871149527</v>
      </c>
      <c r="H91" s="130">
        <v>7.3868284699506477</v>
      </c>
      <c r="I91" s="130">
        <v>7.3381323873700941</v>
      </c>
      <c r="J91" s="130">
        <v>7.2840629045321874</v>
      </c>
      <c r="K91" s="130">
        <v>7.1991126208042289</v>
      </c>
      <c r="L91" s="130">
        <v>7.0898908417647188</v>
      </c>
      <c r="M91" s="130">
        <v>6.9520925838231156</v>
      </c>
      <c r="N91" s="130">
        <v>6.818343168057293</v>
      </c>
      <c r="O91" s="130">
        <v>6.6959964277250972</v>
      </c>
      <c r="P91" s="130">
        <v>6.5769448842770206</v>
      </c>
      <c r="Q91" s="130">
        <v>6.4459651513709595</v>
      </c>
      <c r="R91" s="130">
        <v>6.305585484340666</v>
      </c>
      <c r="S91" s="130">
        <v>6.1538940570988165</v>
      </c>
      <c r="T91" s="130">
        <v>6.0433510649381104</v>
      </c>
      <c r="U91" s="130">
        <v>5.9156136272963291</v>
      </c>
      <c r="V91" s="130">
        <v>5.840493927910539</v>
      </c>
      <c r="W91" s="130">
        <v>5.716076476742777</v>
      </c>
      <c r="X91" s="130">
        <v>5.5964472036315618</v>
      </c>
      <c r="Y91" s="130">
        <v>5.4582749713000203</v>
      </c>
      <c r="DA91" s="176" t="s">
        <v>865</v>
      </c>
    </row>
    <row r="92" spans="1:105" ht="11.45" customHeight="1" x14ac:dyDescent="0.25">
      <c r="A92" s="111" t="s">
        <v>110</v>
      </c>
      <c r="B92" s="96">
        <v>7.7267141526709793</v>
      </c>
      <c r="C92" s="96">
        <v>7.684147445781643</v>
      </c>
      <c r="D92" s="96">
        <v>7.6603252399067783</v>
      </c>
      <c r="E92" s="96">
        <v>7.6329531737826626</v>
      </c>
      <c r="F92" s="96">
        <v>7.5967648569111628</v>
      </c>
      <c r="G92" s="96">
        <v>7.546444607485113</v>
      </c>
      <c r="H92" s="96">
        <v>7.4879320295803131</v>
      </c>
      <c r="I92" s="96">
        <v>7.4185834529016894</v>
      </c>
      <c r="J92" s="96">
        <v>7.3257681216423016</v>
      </c>
      <c r="K92" s="96">
        <v>7.1883139312777935</v>
      </c>
      <c r="L92" s="96">
        <v>7.0312489075519293</v>
      </c>
      <c r="M92" s="96">
        <v>6.8613777079535003</v>
      </c>
      <c r="N92" s="96">
        <v>6.7033570800469411</v>
      </c>
      <c r="O92" s="96">
        <v>6.5624641379635626</v>
      </c>
      <c r="P92" s="96">
        <v>6.4167934567202973</v>
      </c>
      <c r="Q92" s="96">
        <v>6.2856133331382003</v>
      </c>
      <c r="R92" s="96">
        <v>6.1488668168032792</v>
      </c>
      <c r="S92" s="96">
        <v>5.9800808206420335</v>
      </c>
      <c r="T92" s="96">
        <v>5.8357155567308281</v>
      </c>
      <c r="U92" s="96">
        <v>5.6977895213836183</v>
      </c>
      <c r="V92" s="96">
        <v>5.6225274607139664</v>
      </c>
      <c r="W92" s="96">
        <v>5.5038694698783122</v>
      </c>
      <c r="X92" s="96">
        <v>5.432637244505317</v>
      </c>
      <c r="Y92" s="96">
        <v>5.3559022653358035</v>
      </c>
      <c r="DA92" s="171" t="s">
        <v>866</v>
      </c>
    </row>
    <row r="93" spans="1:105" ht="11.45" customHeight="1" x14ac:dyDescent="0.25">
      <c r="A93" s="111" t="s">
        <v>111</v>
      </c>
      <c r="B93" s="96">
        <v>7.5926295739032961</v>
      </c>
      <c r="C93" s="96">
        <v>7.4430221521885587</v>
      </c>
      <c r="D93" s="96">
        <v>7.3837008292962114</v>
      </c>
      <c r="E93" s="96">
        <v>7.3352444010683699</v>
      </c>
      <c r="F93" s="96">
        <v>7.2795407868347644</v>
      </c>
      <c r="G93" s="96">
        <v>7.2411381735136624</v>
      </c>
      <c r="H93" s="96">
        <v>7.2059698432002808</v>
      </c>
      <c r="I93" s="96">
        <v>7.1745158121430519</v>
      </c>
      <c r="J93" s="96">
        <v>7.1390046790948416</v>
      </c>
      <c r="K93" s="96">
        <v>7.0800961998239531</v>
      </c>
      <c r="L93" s="96">
        <v>6.9769049226328601</v>
      </c>
      <c r="M93" s="96">
        <v>6.8372341199233704</v>
      </c>
      <c r="N93" s="96">
        <v>6.7041680750070034</v>
      </c>
      <c r="O93" s="96">
        <v>6.5739650600818162</v>
      </c>
      <c r="P93" s="96">
        <v>6.4603028002626264</v>
      </c>
      <c r="Q93" s="96">
        <v>6.3186912866347935</v>
      </c>
      <c r="R93" s="96">
        <v>6.1700846700945169</v>
      </c>
      <c r="S93" s="96">
        <v>6.0449468191932931</v>
      </c>
      <c r="T93" s="96">
        <v>5.9784089396408557</v>
      </c>
      <c r="U93" s="96">
        <v>5.8982106746882206</v>
      </c>
      <c r="V93" s="96">
        <v>5.8426230998804289</v>
      </c>
      <c r="W93" s="96">
        <v>5.7838678783300592</v>
      </c>
      <c r="X93" s="96">
        <v>5.6884372557457148</v>
      </c>
      <c r="Y93" s="96">
        <v>5.5879369690390028</v>
      </c>
      <c r="DA93" s="171" t="s">
        <v>867</v>
      </c>
    </row>
    <row r="94" spans="1:105" ht="11.45" customHeight="1" x14ac:dyDescent="0.25">
      <c r="A94" s="111" t="s">
        <v>112</v>
      </c>
      <c r="B94" s="96">
        <v>8.9844130767145156</v>
      </c>
      <c r="C94" s="96">
        <v>8.4500912544847093</v>
      </c>
      <c r="D94" s="96">
        <v>8.0860198819413256</v>
      </c>
      <c r="E94" s="96">
        <v>7.9145499911531285</v>
      </c>
      <c r="F94" s="96">
        <v>7.7665987717544862</v>
      </c>
      <c r="G94" s="96">
        <v>7.7665364928767175</v>
      </c>
      <c r="H94" s="96">
        <v>7.777403387937782</v>
      </c>
      <c r="I94" s="96">
        <v>7.7586386885220291</v>
      </c>
      <c r="J94" s="96">
        <v>7.7689484467054486</v>
      </c>
      <c r="K94" s="96">
        <v>7.7292258353515688</v>
      </c>
      <c r="L94" s="96">
        <v>7.6786250976252415</v>
      </c>
      <c r="M94" s="96">
        <v>7.6803910622770752</v>
      </c>
      <c r="N94" s="96">
        <v>7.752884261839287</v>
      </c>
      <c r="O94" s="96">
        <v>7.7594593912392948</v>
      </c>
      <c r="P94" s="96">
        <v>7.7556371953588057</v>
      </c>
      <c r="Q94" s="96">
        <v>7.6811907010034099</v>
      </c>
      <c r="R94" s="96">
        <v>7.6573729040135596</v>
      </c>
      <c r="S94" s="96">
        <v>7.6615111467158235</v>
      </c>
      <c r="T94" s="96">
        <v>7.7772660232509807</v>
      </c>
      <c r="U94" s="96">
        <v>7.8828337772590897</v>
      </c>
      <c r="V94" s="96">
        <v>8.0257124849335568</v>
      </c>
      <c r="W94" s="96">
        <v>7.6996731738897246</v>
      </c>
      <c r="X94" s="96">
        <v>7.7269642965075978</v>
      </c>
      <c r="Y94" s="96">
        <v>7.5149688377995041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6.7102819799687294</v>
      </c>
      <c r="I95" s="96">
        <v>6.6144874661064819</v>
      </c>
      <c r="J95" s="96">
        <v>6.3991963629241049</v>
      </c>
      <c r="K95" s="96">
        <v>6.3464260158808425</v>
      </c>
      <c r="L95" s="96">
        <v>6.600281994036715</v>
      </c>
      <c r="M95" s="96">
        <v>6.7194655685176752</v>
      </c>
      <c r="N95" s="96">
        <v>6.7006325055160021</v>
      </c>
      <c r="O95" s="96">
        <v>6.4294117126559955</v>
      </c>
      <c r="P95" s="96">
        <v>6.1609577659181847</v>
      </c>
      <c r="Q95" s="96">
        <v>6.004391328693174</v>
      </c>
      <c r="R95" s="96">
        <v>5.8858409980587183</v>
      </c>
      <c r="S95" s="96">
        <v>5.8000161748663857</v>
      </c>
      <c r="T95" s="96">
        <v>5.6918585056079047</v>
      </c>
      <c r="U95" s="96">
        <v>5.6067323772669297</v>
      </c>
      <c r="V95" s="96">
        <v>5.4916233694217382</v>
      </c>
      <c r="W95" s="96">
        <v>5.4171470560468835</v>
      </c>
      <c r="X95" s="96">
        <v>5.3545855741849584</v>
      </c>
      <c r="Y95" s="96">
        <v>5.2939724830603527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3.3601008902245115</v>
      </c>
      <c r="N96" s="96">
        <v>2.7466784995540836</v>
      </c>
      <c r="O96" s="96">
        <v>2.2827828084230677</v>
      </c>
      <c r="P96" s="96">
        <v>2.452587981621714</v>
      </c>
      <c r="Q96" s="96">
        <v>2.8199330909465803</v>
      </c>
      <c r="R96" s="96">
        <v>3.2823244214136769</v>
      </c>
      <c r="S96" s="96">
        <v>3.3798783673055905</v>
      </c>
      <c r="T96" s="96">
        <v>3.4617819717057485</v>
      </c>
      <c r="U96" s="96">
        <v>3.5187060295360584</v>
      </c>
      <c r="V96" s="96">
        <v>3.3045561929771243</v>
      </c>
      <c r="W96" s="96">
        <v>3.1327710691363633</v>
      </c>
      <c r="X96" s="96">
        <v>3.0617127820165351</v>
      </c>
      <c r="Y96" s="96">
        <v>2.9960797546244846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1.3307883188520624</v>
      </c>
      <c r="K97" s="96">
        <v>1.3175586680765563</v>
      </c>
      <c r="L97" s="96">
        <v>1.3131946606413893</v>
      </c>
      <c r="M97" s="96">
        <v>1.3073406517835298</v>
      </c>
      <c r="N97" s="96">
        <v>1.3000055179197623</v>
      </c>
      <c r="O97" s="96">
        <v>1.300612339003675</v>
      </c>
      <c r="P97" s="96">
        <v>1.2707184049245535</v>
      </c>
      <c r="Q97" s="96">
        <v>1.3195437311336653</v>
      </c>
      <c r="R97" s="96">
        <v>1.3041469938272092</v>
      </c>
      <c r="S97" s="96">
        <v>1.2795401866949803</v>
      </c>
      <c r="T97" s="96">
        <v>1.2941208223891176</v>
      </c>
      <c r="U97" s="96">
        <v>1.3523643176219879</v>
      </c>
      <c r="V97" s="96">
        <v>1.4038952087208909</v>
      </c>
      <c r="W97" s="96">
        <v>1.4475253270535666</v>
      </c>
      <c r="X97" s="96">
        <v>1.46635173323947</v>
      </c>
      <c r="Y97" s="96">
        <v>1.4733309747025858</v>
      </c>
      <c r="DA97" s="171" t="s">
        <v>871</v>
      </c>
    </row>
    <row r="98" spans="1:105" ht="11.45" customHeight="1" x14ac:dyDescent="0.25">
      <c r="A98" s="109" t="s">
        <v>21</v>
      </c>
      <c r="B98" s="130">
        <v>52.044881772637275</v>
      </c>
      <c r="C98" s="130">
        <v>51.354449760825553</v>
      </c>
      <c r="D98" s="130">
        <v>50.881266365153046</v>
      </c>
      <c r="E98" s="130">
        <v>50.457059965243772</v>
      </c>
      <c r="F98" s="130">
        <v>49.953815667789542</v>
      </c>
      <c r="G98" s="130">
        <v>49.527881161208349</v>
      </c>
      <c r="H98" s="130">
        <v>49.043558623963428</v>
      </c>
      <c r="I98" s="130">
        <v>48.571416635468289</v>
      </c>
      <c r="J98" s="130">
        <v>48.001900077052113</v>
      </c>
      <c r="K98" s="130">
        <v>47.471586067203589</v>
      </c>
      <c r="L98" s="130">
        <v>46.90473738771329</v>
      </c>
      <c r="M98" s="130">
        <v>46.507061808161367</v>
      </c>
      <c r="N98" s="130">
        <v>46.042806487965784</v>
      </c>
      <c r="O98" s="130">
        <v>45.549711326094311</v>
      </c>
      <c r="P98" s="130">
        <v>45.099639013206307</v>
      </c>
      <c r="Q98" s="130">
        <v>44.750627157875115</v>
      </c>
      <c r="R98" s="130">
        <v>44.298821706957526</v>
      </c>
      <c r="S98" s="130">
        <v>43.755847849255275</v>
      </c>
      <c r="T98" s="130">
        <v>42.978840012278873</v>
      </c>
      <c r="U98" s="130">
        <v>42.389785999124904</v>
      </c>
      <c r="V98" s="130">
        <v>41.759109380136564</v>
      </c>
      <c r="W98" s="130">
        <v>41.344536531695198</v>
      </c>
      <c r="X98" s="130">
        <v>40.690723260504519</v>
      </c>
      <c r="Y98" s="130">
        <v>39.830033957700074</v>
      </c>
      <c r="DA98" s="176" t="s">
        <v>872</v>
      </c>
    </row>
    <row r="99" spans="1:105" ht="11.45" customHeight="1" x14ac:dyDescent="0.25">
      <c r="A99" s="111" t="s">
        <v>110</v>
      </c>
      <c r="B99" s="97">
        <v>17.609493840537549</v>
      </c>
      <c r="C99" s="97">
        <v>17.377343006907857</v>
      </c>
      <c r="D99" s="97">
        <v>17.332087049008209</v>
      </c>
      <c r="E99" s="97">
        <v>17.305582289648552</v>
      </c>
      <c r="F99" s="97">
        <v>17.26775577446136</v>
      </c>
      <c r="G99" s="97">
        <v>17.20261451588846</v>
      </c>
      <c r="H99" s="97">
        <v>17.14293400367827</v>
      </c>
      <c r="I99" s="97">
        <v>16.381300301127116</v>
      </c>
      <c r="J99" s="97">
        <v>16.192090323005793</v>
      </c>
      <c r="K99" s="97">
        <v>15.884165083767822</v>
      </c>
      <c r="L99" s="97">
        <v>15.884165083767824</v>
      </c>
      <c r="M99" s="97">
        <v>15.405316348658296</v>
      </c>
      <c r="N99" s="97">
        <v>15.405316348658298</v>
      </c>
      <c r="O99" s="97">
        <v>14.558557808126311</v>
      </c>
      <c r="P99" s="97">
        <v>13.029106591727949</v>
      </c>
      <c r="Q99" s="97">
        <v>13.029106591727949</v>
      </c>
      <c r="R99" s="97">
        <v>12.384225170576309</v>
      </c>
      <c r="S99" s="97">
        <v>12.384225170576308</v>
      </c>
      <c r="T99" s="97">
        <v>12.384225170576309</v>
      </c>
      <c r="U99" s="97">
        <v>12.384225170576308</v>
      </c>
      <c r="V99" s="97">
        <v>11.76301257355993</v>
      </c>
      <c r="W99" s="97">
        <v>11.486103284844505</v>
      </c>
      <c r="X99" s="97">
        <v>11.486103284844503</v>
      </c>
      <c r="Y99" s="97">
        <v>10.906609027811497</v>
      </c>
      <c r="DA99" s="175" t="s">
        <v>873</v>
      </c>
    </row>
    <row r="100" spans="1:105" ht="11.45" customHeight="1" x14ac:dyDescent="0.25">
      <c r="A100" s="111" t="s">
        <v>111</v>
      </c>
      <c r="B100" s="97">
        <v>52.344894517301682</v>
      </c>
      <c r="C100" s="97">
        <v>51.450121233254045</v>
      </c>
      <c r="D100" s="97">
        <v>50.933458396922269</v>
      </c>
      <c r="E100" s="97">
        <v>50.451172097896418</v>
      </c>
      <c r="F100" s="97">
        <v>49.89542688427268</v>
      </c>
      <c r="G100" s="97">
        <v>49.486104852983964</v>
      </c>
      <c r="H100" s="97">
        <v>49.015704179303029</v>
      </c>
      <c r="I100" s="97">
        <v>48.607172648482333</v>
      </c>
      <c r="J100" s="97">
        <v>48.106653161279674</v>
      </c>
      <c r="K100" s="97">
        <v>47.826000548665455</v>
      </c>
      <c r="L100" s="97">
        <v>47.418362365403219</v>
      </c>
      <c r="M100" s="97">
        <v>47.055231624403817</v>
      </c>
      <c r="N100" s="97">
        <v>46.627306558894588</v>
      </c>
      <c r="O100" s="97">
        <v>46.224223036119824</v>
      </c>
      <c r="P100" s="97">
        <v>45.774249718519101</v>
      </c>
      <c r="Q100" s="97">
        <v>45.340658952596648</v>
      </c>
      <c r="R100" s="97">
        <v>44.824066318341757</v>
      </c>
      <c r="S100" s="97">
        <v>44.19821213779052</v>
      </c>
      <c r="T100" s="97">
        <v>43.43187134592916</v>
      </c>
      <c r="U100" s="97">
        <v>42.766072092725246</v>
      </c>
      <c r="V100" s="97">
        <v>42.150939380109143</v>
      </c>
      <c r="W100" s="97">
        <v>41.639842525746765</v>
      </c>
      <c r="X100" s="97">
        <v>40.976450515985285</v>
      </c>
      <c r="Y100" s="97">
        <v>40.134947299519162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40.329338822831865</v>
      </c>
      <c r="D101" s="97">
        <v>40.24040205903696</v>
      </c>
      <c r="E101" s="97">
        <v>40.180386846667787</v>
      </c>
      <c r="F101" s="97">
        <v>40.096383289717984</v>
      </c>
      <c r="G101" s="97">
        <v>39.966569010664109</v>
      </c>
      <c r="H101" s="97">
        <v>39.906057679204608</v>
      </c>
      <c r="I101" s="97">
        <v>39.816477863315001</v>
      </c>
      <c r="J101" s="97">
        <v>39.692778152521434</v>
      </c>
      <c r="K101" s="97">
        <v>39.431273627745476</v>
      </c>
      <c r="L101" s="97">
        <v>39.258231662402643</v>
      </c>
      <c r="M101" s="97">
        <v>39.126564895124687</v>
      </c>
      <c r="N101" s="97">
        <v>39.106231778573886</v>
      </c>
      <c r="O101" s="97">
        <v>39.093143851465008</v>
      </c>
      <c r="P101" s="97">
        <v>39.064808735152241</v>
      </c>
      <c r="Q101" s="97">
        <v>38.902863786425478</v>
      </c>
      <c r="R101" s="97">
        <v>38.758646520873071</v>
      </c>
      <c r="S101" s="97">
        <v>38.630080024977524</v>
      </c>
      <c r="T101" s="97">
        <v>38.444483150585832</v>
      </c>
      <c r="U101" s="97">
        <v>36.478012802745013</v>
      </c>
      <c r="V101" s="97">
        <v>35.081611779925602</v>
      </c>
      <c r="W101" s="97">
        <v>34.127986619822671</v>
      </c>
      <c r="X101" s="97">
        <v>33.650673907223975</v>
      </c>
      <c r="Y101" s="97">
        <v>33.397690913577414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39.891907958359141</v>
      </c>
      <c r="G102" s="97">
        <v>39.891907958359141</v>
      </c>
      <c r="H102" s="97">
        <v>39.846490495066085</v>
      </c>
      <c r="I102" s="97">
        <v>39.550750101286063</v>
      </c>
      <c r="J102" s="97">
        <v>39.294701737179501</v>
      </c>
      <c r="K102" s="97">
        <v>38.908532435184661</v>
      </c>
      <c r="L102" s="97">
        <v>38.67705629839692</v>
      </c>
      <c r="M102" s="97">
        <v>38.634964052936816</v>
      </c>
      <c r="N102" s="97">
        <v>38.557171409006664</v>
      </c>
      <c r="O102" s="97">
        <v>38.255460665880179</v>
      </c>
      <c r="P102" s="97">
        <v>38.097708174227492</v>
      </c>
      <c r="Q102" s="97">
        <v>37.980984678295933</v>
      </c>
      <c r="R102" s="97">
        <v>37.949813230669442</v>
      </c>
      <c r="S102" s="97">
        <v>37.73973151777836</v>
      </c>
      <c r="T102" s="97">
        <v>37.611147524670727</v>
      </c>
      <c r="U102" s="97">
        <v>37.537593722730961</v>
      </c>
      <c r="V102" s="97">
        <v>37.504504391128819</v>
      </c>
      <c r="W102" s="97">
        <v>37.398990901475315</v>
      </c>
      <c r="X102" s="97">
        <v>37.401836538471564</v>
      </c>
      <c r="Y102" s="97">
        <v>37.32104316986711</v>
      </c>
      <c r="DA102" s="175" t="s">
        <v>876</v>
      </c>
    </row>
    <row r="103" spans="1:105" ht="11.45" customHeight="1" x14ac:dyDescent="0.25">
      <c r="A103" s="111" t="s">
        <v>115</v>
      </c>
      <c r="B103" s="97">
        <v>30.586565269166179</v>
      </c>
      <c r="C103" s="97">
        <v>29.570638277131476</v>
      </c>
      <c r="D103" s="97">
        <v>29.050243794134769</v>
      </c>
      <c r="E103" s="97">
        <v>28.494202240345025</v>
      </c>
      <c r="F103" s="97">
        <v>28.425752553194041</v>
      </c>
      <c r="G103" s="97">
        <v>27.976533221002125</v>
      </c>
      <c r="H103" s="97">
        <v>27.897396927858544</v>
      </c>
      <c r="I103" s="97">
        <v>27.747484797784733</v>
      </c>
      <c r="J103" s="97">
        <v>27.609856283236798</v>
      </c>
      <c r="K103" s="97">
        <v>27.235798797399976</v>
      </c>
      <c r="L103" s="97">
        <v>26.809539730302617</v>
      </c>
      <c r="M103" s="97">
        <v>26.573904696306709</v>
      </c>
      <c r="N103" s="97">
        <v>25.990994345964914</v>
      </c>
      <c r="O103" s="97">
        <v>25.530429757523279</v>
      </c>
      <c r="P103" s="97">
        <v>25.366107254864712</v>
      </c>
      <c r="Q103" s="97">
        <v>24.949653866861166</v>
      </c>
      <c r="R103" s="97">
        <v>24.278025170575408</v>
      </c>
      <c r="S103" s="97">
        <v>23.931011700537816</v>
      </c>
      <c r="T103" s="97">
        <v>23.495198387412145</v>
      </c>
      <c r="U103" s="97">
        <v>22.877091099717898</v>
      </c>
      <c r="V103" s="97">
        <v>22.55584679993353</v>
      </c>
      <c r="W103" s="97">
        <v>22.260726696763733</v>
      </c>
      <c r="X103" s="97">
        <v>21.657917874820079</v>
      </c>
      <c r="Y103" s="97">
        <v>20.776206214710299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9.8389741148692593</v>
      </c>
      <c r="C105" s="141">
        <v>9.5884600772084134</v>
      </c>
      <c r="D105" s="141">
        <v>9.4517042854805418</v>
      </c>
      <c r="E105" s="141">
        <v>9.3327950062435896</v>
      </c>
      <c r="F105" s="141">
        <v>9.1970209510369276</v>
      </c>
      <c r="G105" s="141">
        <v>9.0891737425410053</v>
      </c>
      <c r="H105" s="141">
        <v>8.9771721633375154</v>
      </c>
      <c r="I105" s="141">
        <v>8.8682431007594875</v>
      </c>
      <c r="J105" s="141">
        <v>8.7590710664764817</v>
      </c>
      <c r="K105" s="141">
        <v>8.7053433182595406</v>
      </c>
      <c r="L105" s="141">
        <v>8.6301873932535749</v>
      </c>
      <c r="M105" s="141">
        <v>8.5624045867141767</v>
      </c>
      <c r="N105" s="141">
        <v>8.4572167110383845</v>
      </c>
      <c r="O105" s="141">
        <v>8.3158651723187376</v>
      </c>
      <c r="P105" s="141">
        <v>8.1801395780361155</v>
      </c>
      <c r="Q105" s="141">
        <v>8.0393785922163321</v>
      </c>
      <c r="R105" s="141">
        <v>7.891957263635403</v>
      </c>
      <c r="S105" s="141">
        <v>7.715971692645911</v>
      </c>
      <c r="T105" s="141">
        <v>7.5468125359749925</v>
      </c>
      <c r="U105" s="141">
        <v>7.3894830852336986</v>
      </c>
      <c r="V105" s="141">
        <v>7.3197094894198038</v>
      </c>
      <c r="W105" s="141">
        <v>7.2092126918792365</v>
      </c>
      <c r="X105" s="141">
        <v>7.1080195757859874</v>
      </c>
      <c r="Y105" s="141">
        <v>6.960198087348612</v>
      </c>
      <c r="DA105" s="174" t="s">
        <v>878</v>
      </c>
    </row>
    <row r="106" spans="1:105" ht="11.45" customHeight="1" x14ac:dyDescent="0.25">
      <c r="A106" s="111" t="s">
        <v>110</v>
      </c>
      <c r="B106" s="96">
        <v>10.179242709955741</v>
      </c>
      <c r="C106" s="96">
        <v>10.152989399827851</v>
      </c>
      <c r="D106" s="96">
        <v>10.127112094712707</v>
      </c>
      <c r="E106" s="96">
        <v>10.092282646945677</v>
      </c>
      <c r="F106" s="96">
        <v>10.03096780309116</v>
      </c>
      <c r="G106" s="96">
        <v>9.9534036743228231</v>
      </c>
      <c r="H106" s="96">
        <v>9.8476719498533445</v>
      </c>
      <c r="I106" s="96">
        <v>9.7026751549419306</v>
      </c>
      <c r="J106" s="96">
        <v>9.5174580482859135</v>
      </c>
      <c r="K106" s="96">
        <v>9.3107757149723653</v>
      </c>
      <c r="L106" s="96">
        <v>9.17006640469004</v>
      </c>
      <c r="M106" s="96">
        <v>9.0400921679885471</v>
      </c>
      <c r="N106" s="96">
        <v>8.7508573610062896</v>
      </c>
      <c r="O106" s="96">
        <v>8.3751931301719651</v>
      </c>
      <c r="P106" s="96">
        <v>8.0582766881273482</v>
      </c>
      <c r="Q106" s="96">
        <v>7.7926591062200892</v>
      </c>
      <c r="R106" s="96">
        <v>7.5379716656687235</v>
      </c>
      <c r="S106" s="96">
        <v>7.3317781187930828</v>
      </c>
      <c r="T106" s="96">
        <v>7.0782392337311464</v>
      </c>
      <c r="U106" s="96">
        <v>6.871764544550043</v>
      </c>
      <c r="V106" s="96">
        <v>6.8105834717606877</v>
      </c>
      <c r="W106" s="96">
        <v>6.7189887541079543</v>
      </c>
      <c r="X106" s="96">
        <v>6.5842704746597471</v>
      </c>
      <c r="Y106" s="96">
        <v>6.4580491378197351</v>
      </c>
      <c r="DA106" s="171" t="s">
        <v>879</v>
      </c>
    </row>
    <row r="107" spans="1:105" ht="11.45" customHeight="1" x14ac:dyDescent="0.25">
      <c r="A107" s="111" t="s">
        <v>111</v>
      </c>
      <c r="B107" s="96">
        <v>9.7864784696352807</v>
      </c>
      <c r="C107" s="96">
        <v>9.4345146160120539</v>
      </c>
      <c r="D107" s="96">
        <v>9.2970310122871851</v>
      </c>
      <c r="E107" s="96">
        <v>9.1701786951189614</v>
      </c>
      <c r="F107" s="96">
        <v>9.0333066208407011</v>
      </c>
      <c r="G107" s="96">
        <v>8.9227031079973802</v>
      </c>
      <c r="H107" s="96">
        <v>8.8310512311989751</v>
      </c>
      <c r="I107" s="96">
        <v>8.7422384600522491</v>
      </c>
      <c r="J107" s="96">
        <v>8.652489566357108</v>
      </c>
      <c r="K107" s="96">
        <v>8.5997638853504892</v>
      </c>
      <c r="L107" s="96">
        <v>8.5441227487236038</v>
      </c>
      <c r="M107" s="96">
        <v>8.5076523247689675</v>
      </c>
      <c r="N107" s="96">
        <v>8.3952243701168996</v>
      </c>
      <c r="O107" s="96">
        <v>8.2612447753982483</v>
      </c>
      <c r="P107" s="96">
        <v>8.1314563734745082</v>
      </c>
      <c r="Q107" s="96">
        <v>7.9917914498775424</v>
      </c>
      <c r="R107" s="96">
        <v>7.8379477694298272</v>
      </c>
      <c r="S107" s="96">
        <v>7.6471600910511546</v>
      </c>
      <c r="T107" s="96">
        <v>7.4821593486816935</v>
      </c>
      <c r="U107" s="96">
        <v>7.3382215356673743</v>
      </c>
      <c r="V107" s="96">
        <v>7.2762846787543607</v>
      </c>
      <c r="W107" s="96">
        <v>7.2069304986296459</v>
      </c>
      <c r="X107" s="96">
        <v>7.1187453234505593</v>
      </c>
      <c r="Y107" s="96">
        <v>7.0114086112564236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18.903453023787524</v>
      </c>
      <c r="F108" s="96">
        <v>18.713030250110048</v>
      </c>
      <c r="G108" s="96">
        <v>18.757713111490478</v>
      </c>
      <c r="H108" s="96">
        <v>18.754354280306824</v>
      </c>
      <c r="I108" s="96">
        <v>18.752542579678973</v>
      </c>
      <c r="J108" s="96">
        <v>18.752278836930209</v>
      </c>
      <c r="K108" s="96">
        <v>18.750094496741927</v>
      </c>
      <c r="L108" s="96">
        <v>18.75142976173073</v>
      </c>
      <c r="M108" s="96">
        <v>18.752588390751217</v>
      </c>
      <c r="N108" s="96">
        <v>18.373649088125852</v>
      </c>
      <c r="O108" s="96">
        <v>18.04253651750502</v>
      </c>
      <c r="P108" s="96">
        <v>17.379596988532501</v>
      </c>
      <c r="Q108" s="96">
        <v>16.98993460570636</v>
      </c>
      <c r="R108" s="96">
        <v>18.116258458394263</v>
      </c>
      <c r="S108" s="96">
        <v>17.876028203280221</v>
      </c>
      <c r="T108" s="96">
        <v>17.695417336743702</v>
      </c>
      <c r="U108" s="96">
        <v>17.359130868032889</v>
      </c>
      <c r="V108" s="96">
        <v>16.606353372179573</v>
      </c>
      <c r="W108" s="96">
        <v>15.661960868327739</v>
      </c>
      <c r="X108" s="96">
        <v>15.199566253913369</v>
      </c>
      <c r="Y108" s="96">
        <v>14.774818971841288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10.788636805000452</v>
      </c>
      <c r="I109" s="96">
        <v>10.679994726086093</v>
      </c>
      <c r="J109" s="96">
        <v>10.199545240749627</v>
      </c>
      <c r="K109" s="96">
        <v>9.8286414563903932</v>
      </c>
      <c r="L109" s="96">
        <v>9.2932861606478951</v>
      </c>
      <c r="M109" s="96">
        <v>8.9416547724881301</v>
      </c>
      <c r="N109" s="96">
        <v>8.7132826913256949</v>
      </c>
      <c r="O109" s="96">
        <v>8.7916732585311426</v>
      </c>
      <c r="P109" s="96">
        <v>8.5997452643180736</v>
      </c>
      <c r="Q109" s="96">
        <v>8.3254411525851779</v>
      </c>
      <c r="R109" s="96">
        <v>7.5213464985866612</v>
      </c>
      <c r="S109" s="96">
        <v>7.3887667742862666</v>
      </c>
      <c r="T109" s="96">
        <v>7.3058707355179964</v>
      </c>
      <c r="U109" s="96">
        <v>7.2019456365999748</v>
      </c>
      <c r="V109" s="96">
        <v>7.0483684892140257</v>
      </c>
      <c r="W109" s="96">
        <v>6.9840586135332696</v>
      </c>
      <c r="X109" s="96">
        <v>6.847245641655908</v>
      </c>
      <c r="Y109" s="96">
        <v>6.7641289910780484</v>
      </c>
      <c r="DA109" s="171" t="s">
        <v>882</v>
      </c>
    </row>
    <row r="110" spans="1:105" ht="11.45" customHeight="1" x14ac:dyDescent="0.25">
      <c r="A110" s="111" t="s">
        <v>115</v>
      </c>
      <c r="B110" s="96">
        <v>1.9545736660447066</v>
      </c>
      <c r="C110" s="96">
        <v>1.8766596233173385</v>
      </c>
      <c r="D110" s="96">
        <v>1.8689231554874142</v>
      </c>
      <c r="E110" s="96">
        <v>1.8669186766292094</v>
      </c>
      <c r="F110" s="96">
        <v>1.8605436410270642</v>
      </c>
      <c r="G110" s="96">
        <v>1.8546693504161664</v>
      </c>
      <c r="H110" s="96">
        <v>1.8570384845784773</v>
      </c>
      <c r="I110" s="96">
        <v>1.7405518959502011</v>
      </c>
      <c r="J110" s="96">
        <v>1.6834894768246207</v>
      </c>
      <c r="K110" s="96">
        <v>1.572597102915241</v>
      </c>
      <c r="L110" s="96">
        <v>1.5000484559924476</v>
      </c>
      <c r="M110" s="96">
        <v>1.4514944935397023</v>
      </c>
      <c r="N110" s="96">
        <v>1.3935471176844594</v>
      </c>
      <c r="O110" s="96">
        <v>1.3854404855796962</v>
      </c>
      <c r="P110" s="96">
        <v>1.3848795166639796</v>
      </c>
      <c r="Q110" s="96">
        <v>1.3869620312344075</v>
      </c>
      <c r="R110" s="96">
        <v>1.3902656303158005</v>
      </c>
      <c r="S110" s="96">
        <v>1.3948722638066033</v>
      </c>
      <c r="T110" s="96">
        <v>1.4101398239222449</v>
      </c>
      <c r="U110" s="96">
        <v>1.4518276476593417</v>
      </c>
      <c r="V110" s="96">
        <v>1.5726898753678236</v>
      </c>
      <c r="W110" s="96">
        <v>1.8174478215396652</v>
      </c>
      <c r="X110" s="96">
        <v>1.9349401764416176</v>
      </c>
      <c r="Y110" s="96">
        <v>1.9977111835923493</v>
      </c>
      <c r="DA110" s="171" t="s">
        <v>883</v>
      </c>
    </row>
    <row r="111" spans="1:105" ht="11.45" customHeight="1" x14ac:dyDescent="0.25">
      <c r="A111" s="109" t="s">
        <v>154</v>
      </c>
      <c r="B111" s="130">
        <v>31.726619862865224</v>
      </c>
      <c r="C111" s="130">
        <v>31.64814903752475</v>
      </c>
      <c r="D111" s="130">
        <v>31.554178030553633</v>
      </c>
      <c r="E111" s="130">
        <v>31.415592756963687</v>
      </c>
      <c r="F111" s="130">
        <v>31.281268176267758</v>
      </c>
      <c r="G111" s="130">
        <v>31.09864672931991</v>
      </c>
      <c r="H111" s="130">
        <v>30.898360468781078</v>
      </c>
      <c r="I111" s="130">
        <v>30.684761597454031</v>
      </c>
      <c r="J111" s="130">
        <v>30.437290299339423</v>
      </c>
      <c r="K111" s="130">
        <v>30.075143347028725</v>
      </c>
      <c r="L111" s="130">
        <v>29.807105859878654</v>
      </c>
      <c r="M111" s="130">
        <v>29.672624472414782</v>
      </c>
      <c r="N111" s="130">
        <v>29.42870902874029</v>
      </c>
      <c r="O111" s="130">
        <v>28.970829193692794</v>
      </c>
      <c r="P111" s="130">
        <v>28.565049754972588</v>
      </c>
      <c r="Q111" s="130">
        <v>28.247788229782412</v>
      </c>
      <c r="R111" s="130">
        <v>27.792923860928276</v>
      </c>
      <c r="S111" s="130">
        <v>27.325231724809555</v>
      </c>
      <c r="T111" s="130">
        <v>26.827200142217301</v>
      </c>
      <c r="U111" s="130">
        <v>26.219264878749211</v>
      </c>
      <c r="V111" s="130">
        <v>25.653198262740535</v>
      </c>
      <c r="W111" s="130">
        <v>25.208913993409428</v>
      </c>
      <c r="X111" s="130">
        <v>24.738547890905178</v>
      </c>
      <c r="Y111" s="130">
        <v>24.199843351321721</v>
      </c>
      <c r="DA111" s="176" t="s">
        <v>884</v>
      </c>
    </row>
    <row r="112" spans="1:105" ht="11.45" customHeight="1" x14ac:dyDescent="0.25">
      <c r="A112" s="128" t="s">
        <v>27</v>
      </c>
      <c r="B112" s="97">
        <v>30.911228126727099</v>
      </c>
      <c r="C112" s="97">
        <v>30.790254580596407</v>
      </c>
      <c r="D112" s="97">
        <v>30.669519515962556</v>
      </c>
      <c r="E112" s="97">
        <v>30.5246826109633</v>
      </c>
      <c r="F112" s="97">
        <v>30.345913950475772</v>
      </c>
      <c r="G112" s="97">
        <v>30.147341339271481</v>
      </c>
      <c r="H112" s="97">
        <v>29.920246484982126</v>
      </c>
      <c r="I112" s="97">
        <v>29.69011471373042</v>
      </c>
      <c r="J112" s="97">
        <v>29.424214903823621</v>
      </c>
      <c r="K112" s="97">
        <v>29.214362330046594</v>
      </c>
      <c r="L112" s="97">
        <v>28.942120847302974</v>
      </c>
      <c r="M112" s="97">
        <v>28.863997978716306</v>
      </c>
      <c r="N112" s="97">
        <v>28.657564851283052</v>
      </c>
      <c r="O112" s="97">
        <v>28.103603658946284</v>
      </c>
      <c r="P112" s="97">
        <v>27.651365881432447</v>
      </c>
      <c r="Q112" s="97">
        <v>27.347073576426961</v>
      </c>
      <c r="R112" s="97">
        <v>26.878968855580812</v>
      </c>
      <c r="S112" s="97">
        <v>26.42877284983755</v>
      </c>
      <c r="T112" s="97">
        <v>25.915771109431553</v>
      </c>
      <c r="U112" s="97">
        <v>25.262493474912201</v>
      </c>
      <c r="V112" s="97">
        <v>24.657147544353357</v>
      </c>
      <c r="W112" s="97">
        <v>24.229863286317215</v>
      </c>
      <c r="X112" s="97">
        <v>23.744206724053022</v>
      </c>
      <c r="Y112" s="97">
        <v>23.143575500913439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36.373737961891614</v>
      </c>
      <c r="D113" s="98">
        <v>36.053512518694554</v>
      </c>
      <c r="E113" s="98">
        <v>35.795677795460328</v>
      </c>
      <c r="F113" s="98">
        <v>35.136943641152719</v>
      </c>
      <c r="G113" s="98">
        <v>34.835722551223142</v>
      </c>
      <c r="H113" s="98">
        <v>34.471970371388799</v>
      </c>
      <c r="I113" s="98">
        <v>33.921825843177317</v>
      </c>
      <c r="J113" s="98">
        <v>33.39079124733626</v>
      </c>
      <c r="K113" s="98">
        <v>33.072289595377654</v>
      </c>
      <c r="L113" s="98">
        <v>32.671525277466948</v>
      </c>
      <c r="M113" s="98">
        <v>32.270573985714215</v>
      </c>
      <c r="N113" s="98">
        <v>31.976088517262756</v>
      </c>
      <c r="O113" s="98">
        <v>31.541790420688869</v>
      </c>
      <c r="P113" s="98">
        <v>31.227710202620042</v>
      </c>
      <c r="Q113" s="98">
        <v>30.748084893608095</v>
      </c>
      <c r="R113" s="98">
        <v>30.287307716625026</v>
      </c>
      <c r="S113" s="98">
        <v>29.638264244425002</v>
      </c>
      <c r="T113" s="98">
        <v>29.242765283970851</v>
      </c>
      <c r="U113" s="98">
        <v>28.730626758305021</v>
      </c>
      <c r="V113" s="98">
        <v>28.233396816355132</v>
      </c>
      <c r="W113" s="98">
        <v>27.657900860117302</v>
      </c>
      <c r="X113" s="98">
        <v>27.196525666457017</v>
      </c>
      <c r="Y113" s="98">
        <v>26.89954727471914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1.0725000000065621</v>
      </c>
      <c r="C117" s="150">
        <f>IF(TrRoad_act!C59=0,0,TrRoad_ene!C62/TrRoad_tech!C90)</f>
        <v>1.0728219561730132</v>
      </c>
      <c r="D117" s="150">
        <f>IF(TrRoad_act!D59=0,0,TrRoad_ene!D62/TrRoad_tech!D90)</f>
        <v>1.0753606520227281</v>
      </c>
      <c r="E117" s="150">
        <f>IF(TrRoad_act!E59=0,0,TrRoad_ene!E62/TrRoad_tech!E90)</f>
        <v>1.0798004889429009</v>
      </c>
      <c r="F117" s="150">
        <f>IF(TrRoad_act!F59=0,0,TrRoad_ene!F62/TrRoad_tech!F90)</f>
        <v>1.0757008262138934</v>
      </c>
      <c r="G117" s="150">
        <f>IF(TrRoad_act!G59=0,0,TrRoad_ene!G62/TrRoad_tech!G90)</f>
        <v>1.0780376006162191</v>
      </c>
      <c r="H117" s="150">
        <f>IF(TrRoad_act!H59=0,0,TrRoad_ene!H62/TrRoad_tech!H90)</f>
        <v>1.0813061620202766</v>
      </c>
      <c r="I117" s="150">
        <f>IF(TrRoad_act!I59=0,0,TrRoad_ene!I62/TrRoad_tech!I90)</f>
        <v>1.0860073517050102</v>
      </c>
      <c r="J117" s="150">
        <f>IF(TrRoad_act!J59=0,0,TrRoad_ene!J62/TrRoad_tech!J90)</f>
        <v>1.0918446609702863</v>
      </c>
      <c r="K117" s="150">
        <f>IF(TrRoad_act!K59=0,0,TrRoad_ene!K62/TrRoad_tech!K90)</f>
        <v>1.1006381077907379</v>
      </c>
      <c r="L117" s="150">
        <f>IF(TrRoad_act!L59=0,0,TrRoad_ene!L62/TrRoad_tech!L90)</f>
        <v>1.106716568002718</v>
      </c>
      <c r="M117" s="150">
        <f>IF(TrRoad_act!M59=0,0,TrRoad_ene!M62/TrRoad_tech!M90)</f>
        <v>1.1132965736050588</v>
      </c>
      <c r="N117" s="150">
        <f>IF(TrRoad_act!N59=0,0,TrRoad_ene!N62/TrRoad_tech!N90)</f>
        <v>1.1195576454670269</v>
      </c>
      <c r="O117" s="150">
        <f>IF(TrRoad_act!O59=0,0,TrRoad_ene!O62/TrRoad_tech!O90)</f>
        <v>1.1428497073688073</v>
      </c>
      <c r="P117" s="150">
        <f>IF(TrRoad_act!P59=0,0,TrRoad_ene!P62/TrRoad_tech!P90)</f>
        <v>1.1611502080473102</v>
      </c>
      <c r="Q117" s="150">
        <f>IF(TrRoad_act!Q59=0,0,TrRoad_ene!Q62/TrRoad_tech!Q90)</f>
        <v>1.1646382882583193</v>
      </c>
      <c r="R117" s="150">
        <f>IF(TrRoad_act!R59=0,0,TrRoad_ene!R62/TrRoad_tech!R90)</f>
        <v>1.1675119382828387</v>
      </c>
      <c r="S117" s="150">
        <f>IF(TrRoad_act!S59=0,0,TrRoad_ene!S62/TrRoad_tech!S90)</f>
        <v>1.2309335364822764</v>
      </c>
      <c r="T117" s="150">
        <f>IF(TrRoad_act!T59=0,0,TrRoad_ene!T62/TrRoad_tech!T90)</f>
        <v>1.2427195042956076</v>
      </c>
      <c r="U117" s="150">
        <f>IF(TrRoad_act!U59=0,0,TrRoad_ene!U62/TrRoad_tech!U90)</f>
        <v>1.2587679355531842</v>
      </c>
      <c r="V117" s="150">
        <f>IF(TrRoad_act!V59=0,0,TrRoad_ene!V62/TrRoad_tech!V90)</f>
        <v>1.2792330028646048</v>
      </c>
      <c r="W117" s="150">
        <f>IF(TrRoad_act!W59=0,0,TrRoad_ene!W62/TrRoad_tech!W90)</f>
        <v>1.23670492348834</v>
      </c>
      <c r="X117" s="150">
        <f>IF(TrRoad_act!X59=0,0,TrRoad_ene!X62/TrRoad_tech!X90)</f>
        <v>1.2543148469628589</v>
      </c>
      <c r="Y117" s="150">
        <f>IF(TrRoad_act!Y59=0,0,TrRoad_ene!Y62/TrRoad_tech!Y90)</f>
        <v>1.2732039590813056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0.89389996075262235</v>
      </c>
      <c r="C118" s="151">
        <f>IF(TrRoad_act!C60=0,0,TrRoad_ene!C63/TrRoad_tech!C91)</f>
        <v>0.92739514107098164</v>
      </c>
      <c r="D118" s="151">
        <f>IF(TrRoad_act!D60=0,0,TrRoad_ene!D63/TrRoad_tech!D91)</f>
        <v>1.0146299320737855</v>
      </c>
      <c r="E118" s="151">
        <f>IF(TrRoad_act!E60=0,0,TrRoad_ene!E63/TrRoad_tech!E91)</f>
        <v>1.0691913576212553</v>
      </c>
      <c r="F118" s="151">
        <f>IF(TrRoad_act!F60=0,0,TrRoad_ene!F63/TrRoad_tech!F91)</f>
        <v>1.0821319415306832</v>
      </c>
      <c r="G118" s="151">
        <f>IF(TrRoad_act!G60=0,0,TrRoad_ene!G63/TrRoad_tech!G91)</f>
        <v>1.1044121494939692</v>
      </c>
      <c r="H118" s="151">
        <f>IF(TrRoad_act!H60=0,0,TrRoad_ene!H63/TrRoad_tech!H91)</f>
        <v>1.0907214398531861</v>
      </c>
      <c r="I118" s="151">
        <f>IF(TrRoad_act!I60=0,0,TrRoad_ene!I63/TrRoad_tech!I91)</f>
        <v>1.0975715421714154</v>
      </c>
      <c r="J118" s="151">
        <f>IF(TrRoad_act!J60=0,0,TrRoad_ene!J63/TrRoad_tech!J91)</f>
        <v>1.1007365218751659</v>
      </c>
      <c r="K118" s="151">
        <f>IF(TrRoad_act!K60=0,0,TrRoad_ene!K63/TrRoad_tech!K91)</f>
        <v>1.1092567641105253</v>
      </c>
      <c r="L118" s="151">
        <f>IF(TrRoad_act!L60=0,0,TrRoad_ene!L63/TrRoad_tech!L91)</f>
        <v>1.1235177587566338</v>
      </c>
      <c r="M118" s="151">
        <f>IF(TrRoad_act!M60=0,0,TrRoad_ene!M63/TrRoad_tech!M91)</f>
        <v>1.0964904923977521</v>
      </c>
      <c r="N118" s="151">
        <f>IF(TrRoad_act!N60=0,0,TrRoad_ene!N63/TrRoad_tech!N91)</f>
        <v>1.1056479913393376</v>
      </c>
      <c r="O118" s="151">
        <f>IF(TrRoad_act!O60=0,0,TrRoad_ene!O63/TrRoad_tech!O91)</f>
        <v>1.1338068396040617</v>
      </c>
      <c r="P118" s="151">
        <f>IF(TrRoad_act!P60=0,0,TrRoad_ene!P63/TrRoad_tech!P91)</f>
        <v>1.1389119221249775</v>
      </c>
      <c r="Q118" s="151">
        <f>IF(TrRoad_act!Q60=0,0,TrRoad_ene!Q63/TrRoad_tech!Q91)</f>
        <v>1.1625054480952166</v>
      </c>
      <c r="R118" s="151">
        <f>IF(TrRoad_act!R60=0,0,TrRoad_ene!R63/TrRoad_tech!R91)</f>
        <v>1.1725277628747164</v>
      </c>
      <c r="S118" s="151">
        <f>IF(TrRoad_act!S60=0,0,TrRoad_ene!S63/TrRoad_tech!S91)</f>
        <v>1.1839980609692866</v>
      </c>
      <c r="T118" s="151">
        <f>IF(TrRoad_act!T60=0,0,TrRoad_ene!T63/TrRoad_tech!T91)</f>
        <v>1.2004209719015717</v>
      </c>
      <c r="U118" s="151">
        <f>IF(TrRoad_act!U60=0,0,TrRoad_ene!U63/TrRoad_tech!U91)</f>
        <v>1.2036003768864145</v>
      </c>
      <c r="V118" s="151">
        <f>IF(TrRoad_act!V60=0,0,TrRoad_ene!V63/TrRoad_tech!V91)</f>
        <v>1.188643689024097</v>
      </c>
      <c r="W118" s="151">
        <f>IF(TrRoad_act!W60=0,0,TrRoad_ene!W63/TrRoad_tech!W91)</f>
        <v>1.1956830489936472</v>
      </c>
      <c r="X118" s="151">
        <f>IF(TrRoad_act!X60=0,0,TrRoad_ene!X63/TrRoad_tech!X91)</f>
        <v>1.1523918165816849</v>
      </c>
      <c r="Y118" s="151">
        <f>IF(TrRoad_act!Y60=0,0,TrRoad_ene!Y63/TrRoad_tech!Y91)</f>
        <v>1.1760390502371623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0.81119993576152039</v>
      </c>
      <c r="C119" s="91">
        <f>IF(TrRoad_act!C61=0,0,TrRoad_ene!C64/TrRoad_tech!C92)</f>
        <v>0.82832957284453079</v>
      </c>
      <c r="D119" s="91">
        <f>IF(TrRoad_act!D61=0,0,TrRoad_ene!D64/TrRoad_tech!D92)</f>
        <v>0.93493159300961037</v>
      </c>
      <c r="E119" s="91">
        <f>IF(TrRoad_act!E61=0,0,TrRoad_ene!E64/TrRoad_tech!E92)</f>
        <v>1.0014284737037609</v>
      </c>
      <c r="F119" s="91">
        <f>IF(TrRoad_act!F61=0,0,TrRoad_ene!F64/TrRoad_tech!F92)</f>
        <v>1.0250616882560366</v>
      </c>
      <c r="G119" s="91">
        <f>IF(TrRoad_act!G61=0,0,TrRoad_ene!G64/TrRoad_tech!G92)</f>
        <v>1.0505671230008322</v>
      </c>
      <c r="H119" s="91">
        <f>IF(TrRoad_act!H61=0,0,TrRoad_ene!H64/TrRoad_tech!H92)</f>
        <v>1.0559992255533905</v>
      </c>
      <c r="I119" s="91">
        <f>IF(TrRoad_act!I61=0,0,TrRoad_ene!I64/TrRoad_tech!I92)</f>
        <v>1.0771396788334047</v>
      </c>
      <c r="J119" s="91">
        <f>IF(TrRoad_act!J61=0,0,TrRoad_ene!J64/TrRoad_tech!J92)</f>
        <v>1.0974876995407337</v>
      </c>
      <c r="K119" s="91">
        <f>IF(TrRoad_act!K61=0,0,TrRoad_ene!K64/TrRoad_tech!K92)</f>
        <v>1.1049293116318077</v>
      </c>
      <c r="L119" s="91">
        <f>IF(TrRoad_act!L61=0,0,TrRoad_ene!L64/TrRoad_tech!L92)</f>
        <v>1.1153650930850987</v>
      </c>
      <c r="M119" s="91">
        <f>IF(TrRoad_act!M61=0,0,TrRoad_ene!M64/TrRoad_tech!M92)</f>
        <v>1.0956705187019751</v>
      </c>
      <c r="N119" s="91">
        <f>IF(TrRoad_act!N61=0,0,TrRoad_ene!N64/TrRoad_tech!N92)</f>
        <v>1.1029076340261532</v>
      </c>
      <c r="O119" s="91">
        <f>IF(TrRoad_act!O61=0,0,TrRoad_ene!O64/TrRoad_tech!O92)</f>
        <v>1.1182203162523587</v>
      </c>
      <c r="P119" s="91">
        <f>IF(TrRoad_act!P61=0,0,TrRoad_ene!P64/TrRoad_tech!P92)</f>
        <v>1.1460168658573142</v>
      </c>
      <c r="Q119" s="91">
        <f>IF(TrRoad_act!Q61=0,0,TrRoad_ene!Q64/TrRoad_tech!Q92)</f>
        <v>1.1941224075339913</v>
      </c>
      <c r="R119" s="91">
        <f>IF(TrRoad_act!R61=0,0,TrRoad_ene!R64/TrRoad_tech!R92)</f>
        <v>1.2158854745463006</v>
      </c>
      <c r="S119" s="91">
        <f>IF(TrRoad_act!S61=0,0,TrRoad_ene!S64/TrRoad_tech!S92)</f>
        <v>1.2351260920808869</v>
      </c>
      <c r="T119" s="91">
        <f>IF(TrRoad_act!T61=0,0,TrRoad_ene!T64/TrRoad_tech!T92)</f>
        <v>1.2527901462491415</v>
      </c>
      <c r="U119" s="91">
        <f>IF(TrRoad_act!U61=0,0,TrRoad_ene!U64/TrRoad_tech!U92)</f>
        <v>1.2434698396806965</v>
      </c>
      <c r="V119" s="91">
        <f>IF(TrRoad_act!V61=0,0,TrRoad_ene!V64/TrRoad_tech!V92)</f>
        <v>1.2204258449481775</v>
      </c>
      <c r="W119" s="91">
        <f>IF(TrRoad_act!W61=0,0,TrRoad_ene!W64/TrRoad_tech!W92)</f>
        <v>1.2333330165211602</v>
      </c>
      <c r="X119" s="91">
        <f>IF(TrRoad_act!X61=0,0,TrRoad_ene!X64/TrRoad_tech!X92)</f>
        <v>1.1981251988957424</v>
      </c>
      <c r="Y119" s="91">
        <f>IF(TrRoad_act!Y61=0,0,TrRoad_ene!Y64/TrRoad_tech!Y92)</f>
        <v>1.2798314840101763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1.0056014295320717</v>
      </c>
      <c r="C120" s="91">
        <f>IF(TrRoad_act!C62=0,0,TrRoad_ene!C65/TrRoad_tech!C93)</f>
        <v>1.0613411291202954</v>
      </c>
      <c r="D120" s="91">
        <f>IF(TrRoad_act!D62=0,0,TrRoad_ene!D65/TrRoad_tech!D93)</f>
        <v>1.116403208030869</v>
      </c>
      <c r="E120" s="91">
        <f>IF(TrRoad_act!E62=0,0,TrRoad_ene!E65/TrRoad_tech!E93)</f>
        <v>1.1521873454998046</v>
      </c>
      <c r="F120" s="91">
        <f>IF(TrRoad_act!F62=0,0,TrRoad_ene!F65/TrRoad_tech!F93)</f>
        <v>1.1500282272181612</v>
      </c>
      <c r="G120" s="91">
        <f>IF(TrRoad_act!G62=0,0,TrRoad_ene!G65/TrRoad_tech!G93)</f>
        <v>1.1661906014092662</v>
      </c>
      <c r="H120" s="91">
        <f>IF(TrRoad_act!H62=0,0,TrRoad_ene!H65/TrRoad_tech!H93)</f>
        <v>1.1347159510263993</v>
      </c>
      <c r="I120" s="91">
        <f>IF(TrRoad_act!I62=0,0,TrRoad_ene!I65/TrRoad_tech!I93)</f>
        <v>1.1297663219517806</v>
      </c>
      <c r="J120" s="91">
        <f>IF(TrRoad_act!J62=0,0,TrRoad_ene!J65/TrRoad_tech!J93)</f>
        <v>1.1220789171475269</v>
      </c>
      <c r="K120" s="91">
        <f>IF(TrRoad_act!K62=0,0,TrRoad_ene!K65/TrRoad_tech!K93)</f>
        <v>1.1324599849948707</v>
      </c>
      <c r="L120" s="91">
        <f>IF(TrRoad_act!L62=0,0,TrRoad_ene!L65/TrRoad_tech!L93)</f>
        <v>1.1535016325604921</v>
      </c>
      <c r="M120" s="91">
        <f>IF(TrRoad_act!M62=0,0,TrRoad_ene!M65/TrRoad_tech!M93)</f>
        <v>1.124716818796121</v>
      </c>
      <c r="N120" s="91">
        <f>IF(TrRoad_act!N62=0,0,TrRoad_ene!N65/TrRoad_tech!N93)</f>
        <v>1.1377322501820861</v>
      </c>
      <c r="O120" s="91">
        <f>IF(TrRoad_act!O62=0,0,TrRoad_ene!O65/TrRoad_tech!O93)</f>
        <v>1.1771384203802882</v>
      </c>
      <c r="P120" s="91">
        <f>IF(TrRoad_act!P62=0,0,TrRoad_ene!P65/TrRoad_tech!P93)</f>
        <v>1.172246614539699</v>
      </c>
      <c r="Q120" s="91">
        <f>IF(TrRoad_act!Q62=0,0,TrRoad_ene!Q65/TrRoad_tech!Q93)</f>
        <v>1.1877420965158867</v>
      </c>
      <c r="R120" s="91">
        <f>IF(TrRoad_act!R62=0,0,TrRoad_ene!R65/TrRoad_tech!R93)</f>
        <v>1.1957643950485373</v>
      </c>
      <c r="S120" s="91">
        <f>IF(TrRoad_act!S62=0,0,TrRoad_ene!S65/TrRoad_tech!S93)</f>
        <v>1.2032414415852959</v>
      </c>
      <c r="T120" s="91">
        <f>IF(TrRoad_act!T62=0,0,TrRoad_ene!T65/TrRoad_tech!T93)</f>
        <v>1.2167182693891399</v>
      </c>
      <c r="U120" s="91">
        <f>IF(TrRoad_act!U62=0,0,TrRoad_ene!U65/TrRoad_tech!U93)</f>
        <v>1.2202383519255233</v>
      </c>
      <c r="V120" s="91">
        <f>IF(TrRoad_act!V62=0,0,TrRoad_ene!V65/TrRoad_tech!V93)</f>
        <v>1.2116091101204813</v>
      </c>
      <c r="W120" s="91">
        <f>IF(TrRoad_act!W62=0,0,TrRoad_ene!W65/TrRoad_tech!W93)</f>
        <v>1.216986994488598</v>
      </c>
      <c r="X120" s="91">
        <f>IF(TrRoad_act!X62=0,0,TrRoad_ene!X65/TrRoad_tech!X93)</f>
        <v>1.1681098414592572</v>
      </c>
      <c r="Y120" s="91">
        <f>IF(TrRoad_act!Y62=0,0,TrRoad_ene!Y65/TrRoad_tech!Y93)</f>
        <v>1.1623583470656564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0.87978328371913306</v>
      </c>
      <c r="C121" s="91">
        <f>IF(TrRoad_act!C63=0,0,TrRoad_ene!C66/TrRoad_tech!C94)</f>
        <v>0.93961928542215289</v>
      </c>
      <c r="D121" s="91">
        <f>IF(TrRoad_act!D63=0,0,TrRoad_ene!D66/TrRoad_tech!D94)</f>
        <v>0.93305688316020174</v>
      </c>
      <c r="E121" s="91">
        <f>IF(TrRoad_act!E63=0,0,TrRoad_ene!E66/TrRoad_tech!E94)</f>
        <v>0.93557629525774966</v>
      </c>
      <c r="F121" s="91">
        <f>IF(TrRoad_act!F63=0,0,TrRoad_ene!F66/TrRoad_tech!F94)</f>
        <v>0.95710226772098284</v>
      </c>
      <c r="G121" s="91">
        <f>IF(TrRoad_act!G63=0,0,TrRoad_ene!G66/TrRoad_tech!G94)</f>
        <v>0.90381735868567081</v>
      </c>
      <c r="H121" s="91">
        <f>IF(TrRoad_act!H63=0,0,TrRoad_ene!H66/TrRoad_tech!H94)</f>
        <v>0.8841602808512955</v>
      </c>
      <c r="I121" s="91">
        <f>IF(TrRoad_act!I63=0,0,TrRoad_ene!I66/TrRoad_tech!I94)</f>
        <v>0.89179109030305115</v>
      </c>
      <c r="J121" s="91">
        <f>IF(TrRoad_act!J63=0,0,TrRoad_ene!J66/TrRoad_tech!J94)</f>
        <v>0.92752157160696913</v>
      </c>
      <c r="K121" s="91">
        <f>IF(TrRoad_act!K63=0,0,TrRoad_ene!K66/TrRoad_tech!K94)</f>
        <v>0.96649476375689991</v>
      </c>
      <c r="L121" s="91">
        <f>IF(TrRoad_act!L63=0,0,TrRoad_ene!L66/TrRoad_tech!L94)</f>
        <v>0.95683923915537783</v>
      </c>
      <c r="M121" s="91">
        <f>IF(TrRoad_act!M63=0,0,TrRoad_ene!M66/TrRoad_tech!M94)</f>
        <v>0.91073424517127133</v>
      </c>
      <c r="N121" s="91">
        <f>IF(TrRoad_act!N63=0,0,TrRoad_ene!N66/TrRoad_tech!N94)</f>
        <v>0.92550378562479174</v>
      </c>
      <c r="O121" s="91">
        <f>IF(TrRoad_act!O63=0,0,TrRoad_ene!O66/TrRoad_tech!O94)</f>
        <v>0.91745641459685578</v>
      </c>
      <c r="P121" s="91">
        <f>IF(TrRoad_act!P63=0,0,TrRoad_ene!P66/TrRoad_tech!P94)</f>
        <v>0.8692587635737582</v>
      </c>
      <c r="Q121" s="91">
        <f>IF(TrRoad_act!Q63=0,0,TrRoad_ene!Q66/TrRoad_tech!Q94)</f>
        <v>0.85911081034944381</v>
      </c>
      <c r="R121" s="91">
        <f>IF(TrRoad_act!R63=0,0,TrRoad_ene!R66/TrRoad_tech!R94)</f>
        <v>0.9651487596040107</v>
      </c>
      <c r="S121" s="91">
        <f>IF(TrRoad_act!S63=0,0,TrRoad_ene!S66/TrRoad_tech!S94)</f>
        <v>1.0328520514414037</v>
      </c>
      <c r="T121" s="91">
        <f>IF(TrRoad_act!T63=0,0,TrRoad_ene!T66/TrRoad_tech!T94)</f>
        <v>0.95179907162271571</v>
      </c>
      <c r="U121" s="91">
        <f>IF(TrRoad_act!U63=0,0,TrRoad_ene!U66/TrRoad_tech!U94)</f>
        <v>1.0673229464018157</v>
      </c>
      <c r="V121" s="91">
        <f>IF(TrRoad_act!V63=0,0,TrRoad_ene!V66/TrRoad_tech!V94)</f>
        <v>0.85048427419182948</v>
      </c>
      <c r="W121" s="91">
        <f>IF(TrRoad_act!W63=0,0,TrRoad_ene!W66/TrRoad_tech!W94)</f>
        <v>0.65366602971918641</v>
      </c>
      <c r="X121" s="91">
        <f>IF(TrRoad_act!X63=0,0,TrRoad_ene!X66/TrRoad_tech!X94)</f>
        <v>0.97388506540184894</v>
      </c>
      <c r="Y121" s="91">
        <f>IF(TrRoad_act!Y63=0,0,TrRoad_ene!Y66/TrRoad_tech!Y94)</f>
        <v>0.99842014476318752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1.0400000000040801</v>
      </c>
      <c r="I122" s="91">
        <f>IF(TrRoad_act!I64=0,0,TrRoad_ene!I67/TrRoad_tech!I95)</f>
        <v>1.0424953785324766</v>
      </c>
      <c r="J122" s="91">
        <f>IF(TrRoad_act!J64=0,0,TrRoad_ene!J67/TrRoad_tech!J95)</f>
        <v>1.0460774269468682</v>
      </c>
      <c r="K122" s="91">
        <f>IF(TrRoad_act!K64=0,0,TrRoad_ene!K67/TrRoad_tech!K95)</f>
        <v>1.0469720381375454</v>
      </c>
      <c r="L122" s="91">
        <f>IF(TrRoad_act!L64=0,0,TrRoad_ene!L67/TrRoad_tech!L95)</f>
        <v>1.0494248824012815</v>
      </c>
      <c r="M122" s="91">
        <f>IF(TrRoad_act!M64=0,0,TrRoad_ene!M67/TrRoad_tech!M95)</f>
        <v>1.0547088345308935</v>
      </c>
      <c r="N122" s="91">
        <f>IF(TrRoad_act!N64=0,0,TrRoad_ene!N67/TrRoad_tech!N95)</f>
        <v>1.0564639574080261</v>
      </c>
      <c r="O122" s="91">
        <f>IF(TrRoad_act!O64=0,0,TrRoad_ene!O67/TrRoad_tech!O95)</f>
        <v>1.0589112500260514</v>
      </c>
      <c r="P122" s="91">
        <f>IF(TrRoad_act!P64=0,0,TrRoad_ene!P67/TrRoad_tech!P95)</f>
        <v>1.0624074755256208</v>
      </c>
      <c r="Q122" s="91">
        <f>IF(TrRoad_act!Q64=0,0,TrRoad_ene!Q67/TrRoad_tech!Q95)</f>
        <v>1.0659227134449651</v>
      </c>
      <c r="R122" s="91">
        <f>IF(TrRoad_act!R64=0,0,TrRoad_ene!R67/TrRoad_tech!R95)</f>
        <v>1.068697320198136</v>
      </c>
      <c r="S122" s="91">
        <f>IF(TrRoad_act!S64=0,0,TrRoad_ene!S67/TrRoad_tech!S95)</f>
        <v>1.0714941747815052</v>
      </c>
      <c r="T122" s="91">
        <f>IF(TrRoad_act!T64=0,0,TrRoad_ene!T67/TrRoad_tech!T95)</f>
        <v>1.0752371664820928</v>
      </c>
      <c r="U122" s="91">
        <f>IF(TrRoad_act!U64=0,0,TrRoad_ene!U67/TrRoad_tech!U95)</f>
        <v>1.0788047197719388</v>
      </c>
      <c r="V122" s="91">
        <f>IF(TrRoad_act!V64=0,0,TrRoad_ene!V67/TrRoad_tech!V95)</f>
        <v>1.0814828152316502</v>
      </c>
      <c r="W122" s="91">
        <f>IF(TrRoad_act!W64=0,0,TrRoad_ene!W67/TrRoad_tech!W95)</f>
        <v>1.0829994103477385</v>
      </c>
      <c r="X122" s="91">
        <f>IF(TrRoad_act!X64=0,0,TrRoad_ene!X67/TrRoad_tech!X95)</f>
        <v>1.0843253033765687</v>
      </c>
      <c r="Y122" s="91">
        <f>IF(TrRoad_act!Y64=0,0,TrRoad_ene!Y67/TrRoad_tech!Y95)</f>
        <v>1.0858034495378264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1.1028064858839723</v>
      </c>
      <c r="N123" s="91">
        <f>IF(TrRoad_act!N65=0,0,TrRoad_ene!N68/TrRoad_tech!N96)</f>
        <v>1.1065641414287177</v>
      </c>
      <c r="O123" s="91">
        <f>IF(TrRoad_act!O65=0,0,TrRoad_ene!O68/TrRoad_tech!O96)</f>
        <v>1.1080122749960353</v>
      </c>
      <c r="P123" s="91">
        <f>IF(TrRoad_act!P65=0,0,TrRoad_ene!P68/TrRoad_tech!P96)</f>
        <v>1.1295038348631345</v>
      </c>
      <c r="Q123" s="91">
        <f>IF(TrRoad_act!Q65=0,0,TrRoad_ene!Q68/TrRoad_tech!Q96)</f>
        <v>1.1688893680423595</v>
      </c>
      <c r="R123" s="91">
        <f>IF(TrRoad_act!R65=0,0,TrRoad_ene!R68/TrRoad_tech!R96)</f>
        <v>1.1919882594486502</v>
      </c>
      <c r="S123" s="91">
        <f>IF(TrRoad_act!S65=0,0,TrRoad_ene!S68/TrRoad_tech!S96)</f>
        <v>1.2058988744260215</v>
      </c>
      <c r="T123" s="91">
        <f>IF(TrRoad_act!T65=0,0,TrRoad_ene!T68/TrRoad_tech!T96)</f>
        <v>1.2164206646281024</v>
      </c>
      <c r="U123" s="91">
        <f>IF(TrRoad_act!U65=0,0,TrRoad_ene!U68/TrRoad_tech!U96)</f>
        <v>1.2054232332932147</v>
      </c>
      <c r="V123" s="91">
        <f>IF(TrRoad_act!V65=0,0,TrRoad_ene!V68/TrRoad_tech!V96)</f>
        <v>1.1824097828467079</v>
      </c>
      <c r="W123" s="91">
        <f>IF(TrRoad_act!W65=0,0,TrRoad_ene!W68/TrRoad_tech!W96)</f>
        <v>1.1815112812337198</v>
      </c>
      <c r="X123" s="91">
        <f>IF(TrRoad_act!X65=0,0,TrRoad_ene!X68/TrRoad_tech!X96)</f>
        <v>1.1597613846102588</v>
      </c>
      <c r="Y123" s="91">
        <f>IF(TrRoad_act!Y65=0,0,TrRoad_ene!Y68/TrRoad_tech!Y96)</f>
        <v>1.1956983050899823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1.0510869205689446</v>
      </c>
      <c r="L124" s="91">
        <f>IF(TrRoad_act!L66=0,0,TrRoad_ene!L69/TrRoad_tech!L97)</f>
        <v>1.0525471061485698</v>
      </c>
      <c r="M124" s="91">
        <f>IF(TrRoad_act!M66=0,0,TrRoad_ene!M69/TrRoad_tech!M97)</f>
        <v>1.0576850549262089</v>
      </c>
      <c r="N124" s="91">
        <f>IF(TrRoad_act!N66=0,0,TrRoad_ene!N69/TrRoad_tech!N97)</f>
        <v>1.0602801558865895</v>
      </c>
      <c r="O124" s="91">
        <f>IF(TrRoad_act!O66=0,0,TrRoad_ene!O69/TrRoad_tech!O97)</f>
        <v>1.0640440460734655</v>
      </c>
      <c r="P124" s="91">
        <f>IF(TrRoad_act!P66=0,0,TrRoad_ene!P69/TrRoad_tech!P97)</f>
        <v>1.0693693151068178</v>
      </c>
      <c r="Q124" s="91">
        <f>IF(TrRoad_act!Q66=0,0,TrRoad_ene!Q69/TrRoad_tech!Q97)</f>
        <v>1.074821680041641</v>
      </c>
      <c r="R124" s="91">
        <f>IF(TrRoad_act!R66=0,0,TrRoad_ene!R69/TrRoad_tech!R97)</f>
        <v>1.0811140532340233</v>
      </c>
      <c r="S124" s="91">
        <f>IF(TrRoad_act!S66=0,0,TrRoad_ene!S69/TrRoad_tech!S97)</f>
        <v>1.0853139498763607</v>
      </c>
      <c r="T124" s="91">
        <f>IF(TrRoad_act!T66=0,0,TrRoad_ene!T69/TrRoad_tech!T97)</f>
        <v>1.0890452458024464</v>
      </c>
      <c r="U124" s="91">
        <f>IF(TrRoad_act!U66=0,0,TrRoad_ene!U69/TrRoad_tech!U97)</f>
        <v>1.0920110457384178</v>
      </c>
      <c r="V124" s="91">
        <f>IF(TrRoad_act!V66=0,0,TrRoad_ene!V69/TrRoad_tech!V97)</f>
        <v>1.0946948220284576</v>
      </c>
      <c r="W124" s="91">
        <f>IF(TrRoad_act!W66=0,0,TrRoad_ene!W69/TrRoad_tech!W97)</f>
        <v>1.0969366129442799</v>
      </c>
      <c r="X124" s="91">
        <f>IF(TrRoad_act!X66=0,0,TrRoad_ene!X69/TrRoad_tech!X97)</f>
        <v>1.097919824601566</v>
      </c>
      <c r="Y124" s="91">
        <f>IF(TrRoad_act!Y66=0,0,TrRoad_ene!Y69/TrRoad_tech!Y97)</f>
        <v>1.0988744868490439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1.100527076200853</v>
      </c>
      <c r="C125" s="151">
        <f>IF(TrRoad_act!C67=0,0,TrRoad_ene!C70/TrRoad_tech!C98)</f>
        <v>1.0963665729820429</v>
      </c>
      <c r="D125" s="151">
        <f>IF(TrRoad_act!D67=0,0,TrRoad_ene!D70/TrRoad_tech!D98)</f>
        <v>1.0962982148841769</v>
      </c>
      <c r="E125" s="151">
        <f>IF(TrRoad_act!E67=0,0,TrRoad_ene!E70/TrRoad_tech!E98)</f>
        <v>1.0965788453007996</v>
      </c>
      <c r="F125" s="151">
        <f>IF(TrRoad_act!F67=0,0,TrRoad_ene!F70/TrRoad_tech!F98)</f>
        <v>1.0981532903192481</v>
      </c>
      <c r="G125" s="151">
        <f>IF(TrRoad_act!G67=0,0,TrRoad_ene!G70/TrRoad_tech!G98)</f>
        <v>1.1012178423132963</v>
      </c>
      <c r="H125" s="151">
        <f>IF(TrRoad_act!H67=0,0,TrRoad_ene!H70/TrRoad_tech!H98)</f>
        <v>1.1054071664425429</v>
      </c>
      <c r="I125" s="151">
        <f>IF(TrRoad_act!I67=0,0,TrRoad_ene!I70/TrRoad_tech!I98)</f>
        <v>1.1117755975772661</v>
      </c>
      <c r="J125" s="151">
        <f>IF(TrRoad_act!J67=0,0,TrRoad_ene!J70/TrRoad_tech!J98)</f>
        <v>1.1205323313920348</v>
      </c>
      <c r="K125" s="151">
        <f>IF(TrRoad_act!K67=0,0,TrRoad_ene!K70/TrRoad_tech!K98)</f>
        <v>1.126844427669959</v>
      </c>
      <c r="L125" s="151">
        <f>IF(TrRoad_act!L67=0,0,TrRoad_ene!L70/TrRoad_tech!L98)</f>
        <v>1.1353603114730595</v>
      </c>
      <c r="M125" s="151">
        <f>IF(TrRoad_act!M67=0,0,TrRoad_ene!M70/TrRoad_tech!M98)</f>
        <v>1.1385657807782155</v>
      </c>
      <c r="N125" s="151">
        <f>IF(TrRoad_act!N67=0,0,TrRoad_ene!N70/TrRoad_tech!N98)</f>
        <v>1.1477630894372088</v>
      </c>
      <c r="O125" s="151">
        <f>IF(TrRoad_act!O67=0,0,TrRoad_ene!O70/TrRoad_tech!O98)</f>
        <v>1.1548736975304348</v>
      </c>
      <c r="P125" s="151">
        <f>IF(TrRoad_act!P67=0,0,TrRoad_ene!P70/TrRoad_tech!P98)</f>
        <v>1.1697206564502525</v>
      </c>
      <c r="Q125" s="151">
        <f>IF(TrRoad_act!Q67=0,0,TrRoad_ene!Q70/TrRoad_tech!Q98)</f>
        <v>1.1840831871421122</v>
      </c>
      <c r="R125" s="151">
        <f>IF(TrRoad_act!R67=0,0,TrRoad_ene!R70/TrRoad_tech!R98)</f>
        <v>1.2165716487439069</v>
      </c>
      <c r="S125" s="151">
        <f>IF(TrRoad_act!S67=0,0,TrRoad_ene!S70/TrRoad_tech!S98)</f>
        <v>1.2376853665500842</v>
      </c>
      <c r="T125" s="151">
        <f>IF(TrRoad_act!T67=0,0,TrRoad_ene!T70/TrRoad_tech!T98)</f>
        <v>1.2625952322156122</v>
      </c>
      <c r="U125" s="151">
        <f>IF(TrRoad_act!U67=0,0,TrRoad_ene!U70/TrRoad_tech!U98)</f>
        <v>1.2790853989182107</v>
      </c>
      <c r="V125" s="151">
        <f>IF(TrRoad_act!V67=0,0,TrRoad_ene!V70/TrRoad_tech!V98)</f>
        <v>1.2935574742666729</v>
      </c>
      <c r="W125" s="151">
        <f>IF(TrRoad_act!W67=0,0,TrRoad_ene!W70/TrRoad_tech!W98)</f>
        <v>1.2991144255468474</v>
      </c>
      <c r="X125" s="151">
        <f>IF(TrRoad_act!X67=0,0,TrRoad_ene!X70/TrRoad_tech!X98)</f>
        <v>1.3090269853290348</v>
      </c>
      <c r="Y125" s="151">
        <f>IF(TrRoad_act!Y67=0,0,TrRoad_ene!Y70/TrRoad_tech!Y98)</f>
        <v>1.3197773640996722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1.1003436128795512</v>
      </c>
      <c r="D126" s="93">
        <f>IF(TrRoad_act!D68=0,0,TrRoad_ene!D71/TrRoad_tech!D99)</f>
        <v>1.1004116695896342</v>
      </c>
      <c r="E126" s="93">
        <f>IF(TrRoad_act!E68=0,0,TrRoad_ene!E71/TrRoad_tech!E99)</f>
        <v>1.1004516931953725</v>
      </c>
      <c r="F126" s="93">
        <f>IF(TrRoad_act!F68=0,0,TrRoad_ene!F71/TrRoad_tech!F99)</f>
        <v>1.1005090260602188</v>
      </c>
      <c r="G126" s="93">
        <f>IF(TrRoad_act!G68=0,0,TrRoad_ene!G71/TrRoad_tech!G99)</f>
        <v>1.1006083502919723</v>
      </c>
      <c r="H126" s="93">
        <f>IF(TrRoad_act!H68=0,0,TrRoad_ene!H71/TrRoad_tech!H99)</f>
        <v>1.1007000108201876</v>
      </c>
      <c r="I126" s="93">
        <f>IF(TrRoad_act!I68=0,0,TrRoad_ene!I71/TrRoad_tech!I99)</f>
        <v>1.1113681154239763</v>
      </c>
      <c r="J126" s="93">
        <f>IF(TrRoad_act!J68=0,0,TrRoad_ene!J71/TrRoad_tech!J99)</f>
        <v>1.1132727411950119</v>
      </c>
      <c r="K126" s="93">
        <f>IF(TrRoad_act!K68=0,0,TrRoad_ene!K71/TrRoad_tech!K99)</f>
        <v>1.1164693897234943</v>
      </c>
      <c r="L126" s="93">
        <f>IF(TrRoad_act!L68=0,0,TrRoad_ene!L71/TrRoad_tech!L99)</f>
        <v>1.1164693897234943</v>
      </c>
      <c r="M126" s="93">
        <f>IF(TrRoad_act!M68=0,0,TrRoad_ene!M71/TrRoad_tech!M99)</f>
        <v>1.1216943169031683</v>
      </c>
      <c r="N126" s="93">
        <f>IF(TrRoad_act!N68=0,0,TrRoad_ene!N71/TrRoad_tech!N99)</f>
        <v>1.1216943169031686</v>
      </c>
      <c r="O126" s="93">
        <f>IF(TrRoad_act!O68=0,0,TrRoad_ene!O71/TrRoad_tech!O99)</f>
        <v>1.131774943311302</v>
      </c>
      <c r="P126" s="93">
        <f>IF(TrRoad_act!P68=0,0,TrRoad_ene!P71/TrRoad_tech!P99)</f>
        <v>1.1826573612104101</v>
      </c>
      <c r="Q126" s="93">
        <f>IF(TrRoad_act!Q68=0,0,TrRoad_ene!Q71/TrRoad_tech!Q99)</f>
        <v>1.1826573612104101</v>
      </c>
      <c r="R126" s="93">
        <f>IF(TrRoad_act!R68=0,0,TrRoad_ene!R71/TrRoad_tech!R99)</f>
        <v>1.2195841667052976</v>
      </c>
      <c r="S126" s="93">
        <f>IF(TrRoad_act!S68=0,0,TrRoad_ene!S71/TrRoad_tech!S99)</f>
        <v>1.2195841667052976</v>
      </c>
      <c r="T126" s="93">
        <f>IF(TrRoad_act!T68=0,0,TrRoad_ene!T71/TrRoad_tech!T99)</f>
        <v>1.2195841667052971</v>
      </c>
      <c r="U126" s="93">
        <f>IF(TrRoad_act!U68=0,0,TrRoad_ene!U71/TrRoad_tech!U99)</f>
        <v>1.2195841667052973</v>
      </c>
      <c r="V126" s="93">
        <f>IF(TrRoad_act!V68=0,0,TrRoad_ene!V71/TrRoad_tech!V99)</f>
        <v>1.2521635897761778</v>
      </c>
      <c r="W126" s="93">
        <f>IF(TrRoad_act!W68=0,0,TrRoad_ene!W71/TrRoad_tech!W99)</f>
        <v>1.2833473359446872</v>
      </c>
      <c r="X126" s="93">
        <f>IF(TrRoad_act!X68=0,0,TrRoad_ene!X71/TrRoad_tech!X99)</f>
        <v>1.2833473359446872</v>
      </c>
      <c r="Y126" s="93">
        <f>IF(TrRoad_act!Y68=0,0,TrRoad_ene!Y71/TrRoad_tech!Y99)</f>
        <v>1.3208763946804158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1.1000000000067305</v>
      </c>
      <c r="C127" s="93">
        <f>IF(TrRoad_act!C69=0,0,TrRoad_ene!C72/TrRoad_tech!C100)</f>
        <v>1.1002990198430755</v>
      </c>
      <c r="D127" s="93">
        <f>IF(TrRoad_act!D69=0,0,TrRoad_ene!D72/TrRoad_tech!D100)</f>
        <v>1.1011679171948214</v>
      </c>
      <c r="E127" s="93">
        <f>IF(TrRoad_act!E69=0,0,TrRoad_ene!E72/TrRoad_tech!E100)</f>
        <v>1.1027085411467354</v>
      </c>
      <c r="F127" s="93">
        <f>IF(TrRoad_act!F69=0,0,TrRoad_ene!F72/TrRoad_tech!F100)</f>
        <v>1.1054538440221586</v>
      </c>
      <c r="G127" s="93">
        <f>IF(TrRoad_act!G69=0,0,TrRoad_ene!G72/TrRoad_tech!G100)</f>
        <v>1.1081095184089456</v>
      </c>
      <c r="H127" s="93">
        <f>IF(TrRoad_act!H69=0,0,TrRoad_ene!H72/TrRoad_tech!H100)</f>
        <v>1.1125193058002292</v>
      </c>
      <c r="I127" s="93">
        <f>IF(TrRoad_act!I69=0,0,TrRoad_ene!I72/TrRoad_tech!I100)</f>
        <v>1.117443661910956</v>
      </c>
      <c r="J127" s="93">
        <f>IF(TrRoad_act!J69=0,0,TrRoad_ene!J72/TrRoad_tech!J100)</f>
        <v>1.1247653636995676</v>
      </c>
      <c r="K127" s="93">
        <f>IF(TrRoad_act!K69=0,0,TrRoad_ene!K72/TrRoad_tech!K100)</f>
        <v>1.129870960155116</v>
      </c>
      <c r="L127" s="93">
        <f>IF(TrRoad_act!L69=0,0,TrRoad_ene!L72/TrRoad_tech!L100)</f>
        <v>1.1375115556055932</v>
      </c>
      <c r="M127" s="93">
        <f>IF(TrRoad_act!M69=0,0,TrRoad_ene!M72/TrRoad_tech!M100)</f>
        <v>1.145258625672904</v>
      </c>
      <c r="N127" s="93">
        <f>IF(TrRoad_act!N69=0,0,TrRoad_ene!N72/TrRoad_tech!N100)</f>
        <v>1.1560006566258025</v>
      </c>
      <c r="O127" s="93">
        <f>IF(TrRoad_act!O69=0,0,TrRoad_ene!O72/TrRoad_tech!O100)</f>
        <v>1.1677336806996237</v>
      </c>
      <c r="P127" s="93">
        <f>IF(TrRoad_act!P69=0,0,TrRoad_ene!P72/TrRoad_tech!P100)</f>
        <v>1.1830999509125808</v>
      </c>
      <c r="Q127" s="93">
        <f>IF(TrRoad_act!Q69=0,0,TrRoad_ene!Q72/TrRoad_tech!Q100)</f>
        <v>1.1998544119143584</v>
      </c>
      <c r="R127" s="93">
        <f>IF(TrRoad_act!R69=0,0,TrRoad_ene!R72/TrRoad_tech!R100)</f>
        <v>1.2195984843469287</v>
      </c>
      <c r="S127" s="93">
        <f>IF(TrRoad_act!S69=0,0,TrRoad_ene!S72/TrRoad_tech!S100)</f>
        <v>1.2417379431408817</v>
      </c>
      <c r="T127" s="93">
        <f>IF(TrRoad_act!T69=0,0,TrRoad_ene!T72/TrRoad_tech!T100)</f>
        <v>1.2671378341346782</v>
      </c>
      <c r="U127" s="93">
        <f>IF(TrRoad_act!U69=0,0,TrRoad_ene!U72/TrRoad_tech!U100)</f>
        <v>1.2858919875389747</v>
      </c>
      <c r="V127" s="93">
        <f>IF(TrRoad_act!V69=0,0,TrRoad_ene!V72/TrRoad_tech!V100)</f>
        <v>1.3015762220475291</v>
      </c>
      <c r="W127" s="93">
        <f>IF(TrRoad_act!W69=0,0,TrRoad_ene!W72/TrRoad_tech!W100)</f>
        <v>1.3088541229470028</v>
      </c>
      <c r="X127" s="93">
        <f>IF(TrRoad_act!X69=0,0,TrRoad_ene!X72/TrRoad_tech!X100)</f>
        <v>1.3197832904606741</v>
      </c>
      <c r="Y127" s="93">
        <f>IF(TrRoad_act!Y69=0,0,TrRoad_ene!Y72/TrRoad_tech!Y100)</f>
        <v>1.3312571492401817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1.1040000000061811</v>
      </c>
      <c r="D128" s="93">
        <f>IF(TrRoad_act!D70=0,0,TrRoad_ene!D73/TrRoad_tech!D101)</f>
        <v>1.1075950447354483</v>
      </c>
      <c r="E128" s="93">
        <f>IF(TrRoad_act!E70=0,0,TrRoad_ene!E73/TrRoad_tech!E101)</f>
        <v>1.1101445236563174</v>
      </c>
      <c r="F128" s="93">
        <f>IF(TrRoad_act!F70=0,0,TrRoad_ene!F73/TrRoad_tech!F101)</f>
        <v>1.1141489914278031</v>
      </c>
      <c r="G128" s="93">
        <f>IF(TrRoad_act!G70=0,0,TrRoad_ene!G73/TrRoad_tech!G101)</f>
        <v>1.1203853068728813</v>
      </c>
      <c r="H128" s="93">
        <f>IF(TrRoad_act!H70=0,0,TrRoad_ene!H73/TrRoad_tech!H101)</f>
        <v>1.1253038162836466</v>
      </c>
      <c r="I128" s="93">
        <f>IF(TrRoad_act!I70=0,0,TrRoad_ene!I73/TrRoad_tech!I101)</f>
        <v>1.1318070423077173</v>
      </c>
      <c r="J128" s="93">
        <f>IF(TrRoad_act!J70=0,0,TrRoad_ene!J73/TrRoad_tech!J101)</f>
        <v>1.1383626201431913</v>
      </c>
      <c r="K128" s="93">
        <f>IF(TrRoad_act!K70=0,0,TrRoad_ene!K73/TrRoad_tech!K101)</f>
        <v>1.1508653160223903</v>
      </c>
      <c r="L128" s="93">
        <f>IF(TrRoad_act!L70=0,0,TrRoad_ene!L73/TrRoad_tech!L101)</f>
        <v>1.1576575880459972</v>
      </c>
      <c r="M128" s="93">
        <f>IF(TrRoad_act!M70=0,0,TrRoad_ene!M73/TrRoad_tech!M101)</f>
        <v>1.1630281448140716</v>
      </c>
      <c r="N128" s="93">
        <f>IF(TrRoad_act!N70=0,0,TrRoad_ene!N73/TrRoad_tech!N101)</f>
        <v>1.1639889329714472</v>
      </c>
      <c r="O128" s="93">
        <f>IF(TrRoad_act!O70=0,0,TrRoad_ene!O73/TrRoad_tech!O101)</f>
        <v>1.1645944504025902</v>
      </c>
      <c r="P128" s="93">
        <f>IF(TrRoad_act!P70=0,0,TrRoad_ene!P73/TrRoad_tech!P101)</f>
        <v>1.1659582121074386</v>
      </c>
      <c r="Q128" s="93">
        <f>IF(TrRoad_act!Q70=0,0,TrRoad_ene!Q73/TrRoad_tech!Q101)</f>
        <v>1.173916757525244</v>
      </c>
      <c r="R128" s="93">
        <f>IF(TrRoad_act!R70=0,0,TrRoad_ene!R73/TrRoad_tech!R101)</f>
        <v>1.1810107179589049</v>
      </c>
      <c r="S128" s="93">
        <f>IF(TrRoad_act!S70=0,0,TrRoad_ene!S73/TrRoad_tech!S101)</f>
        <v>1.1868727767949236</v>
      </c>
      <c r="T128" s="93">
        <f>IF(TrRoad_act!T70=0,0,TrRoad_ene!T73/TrRoad_tech!T101)</f>
        <v>1.1937093472917528</v>
      </c>
      <c r="U128" s="93">
        <f>IF(TrRoad_act!U70=0,0,TrRoad_ene!U73/TrRoad_tech!U101)</f>
        <v>1.2716334433962169</v>
      </c>
      <c r="V128" s="93">
        <f>IF(TrRoad_act!V70=0,0,TrRoad_ene!V73/TrRoad_tech!V101)</f>
        <v>1.3217903502702335</v>
      </c>
      <c r="W128" s="93">
        <f>IF(TrRoad_act!W70=0,0,TrRoad_ene!W73/TrRoad_tech!W101)</f>
        <v>1.3515098472158424</v>
      </c>
      <c r="X128" s="93">
        <f>IF(TrRoad_act!X70=0,0,TrRoad_ene!X73/TrRoad_tech!X101)</f>
        <v>1.3578385169171183</v>
      </c>
      <c r="Y128" s="93">
        <f>IF(TrRoad_act!Y70=0,0,TrRoad_ene!Y73/TrRoad_tech!Y101)</f>
        <v>1.3603770140952769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1.2740569551163512</v>
      </c>
      <c r="G129" s="93">
        <f>IF(TrRoad_act!G71=0,0,TrRoad_ene!G74/TrRoad_tech!G102)</f>
        <v>1.6121574124770859</v>
      </c>
      <c r="H129" s="93">
        <f>IF(TrRoad_act!H71=0,0,TrRoad_ene!H74/TrRoad_tech!H102)</f>
        <v>1.4146232385685034</v>
      </c>
      <c r="I129" s="93">
        <f>IF(TrRoad_act!I71=0,0,TrRoad_ene!I74/TrRoad_tech!I102)</f>
        <v>1.3310558628442453</v>
      </c>
      <c r="J129" s="93">
        <f>IF(TrRoad_act!J71=0,0,TrRoad_ene!J74/TrRoad_tech!J102)</f>
        <v>1.3742766608077921</v>
      </c>
      <c r="K129" s="93">
        <f>IF(TrRoad_act!K71=0,0,TrRoad_ene!K74/TrRoad_tech!K102)</f>
        <v>1.2316523433104145</v>
      </c>
      <c r="L129" s="93">
        <f>IF(TrRoad_act!L71=0,0,TrRoad_ene!L74/TrRoad_tech!L102)</f>
        <v>1.1916787014262522</v>
      </c>
      <c r="M129" s="93">
        <f>IF(TrRoad_act!M71=0,0,TrRoad_ene!M74/TrRoad_tech!M102)</f>
        <v>1.0548236848132571</v>
      </c>
      <c r="N129" s="93">
        <f>IF(TrRoad_act!N71=0,0,TrRoad_ene!N74/TrRoad_tech!N102)</f>
        <v>1.0357988553125157</v>
      </c>
      <c r="O129" s="93">
        <f>IF(TrRoad_act!O71=0,0,TrRoad_ene!O74/TrRoad_tech!O102)</f>
        <v>0.97667052397595511</v>
      </c>
      <c r="P129" s="93">
        <f>IF(TrRoad_act!P71=0,0,TrRoad_ene!P74/TrRoad_tech!P102)</f>
        <v>0.9945647170700882</v>
      </c>
      <c r="Q129" s="93">
        <f>IF(TrRoad_act!Q71=0,0,TrRoad_ene!Q74/TrRoad_tech!Q102)</f>
        <v>0.98956331846387546</v>
      </c>
      <c r="R129" s="93">
        <f>IF(TrRoad_act!R71=0,0,TrRoad_ene!R74/TrRoad_tech!R102)</f>
        <v>1.2209054753930844</v>
      </c>
      <c r="S129" s="93">
        <f>IF(TrRoad_act!S71=0,0,TrRoad_ene!S74/TrRoad_tech!S102)</f>
        <v>1.2304318738633009</v>
      </c>
      <c r="T129" s="93">
        <f>IF(TrRoad_act!T71=0,0,TrRoad_ene!T74/TrRoad_tech!T102)</f>
        <v>1.2366870498176974</v>
      </c>
      <c r="U129" s="93">
        <f>IF(TrRoad_act!U71=0,0,TrRoad_ene!U74/TrRoad_tech!U102)</f>
        <v>1.2411977134179819</v>
      </c>
      <c r="V129" s="93">
        <f>IF(TrRoad_act!V71=0,0,TrRoad_ene!V74/TrRoad_tech!V102)</f>
        <v>1.2431143798939703</v>
      </c>
      <c r="W129" s="93">
        <f>IF(TrRoad_act!W71=0,0,TrRoad_ene!W74/TrRoad_tech!W102)</f>
        <v>1.2535477220358944</v>
      </c>
      <c r="X129" s="93">
        <f>IF(TrRoad_act!X71=0,0,TrRoad_ene!X74/TrRoad_tech!X102)</f>
        <v>1.2539926652999838</v>
      </c>
      <c r="Y129" s="93">
        <f>IF(TrRoad_act!Y71=0,0,TrRoad_ene!Y74/TrRoad_tech!Y102)</f>
        <v>1.2587346049745323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1.1003731719996361</v>
      </c>
      <c r="D130" s="93">
        <f>IF(TrRoad_act!D72=0,0,TrRoad_ene!D75/TrRoad_tech!D103)</f>
        <v>1.1013351159331199</v>
      </c>
      <c r="E130" s="93">
        <f>IF(TrRoad_act!E72=0,0,TrRoad_ene!E75/TrRoad_tech!E103)</f>
        <v>1.1031011054254161</v>
      </c>
      <c r="F130" s="93">
        <f>IF(TrRoad_act!F72=0,0,TrRoad_ene!F75/TrRoad_tech!F103)</f>
        <v>1.1032102669767709</v>
      </c>
      <c r="G130" s="93">
        <f>IF(TrRoad_act!G72=0,0,TrRoad_ene!G75/TrRoad_tech!G103)</f>
        <v>1.1060347805939488</v>
      </c>
      <c r="H130" s="93">
        <f>IF(TrRoad_act!H72=0,0,TrRoad_ene!H75/TrRoad_tech!H103)</f>
        <v>1.1068686662342495</v>
      </c>
      <c r="I130" s="93">
        <f>IF(TrRoad_act!I72=0,0,TrRoad_ene!I75/TrRoad_tech!I103)</f>
        <v>1.107408118268695</v>
      </c>
      <c r="J130" s="93">
        <f>IF(TrRoad_act!J72=0,0,TrRoad_ene!J75/TrRoad_tech!J103)</f>
        <v>1.1090578667081152</v>
      </c>
      <c r="K130" s="93">
        <f>IF(TrRoad_act!K72=0,0,TrRoad_ene!K75/TrRoad_tech!K103)</f>
        <v>1.1154055932866564</v>
      </c>
      <c r="L130" s="93">
        <f>IF(TrRoad_act!L72=0,0,TrRoad_ene!L75/TrRoad_tech!L103)</f>
        <v>1.1240728185251374</v>
      </c>
      <c r="M130" s="93">
        <f>IF(TrRoad_act!M72=0,0,TrRoad_ene!M75/TrRoad_tech!M103)</f>
        <v>1.129425409904232</v>
      </c>
      <c r="N130" s="93">
        <f>IF(TrRoad_act!N72=0,0,TrRoad_ene!N75/TrRoad_tech!N103)</f>
        <v>1.1449202881079761</v>
      </c>
      <c r="O130" s="93">
        <f>IF(TrRoad_act!O72=0,0,TrRoad_ene!O75/TrRoad_tech!O103)</f>
        <v>1.1601485294521254</v>
      </c>
      <c r="P130" s="93">
        <f>IF(TrRoad_act!P72=0,0,TrRoad_ene!P75/TrRoad_tech!P103)</f>
        <v>1.1645235113691794</v>
      </c>
      <c r="Q130" s="93">
        <f>IF(TrRoad_act!Q72=0,0,TrRoad_ene!Q75/TrRoad_tech!Q103)</f>
        <v>1.1808878595910297</v>
      </c>
      <c r="R130" s="93">
        <f>IF(TrRoad_act!R72=0,0,TrRoad_ene!R75/TrRoad_tech!R103)</f>
        <v>1.2097308616564686</v>
      </c>
      <c r="S130" s="93">
        <f>IF(TrRoad_act!S72=0,0,TrRoad_ene!S75/TrRoad_tech!S103)</f>
        <v>1.2225783513200237</v>
      </c>
      <c r="T130" s="93">
        <f>IF(TrRoad_act!T72=0,0,TrRoad_ene!T75/TrRoad_tech!T103)</f>
        <v>1.2414413509224418</v>
      </c>
      <c r="U130" s="93">
        <f>IF(TrRoad_act!U72=0,0,TrRoad_ene!U75/TrRoad_tech!U103)</f>
        <v>1.2653385633791918</v>
      </c>
      <c r="V130" s="93">
        <f>IF(TrRoad_act!V72=0,0,TrRoad_ene!V75/TrRoad_tech!V103)</f>
        <v>1.2755277119788113</v>
      </c>
      <c r="W130" s="93">
        <f>IF(TrRoad_act!W72=0,0,TrRoad_ene!W75/TrRoad_tech!W103)</f>
        <v>1.2859977917594758</v>
      </c>
      <c r="X130" s="93">
        <f>IF(TrRoad_act!X72=0,0,TrRoad_ene!X75/TrRoad_tech!X103)</f>
        <v>1.2996316234829333</v>
      </c>
      <c r="Y130" s="93">
        <f>IF(TrRoad_act!Y72=0,0,TrRoad_ene!Y75/TrRoad_tech!Y103)</f>
        <v>1.3165816502633669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1.1004853495101909</v>
      </c>
      <c r="C132" s="150">
        <f>IF(TrRoad_act!C74=0,0,TrRoad_ene!C77/TrRoad_tech!C105)</f>
        <v>1.0929926885738515</v>
      </c>
      <c r="D132" s="150">
        <f>IF(TrRoad_act!D74=0,0,TrRoad_ene!D77/TrRoad_tech!D105)</f>
        <v>1.0908817661990002</v>
      </c>
      <c r="E132" s="150">
        <f>IF(TrRoad_act!E74=0,0,TrRoad_ene!E77/TrRoad_tech!E105)</f>
        <v>1.0905129297888425</v>
      </c>
      <c r="F132" s="150">
        <f>IF(TrRoad_act!F74=0,0,TrRoad_ene!F77/TrRoad_tech!F105)</f>
        <v>1.0914643481963604</v>
      </c>
      <c r="G132" s="150">
        <f>IF(TrRoad_act!G74=0,0,TrRoad_ene!G77/TrRoad_tech!G105)</f>
        <v>1.0929399381076768</v>
      </c>
      <c r="H132" s="150">
        <f>IF(TrRoad_act!H74=0,0,TrRoad_ene!H77/TrRoad_tech!H105)</f>
        <v>1.0979031797587462</v>
      </c>
      <c r="I132" s="150">
        <f>IF(TrRoad_act!I74=0,0,TrRoad_ene!I77/TrRoad_tech!I105)</f>
        <v>1.1038867551955187</v>
      </c>
      <c r="J132" s="150">
        <f>IF(TrRoad_act!J74=0,0,TrRoad_ene!J77/TrRoad_tech!J105)</f>
        <v>1.1105637564811315</v>
      </c>
      <c r="K132" s="150">
        <f>IF(TrRoad_act!K74=0,0,TrRoad_ene!K77/TrRoad_tech!K105)</f>
        <v>1.1139082313756037</v>
      </c>
      <c r="L132" s="150">
        <f>IF(TrRoad_act!L74=0,0,TrRoad_ene!L77/TrRoad_tech!L105)</f>
        <v>1.1176950756507014</v>
      </c>
      <c r="M132" s="150">
        <f>IF(TrRoad_act!M74=0,0,TrRoad_ene!M77/TrRoad_tech!M105)</f>
        <v>1.1248574224580625</v>
      </c>
      <c r="N132" s="150">
        <f>IF(TrRoad_act!N74=0,0,TrRoad_ene!N77/TrRoad_tech!N105)</f>
        <v>1.1319575523167811</v>
      </c>
      <c r="O132" s="150">
        <f>IF(TrRoad_act!O74=0,0,TrRoad_ene!O77/TrRoad_tech!O105)</f>
        <v>1.1427822162895187</v>
      </c>
      <c r="P132" s="150">
        <f>IF(TrRoad_act!P74=0,0,TrRoad_ene!P77/TrRoad_tech!P105)</f>
        <v>1.1555538075949996</v>
      </c>
      <c r="Q132" s="150">
        <f>IF(TrRoad_act!Q74=0,0,TrRoad_ene!Q77/TrRoad_tech!Q105)</f>
        <v>1.1695744794196621</v>
      </c>
      <c r="R132" s="150">
        <f>IF(TrRoad_act!R74=0,0,TrRoad_ene!R77/TrRoad_tech!R105)</f>
        <v>1.1825287956977122</v>
      </c>
      <c r="S132" s="150">
        <f>IF(TrRoad_act!S74=0,0,TrRoad_ene!S77/TrRoad_tech!S105)</f>
        <v>1.1969086474120951</v>
      </c>
      <c r="T132" s="150">
        <f>IF(TrRoad_act!T74=0,0,TrRoad_ene!T77/TrRoad_tech!T105)</f>
        <v>1.2140903185357708</v>
      </c>
      <c r="U132" s="150">
        <f>IF(TrRoad_act!U74=0,0,TrRoad_ene!U77/TrRoad_tech!U105)</f>
        <v>1.2340200051790648</v>
      </c>
      <c r="V132" s="150">
        <f>IF(TrRoad_act!V74=0,0,TrRoad_ene!V77/TrRoad_tech!V105)</f>
        <v>1.245996212781793</v>
      </c>
      <c r="W132" s="150">
        <f>IF(TrRoad_act!W74=0,0,TrRoad_ene!W77/TrRoad_tech!W105)</f>
        <v>1.2688906179699202</v>
      </c>
      <c r="X132" s="150">
        <f>IF(TrRoad_act!X74=0,0,TrRoad_ene!X77/TrRoad_tech!X105)</f>
        <v>1.2752038630322335</v>
      </c>
      <c r="Y132" s="150">
        <f>IF(TrRoad_act!Y74=0,0,TrRoad_ene!Y77/TrRoad_tech!Y105)</f>
        <v>1.2904674425396534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1.1000135249382332</v>
      </c>
      <c r="D133" s="91">
        <f>IF(TrRoad_act!D75=0,0,TrRoad_ene!D78/TrRoad_tech!D106)</f>
        <v>1.1000668413247103</v>
      </c>
      <c r="E133" s="91">
        <f>IF(TrRoad_act!E75=0,0,TrRoad_ene!E78/TrRoad_tech!E106)</f>
        <v>1.100211069394603</v>
      </c>
      <c r="F133" s="91">
        <f>IF(TrRoad_act!F75=0,0,TrRoad_ene!F78/TrRoad_tech!F106)</f>
        <v>1.1005752408860052</v>
      </c>
      <c r="G133" s="91">
        <f>IF(TrRoad_act!G75=0,0,TrRoad_ene!G78/TrRoad_tech!G106)</f>
        <v>1.1011696464009439</v>
      </c>
      <c r="H133" s="91">
        <f>IF(TrRoad_act!H75=0,0,TrRoad_ene!H78/TrRoad_tech!H106)</f>
        <v>1.102361208594844</v>
      </c>
      <c r="I133" s="91">
        <f>IF(TrRoad_act!I75=0,0,TrRoad_ene!I78/TrRoad_tech!I106)</f>
        <v>1.1046419310274815</v>
      </c>
      <c r="J133" s="91">
        <f>IF(TrRoad_act!J75=0,0,TrRoad_ene!J78/TrRoad_tech!J106)</f>
        <v>1.1080540633278348</v>
      </c>
      <c r="K133" s="91">
        <f>IF(TrRoad_act!K75=0,0,TrRoad_ene!K78/TrRoad_tech!K106)</f>
        <v>1.1127941816685301</v>
      </c>
      <c r="L133" s="91">
        <f>IF(TrRoad_act!L75=0,0,TrRoad_ene!L78/TrRoad_tech!L106)</f>
        <v>1.115335279882077</v>
      </c>
      <c r="M133" s="91">
        <f>IF(TrRoad_act!M75=0,0,TrRoad_ene!M78/TrRoad_tech!M106)</f>
        <v>1.1187788213886414</v>
      </c>
      <c r="N133" s="91">
        <f>IF(TrRoad_act!N75=0,0,TrRoad_ene!N78/TrRoad_tech!N106)</f>
        <v>1.129092521090824</v>
      </c>
      <c r="O133" s="91">
        <f>IF(TrRoad_act!O75=0,0,TrRoad_ene!O78/TrRoad_tech!O106)</f>
        <v>1.1444167318092258</v>
      </c>
      <c r="P133" s="91">
        <f>IF(TrRoad_act!P75=0,0,TrRoad_ene!P78/TrRoad_tech!P106)</f>
        <v>1.1611137904637865</v>
      </c>
      <c r="Q133" s="91">
        <f>IF(TrRoad_act!Q75=0,0,TrRoad_ene!Q78/TrRoad_tech!Q106)</f>
        <v>1.1766011461545052</v>
      </c>
      <c r="R133" s="91">
        <f>IF(TrRoad_act!R75=0,0,TrRoad_ene!R78/TrRoad_tech!R106)</f>
        <v>1.1913847804259992</v>
      </c>
      <c r="S133" s="91">
        <f>IF(TrRoad_act!S75=0,0,TrRoad_ene!S78/TrRoad_tech!S106)</f>
        <v>1.2069415702883759</v>
      </c>
      <c r="T133" s="91">
        <f>IF(TrRoad_act!T75=0,0,TrRoad_ene!T78/TrRoad_tech!T106)</f>
        <v>1.2264623051146226</v>
      </c>
      <c r="U133" s="91">
        <f>IF(TrRoad_act!U75=0,0,TrRoad_ene!U78/TrRoad_tech!U106)</f>
        <v>1.2455926735131193</v>
      </c>
      <c r="V133" s="91">
        <f>IF(TrRoad_act!V75=0,0,TrRoad_ene!V78/TrRoad_tech!V106)</f>
        <v>1.2535156540239245</v>
      </c>
      <c r="W133" s="91">
        <f>IF(TrRoad_act!W75=0,0,TrRoad_ene!W78/TrRoad_tech!W106)</f>
        <v>1.2653595736378822</v>
      </c>
      <c r="X133" s="91">
        <f>IF(TrRoad_act!X75=0,0,TrRoad_ene!X78/TrRoad_tech!X106)</f>
        <v>1.2768005977794152</v>
      </c>
      <c r="Y133" s="91">
        <f>IF(TrRoad_act!Y75=0,0,TrRoad_ene!Y78/TrRoad_tech!Y106)</f>
        <v>1.2892828372451441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1.1002925785736477</v>
      </c>
      <c r="D134" s="91">
        <f>IF(TrRoad_act!D76=0,0,TrRoad_ene!D79/TrRoad_tech!D107)</f>
        <v>1.1009115224280628</v>
      </c>
      <c r="E134" s="91">
        <f>IF(TrRoad_act!E76=0,0,TrRoad_ene!E79/TrRoad_tech!E107)</f>
        <v>1.1020329442280945</v>
      </c>
      <c r="F134" s="91">
        <f>IF(TrRoad_act!F76=0,0,TrRoad_ene!F79/TrRoad_tech!F107)</f>
        <v>1.1037801229529984</v>
      </c>
      <c r="G134" s="91">
        <f>IF(TrRoad_act!G76=0,0,TrRoad_ene!G79/TrRoad_tech!G107)</f>
        <v>1.10612730291394</v>
      </c>
      <c r="H134" s="91">
        <f>IF(TrRoad_act!H76=0,0,TrRoad_ene!H79/TrRoad_tech!H107)</f>
        <v>1.1094237538382168</v>
      </c>
      <c r="I134" s="91">
        <f>IF(TrRoad_act!I76=0,0,TrRoad_ene!I79/TrRoad_tech!I107)</f>
        <v>1.1138377514671625</v>
      </c>
      <c r="J134" s="91">
        <f>IF(TrRoad_act!J76=0,0,TrRoad_ene!J79/TrRoad_tech!J107)</f>
        <v>1.11909382409455</v>
      </c>
      <c r="K134" s="91">
        <f>IF(TrRoad_act!K76=0,0,TrRoad_ene!K79/TrRoad_tech!K107)</f>
        <v>1.1234718975551368</v>
      </c>
      <c r="L134" s="91">
        <f>IF(TrRoad_act!L76=0,0,TrRoad_ene!L79/TrRoad_tech!L107)</f>
        <v>1.1254776408777381</v>
      </c>
      <c r="M134" s="91">
        <f>IF(TrRoad_act!M76=0,0,TrRoad_ene!M79/TrRoad_tech!M107)</f>
        <v>1.1292398310558509</v>
      </c>
      <c r="N134" s="91">
        <f>IF(TrRoad_act!N76=0,0,TrRoad_ene!N79/TrRoad_tech!N107)</f>
        <v>1.1390612165764047</v>
      </c>
      <c r="O134" s="91">
        <f>IF(TrRoad_act!O76=0,0,TrRoad_ene!O79/TrRoad_tech!O107)</f>
        <v>1.150641592629525</v>
      </c>
      <c r="P134" s="91">
        <f>IF(TrRoad_act!P76=0,0,TrRoad_ene!P79/TrRoad_tech!P107)</f>
        <v>1.1642193237887832</v>
      </c>
      <c r="Q134" s="91">
        <f>IF(TrRoad_act!Q76=0,0,TrRoad_ene!Q79/TrRoad_tech!Q107)</f>
        <v>1.179716288792922</v>
      </c>
      <c r="R134" s="91">
        <f>IF(TrRoad_act!R76=0,0,TrRoad_ene!R79/TrRoad_tech!R107)</f>
        <v>1.1952681208140663</v>
      </c>
      <c r="S134" s="91">
        <f>IF(TrRoad_act!S76=0,0,TrRoad_ene!S79/TrRoad_tech!S107)</f>
        <v>1.2130416815608149</v>
      </c>
      <c r="T134" s="91">
        <f>IF(TrRoad_act!T76=0,0,TrRoad_ene!T79/TrRoad_tech!T107)</f>
        <v>1.2315229204402209</v>
      </c>
      <c r="U134" s="91">
        <f>IF(TrRoad_act!U76=0,0,TrRoad_ene!U79/TrRoad_tech!U107)</f>
        <v>1.2508686836257001</v>
      </c>
      <c r="V134" s="91">
        <f>IF(TrRoad_act!V76=0,0,TrRoad_ene!V79/TrRoad_tech!V107)</f>
        <v>1.2629701283150059</v>
      </c>
      <c r="W134" s="91">
        <f>IF(TrRoad_act!W76=0,0,TrRoad_ene!W79/TrRoad_tech!W107)</f>
        <v>1.2826529219247842</v>
      </c>
      <c r="X134" s="91">
        <f>IF(TrRoad_act!X76=0,0,TrRoad_ene!X79/TrRoad_tech!X107)</f>
        <v>1.2900090448398946</v>
      </c>
      <c r="Y134" s="91">
        <f>IF(TrRoad_act!Y76=0,0,TrRoad_ene!Y79/TrRoad_tech!Y107)</f>
        <v>1.3028744750193804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1.1160000000058974</v>
      </c>
      <c r="F135" s="91">
        <f>IF(TrRoad_act!F77=0,0,TrRoad_ene!F80/TrRoad_tech!F108)</f>
        <v>1.121091464023775</v>
      </c>
      <c r="G135" s="91">
        <f>IF(TrRoad_act!G77=0,0,TrRoad_ene!G80/TrRoad_tech!G108)</f>
        <v>1.1308135658565963</v>
      </c>
      <c r="H135" s="91">
        <f>IF(TrRoad_act!H77=0,0,TrRoad_ene!H80/TrRoad_tech!H108)</f>
        <v>1.1314355150412949</v>
      </c>
      <c r="I135" s="91">
        <f>IF(TrRoad_act!I77=0,0,TrRoad_ene!I80/TrRoad_tech!I108)</f>
        <v>1.1316245815299752</v>
      </c>
      <c r="J135" s="91">
        <f>IF(TrRoad_act!J77=0,0,TrRoad_ene!J80/TrRoad_tech!J108)</f>
        <v>1.1316019129796115</v>
      </c>
      <c r="K135" s="91">
        <f>IF(TrRoad_act!K77=0,0,TrRoad_ene!K80/TrRoad_tech!K108)</f>
        <v>1.1317770814682888</v>
      </c>
      <c r="L135" s="91">
        <f>IF(TrRoad_act!L77=0,0,TrRoad_ene!L80/TrRoad_tech!L108)</f>
        <v>1.1318383285311691</v>
      </c>
      <c r="M135" s="91">
        <f>IF(TrRoad_act!M77=0,0,TrRoad_ene!M80/TrRoad_tech!M108)</f>
        <v>1.1318834672511795</v>
      </c>
      <c r="N135" s="91">
        <f>IF(TrRoad_act!N77=0,0,TrRoad_ene!N80/TrRoad_tech!N108)</f>
        <v>1.1462255903356899</v>
      </c>
      <c r="O135" s="91">
        <f>IF(TrRoad_act!O77=0,0,TrRoad_ene!O80/TrRoad_tech!O108)</f>
        <v>1.1675932604490156</v>
      </c>
      <c r="P135" s="91">
        <f>IF(TrRoad_act!P77=0,0,TrRoad_ene!P80/TrRoad_tech!P108)</f>
        <v>1.1918519495267612</v>
      </c>
      <c r="Q135" s="91">
        <f>IF(TrRoad_act!Q77=0,0,TrRoad_ene!Q80/TrRoad_tech!Q108)</f>
        <v>1.2088662347022192</v>
      </c>
      <c r="R135" s="91">
        <f>IF(TrRoad_act!R77=0,0,TrRoad_ene!R80/TrRoad_tech!R108)</f>
        <v>1.2146832330557711</v>
      </c>
      <c r="S135" s="91">
        <f>IF(TrRoad_act!S77=0,0,TrRoad_ene!S80/TrRoad_tech!S108)</f>
        <v>1.219221434831921</v>
      </c>
      <c r="T135" s="91">
        <f>IF(TrRoad_act!T77=0,0,TrRoad_ene!T80/TrRoad_tech!T108)</f>
        <v>1.2242106726566073</v>
      </c>
      <c r="U135" s="91">
        <f>IF(TrRoad_act!U77=0,0,TrRoad_ene!U80/TrRoad_tech!U108)</f>
        <v>1.2318404766718933</v>
      </c>
      <c r="V135" s="91">
        <f>IF(TrRoad_act!V77=0,0,TrRoad_ene!V80/TrRoad_tech!V108)</f>
        <v>1.2457476085159895</v>
      </c>
      <c r="W135" s="91">
        <f>IF(TrRoad_act!W77=0,0,TrRoad_ene!W80/TrRoad_tech!W108)</f>
        <v>1.2597885266647553</v>
      </c>
      <c r="X135" s="91">
        <f>IF(TrRoad_act!X77=0,0,TrRoad_ene!X80/TrRoad_tech!X108)</f>
        <v>1.2694657454342233</v>
      </c>
      <c r="Y135" s="91">
        <f>IF(TrRoad_act!Y77=0,0,TrRoad_ene!Y80/TrRoad_tech!Y108)</f>
        <v>1.2753028969626972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1.1440000000061445</v>
      </c>
      <c r="I136" s="91">
        <f>IF(TrRoad_act!I78=0,0,TrRoad_ene!I81/TrRoad_tech!I109)</f>
        <v>1.1503098861641705</v>
      </c>
      <c r="J136" s="91">
        <f>IF(TrRoad_act!J78=0,0,TrRoad_ene!J81/TrRoad_tech!J109)</f>
        <v>1.1693333333396365</v>
      </c>
      <c r="K136" s="91">
        <f>IF(TrRoad_act!K78=0,0,TrRoad_ene!K81/TrRoad_tech!K109)</f>
        <v>1.1840000000065629</v>
      </c>
      <c r="L136" s="91">
        <f>IF(TrRoad_act!L78=0,0,TrRoad_ene!L81/TrRoad_tech!L109)</f>
        <v>1.2000000000070943</v>
      </c>
      <c r="M136" s="91">
        <f>IF(TrRoad_act!M78=0,0,TrRoad_ene!M81/TrRoad_tech!M109)</f>
        <v>1.2173333333398655</v>
      </c>
      <c r="N136" s="91">
        <f>IF(TrRoad_act!N78=0,0,TrRoad_ene!N81/TrRoad_tech!N109)</f>
        <v>1.2360000000066975</v>
      </c>
      <c r="O136" s="91">
        <f>IF(TrRoad_act!O78=0,0,TrRoad_ene!O81/TrRoad_tech!O109)</f>
        <v>1.2521343737437072</v>
      </c>
      <c r="P136" s="91">
        <f>IF(TrRoad_act!P78=0,0,TrRoad_ene!P81/TrRoad_tech!P109)</f>
        <v>1.2577097477169779</v>
      </c>
      <c r="Q136" s="91">
        <f>IF(TrRoad_act!Q78=0,0,TrRoad_ene!Q81/TrRoad_tech!Q109)</f>
        <v>1.2651600265325609</v>
      </c>
      <c r="R136" s="91">
        <f>IF(TrRoad_act!R78=0,0,TrRoad_ene!R81/TrRoad_tech!R109)</f>
        <v>1.2868152291500228</v>
      </c>
      <c r="S136" s="91">
        <f>IF(TrRoad_act!S78=0,0,TrRoad_ene!S81/TrRoad_tech!S109)</f>
        <v>1.2922921389209112</v>
      </c>
      <c r="T136" s="91">
        <f>IF(TrRoad_act!T78=0,0,TrRoad_ene!T81/TrRoad_tech!T109)</f>
        <v>1.2958471054329788</v>
      </c>
      <c r="U136" s="91">
        <f>IF(TrRoad_act!U78=0,0,TrRoad_ene!U81/TrRoad_tech!U109)</f>
        <v>1.3017680141254802</v>
      </c>
      <c r="V136" s="91">
        <f>IF(TrRoad_act!V78=0,0,TrRoad_ene!V81/TrRoad_tech!V109)</f>
        <v>1.3076036243012086</v>
      </c>
      <c r="W136" s="91">
        <f>IF(TrRoad_act!W78=0,0,TrRoad_ene!W81/TrRoad_tech!W109)</f>
        <v>1.3141914042747935</v>
      </c>
      <c r="X136" s="91">
        <f>IF(TrRoad_act!X78=0,0,TrRoad_ene!X81/TrRoad_tech!X109)</f>
        <v>1.3195709056774962</v>
      </c>
      <c r="Y136" s="91">
        <f>IF(TrRoad_act!Y78=0,0,TrRoad_ene!Y81/TrRoad_tech!Y109)</f>
        <v>1.3241647534721603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1.1000000000067303</v>
      </c>
      <c r="C137" s="91">
        <f>IF(TrRoad_act!C79=0,0,TrRoad_ene!C82/TrRoad_tech!C110)</f>
        <v>1.1012388919737253</v>
      </c>
      <c r="D137" s="91">
        <f>IF(TrRoad_act!D79=0,0,TrRoad_ene!D82/TrRoad_tech!D110)</f>
        <v>1.1013675453002845</v>
      </c>
      <c r="E137" s="91">
        <f>IF(TrRoad_act!E79=0,0,TrRoad_ene!E82/TrRoad_tech!E110)</f>
        <v>1.1014010526351494</v>
      </c>
      <c r="F137" s="91">
        <f>IF(TrRoad_act!F79=0,0,TrRoad_ene!F82/TrRoad_tech!F110)</f>
        <v>1.1015080991676416</v>
      </c>
      <c r="G137" s="91">
        <f>IF(TrRoad_act!G79=0,0,TrRoad_ene!G82/TrRoad_tech!G110)</f>
        <v>1.1016073888960682</v>
      </c>
      <c r="H137" s="91">
        <f>IF(TrRoad_act!H79=0,0,TrRoad_ene!H82/TrRoad_tech!H110)</f>
        <v>1.1015672692117271</v>
      </c>
      <c r="I137" s="91">
        <f>IF(TrRoad_act!I79=0,0,TrRoad_ene!I82/TrRoad_tech!I110)</f>
        <v>1.1143630660686166</v>
      </c>
      <c r="J137" s="91">
        <f>IF(TrRoad_act!J79=0,0,TrRoad_ene!J82/TrRoad_tech!J110)</f>
        <v>1.1226007135399023</v>
      </c>
      <c r="K137" s="91">
        <f>IF(TrRoad_act!K79=0,0,TrRoad_ene!K82/TrRoad_tech!K110)</f>
        <v>1.1451789600693951</v>
      </c>
      <c r="L137" s="91">
        <f>IF(TrRoad_act!L79=0,0,TrRoad_ene!L82/TrRoad_tech!L110)</f>
        <v>1.1666812969742233</v>
      </c>
      <c r="M137" s="91">
        <f>IF(TrRoad_act!M79=0,0,TrRoad_ene!M82/TrRoad_tech!M110)</f>
        <v>1.1872205003935128</v>
      </c>
      <c r="N137" s="91">
        <f>IF(TrRoad_act!N79=0,0,TrRoad_ene!N82/TrRoad_tech!N110)</f>
        <v>1.2232554524785553</v>
      </c>
      <c r="O137" s="91">
        <f>IF(TrRoad_act!O79=0,0,TrRoad_ene!O82/TrRoad_tech!O110)</f>
        <v>1.236212635482389</v>
      </c>
      <c r="P137" s="91">
        <f>IF(TrRoad_act!P79=0,0,TrRoad_ene!P82/TrRoad_tech!P110)</f>
        <v>1.247201252918652</v>
      </c>
      <c r="Q137" s="91">
        <f>IF(TrRoad_act!Q79=0,0,TrRoad_ene!Q82/TrRoad_tech!Q110)</f>
        <v>1.2609218601937349</v>
      </c>
      <c r="R137" s="91">
        <f>IF(TrRoad_act!R79=0,0,TrRoad_ene!R82/TrRoad_tech!R110)</f>
        <v>1.28182910596283</v>
      </c>
      <c r="S137" s="91">
        <f>IF(TrRoad_act!S79=0,0,TrRoad_ene!S82/TrRoad_tech!S110)</f>
        <v>1.2905478795480325</v>
      </c>
      <c r="T137" s="91">
        <f>IF(TrRoad_act!T79=0,0,TrRoad_ene!T82/TrRoad_tech!T110)</f>
        <v>1.3028543062137257</v>
      </c>
      <c r="U137" s="91">
        <f>IF(TrRoad_act!U79=0,0,TrRoad_ene!U82/TrRoad_tech!U110)</f>
        <v>1.3135443075658624</v>
      </c>
      <c r="V137" s="91">
        <f>IF(TrRoad_act!V79=0,0,TrRoad_ene!V82/TrRoad_tech!V110)</f>
        <v>1.326635365786442</v>
      </c>
      <c r="W137" s="91">
        <f>IF(TrRoad_act!W79=0,0,TrRoad_ene!W82/TrRoad_tech!W110)</f>
        <v>1.3429114326560316</v>
      </c>
      <c r="X137" s="91">
        <f>IF(TrRoad_act!X79=0,0,TrRoad_ene!X82/TrRoad_tech!X110)</f>
        <v>1.3490878341479693</v>
      </c>
      <c r="Y137" s="91">
        <f>IF(TrRoad_act!Y79=0,0,TrRoad_ene!Y82/TrRoad_tech!Y110)</f>
        <v>1.3542103439065298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1.7462667364632094</v>
      </c>
      <c r="C138" s="151">
        <f>IF(TrRoad_act!C80=0,0,TrRoad_ene!C83/TrRoad_tech!C111)</f>
        <v>1.9974934792116139</v>
      </c>
      <c r="D138" s="151">
        <f>IF(TrRoad_act!D80=0,0,TrRoad_ene!D83/TrRoad_tech!D111)</f>
        <v>2.2266174733388575</v>
      </c>
      <c r="E138" s="151">
        <f>IF(TrRoad_act!E80=0,0,TrRoad_ene!E83/TrRoad_tech!E111)</f>
        <v>2.3923047181774102</v>
      </c>
      <c r="F138" s="151">
        <f>IF(TrRoad_act!F80=0,0,TrRoad_ene!F83/TrRoad_tech!F111)</f>
        <v>2.305208671402653</v>
      </c>
      <c r="G138" s="151">
        <f>IF(TrRoad_act!G80=0,0,TrRoad_ene!G83/TrRoad_tech!G111)</f>
        <v>2.4203456057598678</v>
      </c>
      <c r="H138" s="151">
        <f>IF(TrRoad_act!H80=0,0,TrRoad_ene!H83/TrRoad_tech!H111)</f>
        <v>2.0477447542872649</v>
      </c>
      <c r="I138" s="151">
        <f>IF(TrRoad_act!I80=0,0,TrRoad_ene!I83/TrRoad_tech!I111)</f>
        <v>1.931090742420684</v>
      </c>
      <c r="J138" s="151">
        <f>IF(TrRoad_act!J80=0,0,TrRoad_ene!J83/TrRoad_tech!J111)</f>
        <v>1.7715876869722154</v>
      </c>
      <c r="K138" s="151">
        <f>IF(TrRoad_act!K80=0,0,TrRoad_ene!K83/TrRoad_tech!K111)</f>
        <v>1.8952481052439345</v>
      </c>
      <c r="L138" s="151">
        <f>IF(TrRoad_act!L80=0,0,TrRoad_ene!L83/TrRoad_tech!L111)</f>
        <v>2.0633437336210267</v>
      </c>
      <c r="M138" s="151">
        <f>IF(TrRoad_act!M80=0,0,TrRoad_ene!M83/TrRoad_tech!M111)</f>
        <v>1.8309776088468683</v>
      </c>
      <c r="N138" s="151">
        <f>IF(TrRoad_act!N80=0,0,TrRoad_ene!N83/TrRoad_tech!N111)</f>
        <v>1.932414407975128</v>
      </c>
      <c r="O138" s="151">
        <f>IF(TrRoad_act!O80=0,0,TrRoad_ene!O83/TrRoad_tech!O111)</f>
        <v>2.2757462516891578</v>
      </c>
      <c r="P138" s="151">
        <f>IF(TrRoad_act!P80=0,0,TrRoad_ene!P83/TrRoad_tech!P111)</f>
        <v>2.1508736684927139</v>
      </c>
      <c r="Q138" s="151">
        <f>IF(TrRoad_act!Q80=0,0,TrRoad_ene!Q83/TrRoad_tech!Q111)</f>
        <v>2.1291922644747436</v>
      </c>
      <c r="R138" s="151">
        <f>IF(TrRoad_act!R80=0,0,TrRoad_ene!R83/TrRoad_tech!R111)</f>
        <v>2.1359440420489793</v>
      </c>
      <c r="S138" s="151">
        <f>IF(TrRoad_act!S80=0,0,TrRoad_ene!S83/TrRoad_tech!S111)</f>
        <v>2.1264225474996108</v>
      </c>
      <c r="T138" s="151">
        <f>IF(TrRoad_act!T80=0,0,TrRoad_ene!T83/TrRoad_tech!T111)</f>
        <v>2.2169379341789504</v>
      </c>
      <c r="U138" s="151">
        <f>IF(TrRoad_act!U80=0,0,TrRoad_ene!U83/TrRoad_tech!U111)</f>
        <v>2.2852717520264862</v>
      </c>
      <c r="V138" s="151">
        <f>IF(TrRoad_act!V80=0,0,TrRoad_ene!V83/TrRoad_tech!V111)</f>
        <v>2.2010316135511561</v>
      </c>
      <c r="W138" s="151">
        <f>IF(TrRoad_act!W80=0,0,TrRoad_ene!W83/TrRoad_tech!W111)</f>
        <v>2.2194600691600299</v>
      </c>
      <c r="X138" s="151">
        <f>IF(TrRoad_act!X80=0,0,TrRoad_ene!X83/TrRoad_tech!X111)</f>
        <v>1.8931204903214063</v>
      </c>
      <c r="Y138" s="151">
        <f>IF(TrRoad_act!Y80=0,0,TrRoad_ene!Y83/TrRoad_tech!Y111)</f>
        <v>1.7981873547985232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1.2139291036160951</v>
      </c>
      <c r="C139" s="93">
        <f>IF(TrRoad_act!C81=0,0,TrRoad_ene!C84/TrRoad_tech!C112)</f>
        <v>1.26268494249712</v>
      </c>
      <c r="D139" s="93">
        <f>IF(TrRoad_act!D81=0,0,TrRoad_ene!D84/TrRoad_tech!D112)</f>
        <v>1.3073744079260776</v>
      </c>
      <c r="E139" s="93">
        <f>IF(TrRoad_act!E81=0,0,TrRoad_ene!E84/TrRoad_tech!E112)</f>
        <v>1.3407495908652936</v>
      </c>
      <c r="F139" s="93">
        <f>IF(TrRoad_act!F81=0,0,TrRoad_ene!F84/TrRoad_tech!F112)</f>
        <v>1.3248083784781195</v>
      </c>
      <c r="G139" s="93">
        <f>IF(TrRoad_act!G81=0,0,TrRoad_ene!G84/TrRoad_tech!G112)</f>
        <v>1.348967556839658</v>
      </c>
      <c r="H139" s="93">
        <f>IF(TrRoad_act!H81=0,0,TrRoad_ene!H84/TrRoad_tech!H112)</f>
        <v>1.2826148629553633</v>
      </c>
      <c r="I139" s="93">
        <f>IF(TrRoad_act!I81=0,0,TrRoad_ene!I84/TrRoad_tech!I112)</f>
        <v>1.2632571292327761</v>
      </c>
      <c r="J139" s="93">
        <f>IF(TrRoad_act!J81=0,0,TrRoad_ene!J84/TrRoad_tech!J112)</f>
        <v>1.2362656675084411</v>
      </c>
      <c r="K139" s="93">
        <f>IF(TrRoad_act!K81=0,0,TrRoad_ene!K84/TrRoad_tech!K112)</f>
        <v>1.264037685466322</v>
      </c>
      <c r="L139" s="93">
        <f>IF(TrRoad_act!L81=0,0,TrRoad_ene!L84/TrRoad_tech!L112)</f>
        <v>1.301055670287476</v>
      </c>
      <c r="M139" s="93">
        <f>IF(TrRoad_act!M81=0,0,TrRoad_ene!M84/TrRoad_tech!M112)</f>
        <v>1.2586685729403055</v>
      </c>
      <c r="N139" s="93">
        <f>IF(TrRoad_act!N81=0,0,TrRoad_ene!N84/TrRoad_tech!N112)</f>
        <v>1.2840676886406608</v>
      </c>
      <c r="O139" s="93">
        <f>IF(TrRoad_act!O81=0,0,TrRoad_ene!O84/TrRoad_tech!O112)</f>
        <v>1.3613163624222551</v>
      </c>
      <c r="P139" s="93">
        <f>IF(TrRoad_act!P81=0,0,TrRoad_ene!P84/TrRoad_tech!P112)</f>
        <v>1.3476268815893842</v>
      </c>
      <c r="Q139" s="93">
        <f>IF(TrRoad_act!Q81=0,0,TrRoad_ene!Q84/TrRoad_tech!Q112)</f>
        <v>1.3520080248750836</v>
      </c>
      <c r="R139" s="93">
        <f>IF(TrRoad_act!R81=0,0,TrRoad_ene!R84/TrRoad_tech!R112)</f>
        <v>1.3641888010263385</v>
      </c>
      <c r="S139" s="93">
        <f>IF(TrRoad_act!S81=0,0,TrRoad_ene!S84/TrRoad_tech!S112)</f>
        <v>1.371155239691032</v>
      </c>
      <c r="T139" s="93">
        <f>IF(TrRoad_act!T81=0,0,TrRoad_ene!T84/TrRoad_tech!T112)</f>
        <v>1.3993000572025023</v>
      </c>
      <c r="U139" s="93">
        <f>IF(TrRoad_act!U81=0,0,TrRoad_ene!U84/TrRoad_tech!U112)</f>
        <v>1.4261157319760642</v>
      </c>
      <c r="V139" s="93">
        <f>IF(TrRoad_act!V81=0,0,TrRoad_ene!V84/TrRoad_tech!V112)</f>
        <v>1.4216595272601447</v>
      </c>
      <c r="W139" s="93">
        <f>IF(TrRoad_act!W81=0,0,TrRoad_ene!W84/TrRoad_tech!W112)</f>
        <v>1.4335228312817831</v>
      </c>
      <c r="X139" s="93">
        <f>IF(TrRoad_act!X81=0,0,TrRoad_ene!X84/TrRoad_tech!X112)</f>
        <v>1.3830986492716106</v>
      </c>
      <c r="Y139" s="93">
        <f>IF(TrRoad_act!Y81=0,0,TrRoad_ene!Y84/TrRoad_tech!Y112)</f>
        <v>1.3817896562943162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2.2705057178114112</v>
      </c>
      <c r="C140" s="94">
        <f>IF(TrRoad_act!C82=0,0,TrRoad_ene!C85/TrRoad_tech!C113)</f>
        <v>2.7179555214540998</v>
      </c>
      <c r="D140" s="94">
        <f>IF(TrRoad_act!D82=0,0,TrRoad_ene!D85/TrRoad_tech!D113)</f>
        <v>3.1074781279554844</v>
      </c>
      <c r="E140" s="94">
        <f>IF(TrRoad_act!E82=0,0,TrRoad_ene!E85/TrRoad_tech!E113)</f>
        <v>3.4291794497142543</v>
      </c>
      <c r="F140" s="94">
        <f>IF(TrRoad_act!F82=0,0,TrRoad_ene!F85/TrRoad_tech!F113)</f>
        <v>3.0704550519828913</v>
      </c>
      <c r="G140" s="94">
        <f>IF(TrRoad_act!G82=0,0,TrRoad_ene!G85/TrRoad_tech!G113)</f>
        <v>3.227358743044392</v>
      </c>
      <c r="H140" s="94">
        <f>IF(TrRoad_act!H82=0,0,TrRoad_ene!H85/TrRoad_tech!H113)</f>
        <v>2.6953497173755481</v>
      </c>
      <c r="I140" s="94">
        <f>IF(TrRoad_act!I82=0,0,TrRoad_ene!I85/TrRoad_tech!I113)</f>
        <v>2.4319168696088087</v>
      </c>
      <c r="J140" s="94">
        <f>IF(TrRoad_act!J82=0,0,TrRoad_ene!J85/TrRoad_tech!J113)</f>
        <v>2.1088022851889305</v>
      </c>
      <c r="K140" s="94">
        <f>IF(TrRoad_act!K82=0,0,TrRoad_ene!K85/TrRoad_tech!K113)</f>
        <v>2.3534659402107483</v>
      </c>
      <c r="L140" s="94">
        <f>IF(TrRoad_act!L82=0,0,TrRoad_ene!L85/TrRoad_tech!L113)</f>
        <v>2.6028495027677296</v>
      </c>
      <c r="M140" s="94">
        <f>IF(TrRoad_act!M82=0,0,TrRoad_ene!M85/TrRoad_tech!M113)</f>
        <v>2.2337209724124127</v>
      </c>
      <c r="N140" s="94">
        <f>IF(TrRoad_act!N82=0,0,TrRoad_ene!N85/TrRoad_tech!N113)</f>
        <v>2.3988069903093092</v>
      </c>
      <c r="O140" s="94">
        <f>IF(TrRoad_act!O82=0,0,TrRoad_ene!O85/TrRoad_tech!O113)</f>
        <v>2.9290518943565735</v>
      </c>
      <c r="P140" s="94">
        <f>IF(TrRoad_act!P82=0,0,TrRoad_ene!P85/TrRoad_tech!P113)</f>
        <v>2.7326982412207781</v>
      </c>
      <c r="Q140" s="94">
        <f>IF(TrRoad_act!Q82=0,0,TrRoad_ene!Q85/TrRoad_tech!Q113)</f>
        <v>2.7100314431643242</v>
      </c>
      <c r="R140" s="94">
        <f>IF(TrRoad_act!R82=0,0,TrRoad_ene!R85/TrRoad_tech!R113)</f>
        <v>2.7230627220816395</v>
      </c>
      <c r="S140" s="94">
        <f>IF(TrRoad_act!S82=0,0,TrRoad_ene!S85/TrRoad_tech!S113)</f>
        <v>2.6695241253217632</v>
      </c>
      <c r="T140" s="94">
        <f>IF(TrRoad_act!T82=0,0,TrRoad_ene!T85/TrRoad_tech!T113)</f>
        <v>2.8039599878684474</v>
      </c>
      <c r="U140" s="94">
        <f>IF(TrRoad_act!U82=0,0,TrRoad_ene!U85/TrRoad_tech!U113)</f>
        <v>2.886170697308438</v>
      </c>
      <c r="V140" s="94">
        <f>IF(TrRoad_act!V82=0,0,TrRoad_ene!V85/TrRoad_tech!V113)</f>
        <v>2.6958444956118655</v>
      </c>
      <c r="W140" s="94">
        <f>IF(TrRoad_act!W82=0,0,TrRoad_ene!W85/TrRoad_tech!W113)</f>
        <v>2.7328072483659049</v>
      </c>
      <c r="X140" s="94">
        <f>IF(TrRoad_act!X82=0,0,TrRoad_ene!X85/TrRoad_tech!X113)</f>
        <v>2.178745978832926</v>
      </c>
      <c r="Y140" s="94">
        <f>IF(TrRoad_act!Y82=0,0,TrRoad_ene!Y85/TrRoad_tech!Y113)</f>
        <v>2.0056743740494136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3.2226666242152233</v>
      </c>
      <c r="C144" s="141">
        <v>3.2055253272735347</v>
      </c>
      <c r="D144" s="141">
        <v>3.1865863533993246</v>
      </c>
      <c r="E144" s="141">
        <v>3.16466424581643</v>
      </c>
      <c r="F144" s="141">
        <v>3.1434094181420571</v>
      </c>
      <c r="G144" s="141">
        <v>3.1167967253198507</v>
      </c>
      <c r="H144" s="141">
        <v>3.1137547139721797</v>
      </c>
      <c r="I144" s="141">
        <v>3.0877307975398449</v>
      </c>
      <c r="J144" s="141">
        <v>3.0388819830601457</v>
      </c>
      <c r="K144" s="141">
        <v>2.9917406201110741</v>
      </c>
      <c r="L144" s="141">
        <v>2.9236976953215534</v>
      </c>
      <c r="M144" s="141">
        <v>2.8790058275311985</v>
      </c>
      <c r="N144" s="141">
        <v>2.8499800488265827</v>
      </c>
      <c r="O144" s="141">
        <v>2.8115113341913305</v>
      </c>
      <c r="P144" s="141">
        <v>2.7888083598270512</v>
      </c>
      <c r="Q144" s="141">
        <v>2.9042229228666936</v>
      </c>
      <c r="R144" s="141">
        <v>2.7979821370064668</v>
      </c>
      <c r="S144" s="141">
        <v>2.7767339798344213</v>
      </c>
      <c r="T144" s="141">
        <v>2.7597354540967851</v>
      </c>
      <c r="U144" s="141">
        <v>2.7461366335066759</v>
      </c>
      <c r="V144" s="141">
        <v>2.7352575770345888</v>
      </c>
      <c r="W144" s="141">
        <v>2.726554331856919</v>
      </c>
      <c r="X144" s="141">
        <v>2.7195917357147832</v>
      </c>
      <c r="Y144" s="141">
        <v>2.7140216588010744</v>
      </c>
      <c r="DA144" s="174" t="s">
        <v>887</v>
      </c>
    </row>
    <row r="145" spans="1:105" ht="11.45" customHeight="1" x14ac:dyDescent="0.25">
      <c r="A145" s="109" t="s">
        <v>20</v>
      </c>
      <c r="B145" s="130">
        <v>7.1933620850456306</v>
      </c>
      <c r="C145" s="130">
        <v>7.1786096069879086</v>
      </c>
      <c r="D145" s="130">
        <v>7.1628529149736666</v>
      </c>
      <c r="E145" s="130">
        <v>7.1409642541508882</v>
      </c>
      <c r="F145" s="130">
        <v>7.0151653613778562</v>
      </c>
      <c r="G145" s="130">
        <v>7.0153530309290844</v>
      </c>
      <c r="H145" s="130">
        <v>6.9893575746076904</v>
      </c>
      <c r="I145" s="130">
        <v>6.9265114850953307</v>
      </c>
      <c r="J145" s="130">
        <v>6.7189197856094518</v>
      </c>
      <c r="K145" s="130">
        <v>6.4078489422577318</v>
      </c>
      <c r="L145" s="130">
        <v>5.9770103056560515</v>
      </c>
      <c r="M145" s="130">
        <v>5.75760444325942</v>
      </c>
      <c r="N145" s="130">
        <v>5.6423161811330136</v>
      </c>
      <c r="O145" s="130">
        <v>5.4621990257037094</v>
      </c>
      <c r="P145" s="130">
        <v>5.3406277807656366</v>
      </c>
      <c r="Q145" s="130">
        <v>5.1419958890152744</v>
      </c>
      <c r="R145" s="130">
        <v>5.0157194167426828</v>
      </c>
      <c r="S145" s="130">
        <v>5.038104398809554</v>
      </c>
      <c r="T145" s="130">
        <v>5.1539998892118044</v>
      </c>
      <c r="U145" s="130">
        <v>5.0911706407629227</v>
      </c>
      <c r="V145" s="130">
        <v>4.7061045071603163</v>
      </c>
      <c r="W145" s="130">
        <v>4.2954688673128913</v>
      </c>
      <c r="X145" s="130">
        <v>4.2960040425603605</v>
      </c>
      <c r="Y145" s="130">
        <v>4.1874199397012362</v>
      </c>
      <c r="DA145" s="176" t="s">
        <v>888</v>
      </c>
    </row>
    <row r="146" spans="1:105" ht="11.45" customHeight="1" x14ac:dyDescent="0.25">
      <c r="A146" s="111" t="s">
        <v>110</v>
      </c>
      <c r="B146" s="96">
        <v>7.3587753834961704</v>
      </c>
      <c r="C146" s="96">
        <v>7.3390684949440415</v>
      </c>
      <c r="D146" s="96">
        <v>7.3172338429027306</v>
      </c>
      <c r="E146" s="96">
        <v>7.2061511942866563</v>
      </c>
      <c r="F146" s="96">
        <v>7.098449754312429</v>
      </c>
      <c r="G146" s="96">
        <v>6.9635991978904057</v>
      </c>
      <c r="H146" s="96">
        <v>6.9481848643760893</v>
      </c>
      <c r="I146" s="96">
        <v>6.8163177273439342</v>
      </c>
      <c r="J146" s="96">
        <v>6.5687933652979025</v>
      </c>
      <c r="K146" s="96">
        <v>6.3299209194824897</v>
      </c>
      <c r="L146" s="96">
        <v>5.9776788725598875</v>
      </c>
      <c r="M146" s="96">
        <v>5.7485572292307072</v>
      </c>
      <c r="N146" s="96">
        <v>5.6003613193589032</v>
      </c>
      <c r="O146" s="96">
        <v>5.4158461420560213</v>
      </c>
      <c r="P146" s="96">
        <v>5.3113456147135221</v>
      </c>
      <c r="Q146" s="96">
        <v>5.1429307759540652</v>
      </c>
      <c r="R146" s="96">
        <v>5.0908770961138403</v>
      </c>
      <c r="S146" s="96">
        <v>5.0864509327731167</v>
      </c>
      <c r="T146" s="96">
        <v>5.2018492088573565</v>
      </c>
      <c r="U146" s="96">
        <v>5.1491267580986229</v>
      </c>
      <c r="V146" s="96">
        <v>4.8995669878469652</v>
      </c>
      <c r="W146" s="96">
        <v>4.7265320117872403</v>
      </c>
      <c r="X146" s="96">
        <v>4.6840227321113312</v>
      </c>
      <c r="Y146" s="96">
        <v>4.6572585067455794</v>
      </c>
      <c r="DA146" s="171" t="s">
        <v>889</v>
      </c>
    </row>
    <row r="147" spans="1:105" ht="11.45" customHeight="1" x14ac:dyDescent="0.25">
      <c r="A147" s="111" t="s">
        <v>111</v>
      </c>
      <c r="B147" s="96">
        <v>7.0998364324180478</v>
      </c>
      <c r="C147" s="96">
        <v>7.0849854948571753</v>
      </c>
      <c r="D147" s="96">
        <v>7.0685208835551805</v>
      </c>
      <c r="E147" s="96">
        <v>7.0893003585087353</v>
      </c>
      <c r="F147" s="96">
        <v>6.9807474729590213</v>
      </c>
      <c r="G147" s="96">
        <v>7.041496211211216</v>
      </c>
      <c r="H147" s="96">
        <v>7.0087011586511583</v>
      </c>
      <c r="I147" s="96">
        <v>7.0024559612607469</v>
      </c>
      <c r="J147" s="96">
        <v>6.8382640444146334</v>
      </c>
      <c r="K147" s="96">
        <v>6.5106750540266374</v>
      </c>
      <c r="L147" s="96">
        <v>5.9765727961650308</v>
      </c>
      <c r="M147" s="96">
        <v>5.7727651928317449</v>
      </c>
      <c r="N147" s="96">
        <v>5.6623388297660071</v>
      </c>
      <c r="O147" s="96">
        <v>5.5135363122657655</v>
      </c>
      <c r="P147" s="96">
        <v>5.4014900330228768</v>
      </c>
      <c r="Q147" s="96">
        <v>5.1872473504415293</v>
      </c>
      <c r="R147" s="96">
        <v>5.049609005778219</v>
      </c>
      <c r="S147" s="96">
        <v>5.1256698437782031</v>
      </c>
      <c r="T147" s="96">
        <v>5.2954278883090602</v>
      </c>
      <c r="U147" s="96">
        <v>5.285805343712477</v>
      </c>
      <c r="V147" s="96">
        <v>5.0476032257843428</v>
      </c>
      <c r="W147" s="96">
        <v>4.8662078072375046</v>
      </c>
      <c r="X147" s="96">
        <v>4.8315946090445943</v>
      </c>
      <c r="Y147" s="96">
        <v>4.7642397279231385</v>
      </c>
      <c r="DA147" s="171" t="s">
        <v>890</v>
      </c>
    </row>
    <row r="148" spans="1:105" ht="11.45" customHeight="1" x14ac:dyDescent="0.25">
      <c r="A148" s="111" t="s">
        <v>112</v>
      </c>
      <c r="B148" s="96">
        <v>7.7853731844596865</v>
      </c>
      <c r="C148" s="96">
        <v>7.9994553705276648</v>
      </c>
      <c r="D148" s="96">
        <v>7.9803491255108367</v>
      </c>
      <c r="E148" s="96">
        <v>8.0044625243941407</v>
      </c>
      <c r="F148" s="96">
        <v>0</v>
      </c>
      <c r="G148" s="96">
        <v>0</v>
      </c>
      <c r="H148" s="96">
        <v>8.1331990856454439</v>
      </c>
      <c r="I148" s="96">
        <v>0</v>
      </c>
      <c r="J148" s="96">
        <v>7.9354165079195411</v>
      </c>
      <c r="K148" s="96">
        <v>0</v>
      </c>
      <c r="L148" s="96">
        <v>0</v>
      </c>
      <c r="M148" s="96">
        <v>8.676466698868273</v>
      </c>
      <c r="N148" s="96">
        <v>8.3873868604733524</v>
      </c>
      <c r="O148" s="96">
        <v>6.718052582417962</v>
      </c>
      <c r="P148" s="96">
        <v>6.4737597612391271</v>
      </c>
      <c r="Q148" s="96">
        <v>0</v>
      </c>
      <c r="R148" s="96">
        <v>5.6431641692310883</v>
      </c>
      <c r="S148" s="96">
        <v>0</v>
      </c>
      <c r="T148" s="96">
        <v>6.4493304791212438</v>
      </c>
      <c r="U148" s="96">
        <v>6.8890575572431461</v>
      </c>
      <c r="V148" s="96">
        <v>0</v>
      </c>
      <c r="W148" s="96">
        <v>4.2394200352265514</v>
      </c>
      <c r="X148" s="96">
        <v>4.4854578051280924</v>
      </c>
      <c r="Y148" s="96">
        <v>4.5043837874282104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6.7102819799687294</v>
      </c>
      <c r="I149" s="96">
        <v>6.5829299174302474</v>
      </c>
      <c r="J149" s="96">
        <v>6.3438806839021336</v>
      </c>
      <c r="K149" s="96">
        <v>6.1131871286853698</v>
      </c>
      <c r="L149" s="96">
        <v>7.4550480745027983</v>
      </c>
      <c r="M149" s="96">
        <v>6.8520377540274895</v>
      </c>
      <c r="N149" s="96">
        <v>6.5908870814121032</v>
      </c>
      <c r="O149" s="96">
        <v>5.2312072256451714</v>
      </c>
      <c r="P149" s="96">
        <v>5.1252838791286202</v>
      </c>
      <c r="Q149" s="96">
        <v>5.2829119559420077</v>
      </c>
      <c r="R149" s="96">
        <v>5.1036301612324202</v>
      </c>
      <c r="S149" s="96">
        <v>5.263684111672827</v>
      </c>
      <c r="T149" s="96">
        <v>5.2329674361259313</v>
      </c>
      <c r="U149" s="96">
        <v>5.3100848365161308</v>
      </c>
      <c r="V149" s="96">
        <v>4.8900458591420124</v>
      </c>
      <c r="W149" s="96">
        <v>4.6001302049723156</v>
      </c>
      <c r="X149" s="96">
        <v>4.4292459394530637</v>
      </c>
      <c r="Y149" s="96">
        <v>4.6193903358437263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3.3601008902245115</v>
      </c>
      <c r="N150" s="96">
        <v>2.7466784995540836</v>
      </c>
      <c r="O150" s="96">
        <v>1.5452874616257561</v>
      </c>
      <c r="P150" s="96">
        <v>2.6299717262023892</v>
      </c>
      <c r="Q150" s="96">
        <v>3.041840098777155</v>
      </c>
      <c r="R150" s="96">
        <v>3.5392389473714783</v>
      </c>
      <c r="S150" s="96">
        <v>3.4451162969900126</v>
      </c>
      <c r="T150" s="96">
        <v>3.5316154480587238</v>
      </c>
      <c r="U150" s="96">
        <v>3.5791455349199621</v>
      </c>
      <c r="V150" s="96">
        <v>3.1017806345089172</v>
      </c>
      <c r="W150" s="96">
        <v>2.9854673311806117</v>
      </c>
      <c r="X150" s="96">
        <v>2.9181692931120935</v>
      </c>
      <c r="Y150" s="96">
        <v>2.8424819320177255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1.3307883188520624</v>
      </c>
      <c r="K151" s="96">
        <v>1.3174804356635419</v>
      </c>
      <c r="L151" s="96">
        <v>1.3043056313069064</v>
      </c>
      <c r="M151" s="96">
        <v>1.3043056313069064</v>
      </c>
      <c r="N151" s="96">
        <v>1.2848865351505141</v>
      </c>
      <c r="O151" s="96">
        <v>1.3017423734893363</v>
      </c>
      <c r="P151" s="96">
        <v>1.2292427987962167</v>
      </c>
      <c r="Q151" s="96">
        <v>1.4084326396427644</v>
      </c>
      <c r="R151" s="96">
        <v>1.2866805836874051</v>
      </c>
      <c r="S151" s="96">
        <v>1.2428444522409099</v>
      </c>
      <c r="T151" s="96">
        <v>1.3234363192907084</v>
      </c>
      <c r="U151" s="96">
        <v>1.4694436620806399</v>
      </c>
      <c r="V151" s="96">
        <v>1.4850668450601641</v>
      </c>
      <c r="W151" s="96">
        <v>1.4955634438237808</v>
      </c>
      <c r="X151" s="96">
        <v>1.5043350824004078</v>
      </c>
      <c r="Y151" s="96">
        <v>1.4816480752858563</v>
      </c>
      <c r="DA151" s="171" t="s">
        <v>894</v>
      </c>
    </row>
    <row r="152" spans="1:105" ht="11.45" customHeight="1" x14ac:dyDescent="0.25">
      <c r="A152" s="109" t="s">
        <v>21</v>
      </c>
      <c r="B152" s="130">
        <v>47.290489915210195</v>
      </c>
      <c r="C152" s="130">
        <v>46.889352364018549</v>
      </c>
      <c r="D152" s="130">
        <v>46.669591356978351</v>
      </c>
      <c r="E152" s="130">
        <v>46.608151632440418</v>
      </c>
      <c r="F152" s="130">
        <v>46.647976207809897</v>
      </c>
      <c r="G152" s="130">
        <v>46.008616475581988</v>
      </c>
      <c r="H152" s="130">
        <v>46.340048000932299</v>
      </c>
      <c r="I152" s="130">
        <v>45.688683126452148</v>
      </c>
      <c r="J152" s="130">
        <v>45.395647382344926</v>
      </c>
      <c r="K152" s="130">
        <v>43.141391441958724</v>
      </c>
      <c r="L152" s="130">
        <v>43.324883126163179</v>
      </c>
      <c r="M152" s="130">
        <v>43.800337408918864</v>
      </c>
      <c r="N152" s="130">
        <v>43.50915747449838</v>
      </c>
      <c r="O152" s="130">
        <v>42.484763159101746</v>
      </c>
      <c r="P152" s="130">
        <v>42.974629428169209</v>
      </c>
      <c r="Q152" s="130">
        <v>42.766904085175064</v>
      </c>
      <c r="R152" s="130">
        <v>42.130439624422664</v>
      </c>
      <c r="S152" s="130">
        <v>41.528098341391861</v>
      </c>
      <c r="T152" s="130">
        <v>40.645927502724085</v>
      </c>
      <c r="U152" s="130">
        <v>39.632390946964541</v>
      </c>
      <c r="V152" s="130">
        <v>38.757363214620149</v>
      </c>
      <c r="W152" s="130">
        <v>37.884964876486713</v>
      </c>
      <c r="X152" s="130">
        <v>36.610676611954922</v>
      </c>
      <c r="Y152" s="130">
        <v>35.360253232801895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15.239495557849153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14.012469206456549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10.898693813614951</v>
      </c>
      <c r="Q153" s="97">
        <v>0</v>
      </c>
      <c r="R153" s="97">
        <v>10.950515934853232</v>
      </c>
      <c r="S153" s="97">
        <v>0</v>
      </c>
      <c r="T153" s="97">
        <v>0</v>
      </c>
      <c r="U153" s="97">
        <v>0</v>
      </c>
      <c r="V153" s="97">
        <v>0</v>
      </c>
      <c r="W153" s="97">
        <v>10.876196431740654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47.586267743001528</v>
      </c>
      <c r="C154" s="97">
        <v>47.446280968037492</v>
      </c>
      <c r="D154" s="97">
        <v>47.291223036324453</v>
      </c>
      <c r="E154" s="97">
        <v>47.109674409748834</v>
      </c>
      <c r="F154" s="97">
        <v>46.931656421598987</v>
      </c>
      <c r="G154" s="97">
        <v>46.705542446343564</v>
      </c>
      <c r="H154" s="97">
        <v>46.679653104187111</v>
      </c>
      <c r="I154" s="97">
        <v>46.454975906076982</v>
      </c>
      <c r="J154" s="97">
        <v>46.021432593415135</v>
      </c>
      <c r="K154" s="97">
        <v>45.591312358520298</v>
      </c>
      <c r="L154" s="97">
        <v>44.944043160570267</v>
      </c>
      <c r="M154" s="97">
        <v>44.506487739782621</v>
      </c>
      <c r="N154" s="97">
        <v>44.216761291207995</v>
      </c>
      <c r="O154" s="97">
        <v>43.822507110523311</v>
      </c>
      <c r="P154" s="97">
        <v>43.586065044651534</v>
      </c>
      <c r="Q154" s="97">
        <v>43.199999999908329</v>
      </c>
      <c r="R154" s="97">
        <v>42.588336601159909</v>
      </c>
      <c r="S154" s="97">
        <v>41.828009868659123</v>
      </c>
      <c r="T154" s="97">
        <v>40.973441248645095</v>
      </c>
      <c r="U154" s="97">
        <v>40.062567637820578</v>
      </c>
      <c r="V154" s="97">
        <v>39.121535276720074</v>
      </c>
      <c r="W154" s="97">
        <v>38.1681876537207</v>
      </c>
      <c r="X154" s="97">
        <v>37.214583704884845</v>
      </c>
      <c r="Y154" s="97">
        <v>36.268782396846241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40.329338822831865</v>
      </c>
      <c r="D155" s="97">
        <v>40.197539580875784</v>
      </c>
      <c r="E155" s="97">
        <v>40.043223248286509</v>
      </c>
      <c r="F155" s="97">
        <v>39.891907958359141</v>
      </c>
      <c r="G155" s="97">
        <v>39.699711079392031</v>
      </c>
      <c r="H155" s="97">
        <v>39.677705138559041</v>
      </c>
      <c r="I155" s="97">
        <v>39.486729520165433</v>
      </c>
      <c r="J155" s="97">
        <v>39.118217704402866</v>
      </c>
      <c r="K155" s="97">
        <v>38.752615504742252</v>
      </c>
      <c r="L155" s="97">
        <v>38.202436686484724</v>
      </c>
      <c r="M155" s="97">
        <v>37.830514578815226</v>
      </c>
      <c r="N155" s="97">
        <v>37.584247097526791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34.814694675567708</v>
      </c>
      <c r="U155" s="97">
        <v>0</v>
      </c>
      <c r="V155" s="97">
        <v>34.068221904678907</v>
      </c>
      <c r="W155" s="97">
        <v>33.70514277144558</v>
      </c>
      <c r="X155" s="97">
        <v>33.348299458416164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39.891907958359141</v>
      </c>
      <c r="G156" s="97">
        <v>0</v>
      </c>
      <c r="H156" s="97">
        <v>39.677705138559041</v>
      </c>
      <c r="I156" s="97">
        <v>39.486729520165433</v>
      </c>
      <c r="J156" s="97">
        <v>39.118217704402866</v>
      </c>
      <c r="K156" s="97">
        <v>38.752615504742252</v>
      </c>
      <c r="L156" s="97">
        <v>38.202436686484724</v>
      </c>
      <c r="M156" s="97">
        <v>37.830514578815226</v>
      </c>
      <c r="N156" s="97">
        <v>37.584247097526791</v>
      </c>
      <c r="O156" s="97">
        <v>37.249131043944814</v>
      </c>
      <c r="P156" s="97">
        <v>37.048155287953804</v>
      </c>
      <c r="Q156" s="97">
        <v>36.719999999922081</v>
      </c>
      <c r="R156" s="97">
        <v>0</v>
      </c>
      <c r="S156" s="97">
        <v>36.313121497943015</v>
      </c>
      <c r="T156" s="97">
        <v>0</v>
      </c>
      <c r="U156" s="97">
        <v>36.052141980180195</v>
      </c>
      <c r="V156" s="97">
        <v>35.94419852742768</v>
      </c>
      <c r="W156" s="97">
        <v>0</v>
      </c>
      <c r="X156" s="97">
        <v>35.747765138834922</v>
      </c>
      <c r="Y156" s="97">
        <v>0</v>
      </c>
      <c r="DA156" s="175" t="s">
        <v>899</v>
      </c>
    </row>
    <row r="157" spans="1:105" ht="11.45" customHeight="1" x14ac:dyDescent="0.25">
      <c r="A157" s="111" t="s">
        <v>115</v>
      </c>
      <c r="B157" s="97">
        <v>26.290264142025354</v>
      </c>
      <c r="C157" s="97">
        <v>26.053533022477517</v>
      </c>
      <c r="D157" s="97">
        <v>25.79299769225274</v>
      </c>
      <c r="E157" s="97">
        <v>25.535067715330211</v>
      </c>
      <c r="F157" s="97">
        <v>0</v>
      </c>
      <c r="G157" s="97">
        <v>25.02691986779514</v>
      </c>
      <c r="H157" s="97">
        <v>24.776650669117188</v>
      </c>
      <c r="I157" s="97">
        <v>0</v>
      </c>
      <c r="J157" s="97">
        <v>24.286056468101552</v>
      </c>
      <c r="K157" s="97">
        <v>24.04075936759374</v>
      </c>
      <c r="L157" s="97">
        <v>23.800351773917804</v>
      </c>
      <c r="M157" s="97">
        <v>23.562348256178627</v>
      </c>
      <c r="N157" s="97">
        <v>23.326724773616839</v>
      </c>
      <c r="O157" s="97">
        <v>23.09345752588067</v>
      </c>
      <c r="P157" s="97">
        <v>22.862522950621862</v>
      </c>
      <c r="Q157" s="97">
        <v>22.633897721115645</v>
      </c>
      <c r="R157" s="97">
        <v>22.317939961585378</v>
      </c>
      <c r="S157" s="97">
        <v>21.927164057403232</v>
      </c>
      <c r="T157" s="97">
        <v>21.473412735546994</v>
      </c>
      <c r="U157" s="97">
        <v>20.967704987240285</v>
      </c>
      <c r="V157" s="97">
        <v>20.420144996394921</v>
      </c>
      <c r="W157" s="97">
        <v>19.839879674340512</v>
      </c>
      <c r="X157" s="97">
        <v>19.235093679828797</v>
      </c>
      <c r="Y157" s="97">
        <v>18.613032308917738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8.5147746551949801</v>
      </c>
      <c r="C159" s="141">
        <v>8.492598367476905</v>
      </c>
      <c r="D159" s="141">
        <v>8.4781375886318138</v>
      </c>
      <c r="E159" s="141">
        <v>8.4917290156076817</v>
      </c>
      <c r="F159" s="141">
        <v>8.4059196989162963</v>
      </c>
      <c r="G159" s="141">
        <v>8.462528576811021</v>
      </c>
      <c r="H159" s="141">
        <v>8.555326742761256</v>
      </c>
      <c r="I159" s="141">
        <v>8.5374969418803861</v>
      </c>
      <c r="J159" s="141">
        <v>8.4272928371520361</v>
      </c>
      <c r="K159" s="141">
        <v>8.1207828314513435</v>
      </c>
      <c r="L159" s="141">
        <v>8.4006820534632016</v>
      </c>
      <c r="M159" s="141">
        <v>8.5842663912212789</v>
      </c>
      <c r="N159" s="141">
        <v>7.4128023183812228</v>
      </c>
      <c r="O159" s="141">
        <v>7.3439028888421944</v>
      </c>
      <c r="P159" s="141">
        <v>7.2067839292625271</v>
      </c>
      <c r="Q159" s="141">
        <v>6.9980304376589046</v>
      </c>
      <c r="R159" s="141">
        <v>6.7671789899653607</v>
      </c>
      <c r="S159" s="141">
        <v>6.4814438183977074</v>
      </c>
      <c r="T159" s="141">
        <v>6.5421769395209308</v>
      </c>
      <c r="U159" s="141">
        <v>6.6522919630540898</v>
      </c>
      <c r="V159" s="141">
        <v>6.843753338166235</v>
      </c>
      <c r="W159" s="141">
        <v>6.8825731354691495</v>
      </c>
      <c r="X159" s="141">
        <v>6.1960501211910222</v>
      </c>
      <c r="Y159" s="141">
        <v>6.1303541164789035</v>
      </c>
      <c r="DA159" s="174" t="s">
        <v>901</v>
      </c>
    </row>
    <row r="160" spans="1:105" ht="11.45" customHeight="1" x14ac:dyDescent="0.25">
      <c r="A160" s="111" t="s">
        <v>110</v>
      </c>
      <c r="B160" s="96">
        <v>8.9056054092594792</v>
      </c>
      <c r="C160" s="96">
        <v>8.8017801713367447</v>
      </c>
      <c r="D160" s="96">
        <v>8.6878378303657762</v>
      </c>
      <c r="E160" s="96">
        <v>8.5559480947548199</v>
      </c>
      <c r="F160" s="96">
        <v>8.4280729079449124</v>
      </c>
      <c r="G160" s="96">
        <v>8.2679632557618739</v>
      </c>
      <c r="H160" s="96">
        <v>8.2496616362276747</v>
      </c>
      <c r="I160" s="96">
        <v>8.0930942329867381</v>
      </c>
      <c r="J160" s="96">
        <v>7.7992056457569507</v>
      </c>
      <c r="K160" s="96">
        <v>7.5155895804592632</v>
      </c>
      <c r="L160" s="96">
        <v>7.106223677716927</v>
      </c>
      <c r="M160" s="96">
        <v>6.8373444832990957</v>
      </c>
      <c r="N160" s="96">
        <v>6.654958402810542</v>
      </c>
      <c r="O160" s="96">
        <v>6.6495445780883324</v>
      </c>
      <c r="P160" s="96">
        <v>6.7940883910264001</v>
      </c>
      <c r="Q160" s="96">
        <v>6.7592511619130535</v>
      </c>
      <c r="R160" s="96">
        <v>6.3268749260316284</v>
      </c>
      <c r="S160" s="96">
        <v>6.1021459030936489</v>
      </c>
      <c r="T160" s="96">
        <v>6.0200519139028934</v>
      </c>
      <c r="U160" s="96">
        <v>5.9661426952639882</v>
      </c>
      <c r="V160" s="96">
        <v>6.1571958548839749</v>
      </c>
      <c r="W160" s="96">
        <v>6.1361758334135139</v>
      </c>
      <c r="X160" s="96">
        <v>5.5826919635112322</v>
      </c>
      <c r="Y160" s="96">
        <v>5.7576092450656127</v>
      </c>
      <c r="DA160" s="171" t="s">
        <v>902</v>
      </c>
    </row>
    <row r="161" spans="1:105" ht="11.45" customHeight="1" x14ac:dyDescent="0.25">
      <c r="A161" s="111" t="s">
        <v>111</v>
      </c>
      <c r="B161" s="96">
        <v>8.4803967045171316</v>
      </c>
      <c r="C161" s="96">
        <v>8.4621650741270447</v>
      </c>
      <c r="D161" s="96">
        <v>8.4419536732515787</v>
      </c>
      <c r="E161" s="96">
        <v>8.4674618550461282</v>
      </c>
      <c r="F161" s="96">
        <v>8.3342059982396357</v>
      </c>
      <c r="G161" s="96">
        <v>8.4087790980215136</v>
      </c>
      <c r="H161" s="96">
        <v>8.6036448802552812</v>
      </c>
      <c r="I161" s="96">
        <v>8.5959784868197602</v>
      </c>
      <c r="J161" s="96">
        <v>8.3944220339513578</v>
      </c>
      <c r="K161" s="96">
        <v>7.9922848510154409</v>
      </c>
      <c r="L161" s="96">
        <v>7.7034709019536667</v>
      </c>
      <c r="M161" s="96">
        <v>7.4407742034573916</v>
      </c>
      <c r="N161" s="96">
        <v>7.2984407451866629</v>
      </c>
      <c r="O161" s="96">
        <v>7.273284277466928</v>
      </c>
      <c r="P161" s="96">
        <v>7.2329997740310095</v>
      </c>
      <c r="Q161" s="96">
        <v>7.030629128521003</v>
      </c>
      <c r="R161" s="96">
        <v>6.8106464883205078</v>
      </c>
      <c r="S161" s="96">
        <v>6.4970508338381237</v>
      </c>
      <c r="T161" s="96">
        <v>6.6012328517235757</v>
      </c>
      <c r="U161" s="96">
        <v>6.7123861561320917</v>
      </c>
      <c r="V161" s="96">
        <v>6.9482718932833274</v>
      </c>
      <c r="W161" s="96">
        <v>7.1121443275179059</v>
      </c>
      <c r="X161" s="96">
        <v>6.3584032076859769</v>
      </c>
      <c r="Y161" s="96">
        <v>6.4696870970250533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18.903453023787527</v>
      </c>
      <c r="F162" s="96">
        <v>18.605961771697036</v>
      </c>
      <c r="G162" s="96">
        <v>18.772444846873199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16.293634873750548</v>
      </c>
      <c r="O162" s="96">
        <v>16.816321774651058</v>
      </c>
      <c r="P162" s="96">
        <v>15.325696168379231</v>
      </c>
      <c r="Q162" s="96">
        <v>15.114183636464739</v>
      </c>
      <c r="R162" s="96">
        <v>13.013398149992186</v>
      </c>
      <c r="S162" s="96">
        <v>13.841523486809871</v>
      </c>
      <c r="T162" s="96">
        <v>13.680200369247984</v>
      </c>
      <c r="U162" s="96">
        <v>13.72321986726449</v>
      </c>
      <c r="V162" s="96">
        <v>10.894308478174329</v>
      </c>
      <c r="W162" s="96">
        <v>10.790513622824726</v>
      </c>
      <c r="X162" s="96">
        <v>7.7142303855283147</v>
      </c>
      <c r="Y162" s="96">
        <v>7.9970877937228151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10.788636805000452</v>
      </c>
      <c r="I163" s="96">
        <v>10.583883092235947</v>
      </c>
      <c r="J163" s="96">
        <v>10.199545240749627</v>
      </c>
      <c r="K163" s="96">
        <v>9.8286414563903932</v>
      </c>
      <c r="L163" s="96">
        <v>9.2932861606478969</v>
      </c>
      <c r="M163" s="96">
        <v>8.9416547724881301</v>
      </c>
      <c r="N163" s="96">
        <v>8.7132826913256949</v>
      </c>
      <c r="O163" s="96">
        <v>8.8106647218023859</v>
      </c>
      <c r="P163" s="96">
        <v>7.6699654553554186</v>
      </c>
      <c r="Q163" s="96">
        <v>6.9701529952903414</v>
      </c>
      <c r="R163" s="96">
        <v>6.6231404140052819</v>
      </c>
      <c r="S163" s="96">
        <v>7.0237384369288094</v>
      </c>
      <c r="T163" s="96">
        <v>6.4601098180029481</v>
      </c>
      <c r="U163" s="96">
        <v>7.107449060232673</v>
      </c>
      <c r="V163" s="96">
        <v>6.1119725021399169</v>
      </c>
      <c r="W163" s="96">
        <v>7.5134004458098671</v>
      </c>
      <c r="X163" s="96">
        <v>5.7561435336965143</v>
      </c>
      <c r="Y163" s="96">
        <v>9.0259055410034108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1.7235386486612407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1.4455078346411929</v>
      </c>
      <c r="J164" s="96">
        <v>1.4310527562947808</v>
      </c>
      <c r="K164" s="96">
        <v>1.416742228731833</v>
      </c>
      <c r="L164" s="96">
        <v>1.4025748064445145</v>
      </c>
      <c r="M164" s="96">
        <v>1.3885490583800695</v>
      </c>
      <c r="N164" s="96">
        <v>1.3746635677962691</v>
      </c>
      <c r="O164" s="96">
        <v>1.3741535832387557</v>
      </c>
      <c r="P164" s="96">
        <v>1.3858976283739828</v>
      </c>
      <c r="Q164" s="96">
        <v>1.3953628697711609</v>
      </c>
      <c r="R164" s="96">
        <v>1.4047938786748719</v>
      </c>
      <c r="S164" s="96">
        <v>1.4166140360221884</v>
      </c>
      <c r="T164" s="96">
        <v>1.4599619774862544</v>
      </c>
      <c r="U164" s="96">
        <v>1.6090359359037256</v>
      </c>
      <c r="V164" s="96">
        <v>1.9109675347951436</v>
      </c>
      <c r="W164" s="96">
        <v>2.1183213745663716</v>
      </c>
      <c r="X164" s="96">
        <v>2.209635896491013</v>
      </c>
      <c r="Y164" s="96">
        <v>2.1177088431774593</v>
      </c>
      <c r="DA164" s="171" t="s">
        <v>906</v>
      </c>
    </row>
    <row r="165" spans="1:105" ht="11.45" customHeight="1" x14ac:dyDescent="0.25">
      <c r="A165" s="109" t="s">
        <v>154</v>
      </c>
      <c r="B165" s="130">
        <v>30.232975661504891</v>
      </c>
      <c r="C165" s="130">
        <v>30.259267383137814</v>
      </c>
      <c r="D165" s="130">
        <v>30.15978330849109</v>
      </c>
      <c r="E165" s="130">
        <v>29.765883584547982</v>
      </c>
      <c r="F165" s="130">
        <v>30.369447369121872</v>
      </c>
      <c r="G165" s="130">
        <v>29.496698430489918</v>
      </c>
      <c r="H165" s="130">
        <v>29.404218291533095</v>
      </c>
      <c r="I165" s="130">
        <v>29.559147859131865</v>
      </c>
      <c r="J165" s="130">
        <v>29.221863525469104</v>
      </c>
      <c r="K165" s="130">
        <v>27.193272484816454</v>
      </c>
      <c r="L165" s="130">
        <v>28.079347866648984</v>
      </c>
      <c r="M165" s="130">
        <v>28.27297610278659</v>
      </c>
      <c r="N165" s="130">
        <v>26.474398523530873</v>
      </c>
      <c r="O165" s="130">
        <v>26.541415835594965</v>
      </c>
      <c r="P165" s="130">
        <v>25.783455540220505</v>
      </c>
      <c r="Q165" s="130">
        <v>25.583471189610449</v>
      </c>
      <c r="R165" s="130">
        <v>24.372818765124428</v>
      </c>
      <c r="S165" s="130">
        <v>24.127765414589781</v>
      </c>
      <c r="T165" s="130">
        <v>22.667280624981174</v>
      </c>
      <c r="U165" s="130">
        <v>21.938225060330076</v>
      </c>
      <c r="V165" s="130">
        <v>21.332145730433602</v>
      </c>
      <c r="W165" s="130">
        <v>21.7398321736082</v>
      </c>
      <c r="X165" s="130">
        <v>21.540411828374342</v>
      </c>
      <c r="Y165" s="130">
        <v>20.353261969867596</v>
      </c>
      <c r="DA165" s="176" t="s">
        <v>907</v>
      </c>
    </row>
    <row r="166" spans="1:105" ht="11.45" customHeight="1" x14ac:dyDescent="0.25">
      <c r="A166" s="128" t="s">
        <v>27</v>
      </c>
      <c r="B166" s="97">
        <v>29.529677246613002</v>
      </c>
      <c r="C166" s="97">
        <v>29.393814432931158</v>
      </c>
      <c r="D166" s="97">
        <v>29.243588756181733</v>
      </c>
      <c r="E166" s="97">
        <v>29.056529826259176</v>
      </c>
      <c r="F166" s="97">
        <v>28.833112963427613</v>
      </c>
      <c r="G166" s="97">
        <v>28.573901867061384</v>
      </c>
      <c r="H166" s="97">
        <v>28.279545100431452</v>
      </c>
      <c r="I166" s="97">
        <v>27.95077209584381</v>
      </c>
      <c r="J166" s="97">
        <v>27.588388725231891</v>
      </c>
      <c r="K166" s="97">
        <v>27.193272484816454</v>
      </c>
      <c r="L166" s="97">
        <v>26.766367346870169</v>
      </c>
      <c r="M166" s="97">
        <v>26.308678332450487</v>
      </c>
      <c r="N166" s="97">
        <v>25.821265861050637</v>
      </c>
      <c r="O166" s="97">
        <v>25.305239933773592</v>
      </c>
      <c r="P166" s="97">
        <v>24.761754205302339</v>
      </c>
      <c r="Q166" s="97">
        <v>24.19199999994866</v>
      </c>
      <c r="R166" s="97">
        <v>23.078376846973331</v>
      </c>
      <c r="S166" s="97">
        <v>22.298840639890599</v>
      </c>
      <c r="T166" s="97">
        <v>21.480327622453732</v>
      </c>
      <c r="U166" s="97">
        <v>20.479922823364227</v>
      </c>
      <c r="V166" s="97">
        <v>19.476386480584114</v>
      </c>
      <c r="W166" s="97">
        <v>19.698557174384646</v>
      </c>
      <c r="X166" s="97">
        <v>19.590030452436892</v>
      </c>
      <c r="Y166" s="97">
        <v>19.394130147912524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99.649826742747436</v>
      </c>
      <c r="C171" s="152">
        <v>99.032907731809999</v>
      </c>
      <c r="D171" s="152">
        <v>98.47458625849049</v>
      </c>
      <c r="E171" s="152">
        <v>97.97821268492838</v>
      </c>
      <c r="F171" s="152">
        <v>97.446445700353053</v>
      </c>
      <c r="G171" s="152">
        <v>96.745839153901017</v>
      </c>
      <c r="H171" s="152">
        <v>96.017118941264101</v>
      </c>
      <c r="I171" s="152">
        <v>95.146098744468759</v>
      </c>
      <c r="J171" s="152">
        <v>94.155398273138644</v>
      </c>
      <c r="K171" s="152">
        <v>93.169897637040762</v>
      </c>
      <c r="L171" s="152">
        <v>92.221095071994512</v>
      </c>
      <c r="M171" s="152">
        <v>91.612252015152478</v>
      </c>
      <c r="N171" s="152">
        <v>90.476401926027364</v>
      </c>
      <c r="O171" s="152">
        <v>89.445890179851062</v>
      </c>
      <c r="P171" s="152">
        <v>88.845883030681918</v>
      </c>
      <c r="Q171" s="152">
        <v>88.094827089597516</v>
      </c>
      <c r="R171" s="152">
        <v>87.062031726996622</v>
      </c>
      <c r="S171" s="152">
        <v>86.526663516318735</v>
      </c>
      <c r="T171" s="152">
        <v>85.987215428336427</v>
      </c>
      <c r="U171" s="152">
        <v>85.081830163718323</v>
      </c>
      <c r="V171" s="152">
        <v>84.237875011650317</v>
      </c>
      <c r="W171" s="152">
        <v>83.466405983708484</v>
      </c>
      <c r="X171" s="152">
        <v>82.801038201182735</v>
      </c>
      <c r="Y171" s="152">
        <v>82.103168983459881</v>
      </c>
      <c r="DA171" s="174" t="s">
        <v>910</v>
      </c>
    </row>
    <row r="172" spans="1:105" ht="11.45" customHeight="1" x14ac:dyDescent="0.25">
      <c r="A172" s="109" t="s">
        <v>20</v>
      </c>
      <c r="B172" s="116">
        <v>232.69678750499702</v>
      </c>
      <c r="C172" s="116">
        <v>230.55152599623028</v>
      </c>
      <c r="D172" s="116">
        <v>229.32710732538337</v>
      </c>
      <c r="E172" s="116">
        <v>228.49518605082235</v>
      </c>
      <c r="F172" s="116">
        <v>227.60038407536913</v>
      </c>
      <c r="G172" s="116">
        <v>225.66321556673003</v>
      </c>
      <c r="H172" s="116">
        <v>223.46558369464961</v>
      </c>
      <c r="I172" s="116">
        <v>221.72794862130306</v>
      </c>
      <c r="J172" s="116">
        <v>219.30260122902368</v>
      </c>
      <c r="K172" s="116">
        <v>215.57496174324569</v>
      </c>
      <c r="L172" s="116">
        <v>212.86105423363216</v>
      </c>
      <c r="M172" s="116">
        <v>209.08701757505884</v>
      </c>
      <c r="N172" s="116">
        <v>205.24822918503111</v>
      </c>
      <c r="O172" s="116">
        <v>201.69257388113849</v>
      </c>
      <c r="P172" s="116">
        <v>198.05186759241252</v>
      </c>
      <c r="Q172" s="116">
        <v>194.13379854140189</v>
      </c>
      <c r="R172" s="116">
        <v>189.41171933492581</v>
      </c>
      <c r="S172" s="116">
        <v>183.74554570955516</v>
      </c>
      <c r="T172" s="116">
        <v>179.2140834738216</v>
      </c>
      <c r="U172" s="116">
        <v>174.66208372813793</v>
      </c>
      <c r="V172" s="116">
        <v>169.60664766568556</v>
      </c>
      <c r="W172" s="116">
        <v>159.72544183443065</v>
      </c>
      <c r="X172" s="116">
        <v>157.99460474969928</v>
      </c>
      <c r="Y172" s="116">
        <v>152.81365530070994</v>
      </c>
      <c r="DA172" s="176" t="s">
        <v>911</v>
      </c>
    </row>
    <row r="173" spans="1:105" ht="11.45" customHeight="1" x14ac:dyDescent="0.25">
      <c r="A173" s="111" t="s">
        <v>110</v>
      </c>
      <c r="B173" s="87">
        <v>224.18693322381179</v>
      </c>
      <c r="C173" s="87">
        <v>222.95188048517016</v>
      </c>
      <c r="D173" s="87">
        <v>222.26069052108099</v>
      </c>
      <c r="E173" s="87">
        <v>221.46650305159321</v>
      </c>
      <c r="F173" s="87">
        <v>220.41651626320552</v>
      </c>
      <c r="G173" s="87">
        <v>218.95649817854741</v>
      </c>
      <c r="H173" s="87">
        <v>217.25878358262671</v>
      </c>
      <c r="I173" s="87">
        <v>215.24666764021896</v>
      </c>
      <c r="J173" s="87">
        <v>212.55367498382549</v>
      </c>
      <c r="K173" s="87">
        <v>208.5655070785939</v>
      </c>
      <c r="L173" s="87">
        <v>204.00834017813921</v>
      </c>
      <c r="M173" s="87">
        <v>199.07960818048181</v>
      </c>
      <c r="N173" s="87">
        <v>194.49471487959192</v>
      </c>
      <c r="O173" s="87">
        <v>190.4067732300831</v>
      </c>
      <c r="P173" s="87">
        <v>186.18020775305405</v>
      </c>
      <c r="Q173" s="87">
        <v>182.37407890905834</v>
      </c>
      <c r="R173" s="87">
        <v>178.40644382894237</v>
      </c>
      <c r="S173" s="87">
        <v>173.50919849245798</v>
      </c>
      <c r="T173" s="87">
        <v>169.32050907794002</v>
      </c>
      <c r="U173" s="87">
        <v>165.31865081513354</v>
      </c>
      <c r="V173" s="87">
        <v>163.13495794954446</v>
      </c>
      <c r="W173" s="87">
        <v>159.69215282665158</v>
      </c>
      <c r="X173" s="87">
        <v>157.62538371399341</v>
      </c>
      <c r="Y173" s="87">
        <v>155.39895481924006</v>
      </c>
      <c r="DA173" s="171" t="s">
        <v>912</v>
      </c>
    </row>
    <row r="174" spans="1:105" ht="11.45" customHeight="1" x14ac:dyDescent="0.25">
      <c r="A174" s="111" t="s">
        <v>111</v>
      </c>
      <c r="B174" s="87">
        <v>235.55516731513578</v>
      </c>
      <c r="C174" s="87">
        <v>230.9137185376625</v>
      </c>
      <c r="D174" s="87">
        <v>229.07332266384159</v>
      </c>
      <c r="E174" s="87">
        <v>227.57000132469253</v>
      </c>
      <c r="F174" s="87">
        <v>225.84184192442964</v>
      </c>
      <c r="G174" s="87">
        <v>224.65043202906449</v>
      </c>
      <c r="H174" s="87">
        <v>223.55936313777605</v>
      </c>
      <c r="I174" s="87">
        <v>222.58352736489874</v>
      </c>
      <c r="J174" s="87">
        <v>221.48182329711804</v>
      </c>
      <c r="K174" s="87">
        <v>219.65423556142389</v>
      </c>
      <c r="L174" s="87">
        <v>216.45280997788734</v>
      </c>
      <c r="M174" s="87">
        <v>212.11963673651718</v>
      </c>
      <c r="N174" s="87">
        <v>207.9913707426154</v>
      </c>
      <c r="O174" s="87">
        <v>203.95192792940955</v>
      </c>
      <c r="P174" s="87">
        <v>200.42564861227419</v>
      </c>
      <c r="Q174" s="87">
        <v>196.03226639051971</v>
      </c>
      <c r="R174" s="87">
        <v>191.42186678093032</v>
      </c>
      <c r="S174" s="87">
        <v>187.53956656865478</v>
      </c>
      <c r="T174" s="87">
        <v>185.47528288429857</v>
      </c>
      <c r="U174" s="87">
        <v>182.9871968351342</v>
      </c>
      <c r="V174" s="87">
        <v>181.26263746383322</v>
      </c>
      <c r="W174" s="87">
        <v>179.43980442447287</v>
      </c>
      <c r="X174" s="87">
        <v>176.47914684845912</v>
      </c>
      <c r="Y174" s="87">
        <v>173.36120705961622</v>
      </c>
      <c r="DA174" s="171" t="s">
        <v>913</v>
      </c>
    </row>
    <row r="175" spans="1:105" ht="11.45" customHeight="1" x14ac:dyDescent="0.25">
      <c r="A175" s="111" t="s">
        <v>112</v>
      </c>
      <c r="B175" s="87">
        <v>237.35658562510244</v>
      </c>
      <c r="C175" s="87">
        <v>223.24049342558524</v>
      </c>
      <c r="D175" s="87">
        <v>213.62219814320241</v>
      </c>
      <c r="E175" s="87">
        <v>209.09218516767714</v>
      </c>
      <c r="F175" s="87">
        <v>205.18350510414044</v>
      </c>
      <c r="G175" s="87">
        <v>205.18185977665411</v>
      </c>
      <c r="H175" s="87">
        <v>205.46894910413903</v>
      </c>
      <c r="I175" s="87">
        <v>204.97320998956647</v>
      </c>
      <c r="J175" s="87">
        <v>205.24558048056483</v>
      </c>
      <c r="K175" s="87">
        <v>204.19616041020922</v>
      </c>
      <c r="L175" s="87">
        <v>202.85935429563278</v>
      </c>
      <c r="M175" s="87">
        <v>202.90600880010791</v>
      </c>
      <c r="N175" s="87">
        <v>204.82118547132765</v>
      </c>
      <c r="O175" s="87">
        <v>204.99489189500872</v>
      </c>
      <c r="P175" s="87">
        <v>204.89391441812327</v>
      </c>
      <c r="Q175" s="87">
        <v>202.92713422212444</v>
      </c>
      <c r="R175" s="87">
        <v>202.29789879824628</v>
      </c>
      <c r="S175" s="87">
        <v>202.40722582383052</v>
      </c>
      <c r="T175" s="87">
        <v>205.4653201065889</v>
      </c>
      <c r="U175" s="87">
        <v>208.25428377394499</v>
      </c>
      <c r="V175" s="87">
        <v>212.02895463141408</v>
      </c>
      <c r="W175" s="87">
        <v>203.4154172764259</v>
      </c>
      <c r="X175" s="87">
        <v>204.13641347585968</v>
      </c>
      <c r="Y175" s="87">
        <v>198.53576735492453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157.61075421084257</v>
      </c>
      <c r="I176" s="87">
        <v>155.36073765056082</v>
      </c>
      <c r="J176" s="87">
        <v>150.30399141415054</v>
      </c>
      <c r="K176" s="87">
        <v>149.06452424685645</v>
      </c>
      <c r="L176" s="87">
        <v>155.0270802612707</v>
      </c>
      <c r="M176" s="87">
        <v>157.8264578611336</v>
      </c>
      <c r="N176" s="87">
        <v>157.3841078566696</v>
      </c>
      <c r="O176" s="87">
        <v>151.01368797745499</v>
      </c>
      <c r="P176" s="87">
        <v>144.7082556360825</v>
      </c>
      <c r="Q176" s="87">
        <v>141.03083129999621</v>
      </c>
      <c r="R176" s="87">
        <v>138.2463272986713</v>
      </c>
      <c r="S176" s="87">
        <v>136.23047831442059</v>
      </c>
      <c r="T176" s="87">
        <v>133.69007660307619</v>
      </c>
      <c r="U176" s="87">
        <v>131.69063852716206</v>
      </c>
      <c r="V176" s="87">
        <v>128.98696413656259</v>
      </c>
      <c r="W176" s="87">
        <v>127.23766836078228</v>
      </c>
      <c r="X176" s="87">
        <v>125.76822752800645</v>
      </c>
      <c r="Y176" s="87">
        <v>124.34455039555246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72.454774205557044</v>
      </c>
      <c r="N177" s="87">
        <v>52.805110181723578</v>
      </c>
      <c r="O177" s="87">
        <v>36.324241566287959</v>
      </c>
      <c r="P177" s="87">
        <v>40.595600666581817</v>
      </c>
      <c r="Q177" s="87">
        <v>48.788540970374711</v>
      </c>
      <c r="R177" s="87">
        <v>60.675262699870935</v>
      </c>
      <c r="S177" s="87">
        <v>63.251902640219178</v>
      </c>
      <c r="T177" s="87">
        <v>64.693756155902179</v>
      </c>
      <c r="U177" s="87">
        <v>63.84797696869844</v>
      </c>
      <c r="V177" s="87">
        <v>54.305009917337614</v>
      </c>
      <c r="W177" s="87">
        <v>47.048222297852185</v>
      </c>
      <c r="X177" s="87">
        <v>44.102437699460388</v>
      </c>
      <c r="Y177" s="87">
        <v>41.192362275820109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1602.1830492812483</v>
      </c>
      <c r="C179" s="116">
        <v>1574.7175215895695</v>
      </c>
      <c r="D179" s="116">
        <v>1557.195602388442</v>
      </c>
      <c r="E179" s="116">
        <v>1547.605436822568</v>
      </c>
      <c r="F179" s="116">
        <v>1540.1225312725171</v>
      </c>
      <c r="G179" s="116">
        <v>1514.2380397050954</v>
      </c>
      <c r="H179" s="116">
        <v>1511.3575023827807</v>
      </c>
      <c r="I179" s="116">
        <v>1480.1753985971866</v>
      </c>
      <c r="J179" s="116">
        <v>1466.1287474198734</v>
      </c>
      <c r="K179" s="116">
        <v>1371.1231145996858</v>
      </c>
      <c r="L179" s="116">
        <v>1388.5596198117012</v>
      </c>
      <c r="M179" s="116">
        <v>1417.9081177138467</v>
      </c>
      <c r="N179" s="116">
        <v>1400.3490351779578</v>
      </c>
      <c r="O179" s="116">
        <v>1355.174832784717</v>
      </c>
      <c r="P179" s="116">
        <v>1373.5840135613846</v>
      </c>
      <c r="Q179" s="116">
        <v>1371.4578744962273</v>
      </c>
      <c r="R179" s="116">
        <v>1358.9563989997225</v>
      </c>
      <c r="S179" s="116">
        <v>1343.3703092123421</v>
      </c>
      <c r="T179" s="116">
        <v>1321.8346411088889</v>
      </c>
      <c r="U179" s="116">
        <v>1296.9497611542979</v>
      </c>
      <c r="V179" s="116">
        <v>1280.7426829702288</v>
      </c>
      <c r="W179" s="116">
        <v>1273.3685749569265</v>
      </c>
      <c r="X179" s="116">
        <v>1239.6756970748604</v>
      </c>
      <c r="Y179" s="116">
        <v>1202.2237022413985</v>
      </c>
      <c r="DA179" s="176" t="s">
        <v>918</v>
      </c>
    </row>
    <row r="180" spans="1:105" ht="11.45" customHeight="1" x14ac:dyDescent="0.25">
      <c r="A180" s="111" t="s">
        <v>110</v>
      </c>
      <c r="B180" s="101">
        <v>510.93108166412895</v>
      </c>
      <c r="C180" s="101">
        <v>504.1953357301602</v>
      </c>
      <c r="D180" s="101">
        <v>502.88225565353787</v>
      </c>
      <c r="E180" s="101">
        <v>502.11323267698293</v>
      </c>
      <c r="F180" s="101">
        <v>501.01571434424773</v>
      </c>
      <c r="G180" s="101">
        <v>499.12567173399418</v>
      </c>
      <c r="H180" s="101">
        <v>497.39407008013922</v>
      </c>
      <c r="I180" s="101">
        <v>475.29563073826</v>
      </c>
      <c r="J180" s="101">
        <v>469.80579328701936</v>
      </c>
      <c r="K180" s="101">
        <v>460.87148904294349</v>
      </c>
      <c r="L180" s="101">
        <v>460.87148904294355</v>
      </c>
      <c r="M180" s="101">
        <v>446.97792092573854</v>
      </c>
      <c r="N180" s="101">
        <v>446.97792092573854</v>
      </c>
      <c r="O180" s="101">
        <v>422.40962492926832</v>
      </c>
      <c r="P180" s="101">
        <v>378.03332590424878</v>
      </c>
      <c r="Q180" s="101">
        <v>378.03332590424873</v>
      </c>
      <c r="R180" s="101">
        <v>359.32239843309043</v>
      </c>
      <c r="S180" s="101">
        <v>359.32239843309043</v>
      </c>
      <c r="T180" s="101">
        <v>359.32239843309048</v>
      </c>
      <c r="U180" s="101">
        <v>359.32239843309037</v>
      </c>
      <c r="V180" s="101">
        <v>341.29821062785635</v>
      </c>
      <c r="W180" s="101">
        <v>333.26381942459977</v>
      </c>
      <c r="X180" s="101">
        <v>333.26381942459966</v>
      </c>
      <c r="Y180" s="101">
        <v>316.45006939605332</v>
      </c>
      <c r="DA180" s="175" t="s">
        <v>919</v>
      </c>
    </row>
    <row r="181" spans="1:105" ht="11.45" customHeight="1" x14ac:dyDescent="0.25">
      <c r="A181" s="111" t="s">
        <v>111</v>
      </c>
      <c r="B181" s="101">
        <v>1623.9578483449363</v>
      </c>
      <c r="C181" s="101">
        <v>1596.1982337632653</v>
      </c>
      <c r="D181" s="101">
        <v>1580.1691887962952</v>
      </c>
      <c r="E181" s="101">
        <v>1565.2066479854932</v>
      </c>
      <c r="F181" s="101">
        <v>1547.9651039979301</v>
      </c>
      <c r="G181" s="101">
        <v>1535.2662203466869</v>
      </c>
      <c r="H181" s="101">
        <v>1520.6724214110827</v>
      </c>
      <c r="I181" s="101">
        <v>1507.9980623949737</v>
      </c>
      <c r="J181" s="101">
        <v>1492.4698517263353</v>
      </c>
      <c r="K181" s="101">
        <v>1483.7628323099004</v>
      </c>
      <c r="L181" s="101">
        <v>1471.1161886763944</v>
      </c>
      <c r="M181" s="101">
        <v>1459.8503522990495</v>
      </c>
      <c r="N181" s="101">
        <v>1446.574324616779</v>
      </c>
      <c r="O181" s="101">
        <v>1434.0689856265126</v>
      </c>
      <c r="P181" s="101">
        <v>1420.1089288262838</v>
      </c>
      <c r="Q181" s="101">
        <v>1406.6571273892419</v>
      </c>
      <c r="R181" s="101">
        <v>1390.6302603847025</v>
      </c>
      <c r="S181" s="101">
        <v>1371.213642626695</v>
      </c>
      <c r="T181" s="101">
        <v>1347.4385418279194</v>
      </c>
      <c r="U181" s="101">
        <v>1326.7826606262615</v>
      </c>
      <c r="V181" s="101">
        <v>1307.6986677051095</v>
      </c>
      <c r="W181" s="101">
        <v>1291.8423028091627</v>
      </c>
      <c r="X181" s="101">
        <v>1271.2611043806244</v>
      </c>
      <c r="Y181" s="101">
        <v>1245.154150390375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1065.4490261934588</v>
      </c>
      <c r="D182" s="101">
        <v>1063.0994318002961</v>
      </c>
      <c r="E182" s="101">
        <v>1061.5139074291569</v>
      </c>
      <c r="F182" s="101">
        <v>1059.2946419871389</v>
      </c>
      <c r="G182" s="101">
        <v>1055.8651164545843</v>
      </c>
      <c r="H182" s="101">
        <v>1054.2664852580644</v>
      </c>
      <c r="I182" s="101">
        <v>1051.8999022593832</v>
      </c>
      <c r="J182" s="101">
        <v>1048.6319157202436</v>
      </c>
      <c r="K182" s="101">
        <v>1041.7233040395088</v>
      </c>
      <c r="L182" s="101">
        <v>1037.1517588853703</v>
      </c>
      <c r="M182" s="101">
        <v>1033.6732930073499</v>
      </c>
      <c r="N182" s="101">
        <v>1033.1361183384643</v>
      </c>
      <c r="O182" s="101">
        <v>1032.7903522138495</v>
      </c>
      <c r="P182" s="101">
        <v>1032.0417750498364</v>
      </c>
      <c r="Q182" s="101">
        <v>1027.7633987373492</v>
      </c>
      <c r="R182" s="101">
        <v>1023.9533649101617</v>
      </c>
      <c r="S182" s="101">
        <v>1020.5568041965141</v>
      </c>
      <c r="T182" s="101">
        <v>1015.6535745662474</v>
      </c>
      <c r="U182" s="101">
        <v>963.70196865598223</v>
      </c>
      <c r="V182" s="101">
        <v>926.81085778321483</v>
      </c>
      <c r="W182" s="101">
        <v>901.61731313700238</v>
      </c>
      <c r="X182" s="101">
        <v>889.00732795816941</v>
      </c>
      <c r="Y182" s="101">
        <v>882.32384412005501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936.97905974672574</v>
      </c>
      <c r="G183" s="101">
        <v>936.97905974672574</v>
      </c>
      <c r="H183" s="101">
        <v>935.91229673060661</v>
      </c>
      <c r="I183" s="101">
        <v>928.96596174000194</v>
      </c>
      <c r="J183" s="101">
        <v>922.95191107838207</v>
      </c>
      <c r="K183" s="101">
        <v>913.88158659393082</v>
      </c>
      <c r="L183" s="101">
        <v>908.4446871298195</v>
      </c>
      <c r="M183" s="101">
        <v>907.45602665724925</v>
      </c>
      <c r="N183" s="101">
        <v>905.6288370818354</v>
      </c>
      <c r="O183" s="101">
        <v>898.54227083623914</v>
      </c>
      <c r="P183" s="101">
        <v>894.83698851543033</v>
      </c>
      <c r="Q183" s="101">
        <v>892.09539311261176</v>
      </c>
      <c r="R183" s="101">
        <v>891.36323977167615</v>
      </c>
      <c r="S183" s="101">
        <v>886.4288514235393</v>
      </c>
      <c r="T183" s="101">
        <v>883.40867727979469</v>
      </c>
      <c r="U183" s="101">
        <v>881.68104940463115</v>
      </c>
      <c r="V183" s="101">
        <v>880.90384890460552</v>
      </c>
      <c r="W183" s="101">
        <v>878.42555354632543</v>
      </c>
      <c r="X183" s="101">
        <v>878.49239172012017</v>
      </c>
      <c r="Y183" s="101">
        <v>876.59472127959395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303.84998972929577</v>
      </c>
      <c r="C186" s="152">
        <v>296.22482790585894</v>
      </c>
      <c r="D186" s="152">
        <v>291.87084110978282</v>
      </c>
      <c r="E186" s="152">
        <v>288.58558442192913</v>
      </c>
      <c r="F186" s="152">
        <v>282.74692264801644</v>
      </c>
      <c r="G186" s="152">
        <v>280.36662713429359</v>
      </c>
      <c r="H186" s="152">
        <v>279.41818621174372</v>
      </c>
      <c r="I186" s="152">
        <v>275.97914598337439</v>
      </c>
      <c r="J186" s="152">
        <v>269.31022482286858</v>
      </c>
      <c r="K186" s="152">
        <v>263.90258828426005</v>
      </c>
      <c r="L186" s="152">
        <v>243.80843536283231</v>
      </c>
      <c r="M186" s="152">
        <v>228.77430246086979</v>
      </c>
      <c r="N186" s="152">
        <v>254.27728509474903</v>
      </c>
      <c r="O186" s="152">
        <v>250.63327497873138</v>
      </c>
      <c r="P186" s="152">
        <v>250.73637044300938</v>
      </c>
      <c r="Q186" s="152">
        <v>246.93653160535544</v>
      </c>
      <c r="R186" s="152">
        <v>240.73869826418618</v>
      </c>
      <c r="S186" s="152">
        <v>236.75230781301585</v>
      </c>
      <c r="T186" s="152">
        <v>231.60525740042866</v>
      </c>
      <c r="U186" s="152">
        <v>226.91627858898471</v>
      </c>
      <c r="V186" s="152">
        <v>224.72059199968069</v>
      </c>
      <c r="W186" s="152">
        <v>220.33470370247844</v>
      </c>
      <c r="X186" s="152">
        <v>212.65249692188439</v>
      </c>
      <c r="Y186" s="152">
        <v>207.79311822628651</v>
      </c>
      <c r="DA186" s="174" t="s">
        <v>924</v>
      </c>
    </row>
    <row r="187" spans="1:105" ht="11.45" customHeight="1" x14ac:dyDescent="0.25">
      <c r="A187" s="111" t="s">
        <v>110</v>
      </c>
      <c r="B187" s="87">
        <v>295.3458819098359</v>
      </c>
      <c r="C187" s="87">
        <v>294.58415461305077</v>
      </c>
      <c r="D187" s="87">
        <v>293.83333692273209</v>
      </c>
      <c r="E187" s="87">
        <v>292.82277707458883</v>
      </c>
      <c r="F187" s="87">
        <v>291.0437560660157</v>
      </c>
      <c r="G187" s="87">
        <v>288.79326979032771</v>
      </c>
      <c r="H187" s="87">
        <v>285.7255141331467</v>
      </c>
      <c r="I187" s="87">
        <v>281.51850114726636</v>
      </c>
      <c r="J187" s="87">
        <v>276.14451496098479</v>
      </c>
      <c r="K187" s="87">
        <v>270.14772544068285</v>
      </c>
      <c r="L187" s="87">
        <v>266.06511178047288</v>
      </c>
      <c r="M187" s="87">
        <v>262.29397117031573</v>
      </c>
      <c r="N187" s="87">
        <v>253.90196092149364</v>
      </c>
      <c r="O187" s="87">
        <v>243.00224208000961</v>
      </c>
      <c r="P187" s="87">
        <v>233.80706236631147</v>
      </c>
      <c r="Q187" s="87">
        <v>226.10029466124135</v>
      </c>
      <c r="R187" s="87">
        <v>218.71065980486514</v>
      </c>
      <c r="S187" s="87">
        <v>212.72805219039674</v>
      </c>
      <c r="T187" s="87">
        <v>205.37174212483399</v>
      </c>
      <c r="U187" s="87">
        <v>199.38097730019632</v>
      </c>
      <c r="V187" s="87">
        <v>197.60583759540381</v>
      </c>
      <c r="W187" s="87">
        <v>194.94826046179534</v>
      </c>
      <c r="X187" s="87">
        <v>191.03947370950667</v>
      </c>
      <c r="Y187" s="87">
        <v>187.37722170245002</v>
      </c>
      <c r="DA187" s="171" t="s">
        <v>925</v>
      </c>
    </row>
    <row r="188" spans="1:105" ht="11.45" customHeight="1" x14ac:dyDescent="0.25">
      <c r="A188" s="111" t="s">
        <v>111</v>
      </c>
      <c r="B188" s="87">
        <v>303.61754789991727</v>
      </c>
      <c r="C188" s="87">
        <v>292.69815513590578</v>
      </c>
      <c r="D188" s="87">
        <v>288.43283796702798</v>
      </c>
      <c r="E188" s="87">
        <v>284.4973478309654</v>
      </c>
      <c r="F188" s="87">
        <v>280.2510028666066</v>
      </c>
      <c r="G188" s="87">
        <v>276.81961869069505</v>
      </c>
      <c r="H188" s="87">
        <v>273.97619363434842</v>
      </c>
      <c r="I188" s="87">
        <v>271.22084952549147</v>
      </c>
      <c r="J188" s="87">
        <v>268.43646297470139</v>
      </c>
      <c r="K188" s="87">
        <v>266.80069153472402</v>
      </c>
      <c r="L188" s="87">
        <v>265.07447045147785</v>
      </c>
      <c r="M188" s="87">
        <v>263.94300516226951</v>
      </c>
      <c r="N188" s="87">
        <v>260.45501916068832</v>
      </c>
      <c r="O188" s="87">
        <v>256.29841102597305</v>
      </c>
      <c r="P188" s="87">
        <v>252.27183124447134</v>
      </c>
      <c r="Q188" s="87">
        <v>247.93884039779346</v>
      </c>
      <c r="R188" s="87">
        <v>243.16596513297162</v>
      </c>
      <c r="S188" s="87">
        <v>237.24693233086816</v>
      </c>
      <c r="T188" s="87">
        <v>232.12791827945841</v>
      </c>
      <c r="U188" s="87">
        <v>227.66236450819335</v>
      </c>
      <c r="V188" s="87">
        <v>225.74082381519494</v>
      </c>
      <c r="W188" s="87">
        <v>223.58916669241989</v>
      </c>
      <c r="X188" s="87">
        <v>220.85329323885097</v>
      </c>
      <c r="Y188" s="87">
        <v>217.52325890043821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499.4048056271597</v>
      </c>
      <c r="F189" s="87">
        <v>494.37408197282446</v>
      </c>
      <c r="G189" s="87">
        <v>495.55454544023843</v>
      </c>
      <c r="H189" s="87">
        <v>495.46580945997624</v>
      </c>
      <c r="I189" s="87">
        <v>495.41794667010566</v>
      </c>
      <c r="J189" s="87">
        <v>495.41097892743886</v>
      </c>
      <c r="K189" s="87">
        <v>495.35327148183194</v>
      </c>
      <c r="L189" s="87">
        <v>495.38854745767372</v>
      </c>
      <c r="M189" s="87">
        <v>495.41915693944634</v>
      </c>
      <c r="N189" s="87">
        <v>485.40807015366318</v>
      </c>
      <c r="O189" s="87">
        <v>476.66050383530211</v>
      </c>
      <c r="P189" s="87">
        <v>459.14649799771951</v>
      </c>
      <c r="Q189" s="87">
        <v>448.85212128725146</v>
      </c>
      <c r="R189" s="87">
        <v>478.60814226484831</v>
      </c>
      <c r="S189" s="87">
        <v>472.26156930222493</v>
      </c>
      <c r="T189" s="87">
        <v>467.49006355756967</v>
      </c>
      <c r="U189" s="87">
        <v>458.60580953634746</v>
      </c>
      <c r="V189" s="87">
        <v>438.71840068442754</v>
      </c>
      <c r="W189" s="87">
        <v>413.76877088777707</v>
      </c>
      <c r="X189" s="87">
        <v>401.55290258879126</v>
      </c>
      <c r="Y189" s="87">
        <v>390.33162816993524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253.40294026673683</v>
      </c>
      <c r="I190" s="87">
        <v>250.85116076658443</v>
      </c>
      <c r="J190" s="87">
        <v>239.56638823837474</v>
      </c>
      <c r="K190" s="87">
        <v>230.85461943834181</v>
      </c>
      <c r="L190" s="87">
        <v>218.28022209041742</v>
      </c>
      <c r="M190" s="87">
        <v>210.02112233015305</v>
      </c>
      <c r="N190" s="87">
        <v>204.65713076315797</v>
      </c>
      <c r="O190" s="87">
        <v>206.49836432937005</v>
      </c>
      <c r="P190" s="87">
        <v>201.9903695815492</v>
      </c>
      <c r="Q190" s="87">
        <v>195.54752886898075</v>
      </c>
      <c r="R190" s="87">
        <v>176.6609954487856</v>
      </c>
      <c r="S190" s="87">
        <v>173.54696977856358</v>
      </c>
      <c r="T190" s="87">
        <v>171.59991193056848</v>
      </c>
      <c r="U190" s="87">
        <v>169.15892461128712</v>
      </c>
      <c r="V190" s="87">
        <v>165.55171255949764</v>
      </c>
      <c r="W190" s="87">
        <v>164.04120554362154</v>
      </c>
      <c r="X190" s="87">
        <v>160.82774957444062</v>
      </c>
      <c r="Y190" s="87">
        <v>158.87551000773368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984.29261923006504</v>
      </c>
      <c r="C192" s="116">
        <v>981.85812559218687</v>
      </c>
      <c r="D192" s="116">
        <v>978.9427514053657</v>
      </c>
      <c r="E192" s="116">
        <v>974.64325582347965</v>
      </c>
      <c r="F192" s="116">
        <v>970.47594477894813</v>
      </c>
      <c r="G192" s="116">
        <v>964.81026267600612</v>
      </c>
      <c r="H192" s="116">
        <v>958.59654407523237</v>
      </c>
      <c r="I192" s="116">
        <v>951.9698125345941</v>
      </c>
      <c r="J192" s="116">
        <v>944.29221645728262</v>
      </c>
      <c r="K192" s="116">
        <v>933.0569013251685</v>
      </c>
      <c r="L192" s="116">
        <v>924.74125593277722</v>
      </c>
      <c r="M192" s="116">
        <v>920.56908008559697</v>
      </c>
      <c r="N192" s="116">
        <v>913.00180150493611</v>
      </c>
      <c r="O192" s="116">
        <v>898.79645142101367</v>
      </c>
      <c r="P192" s="116">
        <v>886.20747382762363</v>
      </c>
      <c r="Q192" s="116">
        <v>876.36469262495677</v>
      </c>
      <c r="R192" s="116">
        <v>862.25289493112462</v>
      </c>
      <c r="S192" s="116">
        <v>847.7431261740561</v>
      </c>
      <c r="T192" s="116">
        <v>832.29210072577632</v>
      </c>
      <c r="U192" s="116">
        <v>813.43140282011268</v>
      </c>
      <c r="V192" s="116">
        <v>795.86964570453574</v>
      </c>
      <c r="W192" s="116">
        <v>782.08608700736499</v>
      </c>
      <c r="X192" s="116">
        <v>767.49336061444581</v>
      </c>
      <c r="Y192" s="116">
        <v>750.78048970195516</v>
      </c>
      <c r="DA192" s="176" t="s">
        <v>930</v>
      </c>
    </row>
    <row r="193" spans="1:105" ht="11.45" customHeight="1" x14ac:dyDescent="0.25">
      <c r="A193" s="128" t="s">
        <v>27</v>
      </c>
      <c r="B193" s="101">
        <v>896.87457035239856</v>
      </c>
      <c r="C193" s="101">
        <v>893.36458049482451</v>
      </c>
      <c r="D193" s="101">
        <v>889.86151006436398</v>
      </c>
      <c r="E193" s="101">
        <v>885.65913620817753</v>
      </c>
      <c r="F193" s="101">
        <v>880.47224861801431</v>
      </c>
      <c r="G193" s="101">
        <v>874.71075882448463</v>
      </c>
      <c r="H193" s="101">
        <v>868.12170972442959</v>
      </c>
      <c r="I193" s="101">
        <v>861.4445459242844</v>
      </c>
      <c r="J193" s="101">
        <v>853.72958950814825</v>
      </c>
      <c r="K193" s="101">
        <v>847.64081696983294</v>
      </c>
      <c r="L193" s="101">
        <v>839.74185993497258</v>
      </c>
      <c r="M193" s="101">
        <v>837.47516208941579</v>
      </c>
      <c r="N193" s="101">
        <v>831.48560315910868</v>
      </c>
      <c r="O193" s="101">
        <v>815.41268284898467</v>
      </c>
      <c r="P193" s="101">
        <v>802.29121899960285</v>
      </c>
      <c r="Q193" s="101">
        <v>793.46232261300599</v>
      </c>
      <c r="R193" s="101">
        <v>779.88048695550219</v>
      </c>
      <c r="S193" s="101">
        <v>766.81826414215982</v>
      </c>
      <c r="T193" s="101">
        <v>751.9337628331084</v>
      </c>
      <c r="U193" s="101">
        <v>732.97922322768352</v>
      </c>
      <c r="V193" s="101">
        <v>715.41539919718173</v>
      </c>
      <c r="W193" s="101">
        <v>703.01794983756974</v>
      </c>
      <c r="X193" s="101">
        <v>688.92685585599793</v>
      </c>
      <c r="Y193" s="101">
        <v>671.4998268170649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1055.3666930650154</v>
      </c>
      <c r="D194" s="88">
        <v>1046.0755042579635</v>
      </c>
      <c r="E194" s="88">
        <v>1038.5945524926508</v>
      </c>
      <c r="F194" s="88">
        <v>1019.481694562873</v>
      </c>
      <c r="G194" s="88">
        <v>1010.7419080198051</v>
      </c>
      <c r="H194" s="88">
        <v>1000.1878116679493</v>
      </c>
      <c r="I194" s="88">
        <v>984.22563005068855</v>
      </c>
      <c r="J194" s="88">
        <v>968.81791402482793</v>
      </c>
      <c r="K194" s="88">
        <v>959.57674020003537</v>
      </c>
      <c r="L194" s="88">
        <v>947.94875427967156</v>
      </c>
      <c r="M194" s="88">
        <v>936.31534340228063</v>
      </c>
      <c r="N194" s="88">
        <v>927.77098771024487</v>
      </c>
      <c r="O194" s="88">
        <v>915.17003516404725</v>
      </c>
      <c r="P194" s="88">
        <v>906.05714713896407</v>
      </c>
      <c r="Q194" s="88">
        <v>892.14104709962942</v>
      </c>
      <c r="R194" s="88">
        <v>878.77181663940212</v>
      </c>
      <c r="S194" s="88">
        <v>859.94012923821117</v>
      </c>
      <c r="T194" s="88">
        <v>848.46491515813921</v>
      </c>
      <c r="U194" s="88">
        <v>833.60545961388334</v>
      </c>
      <c r="V194" s="88">
        <v>819.17856952965963</v>
      </c>
      <c r="W194" s="88">
        <v>802.48082829549401</v>
      </c>
      <c r="X194" s="88">
        <v>789.0942466660332</v>
      </c>
      <c r="Y194" s="88">
        <v>780.47755999147307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1.0725000000065621</v>
      </c>
      <c r="C198" s="150">
        <f>IF(TrRoad_act!C59=0,0,TrRoad_emi!C56/TrRoad_tech!C171)</f>
        <v>1.0728219561730128</v>
      </c>
      <c r="D198" s="150">
        <f>IF(TrRoad_act!D59=0,0,TrRoad_emi!D56/TrRoad_tech!D171)</f>
        <v>1.0753606520227281</v>
      </c>
      <c r="E198" s="150">
        <f>IF(TrRoad_act!E59=0,0,TrRoad_emi!E56/TrRoad_tech!E171)</f>
        <v>1.0798004889429009</v>
      </c>
      <c r="F198" s="150">
        <f>IF(TrRoad_act!F59=0,0,TrRoad_emi!F56/TrRoad_tech!F171)</f>
        <v>1.0757008262138934</v>
      </c>
      <c r="G198" s="150">
        <f>IF(TrRoad_act!G59=0,0,TrRoad_emi!G56/TrRoad_tech!G171)</f>
        <v>1.0781541259722929</v>
      </c>
      <c r="H198" s="150">
        <f>IF(TrRoad_act!H59=0,0,TrRoad_emi!H56/TrRoad_tech!H171)</f>
        <v>1.0814501359996882</v>
      </c>
      <c r="I198" s="150">
        <f>IF(TrRoad_act!I59=0,0,TrRoad_emi!I56/TrRoad_tech!I171)</f>
        <v>1.079094393654773</v>
      </c>
      <c r="J198" s="150">
        <f>IF(TrRoad_act!J59=0,0,TrRoad_emi!J56/TrRoad_tech!J171)</f>
        <v>1.0619580226849092</v>
      </c>
      <c r="K198" s="150">
        <f>IF(TrRoad_act!K59=0,0,TrRoad_emi!K56/TrRoad_tech!K171)</f>
        <v>1.054546284946233</v>
      </c>
      <c r="L198" s="150">
        <f>IF(TrRoad_act!L59=0,0,TrRoad_emi!L56/TrRoad_tech!L171)</f>
        <v>1.0601476986173008</v>
      </c>
      <c r="M198" s="150">
        <f>IF(TrRoad_act!M59=0,0,TrRoad_emi!M56/TrRoad_tech!M171)</f>
        <v>1.0633759406988501</v>
      </c>
      <c r="N198" s="150">
        <f>IF(TrRoad_act!N59=0,0,TrRoad_emi!N56/TrRoad_tech!N171)</f>
        <v>1.0679804792260139</v>
      </c>
      <c r="O198" s="150">
        <f>IF(TrRoad_act!O59=0,0,TrRoad_emi!O56/TrRoad_tech!O171)</f>
        <v>1.0969553113051416</v>
      </c>
      <c r="P198" s="150">
        <f>IF(TrRoad_act!P59=0,0,TrRoad_emi!P56/TrRoad_tech!P171)</f>
        <v>1.1160411924919189</v>
      </c>
      <c r="Q198" s="150">
        <f>IF(TrRoad_act!Q59=0,0,TrRoad_emi!Q56/TrRoad_tech!Q171)</f>
        <v>1.1220345326412413</v>
      </c>
      <c r="R198" s="150">
        <f>IF(TrRoad_act!R59=0,0,TrRoad_emi!R56/TrRoad_tech!R171)</f>
        <v>1.1262418160982219</v>
      </c>
      <c r="S198" s="150">
        <f>IF(TrRoad_act!S59=0,0,TrRoad_emi!S56/TrRoad_tech!S171)</f>
        <v>1.1878241705555952</v>
      </c>
      <c r="T198" s="150">
        <f>IF(TrRoad_act!T59=0,0,TrRoad_emi!T56/TrRoad_tech!T171)</f>
        <v>1.1995316221263257</v>
      </c>
      <c r="U198" s="150">
        <f>IF(TrRoad_act!U59=0,0,TrRoad_emi!U56/TrRoad_tech!U171)</f>
        <v>1.2156316138393806</v>
      </c>
      <c r="V198" s="150">
        <f>IF(TrRoad_act!V59=0,0,TrRoad_emi!V56/TrRoad_tech!V171)</f>
        <v>1.2269621055955686</v>
      </c>
      <c r="W198" s="150">
        <f>IF(TrRoad_act!W59=0,0,TrRoad_emi!W56/TrRoad_tech!W171)</f>
        <v>1.1920330861174275</v>
      </c>
      <c r="X198" s="150">
        <f>IF(TrRoad_act!X59=0,0,TrRoad_emi!X56/TrRoad_tech!X171)</f>
        <v>1.2107498095195324</v>
      </c>
      <c r="Y198" s="150">
        <f>IF(TrRoad_act!Y59=0,0,TrRoad_emi!Y56/TrRoad_tech!Y171)</f>
        <v>1.1961196045433995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0.88290681503237745</v>
      </c>
      <c r="C199" s="151">
        <f>IF(TrRoad_act!C60=0,0,TrRoad_emi!C57/TrRoad_tech!C172)</f>
        <v>0.91713334760088427</v>
      </c>
      <c r="D199" s="151">
        <f>IF(TrRoad_act!D60=0,0,TrRoad_emi!D57/TrRoad_tech!D172)</f>
        <v>1.0035761614551928</v>
      </c>
      <c r="E199" s="151">
        <f>IF(TrRoad_act!E60=0,0,TrRoad_emi!E57/TrRoad_tech!E172)</f>
        <v>1.0570035128783959</v>
      </c>
      <c r="F199" s="151">
        <f>IF(TrRoad_act!F60=0,0,TrRoad_emi!F57/TrRoad_tech!F172)</f>
        <v>1.0683501001637004</v>
      </c>
      <c r="G199" s="151">
        <f>IF(TrRoad_act!G60=0,0,TrRoad_emi!G57/TrRoad_tech!G172)</f>
        <v>1.0887840017553139</v>
      </c>
      <c r="H199" s="151">
        <f>IF(TrRoad_act!H60=0,0,TrRoad_emi!H57/TrRoad_tech!H172)</f>
        <v>1.0583545225696604</v>
      </c>
      <c r="I199" s="151">
        <f>IF(TrRoad_act!I60=0,0,TrRoad_emi!I57/TrRoad_tech!I172)</f>
        <v>1.0585263948899286</v>
      </c>
      <c r="J199" s="151">
        <f>IF(TrRoad_act!J60=0,0,TrRoad_emi!J57/TrRoad_tech!J172)</f>
        <v>1.0514079042379243</v>
      </c>
      <c r="K199" s="151">
        <f>IF(TrRoad_act!K60=0,0,TrRoad_emi!K57/TrRoad_tech!K172)</f>
        <v>1.0471604013816553</v>
      </c>
      <c r="L199" s="151">
        <f>IF(TrRoad_act!L60=0,0,TrRoad_emi!L57/TrRoad_tech!L172)</f>
        <v>1.0625033728981605</v>
      </c>
      <c r="M199" s="151">
        <f>IF(TrRoad_act!M60=0,0,TrRoad_emi!M57/TrRoad_tech!M172)</f>
        <v>1.0323986701645229</v>
      </c>
      <c r="N199" s="151">
        <f>IF(TrRoad_act!N60=0,0,TrRoad_emi!N57/TrRoad_tech!N172)</f>
        <v>1.0408493027689363</v>
      </c>
      <c r="O199" s="151">
        <f>IF(TrRoad_act!O60=0,0,TrRoad_emi!O57/TrRoad_tech!O172)</f>
        <v>1.0710233841034891</v>
      </c>
      <c r="P199" s="151">
        <f>IF(TrRoad_act!P60=0,0,TrRoad_emi!P57/TrRoad_tech!P172)</f>
        <v>1.0643204385192959</v>
      </c>
      <c r="Q199" s="151">
        <f>IF(TrRoad_act!Q60=0,0,TrRoad_emi!Q57/TrRoad_tech!Q172)</f>
        <v>1.0814163207083689</v>
      </c>
      <c r="R199" s="151">
        <f>IF(TrRoad_act!R60=0,0,TrRoad_emi!R57/TrRoad_tech!R172)</f>
        <v>1.1098082515588368</v>
      </c>
      <c r="S199" s="151">
        <f>IF(TrRoad_act!S60=0,0,TrRoad_emi!S57/TrRoad_tech!S172)</f>
        <v>1.1367186192280287</v>
      </c>
      <c r="T199" s="151">
        <f>IF(TrRoad_act!T60=0,0,TrRoad_emi!T57/TrRoad_tech!T172)</f>
        <v>1.1587035158244767</v>
      </c>
      <c r="U199" s="151">
        <f>IF(TrRoad_act!U60=0,0,TrRoad_emi!U57/TrRoad_tech!U172)</f>
        <v>1.16763110287348</v>
      </c>
      <c r="V199" s="151">
        <f>IF(TrRoad_act!V60=0,0,TrRoad_emi!V57/TrRoad_tech!V172)</f>
        <v>1.1719316276095593</v>
      </c>
      <c r="W199" s="151">
        <f>IF(TrRoad_act!W60=0,0,TrRoad_emi!W57/TrRoad_tech!W172)</f>
        <v>1.2228936039596454</v>
      </c>
      <c r="X199" s="151">
        <f>IF(TrRoad_act!X60=0,0,TrRoad_emi!X57/TrRoad_tech!X172)</f>
        <v>1.1626956730371252</v>
      </c>
      <c r="Y199" s="151">
        <f>IF(TrRoad_act!Y60=0,0,TrRoad_emi!Y57/TrRoad_tech!Y172)</f>
        <v>1.1702057035392639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0.81119993576152061</v>
      </c>
      <c r="C200" s="91">
        <f>IF(TrRoad_act!C61=0,0,TrRoad_emi!C58/TrRoad_tech!C173)</f>
        <v>0.82832957284453113</v>
      </c>
      <c r="D200" s="91">
        <f>IF(TrRoad_act!D61=0,0,TrRoad_emi!D58/TrRoad_tech!D173)</f>
        <v>0.93493159300961037</v>
      </c>
      <c r="E200" s="91">
        <f>IF(TrRoad_act!E61=0,0,TrRoad_emi!E58/TrRoad_tech!E173)</f>
        <v>1.0014284737037609</v>
      </c>
      <c r="F200" s="91">
        <f>IF(TrRoad_act!F61=0,0,TrRoad_emi!F58/TrRoad_tech!F173)</f>
        <v>1.0250616882560366</v>
      </c>
      <c r="G200" s="91">
        <f>IF(TrRoad_act!G61=0,0,TrRoad_emi!G58/TrRoad_tech!G173)</f>
        <v>1.0506806790660539</v>
      </c>
      <c r="H200" s="91">
        <f>IF(TrRoad_act!H61=0,0,TrRoad_emi!H58/TrRoad_tech!H173)</f>
        <v>1.0561398299595235</v>
      </c>
      <c r="I200" s="91">
        <f>IF(TrRoad_act!I61=0,0,TrRoad_emi!I58/TrRoad_tech!I173)</f>
        <v>1.0702831677772582</v>
      </c>
      <c r="J200" s="91">
        <f>IF(TrRoad_act!J61=0,0,TrRoad_emi!J58/TrRoad_tech!J173)</f>
        <v>1.0674465965603195</v>
      </c>
      <c r="K200" s="91">
        <f>IF(TrRoad_act!K61=0,0,TrRoad_emi!K58/TrRoad_tech!K173)</f>
        <v>1.0586577844813807</v>
      </c>
      <c r="L200" s="91">
        <f>IF(TrRoad_act!L61=0,0,TrRoad_emi!L58/TrRoad_tech!L173)</f>
        <v>1.0684323075475408</v>
      </c>
      <c r="M200" s="91">
        <f>IF(TrRoad_act!M61=0,0,TrRoad_emi!M58/TrRoad_tech!M173)</f>
        <v>1.0465402446608372</v>
      </c>
      <c r="N200" s="91">
        <f>IF(TrRoad_act!N61=0,0,TrRoad_emi!N58/TrRoad_tech!N173)</f>
        <v>1.0520975211043486</v>
      </c>
      <c r="O200" s="91">
        <f>IF(TrRoad_act!O61=0,0,TrRoad_emi!O58/TrRoad_tech!O173)</f>
        <v>1.0733149837754594</v>
      </c>
      <c r="P200" s="91">
        <f>IF(TrRoad_act!P61=0,0,TrRoad_emi!P58/TrRoad_tech!P173)</f>
        <v>1.1014957588804362</v>
      </c>
      <c r="Q200" s="91">
        <f>IF(TrRoad_act!Q61=0,0,TrRoad_emi!Q58/TrRoad_tech!Q173)</f>
        <v>1.1504400902511411</v>
      </c>
      <c r="R200" s="91">
        <f>IF(TrRoad_act!R61=0,0,TrRoad_emi!R58/TrRoad_tech!R173)</f>
        <v>1.1729054068899214</v>
      </c>
      <c r="S200" s="91">
        <f>IF(TrRoad_act!S61=0,0,TrRoad_emi!S58/TrRoad_tech!S173)</f>
        <v>1.1918698957948797</v>
      </c>
      <c r="T200" s="91">
        <f>IF(TrRoad_act!T61=0,0,TrRoad_emi!T58/TrRoad_tech!T173)</f>
        <v>1.2092522818863265</v>
      </c>
      <c r="U200" s="91">
        <f>IF(TrRoad_act!U61=0,0,TrRoad_emi!U58/TrRoad_tech!U173)</f>
        <v>1.2008577635935298</v>
      </c>
      <c r="V200" s="91">
        <f>IF(TrRoad_act!V61=0,0,TrRoad_emi!V58/TrRoad_tech!V173)</f>
        <v>1.1705578742009319</v>
      </c>
      <c r="W200" s="91">
        <f>IF(TrRoad_act!W61=0,0,TrRoad_emi!W58/TrRoad_tech!W173)</f>
        <v>1.1887829780343684</v>
      </c>
      <c r="X200" s="91">
        <f>IF(TrRoad_act!X61=0,0,TrRoad_emi!X58/TrRoad_tech!X173)</f>
        <v>1.1565117481117768</v>
      </c>
      <c r="Y200" s="91">
        <f>IF(TrRoad_act!Y61=0,0,TrRoad_emi!Y58/TrRoad_tech!Y173)</f>
        <v>1.2023458752367004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1.0014980427207327</v>
      </c>
      <c r="C201" s="91">
        <f>IF(TrRoad_act!C62=0,0,TrRoad_emi!C59/TrRoad_tech!C174)</f>
        <v>1.0570488979855666</v>
      </c>
      <c r="D201" s="91">
        <f>IF(TrRoad_act!D62=0,0,TrRoad_emi!D59/TrRoad_tech!D174)</f>
        <v>1.1121572850905577</v>
      </c>
      <c r="E201" s="91">
        <f>IF(TrRoad_act!E62=0,0,TrRoad_emi!E59/TrRoad_tech!E174)</f>
        <v>1.1480754508078217</v>
      </c>
      <c r="F201" s="91">
        <f>IF(TrRoad_act!F62=0,0,TrRoad_emi!F59/TrRoad_tech!F174)</f>
        <v>1.1461162824648716</v>
      </c>
      <c r="G201" s="91">
        <f>IF(TrRoad_act!G62=0,0,TrRoad_emi!G59/TrRoad_tech!G174)</f>
        <v>1.1512046678772467</v>
      </c>
      <c r="H201" s="91">
        <f>IF(TrRoad_act!H62=0,0,TrRoad_emi!H59/TrRoad_tech!H174)</f>
        <v>1.0831083811316971</v>
      </c>
      <c r="I201" s="91">
        <f>IF(TrRoad_act!I62=0,0,TrRoad_emi!I59/TrRoad_tech!I174)</f>
        <v>1.0693684786564013</v>
      </c>
      <c r="J201" s="91">
        <f>IF(TrRoad_act!J62=0,0,TrRoad_emi!J59/TrRoad_tech!J174)</f>
        <v>1.0536271296744766</v>
      </c>
      <c r="K201" s="91">
        <f>IF(TrRoad_act!K62=0,0,TrRoad_emi!K59/TrRoad_tech!K174)</f>
        <v>1.0430373489481188</v>
      </c>
      <c r="L201" s="91">
        <f>IF(TrRoad_act!L62=0,0,TrRoad_emi!L59/TrRoad_tech!L174)</f>
        <v>1.0697298035755185</v>
      </c>
      <c r="M201" s="91">
        <f>IF(TrRoad_act!M62=0,0,TrRoad_emi!M59/TrRoad_tech!M174)</f>
        <v>1.0394935691043379</v>
      </c>
      <c r="N201" s="91">
        <f>IF(TrRoad_act!N62=0,0,TrRoad_emi!N59/TrRoad_tech!N174)</f>
        <v>1.0532318373720317</v>
      </c>
      <c r="O201" s="91">
        <f>IF(TrRoad_act!O62=0,0,TrRoad_emi!O59/TrRoad_tech!O174)</f>
        <v>1.0921511753778481</v>
      </c>
      <c r="P201" s="91">
        <f>IF(TrRoad_act!P62=0,0,TrRoad_emi!P59/TrRoad_tech!P174)</f>
        <v>1.0687977919576532</v>
      </c>
      <c r="Q201" s="91">
        <f>IF(TrRoad_act!Q62=0,0,TrRoad_emi!Q59/TrRoad_tech!Q174)</f>
        <v>1.074633908146261</v>
      </c>
      <c r="R201" s="91">
        <f>IF(TrRoad_act!R62=0,0,TrRoad_emi!R59/TrRoad_tech!R174)</f>
        <v>1.1049272062319659</v>
      </c>
      <c r="S201" s="91">
        <f>IF(TrRoad_act!S62=0,0,TrRoad_emi!S59/TrRoad_tech!S174)</f>
        <v>1.1252003133766304</v>
      </c>
      <c r="T201" s="91">
        <f>IF(TrRoad_act!T62=0,0,TrRoad_emi!T59/TrRoad_tech!T174)</f>
        <v>1.1361679182350939</v>
      </c>
      <c r="U201" s="91">
        <f>IF(TrRoad_act!U62=0,0,TrRoad_emi!U59/TrRoad_tech!U174)</f>
        <v>1.141255421431788</v>
      </c>
      <c r="V201" s="91">
        <f>IF(TrRoad_act!V62=0,0,TrRoad_emi!V59/TrRoad_tech!V174)</f>
        <v>1.1383813175797146</v>
      </c>
      <c r="W201" s="91">
        <f>IF(TrRoad_act!W62=0,0,TrRoad_emi!W59/TrRoad_tech!W174)</f>
        <v>1.1426923392051493</v>
      </c>
      <c r="X201" s="91">
        <f>IF(TrRoad_act!X62=0,0,TrRoad_emi!X59/TrRoad_tech!X174)</f>
        <v>1.0954237082891936</v>
      </c>
      <c r="Y201" s="91">
        <f>IF(TrRoad_act!Y62=0,0,TrRoad_emi!Y59/TrRoad_tech!Y174)</f>
        <v>1.0766307046790409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0.87978328371913295</v>
      </c>
      <c r="C202" s="91">
        <f>IF(TrRoad_act!C63=0,0,TrRoad_emi!C60/TrRoad_tech!C175)</f>
        <v>0.93961928542215301</v>
      </c>
      <c r="D202" s="91">
        <f>IF(TrRoad_act!D63=0,0,TrRoad_emi!D60/TrRoad_tech!D175)</f>
        <v>0.93305688316020163</v>
      </c>
      <c r="E202" s="91">
        <f>IF(TrRoad_act!E63=0,0,TrRoad_emi!E60/TrRoad_tech!E175)</f>
        <v>0.93557629525774955</v>
      </c>
      <c r="F202" s="91">
        <f>IF(TrRoad_act!F63=0,0,TrRoad_emi!F60/TrRoad_tech!F175)</f>
        <v>0.95710226772098284</v>
      </c>
      <c r="G202" s="91">
        <f>IF(TrRoad_act!G63=0,0,TrRoad_emi!G60/TrRoad_tech!G175)</f>
        <v>0.90381735868567092</v>
      </c>
      <c r="H202" s="91">
        <f>IF(TrRoad_act!H63=0,0,TrRoad_emi!H60/TrRoad_tech!H175)</f>
        <v>0.8841602808512955</v>
      </c>
      <c r="I202" s="91">
        <f>IF(TrRoad_act!I63=0,0,TrRoad_emi!I60/TrRoad_tech!I175)</f>
        <v>0.89179109030305115</v>
      </c>
      <c r="J202" s="91">
        <f>IF(TrRoad_act!J63=0,0,TrRoad_emi!J60/TrRoad_tech!J175)</f>
        <v>0.92752157160696935</v>
      </c>
      <c r="K202" s="91">
        <f>IF(TrRoad_act!K63=0,0,TrRoad_emi!K60/TrRoad_tech!K175)</f>
        <v>0.9664947637568998</v>
      </c>
      <c r="L202" s="91">
        <f>IF(TrRoad_act!L63=0,0,TrRoad_emi!L60/TrRoad_tech!L175)</f>
        <v>0.95683923915537794</v>
      </c>
      <c r="M202" s="91">
        <f>IF(TrRoad_act!M63=0,0,TrRoad_emi!M60/TrRoad_tech!M175)</f>
        <v>0.91073424517127133</v>
      </c>
      <c r="N202" s="91">
        <f>IF(TrRoad_act!N63=0,0,TrRoad_emi!N60/TrRoad_tech!N175)</f>
        <v>0.92550378562479196</v>
      </c>
      <c r="O202" s="91">
        <f>IF(TrRoad_act!O63=0,0,TrRoad_emi!O60/TrRoad_tech!O175)</f>
        <v>0.91745641459685567</v>
      </c>
      <c r="P202" s="91">
        <f>IF(TrRoad_act!P63=0,0,TrRoad_emi!P60/TrRoad_tech!P175)</f>
        <v>0.86925876357375842</v>
      </c>
      <c r="Q202" s="91">
        <f>IF(TrRoad_act!Q63=0,0,TrRoad_emi!Q60/TrRoad_tech!Q175)</f>
        <v>0.85911081034944381</v>
      </c>
      <c r="R202" s="91">
        <f>IF(TrRoad_act!R63=0,0,TrRoad_emi!R60/TrRoad_tech!R175)</f>
        <v>0.9651487596040107</v>
      </c>
      <c r="S202" s="91">
        <f>IF(TrRoad_act!S63=0,0,TrRoad_emi!S60/TrRoad_tech!S175)</f>
        <v>1.0328520514414037</v>
      </c>
      <c r="T202" s="91">
        <f>IF(TrRoad_act!T63=0,0,TrRoad_emi!T60/TrRoad_tech!T175)</f>
        <v>0.95179907162271571</v>
      </c>
      <c r="U202" s="91">
        <f>IF(TrRoad_act!U63=0,0,TrRoad_emi!U60/TrRoad_tech!U175)</f>
        <v>1.0673229464018157</v>
      </c>
      <c r="V202" s="91">
        <f>IF(TrRoad_act!V63=0,0,TrRoad_emi!V60/TrRoad_tech!V175)</f>
        <v>0.85048427419182948</v>
      </c>
      <c r="W202" s="91">
        <f>IF(TrRoad_act!W63=0,0,TrRoad_emi!W60/TrRoad_tech!W175)</f>
        <v>0.6536660297191863</v>
      </c>
      <c r="X202" s="91">
        <f>IF(TrRoad_act!X63=0,0,TrRoad_emi!X60/TrRoad_tech!X175)</f>
        <v>0.97388506540184872</v>
      </c>
      <c r="Y202" s="91">
        <f>IF(TrRoad_act!Y63=0,0,TrRoad_emi!Y60/TrRoad_tech!Y175)</f>
        <v>0.9984201447631873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1.0400000000040801</v>
      </c>
      <c r="I203" s="91">
        <f>IF(TrRoad_act!I64=0,0,TrRoad_emi!I61/TrRoad_tech!I176)</f>
        <v>1.0424953785324769</v>
      </c>
      <c r="J203" s="91">
        <f>IF(TrRoad_act!J64=0,0,TrRoad_emi!J61/TrRoad_tech!J176)</f>
        <v>1.0459946785676764</v>
      </c>
      <c r="K203" s="91">
        <f>IF(TrRoad_act!K64=0,0,TrRoad_emi!K61/TrRoad_tech!K176)</f>
        <v>1.0467888349199179</v>
      </c>
      <c r="L203" s="91">
        <f>IF(TrRoad_act!L64=0,0,TrRoad_emi!L61/TrRoad_tech!L176)</f>
        <v>1.0492251631354332</v>
      </c>
      <c r="M203" s="91">
        <f>IF(TrRoad_act!M64=0,0,TrRoad_emi!M61/TrRoad_tech!M176)</f>
        <v>1.0540374730830699</v>
      </c>
      <c r="N203" s="91">
        <f>IF(TrRoad_act!N64=0,0,TrRoad_emi!N61/TrRoad_tech!N176)</f>
        <v>1.0555364460659737</v>
      </c>
      <c r="O203" s="91">
        <f>IF(TrRoad_act!O64=0,0,TrRoad_emi!O61/TrRoad_tech!O176)</f>
        <v>1.0576710524552908</v>
      </c>
      <c r="P203" s="91">
        <f>IF(TrRoad_act!P64=0,0,TrRoad_emi!P61/TrRoad_tech!P176)</f>
        <v>1.0287818789093155</v>
      </c>
      <c r="Q203" s="91">
        <f>IF(TrRoad_act!Q64=0,0,TrRoad_emi!Q61/TrRoad_tech!Q176)</f>
        <v>1.0409842027037659</v>
      </c>
      <c r="R203" s="91">
        <f>IF(TrRoad_act!R64=0,0,TrRoad_emi!R61/TrRoad_tech!R176)</f>
        <v>1.0440445741346014</v>
      </c>
      <c r="S203" s="91">
        <f>IF(TrRoad_act!S64=0,0,TrRoad_emi!S61/TrRoad_tech!S176)</f>
        <v>1.055690113007357</v>
      </c>
      <c r="T203" s="91">
        <f>IF(TrRoad_act!T64=0,0,TrRoad_emi!T61/TrRoad_tech!T176)</f>
        <v>1.0520587723725296</v>
      </c>
      <c r="U203" s="91">
        <f>IF(TrRoad_act!U64=0,0,TrRoad_emi!U61/TrRoad_tech!U176)</f>
        <v>1.0551502953043974</v>
      </c>
      <c r="V203" s="91">
        <f>IF(TrRoad_act!V64=0,0,TrRoad_emi!V61/TrRoad_tech!V176)</f>
        <v>1.0615626463643624</v>
      </c>
      <c r="W203" s="91">
        <f>IF(TrRoad_act!W64=0,0,TrRoad_emi!W61/TrRoad_tech!W176)</f>
        <v>1.0614303342768003</v>
      </c>
      <c r="X203" s="91">
        <f>IF(TrRoad_act!X64=0,0,TrRoad_emi!X61/TrRoad_tech!X176)</f>
        <v>1.0614316473142094</v>
      </c>
      <c r="Y203" s="91">
        <f>IF(TrRoad_act!Y64=0,0,TrRoad_emi!Y61/TrRoad_tech!Y176)</f>
        <v>1.0479159012285708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1.0673626174080513</v>
      </c>
      <c r="N204" s="91">
        <f>IF(TrRoad_act!N65=0,0,TrRoad_emi!N62/TrRoad_tech!N177)</f>
        <v>1.0755052216745782</v>
      </c>
      <c r="O204" s="91">
        <f>IF(TrRoad_act!O65=0,0,TrRoad_emi!O62/TrRoad_tech!O177)</f>
        <v>1.0959244447209144</v>
      </c>
      <c r="P204" s="91">
        <f>IF(TrRoad_act!P65=0,0,TrRoad_emi!P62/TrRoad_tech!P177)</f>
        <v>1.1270441094441013</v>
      </c>
      <c r="Q204" s="91">
        <f>IF(TrRoad_act!Q65=0,0,TrRoad_emi!Q62/TrRoad_tech!Q177)</f>
        <v>1.1834409265280481</v>
      </c>
      <c r="R204" s="91">
        <f>IF(TrRoad_act!R65=0,0,TrRoad_emi!R62/TrRoad_tech!R177)</f>
        <v>1.208123727318744</v>
      </c>
      <c r="S204" s="91">
        <f>IF(TrRoad_act!S65=0,0,TrRoad_emi!S62/TrRoad_tech!S177)</f>
        <v>1.2257481746050904</v>
      </c>
      <c r="T204" s="91">
        <f>IF(TrRoad_act!T65=0,0,TrRoad_emi!T62/TrRoad_tech!T177)</f>
        <v>1.2407323579090346</v>
      </c>
      <c r="U204" s="91">
        <f>IF(TrRoad_act!U65=0,0,TrRoad_emi!U62/TrRoad_tech!U177)</f>
        <v>1.2287778593987357</v>
      </c>
      <c r="V204" s="91">
        <f>IF(TrRoad_act!V65=0,0,TrRoad_emi!V62/TrRoad_tech!V177)</f>
        <v>1.1975755037190809</v>
      </c>
      <c r="W204" s="91">
        <f>IF(TrRoad_act!W65=0,0,TrRoad_emi!W62/TrRoad_tech!W177)</f>
        <v>1.2141656674214112</v>
      </c>
      <c r="X204" s="91">
        <f>IF(TrRoad_act!X65=0,0,TrRoad_emi!X62/TrRoad_tech!X177)</f>
        <v>1.17961309665174</v>
      </c>
      <c r="Y204" s="91">
        <f>IF(TrRoad_act!Y65=0,0,TrRoad_emi!Y62/TrRoad_tech!Y177)</f>
        <v>1.224232666652147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1.0978496564631384</v>
      </c>
      <c r="C206" s="151">
        <f>IF(TrRoad_act!C67=0,0,TrRoad_emi!C64/TrRoad_tech!C179)</f>
        <v>1.0983005913736559</v>
      </c>
      <c r="D206" s="151">
        <f>IF(TrRoad_act!D67=0,0,TrRoad_emi!D64/TrRoad_tech!D179)</f>
        <v>1.1007510592116245</v>
      </c>
      <c r="E206" s="151">
        <f>IF(TrRoad_act!E67=0,0,TrRoad_emi!E64/TrRoad_tech!E179)</f>
        <v>1.0990142427433518</v>
      </c>
      <c r="F206" s="151">
        <f>IF(TrRoad_act!F67=0,0,TrRoad_emi!F64/TrRoad_tech!F179)</f>
        <v>1.0948131405719161</v>
      </c>
      <c r="G206" s="151">
        <f>IF(TrRoad_act!G67=0,0,TrRoad_emi!G64/TrRoad_tech!G179)</f>
        <v>1.0964141016009334</v>
      </c>
      <c r="H206" s="151">
        <f>IF(TrRoad_act!H67=0,0,TrRoad_emi!H64/TrRoad_tech!H179)</f>
        <v>1.0558066343526689</v>
      </c>
      <c r="I206" s="151">
        <f>IF(TrRoad_act!I67=0,0,TrRoad_emi!I64/TrRoad_tech!I179)</f>
        <v>1.0645709879802012</v>
      </c>
      <c r="J206" s="151">
        <f>IF(TrRoad_act!J67=0,0,TrRoad_emi!J64/TrRoad_tech!J179)</f>
        <v>1.061394272493039</v>
      </c>
      <c r="K206" s="151">
        <f>IF(TrRoad_act!K67=0,0,TrRoad_emi!K64/TrRoad_tech!K179)</f>
        <v>1.1027450063892699</v>
      </c>
      <c r="L206" s="151">
        <f>IF(TrRoad_act!L67=0,0,TrRoad_emi!L64/TrRoad_tech!L179)</f>
        <v>1.0895953563102796</v>
      </c>
      <c r="M206" s="151">
        <f>IF(TrRoad_act!M67=0,0,TrRoad_emi!M64/TrRoad_tech!M179)</f>
        <v>1.0575515739857624</v>
      </c>
      <c r="N206" s="151">
        <f>IF(TrRoad_act!N67=0,0,TrRoad_emi!N64/TrRoad_tech!N179)</f>
        <v>1.0693675410429391</v>
      </c>
      <c r="O206" s="151">
        <f>IF(TrRoad_act!O67=0,0,TrRoad_emi!O64/TrRoad_tech!O179)</f>
        <v>1.1005462720487573</v>
      </c>
      <c r="P206" s="151">
        <f>IF(TrRoad_act!P67=0,0,TrRoad_emi!P64/TrRoad_tech!P179)</f>
        <v>1.0697582982792495</v>
      </c>
      <c r="Q206" s="151">
        <f>IF(TrRoad_act!Q67=0,0,TrRoad_emi!Q64/TrRoad_tech!Q179)</f>
        <v>1.0688210810432142</v>
      </c>
      <c r="R206" s="151">
        <f>IF(TrRoad_act!R67=0,0,TrRoad_emi!R64/TrRoad_tech!R179)</f>
        <v>1.1202206587781529</v>
      </c>
      <c r="S206" s="151">
        <f>IF(TrRoad_act!S67=0,0,TrRoad_emi!S64/TrRoad_tech!S179)</f>
        <v>1.1533892799428791</v>
      </c>
      <c r="T206" s="151">
        <f>IF(TrRoad_act!T67=0,0,TrRoad_emi!T64/TrRoad_tech!T179)</f>
        <v>1.1718630906276866</v>
      </c>
      <c r="U206" s="151">
        <f>IF(TrRoad_act!U67=0,0,TrRoad_emi!U64/TrRoad_tech!U179)</f>
        <v>1.1938000681496375</v>
      </c>
      <c r="V206" s="151">
        <f>IF(TrRoad_act!V67=0,0,TrRoad_emi!V64/TrRoad_tech!V179)</f>
        <v>1.2076453230926039</v>
      </c>
      <c r="W206" s="151">
        <f>IF(TrRoad_act!W67=0,0,TrRoad_emi!W64/TrRoad_tech!W179)</f>
        <v>1.2073402976619143</v>
      </c>
      <c r="X206" s="151">
        <f>IF(TrRoad_act!X67=0,0,TrRoad_emi!X64/TrRoad_tech!X179)</f>
        <v>1.2270872339513041</v>
      </c>
      <c r="Y206" s="151">
        <f>IF(TrRoad_act!Y67=0,0,TrRoad_emi!Y64/TrRoad_tech!Y179)</f>
        <v>1.2312994684669616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1.1003436128795514</v>
      </c>
      <c r="D207" s="93">
        <f>IF(TrRoad_act!D68=0,0,TrRoad_emi!D65/TrRoad_tech!D180)</f>
        <v>1.100411669589634</v>
      </c>
      <c r="E207" s="93">
        <f>IF(TrRoad_act!E68=0,0,TrRoad_emi!E65/TrRoad_tech!E180)</f>
        <v>1.1004516931953725</v>
      </c>
      <c r="F207" s="93">
        <f>IF(TrRoad_act!F68=0,0,TrRoad_emi!F65/TrRoad_tech!F180)</f>
        <v>1.1005090260602188</v>
      </c>
      <c r="G207" s="93">
        <f>IF(TrRoad_act!G68=0,0,TrRoad_emi!G65/TrRoad_tech!G180)</f>
        <v>1.1007273153260693</v>
      </c>
      <c r="H207" s="93">
        <f>IF(TrRoad_act!H68=0,0,TrRoad_emi!H65/TrRoad_tech!H180)</f>
        <v>1.1008465670558427</v>
      </c>
      <c r="I207" s="93">
        <f>IF(TrRoad_act!I68=0,0,TrRoad_emi!I65/TrRoad_tech!I180)</f>
        <v>1.1042937239401294</v>
      </c>
      <c r="J207" s="93">
        <f>IF(TrRoad_act!J68=0,0,TrRoad_emi!J65/TrRoad_tech!J180)</f>
        <v>1.0827995604226692</v>
      </c>
      <c r="K207" s="93">
        <f>IF(TrRoad_act!K68=0,0,TrRoad_emi!K65/TrRoad_tech!K180)</f>
        <v>1.0697145945204269</v>
      </c>
      <c r="L207" s="93">
        <f>IF(TrRoad_act!L68=0,0,TrRoad_emi!L65/TrRoad_tech!L180)</f>
        <v>1.0694901371433321</v>
      </c>
      <c r="M207" s="93">
        <f>IF(TrRoad_act!M68=0,0,TrRoad_emi!M65/TrRoad_tech!M180)</f>
        <v>1.0713971260604989</v>
      </c>
      <c r="N207" s="93">
        <f>IF(TrRoad_act!N68=0,0,TrRoad_emi!N65/TrRoad_tech!N180)</f>
        <v>1.0700187158398748</v>
      </c>
      <c r="O207" s="93">
        <f>IF(TrRoad_act!O68=0,0,TrRoad_emi!O65/TrRoad_tech!O180)</f>
        <v>1.0863252860481007</v>
      </c>
      <c r="P207" s="93">
        <f>IF(TrRoad_act!P68=0,0,TrRoad_emi!P65/TrRoad_tech!P180)</f>
        <v>1.1367128236873503</v>
      </c>
      <c r="Q207" s="93">
        <f>IF(TrRoad_act!Q68=0,0,TrRoad_emi!Q65/TrRoad_tech!Q180)</f>
        <v>1.1393944479920095</v>
      </c>
      <c r="R207" s="93">
        <f>IF(TrRoad_act!R68=0,0,TrRoad_emi!R65/TrRoad_tech!R180)</f>
        <v>1.1764733547949886</v>
      </c>
      <c r="S207" s="93">
        <f>IF(TrRoad_act!S68=0,0,TrRoad_emi!S65/TrRoad_tech!S180)</f>
        <v>1.1768722748259572</v>
      </c>
      <c r="T207" s="93">
        <f>IF(TrRoad_act!T68=0,0,TrRoad_emi!T65/TrRoad_tech!T180)</f>
        <v>1.177200300430465</v>
      </c>
      <c r="U207" s="93">
        <f>IF(TrRoad_act!U68=0,0,TrRoad_emi!U65/TrRoad_tech!U180)</f>
        <v>1.1777906212183438</v>
      </c>
      <c r="V207" s="93">
        <f>IF(TrRoad_act!V68=0,0,TrRoad_emi!V65/TrRoad_tech!V180)</f>
        <v>1.2009987791289765</v>
      </c>
      <c r="W207" s="93">
        <f>IF(TrRoad_act!W68=0,0,TrRoad_emi!W65/TrRoad_tech!W180)</f>
        <v>1.2369906971112234</v>
      </c>
      <c r="X207" s="93">
        <f>IF(TrRoad_act!X68=0,0,TrRoad_emi!X65/TrRoad_tech!X180)</f>
        <v>1.2387739380624896</v>
      </c>
      <c r="Y207" s="93">
        <f>IF(TrRoad_act!Y68=0,0,TrRoad_emi!Y65/TrRoad_tech!Y180)</f>
        <v>1.2409057791462286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1.0955114169956657</v>
      </c>
      <c r="C208" s="93">
        <f>IF(TrRoad_act!C69=0,0,TrRoad_emi!C66/TrRoad_tech!C181)</f>
        <v>1.095849236845976</v>
      </c>
      <c r="D208" s="93">
        <f>IF(TrRoad_act!D69=0,0,TrRoad_emi!D66/TrRoad_tech!D181)</f>
        <v>1.0969799373618014</v>
      </c>
      <c r="E208" s="93">
        <f>IF(TrRoad_act!E69=0,0,TrRoad_emi!E66/TrRoad_tech!E181)</f>
        <v>1.0987732250587261</v>
      </c>
      <c r="F208" s="93">
        <f>IF(TrRoad_act!F69=0,0,TrRoad_emi!F66/TrRoad_tech!F181)</f>
        <v>1.1016935238293342</v>
      </c>
      <c r="G208" s="93">
        <f>IF(TrRoad_act!G69=0,0,TrRoad_emi!G66/TrRoad_tech!G181)</f>
        <v>1.0938699459333934</v>
      </c>
      <c r="H208" s="93">
        <f>IF(TrRoad_act!H69=0,0,TrRoad_emi!H66/TrRoad_tech!H181)</f>
        <v>1.0619212527973108</v>
      </c>
      <c r="I208" s="93">
        <f>IF(TrRoad_act!I69=0,0,TrRoad_emi!I66/TrRoad_tech!I181)</f>
        <v>1.0577045938646412</v>
      </c>
      <c r="J208" s="93">
        <f>IF(TrRoad_act!J69=0,0,TrRoad_emi!J66/TrRoad_tech!J181)</f>
        <v>1.0561496910793784</v>
      </c>
      <c r="K208" s="93">
        <f>IF(TrRoad_act!K69=0,0,TrRoad_emi!K66/TrRoad_tech!K181)</f>
        <v>1.0406527617300276</v>
      </c>
      <c r="L208" s="93">
        <f>IF(TrRoad_act!L69=0,0,TrRoad_emi!L66/TrRoad_tech!L181)</f>
        <v>1.0549009889494374</v>
      </c>
      <c r="M208" s="93">
        <f>IF(TrRoad_act!M69=0,0,TrRoad_emi!M66/TrRoad_tech!M181)</f>
        <v>1.0584788601476913</v>
      </c>
      <c r="N208" s="93">
        <f>IF(TrRoad_act!N69=0,0,TrRoad_emi!N66/TrRoad_tech!N181)</f>
        <v>1.0701434325926955</v>
      </c>
      <c r="O208" s="93">
        <f>IF(TrRoad_act!O69=0,0,TrRoad_emi!O66/TrRoad_tech!O181)</f>
        <v>1.0834254407331132</v>
      </c>
      <c r="P208" s="93">
        <f>IF(TrRoad_act!P69=0,0,TrRoad_emi!P66/TrRoad_tech!P181)</f>
        <v>1.0786933393679263</v>
      </c>
      <c r="Q208" s="93">
        <f>IF(TrRoad_act!Q69=0,0,TrRoad_emi!Q66/TrRoad_tech!Q181)</f>
        <v>1.0855927727613501</v>
      </c>
      <c r="R208" s="93">
        <f>IF(TrRoad_act!R69=0,0,TrRoad_emi!R66/TrRoad_tech!R181)</f>
        <v>1.1269507200701467</v>
      </c>
      <c r="S208" s="93">
        <f>IF(TrRoad_act!S69=0,0,TrRoad_emi!S66/TrRoad_tech!S181)</f>
        <v>1.161199967408808</v>
      </c>
      <c r="T208" s="93">
        <f>IF(TrRoad_act!T69=0,0,TrRoad_emi!T66/TrRoad_tech!T181)</f>
        <v>1.1832495585428524</v>
      </c>
      <c r="U208" s="93">
        <f>IF(TrRoad_act!U69=0,0,TrRoad_emi!U66/TrRoad_tech!U181)</f>
        <v>1.202659463898019</v>
      </c>
      <c r="V208" s="93">
        <f>IF(TrRoad_act!V69=0,0,TrRoad_emi!V66/TrRoad_tech!V181)</f>
        <v>1.2229109555288464</v>
      </c>
      <c r="W208" s="93">
        <f>IF(TrRoad_act!W69=0,0,TrRoad_emi!W66/TrRoad_tech!W181)</f>
        <v>1.2289511606959302</v>
      </c>
      <c r="X208" s="93">
        <f>IF(TrRoad_act!X69=0,0,TrRoad_emi!X66/TrRoad_tech!X181)</f>
        <v>1.2376592122265511</v>
      </c>
      <c r="Y208" s="93">
        <f>IF(TrRoad_act!Y69=0,0,TrRoad_emi!Y66/TrRoad_tech!Y181)</f>
        <v>1.2330726804807886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1.1040000000061809</v>
      </c>
      <c r="D209" s="93">
        <f>IF(TrRoad_act!D70=0,0,TrRoad_emi!D67/TrRoad_tech!D182)</f>
        <v>1.1075950447354486</v>
      </c>
      <c r="E209" s="93">
        <f>IF(TrRoad_act!E70=0,0,TrRoad_emi!E67/TrRoad_tech!E182)</f>
        <v>1.1101445236563179</v>
      </c>
      <c r="F209" s="93">
        <f>IF(TrRoad_act!F70=0,0,TrRoad_emi!F67/TrRoad_tech!F182)</f>
        <v>1.1141489914278033</v>
      </c>
      <c r="G209" s="93">
        <f>IF(TrRoad_act!G70=0,0,TrRoad_emi!G67/TrRoad_tech!G182)</f>
        <v>1.1203853068728811</v>
      </c>
      <c r="H209" s="93">
        <f>IF(TrRoad_act!H70=0,0,TrRoad_emi!H67/TrRoad_tech!H182)</f>
        <v>1.1253038162836466</v>
      </c>
      <c r="I209" s="93">
        <f>IF(TrRoad_act!I70=0,0,TrRoad_emi!I67/TrRoad_tech!I182)</f>
        <v>1.1318070423077171</v>
      </c>
      <c r="J209" s="93">
        <f>IF(TrRoad_act!J70=0,0,TrRoad_emi!J67/TrRoad_tech!J182)</f>
        <v>1.1383626201431911</v>
      </c>
      <c r="K209" s="93">
        <f>IF(TrRoad_act!K70=0,0,TrRoad_emi!K67/TrRoad_tech!K182)</f>
        <v>1.1508653160223903</v>
      </c>
      <c r="L209" s="93">
        <f>IF(TrRoad_act!L70=0,0,TrRoad_emi!L67/TrRoad_tech!L182)</f>
        <v>1.1576575880459969</v>
      </c>
      <c r="M209" s="93">
        <f>IF(TrRoad_act!M70=0,0,TrRoad_emi!M67/TrRoad_tech!M182)</f>
        <v>1.1630281448140716</v>
      </c>
      <c r="N209" s="93">
        <f>IF(TrRoad_act!N70=0,0,TrRoad_emi!N67/TrRoad_tech!N182)</f>
        <v>1.1639889329714472</v>
      </c>
      <c r="O209" s="93">
        <f>IF(TrRoad_act!O70=0,0,TrRoad_emi!O67/TrRoad_tech!O182)</f>
        <v>1.1645944504025902</v>
      </c>
      <c r="P209" s="93">
        <f>IF(TrRoad_act!P70=0,0,TrRoad_emi!P67/TrRoad_tech!P182)</f>
        <v>1.1659582121074388</v>
      </c>
      <c r="Q209" s="93">
        <f>IF(TrRoad_act!Q70=0,0,TrRoad_emi!Q67/TrRoad_tech!Q182)</f>
        <v>1.173916757525244</v>
      </c>
      <c r="R209" s="93">
        <f>IF(TrRoad_act!R70=0,0,TrRoad_emi!R67/TrRoad_tech!R182)</f>
        <v>1.1810107179589049</v>
      </c>
      <c r="S209" s="93">
        <f>IF(TrRoad_act!S70=0,0,TrRoad_emi!S67/TrRoad_tech!S182)</f>
        <v>1.1868727767949234</v>
      </c>
      <c r="T209" s="93">
        <f>IF(TrRoad_act!T70=0,0,TrRoad_emi!T67/TrRoad_tech!T182)</f>
        <v>1.1937093472917526</v>
      </c>
      <c r="U209" s="93">
        <f>IF(TrRoad_act!U70=0,0,TrRoad_emi!U67/TrRoad_tech!U182)</f>
        <v>1.2716334433962169</v>
      </c>
      <c r="V209" s="93">
        <f>IF(TrRoad_act!V70=0,0,TrRoad_emi!V67/TrRoad_tech!V182)</f>
        <v>1.3217903502702337</v>
      </c>
      <c r="W209" s="93">
        <f>IF(TrRoad_act!W70=0,0,TrRoad_emi!W67/TrRoad_tech!W182)</f>
        <v>1.3515098472158422</v>
      </c>
      <c r="X209" s="93">
        <f>IF(TrRoad_act!X70=0,0,TrRoad_emi!X67/TrRoad_tech!X182)</f>
        <v>1.3578385169171183</v>
      </c>
      <c r="Y209" s="93">
        <f>IF(TrRoad_act!Y70=0,0,TrRoad_emi!Y67/TrRoad_tech!Y182)</f>
        <v>1.3603770140952769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1.274056955116351</v>
      </c>
      <c r="G210" s="93">
        <f>IF(TrRoad_act!G71=0,0,TrRoad_emi!G68/TrRoad_tech!G183)</f>
        <v>1.6121574124770859</v>
      </c>
      <c r="H210" s="93">
        <f>IF(TrRoad_act!H71=0,0,TrRoad_emi!H68/TrRoad_tech!H183)</f>
        <v>1.4146232385685034</v>
      </c>
      <c r="I210" s="93">
        <f>IF(TrRoad_act!I71=0,0,TrRoad_emi!I68/TrRoad_tech!I183)</f>
        <v>1.3310558628442453</v>
      </c>
      <c r="J210" s="93">
        <f>IF(TrRoad_act!J71=0,0,TrRoad_emi!J68/TrRoad_tech!J183)</f>
        <v>1.3741679507225597</v>
      </c>
      <c r="K210" s="93">
        <f>IF(TrRoad_act!K71=0,0,TrRoad_emi!K68/TrRoad_tech!K183)</f>
        <v>1.2314368240185198</v>
      </c>
      <c r="L210" s="93">
        <f>IF(TrRoad_act!L71=0,0,TrRoad_emi!L68/TrRoad_tech!L183)</f>
        <v>1.1914519094000984</v>
      </c>
      <c r="M210" s="93">
        <f>IF(TrRoad_act!M71=0,0,TrRoad_emi!M68/TrRoad_tech!M183)</f>
        <v>1.0541522502589522</v>
      </c>
      <c r="N210" s="93">
        <f>IF(TrRoad_act!N71=0,0,TrRoad_emi!N68/TrRoad_tech!N183)</f>
        <v>1.0348894866779774</v>
      </c>
      <c r="O210" s="93">
        <f>IF(TrRoad_act!O71=0,0,TrRoad_emi!O68/TrRoad_tech!O183)</f>
        <v>0.97552664679905421</v>
      </c>
      <c r="P210" s="93">
        <f>IF(TrRoad_act!P71=0,0,TrRoad_emi!P68/TrRoad_tech!P183)</f>
        <v>0.96308636930294456</v>
      </c>
      <c r="Q210" s="93">
        <f>IF(TrRoad_act!Q71=0,0,TrRoad_emi!Q68/TrRoad_tech!Q183)</f>
        <v>0.96641132523272377</v>
      </c>
      <c r="R210" s="93">
        <f>IF(TrRoad_act!R71=0,0,TrRoad_emi!R68/TrRoad_tech!R183)</f>
        <v>1.1927415864381981</v>
      </c>
      <c r="S210" s="93">
        <f>IF(TrRoad_act!S71=0,0,TrRoad_emi!S68/TrRoad_tech!S183)</f>
        <v>1.2122835518275028</v>
      </c>
      <c r="T210" s="93">
        <f>IF(TrRoad_act!T71=0,0,TrRoad_emi!T68/TrRoad_tech!T183)</f>
        <v>1.2100283546717228</v>
      </c>
      <c r="U210" s="93">
        <f>IF(TrRoad_act!U71=0,0,TrRoad_emi!U68/TrRoad_tech!U183)</f>
        <v>1.213982577051562</v>
      </c>
      <c r="V210" s="93">
        <f>IF(TrRoad_act!V71=0,0,TrRoad_emi!V68/TrRoad_tech!V183)</f>
        <v>1.2202170688871949</v>
      </c>
      <c r="W210" s="93">
        <f>IF(TrRoad_act!W71=0,0,TrRoad_emi!W68/TrRoad_tech!W183)</f>
        <v>1.2285819963699294</v>
      </c>
      <c r="X210" s="93">
        <f>IF(TrRoad_act!X71=0,0,TrRoad_emi!X68/TrRoad_tech!X183)</f>
        <v>1.2275167759200145</v>
      </c>
      <c r="Y210" s="93">
        <f>IF(TrRoad_act!Y71=0,0,TrRoad_emi!Y68/TrRoad_tech!Y183)</f>
        <v>1.2148128729384038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1.0908657593917577</v>
      </c>
      <c r="C213" s="150">
        <f>IF(TrRoad_act!C74=0,0,TrRoad_emi!C71/TrRoad_tech!C186)</f>
        <v>1.0841070117419807</v>
      </c>
      <c r="D213" s="150">
        <f>IF(TrRoad_act!D74=0,0,TrRoad_emi!D71/TrRoad_tech!D186)</f>
        <v>1.085707853040893</v>
      </c>
      <c r="E213" s="150">
        <f>IF(TrRoad_act!E74=0,0,TrRoad_emi!E71/TrRoad_tech!E186)</f>
        <v>1.0849243813693645</v>
      </c>
      <c r="F213" s="150">
        <f>IF(TrRoad_act!F74=0,0,TrRoad_emi!F71/TrRoad_tech!F186)</f>
        <v>1.0929754043804187</v>
      </c>
      <c r="G213" s="150">
        <f>IF(TrRoad_act!G74=0,0,TrRoad_emi!G71/TrRoad_tech!G186)</f>
        <v>1.0814745771842791</v>
      </c>
      <c r="H213" s="150">
        <f>IF(TrRoad_act!H74=0,0,TrRoad_emi!H71/TrRoad_tech!H186)</f>
        <v>1.0432224143274429</v>
      </c>
      <c r="I213" s="150">
        <f>IF(TrRoad_act!I74=0,0,TrRoad_emi!I71/TrRoad_tech!I186)</f>
        <v>1.0404585328811631</v>
      </c>
      <c r="J213" s="150">
        <f>IF(TrRoad_act!J74=0,0,TrRoad_emi!J71/TrRoad_tech!J186)</f>
        <v>1.0503286313973135</v>
      </c>
      <c r="K213" s="150">
        <f>IF(TrRoad_act!K74=0,0,TrRoad_emi!K71/TrRoad_tech!K186)</f>
        <v>1.048389655336663</v>
      </c>
      <c r="L213" s="150">
        <f>IF(TrRoad_act!L74=0,0,TrRoad_emi!L71/TrRoad_tech!L186)</f>
        <v>1.1362541823175933</v>
      </c>
      <c r="M213" s="150">
        <f>IF(TrRoad_act!M74=0,0,TrRoad_emi!M71/TrRoad_tech!M186)</f>
        <v>1.2049978188270472</v>
      </c>
      <c r="N213" s="150">
        <f>IF(TrRoad_act!N74=0,0,TrRoad_emi!N71/TrRoad_tech!N186)</f>
        <v>1.0790160239010873</v>
      </c>
      <c r="O213" s="150">
        <f>IF(TrRoad_act!O74=0,0,TrRoad_emi!O71/TrRoad_tech!O186)</f>
        <v>1.088958712481378</v>
      </c>
      <c r="P213" s="150">
        <f>IF(TrRoad_act!P74=0,0,TrRoad_emi!P71/TrRoad_tech!P186)</f>
        <v>1.0647959353965331</v>
      </c>
      <c r="Q213" s="150">
        <f>IF(TrRoad_act!Q74=0,0,TrRoad_emi!Q71/TrRoad_tech!Q186)</f>
        <v>1.0676619233286258</v>
      </c>
      <c r="R213" s="150">
        <f>IF(TrRoad_act!R74=0,0,TrRoad_emi!R71/TrRoad_tech!R186)</f>
        <v>1.1086224783802021</v>
      </c>
      <c r="S213" s="150">
        <f>IF(TrRoad_act!S74=0,0,TrRoad_emi!S71/TrRoad_tech!S186)</f>
        <v>1.1283487498172642</v>
      </c>
      <c r="T213" s="150">
        <f>IF(TrRoad_act!T74=0,0,TrRoad_emi!T71/TrRoad_tech!T186)</f>
        <v>1.1425406828050213</v>
      </c>
      <c r="U213" s="150">
        <f>IF(TrRoad_act!U74=0,0,TrRoad_emi!U71/TrRoad_tech!U186)</f>
        <v>1.16223475154977</v>
      </c>
      <c r="V213" s="150">
        <f>IF(TrRoad_act!V74=0,0,TrRoad_emi!V71/TrRoad_tech!V186)</f>
        <v>1.1783126609469812</v>
      </c>
      <c r="W213" s="150">
        <f>IF(TrRoad_act!W74=0,0,TrRoad_emi!W71/TrRoad_tech!W186)</f>
        <v>1.2034969128995991</v>
      </c>
      <c r="X213" s="150">
        <f>IF(TrRoad_act!X74=0,0,TrRoad_emi!X71/TrRoad_tech!X186)</f>
        <v>1.2326568081719713</v>
      </c>
      <c r="Y213" s="150">
        <f>IF(TrRoad_act!Y74=0,0,TrRoad_emi!Y71/TrRoad_tech!Y186)</f>
        <v>1.2318188487628252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1.1000135249382332</v>
      </c>
      <c r="D214" s="91">
        <f>IF(TrRoad_act!D75=0,0,TrRoad_emi!D72/TrRoad_tech!D187)</f>
        <v>1.1000668413247103</v>
      </c>
      <c r="E214" s="91">
        <f>IF(TrRoad_act!E75=0,0,TrRoad_emi!E72/TrRoad_tech!E187)</f>
        <v>1.1002110693946032</v>
      </c>
      <c r="F214" s="91">
        <f>IF(TrRoad_act!F75=0,0,TrRoad_emi!F72/TrRoad_tech!F187)</f>
        <v>1.1005752408860054</v>
      </c>
      <c r="G214" s="91">
        <f>IF(TrRoad_act!G75=0,0,TrRoad_emi!G72/TrRoad_tech!G187)</f>
        <v>1.1012886721056794</v>
      </c>
      <c r="H214" s="91">
        <f>IF(TrRoad_act!H75=0,0,TrRoad_emi!H72/TrRoad_tech!H187)</f>
        <v>1.1025079860160081</v>
      </c>
      <c r="I214" s="91">
        <f>IF(TrRoad_act!I75=0,0,TrRoad_emi!I72/TrRoad_tech!I187)</f>
        <v>1.0976103549357201</v>
      </c>
      <c r="J214" s="91">
        <f>IF(TrRoad_act!J75=0,0,TrRoad_emi!J72/TrRoad_tech!J187)</f>
        <v>1.0777237313904222</v>
      </c>
      <c r="K214" s="91">
        <f>IF(TrRoad_act!K75=0,0,TrRoad_emi!K72/TrRoad_tech!K187)</f>
        <v>1.0661932944915313</v>
      </c>
      <c r="L214" s="91">
        <f>IF(TrRoad_act!L75=0,0,TrRoad_emi!L72/TrRoad_tech!L187)</f>
        <v>1.0684037488365878</v>
      </c>
      <c r="M214" s="91">
        <f>IF(TrRoad_act!M75=0,0,TrRoad_emi!M72/TrRoad_tech!M187)</f>
        <v>1.068612362450454</v>
      </c>
      <c r="N214" s="91">
        <f>IF(TrRoad_act!N75=0,0,TrRoad_emi!N72/TrRoad_tech!N187)</f>
        <v>1.0770760904071741</v>
      </c>
      <c r="O214" s="91">
        <f>IF(TrRoad_act!O75=0,0,TrRoad_emi!O72/TrRoad_tech!O187)</f>
        <v>1.0984594074008736</v>
      </c>
      <c r="P214" s="91">
        <f>IF(TrRoad_act!P75=0,0,TrRoad_emi!P72/TrRoad_tech!P187)</f>
        <v>1.1160061896791373</v>
      </c>
      <c r="Q214" s="91">
        <f>IF(TrRoad_act!Q75=0,0,TrRoad_emi!Q72/TrRoad_tech!Q187)</f>
        <v>1.1335597759755247</v>
      </c>
      <c r="R214" s="91">
        <f>IF(TrRoad_act!R75=0,0,TrRoad_emi!R72/TrRoad_tech!R187)</f>
        <v>1.1492707824060815</v>
      </c>
      <c r="S214" s="91">
        <f>IF(TrRoad_act!S75=0,0,TrRoad_emi!S72/TrRoad_tech!S187)</f>
        <v>1.1646724434317175</v>
      </c>
      <c r="T214" s="91">
        <f>IF(TrRoad_act!T75=0,0,TrRoad_emi!T72/TrRoad_tech!T187)</f>
        <v>1.1838394048259686</v>
      </c>
      <c r="U214" s="91">
        <f>IF(TrRoad_act!U75=0,0,TrRoad_emi!U72/TrRoad_tech!U187)</f>
        <v>1.2029078507023077</v>
      </c>
      <c r="V214" s="91">
        <f>IF(TrRoad_act!V75=0,0,TrRoad_emi!V72/TrRoad_tech!V187)</f>
        <v>1.2022955965129876</v>
      </c>
      <c r="W214" s="91">
        <f>IF(TrRoad_act!W75=0,0,TrRoad_emi!W72/TrRoad_tech!W187)</f>
        <v>1.219652682676506</v>
      </c>
      <c r="X214" s="91">
        <f>IF(TrRoad_act!X75=0,0,TrRoad_emi!X72/TrRoad_tech!X187)</f>
        <v>1.2324545821162769</v>
      </c>
      <c r="Y214" s="91">
        <f>IF(TrRoad_act!Y75=0,0,TrRoad_emi!Y72/TrRoad_tech!Y187)</f>
        <v>1.2112250094972998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1.0955114169956652</v>
      </c>
      <c r="C215" s="91">
        <f>IF(TrRoad_act!C76=0,0,TrRoad_emi!C73/TrRoad_tech!C188)</f>
        <v>1.0958428216260589</v>
      </c>
      <c r="D215" s="91">
        <f>IF(TrRoad_act!D76=0,0,TrRoad_emi!D73/TrRoad_tech!D188)</f>
        <v>1.0967245177198131</v>
      </c>
      <c r="E215" s="91">
        <f>IF(TrRoad_act!E76=0,0,TrRoad_emi!E73/TrRoad_tech!E188)</f>
        <v>1.0981000391918945</v>
      </c>
      <c r="F215" s="91">
        <f>IF(TrRoad_act!F76=0,0,TrRoad_emi!F73/TrRoad_tech!F188)</f>
        <v>1.1000254961024762</v>
      </c>
      <c r="G215" s="91">
        <f>IF(TrRoad_act!G76=0,0,TrRoad_emi!G73/TrRoad_tech!G188)</f>
        <v>1.0919132025607137</v>
      </c>
      <c r="H215" s="91">
        <f>IF(TrRoad_act!H76=0,0,TrRoad_emi!H73/TrRoad_tech!H188)</f>
        <v>1.058966488416629</v>
      </c>
      <c r="I215" s="91">
        <f>IF(TrRoad_act!I76=0,0,TrRoad_emi!I73/TrRoad_tech!I188)</f>
        <v>1.0542914571030593</v>
      </c>
      <c r="J215" s="91">
        <f>IF(TrRoad_act!J76=0,0,TrRoad_emi!J73/TrRoad_tech!J188)</f>
        <v>1.0508241405289229</v>
      </c>
      <c r="K215" s="91">
        <f>IF(TrRoad_act!K76=0,0,TrRoad_emi!K73/TrRoad_tech!K188)</f>
        <v>1.0347589894303684</v>
      </c>
      <c r="L215" s="91">
        <f>IF(TrRoad_act!L76=0,0,TrRoad_emi!L73/TrRoad_tech!L188)</f>
        <v>1.0437410244771743</v>
      </c>
      <c r="M215" s="91">
        <f>IF(TrRoad_act!M76=0,0,TrRoad_emi!M73/TrRoad_tech!M188)</f>
        <v>1.0436738588256225</v>
      </c>
      <c r="N215" s="91">
        <f>IF(TrRoad_act!N76=0,0,TrRoad_emi!N73/TrRoad_tech!N188)</f>
        <v>1.0544621002190855</v>
      </c>
      <c r="O215" s="91">
        <f>IF(TrRoad_act!O76=0,0,TrRoad_emi!O73/TrRoad_tech!O188)</f>
        <v>1.0675673702188664</v>
      </c>
      <c r="P215" s="91">
        <f>IF(TrRoad_act!P76=0,0,TrRoad_emi!P73/TrRoad_tech!P188)</f>
        <v>1.0614788963229238</v>
      </c>
      <c r="Q215" s="91">
        <f>IF(TrRoad_act!Q76=0,0,TrRoad_emi!Q73/TrRoad_tech!Q188)</f>
        <v>1.0673723947717164</v>
      </c>
      <c r="R215" s="91">
        <f>IF(TrRoad_act!R76=0,0,TrRoad_emi!R73/TrRoad_tech!R188)</f>
        <v>1.1044686318625589</v>
      </c>
      <c r="S215" s="91">
        <f>IF(TrRoad_act!S76=0,0,TrRoad_emi!S73/TrRoad_tech!S188)</f>
        <v>1.1343649188419243</v>
      </c>
      <c r="T215" s="91">
        <f>IF(TrRoad_act!T76=0,0,TrRoad_emi!T73/TrRoad_tech!T188)</f>
        <v>1.1499924575619742</v>
      </c>
      <c r="U215" s="91">
        <f>IF(TrRoad_act!U76=0,0,TrRoad_emi!U73/TrRoad_tech!U188)</f>
        <v>1.1699031295274389</v>
      </c>
      <c r="V215" s="91">
        <f>IF(TrRoad_act!V76=0,0,TrRoad_emi!V73/TrRoad_tech!V188)</f>
        <v>1.1866381547693132</v>
      </c>
      <c r="W215" s="91">
        <f>IF(TrRoad_act!W76=0,0,TrRoad_emi!W73/TrRoad_tech!W188)</f>
        <v>1.204349491309443</v>
      </c>
      <c r="X215" s="91">
        <f>IF(TrRoad_act!X76=0,0,TrRoad_emi!X73/TrRoad_tech!X188)</f>
        <v>1.2097376817404426</v>
      </c>
      <c r="Y215" s="91">
        <f>IF(TrRoad_act!Y76=0,0,TrRoad_emi!Y73/TrRoad_tech!Y188)</f>
        <v>1.2067833191799824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1.1160000000058974</v>
      </c>
      <c r="F216" s="91">
        <f>IF(TrRoad_act!F77=0,0,TrRoad_emi!F74/TrRoad_tech!F189)</f>
        <v>1.1210914640237748</v>
      </c>
      <c r="G216" s="91">
        <f>IF(TrRoad_act!G77=0,0,TrRoad_emi!G74/TrRoad_tech!G189)</f>
        <v>1.1308135658565965</v>
      </c>
      <c r="H216" s="91">
        <f>IF(TrRoad_act!H77=0,0,TrRoad_emi!H74/TrRoad_tech!H189)</f>
        <v>1.1314355150412949</v>
      </c>
      <c r="I216" s="91">
        <f>IF(TrRoad_act!I77=0,0,TrRoad_emi!I74/TrRoad_tech!I189)</f>
        <v>1.1316245815299752</v>
      </c>
      <c r="J216" s="91">
        <f>IF(TrRoad_act!J77=0,0,TrRoad_emi!J74/TrRoad_tech!J189)</f>
        <v>1.1316019129796115</v>
      </c>
      <c r="K216" s="91">
        <f>IF(TrRoad_act!K77=0,0,TrRoad_emi!K74/TrRoad_tech!K189)</f>
        <v>1.1317770814682888</v>
      </c>
      <c r="L216" s="91">
        <f>IF(TrRoad_act!L77=0,0,TrRoad_emi!L74/TrRoad_tech!L189)</f>
        <v>1.1318383285311693</v>
      </c>
      <c r="M216" s="91">
        <f>IF(TrRoad_act!M77=0,0,TrRoad_emi!M74/TrRoad_tech!M189)</f>
        <v>1.1318834672511797</v>
      </c>
      <c r="N216" s="91">
        <f>IF(TrRoad_act!N77=0,0,TrRoad_emi!N74/TrRoad_tech!N189)</f>
        <v>1.1462255903356899</v>
      </c>
      <c r="O216" s="91">
        <f>IF(TrRoad_act!O77=0,0,TrRoad_emi!O74/TrRoad_tech!O189)</f>
        <v>1.1675932604490156</v>
      </c>
      <c r="P216" s="91">
        <f>IF(TrRoad_act!P77=0,0,TrRoad_emi!P74/TrRoad_tech!P189)</f>
        <v>1.1918519495267612</v>
      </c>
      <c r="Q216" s="91">
        <f>IF(TrRoad_act!Q77=0,0,TrRoad_emi!Q74/TrRoad_tech!Q189)</f>
        <v>1.208866234702219</v>
      </c>
      <c r="R216" s="91">
        <f>IF(TrRoad_act!R77=0,0,TrRoad_emi!R74/TrRoad_tech!R189)</f>
        <v>1.2146832330557711</v>
      </c>
      <c r="S216" s="91">
        <f>IF(TrRoad_act!S77=0,0,TrRoad_emi!S74/TrRoad_tech!S189)</f>
        <v>1.219221434831921</v>
      </c>
      <c r="T216" s="91">
        <f>IF(TrRoad_act!T77=0,0,TrRoad_emi!T74/TrRoad_tech!T189)</f>
        <v>1.2242106726566071</v>
      </c>
      <c r="U216" s="91">
        <f>IF(TrRoad_act!U77=0,0,TrRoad_emi!U74/TrRoad_tech!U189)</f>
        <v>1.2318404766718933</v>
      </c>
      <c r="V216" s="91">
        <f>IF(TrRoad_act!V77=0,0,TrRoad_emi!V74/TrRoad_tech!V189)</f>
        <v>1.2457476085159891</v>
      </c>
      <c r="W216" s="91">
        <f>IF(TrRoad_act!W77=0,0,TrRoad_emi!W74/TrRoad_tech!W189)</f>
        <v>1.2597885266647548</v>
      </c>
      <c r="X216" s="91">
        <f>IF(TrRoad_act!X77=0,0,TrRoad_emi!X74/TrRoad_tech!X189)</f>
        <v>1.2694657454342233</v>
      </c>
      <c r="Y216" s="91">
        <f>IF(TrRoad_act!Y77=0,0,TrRoad_emi!Y74/TrRoad_tech!Y189)</f>
        <v>1.2753028969626974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1.1440000000061443</v>
      </c>
      <c r="I217" s="91">
        <f>IF(TrRoad_act!I78=0,0,TrRoad_emi!I75/TrRoad_tech!I190)</f>
        <v>1.1503098861641705</v>
      </c>
      <c r="J217" s="91">
        <f>IF(TrRoad_act!J78=0,0,TrRoad_emi!J75/TrRoad_tech!J190)</f>
        <v>1.1692408349876255</v>
      </c>
      <c r="K217" s="91">
        <f>IF(TrRoad_act!K78=0,0,TrRoad_emi!K75/TrRoad_tech!K190)</f>
        <v>1.1837928191060514</v>
      </c>
      <c r="L217" s="91">
        <f>IF(TrRoad_act!L78=0,0,TrRoad_emi!L75/TrRoad_tech!L190)</f>
        <v>1.199771624329103</v>
      </c>
      <c r="M217" s="91">
        <f>IF(TrRoad_act!M78=0,0,TrRoad_emi!M75/TrRoad_tech!M190)</f>
        <v>1.2165584553428319</v>
      </c>
      <c r="N217" s="91">
        <f>IF(TrRoad_act!N78=0,0,TrRoad_emi!N75/TrRoad_tech!N190)</f>
        <v>1.2349148668975709</v>
      </c>
      <c r="O217" s="91">
        <f>IF(TrRoad_act!O78=0,0,TrRoad_emi!O75/TrRoad_tech!O190)</f>
        <v>1.2506678731200294</v>
      </c>
      <c r="P217" s="91">
        <f>IF(TrRoad_act!P78=0,0,TrRoad_emi!P75/TrRoad_tech!P190)</f>
        <v>1.2179027606509247</v>
      </c>
      <c r="Q217" s="91">
        <f>IF(TrRoad_act!Q78=0,0,TrRoad_emi!Q75/TrRoad_tech!Q190)</f>
        <v>1.2355601254205486</v>
      </c>
      <c r="R217" s="91">
        <f>IF(TrRoad_act!R78=0,0,TrRoad_emi!R75/TrRoad_tech!R190)</f>
        <v>1.2571309317579016</v>
      </c>
      <c r="S217" s="91">
        <f>IF(TrRoad_act!S78=0,0,TrRoad_emi!S75/TrRoad_tech!S190)</f>
        <v>1.2732314055315606</v>
      </c>
      <c r="T217" s="91">
        <f>IF(TrRoad_act!T78=0,0,TrRoad_emi!T75/TrRoad_tech!T190)</f>
        <v>1.2679131241200636</v>
      </c>
      <c r="U217" s="91">
        <f>IF(TrRoad_act!U78=0,0,TrRoad_emi!U75/TrRoad_tech!U190)</f>
        <v>1.2732247823430844</v>
      </c>
      <c r="V217" s="91">
        <f>IF(TrRoad_act!V78=0,0,TrRoad_emi!V75/TrRoad_tech!V190)</f>
        <v>1.2835184658126024</v>
      </c>
      <c r="W217" s="91">
        <f>IF(TrRoad_act!W78=0,0,TrRoad_emi!W75/TrRoad_tech!W190)</f>
        <v>1.2880178956839861</v>
      </c>
      <c r="X217" s="91">
        <f>IF(TrRoad_act!X78=0,0,TrRoad_emi!X75/TrRoad_tech!X190)</f>
        <v>1.291710445010938</v>
      </c>
      <c r="Y217" s="91">
        <f>IF(TrRoad_act!Y78=0,0,TrRoad_emi!Y75/TrRoad_tech!Y190)</f>
        <v>1.2779599305938161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1.7391410426395468</v>
      </c>
      <c r="C219" s="151">
        <f>IF(TrRoad_act!C80=0,0,TrRoad_emi!C77/TrRoad_tech!C192)</f>
        <v>1.9894153001345474</v>
      </c>
      <c r="D219" s="151">
        <f>IF(TrRoad_act!D80=0,0,TrRoad_emi!D77/TrRoad_tech!D192)</f>
        <v>2.2181491653464236</v>
      </c>
      <c r="E219" s="151">
        <f>IF(TrRoad_act!E80=0,0,TrRoad_emi!E77/TrRoad_tech!E192)</f>
        <v>2.3837671265169043</v>
      </c>
      <c r="F219" s="151">
        <f>IF(TrRoad_act!F80=0,0,TrRoad_emi!F77/TrRoad_tech!F192)</f>
        <v>2.2973672560757046</v>
      </c>
      <c r="G219" s="151">
        <f>IF(TrRoad_act!G80=0,0,TrRoad_emi!G77/TrRoad_tech!G192)</f>
        <v>2.3892433671304345</v>
      </c>
      <c r="H219" s="151">
        <f>IF(TrRoad_act!H80=0,0,TrRoad_emi!H77/TrRoad_tech!H192)</f>
        <v>1.954612080477754</v>
      </c>
      <c r="I219" s="151">
        <f>IF(TrRoad_act!I80=0,0,TrRoad_emi!I77/TrRoad_tech!I192)</f>
        <v>1.8278537156270496</v>
      </c>
      <c r="J219" s="151">
        <f>IF(TrRoad_act!J80=0,0,TrRoad_emi!J77/TrRoad_tech!J192)</f>
        <v>1.6635129856430302</v>
      </c>
      <c r="K219" s="151">
        <f>IF(TrRoad_act!K80=0,0,TrRoad_emi!K77/TrRoad_tech!K192)</f>
        <v>1.7455932973221411</v>
      </c>
      <c r="L219" s="151">
        <f>IF(TrRoad_act!L80=0,0,TrRoad_emi!L77/TrRoad_tech!L192)</f>
        <v>1.9134955899244868</v>
      </c>
      <c r="M219" s="151">
        <f>IF(TrRoad_act!M80=0,0,TrRoad_emi!M77/TrRoad_tech!M192)</f>
        <v>1.6922388087052953</v>
      </c>
      <c r="N219" s="151">
        <f>IF(TrRoad_act!N80=0,0,TrRoad_emi!N77/TrRoad_tech!N192)</f>
        <v>1.7888922258730897</v>
      </c>
      <c r="O219" s="151">
        <f>IF(TrRoad_act!O80=0,0,TrRoad_emi!O77/TrRoad_tech!O192)</f>
        <v>2.1114415268521176</v>
      </c>
      <c r="P219" s="151">
        <f>IF(TrRoad_act!P80=0,0,TrRoad_emi!P77/TrRoad_tech!P192)</f>
        <v>1.9610626289311557</v>
      </c>
      <c r="Q219" s="151">
        <f>IF(TrRoad_act!Q80=0,0,TrRoad_emi!Q77/TrRoad_tech!Q192)</f>
        <v>1.9264301661776428</v>
      </c>
      <c r="R219" s="151">
        <f>IF(TrRoad_act!R80=0,0,TrRoad_emi!R77/TrRoad_tech!R192)</f>
        <v>1.9736853621178401</v>
      </c>
      <c r="S219" s="151">
        <f>IF(TrRoad_act!S80=0,0,TrRoad_emi!S77/TrRoad_tech!S192)</f>
        <v>1.9885047457020149</v>
      </c>
      <c r="T219" s="151">
        <f>IF(TrRoad_act!T80=0,0,TrRoad_emi!T77/TrRoad_tech!T192)</f>
        <v>2.0701700803729133</v>
      </c>
      <c r="U219" s="151">
        <f>IF(TrRoad_act!U80=0,0,TrRoad_emi!U77/TrRoad_tech!U192)</f>
        <v>2.1373519135254408</v>
      </c>
      <c r="V219" s="151">
        <f>IF(TrRoad_act!V80=0,0,TrRoad_emi!V77/TrRoad_tech!V192)</f>
        <v>2.068004645508001</v>
      </c>
      <c r="W219" s="151">
        <f>IF(TrRoad_act!W80=0,0,TrRoad_emi!W77/TrRoad_tech!W192)</f>
        <v>2.0839664102299151</v>
      </c>
      <c r="X219" s="151">
        <f>IF(TrRoad_act!X80=0,0,TrRoad_emi!X77/TrRoad_tech!X192)</f>
        <v>1.7753202602552187</v>
      </c>
      <c r="Y219" s="151">
        <f>IF(TrRoad_act!Y80=0,0,TrRoad_emi!Y77/TrRoad_tech!Y192)</f>
        <v>1.6655652913140042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1.2927142012175223</v>
      </c>
      <c r="C220" s="93">
        <f>IF(TrRoad_act!C81=0,0,TrRoad_emi!C78/TrRoad_tech!C193)</f>
        <v>1.3446834457168468</v>
      </c>
      <c r="D220" s="93">
        <f>IF(TrRoad_act!D81=0,0,TrRoad_emi!D78/TrRoad_tech!D193)</f>
        <v>1.3926118550135538</v>
      </c>
      <c r="E220" s="93">
        <f>IF(TrRoad_act!E81=0,0,TrRoad_emi!E78/TrRoad_tech!E193)</f>
        <v>1.4284991160861873</v>
      </c>
      <c r="F220" s="93">
        <f>IF(TrRoad_act!F81=0,0,TrRoad_emi!F78/TrRoad_tech!F193)</f>
        <v>1.4117513825020147</v>
      </c>
      <c r="G220" s="93">
        <f>IF(TrRoad_act!G81=0,0,TrRoad_emi!G78/TrRoad_tech!G193)</f>
        <v>1.4238671911775502</v>
      </c>
      <c r="H220" s="93">
        <f>IF(TrRoad_act!H81=0,0,TrRoad_emi!H78/TrRoad_tech!H193)</f>
        <v>1.3090794282303058</v>
      </c>
      <c r="I220" s="93">
        <f>IF(TrRoad_act!I81=0,0,TrRoad_emi!I78/TrRoad_tech!I193)</f>
        <v>1.2785434312025907</v>
      </c>
      <c r="J220" s="93">
        <f>IF(TrRoad_act!J81=0,0,TrRoad_emi!J78/TrRoad_tech!J193)</f>
        <v>1.2412530371795016</v>
      </c>
      <c r="K220" s="93">
        <f>IF(TrRoad_act!K81=0,0,TrRoad_emi!K78/TrRoad_tech!K193)</f>
        <v>1.2448642352227375</v>
      </c>
      <c r="L220" s="93">
        <f>IF(TrRoad_act!L81=0,0,TrRoad_emi!L78/TrRoad_tech!L193)</f>
        <v>1.2901396879256111</v>
      </c>
      <c r="M220" s="93">
        <f>IF(TrRoad_act!M81=0,0,TrRoad_emi!M78/TrRoad_tech!M193)</f>
        <v>1.243869959467315</v>
      </c>
      <c r="N220" s="93">
        <f>IF(TrRoad_act!N81=0,0,TrRoad_emi!N78/TrRoad_tech!N193)</f>
        <v>1.2710329258894861</v>
      </c>
      <c r="O220" s="93">
        <f>IF(TrRoad_act!O81=0,0,TrRoad_emi!O78/TrRoad_tech!O193)</f>
        <v>1.3505145287439049</v>
      </c>
      <c r="P220" s="93">
        <f>IF(TrRoad_act!P81=0,0,TrRoad_emi!P78/TrRoad_tech!P193)</f>
        <v>1.3138058748552874</v>
      </c>
      <c r="Q220" s="93">
        <f>IF(TrRoad_act!Q81=0,0,TrRoad_emi!Q78/TrRoad_tech!Q193)</f>
        <v>1.3079846080073241</v>
      </c>
      <c r="R220" s="93">
        <f>IF(TrRoad_act!R81=0,0,TrRoad_emi!R78/TrRoad_tech!R193)</f>
        <v>1.3478684344817333</v>
      </c>
      <c r="S220" s="93">
        <f>IF(TrRoad_act!S81=0,0,TrRoad_emi!S78/TrRoad_tech!S193)</f>
        <v>1.3710353865185785</v>
      </c>
      <c r="T220" s="93">
        <f>IF(TrRoad_act!T81=0,0,TrRoad_emi!T78/TrRoad_tech!T193)</f>
        <v>1.3971669958910484</v>
      </c>
      <c r="U220" s="93">
        <f>IF(TrRoad_act!U81=0,0,TrRoad_emi!U78/TrRoad_tech!U193)</f>
        <v>1.4261917735834704</v>
      </c>
      <c r="V220" s="93">
        <f>IF(TrRoad_act!V81=0,0,TrRoad_emi!V78/TrRoad_tech!V193)</f>
        <v>1.4282551634219298</v>
      </c>
      <c r="W220" s="93">
        <f>IF(TrRoad_act!W81=0,0,TrRoad_emi!W78/TrRoad_tech!W193)</f>
        <v>1.4392391571806742</v>
      </c>
      <c r="X220" s="93">
        <f>IF(TrRoad_act!X81=0,0,TrRoad_emi!X78/TrRoad_tech!X193)</f>
        <v>1.3868726502996436</v>
      </c>
      <c r="Y220" s="93">
        <f>IF(TrRoad_act!Y81=0,0,TrRoad_emi!Y78/TrRoad_tech!Y193)</f>
        <v>1.3685278296755374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2.4178635940247011</v>
      </c>
      <c r="C221" s="94">
        <f>IF(TrRoad_act!C82=0,0,TrRoad_emi!C79/TrRoad_tech!C194)</f>
        <v>2.894458999935658</v>
      </c>
      <c r="D221" s="94">
        <f>IF(TrRoad_act!D82=0,0,TrRoad_emi!D79/TrRoad_tech!D194)</f>
        <v>3.3100777053231272</v>
      </c>
      <c r="E221" s="94">
        <f>IF(TrRoad_act!E82=0,0,TrRoad_emi!E79/TrRoad_tech!E194)</f>
        <v>3.6536127597520154</v>
      </c>
      <c r="F221" s="94">
        <f>IF(TrRoad_act!F82=0,0,TrRoad_emi!F79/TrRoad_tech!F194)</f>
        <v>3.2719593527379969</v>
      </c>
      <c r="G221" s="94">
        <f>IF(TrRoad_act!G82=0,0,TrRoad_emi!G79/TrRoad_tech!G194)</f>
        <v>3.4065535565190337</v>
      </c>
      <c r="H221" s="94">
        <f>IF(TrRoad_act!H82=0,0,TrRoad_emi!H79/TrRoad_tech!H194)</f>
        <v>2.7509636515302818</v>
      </c>
      <c r="I221" s="94">
        <f>IF(TrRoad_act!I82=0,0,TrRoad_emi!I79/TrRoad_tech!I194)</f>
        <v>2.4613447784438871</v>
      </c>
      <c r="J221" s="94">
        <f>IF(TrRoad_act!J82=0,0,TrRoad_emi!J79/TrRoad_tech!J194)</f>
        <v>2.1173096609381985</v>
      </c>
      <c r="K221" s="94">
        <f>IF(TrRoad_act!K82=0,0,TrRoad_emi!K79/TrRoad_tech!K194)</f>
        <v>2.3177675883155233</v>
      </c>
      <c r="L221" s="94">
        <f>IF(TrRoad_act!L82=0,0,TrRoad_emi!L79/TrRoad_tech!L194)</f>
        <v>2.5810113447921186</v>
      </c>
      <c r="M221" s="94">
        <f>IF(TrRoad_act!M82=0,0,TrRoad_emi!M79/TrRoad_tech!M194)</f>
        <v>2.2074583215542725</v>
      </c>
      <c r="N221" s="94">
        <f>IF(TrRoad_act!N82=0,0,TrRoad_emi!N79/TrRoad_tech!N194)</f>
        <v>2.3744563425349381</v>
      </c>
      <c r="O221" s="94">
        <f>IF(TrRoad_act!O82=0,0,TrRoad_emi!O79/TrRoad_tech!O194)</f>
        <v>2.905810322983847</v>
      </c>
      <c r="P221" s="94">
        <f>IF(TrRoad_act!P82=0,0,TrRoad_emi!P79/TrRoad_tech!P194)</f>
        <v>2.6641164943877218</v>
      </c>
      <c r="Q221" s="94">
        <f>IF(TrRoad_act!Q82=0,0,TrRoad_emi!Q79/TrRoad_tech!Q194)</f>
        <v>2.6217887391624877</v>
      </c>
      <c r="R221" s="94">
        <f>IF(TrRoad_act!R82=0,0,TrRoad_emi!R79/TrRoad_tech!R194)</f>
        <v>2.6904855731453003</v>
      </c>
      <c r="S221" s="94">
        <f>IF(TrRoad_act!S82=0,0,TrRoad_emi!S79/TrRoad_tech!S194)</f>
        <v>2.6692907812582312</v>
      </c>
      <c r="T221" s="94">
        <f>IF(TrRoad_act!T82=0,0,TrRoad_emi!T79/TrRoad_tech!T194)</f>
        <v>2.7996856947758388</v>
      </c>
      <c r="U221" s="94">
        <f>IF(TrRoad_act!U82=0,0,TrRoad_emi!U79/TrRoad_tech!U194)</f>
        <v>2.8863245901897465</v>
      </c>
      <c r="V221" s="94">
        <f>IF(TrRoad_act!V82=0,0,TrRoad_emi!V79/TrRoad_tech!V194)</f>
        <v>2.7083515756129932</v>
      </c>
      <c r="W221" s="94">
        <f>IF(TrRoad_act!W82=0,0,TrRoad_emi!W79/TrRoad_tech!W194)</f>
        <v>2.7437046101027547</v>
      </c>
      <c r="X221" s="94">
        <f>IF(TrRoad_act!X82=0,0,TrRoad_emi!X79/TrRoad_tech!X194)</f>
        <v>2.1846910280658705</v>
      </c>
      <c r="Y221" s="94">
        <f>IF(TrRoad_act!Y82=0,0,TrRoad_emi!Y79/TrRoad_tech!Y194)</f>
        <v>1.9864247685242831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93.504138112291585</v>
      </c>
      <c r="C225" s="152">
        <v>93.006791540785841</v>
      </c>
      <c r="D225" s="152">
        <v>92.457286228777193</v>
      </c>
      <c r="E225" s="152">
        <v>91.821226712182721</v>
      </c>
      <c r="F225" s="152">
        <v>91.204528004508759</v>
      </c>
      <c r="G225" s="152">
        <v>90.432373389914218</v>
      </c>
      <c r="H225" s="152">
        <v>90.344110878658938</v>
      </c>
      <c r="I225" s="152">
        <v>89.589039330758965</v>
      </c>
      <c r="J225" s="152">
        <v>88.171714230666211</v>
      </c>
      <c r="K225" s="152">
        <v>86.803930023987647</v>
      </c>
      <c r="L225" s="152">
        <v>84.82969694965189</v>
      </c>
      <c r="M225" s="152">
        <v>83.532983679043824</v>
      </c>
      <c r="N225" s="152">
        <v>82.690814526200057</v>
      </c>
      <c r="O225" s="152">
        <v>81.574663082166381</v>
      </c>
      <c r="P225" s="152">
        <v>80.915947087602618</v>
      </c>
      <c r="Q225" s="152">
        <v>84.264645696865827</v>
      </c>
      <c r="R225" s="152">
        <v>81.18211986574542</v>
      </c>
      <c r="S225" s="152">
        <v>80.565614699521333</v>
      </c>
      <c r="T225" s="152">
        <v>80.072410566542075</v>
      </c>
      <c r="U225" s="152">
        <v>79.677847260158657</v>
      </c>
      <c r="V225" s="152">
        <v>79.362196615051943</v>
      </c>
      <c r="W225" s="152">
        <v>79.109676098966546</v>
      </c>
      <c r="X225" s="152">
        <v>78.907659686098242</v>
      </c>
      <c r="Y225" s="152">
        <v>78.746046555803588</v>
      </c>
      <c r="DA225" s="174" t="s">
        <v>933</v>
      </c>
    </row>
    <row r="226" spans="1:105" ht="11.45" customHeight="1" x14ac:dyDescent="0.25">
      <c r="A226" s="109" t="s">
        <v>20</v>
      </c>
      <c r="B226" s="116">
        <v>217.85198991402976</v>
      </c>
      <c r="C226" s="116">
        <v>217.40025408497999</v>
      </c>
      <c r="D226" s="116">
        <v>217.02939932175903</v>
      </c>
      <c r="E226" s="116">
        <v>216.73165012330495</v>
      </c>
      <c r="F226" s="116">
        <v>213.46836608471176</v>
      </c>
      <c r="G226" s="116">
        <v>212.94890958019886</v>
      </c>
      <c r="H226" s="116">
        <v>211.44133458817993</v>
      </c>
      <c r="I226" s="116">
        <v>209.29047087449689</v>
      </c>
      <c r="J226" s="116">
        <v>202.28773498324691</v>
      </c>
      <c r="K226" s="116">
        <v>191.88084189595463</v>
      </c>
      <c r="L226" s="116">
        <v>179.44884388524017</v>
      </c>
      <c r="M226" s="116">
        <v>173.16229996983148</v>
      </c>
      <c r="N226" s="116">
        <v>169.84703998252428</v>
      </c>
      <c r="O226" s="116">
        <v>164.52890804774748</v>
      </c>
      <c r="P226" s="116">
        <v>160.82258931881367</v>
      </c>
      <c r="Q226" s="116">
        <v>154.86202152465847</v>
      </c>
      <c r="R226" s="116">
        <v>150.66579317434184</v>
      </c>
      <c r="S226" s="116">
        <v>150.42983085370116</v>
      </c>
      <c r="T226" s="116">
        <v>152.84059397577474</v>
      </c>
      <c r="U226" s="116">
        <v>150.31990402956504</v>
      </c>
      <c r="V226" s="116">
        <v>136.66423060718583</v>
      </c>
      <c r="W226" s="116">
        <v>120.02912583642593</v>
      </c>
      <c r="X226" s="116">
        <v>121.28149091927342</v>
      </c>
      <c r="Y226" s="116">
        <v>117.23391559227692</v>
      </c>
      <c r="DA226" s="176" t="s">
        <v>934</v>
      </c>
    </row>
    <row r="227" spans="1:105" ht="11.45" customHeight="1" x14ac:dyDescent="0.25">
      <c r="A227" s="111" t="s">
        <v>110</v>
      </c>
      <c r="B227" s="87">
        <v>213.51136497505885</v>
      </c>
      <c r="C227" s="87">
        <v>212.93957898419777</v>
      </c>
      <c r="D227" s="87">
        <v>212.30605694851351</v>
      </c>
      <c r="E227" s="87">
        <v>209.08304677425883</v>
      </c>
      <c r="F227" s="87">
        <v>205.95814075929209</v>
      </c>
      <c r="G227" s="87">
        <v>202.04551605357193</v>
      </c>
      <c r="H227" s="87">
        <v>201.5982765038768</v>
      </c>
      <c r="I227" s="87">
        <v>197.77221429164604</v>
      </c>
      <c r="J227" s="87">
        <v>190.59041274847678</v>
      </c>
      <c r="K227" s="87">
        <v>183.65964243642676</v>
      </c>
      <c r="L227" s="87">
        <v>173.43950711218179</v>
      </c>
      <c r="M227" s="87">
        <v>166.79165169288785</v>
      </c>
      <c r="N227" s="87">
        <v>162.4918179092106</v>
      </c>
      <c r="O227" s="87">
        <v>157.13819786899185</v>
      </c>
      <c r="P227" s="87">
        <v>154.10616481040026</v>
      </c>
      <c r="Q227" s="87">
        <v>149.21968842925787</v>
      </c>
      <c r="R227" s="87">
        <v>147.70937568624535</v>
      </c>
      <c r="S227" s="87">
        <v>147.58095266376799</v>
      </c>
      <c r="T227" s="87">
        <v>150.9291787147728</v>
      </c>
      <c r="U227" s="87">
        <v>149.39946190189471</v>
      </c>
      <c r="V227" s="87">
        <v>142.1586039584935</v>
      </c>
      <c r="W227" s="87">
        <v>137.13807649276919</v>
      </c>
      <c r="X227" s="87">
        <v>135.90468997738981</v>
      </c>
      <c r="Y227" s="87">
        <v>135.1281387181738</v>
      </c>
      <c r="DA227" s="171" t="s">
        <v>935</v>
      </c>
    </row>
    <row r="228" spans="1:105" ht="11.45" customHeight="1" x14ac:dyDescent="0.25">
      <c r="A228" s="111" t="s">
        <v>111</v>
      </c>
      <c r="B228" s="87">
        <v>220.26666024858682</v>
      </c>
      <c r="C228" s="87">
        <v>219.80592196972208</v>
      </c>
      <c r="D228" s="87">
        <v>219.29512077334203</v>
      </c>
      <c r="E228" s="87">
        <v>219.93978711084242</v>
      </c>
      <c r="F228" s="87">
        <v>216.57202198160559</v>
      </c>
      <c r="G228" s="87">
        <v>218.45670225790448</v>
      </c>
      <c r="H228" s="87">
        <v>217.43926238181137</v>
      </c>
      <c r="I228" s="87">
        <v>217.24551020387415</v>
      </c>
      <c r="J228" s="87">
        <v>212.15158930755993</v>
      </c>
      <c r="K228" s="87">
        <v>201.98840688303255</v>
      </c>
      <c r="L228" s="87">
        <v>185.41831802390962</v>
      </c>
      <c r="M228" s="87">
        <v>179.09535262226831</v>
      </c>
      <c r="N228" s="87">
        <v>175.66946437436062</v>
      </c>
      <c r="O228" s="87">
        <v>171.0529870965598</v>
      </c>
      <c r="P228" s="87">
        <v>167.57684226462794</v>
      </c>
      <c r="Q228" s="87">
        <v>160.93013700259988</v>
      </c>
      <c r="R228" s="87">
        <v>156.66001912175659</v>
      </c>
      <c r="S228" s="87">
        <v>159.01974485930563</v>
      </c>
      <c r="T228" s="87">
        <v>164.2863503473433</v>
      </c>
      <c r="U228" s="87">
        <v>163.98781871474051</v>
      </c>
      <c r="V228" s="87">
        <v>156.59779142613991</v>
      </c>
      <c r="W228" s="87">
        <v>150.9701458588041</v>
      </c>
      <c r="X228" s="87">
        <v>149.89629949078599</v>
      </c>
      <c r="Y228" s="87">
        <v>147.8066689961563</v>
      </c>
      <c r="DA228" s="171" t="s">
        <v>936</v>
      </c>
    </row>
    <row r="229" spans="1:105" ht="11.45" customHeight="1" x14ac:dyDescent="0.25">
      <c r="A229" s="111" t="s">
        <v>112</v>
      </c>
      <c r="B229" s="87">
        <v>205.67950083127064</v>
      </c>
      <c r="C229" s="87">
        <v>211.33527559300219</v>
      </c>
      <c r="D229" s="87">
        <v>210.83051328492618</v>
      </c>
      <c r="E229" s="87">
        <v>211.46755812891172</v>
      </c>
      <c r="F229" s="87">
        <v>0</v>
      </c>
      <c r="G229" s="87">
        <v>0</v>
      </c>
      <c r="H229" s="87">
        <v>214.86861174953401</v>
      </c>
      <c r="I229" s="87">
        <v>0</v>
      </c>
      <c r="J229" s="87">
        <v>209.64345158110606</v>
      </c>
      <c r="K229" s="87">
        <v>0</v>
      </c>
      <c r="L229" s="87">
        <v>0</v>
      </c>
      <c r="M229" s="87">
        <v>229.22104018912489</v>
      </c>
      <c r="N229" s="87">
        <v>221.58392434988224</v>
      </c>
      <c r="O229" s="87">
        <v>177.48226950354612</v>
      </c>
      <c r="P229" s="87">
        <v>171.02836879432624</v>
      </c>
      <c r="Q229" s="87">
        <v>0</v>
      </c>
      <c r="R229" s="87">
        <v>149.08510638297872</v>
      </c>
      <c r="S229" s="87">
        <v>0</v>
      </c>
      <c r="T229" s="87">
        <v>170.38297872340428</v>
      </c>
      <c r="U229" s="87">
        <v>182</v>
      </c>
      <c r="V229" s="87">
        <v>0</v>
      </c>
      <c r="W229" s="87">
        <v>112</v>
      </c>
      <c r="X229" s="87">
        <v>118.5</v>
      </c>
      <c r="Y229" s="87">
        <v>119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157.61075421084257</v>
      </c>
      <c r="I230" s="87">
        <v>154.61951558824597</v>
      </c>
      <c r="J230" s="87">
        <v>149.00473962169778</v>
      </c>
      <c r="K230" s="87">
        <v>143.58622139283131</v>
      </c>
      <c r="L230" s="87">
        <v>175.10378151142189</v>
      </c>
      <c r="M230" s="87">
        <v>160.94030646063447</v>
      </c>
      <c r="N230" s="87">
        <v>154.80641304207927</v>
      </c>
      <c r="O230" s="87">
        <v>122.87032329317807</v>
      </c>
      <c r="P230" s="87">
        <v>120.38240123821133</v>
      </c>
      <c r="Q230" s="87">
        <v>124.0847613097442</v>
      </c>
      <c r="R230" s="87">
        <v>119.87379983825873</v>
      </c>
      <c r="S230" s="87">
        <v>123.63313870339756</v>
      </c>
      <c r="T230" s="87">
        <v>122.91166702541922</v>
      </c>
      <c r="U230" s="87">
        <v>124.72299651567941</v>
      </c>
      <c r="V230" s="87">
        <v>114.85714285714292</v>
      </c>
      <c r="W230" s="87">
        <v>108.04761904761909</v>
      </c>
      <c r="X230" s="87">
        <v>104.0338983050847</v>
      </c>
      <c r="Y230" s="87">
        <v>108.5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72.454774205557044</v>
      </c>
      <c r="N231" s="87">
        <v>52.80511018172357</v>
      </c>
      <c r="O231" s="87">
        <v>16.145580142239577</v>
      </c>
      <c r="P231" s="87">
        <v>45.397484113631521</v>
      </c>
      <c r="Q231" s="87">
        <v>55.115826159154679</v>
      </c>
      <c r="R231" s="87">
        <v>66.962282598275777</v>
      </c>
      <c r="S231" s="87">
        <v>65.090674996513741</v>
      </c>
      <c r="T231" s="87">
        <v>65.486400000000003</v>
      </c>
      <c r="U231" s="87">
        <v>61.02925402242807</v>
      </c>
      <c r="V231" s="87">
        <v>45.957164570954824</v>
      </c>
      <c r="W231" s="87">
        <v>41.094761624484988</v>
      </c>
      <c r="X231" s="87">
        <v>38.150064267352192</v>
      </c>
      <c r="Y231" s="87">
        <v>34.324034731202659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1455.8207983900313</v>
      </c>
      <c r="C233" s="116">
        <v>1437.8011075474978</v>
      </c>
      <c r="D233" s="116">
        <v>1428.2994040440042</v>
      </c>
      <c r="E233" s="116">
        <v>1429.5527507211339</v>
      </c>
      <c r="F233" s="116">
        <v>1438.200430447547</v>
      </c>
      <c r="G233" s="116">
        <v>1406.6419880706464</v>
      </c>
      <c r="H233" s="116">
        <v>1428.0443991428951</v>
      </c>
      <c r="I233" s="116">
        <v>1392.326381287661</v>
      </c>
      <c r="J233" s="116">
        <v>1386.5256068646636</v>
      </c>
      <c r="K233" s="116">
        <v>1246.0539851843876</v>
      </c>
      <c r="L233" s="116">
        <v>1282.5822420617635</v>
      </c>
      <c r="M233" s="116">
        <v>1335.3854566622601</v>
      </c>
      <c r="N233" s="116">
        <v>1323.2904624687551</v>
      </c>
      <c r="O233" s="116">
        <v>1263.9878526969087</v>
      </c>
      <c r="P233" s="116">
        <v>1308.8633360008182</v>
      </c>
      <c r="Q233" s="116">
        <v>1310.6633605048055</v>
      </c>
      <c r="R233" s="116">
        <v>1292.4368710982776</v>
      </c>
      <c r="S233" s="116">
        <v>1274.9750502394993</v>
      </c>
      <c r="T233" s="116">
        <v>1250.0848086582043</v>
      </c>
      <c r="U233" s="116">
        <v>1212.5850310662231</v>
      </c>
      <c r="V233" s="116">
        <v>1188.6797895157104</v>
      </c>
      <c r="W233" s="116">
        <v>1166.8173786416155</v>
      </c>
      <c r="X233" s="116">
        <v>1115.3737857827593</v>
      </c>
      <c r="Y233" s="116">
        <v>1067.3085189653502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442.16670961110765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406.56512408999458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316.22041322378254</v>
      </c>
      <c r="Q234" s="101">
        <v>0</v>
      </c>
      <c r="R234" s="101">
        <v>317.72400740418158</v>
      </c>
      <c r="S234" s="101">
        <v>0</v>
      </c>
      <c r="T234" s="101">
        <v>0</v>
      </c>
      <c r="U234" s="101">
        <v>0</v>
      </c>
      <c r="V234" s="101">
        <v>0</v>
      </c>
      <c r="W234" s="101">
        <v>315.5676623974536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1476.3253166772149</v>
      </c>
      <c r="C235" s="101">
        <v>1471.9823406532171</v>
      </c>
      <c r="D235" s="101">
        <v>1467.1717942288608</v>
      </c>
      <c r="E235" s="101">
        <v>1461.5393955068371</v>
      </c>
      <c r="F235" s="101">
        <v>1456.0165319750943</v>
      </c>
      <c r="G235" s="101">
        <v>1449.0015294973425</v>
      </c>
      <c r="H235" s="101">
        <v>1448.1983336790845</v>
      </c>
      <c r="I235" s="101">
        <v>1441.2279060456026</v>
      </c>
      <c r="J235" s="101">
        <v>1427.7775768074389</v>
      </c>
      <c r="K235" s="101">
        <v>1414.4334457774573</v>
      </c>
      <c r="L235" s="101">
        <v>1394.3524444936463</v>
      </c>
      <c r="M235" s="101">
        <v>1380.7776428587113</v>
      </c>
      <c r="N235" s="101">
        <v>1371.7891150495598</v>
      </c>
      <c r="O235" s="101">
        <v>1359.5576992282122</v>
      </c>
      <c r="P235" s="101">
        <v>1352.2222761254977</v>
      </c>
      <c r="Q235" s="101">
        <v>1340.2449215971562</v>
      </c>
      <c r="R235" s="101">
        <v>1321.2685613216661</v>
      </c>
      <c r="S235" s="101">
        <v>1297.6800418311359</v>
      </c>
      <c r="T235" s="101">
        <v>1271.1677443049202</v>
      </c>
      <c r="U235" s="101">
        <v>1242.9086301584616</v>
      </c>
      <c r="V235" s="101">
        <v>1213.7138652735957</v>
      </c>
      <c r="W235" s="101">
        <v>1184.1370293883101</v>
      </c>
      <c r="X235" s="101">
        <v>1154.5522412020839</v>
      </c>
      <c r="Y235" s="101">
        <v>1125.2095236108485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1065.4490261934588</v>
      </c>
      <c r="D236" s="101">
        <v>1061.9670605055996</v>
      </c>
      <c r="E236" s="101">
        <v>1057.8902223752928</v>
      </c>
      <c r="F236" s="101">
        <v>1053.8926679147664</v>
      </c>
      <c r="G236" s="101">
        <v>1048.8150746908232</v>
      </c>
      <c r="H236" s="101">
        <v>1048.233706165691</v>
      </c>
      <c r="I236" s="101">
        <v>1043.1883770682309</v>
      </c>
      <c r="J236" s="101">
        <v>1033.4527710130499</v>
      </c>
      <c r="K236" s="101">
        <v>1023.7940332560585</v>
      </c>
      <c r="L236" s="101">
        <v>1009.2590197087277</v>
      </c>
      <c r="M236" s="101">
        <v>999.43331814746261</v>
      </c>
      <c r="N236" s="101">
        <v>992.92724946940791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919.75925274297822</v>
      </c>
      <c r="U236" s="101">
        <v>0</v>
      </c>
      <c r="V236" s="101">
        <v>900.03840657891601</v>
      </c>
      <c r="W236" s="101">
        <v>890.44632497713167</v>
      </c>
      <c r="X236" s="101">
        <v>881.0189856884549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936.97905974672585</v>
      </c>
      <c r="G237" s="101">
        <v>0</v>
      </c>
      <c r="H237" s="101">
        <v>931.94787505380771</v>
      </c>
      <c r="I237" s="101">
        <v>927.46224965971078</v>
      </c>
      <c r="J237" s="101">
        <v>918.8066632936941</v>
      </c>
      <c r="K237" s="101">
        <v>910.21941783937984</v>
      </c>
      <c r="L237" s="101">
        <v>897.29684636544562</v>
      </c>
      <c r="M237" s="101">
        <v>888.561159240454</v>
      </c>
      <c r="N237" s="101">
        <v>882.77684144586033</v>
      </c>
      <c r="O237" s="101">
        <v>874.90565300536161</v>
      </c>
      <c r="P237" s="101">
        <v>870.18514489938411</v>
      </c>
      <c r="Q237" s="101">
        <v>862.47745055816995</v>
      </c>
      <c r="R237" s="101">
        <v>0</v>
      </c>
      <c r="S237" s="101">
        <v>852.92070946136778</v>
      </c>
      <c r="T237" s="101">
        <v>0</v>
      </c>
      <c r="U237" s="101">
        <v>846.79083611908948</v>
      </c>
      <c r="V237" s="101">
        <v>844.25546591389798</v>
      </c>
      <c r="W237" s="101">
        <v>0</v>
      </c>
      <c r="X237" s="101">
        <v>839.64164869716751</v>
      </c>
      <c r="Y237" s="101">
        <v>0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262.95568636757628</v>
      </c>
      <c r="C240" s="152">
        <v>262.36939713179174</v>
      </c>
      <c r="D240" s="152">
        <v>261.8068735857222</v>
      </c>
      <c r="E240" s="152">
        <v>262.57842147849209</v>
      </c>
      <c r="F240" s="152">
        <v>258.42584675497068</v>
      </c>
      <c r="G240" s="152">
        <v>261.03699426530966</v>
      </c>
      <c r="H240" s="152">
        <v>266.28807350648322</v>
      </c>
      <c r="I240" s="152">
        <v>265.68634712483629</v>
      </c>
      <c r="J240" s="152">
        <v>259.10922646898229</v>
      </c>
      <c r="K240" s="152">
        <v>246.18163003625921</v>
      </c>
      <c r="L240" s="152">
        <v>237.32475948744545</v>
      </c>
      <c r="M240" s="152">
        <v>229.35841630716112</v>
      </c>
      <c r="N240" s="152">
        <v>222.8755999597187</v>
      </c>
      <c r="O240" s="152">
        <v>221.33913838372851</v>
      </c>
      <c r="P240" s="152">
        <v>220.90122396470406</v>
      </c>
      <c r="Q240" s="152">
        <v>214.9506139712467</v>
      </c>
      <c r="R240" s="152">
        <v>206.42811492045027</v>
      </c>
      <c r="S240" s="152">
        <v>198.8727853199087</v>
      </c>
      <c r="T240" s="152">
        <v>200.77384548960984</v>
      </c>
      <c r="U240" s="152">
        <v>204.27861041594173</v>
      </c>
      <c r="V240" s="152">
        <v>210.10837983057866</v>
      </c>
      <c r="W240" s="152">
        <v>210.35163995403394</v>
      </c>
      <c r="X240" s="152">
        <v>185.36886614844721</v>
      </c>
      <c r="Y240" s="152">
        <v>183.01855517732201</v>
      </c>
      <c r="DA240" s="174" t="s">
        <v>947</v>
      </c>
    </row>
    <row r="241" spans="1:105" ht="11.45" customHeight="1" x14ac:dyDescent="0.25">
      <c r="A241" s="111" t="s">
        <v>110</v>
      </c>
      <c r="B241" s="87">
        <v>258.39190188148899</v>
      </c>
      <c r="C241" s="87">
        <v>255.3794620239741</v>
      </c>
      <c r="D241" s="87">
        <v>252.07347923725573</v>
      </c>
      <c r="E241" s="87">
        <v>248.24676133801799</v>
      </c>
      <c r="F241" s="87">
        <v>244.53652366131743</v>
      </c>
      <c r="G241" s="87">
        <v>239.89101831542101</v>
      </c>
      <c r="H241" s="87">
        <v>239.36000553620718</v>
      </c>
      <c r="I241" s="87">
        <v>234.81727685725531</v>
      </c>
      <c r="J241" s="87">
        <v>226.29023938975055</v>
      </c>
      <c r="K241" s="87">
        <v>218.06125425638524</v>
      </c>
      <c r="L241" s="87">
        <v>206.18369744648606</v>
      </c>
      <c r="M241" s="87">
        <v>198.38229560694921</v>
      </c>
      <c r="N241" s="87">
        <v>193.09045029734813</v>
      </c>
      <c r="O241" s="87">
        <v>192.93337075001381</v>
      </c>
      <c r="P241" s="87">
        <v>197.12724067955688</v>
      </c>
      <c r="Q241" s="87">
        <v>196.11645505935419</v>
      </c>
      <c r="R241" s="87">
        <v>183.5712643863429</v>
      </c>
      <c r="S241" s="87">
        <v>177.05085875681235</v>
      </c>
      <c r="T241" s="87">
        <v>174.66894073718146</v>
      </c>
      <c r="U241" s="87">
        <v>173.1047904191617</v>
      </c>
      <c r="V241" s="87">
        <v>178.64810690423161</v>
      </c>
      <c r="W241" s="87">
        <v>178.0382209867964</v>
      </c>
      <c r="X241" s="87">
        <v>161.97914995990379</v>
      </c>
      <c r="Y241" s="87">
        <v>167.05429162357811</v>
      </c>
      <c r="DA241" s="171" t="s">
        <v>948</v>
      </c>
    </row>
    <row r="242" spans="1:105" ht="11.45" customHeight="1" x14ac:dyDescent="0.25">
      <c r="A242" s="111" t="s">
        <v>111</v>
      </c>
      <c r="B242" s="87">
        <v>263.09742167551997</v>
      </c>
      <c r="C242" s="87">
        <v>262.53180014675138</v>
      </c>
      <c r="D242" s="87">
        <v>261.90475784624761</v>
      </c>
      <c r="E242" s="87">
        <v>262.69612847377988</v>
      </c>
      <c r="F242" s="87">
        <v>258.56197372011411</v>
      </c>
      <c r="G242" s="87">
        <v>260.87554358748991</v>
      </c>
      <c r="H242" s="87">
        <v>266.92109625027729</v>
      </c>
      <c r="I242" s="87">
        <v>266.68325261905176</v>
      </c>
      <c r="J242" s="87">
        <v>260.43012733264931</v>
      </c>
      <c r="K242" s="87">
        <v>247.95414776745503</v>
      </c>
      <c r="L242" s="87">
        <v>238.99392951474013</v>
      </c>
      <c r="M242" s="87">
        <v>230.84397775361239</v>
      </c>
      <c r="N242" s="87">
        <v>226.42819778553115</v>
      </c>
      <c r="O242" s="87">
        <v>225.64773880157816</v>
      </c>
      <c r="P242" s="87">
        <v>224.39794479349555</v>
      </c>
      <c r="Q242" s="87">
        <v>218.11955984151174</v>
      </c>
      <c r="R242" s="87">
        <v>211.29477705519525</v>
      </c>
      <c r="S242" s="87">
        <v>201.56572651455073</v>
      </c>
      <c r="T242" s="87">
        <v>204.79788902364834</v>
      </c>
      <c r="U242" s="87">
        <v>208.24633003643939</v>
      </c>
      <c r="V242" s="87">
        <v>215.56449349233793</v>
      </c>
      <c r="W242" s="87">
        <v>220.64850270004911</v>
      </c>
      <c r="X242" s="87">
        <v>197.2642964950528</v>
      </c>
      <c r="Y242" s="87">
        <v>200.7167887992795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499.40480562715976</v>
      </c>
      <c r="F243" s="87">
        <v>491.54547110562675</v>
      </c>
      <c r="G243" s="87">
        <v>495.94373885564784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430.45678198823265</v>
      </c>
      <c r="O243" s="87">
        <v>444.26549459854823</v>
      </c>
      <c r="P243" s="87">
        <v>404.88509196912975</v>
      </c>
      <c r="Q243" s="87">
        <v>399.29720415014015</v>
      </c>
      <c r="R243" s="87">
        <v>343.79716581238387</v>
      </c>
      <c r="S243" s="87">
        <v>365.67516727317189</v>
      </c>
      <c r="T243" s="87">
        <v>361.41321893665474</v>
      </c>
      <c r="U243" s="87">
        <v>362.54973849305935</v>
      </c>
      <c r="V243" s="87">
        <v>287.81355454681204</v>
      </c>
      <c r="W243" s="87">
        <v>285.07142857142861</v>
      </c>
      <c r="X243" s="87">
        <v>203.8</v>
      </c>
      <c r="Y243" s="87">
        <v>211.27272727272731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253.40294026673683</v>
      </c>
      <c r="I244" s="87">
        <v>248.59369570851715</v>
      </c>
      <c r="J244" s="87">
        <v>239.56638823837474</v>
      </c>
      <c r="K244" s="87">
        <v>230.85461943834181</v>
      </c>
      <c r="L244" s="87">
        <v>218.28022209041748</v>
      </c>
      <c r="M244" s="87">
        <v>210.02112233015305</v>
      </c>
      <c r="N244" s="87">
        <v>204.65713076315797</v>
      </c>
      <c r="O244" s="87">
        <v>206.94443483112894</v>
      </c>
      <c r="P244" s="87">
        <v>180.15174977718442</v>
      </c>
      <c r="Q244" s="87">
        <v>163.71459110542381</v>
      </c>
      <c r="R244" s="87">
        <v>155.56397764085455</v>
      </c>
      <c r="S244" s="87">
        <v>164.97320317218518</v>
      </c>
      <c r="T244" s="87">
        <v>151.73472347954274</v>
      </c>
      <c r="U244" s="87">
        <v>166.93939393939391</v>
      </c>
      <c r="V244" s="87">
        <v>143.55769230769229</v>
      </c>
      <c r="W244" s="87">
        <v>176.47435897435901</v>
      </c>
      <c r="X244" s="87">
        <v>135.19999999999999</v>
      </c>
      <c r="Y244" s="87">
        <v>212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937.95352072195215</v>
      </c>
      <c r="C246" s="116">
        <v>938.76920003673558</v>
      </c>
      <c r="D246" s="116">
        <v>935.68278740188964</v>
      </c>
      <c r="E246" s="116">
        <v>923.46236831313047</v>
      </c>
      <c r="F246" s="116">
        <v>942.18744463574239</v>
      </c>
      <c r="G246" s="116">
        <v>915.11111748682424</v>
      </c>
      <c r="H246" s="116">
        <v>912.24199626956158</v>
      </c>
      <c r="I246" s="116">
        <v>917.04856030150449</v>
      </c>
      <c r="J246" s="116">
        <v>906.58458772449637</v>
      </c>
      <c r="K246" s="116">
        <v>843.64919790417287</v>
      </c>
      <c r="L246" s="116">
        <v>871.13896713231713</v>
      </c>
      <c r="M246" s="116">
        <v>877.14612593235847</v>
      </c>
      <c r="N246" s="116">
        <v>821.34671698094417</v>
      </c>
      <c r="O246" s="116">
        <v>823.4258746696753</v>
      </c>
      <c r="P246" s="116">
        <v>799.91077196944264</v>
      </c>
      <c r="Q246" s="116">
        <v>793.70641987905833</v>
      </c>
      <c r="R246" s="116">
        <v>756.1469114591481</v>
      </c>
      <c r="S246" s="116">
        <v>748.54433024213142</v>
      </c>
      <c r="T246" s="116">
        <v>703.23397555817348</v>
      </c>
      <c r="U246" s="116">
        <v>680.6156186579916</v>
      </c>
      <c r="V246" s="116">
        <v>661.81249958436933</v>
      </c>
      <c r="W246" s="116">
        <v>674.46064044246953</v>
      </c>
      <c r="X246" s="116">
        <v>668.27378616090937</v>
      </c>
      <c r="Y246" s="116">
        <v>631.44342576642271</v>
      </c>
      <c r="DA246" s="176" t="s">
        <v>953</v>
      </c>
    </row>
    <row r="247" spans="1:105" ht="11.45" customHeight="1" x14ac:dyDescent="0.25">
      <c r="A247" s="128" t="s">
        <v>27</v>
      </c>
      <c r="B247" s="101">
        <v>856.78952918410687</v>
      </c>
      <c r="C247" s="101">
        <v>852.8475343158276</v>
      </c>
      <c r="D247" s="101">
        <v>848.48880781236505</v>
      </c>
      <c r="E247" s="101">
        <v>843.0613820007128</v>
      </c>
      <c r="F247" s="101">
        <v>836.57904807208172</v>
      </c>
      <c r="G247" s="101">
        <v>829.05816149549742</v>
      </c>
      <c r="H247" s="101">
        <v>820.51754002555083</v>
      </c>
      <c r="I247" s="101">
        <v>810.97834779339053</v>
      </c>
      <c r="J247" s="101">
        <v>800.46396678957012</v>
      </c>
      <c r="K247" s="101">
        <v>788.99985714924674</v>
      </c>
      <c r="L247" s="101">
        <v>776.61340777858095</v>
      </c>
      <c r="M247" s="101">
        <v>763.33377888516463</v>
      </c>
      <c r="N247" s="101">
        <v>749.19173803583453</v>
      </c>
      <c r="O247" s="101">
        <v>734.21949138423224</v>
      </c>
      <c r="P247" s="101">
        <v>718.45051167184556</v>
      </c>
      <c r="Q247" s="101">
        <v>701.9193646065105</v>
      </c>
      <c r="R247" s="101">
        <v>669.60811890755213</v>
      </c>
      <c r="S247" s="101">
        <v>646.99024691828106</v>
      </c>
      <c r="T247" s="101">
        <v>623.24148132954667</v>
      </c>
      <c r="U247" s="101">
        <v>594.21521227664914</v>
      </c>
      <c r="V247" s="101">
        <v>565.0980829741834</v>
      </c>
      <c r="W247" s="101">
        <v>571.54425990155551</v>
      </c>
      <c r="X247" s="101">
        <v>568.39540872296118</v>
      </c>
      <c r="Y247" s="101">
        <v>562.71145463573146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14700.109038074523</v>
      </c>
      <c r="C4" s="28">
        <f t="shared" ref="C4:V4" si="1">SUM(C5,C6,C9)</f>
        <v>14816.272078825818</v>
      </c>
      <c r="D4" s="28">
        <f t="shared" si="1"/>
        <v>14960.394390880374</v>
      </c>
      <c r="E4" s="28">
        <f t="shared" si="1"/>
        <v>14919.060873259317</v>
      </c>
      <c r="F4" s="28">
        <f t="shared" si="1"/>
        <v>14615.49764190213</v>
      </c>
      <c r="G4" s="28">
        <f t="shared" si="1"/>
        <v>15122.253047456506</v>
      </c>
      <c r="H4" s="28">
        <f t="shared" si="1"/>
        <v>15440.193801324818</v>
      </c>
      <c r="I4" s="28">
        <f t="shared" si="1"/>
        <v>15796.320178627555</v>
      </c>
      <c r="J4" s="28">
        <f t="shared" si="1"/>
        <v>17090.632454850285</v>
      </c>
      <c r="K4" s="28">
        <f t="shared" si="1"/>
        <v>17006.130905844089</v>
      </c>
      <c r="L4" s="28">
        <f t="shared" si="1"/>
        <v>17181.81580782606</v>
      </c>
      <c r="M4" s="28">
        <f t="shared" si="1"/>
        <v>17793.687437379693</v>
      </c>
      <c r="N4" s="28">
        <f t="shared" si="1"/>
        <v>18323.746071455411</v>
      </c>
      <c r="O4" s="28">
        <f t="shared" si="1"/>
        <v>19013.99198737097</v>
      </c>
      <c r="P4" s="28">
        <f t="shared" si="1"/>
        <v>18991.058362987264</v>
      </c>
      <c r="Q4" s="28">
        <f t="shared" si="1"/>
        <v>19286.04298832206</v>
      </c>
      <c r="R4" s="28">
        <f t="shared" si="1"/>
        <v>19682.330292979968</v>
      </c>
      <c r="S4" s="28">
        <f t="shared" si="1"/>
        <v>19750.634034161165</v>
      </c>
      <c r="T4" s="28">
        <f t="shared" si="1"/>
        <v>20313.954294048272</v>
      </c>
      <c r="U4" s="28">
        <f t="shared" si="1"/>
        <v>20621.066240924036</v>
      </c>
      <c r="V4" s="28">
        <f t="shared" si="1"/>
        <v>13270.25299273923</v>
      </c>
      <c r="W4" s="28">
        <f t="shared" ref="W4:Y4" si="2">SUM(W5,W6,W9)</f>
        <v>14570.015642376191</v>
      </c>
      <c r="X4" s="28">
        <f t="shared" si="2"/>
        <v>19406.560454821531</v>
      </c>
      <c r="Y4" s="28">
        <f t="shared" si="2"/>
        <v>21262.415631866643</v>
      </c>
      <c r="DA4" s="173" t="s">
        <v>376</v>
      </c>
    </row>
    <row r="5" spans="1:105" ht="11.45" customHeight="1" x14ac:dyDescent="0.25">
      <c r="A5" s="107" t="s">
        <v>23</v>
      </c>
      <c r="B5" s="108">
        <v>5960.3240131662324</v>
      </c>
      <c r="C5" s="108">
        <v>6055.3407693842382</v>
      </c>
      <c r="D5" s="108">
        <v>6150.5417770758531</v>
      </c>
      <c r="E5" s="108">
        <v>6245.9273099058164</v>
      </c>
      <c r="F5" s="108">
        <v>6341.4976419021305</v>
      </c>
      <c r="G5" s="108">
        <v>6437.2530474565074</v>
      </c>
      <c r="H5" s="108">
        <v>6533.1938013248173</v>
      </c>
      <c r="I5" s="108">
        <v>6629.3201786275549</v>
      </c>
      <c r="J5" s="108">
        <v>6725.6324548502835</v>
      </c>
      <c r="K5" s="108">
        <v>6822.1309058440929</v>
      </c>
      <c r="L5" s="108">
        <v>6918.8158078260594</v>
      </c>
      <c r="M5" s="108">
        <v>7015.6874373796945</v>
      </c>
      <c r="N5" s="108">
        <v>7112.7460714554118</v>
      </c>
      <c r="O5" s="108">
        <v>7209.9919873709687</v>
      </c>
      <c r="P5" s="108">
        <v>7010.0583629872626</v>
      </c>
      <c r="Q5" s="108">
        <v>7182.0429883220604</v>
      </c>
      <c r="R5" s="108">
        <v>7185.3302929799684</v>
      </c>
      <c r="S5" s="108">
        <v>7188.6340341611676</v>
      </c>
      <c r="T5" s="108">
        <v>7191.9542940482734</v>
      </c>
      <c r="U5" s="108">
        <v>7369.0662409240376</v>
      </c>
      <c r="V5" s="108">
        <v>5895.2529927392297</v>
      </c>
      <c r="W5" s="108">
        <v>6190.0156423761919</v>
      </c>
      <c r="X5" s="108">
        <v>6551.5604548215269</v>
      </c>
      <c r="Y5" s="108">
        <v>6827.4156318666437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8739.7850249082894</v>
      </c>
      <c r="C6" s="110">
        <f t="shared" ref="C6:V6" si="4">SUM(C7:C8)</f>
        <v>8760.9313094415793</v>
      </c>
      <c r="D6" s="110">
        <f t="shared" si="4"/>
        <v>8809.8526138045199</v>
      </c>
      <c r="E6" s="110">
        <f t="shared" si="4"/>
        <v>8673.1335633535</v>
      </c>
      <c r="F6" s="110">
        <f t="shared" si="4"/>
        <v>8274</v>
      </c>
      <c r="G6" s="110">
        <f t="shared" si="4"/>
        <v>8685</v>
      </c>
      <c r="H6" s="110">
        <f t="shared" si="4"/>
        <v>8907</v>
      </c>
      <c r="I6" s="110">
        <f t="shared" si="4"/>
        <v>8972.4705366538055</v>
      </c>
      <c r="J6" s="110">
        <f t="shared" si="4"/>
        <v>10144.700509397506</v>
      </c>
      <c r="K6" s="110">
        <f t="shared" si="4"/>
        <v>9967.5475144914799</v>
      </c>
      <c r="L6" s="110">
        <f t="shared" si="4"/>
        <v>10049.921242278655</v>
      </c>
      <c r="M6" s="110">
        <f t="shared" si="4"/>
        <v>10313.566181818182</v>
      </c>
      <c r="N6" s="110">
        <f t="shared" si="4"/>
        <v>10733.636183974129</v>
      </c>
      <c r="O6" s="110">
        <f t="shared" si="4"/>
        <v>11298.205749412402</v>
      </c>
      <c r="P6" s="110">
        <f t="shared" si="4"/>
        <v>11467.621406617249</v>
      </c>
      <c r="Q6" s="110">
        <f t="shared" si="4"/>
        <v>11584.505613908004</v>
      </c>
      <c r="R6" s="110">
        <f t="shared" si="4"/>
        <v>11918.919868876343</v>
      </c>
      <c r="S6" s="110">
        <f t="shared" si="4"/>
        <v>11984.698027863215</v>
      </c>
      <c r="T6" s="110">
        <f t="shared" si="4"/>
        <v>12518.853420195439</v>
      </c>
      <c r="U6" s="110">
        <f t="shared" si="4"/>
        <v>12652.532858414959</v>
      </c>
      <c r="V6" s="110">
        <f t="shared" si="4"/>
        <v>7040.9086855716068</v>
      </c>
      <c r="W6" s="110">
        <f t="shared" ref="W6:Y6" si="5">SUM(W7:W8)</f>
        <v>8000.1106550062468</v>
      </c>
      <c r="X6" s="110">
        <f t="shared" si="5"/>
        <v>12269.319282511211</v>
      </c>
      <c r="Y6" s="110">
        <f t="shared" si="5"/>
        <v>13777.56948180025</v>
      </c>
      <c r="DA6" s="176" t="s">
        <v>378</v>
      </c>
    </row>
    <row r="7" spans="1:105" ht="11.45" customHeight="1" x14ac:dyDescent="0.25">
      <c r="A7" s="111" t="s">
        <v>90</v>
      </c>
      <c r="B7" s="84">
        <v>1001.5338762650252</v>
      </c>
      <c r="C7" s="84">
        <v>1051.5883771535969</v>
      </c>
      <c r="D7" s="84">
        <v>1128.6711219455485</v>
      </c>
      <c r="E7" s="84">
        <v>1206.2430759399997</v>
      </c>
      <c r="F7" s="84">
        <v>1214.8401714835661</v>
      </c>
      <c r="G7" s="84">
        <v>1416.9676128457966</v>
      </c>
      <c r="H7" s="84">
        <v>1425.5300732332728</v>
      </c>
      <c r="I7" s="84">
        <v>1459.7821670622477</v>
      </c>
      <c r="J7" s="84">
        <v>1931.8528926795425</v>
      </c>
      <c r="K7" s="84">
        <v>1906.5054850508538</v>
      </c>
      <c r="L7" s="84">
        <v>1845.0080659655287</v>
      </c>
      <c r="M7" s="84">
        <v>1698.3314241476562</v>
      </c>
      <c r="N7" s="84">
        <v>1884.4397970807199</v>
      </c>
      <c r="O7" s="84">
        <v>1750.7817658880736</v>
      </c>
      <c r="P7" s="84">
        <v>1871.8785938426258</v>
      </c>
      <c r="Q7" s="84">
        <v>1508.358634192208</v>
      </c>
      <c r="R7" s="84">
        <v>1545.0317116840135</v>
      </c>
      <c r="S7" s="84">
        <v>1640.5726640802031</v>
      </c>
      <c r="T7" s="84">
        <v>1658.0251127680738</v>
      </c>
      <c r="U7" s="84">
        <v>1678.6320255256396</v>
      </c>
      <c r="V7" s="84">
        <v>478.33154282811091</v>
      </c>
      <c r="W7" s="84">
        <v>518.01087215249584</v>
      </c>
      <c r="X7" s="84">
        <v>500.21996061539966</v>
      </c>
      <c r="Y7" s="84">
        <v>933.96636410258566</v>
      </c>
      <c r="DA7" s="171" t="s">
        <v>1031</v>
      </c>
    </row>
    <row r="8" spans="1:105" ht="11.45" customHeight="1" x14ac:dyDescent="0.25">
      <c r="A8" s="111" t="s">
        <v>93</v>
      </c>
      <c r="B8" s="84">
        <v>7738.2511486432641</v>
      </c>
      <c r="C8" s="84">
        <v>7709.342932287982</v>
      </c>
      <c r="D8" s="84">
        <v>7681.1814918589716</v>
      </c>
      <c r="E8" s="84">
        <v>7466.8904874135005</v>
      </c>
      <c r="F8" s="84">
        <v>7059.1598285164337</v>
      </c>
      <c r="G8" s="84">
        <v>7268.0323871542032</v>
      </c>
      <c r="H8" s="84">
        <v>7481.4699267667274</v>
      </c>
      <c r="I8" s="84">
        <v>7512.6883695915576</v>
      </c>
      <c r="J8" s="84">
        <v>8212.8476167179633</v>
      </c>
      <c r="K8" s="84">
        <v>8061.0420294406258</v>
      </c>
      <c r="L8" s="84">
        <v>8204.9131763131263</v>
      </c>
      <c r="M8" s="84">
        <v>8615.2347576705251</v>
      </c>
      <c r="N8" s="84">
        <v>8849.196386893409</v>
      </c>
      <c r="O8" s="84">
        <v>9547.4239835243279</v>
      </c>
      <c r="P8" s="84">
        <v>9595.7428127746225</v>
      </c>
      <c r="Q8" s="84">
        <v>10076.146979715797</v>
      </c>
      <c r="R8" s="84">
        <v>10373.888157192328</v>
      </c>
      <c r="S8" s="84">
        <v>10344.125363783012</v>
      </c>
      <c r="T8" s="84">
        <v>10860.828307427366</v>
      </c>
      <c r="U8" s="84">
        <v>10973.90083288932</v>
      </c>
      <c r="V8" s="84">
        <v>6562.5771427434956</v>
      </c>
      <c r="W8" s="84">
        <v>7482.0997828537511</v>
      </c>
      <c r="X8" s="84">
        <v>11769.099321895812</v>
      </c>
      <c r="Y8" s="84">
        <v>12843.603117697665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194.52946334619432</v>
      </c>
      <c r="J9" s="113">
        <v>220.2994906024943</v>
      </c>
      <c r="K9" s="113">
        <v>216.45248550851923</v>
      </c>
      <c r="L9" s="113">
        <v>213.07875772134526</v>
      </c>
      <c r="M9" s="113">
        <v>464.4338181818182</v>
      </c>
      <c r="N9" s="113">
        <v>477.36381602587142</v>
      </c>
      <c r="O9" s="113">
        <v>505.79425058759722</v>
      </c>
      <c r="P9" s="113">
        <v>513.37859338275166</v>
      </c>
      <c r="Q9" s="113">
        <v>519.49438609199558</v>
      </c>
      <c r="R9" s="113">
        <v>578.08013112365688</v>
      </c>
      <c r="S9" s="113">
        <v>577.30197213678298</v>
      </c>
      <c r="T9" s="113">
        <v>603.14657980456025</v>
      </c>
      <c r="U9" s="113">
        <v>599.46714158504005</v>
      </c>
      <c r="V9" s="113">
        <v>334.09131442839305</v>
      </c>
      <c r="W9" s="113">
        <v>379.88934499375341</v>
      </c>
      <c r="X9" s="113">
        <v>585.68071748878924</v>
      </c>
      <c r="Y9" s="113">
        <v>657.43051819974892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16600</v>
      </c>
      <c r="C10" s="28">
        <f t="shared" ref="C10:V10" si="7">SUM(C11:C12)</f>
        <v>16893</v>
      </c>
      <c r="D10" s="28">
        <f t="shared" si="7"/>
        <v>17130</v>
      </c>
      <c r="E10" s="28">
        <f t="shared" si="7"/>
        <v>16866</v>
      </c>
      <c r="F10" s="28">
        <f t="shared" si="7"/>
        <v>18757</v>
      </c>
      <c r="G10" s="28">
        <f t="shared" si="7"/>
        <v>18957</v>
      </c>
      <c r="H10" s="28">
        <f t="shared" si="7"/>
        <v>20980</v>
      </c>
      <c r="I10" s="28">
        <f t="shared" si="7"/>
        <v>21371</v>
      </c>
      <c r="J10" s="28">
        <f t="shared" si="7"/>
        <v>21915</v>
      </c>
      <c r="K10" s="28">
        <f t="shared" si="7"/>
        <v>17767</v>
      </c>
      <c r="L10" s="28">
        <f t="shared" si="7"/>
        <v>19833</v>
      </c>
      <c r="M10" s="28">
        <f t="shared" si="7"/>
        <v>20345</v>
      </c>
      <c r="N10" s="28">
        <f t="shared" si="7"/>
        <v>19499</v>
      </c>
      <c r="O10" s="28">
        <f t="shared" si="7"/>
        <v>19278</v>
      </c>
      <c r="P10" s="28">
        <f t="shared" si="7"/>
        <v>20746</v>
      </c>
      <c r="Q10" s="28">
        <f t="shared" si="7"/>
        <v>20814</v>
      </c>
      <c r="R10" s="28">
        <f t="shared" si="7"/>
        <v>21361</v>
      </c>
      <c r="S10" s="28">
        <f t="shared" si="7"/>
        <v>22256</v>
      </c>
      <c r="T10" s="28">
        <f t="shared" si="7"/>
        <v>21996</v>
      </c>
      <c r="U10" s="28">
        <f t="shared" si="7"/>
        <v>21736</v>
      </c>
      <c r="V10" s="28">
        <f t="shared" si="7"/>
        <v>20498</v>
      </c>
      <c r="W10" s="28">
        <f t="shared" ref="W10:Y10" si="8">SUM(W11:W12)</f>
        <v>21779</v>
      </c>
      <c r="X10" s="28">
        <f t="shared" si="8"/>
        <v>22167</v>
      </c>
      <c r="Y10" s="28">
        <f t="shared" si="8"/>
        <v>20205</v>
      </c>
      <c r="DA10" s="173" t="s">
        <v>384</v>
      </c>
    </row>
    <row r="11" spans="1:105" ht="11.45" customHeight="1" x14ac:dyDescent="0.25">
      <c r="A11" s="83" t="s">
        <v>90</v>
      </c>
      <c r="B11" s="84">
        <v>962.10792413473109</v>
      </c>
      <c r="C11" s="84">
        <v>1018.0618642968278</v>
      </c>
      <c r="D11" s="84">
        <v>1095.2902959237272</v>
      </c>
      <c r="E11" s="84">
        <v>1153.0019810697149</v>
      </c>
      <c r="F11" s="84">
        <v>1304.8243222482647</v>
      </c>
      <c r="G11" s="84">
        <v>1472.1577724772626</v>
      </c>
      <c r="H11" s="84">
        <v>1626.11664761526</v>
      </c>
      <c r="I11" s="84">
        <v>1682.2204244472766</v>
      </c>
      <c r="J11" s="84">
        <v>1549.2467308491966</v>
      </c>
      <c r="K11" s="84">
        <v>1286.1530211346455</v>
      </c>
      <c r="L11" s="84">
        <v>1363.3978983243483</v>
      </c>
      <c r="M11" s="84">
        <v>1261.8018987451401</v>
      </c>
      <c r="N11" s="84">
        <v>1283.8533446899587</v>
      </c>
      <c r="O11" s="84">
        <v>1120.6083993380885</v>
      </c>
      <c r="P11" s="84">
        <v>1311.9834300923287</v>
      </c>
      <c r="Q11" s="84">
        <v>1048.797247134791</v>
      </c>
      <c r="R11" s="84">
        <v>1078.0090944666269</v>
      </c>
      <c r="S11" s="84">
        <v>1195.6545329791632</v>
      </c>
      <c r="T11" s="84">
        <v>1142.7385045560557</v>
      </c>
      <c r="U11" s="84">
        <v>1144.9760748951653</v>
      </c>
      <c r="V11" s="84">
        <v>1408.3205503105246</v>
      </c>
      <c r="W11" s="84">
        <v>1409.8705100035813</v>
      </c>
      <c r="X11" s="84">
        <v>1434.9878137310891</v>
      </c>
      <c r="Y11" s="84">
        <v>1135.1045891611598</v>
      </c>
      <c r="DA11" s="171" t="s">
        <v>1033</v>
      </c>
    </row>
    <row r="12" spans="1:105" ht="11.45" customHeight="1" x14ac:dyDescent="0.25">
      <c r="A12" s="85" t="s">
        <v>93</v>
      </c>
      <c r="B12" s="86">
        <v>15637.892075865269</v>
      </c>
      <c r="C12" s="86">
        <v>15874.938135703173</v>
      </c>
      <c r="D12" s="86">
        <v>16034.709704076273</v>
      </c>
      <c r="E12" s="86">
        <v>15712.998018930284</v>
      </c>
      <c r="F12" s="86">
        <v>17452.175677751737</v>
      </c>
      <c r="G12" s="86">
        <v>17484.842227522739</v>
      </c>
      <c r="H12" s="86">
        <v>19353.883352384739</v>
      </c>
      <c r="I12" s="86">
        <v>19688.779575552722</v>
      </c>
      <c r="J12" s="86">
        <v>20365.753269150802</v>
      </c>
      <c r="K12" s="86">
        <v>16480.846978865353</v>
      </c>
      <c r="L12" s="86">
        <v>18469.602101675653</v>
      </c>
      <c r="M12" s="86">
        <v>19083.19810125486</v>
      </c>
      <c r="N12" s="86">
        <v>18215.14665531004</v>
      </c>
      <c r="O12" s="86">
        <v>18157.391600661911</v>
      </c>
      <c r="P12" s="86">
        <v>19434.016569907672</v>
      </c>
      <c r="Q12" s="86">
        <v>19765.202752865211</v>
      </c>
      <c r="R12" s="86">
        <v>20282.990905533374</v>
      </c>
      <c r="S12" s="86">
        <v>21060.345467020838</v>
      </c>
      <c r="T12" s="86">
        <v>20853.261495443945</v>
      </c>
      <c r="U12" s="86">
        <v>20591.023925104833</v>
      </c>
      <c r="V12" s="86">
        <v>19089.679449689476</v>
      </c>
      <c r="W12" s="86">
        <v>20369.12948999642</v>
      </c>
      <c r="X12" s="86">
        <v>20732.012186268912</v>
      </c>
      <c r="Y12" s="86">
        <v>19069.895410838839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199.22339282355421</v>
      </c>
      <c r="C14" s="62">
        <f t="shared" ref="C14:V14" si="10">C15+C21</f>
        <v>192.65790392714402</v>
      </c>
      <c r="D14" s="62">
        <f t="shared" si="10"/>
        <v>192.36726086927683</v>
      </c>
      <c r="E14" s="62">
        <f t="shared" si="10"/>
        <v>193.16279323668306</v>
      </c>
      <c r="F14" s="62">
        <f t="shared" si="10"/>
        <v>196.70658023391732</v>
      </c>
      <c r="G14" s="62">
        <f t="shared" si="10"/>
        <v>194.16537506741315</v>
      </c>
      <c r="H14" s="62">
        <f t="shared" si="10"/>
        <v>201.17734418724612</v>
      </c>
      <c r="I14" s="62">
        <f t="shared" si="10"/>
        <v>205.83989858892869</v>
      </c>
      <c r="J14" s="62">
        <f t="shared" si="10"/>
        <v>214.18922029526385</v>
      </c>
      <c r="K14" s="62">
        <f t="shared" si="10"/>
        <v>214.95137498632468</v>
      </c>
      <c r="L14" s="62">
        <f t="shared" si="10"/>
        <v>221.05151993423996</v>
      </c>
      <c r="M14" s="62">
        <f t="shared" si="10"/>
        <v>215.7167467374245</v>
      </c>
      <c r="N14" s="62">
        <f t="shared" si="10"/>
        <v>213.97577338553617</v>
      </c>
      <c r="O14" s="62">
        <f t="shared" si="10"/>
        <v>229.24740003388138</v>
      </c>
      <c r="P14" s="62">
        <f t="shared" si="10"/>
        <v>235.33711135347727</v>
      </c>
      <c r="Q14" s="62">
        <f t="shared" si="10"/>
        <v>239.9404883251853</v>
      </c>
      <c r="R14" s="62">
        <f t="shared" si="10"/>
        <v>252.8665455643991</v>
      </c>
      <c r="S14" s="62">
        <f t="shared" si="10"/>
        <v>266.40732282966383</v>
      </c>
      <c r="T14" s="62">
        <f t="shared" si="10"/>
        <v>264.11485310403913</v>
      </c>
      <c r="U14" s="62">
        <f t="shared" si="10"/>
        <v>270.99138234193555</v>
      </c>
      <c r="V14" s="62">
        <f t="shared" si="10"/>
        <v>256.2834866621958</v>
      </c>
      <c r="W14" s="62">
        <f t="shared" ref="W14:Y14" si="11">W15+W21</f>
        <v>264.19896683997564</v>
      </c>
      <c r="X14" s="62">
        <f t="shared" si="11"/>
        <v>264.27701456024573</v>
      </c>
      <c r="Y14" s="62">
        <f t="shared" si="11"/>
        <v>255.68391892245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160.6693621864645</v>
      </c>
      <c r="C15" s="29">
        <f t="shared" ref="C15:V15" si="13">SUM(C16,C17,C20)</f>
        <v>154.89641301276092</v>
      </c>
      <c r="D15" s="29">
        <f t="shared" si="13"/>
        <v>154.06067587479572</v>
      </c>
      <c r="E15" s="29">
        <f t="shared" si="13"/>
        <v>155.42420414418592</v>
      </c>
      <c r="F15" s="29">
        <f t="shared" si="13"/>
        <v>154.74135789533335</v>
      </c>
      <c r="G15" s="29">
        <f t="shared" si="13"/>
        <v>152.80075693090868</v>
      </c>
      <c r="H15" s="29">
        <f t="shared" si="13"/>
        <v>157.61642473450962</v>
      </c>
      <c r="I15" s="29">
        <f t="shared" si="13"/>
        <v>160.85776492084116</v>
      </c>
      <c r="J15" s="29">
        <f t="shared" si="13"/>
        <v>169.00250250448778</v>
      </c>
      <c r="K15" s="29">
        <f t="shared" si="13"/>
        <v>176.8963367984835</v>
      </c>
      <c r="L15" s="29">
        <f t="shared" si="13"/>
        <v>179.79067995159633</v>
      </c>
      <c r="M15" s="29">
        <f t="shared" si="13"/>
        <v>172.26972459791023</v>
      </c>
      <c r="N15" s="29">
        <f t="shared" si="13"/>
        <v>173.69802512416044</v>
      </c>
      <c r="O15" s="29">
        <f t="shared" si="13"/>
        <v>187.74475963707116</v>
      </c>
      <c r="P15" s="29">
        <f t="shared" si="13"/>
        <v>194.72342028819523</v>
      </c>
      <c r="Q15" s="29">
        <f t="shared" si="13"/>
        <v>198.33626677741546</v>
      </c>
      <c r="R15" s="29">
        <f t="shared" si="13"/>
        <v>211.41739672425919</v>
      </c>
      <c r="S15" s="29">
        <f t="shared" si="13"/>
        <v>223.69163340664676</v>
      </c>
      <c r="T15" s="29">
        <f t="shared" si="13"/>
        <v>220.36994887863045</v>
      </c>
      <c r="U15" s="29">
        <f t="shared" si="13"/>
        <v>225.72465496529657</v>
      </c>
      <c r="V15" s="29">
        <f t="shared" si="13"/>
        <v>209.52363374201502</v>
      </c>
      <c r="W15" s="29">
        <f t="shared" ref="W15:Y15" si="14">SUM(W16,W17,W20)</f>
        <v>216.95597594957388</v>
      </c>
      <c r="X15" s="29">
        <f t="shared" si="14"/>
        <v>216.89638844693414</v>
      </c>
      <c r="Y15" s="29">
        <f t="shared" si="14"/>
        <v>212.11084062041436</v>
      </c>
      <c r="DA15" s="173" t="s">
        <v>1036</v>
      </c>
    </row>
    <row r="16" spans="1:105" ht="11.45" customHeight="1" x14ac:dyDescent="0.25">
      <c r="A16" s="107" t="s">
        <v>23</v>
      </c>
      <c r="B16" s="115">
        <v>77.822171905154065</v>
      </c>
      <c r="C16" s="115">
        <v>79.062777335317534</v>
      </c>
      <c r="D16" s="115">
        <v>80.3057884819859</v>
      </c>
      <c r="E16" s="115">
        <v>81.551208918317997</v>
      </c>
      <c r="F16" s="115">
        <v>82.799042222215661</v>
      </c>
      <c r="G16" s="115">
        <v>83.224930584099965</v>
      </c>
      <c r="H16" s="115">
        <v>85.204748663297494</v>
      </c>
      <c r="I16" s="115">
        <v>86.104921843487247</v>
      </c>
      <c r="J16" s="115">
        <v>85.353902005371978</v>
      </c>
      <c r="K16" s="115">
        <v>87.669259418841108</v>
      </c>
      <c r="L16" s="115">
        <v>88.339783622163594</v>
      </c>
      <c r="M16" s="115">
        <v>88.558435959537121</v>
      </c>
      <c r="N16" s="115">
        <v>88.538843968955803</v>
      </c>
      <c r="O16" s="115">
        <v>88.583842683178418</v>
      </c>
      <c r="P16" s="115">
        <v>86.827719280166406</v>
      </c>
      <c r="Q16" s="115">
        <v>89.010969441580599</v>
      </c>
      <c r="R16" s="115">
        <v>88.468875657174124</v>
      </c>
      <c r="S16" s="115">
        <v>88.908750395591426</v>
      </c>
      <c r="T16" s="115">
        <v>87.680481375277722</v>
      </c>
      <c r="U16" s="115">
        <v>90.983972244315282</v>
      </c>
      <c r="V16" s="115">
        <v>101.52414627360983</v>
      </c>
      <c r="W16" s="115">
        <v>105.20533456606992</v>
      </c>
      <c r="X16" s="115">
        <v>103.17579703378901</v>
      </c>
      <c r="Y16" s="115">
        <v>83.063980208242768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82.847190281310432</v>
      </c>
      <c r="C17" s="116">
        <f t="shared" ref="C17:V17" si="16">SUM(C18:C19)</f>
        <v>75.833635677443382</v>
      </c>
      <c r="D17" s="116">
        <f t="shared" si="16"/>
        <v>73.75488739280982</v>
      </c>
      <c r="E17" s="116">
        <f t="shared" si="16"/>
        <v>73.872995225867939</v>
      </c>
      <c r="F17" s="116">
        <f t="shared" si="16"/>
        <v>71.94231567311769</v>
      </c>
      <c r="G17" s="116">
        <f t="shared" si="16"/>
        <v>69.575826346808697</v>
      </c>
      <c r="H17" s="116">
        <f t="shared" si="16"/>
        <v>72.411676071212113</v>
      </c>
      <c r="I17" s="116">
        <f t="shared" si="16"/>
        <v>73.94000849273867</v>
      </c>
      <c r="J17" s="116">
        <f t="shared" si="16"/>
        <v>82.788266245564046</v>
      </c>
      <c r="K17" s="116">
        <f t="shared" si="16"/>
        <v>88.402944207124236</v>
      </c>
      <c r="L17" s="116">
        <f t="shared" si="16"/>
        <v>90.699335074512021</v>
      </c>
      <c r="M17" s="116">
        <f t="shared" si="16"/>
        <v>82.087185137908932</v>
      </c>
      <c r="N17" s="116">
        <f t="shared" si="16"/>
        <v>83.575875321741051</v>
      </c>
      <c r="O17" s="116">
        <f t="shared" si="16"/>
        <v>97.516151513156402</v>
      </c>
      <c r="P17" s="116">
        <f t="shared" si="16"/>
        <v>106.25829357906035</v>
      </c>
      <c r="Q17" s="116">
        <f t="shared" si="16"/>
        <v>107.72485381123197</v>
      </c>
      <c r="R17" s="116">
        <f t="shared" si="16"/>
        <v>121.23952823920314</v>
      </c>
      <c r="S17" s="116">
        <f t="shared" si="16"/>
        <v>133.11676782381039</v>
      </c>
      <c r="T17" s="116">
        <f t="shared" si="16"/>
        <v>130.99074797975086</v>
      </c>
      <c r="U17" s="116">
        <f t="shared" si="16"/>
        <v>133.06578914815915</v>
      </c>
      <c r="V17" s="116">
        <f t="shared" si="16"/>
        <v>106.24801563894412</v>
      </c>
      <c r="W17" s="116">
        <f t="shared" ref="W17:Y17" si="17">SUM(W18:W19)</f>
        <v>109.76649441117354</v>
      </c>
      <c r="X17" s="116">
        <f t="shared" si="17"/>
        <v>111.96103797777837</v>
      </c>
      <c r="Y17" s="116">
        <f t="shared" si="17"/>
        <v>127.22492705471581</v>
      </c>
      <c r="DA17" s="176" t="s">
        <v>1038</v>
      </c>
    </row>
    <row r="18" spans="1:105" ht="11.45" customHeight="1" x14ac:dyDescent="0.25">
      <c r="A18" s="111" t="s">
        <v>92</v>
      </c>
      <c r="B18" s="87">
        <v>12.459000399442086</v>
      </c>
      <c r="C18" s="87">
        <v>13.099500505193614</v>
      </c>
      <c r="D18" s="87">
        <v>14.028691743101591</v>
      </c>
      <c r="E18" s="87">
        <v>14.972217159327908</v>
      </c>
      <c r="F18" s="87">
        <v>15.052276455975599</v>
      </c>
      <c r="G18" s="87">
        <v>16.869335500654646</v>
      </c>
      <c r="H18" s="87">
        <v>17.561054843691629</v>
      </c>
      <c r="I18" s="87">
        <v>18.096926868268561</v>
      </c>
      <c r="J18" s="87">
        <v>21.745139251188558</v>
      </c>
      <c r="K18" s="87">
        <v>22.577211315596074</v>
      </c>
      <c r="L18" s="87">
        <v>21.302789396170972</v>
      </c>
      <c r="M18" s="87">
        <v>19.185282583483914</v>
      </c>
      <c r="N18" s="87">
        <v>20.083705267771489</v>
      </c>
      <c r="O18" s="87">
        <v>18.064690981767288</v>
      </c>
      <c r="P18" s="87">
        <v>19.615799411485387</v>
      </c>
      <c r="Q18" s="87">
        <v>15.841556121246247</v>
      </c>
      <c r="R18" s="87">
        <v>15.998140265373646</v>
      </c>
      <c r="S18" s="87">
        <v>17.306465198650574</v>
      </c>
      <c r="T18" s="87">
        <v>16.940576640741746</v>
      </c>
      <c r="U18" s="87">
        <v>17.894862620498483</v>
      </c>
      <c r="V18" s="87">
        <v>8.7358117842045822</v>
      </c>
      <c r="W18" s="87">
        <v>8.7963002427907711</v>
      </c>
      <c r="X18" s="87">
        <v>8.7783303572323135</v>
      </c>
      <c r="Y18" s="87">
        <v>12.362748534417612</v>
      </c>
      <c r="DA18" s="171" t="s">
        <v>1039</v>
      </c>
    </row>
    <row r="19" spans="1:105" ht="11.45" customHeight="1" x14ac:dyDescent="0.25">
      <c r="A19" s="111" t="s">
        <v>93</v>
      </c>
      <c r="B19" s="87">
        <v>70.388189881868342</v>
      </c>
      <c r="C19" s="87">
        <v>62.734135172249765</v>
      </c>
      <c r="D19" s="87">
        <v>59.726195649708224</v>
      </c>
      <c r="E19" s="87">
        <v>58.900778066540028</v>
      </c>
      <c r="F19" s="87">
        <v>56.890039217142089</v>
      </c>
      <c r="G19" s="87">
        <v>52.706490846154047</v>
      </c>
      <c r="H19" s="87">
        <v>54.850621227520485</v>
      </c>
      <c r="I19" s="87">
        <v>55.843081624470109</v>
      </c>
      <c r="J19" s="87">
        <v>61.043126994375484</v>
      </c>
      <c r="K19" s="87">
        <v>65.825732891528162</v>
      </c>
      <c r="L19" s="87">
        <v>69.396545678341056</v>
      </c>
      <c r="M19" s="87">
        <v>62.901902554425014</v>
      </c>
      <c r="N19" s="87">
        <v>63.492170053969559</v>
      </c>
      <c r="O19" s="87">
        <v>79.451460531389117</v>
      </c>
      <c r="P19" s="87">
        <v>86.642494167574966</v>
      </c>
      <c r="Q19" s="87">
        <v>91.883297689985724</v>
      </c>
      <c r="R19" s="87">
        <v>105.24138797382949</v>
      </c>
      <c r="S19" s="87">
        <v>115.81030262515982</v>
      </c>
      <c r="T19" s="87">
        <v>114.05017133900913</v>
      </c>
      <c r="U19" s="87">
        <v>115.17092652766067</v>
      </c>
      <c r="V19" s="87">
        <v>97.512203854739539</v>
      </c>
      <c r="W19" s="87">
        <v>100.97019416838278</v>
      </c>
      <c r="X19" s="87">
        <v>103.18270762054607</v>
      </c>
      <c r="Y19" s="87">
        <v>114.86217852029819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0.81283458461524771</v>
      </c>
      <c r="J20" s="117">
        <v>0.86033425355174398</v>
      </c>
      <c r="K20" s="117">
        <v>0.82413317251814211</v>
      </c>
      <c r="L20" s="117">
        <v>0.75156125492072989</v>
      </c>
      <c r="M20" s="117">
        <v>1.6241035004641802</v>
      </c>
      <c r="N20" s="117">
        <v>1.5833058334635819</v>
      </c>
      <c r="O20" s="117">
        <v>1.6447654407363381</v>
      </c>
      <c r="P20" s="117">
        <v>1.6374074289684872</v>
      </c>
      <c r="Q20" s="117">
        <v>1.600443524602887</v>
      </c>
      <c r="R20" s="117">
        <v>1.7089928278819355</v>
      </c>
      <c r="S20" s="117">
        <v>1.6661151872449442</v>
      </c>
      <c r="T20" s="117">
        <v>1.6987195236018739</v>
      </c>
      <c r="U20" s="117">
        <v>1.6748935728221224</v>
      </c>
      <c r="V20" s="117">
        <v>1.7514718294610743</v>
      </c>
      <c r="W20" s="117">
        <v>1.984146972330411</v>
      </c>
      <c r="X20" s="117">
        <v>1.7595534353667648</v>
      </c>
      <c r="Y20" s="117">
        <v>1.8219333574558054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38.554030637089724</v>
      </c>
      <c r="C21" s="29">
        <f t="shared" ref="C21:V21" si="19">SUM(C22:C23)</f>
        <v>37.761490914383096</v>
      </c>
      <c r="D21" s="29">
        <f t="shared" si="19"/>
        <v>38.306584994481099</v>
      </c>
      <c r="E21" s="29">
        <f t="shared" si="19"/>
        <v>37.738589092497122</v>
      </c>
      <c r="F21" s="29">
        <f t="shared" si="19"/>
        <v>41.965222338583963</v>
      </c>
      <c r="G21" s="29">
        <f t="shared" si="19"/>
        <v>41.364618136504482</v>
      </c>
      <c r="H21" s="29">
        <f t="shared" si="19"/>
        <v>43.560919452736506</v>
      </c>
      <c r="I21" s="29">
        <f t="shared" si="19"/>
        <v>44.982133668087513</v>
      </c>
      <c r="J21" s="29">
        <f t="shared" si="19"/>
        <v>45.186717790776058</v>
      </c>
      <c r="K21" s="29">
        <f t="shared" si="19"/>
        <v>38.055038187841177</v>
      </c>
      <c r="L21" s="29">
        <f t="shared" si="19"/>
        <v>41.260839982643638</v>
      </c>
      <c r="M21" s="29">
        <f t="shared" si="19"/>
        <v>43.447022139514289</v>
      </c>
      <c r="N21" s="29">
        <f t="shared" si="19"/>
        <v>40.277748261375734</v>
      </c>
      <c r="O21" s="29">
        <f t="shared" si="19"/>
        <v>41.502640396810229</v>
      </c>
      <c r="P21" s="29">
        <f t="shared" si="19"/>
        <v>40.613691065282055</v>
      </c>
      <c r="Q21" s="29">
        <f t="shared" si="19"/>
        <v>41.604221547769853</v>
      </c>
      <c r="R21" s="29">
        <f t="shared" si="19"/>
        <v>41.44914884013992</v>
      </c>
      <c r="S21" s="29">
        <f t="shared" si="19"/>
        <v>42.715689423017047</v>
      </c>
      <c r="T21" s="29">
        <f t="shared" si="19"/>
        <v>43.744904225408696</v>
      </c>
      <c r="U21" s="29">
        <f t="shared" si="19"/>
        <v>45.266727376638975</v>
      </c>
      <c r="V21" s="29">
        <f t="shared" si="19"/>
        <v>46.759852920180776</v>
      </c>
      <c r="W21" s="29">
        <f t="shared" ref="W21:Y21" si="20">SUM(W22:W23)</f>
        <v>47.242990890401742</v>
      </c>
      <c r="X21" s="29">
        <f t="shared" si="20"/>
        <v>47.380626113311585</v>
      </c>
      <c r="Y21" s="29">
        <f t="shared" si="20"/>
        <v>43.573078302035626</v>
      </c>
      <c r="DA21" s="173" t="s">
        <v>1042</v>
      </c>
    </row>
    <row r="22" spans="1:105" ht="11.45" customHeight="1" x14ac:dyDescent="0.25">
      <c r="A22" s="83" t="s">
        <v>92</v>
      </c>
      <c r="B22" s="87">
        <v>2.1105320947517319</v>
      </c>
      <c r="C22" s="87">
        <v>2.2337466545007758</v>
      </c>
      <c r="D22" s="87">
        <v>2.5085241756870866</v>
      </c>
      <c r="E22" s="87">
        <v>2.6417686204263435</v>
      </c>
      <c r="F22" s="87">
        <v>2.9899540776423743</v>
      </c>
      <c r="G22" s="87">
        <v>3.1775212383291493</v>
      </c>
      <c r="H22" s="87">
        <v>3.6744741925923736</v>
      </c>
      <c r="I22" s="87">
        <v>3.8850583821945541</v>
      </c>
      <c r="J22" s="87">
        <v>2.5043753116553176</v>
      </c>
      <c r="K22" s="87">
        <v>2.0152232987489946</v>
      </c>
      <c r="L22" s="87">
        <v>2.0356970011392233</v>
      </c>
      <c r="M22" s="87">
        <v>1.7738479547615631</v>
      </c>
      <c r="N22" s="87">
        <v>1.7443170092330091</v>
      </c>
      <c r="O22" s="87">
        <v>1.4487357975478858</v>
      </c>
      <c r="P22" s="87">
        <v>1.6903875764597613</v>
      </c>
      <c r="Q22" s="87">
        <v>1.3986312946603263</v>
      </c>
      <c r="R22" s="87">
        <v>1.3744184514108926</v>
      </c>
      <c r="S22" s="87">
        <v>1.5722061299294399</v>
      </c>
      <c r="T22" s="87">
        <v>1.387504306382481</v>
      </c>
      <c r="U22" s="87">
        <v>1.5620086395473971</v>
      </c>
      <c r="V22" s="87">
        <v>4.5500722745273201</v>
      </c>
      <c r="W22" s="87">
        <v>4.5835761534165833</v>
      </c>
      <c r="X22" s="87">
        <v>4.5796874036996886</v>
      </c>
      <c r="Y22" s="87">
        <v>2.3639749384434108</v>
      </c>
      <c r="DA22" s="171" t="s">
        <v>1043</v>
      </c>
    </row>
    <row r="23" spans="1:105" ht="11.45" customHeight="1" x14ac:dyDescent="0.25">
      <c r="A23" s="85" t="s">
        <v>93</v>
      </c>
      <c r="B23" s="88">
        <v>36.443498542337991</v>
      </c>
      <c r="C23" s="88">
        <v>35.527744259882319</v>
      </c>
      <c r="D23" s="88">
        <v>35.798060818794013</v>
      </c>
      <c r="E23" s="88">
        <v>35.096820472070782</v>
      </c>
      <c r="F23" s="88">
        <v>38.97526826094159</v>
      </c>
      <c r="G23" s="88">
        <v>38.187096898175334</v>
      </c>
      <c r="H23" s="88">
        <v>39.886445260144136</v>
      </c>
      <c r="I23" s="88">
        <v>41.097075285892956</v>
      </c>
      <c r="J23" s="88">
        <v>42.682342479120742</v>
      </c>
      <c r="K23" s="88">
        <v>36.039814889092185</v>
      </c>
      <c r="L23" s="88">
        <v>39.225142981504412</v>
      </c>
      <c r="M23" s="88">
        <v>41.673174184752725</v>
      </c>
      <c r="N23" s="88">
        <v>38.533431252142726</v>
      </c>
      <c r="O23" s="88">
        <v>40.053904599262346</v>
      </c>
      <c r="P23" s="88">
        <v>38.923303488822292</v>
      </c>
      <c r="Q23" s="88">
        <v>40.205590253109527</v>
      </c>
      <c r="R23" s="88">
        <v>40.07473038872903</v>
      </c>
      <c r="S23" s="88">
        <v>41.143483293087606</v>
      </c>
      <c r="T23" s="88">
        <v>42.357399919026214</v>
      </c>
      <c r="U23" s="88">
        <v>43.704718737091575</v>
      </c>
      <c r="V23" s="88">
        <v>42.209780645653453</v>
      </c>
      <c r="W23" s="88">
        <v>42.659414736985156</v>
      </c>
      <c r="X23" s="88">
        <v>42.800938709611899</v>
      </c>
      <c r="Y23" s="88">
        <v>41.209103363592213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1452.5590480000001</v>
      </c>
      <c r="C25" s="62">
        <f t="shared" ref="C25:V25" si="22">C26+C32</f>
        <v>1417.219122</v>
      </c>
      <c r="D25" s="62">
        <f t="shared" si="22"/>
        <v>1413.2847990000002</v>
      </c>
      <c r="E25" s="62">
        <f t="shared" si="22"/>
        <v>1422.55421</v>
      </c>
      <c r="F25" s="62">
        <f t="shared" si="22"/>
        <v>1442.1601180000002</v>
      </c>
      <c r="G25" s="62">
        <f t="shared" si="22"/>
        <v>1427.2522140000001</v>
      </c>
      <c r="H25" s="62">
        <f t="shared" si="22"/>
        <v>1475.137731</v>
      </c>
      <c r="I25" s="62">
        <f t="shared" si="22"/>
        <v>1502.4223770000001</v>
      </c>
      <c r="J25" s="62">
        <f t="shared" si="22"/>
        <v>1561.559933</v>
      </c>
      <c r="K25" s="62">
        <f t="shared" si="22"/>
        <v>1600.7628089999998</v>
      </c>
      <c r="L25" s="62">
        <f t="shared" si="22"/>
        <v>1622.2383869999999</v>
      </c>
      <c r="M25" s="62">
        <f t="shared" si="22"/>
        <v>1585.50467</v>
      </c>
      <c r="N25" s="62">
        <f t="shared" si="22"/>
        <v>1572.4963230000001</v>
      </c>
      <c r="O25" s="62">
        <f t="shared" si="22"/>
        <v>1677.5876880000001</v>
      </c>
      <c r="P25" s="62">
        <f t="shared" si="22"/>
        <v>1708.0415109999999</v>
      </c>
      <c r="Q25" s="62">
        <f t="shared" si="22"/>
        <v>1759.8780979999999</v>
      </c>
      <c r="R25" s="62">
        <f t="shared" si="22"/>
        <v>1834.1310689999998</v>
      </c>
      <c r="S25" s="62">
        <f t="shared" si="22"/>
        <v>1914.0942989999996</v>
      </c>
      <c r="T25" s="62">
        <f t="shared" si="22"/>
        <v>1893.7690679999998</v>
      </c>
      <c r="U25" s="62">
        <f t="shared" si="22"/>
        <v>1944.363683</v>
      </c>
      <c r="V25" s="62">
        <f t="shared" si="22"/>
        <v>1992.512013</v>
      </c>
      <c r="W25" s="62">
        <f t="shared" ref="W25:Y25" si="23">W26+W32</f>
        <v>1973.6786459999998</v>
      </c>
      <c r="X25" s="62">
        <f t="shared" si="23"/>
        <v>1961.5399429999998</v>
      </c>
      <c r="Y25" s="62">
        <f t="shared" si="23"/>
        <v>1951.3352100000002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1259.788894</v>
      </c>
      <c r="C26" s="29">
        <f t="shared" ref="C26:V26" si="25">SUM(C27,C28,C31)</f>
        <v>1228.411666</v>
      </c>
      <c r="D26" s="29">
        <f t="shared" si="25"/>
        <v>1221.7518730000002</v>
      </c>
      <c r="E26" s="29">
        <f t="shared" si="25"/>
        <v>1233.861263</v>
      </c>
      <c r="F26" s="29">
        <f t="shared" si="25"/>
        <v>1232.3340050000002</v>
      </c>
      <c r="G26" s="29">
        <f t="shared" si="25"/>
        <v>1220.429122</v>
      </c>
      <c r="H26" s="29">
        <f t="shared" si="25"/>
        <v>1257.3331330000001</v>
      </c>
      <c r="I26" s="29">
        <f t="shared" si="25"/>
        <v>1277.511708</v>
      </c>
      <c r="J26" s="29">
        <f t="shared" si="25"/>
        <v>1329.778194</v>
      </c>
      <c r="K26" s="29">
        <f t="shared" si="25"/>
        <v>1388.2580849999999</v>
      </c>
      <c r="L26" s="29">
        <f t="shared" si="25"/>
        <v>1409.8531779999998</v>
      </c>
      <c r="M26" s="29">
        <f t="shared" si="25"/>
        <v>1361.934571</v>
      </c>
      <c r="N26" s="29">
        <f t="shared" si="25"/>
        <v>1365.680204</v>
      </c>
      <c r="O26" s="29">
        <f t="shared" si="25"/>
        <v>1464.224469</v>
      </c>
      <c r="P26" s="29">
        <f t="shared" si="25"/>
        <v>1501.386563</v>
      </c>
      <c r="Q26" s="29">
        <f t="shared" si="25"/>
        <v>1547.866982</v>
      </c>
      <c r="R26" s="29">
        <f t="shared" si="25"/>
        <v>1623.8295189999999</v>
      </c>
      <c r="S26" s="29">
        <f t="shared" si="25"/>
        <v>1699.5042499999997</v>
      </c>
      <c r="T26" s="29">
        <f t="shared" si="25"/>
        <v>1674.1647019999998</v>
      </c>
      <c r="U26" s="29">
        <f t="shared" si="25"/>
        <v>1718.030045</v>
      </c>
      <c r="V26" s="29">
        <f t="shared" si="25"/>
        <v>1758.712747</v>
      </c>
      <c r="W26" s="29">
        <f t="shared" ref="W26:Y26" si="26">SUM(W27,W28,W31)</f>
        <v>1737.4636909999999</v>
      </c>
      <c r="X26" s="29">
        <f t="shared" si="26"/>
        <v>1724.6368109999999</v>
      </c>
      <c r="Y26" s="29">
        <f t="shared" si="26"/>
        <v>1723.4465210000001</v>
      </c>
      <c r="DA26" s="173" t="s">
        <v>1046</v>
      </c>
    </row>
    <row r="27" spans="1:105" ht="11.45" customHeight="1" x14ac:dyDescent="0.25">
      <c r="A27" s="107" t="s">
        <v>23</v>
      </c>
      <c r="B27" s="115">
        <v>707.47429099999999</v>
      </c>
      <c r="C27" s="115">
        <v>718.752522</v>
      </c>
      <c r="D27" s="115">
        <v>730.05262300000004</v>
      </c>
      <c r="E27" s="115">
        <v>741.37462700000003</v>
      </c>
      <c r="F27" s="115">
        <v>752.71856600000001</v>
      </c>
      <c r="G27" s="115">
        <v>756.59027900000001</v>
      </c>
      <c r="H27" s="115">
        <v>774.58862499999998</v>
      </c>
      <c r="I27" s="115">
        <v>782.77201700000001</v>
      </c>
      <c r="J27" s="115">
        <v>775.94456400000001</v>
      </c>
      <c r="K27" s="115">
        <v>796.99326799999994</v>
      </c>
      <c r="L27" s="115">
        <v>803.08894299999997</v>
      </c>
      <c r="M27" s="115">
        <v>805.07669099999998</v>
      </c>
      <c r="N27" s="115">
        <v>804.89858200000003</v>
      </c>
      <c r="O27" s="115">
        <v>805.30766100000005</v>
      </c>
      <c r="P27" s="115">
        <v>789.34290299999998</v>
      </c>
      <c r="Q27" s="115">
        <v>809.19063200000005</v>
      </c>
      <c r="R27" s="115">
        <v>804.26250600000003</v>
      </c>
      <c r="S27" s="115">
        <v>808.26136799999995</v>
      </c>
      <c r="T27" s="115">
        <v>797.09528599999999</v>
      </c>
      <c r="U27" s="115">
        <v>827.12702100000001</v>
      </c>
      <c r="V27" s="115">
        <v>922.94678499999998</v>
      </c>
      <c r="W27" s="115">
        <v>956.41213300000004</v>
      </c>
      <c r="X27" s="115">
        <v>937.96179199999995</v>
      </c>
      <c r="Y27" s="115">
        <v>867.21436300000005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552.31460300000003</v>
      </c>
      <c r="C28" s="116">
        <f t="shared" ref="C28:V28" si="28">SUM(C29:C30)</f>
        <v>509.65914399999997</v>
      </c>
      <c r="D28" s="116">
        <f t="shared" si="28"/>
        <v>491.69925000000001</v>
      </c>
      <c r="E28" s="116">
        <f t="shared" si="28"/>
        <v>492.48663599999998</v>
      </c>
      <c r="F28" s="116">
        <f t="shared" si="28"/>
        <v>479.61543900000004</v>
      </c>
      <c r="G28" s="116">
        <f t="shared" si="28"/>
        <v>463.838843</v>
      </c>
      <c r="H28" s="116">
        <f t="shared" si="28"/>
        <v>482.744508</v>
      </c>
      <c r="I28" s="116">
        <f t="shared" si="28"/>
        <v>492.93339100000003</v>
      </c>
      <c r="J28" s="116">
        <f t="shared" si="28"/>
        <v>551.92177600000002</v>
      </c>
      <c r="K28" s="116">
        <f t="shared" si="28"/>
        <v>589.35296300000005</v>
      </c>
      <c r="L28" s="116">
        <f t="shared" si="28"/>
        <v>604.85238100000004</v>
      </c>
      <c r="M28" s="116">
        <f t="shared" si="28"/>
        <v>553.24876100000006</v>
      </c>
      <c r="N28" s="116">
        <f t="shared" si="28"/>
        <v>557.17250300000001</v>
      </c>
      <c r="O28" s="116">
        <f t="shared" si="28"/>
        <v>655.26177300000006</v>
      </c>
      <c r="P28" s="116">
        <f t="shared" si="28"/>
        <v>708.38862500000005</v>
      </c>
      <c r="Q28" s="116">
        <f t="shared" si="28"/>
        <v>735.02131499999996</v>
      </c>
      <c r="R28" s="116">
        <f t="shared" si="28"/>
        <v>815.76925099999994</v>
      </c>
      <c r="S28" s="116">
        <f t="shared" si="28"/>
        <v>887.44511999999997</v>
      </c>
      <c r="T28" s="116">
        <f t="shared" si="28"/>
        <v>873.27165400000001</v>
      </c>
      <c r="U28" s="116">
        <f t="shared" si="28"/>
        <v>887.10526200000004</v>
      </c>
      <c r="V28" s="116">
        <f t="shared" si="28"/>
        <v>831.87380199999996</v>
      </c>
      <c r="W28" s="116">
        <f t="shared" ref="W28:Y28" si="29">SUM(W29:W30)</f>
        <v>776.64234199999999</v>
      </c>
      <c r="X28" s="116">
        <f t="shared" si="29"/>
        <v>782.26580300000001</v>
      </c>
      <c r="Y28" s="116">
        <f t="shared" si="29"/>
        <v>851.82294200000001</v>
      </c>
      <c r="DA28" s="176" t="s">
        <v>1048</v>
      </c>
    </row>
    <row r="29" spans="1:105" ht="11.45" customHeight="1" x14ac:dyDescent="0.25">
      <c r="A29" s="111" t="s">
        <v>92</v>
      </c>
      <c r="B29" s="87">
        <v>83.060002999999995</v>
      </c>
      <c r="C29" s="87">
        <v>87.330004000000002</v>
      </c>
      <c r="D29" s="87">
        <v>93.524611999999991</v>
      </c>
      <c r="E29" s="87">
        <v>99.814781999999994</v>
      </c>
      <c r="F29" s="87">
        <v>100.34851</v>
      </c>
      <c r="G29" s="87">
        <v>112.462237</v>
      </c>
      <c r="H29" s="87">
        <v>117.07369899999999</v>
      </c>
      <c r="I29" s="87">
        <v>120.64618</v>
      </c>
      <c r="J29" s="87">
        <v>144.96759599999999</v>
      </c>
      <c r="K29" s="87">
        <v>150.51474300000001</v>
      </c>
      <c r="L29" s="87">
        <v>142.208743</v>
      </c>
      <c r="M29" s="87">
        <v>133.90274299999999</v>
      </c>
      <c r="N29" s="87">
        <v>133.891369</v>
      </c>
      <c r="O29" s="87">
        <v>125.585369</v>
      </c>
      <c r="P29" s="87">
        <v>130.771997</v>
      </c>
      <c r="Q29" s="87">
        <v>122.465997</v>
      </c>
      <c r="R29" s="87">
        <v>114.159997</v>
      </c>
      <c r="S29" s="87">
        <v>115.376435</v>
      </c>
      <c r="T29" s="87">
        <v>112.937178</v>
      </c>
      <c r="U29" s="87">
        <v>119.29908499999999</v>
      </c>
      <c r="V29" s="87">
        <v>110.99308499999999</v>
      </c>
      <c r="W29" s="87">
        <v>102.687085</v>
      </c>
      <c r="X29" s="87">
        <v>94.381084999999999</v>
      </c>
      <c r="Y29" s="87">
        <v>86.075085000000001</v>
      </c>
      <c r="DA29" s="171" t="s">
        <v>1049</v>
      </c>
    </row>
    <row r="30" spans="1:105" ht="11.45" customHeight="1" x14ac:dyDescent="0.25">
      <c r="A30" s="111" t="s">
        <v>93</v>
      </c>
      <c r="B30" s="87">
        <v>469.25459999999998</v>
      </c>
      <c r="C30" s="87">
        <v>422.32914</v>
      </c>
      <c r="D30" s="87">
        <v>398.17463800000002</v>
      </c>
      <c r="E30" s="87">
        <v>392.671854</v>
      </c>
      <c r="F30" s="87">
        <v>379.266929</v>
      </c>
      <c r="G30" s="87">
        <v>351.37660599999998</v>
      </c>
      <c r="H30" s="87">
        <v>365.67080900000002</v>
      </c>
      <c r="I30" s="87">
        <v>372.28721100000001</v>
      </c>
      <c r="J30" s="87">
        <v>406.95418000000001</v>
      </c>
      <c r="K30" s="87">
        <v>438.83821999999998</v>
      </c>
      <c r="L30" s="87">
        <v>462.64363800000001</v>
      </c>
      <c r="M30" s="87">
        <v>419.34601800000002</v>
      </c>
      <c r="N30" s="87">
        <v>423.28113400000001</v>
      </c>
      <c r="O30" s="87">
        <v>529.67640400000005</v>
      </c>
      <c r="P30" s="87">
        <v>577.61662799999999</v>
      </c>
      <c r="Q30" s="87">
        <v>612.55531799999994</v>
      </c>
      <c r="R30" s="87">
        <v>701.60925399999996</v>
      </c>
      <c r="S30" s="87">
        <v>772.06868499999996</v>
      </c>
      <c r="T30" s="87">
        <v>760.334476</v>
      </c>
      <c r="U30" s="87">
        <v>767.80617700000005</v>
      </c>
      <c r="V30" s="87">
        <v>720.880717</v>
      </c>
      <c r="W30" s="87">
        <v>673.95525699999996</v>
      </c>
      <c r="X30" s="87">
        <v>687.88471800000002</v>
      </c>
      <c r="Y30" s="87">
        <v>765.74785699999995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1.8063</v>
      </c>
      <c r="J31" s="117">
        <v>1.9118539999999999</v>
      </c>
      <c r="K31" s="117">
        <v>1.9118539999999999</v>
      </c>
      <c r="L31" s="117">
        <v>1.9118539999999999</v>
      </c>
      <c r="M31" s="117">
        <v>3.6091190000000002</v>
      </c>
      <c r="N31" s="117">
        <v>3.6091190000000002</v>
      </c>
      <c r="O31" s="117">
        <v>3.6550350000000003</v>
      </c>
      <c r="P31" s="117">
        <v>3.6550349999999998</v>
      </c>
      <c r="Q31" s="117">
        <v>3.6550349999999998</v>
      </c>
      <c r="R31" s="117">
        <v>3.7977620000000001</v>
      </c>
      <c r="S31" s="117">
        <v>3.7977620000000001</v>
      </c>
      <c r="T31" s="117">
        <v>3.7977620000000001</v>
      </c>
      <c r="U31" s="117">
        <v>3.7977620000000001</v>
      </c>
      <c r="V31" s="117">
        <v>3.8921600000000001</v>
      </c>
      <c r="W31" s="117">
        <v>4.4092159999999998</v>
      </c>
      <c r="X31" s="117">
        <v>4.4092159999999998</v>
      </c>
      <c r="Y31" s="117">
        <v>4.4092159999999998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192.77015399999999</v>
      </c>
      <c r="C32" s="29">
        <f t="shared" ref="C32:V32" si="31">SUM(C33:C34)</f>
        <v>188.807456</v>
      </c>
      <c r="D32" s="29">
        <f t="shared" si="31"/>
        <v>191.532926</v>
      </c>
      <c r="E32" s="29">
        <f t="shared" si="31"/>
        <v>188.692947</v>
      </c>
      <c r="F32" s="29">
        <f t="shared" si="31"/>
        <v>209.82611299999999</v>
      </c>
      <c r="G32" s="29">
        <f t="shared" si="31"/>
        <v>206.823092</v>
      </c>
      <c r="H32" s="29">
        <f t="shared" si="31"/>
        <v>217.804598</v>
      </c>
      <c r="I32" s="29">
        <f t="shared" si="31"/>
        <v>224.91066900000001</v>
      </c>
      <c r="J32" s="29">
        <f t="shared" si="31"/>
        <v>231.78173899999999</v>
      </c>
      <c r="K32" s="29">
        <f t="shared" si="31"/>
        <v>212.50472400000001</v>
      </c>
      <c r="L32" s="29">
        <f t="shared" si="31"/>
        <v>212.38520899999997</v>
      </c>
      <c r="M32" s="29">
        <f t="shared" si="31"/>
        <v>223.570099</v>
      </c>
      <c r="N32" s="29">
        <f t="shared" si="31"/>
        <v>206.81611900000001</v>
      </c>
      <c r="O32" s="29">
        <f t="shared" si="31"/>
        <v>213.36321899999999</v>
      </c>
      <c r="P32" s="29">
        <f t="shared" si="31"/>
        <v>206.65494799999999</v>
      </c>
      <c r="Q32" s="29">
        <f t="shared" si="31"/>
        <v>212.01111599999999</v>
      </c>
      <c r="R32" s="29">
        <f t="shared" si="31"/>
        <v>210.30154999999999</v>
      </c>
      <c r="S32" s="29">
        <f t="shared" si="31"/>
        <v>214.59004899999999</v>
      </c>
      <c r="T32" s="29">
        <f t="shared" si="31"/>
        <v>219.604366</v>
      </c>
      <c r="U32" s="29">
        <f t="shared" si="31"/>
        <v>226.33363800000001</v>
      </c>
      <c r="V32" s="29">
        <f t="shared" si="31"/>
        <v>233.79926599999999</v>
      </c>
      <c r="W32" s="29">
        <f t="shared" ref="W32:Y32" si="32">SUM(W33:W34)</f>
        <v>236.214955</v>
      </c>
      <c r="X32" s="29">
        <f t="shared" si="32"/>
        <v>236.903132</v>
      </c>
      <c r="Y32" s="29">
        <f t="shared" si="32"/>
        <v>227.888689</v>
      </c>
      <c r="DA32" s="173" t="s">
        <v>1052</v>
      </c>
    </row>
    <row r="33" spans="1:105" ht="11.45" customHeight="1" x14ac:dyDescent="0.25">
      <c r="A33" s="83" t="s">
        <v>92</v>
      </c>
      <c r="B33" s="87">
        <v>10.552660999999999</v>
      </c>
      <c r="C33" s="87">
        <v>11.168733999999999</v>
      </c>
      <c r="D33" s="87">
        <v>12.542620999999999</v>
      </c>
      <c r="E33" s="87">
        <v>13.208843999999999</v>
      </c>
      <c r="F33" s="87">
        <v>14.949770999999998</v>
      </c>
      <c r="G33" s="87">
        <v>15.887606999999999</v>
      </c>
      <c r="H33" s="87">
        <v>18.372371000000001</v>
      </c>
      <c r="I33" s="87">
        <v>19.425292000000002</v>
      </c>
      <c r="J33" s="87">
        <v>18.370025999999999</v>
      </c>
      <c r="K33" s="87">
        <v>17.31476</v>
      </c>
      <c r="L33" s="87">
        <v>16.259494</v>
      </c>
      <c r="M33" s="87">
        <v>15.204227999999999</v>
      </c>
      <c r="N33" s="87">
        <v>14.148961999999999</v>
      </c>
      <c r="O33" s="87">
        <v>13.093696</v>
      </c>
      <c r="P33" s="87">
        <v>12.03843</v>
      </c>
      <c r="Q33" s="87">
        <v>10.983163999999999</v>
      </c>
      <c r="R33" s="87">
        <v>9.927897999999999</v>
      </c>
      <c r="S33" s="87">
        <v>8.8726319999999994</v>
      </c>
      <c r="T33" s="87">
        <v>7.8173659999999998</v>
      </c>
      <c r="U33" s="87">
        <v>7.8100440000000004</v>
      </c>
      <c r="V33" s="87">
        <v>22.750362000000003</v>
      </c>
      <c r="W33" s="87">
        <v>22.917881000000001</v>
      </c>
      <c r="X33" s="87">
        <v>22.898438000000002</v>
      </c>
      <c r="Y33" s="87">
        <v>21.843172000000003</v>
      </c>
      <c r="DA33" s="171" t="s">
        <v>1053</v>
      </c>
    </row>
    <row r="34" spans="1:105" ht="11.45" customHeight="1" x14ac:dyDescent="0.25">
      <c r="A34" s="85" t="s">
        <v>93</v>
      </c>
      <c r="B34" s="88">
        <v>182.21749299999999</v>
      </c>
      <c r="C34" s="88">
        <v>177.638722</v>
      </c>
      <c r="D34" s="88">
        <v>178.99030500000001</v>
      </c>
      <c r="E34" s="88">
        <v>175.484103</v>
      </c>
      <c r="F34" s="88">
        <v>194.87634199999999</v>
      </c>
      <c r="G34" s="88">
        <v>190.935485</v>
      </c>
      <c r="H34" s="88">
        <v>199.43222700000001</v>
      </c>
      <c r="I34" s="88">
        <v>205.485377</v>
      </c>
      <c r="J34" s="88">
        <v>213.41171299999999</v>
      </c>
      <c r="K34" s="88">
        <v>195.189964</v>
      </c>
      <c r="L34" s="88">
        <v>196.12571499999999</v>
      </c>
      <c r="M34" s="88">
        <v>208.365871</v>
      </c>
      <c r="N34" s="88">
        <v>192.667157</v>
      </c>
      <c r="O34" s="88">
        <v>200.26952299999999</v>
      </c>
      <c r="P34" s="88">
        <v>194.61651799999999</v>
      </c>
      <c r="Q34" s="88">
        <v>201.027952</v>
      </c>
      <c r="R34" s="88">
        <v>200.37365199999999</v>
      </c>
      <c r="S34" s="88">
        <v>205.71741699999998</v>
      </c>
      <c r="T34" s="88">
        <v>211.78700000000001</v>
      </c>
      <c r="U34" s="88">
        <v>218.523594</v>
      </c>
      <c r="V34" s="88">
        <v>211.04890399999999</v>
      </c>
      <c r="W34" s="88">
        <v>213.29707400000001</v>
      </c>
      <c r="X34" s="88">
        <v>214.004694</v>
      </c>
      <c r="Y34" s="88">
        <v>206.04551699999999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44.822994000000072</v>
      </c>
      <c r="D36" s="54">
        <f t="shared" ref="D36:V36" si="34">D37+D43</f>
        <v>53.457639000000079</v>
      </c>
      <c r="E36" s="54">
        <f t="shared" si="34"/>
        <v>54.573418000000032</v>
      </c>
      <c r="F36" s="54">
        <f t="shared" si="34"/>
        <v>66.248293000000018</v>
      </c>
      <c r="G36" s="54">
        <f t="shared" si="34"/>
        <v>46.219879000000049</v>
      </c>
      <c r="H36" s="54">
        <f t="shared" si="34"/>
        <v>93.189524000000077</v>
      </c>
      <c r="I36" s="54">
        <f t="shared" si="34"/>
        <v>72.588653000000079</v>
      </c>
      <c r="J36" s="54">
        <f t="shared" si="34"/>
        <v>105.05007900000004</v>
      </c>
      <c r="K36" s="54">
        <f t="shared" si="34"/>
        <v>97.415856999999988</v>
      </c>
      <c r="L36" s="54">
        <f t="shared" si="34"/>
        <v>72.783100000000104</v>
      </c>
      <c r="M36" s="54">
        <f t="shared" si="34"/>
        <v>45.804878000000073</v>
      </c>
      <c r="N36" s="54">
        <f t="shared" si="34"/>
        <v>42.681599000000119</v>
      </c>
      <c r="O36" s="54">
        <f t="shared" si="34"/>
        <v>156.39888700000012</v>
      </c>
      <c r="P36" s="54">
        <f t="shared" si="34"/>
        <v>76.366345999999922</v>
      </c>
      <c r="Q36" s="54">
        <f t="shared" si="34"/>
        <v>103.1441090000001</v>
      </c>
      <c r="R36" s="54">
        <f t="shared" si="34"/>
        <v>125.56049300000005</v>
      </c>
      <c r="S36" s="54">
        <f t="shared" si="34"/>
        <v>125.87575299999996</v>
      </c>
      <c r="T36" s="54">
        <f t="shared" si="34"/>
        <v>25.587292000000161</v>
      </c>
      <c r="U36" s="54">
        <f t="shared" si="34"/>
        <v>95.898622000000131</v>
      </c>
      <c r="V36" s="54">
        <f t="shared" si="34"/>
        <v>135.25964800000003</v>
      </c>
      <c r="W36" s="54">
        <f t="shared" ref="W36:Y36" si="35">W37+W43</f>
        <v>66.724552000000131</v>
      </c>
      <c r="X36" s="54">
        <f t="shared" si="35"/>
        <v>38.560303000000019</v>
      </c>
      <c r="Y36" s="54">
        <f t="shared" si="35"/>
        <v>89.929685999999947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42.417651000000063</v>
      </c>
      <c r="D37" s="28">
        <f t="shared" ref="D37:V37" si="37">SUM(D38,D39,D42)</f>
        <v>44.364128000000079</v>
      </c>
      <c r="E37" s="28">
        <f t="shared" si="37"/>
        <v>51.045356000000041</v>
      </c>
      <c r="F37" s="28">
        <f t="shared" si="37"/>
        <v>38.747086000000039</v>
      </c>
      <c r="G37" s="28">
        <f t="shared" si="37"/>
        <v>42.854859000000047</v>
      </c>
      <c r="H37" s="28">
        <f t="shared" si="37"/>
        <v>75.839977000000061</v>
      </c>
      <c r="I37" s="28">
        <f t="shared" si="37"/>
        <v>59.114541000000095</v>
      </c>
      <c r="J37" s="28">
        <f t="shared" si="37"/>
        <v>91.202452000000051</v>
      </c>
      <c r="K37" s="28">
        <f t="shared" si="37"/>
        <v>97.415856999999988</v>
      </c>
      <c r="L37" s="28">
        <f t="shared" si="37"/>
        <v>65.926058000000126</v>
      </c>
      <c r="M37" s="28">
        <f t="shared" si="37"/>
        <v>27.643431000000064</v>
      </c>
      <c r="N37" s="28">
        <f t="shared" si="37"/>
        <v>42.681599000000119</v>
      </c>
      <c r="O37" s="28">
        <f t="shared" si="37"/>
        <v>142.87523000000013</v>
      </c>
      <c r="P37" s="28">
        <f t="shared" si="37"/>
        <v>76.098059999999933</v>
      </c>
      <c r="Q37" s="28">
        <f t="shared" si="37"/>
        <v>90.811384000000089</v>
      </c>
      <c r="R37" s="28">
        <f t="shared" si="37"/>
        <v>120.29350200000006</v>
      </c>
      <c r="S37" s="28">
        <f t="shared" si="37"/>
        <v>114.61069699999997</v>
      </c>
      <c r="T37" s="28">
        <f t="shared" si="37"/>
        <v>13.596418000000142</v>
      </c>
      <c r="U37" s="28">
        <f t="shared" si="37"/>
        <v>82.801309000000131</v>
      </c>
      <c r="V37" s="28">
        <f t="shared" si="37"/>
        <v>119.87258000000001</v>
      </c>
      <c r="W37" s="28">
        <f t="shared" ref="W37:Y37" si="38">SUM(W38,W39,W42)</f>
        <v>57.940822000000111</v>
      </c>
      <c r="X37" s="28">
        <f t="shared" si="38"/>
        <v>31.504085000000032</v>
      </c>
      <c r="Y37" s="28">
        <f t="shared" si="38"/>
        <v>89.929685999999947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35.236649000000057</v>
      </c>
      <c r="D38" s="108">
        <v>35.258519000000092</v>
      </c>
      <c r="E38" s="108">
        <v>35.280422000000044</v>
      </c>
      <c r="F38" s="108">
        <v>35.302357000000029</v>
      </c>
      <c r="G38" s="108">
        <v>27.830131000000051</v>
      </c>
      <c r="H38" s="108">
        <v>41.956764000000021</v>
      </c>
      <c r="I38" s="108">
        <v>32.141810000000078</v>
      </c>
      <c r="J38" s="108">
        <v>17.13096500000006</v>
      </c>
      <c r="K38" s="108">
        <v>45.007121999999981</v>
      </c>
      <c r="L38" s="108">
        <v>30.05409300000008</v>
      </c>
      <c r="M38" s="108">
        <v>25.946166000000062</v>
      </c>
      <c r="N38" s="108">
        <v>23.780309000000102</v>
      </c>
      <c r="O38" s="108">
        <v>24.367497000000071</v>
      </c>
      <c r="P38" s="108">
        <v>7.9936599999999771</v>
      </c>
      <c r="Q38" s="108">
        <v>43.806147000000124</v>
      </c>
      <c r="R38" s="108">
        <v>19.030292000000031</v>
      </c>
      <c r="S38" s="108">
        <v>27.957279999999969</v>
      </c>
      <c r="T38" s="108">
        <v>12.792336000000091</v>
      </c>
      <c r="U38" s="108">
        <v>53.990153000000078</v>
      </c>
      <c r="V38" s="108">
        <v>119.77818200000002</v>
      </c>
      <c r="W38" s="108">
        <v>57.423766000000114</v>
      </c>
      <c r="X38" s="108">
        <v>5.5080769999999575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7.1810020000000065</v>
      </c>
      <c r="D39" s="110">
        <f t="shared" ref="D39:V39" si="40">SUM(D40:D41)</f>
        <v>9.105608999999987</v>
      </c>
      <c r="E39" s="110">
        <f t="shared" si="40"/>
        <v>15.764933999999997</v>
      </c>
      <c r="F39" s="110">
        <f t="shared" si="40"/>
        <v>3.4447290000000095</v>
      </c>
      <c r="G39" s="110">
        <f t="shared" si="40"/>
        <v>15.024727999999996</v>
      </c>
      <c r="H39" s="110">
        <f t="shared" si="40"/>
        <v>33.88321300000004</v>
      </c>
      <c r="I39" s="110">
        <f t="shared" si="40"/>
        <v>25.166431000000017</v>
      </c>
      <c r="J39" s="110">
        <f t="shared" si="40"/>
        <v>73.965932999999993</v>
      </c>
      <c r="K39" s="110">
        <f t="shared" si="40"/>
        <v>52.408735000000007</v>
      </c>
      <c r="L39" s="110">
        <f t="shared" si="40"/>
        <v>35.871965000000046</v>
      </c>
      <c r="M39" s="110">
        <f t="shared" si="40"/>
        <v>0</v>
      </c>
      <c r="N39" s="110">
        <f t="shared" si="40"/>
        <v>18.901290000000017</v>
      </c>
      <c r="O39" s="110">
        <f t="shared" si="40"/>
        <v>118.46181700000005</v>
      </c>
      <c r="P39" s="110">
        <f t="shared" si="40"/>
        <v>68.104399999999956</v>
      </c>
      <c r="Q39" s="110">
        <f t="shared" si="40"/>
        <v>47.005236999999966</v>
      </c>
      <c r="R39" s="110">
        <f t="shared" si="40"/>
        <v>101.12048300000004</v>
      </c>
      <c r="S39" s="110">
        <f t="shared" si="40"/>
        <v>86.653417000000005</v>
      </c>
      <c r="T39" s="110">
        <f t="shared" si="40"/>
        <v>0.80408200000005081</v>
      </c>
      <c r="U39" s="110">
        <f t="shared" si="40"/>
        <v>28.811156000000054</v>
      </c>
      <c r="V39" s="110">
        <f t="shared" si="40"/>
        <v>0</v>
      </c>
      <c r="W39" s="110">
        <f t="shared" ref="W39:Y39" si="41">SUM(W40:W41)</f>
        <v>0</v>
      </c>
      <c r="X39" s="110">
        <f t="shared" si="41"/>
        <v>25.996008000000074</v>
      </c>
      <c r="Y39" s="110">
        <f t="shared" si="41"/>
        <v>89.929685999999947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7.1810020000000065</v>
      </c>
      <c r="D40" s="84">
        <v>9.105608999999987</v>
      </c>
      <c r="E40" s="84">
        <v>9.2011710000000022</v>
      </c>
      <c r="F40" s="84">
        <v>3.4447290000000095</v>
      </c>
      <c r="G40" s="84">
        <v>15.024727999999996</v>
      </c>
      <c r="H40" s="84">
        <v>7.5224629999999877</v>
      </c>
      <c r="I40" s="84">
        <v>6.4834820000000093</v>
      </c>
      <c r="J40" s="84">
        <v>27.232416999999984</v>
      </c>
      <c r="K40" s="84">
        <v>8.4581480000000226</v>
      </c>
      <c r="L40" s="84">
        <v>0</v>
      </c>
      <c r="M40" s="84">
        <v>0</v>
      </c>
      <c r="N40" s="84">
        <v>2.8996270000000095</v>
      </c>
      <c r="O40" s="84">
        <v>0</v>
      </c>
      <c r="P40" s="84">
        <v>8.0976289999999977</v>
      </c>
      <c r="Q40" s="84">
        <v>0</v>
      </c>
      <c r="R40" s="84">
        <v>0</v>
      </c>
      <c r="S40" s="84">
        <v>4.1274389999999954</v>
      </c>
      <c r="T40" s="84">
        <v>0.47174400000000105</v>
      </c>
      <c r="U40" s="84">
        <v>9.2729079999999868</v>
      </c>
      <c r="V40" s="84">
        <v>0</v>
      </c>
      <c r="W40" s="84">
        <v>0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6.5637629999999945</v>
      </c>
      <c r="F41" s="84">
        <v>0</v>
      </c>
      <c r="G41" s="84">
        <v>0</v>
      </c>
      <c r="H41" s="84">
        <v>26.360750000000053</v>
      </c>
      <c r="I41" s="84">
        <v>18.682949000000008</v>
      </c>
      <c r="J41" s="84">
        <v>46.733516000000009</v>
      </c>
      <c r="K41" s="84">
        <v>43.950586999999985</v>
      </c>
      <c r="L41" s="84">
        <v>35.871965000000046</v>
      </c>
      <c r="M41" s="84">
        <v>0</v>
      </c>
      <c r="N41" s="84">
        <v>16.001663000000008</v>
      </c>
      <c r="O41" s="84">
        <v>118.46181700000005</v>
      </c>
      <c r="P41" s="84">
        <v>60.006770999999958</v>
      </c>
      <c r="Q41" s="84">
        <v>47.005236999999966</v>
      </c>
      <c r="R41" s="84">
        <v>101.12048300000004</v>
      </c>
      <c r="S41" s="84">
        <v>82.525978000000009</v>
      </c>
      <c r="T41" s="84">
        <v>0.33233800000004976</v>
      </c>
      <c r="U41" s="84">
        <v>19.538248000000067</v>
      </c>
      <c r="V41" s="84">
        <v>0</v>
      </c>
      <c r="W41" s="84">
        <v>0</v>
      </c>
      <c r="X41" s="84">
        <v>25.996008000000074</v>
      </c>
      <c r="Y41" s="84">
        <v>89.929685999999947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1.8063</v>
      </c>
      <c r="J42" s="113">
        <v>0.10555399999999993</v>
      </c>
      <c r="K42" s="113">
        <v>0</v>
      </c>
      <c r="L42" s="113">
        <v>0</v>
      </c>
      <c r="M42" s="113">
        <v>1.6972650000000002</v>
      </c>
      <c r="N42" s="113">
        <v>0</v>
      </c>
      <c r="O42" s="113">
        <v>4.5916000000000068E-2</v>
      </c>
      <c r="P42" s="113">
        <v>0</v>
      </c>
      <c r="Q42" s="113">
        <v>0</v>
      </c>
      <c r="R42" s="113">
        <v>0.14272700000000027</v>
      </c>
      <c r="S42" s="113">
        <v>0</v>
      </c>
      <c r="T42" s="113">
        <v>0</v>
      </c>
      <c r="U42" s="113">
        <v>0</v>
      </c>
      <c r="V42" s="113">
        <v>9.4397999999999982E-2</v>
      </c>
      <c r="W42" s="113">
        <v>0.51705599999999974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2.4053430000000073</v>
      </c>
      <c r="D43" s="28">
        <f t="shared" ref="D43:V43" si="43">SUM(D44:D45)</f>
        <v>9.0935110000000012</v>
      </c>
      <c r="E43" s="28">
        <f t="shared" si="43"/>
        <v>3.5280619999999949</v>
      </c>
      <c r="F43" s="28">
        <f t="shared" si="43"/>
        <v>27.501206999999987</v>
      </c>
      <c r="G43" s="28">
        <f t="shared" si="43"/>
        <v>3.3650200000000048</v>
      </c>
      <c r="H43" s="28">
        <f t="shared" si="43"/>
        <v>17.349547000000012</v>
      </c>
      <c r="I43" s="28">
        <f t="shared" si="43"/>
        <v>13.474111999999987</v>
      </c>
      <c r="J43" s="28">
        <f t="shared" si="43"/>
        <v>13.847626999999989</v>
      </c>
      <c r="K43" s="28">
        <f t="shared" si="43"/>
        <v>0</v>
      </c>
      <c r="L43" s="28">
        <f t="shared" si="43"/>
        <v>6.8570419999999785</v>
      </c>
      <c r="M43" s="28">
        <f t="shared" si="43"/>
        <v>18.16144700000001</v>
      </c>
      <c r="N43" s="28">
        <f t="shared" si="43"/>
        <v>0</v>
      </c>
      <c r="O43" s="28">
        <f t="shared" si="43"/>
        <v>13.523656999999986</v>
      </c>
      <c r="P43" s="28">
        <f t="shared" si="43"/>
        <v>0.26828599999998914</v>
      </c>
      <c r="Q43" s="28">
        <f t="shared" si="43"/>
        <v>12.332725000000011</v>
      </c>
      <c r="R43" s="28">
        <f t="shared" si="43"/>
        <v>5.2669909999999902</v>
      </c>
      <c r="S43" s="28">
        <f t="shared" si="43"/>
        <v>11.265055999999987</v>
      </c>
      <c r="T43" s="28">
        <f t="shared" si="43"/>
        <v>11.990874000000019</v>
      </c>
      <c r="U43" s="28">
        <f t="shared" si="43"/>
        <v>13.097312999999994</v>
      </c>
      <c r="V43" s="28">
        <f t="shared" si="43"/>
        <v>15.387068000000003</v>
      </c>
      <c r="W43" s="28">
        <f t="shared" ref="W43:Y43" si="44">SUM(W44:W45)</f>
        <v>8.7837300000000127</v>
      </c>
      <c r="X43" s="28">
        <f t="shared" si="44"/>
        <v>7.0562179999999906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1.0628229999999999</v>
      </c>
      <c r="D44" s="84">
        <v>1.8206369999999996</v>
      </c>
      <c r="E44" s="84">
        <v>1.1129730000000002</v>
      </c>
      <c r="F44" s="84">
        <v>2.187676999999999</v>
      </c>
      <c r="G44" s="84">
        <v>1.3845860000000023</v>
      </c>
      <c r="H44" s="84">
        <v>2.9315140000000035</v>
      </c>
      <c r="I44" s="84">
        <v>1.4996710000000029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0.43942800000000126</v>
      </c>
      <c r="V44" s="84">
        <v>15.387068000000003</v>
      </c>
      <c r="W44" s="84">
        <v>0.61426900000000018</v>
      </c>
      <c r="X44" s="84">
        <v>0.42730700000000255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1.3425200000000075</v>
      </c>
      <c r="D45" s="86">
        <v>7.2728740000000016</v>
      </c>
      <c r="E45" s="86">
        <v>2.4150889999999947</v>
      </c>
      <c r="F45" s="86">
        <v>25.313529999999986</v>
      </c>
      <c r="G45" s="86">
        <v>1.9804340000000025</v>
      </c>
      <c r="H45" s="86">
        <v>14.418033000000008</v>
      </c>
      <c r="I45" s="86">
        <v>11.974440999999985</v>
      </c>
      <c r="J45" s="86">
        <v>13.847626999999989</v>
      </c>
      <c r="K45" s="86">
        <v>0</v>
      </c>
      <c r="L45" s="86">
        <v>6.8570419999999785</v>
      </c>
      <c r="M45" s="86">
        <v>18.16144700000001</v>
      </c>
      <c r="N45" s="86">
        <v>0</v>
      </c>
      <c r="O45" s="86">
        <v>13.523656999999986</v>
      </c>
      <c r="P45" s="86">
        <v>0.26828599999998914</v>
      </c>
      <c r="Q45" s="86">
        <v>12.332725000000011</v>
      </c>
      <c r="R45" s="86">
        <v>5.2669909999999902</v>
      </c>
      <c r="S45" s="86">
        <v>11.265055999999987</v>
      </c>
      <c r="T45" s="86">
        <v>11.990874000000019</v>
      </c>
      <c r="U45" s="86">
        <v>12.657884999999993</v>
      </c>
      <c r="V45" s="86">
        <v>0</v>
      </c>
      <c r="W45" s="86">
        <v>8.1694610000000125</v>
      </c>
      <c r="X45" s="86">
        <v>6.628910999999988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91.492919608495995</v>
      </c>
      <c r="C50" s="29">
        <f t="shared" si="45"/>
        <v>95.652777173124079</v>
      </c>
      <c r="D50" s="29">
        <f t="shared" si="45"/>
        <v>97.107157981304752</v>
      </c>
      <c r="E50" s="29">
        <f t="shared" si="45"/>
        <v>95.989302022862617</v>
      </c>
      <c r="F50" s="29">
        <f t="shared" si="45"/>
        <v>94.451139893628266</v>
      </c>
      <c r="G50" s="29">
        <f t="shared" si="45"/>
        <v>98.96713439904147</v>
      </c>
      <c r="H50" s="29">
        <f t="shared" si="45"/>
        <v>97.960563610882588</v>
      </c>
      <c r="I50" s="29">
        <f t="shared" si="45"/>
        <v>98.200544974630205</v>
      </c>
      <c r="J50" s="29">
        <f t="shared" si="45"/>
        <v>101.12650523856267</v>
      </c>
      <c r="K50" s="29">
        <f t="shared" ref="K50:V50" si="46">IF(K4=0,0,K4/K15)</f>
        <v>96.136139468038323</v>
      </c>
      <c r="L50" s="29">
        <f t="shared" si="46"/>
        <v>95.565664540852666</v>
      </c>
      <c r="M50" s="29">
        <f t="shared" si="46"/>
        <v>103.28969573099059</v>
      </c>
      <c r="N50" s="29">
        <f t="shared" si="46"/>
        <v>105.49196548640943</v>
      </c>
      <c r="O50" s="29">
        <f t="shared" si="46"/>
        <v>101.27575344380776</v>
      </c>
      <c r="P50" s="29">
        <f t="shared" si="46"/>
        <v>97.528372986054023</v>
      </c>
      <c r="Q50" s="29">
        <f t="shared" si="46"/>
        <v>97.239114669663437</v>
      </c>
      <c r="R50" s="29">
        <f t="shared" si="46"/>
        <v>93.09702322487027</v>
      </c>
      <c r="S50" s="29">
        <f t="shared" si="46"/>
        <v>88.294022147250757</v>
      </c>
      <c r="T50" s="29">
        <f t="shared" si="46"/>
        <v>92.18114537584367</v>
      </c>
      <c r="U50" s="29">
        <f t="shared" si="46"/>
        <v>91.354957410808169</v>
      </c>
      <c r="V50" s="29">
        <f t="shared" si="46"/>
        <v>63.335351510172828</v>
      </c>
      <c r="W50" s="29">
        <f t="shared" ref="W50:Y50" si="47">IF(W4=0,0,W4/W15)</f>
        <v>67.156553667655757</v>
      </c>
      <c r="X50" s="29">
        <f t="shared" si="47"/>
        <v>89.473875493180643</v>
      </c>
      <c r="Y50" s="29">
        <f t="shared" si="47"/>
        <v>100.24200351889165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76.589021704899082</v>
      </c>
      <c r="C51" s="115">
        <f t="shared" si="48"/>
        <v>76.589021704899082</v>
      </c>
      <c r="D51" s="115">
        <f t="shared" si="48"/>
        <v>76.589021704899082</v>
      </c>
      <c r="E51" s="115">
        <f t="shared" si="48"/>
        <v>76.589021704899082</v>
      </c>
      <c r="F51" s="115">
        <f t="shared" si="48"/>
        <v>76.589021704899082</v>
      </c>
      <c r="G51" s="115">
        <f t="shared" si="48"/>
        <v>77.347652948194082</v>
      </c>
      <c r="H51" s="115">
        <f t="shared" si="48"/>
        <v>76.676404822716577</v>
      </c>
      <c r="I51" s="115">
        <f t="shared" si="48"/>
        <v>76.991187457061486</v>
      </c>
      <c r="J51" s="115">
        <f t="shared" si="48"/>
        <v>78.797012167375641</v>
      </c>
      <c r="K51" s="115">
        <f t="shared" ref="K51:V51" si="49">IF(K5=0,0,K5/K16)</f>
        <v>77.816682279147216</v>
      </c>
      <c r="L51" s="115">
        <f t="shared" si="49"/>
        <v>78.32049756221268</v>
      </c>
      <c r="M51" s="115">
        <f t="shared" si="49"/>
        <v>79.22099528254094</v>
      </c>
      <c r="N51" s="115">
        <f t="shared" si="49"/>
        <v>80.334751986928353</v>
      </c>
      <c r="O51" s="115">
        <f t="shared" si="49"/>
        <v>81.391727531595407</v>
      </c>
      <c r="P51" s="115">
        <f t="shared" si="49"/>
        <v>80.735258522315391</v>
      </c>
      <c r="Q51" s="115">
        <f t="shared" si="49"/>
        <v>80.687167361274007</v>
      </c>
      <c r="R51" s="115">
        <f t="shared" si="49"/>
        <v>81.218736415548591</v>
      </c>
      <c r="S51" s="115">
        <f t="shared" si="49"/>
        <v>80.854066693952987</v>
      </c>
      <c r="T51" s="115">
        <f t="shared" si="49"/>
        <v>82.024575837651682</v>
      </c>
      <c r="U51" s="115">
        <f t="shared" si="49"/>
        <v>80.993015133876611</v>
      </c>
      <c r="V51" s="115">
        <f t="shared" si="49"/>
        <v>58.067496345661375</v>
      </c>
      <c r="W51" s="115">
        <f t="shared" ref="W51:Y51" si="50">IF(W5=0,0,W5/W16)</f>
        <v>58.837469296661993</v>
      </c>
      <c r="X51" s="115">
        <f t="shared" si="50"/>
        <v>63.499005029987394</v>
      </c>
      <c r="Y51" s="115">
        <f t="shared" si="50"/>
        <v>82.194660245634751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105.49283560772615</v>
      </c>
      <c r="C52" s="116">
        <f t="shared" si="51"/>
        <v>115.52830391392546</v>
      </c>
      <c r="D52" s="116">
        <f t="shared" si="51"/>
        <v>119.44771289371354</v>
      </c>
      <c r="E52" s="116">
        <f t="shared" si="51"/>
        <v>117.40600928438391</v>
      </c>
      <c r="F52" s="116">
        <f t="shared" si="51"/>
        <v>115.00880841248348</v>
      </c>
      <c r="G52" s="116">
        <f t="shared" si="51"/>
        <v>124.82783828838224</v>
      </c>
      <c r="H52" s="116">
        <f t="shared" si="51"/>
        <v>123.00502464879493</v>
      </c>
      <c r="I52" s="116">
        <f t="shared" si="51"/>
        <v>121.34797817253366</v>
      </c>
      <c r="J52" s="116">
        <f t="shared" si="51"/>
        <v>122.53790264560683</v>
      </c>
      <c r="K52" s="116">
        <f t="shared" ref="K52:V52" si="52">IF(K6=0,0,K6/K17)</f>
        <v>112.75130714128652</v>
      </c>
      <c r="L52" s="116">
        <f t="shared" si="52"/>
        <v>110.8047951401448</v>
      </c>
      <c r="M52" s="116">
        <f t="shared" si="52"/>
        <v>125.64161098338408</v>
      </c>
      <c r="N52" s="116">
        <f t="shared" si="52"/>
        <v>128.42983866639719</v>
      </c>
      <c r="O52" s="116">
        <f t="shared" si="52"/>
        <v>115.85984038642155</v>
      </c>
      <c r="P52" s="116">
        <f t="shared" si="52"/>
        <v>107.92213031432588</v>
      </c>
      <c r="Q52" s="116">
        <f t="shared" si="52"/>
        <v>107.53790981427298</v>
      </c>
      <c r="R52" s="116">
        <f t="shared" si="52"/>
        <v>98.308860501012134</v>
      </c>
      <c r="S52" s="116">
        <f t="shared" si="52"/>
        <v>90.031468039592298</v>
      </c>
      <c r="T52" s="116">
        <f t="shared" si="52"/>
        <v>95.570516340059825</v>
      </c>
      <c r="U52" s="116">
        <f t="shared" si="52"/>
        <v>95.084791811720123</v>
      </c>
      <c r="V52" s="116">
        <f t="shared" si="52"/>
        <v>66.268613519317654</v>
      </c>
      <c r="W52" s="116">
        <f t="shared" ref="W52:Y52" si="53">IF(W6=0,0,W6/W17)</f>
        <v>72.882993102054328</v>
      </c>
      <c r="X52" s="116">
        <f t="shared" si="53"/>
        <v>109.58561571165839</v>
      </c>
      <c r="Y52" s="116">
        <f t="shared" si="53"/>
        <v>108.29300358627765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80.386374841907369</v>
      </c>
      <c r="C53" s="87">
        <f t="shared" si="54"/>
        <v>80.276982831266679</v>
      </c>
      <c r="D53" s="87">
        <f t="shared" si="54"/>
        <v>80.454481616260225</v>
      </c>
      <c r="E53" s="87">
        <f t="shared" si="54"/>
        <v>80.565427491712057</v>
      </c>
      <c r="F53" s="87">
        <f t="shared" si="54"/>
        <v>80.708069310093421</v>
      </c>
      <c r="G53" s="87">
        <f t="shared" si="54"/>
        <v>83.996646624925361</v>
      </c>
      <c r="H53" s="87">
        <f t="shared" si="54"/>
        <v>81.175651800060223</v>
      </c>
      <c r="I53" s="87">
        <f t="shared" si="54"/>
        <v>80.664644206627869</v>
      </c>
      <c r="J53" s="87">
        <f t="shared" si="54"/>
        <v>88.840677006653351</v>
      </c>
      <c r="K53" s="87">
        <f t="shared" ref="K53:V53" si="55">IF(K7=0,0,K7/K18)</f>
        <v>84.443798589680654</v>
      </c>
      <c r="L53" s="87">
        <f t="shared" si="55"/>
        <v>86.608754921886245</v>
      </c>
      <c r="M53" s="87">
        <f t="shared" si="55"/>
        <v>88.522617102846496</v>
      </c>
      <c r="N53" s="87">
        <f t="shared" si="55"/>
        <v>93.829289563649311</v>
      </c>
      <c r="O53" s="87">
        <f t="shared" si="55"/>
        <v>96.917338229319256</v>
      </c>
      <c r="P53" s="87">
        <f t="shared" si="55"/>
        <v>95.42708683830692</v>
      </c>
      <c r="Q53" s="87">
        <f t="shared" si="55"/>
        <v>95.215307299845378</v>
      </c>
      <c r="R53" s="87">
        <f t="shared" si="55"/>
        <v>96.575707304434516</v>
      </c>
      <c r="S53" s="87">
        <f t="shared" si="55"/>
        <v>94.795363770073763</v>
      </c>
      <c r="T53" s="87">
        <f t="shared" si="55"/>
        <v>97.873003258965625</v>
      </c>
      <c r="U53" s="87">
        <f t="shared" si="55"/>
        <v>93.805247971156504</v>
      </c>
      <c r="V53" s="87">
        <f t="shared" si="55"/>
        <v>54.755248240695039</v>
      </c>
      <c r="W53" s="87">
        <f t="shared" ref="W53:Y53" si="56">IF(W7=0,0,W7/W18)</f>
        <v>58.889630623630048</v>
      </c>
      <c r="X53" s="87">
        <f t="shared" si="56"/>
        <v>56.983496890530802</v>
      </c>
      <c r="Y53" s="87">
        <f t="shared" si="56"/>
        <v>75.546822092388638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109.93678288403606</v>
      </c>
      <c r="C54" s="87">
        <f t="shared" si="57"/>
        <v>122.88912425620214</v>
      </c>
      <c r="D54" s="87">
        <f t="shared" si="57"/>
        <v>128.60657552858041</v>
      </c>
      <c r="E54" s="87">
        <f t="shared" si="57"/>
        <v>126.77065961638363</v>
      </c>
      <c r="F54" s="87">
        <f t="shared" si="57"/>
        <v>124.08428480023564</v>
      </c>
      <c r="G54" s="87">
        <f t="shared" si="57"/>
        <v>137.896343893753</v>
      </c>
      <c r="H54" s="87">
        <f t="shared" si="57"/>
        <v>136.39717763147249</v>
      </c>
      <c r="I54" s="87">
        <f t="shared" si="57"/>
        <v>134.53212378414915</v>
      </c>
      <c r="J54" s="87">
        <f t="shared" si="57"/>
        <v>134.54172518840156</v>
      </c>
      <c r="K54" s="87">
        <f t="shared" ref="K54:V54" si="58">IF(K8=0,0,K8/K19)</f>
        <v>122.46034605834355</v>
      </c>
      <c r="L54" s="87">
        <f t="shared" si="58"/>
        <v>118.23229954908135</v>
      </c>
      <c r="M54" s="87">
        <f t="shared" si="58"/>
        <v>136.96302349863441</v>
      </c>
      <c r="N54" s="87">
        <f t="shared" si="58"/>
        <v>139.37460917419301</v>
      </c>
      <c r="O54" s="87">
        <f t="shared" si="58"/>
        <v>120.16675237521153</v>
      </c>
      <c r="P54" s="87">
        <f t="shared" si="58"/>
        <v>110.75099932159763</v>
      </c>
      <c r="Q54" s="87">
        <f t="shared" si="58"/>
        <v>109.66244391568009</v>
      </c>
      <c r="R54" s="87">
        <f t="shared" si="58"/>
        <v>98.572323654378408</v>
      </c>
      <c r="S54" s="87">
        <f t="shared" si="58"/>
        <v>89.319560775724526</v>
      </c>
      <c r="T54" s="87">
        <f t="shared" si="58"/>
        <v>95.22851373141765</v>
      </c>
      <c r="U54" s="87">
        <f t="shared" si="58"/>
        <v>95.283602934753773</v>
      </c>
      <c r="V54" s="87">
        <f t="shared" si="58"/>
        <v>67.300059718879226</v>
      </c>
      <c r="W54" s="87">
        <f t="shared" ref="W54:Y54" si="59">IF(W8=0,0,W8/W19)</f>
        <v>74.102063925679289</v>
      </c>
      <c r="X54" s="87">
        <f t="shared" si="59"/>
        <v>114.0607723260822</v>
      </c>
      <c r="Y54" s="87">
        <f t="shared" si="59"/>
        <v>111.81751280668921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239.32232588045466</v>
      </c>
      <c r="J55" s="117">
        <f t="shared" si="60"/>
        <v>256.06267528350202</v>
      </c>
      <c r="K55" s="117">
        <f t="shared" ref="K55:V55" si="61">IF(K9=0,0,K9/K20)</f>
        <v>262.64260768335271</v>
      </c>
      <c r="L55" s="117">
        <f t="shared" si="61"/>
        <v>283.51482507413118</v>
      </c>
      <c r="M55" s="117">
        <f t="shared" si="61"/>
        <v>285.9631901840491</v>
      </c>
      <c r="N55" s="117">
        <f t="shared" si="61"/>
        <v>301.49817295980512</v>
      </c>
      <c r="O55" s="117">
        <f t="shared" si="61"/>
        <v>307.51755725190839</v>
      </c>
      <c r="P55" s="117">
        <f t="shared" si="61"/>
        <v>313.53136934657937</v>
      </c>
      <c r="Q55" s="117">
        <f t="shared" si="61"/>
        <v>324.59401291332421</v>
      </c>
      <c r="R55" s="117">
        <f t="shared" si="61"/>
        <v>338.25778651166644</v>
      </c>
      <c r="S55" s="117">
        <f t="shared" si="61"/>
        <v>346.49583447552527</v>
      </c>
      <c r="T55" s="117">
        <f t="shared" si="61"/>
        <v>355.05954421815352</v>
      </c>
      <c r="U55" s="117">
        <f t="shared" si="61"/>
        <v>357.91357212922139</v>
      </c>
      <c r="V55" s="117">
        <f t="shared" si="61"/>
        <v>190.74889404940788</v>
      </c>
      <c r="W55" s="117">
        <f t="shared" ref="W55:Y55" si="62">IF(W9=0,0,W9/W20)</f>
        <v>191.46230107519079</v>
      </c>
      <c r="X55" s="117">
        <f t="shared" si="62"/>
        <v>332.85759086180229</v>
      </c>
      <c r="Y55" s="117">
        <f t="shared" si="62"/>
        <v>360.84224239562843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430.56457977782685</v>
      </c>
      <c r="C56" s="29">
        <f t="shared" si="63"/>
        <v>447.36051440081172</v>
      </c>
      <c r="D56" s="29">
        <f t="shared" si="63"/>
        <v>447.18160082575753</v>
      </c>
      <c r="E56" s="29">
        <f t="shared" si="63"/>
        <v>446.9165489642844</v>
      </c>
      <c r="F56" s="29">
        <f t="shared" si="63"/>
        <v>446.96534308015106</v>
      </c>
      <c r="G56" s="29">
        <f t="shared" si="63"/>
        <v>458.29022130559338</v>
      </c>
      <c r="H56" s="29">
        <f t="shared" si="63"/>
        <v>481.62436109190145</v>
      </c>
      <c r="I56" s="29">
        <f t="shared" si="63"/>
        <v>475.09973976982809</v>
      </c>
      <c r="J56" s="29">
        <f t="shared" si="63"/>
        <v>484.98764839418141</v>
      </c>
      <c r="K56" s="29">
        <f t="shared" ref="K56:V56" si="64">IF(K10=0,0,K10/K21)</f>
        <v>466.87642020752639</v>
      </c>
      <c r="L56" s="29">
        <f t="shared" si="64"/>
        <v>480.67368498418227</v>
      </c>
      <c r="M56" s="29">
        <f t="shared" si="64"/>
        <v>468.27144872367643</v>
      </c>
      <c r="N56" s="29">
        <f t="shared" si="64"/>
        <v>484.11345821679231</v>
      </c>
      <c r="O56" s="29">
        <f t="shared" si="64"/>
        <v>464.50056708877855</v>
      </c>
      <c r="P56" s="29">
        <f t="shared" si="64"/>
        <v>510.8129661658449</v>
      </c>
      <c r="Q56" s="29">
        <f t="shared" si="64"/>
        <v>500.28576970491855</v>
      </c>
      <c r="R56" s="29">
        <f t="shared" si="64"/>
        <v>515.35437030045159</v>
      </c>
      <c r="S56" s="29">
        <f t="shared" si="64"/>
        <v>521.02635590396233</v>
      </c>
      <c r="T56" s="29">
        <f t="shared" si="64"/>
        <v>502.82428066727579</v>
      </c>
      <c r="U56" s="29">
        <f t="shared" si="64"/>
        <v>480.17608649167346</v>
      </c>
      <c r="V56" s="29">
        <f t="shared" si="64"/>
        <v>438.36750374279734</v>
      </c>
      <c r="W56" s="29">
        <f t="shared" ref="W56:Y56" si="65">IF(W10=0,0,W10/W21)</f>
        <v>460.99960204731224</v>
      </c>
      <c r="X56" s="29">
        <f t="shared" si="65"/>
        <v>467.84945279083558</v>
      </c>
      <c r="Y56" s="29">
        <f t="shared" si="65"/>
        <v>463.70375441333169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455.86036171978077</v>
      </c>
      <c r="C57" s="87">
        <f t="shared" si="66"/>
        <v>455.76424803839552</v>
      </c>
      <c r="D57" s="87">
        <f t="shared" si="66"/>
        <v>436.62736302859281</v>
      </c>
      <c r="E57" s="87">
        <f t="shared" si="66"/>
        <v>436.45078231099473</v>
      </c>
      <c r="F57" s="87">
        <f t="shared" si="66"/>
        <v>436.402796954373</v>
      </c>
      <c r="G57" s="87">
        <f t="shared" si="66"/>
        <v>463.30383404498474</v>
      </c>
      <c r="H57" s="87">
        <f t="shared" si="66"/>
        <v>442.54403824456324</v>
      </c>
      <c r="I57" s="87">
        <f t="shared" si="66"/>
        <v>432.99746334752382</v>
      </c>
      <c r="J57" s="87">
        <f t="shared" si="66"/>
        <v>618.61603715666354</v>
      </c>
      <c r="K57" s="87">
        <f t="shared" ref="K57:V57" si="67">IF(K11=0,0,K11/K22)</f>
        <v>638.21861425136387</v>
      </c>
      <c r="L57" s="87">
        <f t="shared" si="67"/>
        <v>669.74500505790365</v>
      </c>
      <c r="M57" s="87">
        <f t="shared" si="67"/>
        <v>711.33599436077304</v>
      </c>
      <c r="N57" s="87">
        <f t="shared" si="67"/>
        <v>736.02065329540062</v>
      </c>
      <c r="O57" s="87">
        <f t="shared" si="67"/>
        <v>773.5077722486169</v>
      </c>
      <c r="P57" s="87">
        <f t="shared" si="67"/>
        <v>776.14355924223139</v>
      </c>
      <c r="Q57" s="87">
        <f t="shared" si="67"/>
        <v>749.87400263305517</v>
      </c>
      <c r="R57" s="87">
        <f t="shared" si="67"/>
        <v>784.33834569087003</v>
      </c>
      <c r="S57" s="87">
        <f t="shared" si="67"/>
        <v>760.49476606023904</v>
      </c>
      <c r="T57" s="87">
        <f t="shared" si="67"/>
        <v>823.59276241485554</v>
      </c>
      <c r="U57" s="87">
        <f t="shared" si="67"/>
        <v>733.01519972829988</v>
      </c>
      <c r="V57" s="87">
        <f t="shared" si="67"/>
        <v>309.5160835564588</v>
      </c>
      <c r="W57" s="87">
        <f t="shared" ref="W57:Y57" si="68">IF(W11=0,0,W11/W22)</f>
        <v>307.59181538909706</v>
      </c>
      <c r="X57" s="87">
        <f t="shared" si="68"/>
        <v>313.33750259282715</v>
      </c>
      <c r="Y57" s="87">
        <f t="shared" si="68"/>
        <v>480.16777618995559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429.09963920445381</v>
      </c>
      <c r="C58" s="88">
        <f t="shared" si="69"/>
        <v>446.83214390363202</v>
      </c>
      <c r="D58" s="88">
        <f t="shared" si="69"/>
        <v>447.92118168752972</v>
      </c>
      <c r="E58" s="88">
        <f t="shared" si="69"/>
        <v>447.7043164475345</v>
      </c>
      <c r="F58" s="88">
        <f t="shared" si="69"/>
        <v>447.77563969305993</v>
      </c>
      <c r="G58" s="88">
        <f t="shared" si="69"/>
        <v>457.8730421468149</v>
      </c>
      <c r="H58" s="88">
        <f t="shared" si="69"/>
        <v>485.22457256234321</v>
      </c>
      <c r="I58" s="88">
        <f t="shared" si="69"/>
        <v>479.07982352970805</v>
      </c>
      <c r="J58" s="88">
        <f t="shared" si="69"/>
        <v>477.14703753931218</v>
      </c>
      <c r="K58" s="88">
        <f t="shared" ref="K58:V58" si="70">IF(K12=0,0,K12/K23)</f>
        <v>457.29555020143704</v>
      </c>
      <c r="L58" s="88">
        <f t="shared" si="70"/>
        <v>470.86130725857419</v>
      </c>
      <c r="M58" s="88">
        <f t="shared" si="70"/>
        <v>457.92523546807178</v>
      </c>
      <c r="N58" s="88">
        <f t="shared" si="70"/>
        <v>472.71021716492356</v>
      </c>
      <c r="O58" s="88">
        <f t="shared" si="70"/>
        <v>453.32388395902626</v>
      </c>
      <c r="P58" s="88">
        <f t="shared" si="70"/>
        <v>499.29000953088655</v>
      </c>
      <c r="Q58" s="88">
        <f t="shared" si="70"/>
        <v>491.60334740606271</v>
      </c>
      <c r="R58" s="88">
        <f t="shared" si="70"/>
        <v>506.12919185696984</v>
      </c>
      <c r="S58" s="88">
        <f t="shared" si="70"/>
        <v>511.87560656924552</v>
      </c>
      <c r="T58" s="88">
        <f t="shared" si="70"/>
        <v>492.31684511581693</v>
      </c>
      <c r="U58" s="88">
        <f t="shared" si="70"/>
        <v>471.1396050612156</v>
      </c>
      <c r="V58" s="88">
        <f t="shared" si="70"/>
        <v>452.25725312209681</v>
      </c>
      <c r="W58" s="88">
        <f t="shared" ref="W58:Y58" si="71">IF(W12=0,0,W12/W23)</f>
        <v>477.48262876041406</v>
      </c>
      <c r="X58" s="88">
        <f t="shared" si="71"/>
        <v>484.38218439384553</v>
      </c>
      <c r="Y58" s="88">
        <f t="shared" si="71"/>
        <v>462.75928992152933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364.92652979364965</v>
      </c>
      <c r="C61" s="29">
        <f t="shared" ref="C61" si="73">IF(C26=0,0,(C62*C27+C64*C29+C65*C30+C66*C31)/(C27+C29+C30+C31))</f>
        <v>366.80857675931583</v>
      </c>
      <c r="D61" s="29">
        <f t="shared" ref="D61" si="74">IF(D26=0,0,(D62*D27+D64*D29+D65*D30+D66*D31)/(D27+D29+D30+D31))</f>
        <v>367.80365893492683</v>
      </c>
      <c r="E61" s="29">
        <f t="shared" ref="E61" si="75">IF(E26=0,0,(E62*E27+E64*E29+E65*E30+E66*E31)/(E27+E29+E30+E31))</f>
        <v>368.06858918302879</v>
      </c>
      <c r="F61" s="29">
        <f t="shared" ref="F61" si="76">IF(F26=0,0,(F62*F27+F64*F29+F65*F30+F66*F31)/(F27+F29+F30+F31))</f>
        <v>368.86458138433005</v>
      </c>
      <c r="G61" s="29">
        <f t="shared" ref="G61" si="77">IF(G26=0,0,(G62*G27+G64*G29+G65*G30+G66*G31)/(G27+G29+G30+G31))</f>
        <v>369.59503278716414</v>
      </c>
      <c r="H61" s="29">
        <f t="shared" ref="H61" si="78">IF(H26=0,0,(H62*H27+H64*H29+H65*H30+H66*H31)/(H27+H29+H30+H31))</f>
        <v>369.28454390774414</v>
      </c>
      <c r="I61" s="29">
        <f t="shared" ref="I61" si="79">IF(I26=0,0,(I62*I27+I64*I29+I65*I30+I66*I31)/(I27+I29+I30+I31))</f>
        <v>369.35788295726525</v>
      </c>
      <c r="J61" s="29">
        <f t="shared" ref="J61" si="80">IF(J26=0,0,(J62*J27+J64*J29+J65*J30+J66*J31)/(J27+J29+J30+J31))</f>
        <v>367.02619606950782</v>
      </c>
      <c r="K61" s="29">
        <f t="shared" ref="K61" si="81">IF(K26=0,0,(K62*K27+K64*K29+K65*K30+K66*K31)/(K27+K29+K30+K31))</f>
        <v>366.25819009726854</v>
      </c>
      <c r="L61" s="29">
        <f t="shared" ref="L61" si="82">IF(L26=0,0,(L62*L27+L64*L29+L65*L30+L66*L31)/(L27+L29+L30+L31))</f>
        <v>365.89553111607773</v>
      </c>
      <c r="M61" s="29">
        <f t="shared" ref="M61" si="83">IF(M26=0,0,(M62*M27+M64*M29+M65*M30+M66*M31)/(M27+M29+M30+M31))</f>
        <v>367.92618179306061</v>
      </c>
      <c r="N61" s="29">
        <f t="shared" ref="N61" si="84">IF(N26=0,0,(N62*N27+N64*N29+N65*N30+N66*N31)/(N27+N29+N30+N31))</f>
        <v>367.784301865739</v>
      </c>
      <c r="O61" s="29">
        <f t="shared" ref="O61" si="85">IF(O26=0,0,(O62*O27+O64*O29+O65*O30+O66*O31)/(O27+O29+O30+O31))</f>
        <v>364.59823111998548</v>
      </c>
      <c r="P61" s="29">
        <f t="shared" ref="P61" si="86">IF(P26=0,0,(P62*P27+P64*P29+P65*P30+P66*P31)/(P27+P29+P30+P31))</f>
        <v>362.64367499870849</v>
      </c>
      <c r="Q61" s="29">
        <f t="shared" ref="Q61" si="87">IF(Q26=0,0,(Q62*Q27+Q64*Q29+Q65*Q30+Q66*Q31)/(Q27+Q29+Q30+Q31))</f>
        <v>362.38895184340851</v>
      </c>
      <c r="R61" s="29">
        <f t="shared" ref="R61" si="88">IF(R26=0,0,(R62*R27+R64*R29+R65*R30+R66*R31)/(R27+R29+R30+R31))</f>
        <v>360.18430666304448</v>
      </c>
      <c r="S61" s="29">
        <f t="shared" ref="S61" si="89">IF(S26=0,0,(S62*S27+S64*S29+S65*S30+S66*S31)/(S27+S29+S30+S31))</f>
        <v>358.58323526993252</v>
      </c>
      <c r="T61" s="29">
        <f t="shared" ref="T61" si="90">IF(T26=0,0,(T62*T27+T64*T29+T65*T30+T66*T31)/(T27+T29+T30+T31))</f>
        <v>358.63364559217672</v>
      </c>
      <c r="U61" s="29">
        <f t="shared" ref="U61" si="91">IF(U26=0,0,(U62*U27+U64*U29+U65*U30+U66*U31)/(U27+U29+U30+U31))</f>
        <v>359.04566439639893</v>
      </c>
      <c r="V61" s="29">
        <f t="shared" ref="V61" si="92">IF(V26=0,0,(V62*V27+V64*V29+V65*V30+V66*V31)/(V27+V29+V30+V31))</f>
        <v>362.51397013386179</v>
      </c>
      <c r="W61" s="29">
        <f t="shared" ref="W61:Y61" si="93">IF(W26=0,0,(W62*W27+W64*W29+W65*W30+W66*W31)/(W27+W29+W30+W31))</f>
        <v>364.64621786447452</v>
      </c>
      <c r="X61" s="29">
        <f t="shared" si="93"/>
        <v>364.12242317608747</v>
      </c>
      <c r="Y61" s="29">
        <f t="shared" si="93"/>
        <v>360.86889846696909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319.99999999999994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2100.0000000000005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0.25071599935535333</v>
      </c>
      <c r="C72" s="30">
        <f t="shared" ref="C72:J72" si="138">IF(C50=0,0,C50/C61)</f>
        <v>0.26077028519397832</v>
      </c>
      <c r="D72" s="30">
        <f t="shared" si="138"/>
        <v>0.2640190102037166</v>
      </c>
      <c r="E72" s="30">
        <f t="shared" si="138"/>
        <v>0.26079188728362307</v>
      </c>
      <c r="F72" s="30">
        <f t="shared" si="138"/>
        <v>0.25605911941764081</v>
      </c>
      <c r="G72" s="30">
        <f t="shared" si="138"/>
        <v>0.26777181947689466</v>
      </c>
      <c r="H72" s="30">
        <f t="shared" si="138"/>
        <v>0.26527122574443684</v>
      </c>
      <c r="I72" s="30">
        <f t="shared" si="138"/>
        <v>0.26586827980598976</v>
      </c>
      <c r="J72" s="30">
        <f t="shared" si="138"/>
        <v>0.27552939360058981</v>
      </c>
      <c r="K72" s="30">
        <f t="shared" ref="K72:V72" si="139">IF(K50=0,0,K50/K61)</f>
        <v>0.26248188318330051</v>
      </c>
      <c r="L72" s="30">
        <f t="shared" si="139"/>
        <v>0.26118292357753653</v>
      </c>
      <c r="M72" s="30">
        <f t="shared" si="139"/>
        <v>0.28073483443775599</v>
      </c>
      <c r="N72" s="30">
        <f t="shared" si="139"/>
        <v>0.28683107177565087</v>
      </c>
      <c r="O72" s="30">
        <f t="shared" si="139"/>
        <v>0.27777357320880408</v>
      </c>
      <c r="P72" s="30">
        <f t="shared" si="139"/>
        <v>0.26893719568223923</v>
      </c>
      <c r="Q72" s="30">
        <f t="shared" si="139"/>
        <v>0.26832803311200648</v>
      </c>
      <c r="R72" s="30">
        <f t="shared" si="139"/>
        <v>0.25847051496322782</v>
      </c>
      <c r="S72" s="30">
        <f t="shared" si="139"/>
        <v>0.24623020114363467</v>
      </c>
      <c r="T72" s="30">
        <f t="shared" si="139"/>
        <v>0.25703429254004861</v>
      </c>
      <c r="U72" s="30">
        <f t="shared" si="139"/>
        <v>0.25443826919449752</v>
      </c>
      <c r="V72" s="30">
        <f t="shared" si="139"/>
        <v>0.17471147797914005</v>
      </c>
      <c r="W72" s="30">
        <f t="shared" ref="W72:Y72" si="140">IF(W50=0,0,W50/W61)</f>
        <v>0.18416906683127962</v>
      </c>
      <c r="X72" s="30">
        <f t="shared" si="140"/>
        <v>0.245724706302725</v>
      </c>
      <c r="Y72" s="30">
        <f t="shared" si="140"/>
        <v>0.27777955912725177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0.19147255426224771</v>
      </c>
      <c r="C73" s="118">
        <f t="shared" si="141"/>
        <v>0.19147255426224771</v>
      </c>
      <c r="D73" s="118">
        <f t="shared" si="141"/>
        <v>0.19147255426224771</v>
      </c>
      <c r="E73" s="118">
        <f t="shared" si="141"/>
        <v>0.19147255426224771</v>
      </c>
      <c r="F73" s="118">
        <f t="shared" si="141"/>
        <v>0.19147255426224771</v>
      </c>
      <c r="G73" s="118">
        <f t="shared" si="141"/>
        <v>0.1933691323704852</v>
      </c>
      <c r="H73" s="118">
        <f t="shared" si="141"/>
        <v>0.19169101205679145</v>
      </c>
      <c r="I73" s="118">
        <f t="shared" si="141"/>
        <v>0.19247796864265371</v>
      </c>
      <c r="J73" s="118">
        <f t="shared" si="141"/>
        <v>0.19699253041843912</v>
      </c>
      <c r="K73" s="118">
        <f t="shared" ref="K73:V73" si="142">IF(K51=0,0,K51/K62)</f>
        <v>0.19454170569786805</v>
      </c>
      <c r="L73" s="118">
        <f t="shared" si="142"/>
        <v>0.19580124390553169</v>
      </c>
      <c r="M73" s="118">
        <f t="shared" si="142"/>
        <v>0.19805248820635235</v>
      </c>
      <c r="N73" s="118">
        <f t="shared" si="142"/>
        <v>0.20083687996732089</v>
      </c>
      <c r="O73" s="118">
        <f t="shared" si="142"/>
        <v>0.20347931882898851</v>
      </c>
      <c r="P73" s="118">
        <f t="shared" si="142"/>
        <v>0.20183814630578847</v>
      </c>
      <c r="Q73" s="118">
        <f t="shared" si="142"/>
        <v>0.20171791840318501</v>
      </c>
      <c r="R73" s="118">
        <f t="shared" si="142"/>
        <v>0.20304684103887147</v>
      </c>
      <c r="S73" s="118">
        <f t="shared" si="142"/>
        <v>0.20213516673488247</v>
      </c>
      <c r="T73" s="118">
        <f t="shared" si="142"/>
        <v>0.2050614395941292</v>
      </c>
      <c r="U73" s="118">
        <f t="shared" si="142"/>
        <v>0.20248253783469153</v>
      </c>
      <c r="V73" s="118">
        <f t="shared" si="142"/>
        <v>0.14516874086415343</v>
      </c>
      <c r="W73" s="118">
        <f t="shared" ref="W73:Y73" si="143">IF(W51=0,0,W51/W62)</f>
        <v>0.14709367324165498</v>
      </c>
      <c r="X73" s="118">
        <f t="shared" si="143"/>
        <v>0.1587475125749685</v>
      </c>
      <c r="Y73" s="118">
        <f t="shared" si="143"/>
        <v>0.20548665061408689</v>
      </c>
      <c r="DA73" s="203"/>
    </row>
    <row r="74" spans="1:105" ht="11.45" customHeight="1" x14ac:dyDescent="0.25">
      <c r="A74" s="109" t="s">
        <v>24</v>
      </c>
      <c r="B74" s="119">
        <f t="shared" si="141"/>
        <v>0.32966511127414422</v>
      </c>
      <c r="C74" s="119">
        <f t="shared" si="141"/>
        <v>0.36102594973101698</v>
      </c>
      <c r="D74" s="119">
        <f t="shared" si="141"/>
        <v>0.37327410279285483</v>
      </c>
      <c r="E74" s="119">
        <f t="shared" si="141"/>
        <v>0.36689377901369974</v>
      </c>
      <c r="F74" s="119">
        <f t="shared" si="141"/>
        <v>0.35940252628901093</v>
      </c>
      <c r="G74" s="119">
        <f t="shared" si="141"/>
        <v>0.39008699465119451</v>
      </c>
      <c r="H74" s="119">
        <f t="shared" si="141"/>
        <v>0.38439070202748421</v>
      </c>
      <c r="I74" s="119">
        <f t="shared" si="141"/>
        <v>0.37921243178916769</v>
      </c>
      <c r="J74" s="119">
        <f t="shared" si="141"/>
        <v>0.3829309457675214</v>
      </c>
      <c r="K74" s="119">
        <f t="shared" ref="K74:V74" si="144">IF(K52=0,0,K52/K63)</f>
        <v>0.35234783481652038</v>
      </c>
      <c r="L74" s="119">
        <f t="shared" si="144"/>
        <v>0.34626498481295254</v>
      </c>
      <c r="M74" s="119">
        <f t="shared" si="144"/>
        <v>0.39263003432307525</v>
      </c>
      <c r="N74" s="119">
        <f t="shared" si="144"/>
        <v>0.4013432458324912</v>
      </c>
      <c r="O74" s="119">
        <f t="shared" si="144"/>
        <v>0.36206200120756743</v>
      </c>
      <c r="P74" s="119">
        <f t="shared" si="144"/>
        <v>0.33725665723226844</v>
      </c>
      <c r="Q74" s="119">
        <f t="shared" si="144"/>
        <v>0.33605596816960309</v>
      </c>
      <c r="R74" s="119">
        <f t="shared" si="144"/>
        <v>0.30721518906566292</v>
      </c>
      <c r="S74" s="119">
        <f t="shared" si="144"/>
        <v>0.28134833762372591</v>
      </c>
      <c r="T74" s="119">
        <f t="shared" si="144"/>
        <v>0.29865786356268698</v>
      </c>
      <c r="U74" s="119">
        <f t="shared" si="144"/>
        <v>0.29713997441162537</v>
      </c>
      <c r="V74" s="119">
        <f t="shared" si="144"/>
        <v>0.20708941724786764</v>
      </c>
      <c r="W74" s="119">
        <f t="shared" ref="W74:Y74" si="145">IF(W52=0,0,W52/W63)</f>
        <v>0.22775935344391979</v>
      </c>
      <c r="X74" s="119">
        <f t="shared" si="145"/>
        <v>0.34245504909893248</v>
      </c>
      <c r="Y74" s="119">
        <f t="shared" si="145"/>
        <v>0.33841563620711768</v>
      </c>
      <c r="DA74" s="176"/>
    </row>
    <row r="75" spans="1:105" ht="11.45" customHeight="1" x14ac:dyDescent="0.25">
      <c r="A75" s="111" t="s">
        <v>92</v>
      </c>
      <c r="B75" s="120">
        <f t="shared" si="141"/>
        <v>0.25120742138096053</v>
      </c>
      <c r="C75" s="120">
        <f t="shared" si="141"/>
        <v>0.25086557134770837</v>
      </c>
      <c r="D75" s="120">
        <f t="shared" si="141"/>
        <v>0.25142025505081322</v>
      </c>
      <c r="E75" s="120">
        <f t="shared" si="141"/>
        <v>0.25176696091160017</v>
      </c>
      <c r="F75" s="120">
        <f t="shared" si="141"/>
        <v>0.25221271659404193</v>
      </c>
      <c r="G75" s="120">
        <f t="shared" si="141"/>
        <v>0.26248952070289178</v>
      </c>
      <c r="H75" s="120">
        <f t="shared" si="141"/>
        <v>0.25367391187518817</v>
      </c>
      <c r="I75" s="120">
        <f t="shared" si="141"/>
        <v>0.25207701314571207</v>
      </c>
      <c r="J75" s="120">
        <f t="shared" si="141"/>
        <v>0.27762711564579173</v>
      </c>
      <c r="K75" s="120">
        <f t="shared" ref="K75:V75" si="146">IF(K53=0,0,K53/K64)</f>
        <v>0.26388687059275207</v>
      </c>
      <c r="L75" s="120">
        <f t="shared" si="146"/>
        <v>0.27065235913089453</v>
      </c>
      <c r="M75" s="120">
        <f t="shared" si="146"/>
        <v>0.27663317844639529</v>
      </c>
      <c r="N75" s="120">
        <f t="shared" si="146"/>
        <v>0.29321652988640412</v>
      </c>
      <c r="O75" s="120">
        <f t="shared" si="146"/>
        <v>0.3028666819666227</v>
      </c>
      <c r="P75" s="120">
        <f t="shared" si="146"/>
        <v>0.29820964636970915</v>
      </c>
      <c r="Q75" s="120">
        <f t="shared" si="146"/>
        <v>0.29754783531201678</v>
      </c>
      <c r="R75" s="120">
        <f t="shared" si="146"/>
        <v>0.30179908532635785</v>
      </c>
      <c r="S75" s="120">
        <f t="shared" si="146"/>
        <v>0.2962355117814805</v>
      </c>
      <c r="T75" s="120">
        <f t="shared" si="146"/>
        <v>0.3058531351842676</v>
      </c>
      <c r="U75" s="120">
        <f t="shared" si="146"/>
        <v>0.2931413999098641</v>
      </c>
      <c r="V75" s="120">
        <f t="shared" si="146"/>
        <v>0.17111015075217201</v>
      </c>
      <c r="W75" s="120">
        <f t="shared" ref="W75:Y75" si="147">IF(W53=0,0,W53/W64)</f>
        <v>0.1840300956988439</v>
      </c>
      <c r="X75" s="120">
        <f t="shared" si="147"/>
        <v>0.17807342778290874</v>
      </c>
      <c r="Y75" s="120">
        <f t="shared" si="147"/>
        <v>0.2360838190387145</v>
      </c>
      <c r="DA75" s="171"/>
    </row>
    <row r="76" spans="1:105" ht="11.45" customHeight="1" x14ac:dyDescent="0.25">
      <c r="A76" s="111" t="s">
        <v>93</v>
      </c>
      <c r="B76" s="120">
        <f t="shared" si="141"/>
        <v>0.34355244651261269</v>
      </c>
      <c r="C76" s="120">
        <f t="shared" si="141"/>
        <v>0.3840285133006317</v>
      </c>
      <c r="D76" s="120">
        <f t="shared" si="141"/>
        <v>0.40189554852681375</v>
      </c>
      <c r="E76" s="120">
        <f t="shared" si="141"/>
        <v>0.39615831130119883</v>
      </c>
      <c r="F76" s="120">
        <f t="shared" si="141"/>
        <v>0.38776339000073634</v>
      </c>
      <c r="G76" s="120">
        <f t="shared" si="141"/>
        <v>0.43092607466797811</v>
      </c>
      <c r="H76" s="120">
        <f t="shared" si="141"/>
        <v>0.42624118009835155</v>
      </c>
      <c r="I76" s="120">
        <f t="shared" si="141"/>
        <v>0.42041288682546607</v>
      </c>
      <c r="J76" s="120">
        <f t="shared" si="141"/>
        <v>0.42044289121375489</v>
      </c>
      <c r="K76" s="120">
        <f t="shared" ref="K76:V76" si="148">IF(K54=0,0,K54/K65)</f>
        <v>0.38268858143232359</v>
      </c>
      <c r="L76" s="120">
        <f t="shared" si="148"/>
        <v>0.3694759360908792</v>
      </c>
      <c r="M76" s="120">
        <f t="shared" si="148"/>
        <v>0.42800944843323252</v>
      </c>
      <c r="N76" s="120">
        <f t="shared" si="148"/>
        <v>0.43554565366935316</v>
      </c>
      <c r="O76" s="120">
        <f t="shared" si="148"/>
        <v>0.37552110117253601</v>
      </c>
      <c r="P76" s="120">
        <f t="shared" si="148"/>
        <v>0.34609687287999258</v>
      </c>
      <c r="Q76" s="120">
        <f t="shared" si="148"/>
        <v>0.34269513723650025</v>
      </c>
      <c r="R76" s="120">
        <f t="shared" si="148"/>
        <v>0.30803851141993255</v>
      </c>
      <c r="S76" s="120">
        <f t="shared" si="148"/>
        <v>0.27912362742413915</v>
      </c>
      <c r="T76" s="120">
        <f t="shared" si="148"/>
        <v>0.29758910541068018</v>
      </c>
      <c r="U76" s="120">
        <f t="shared" si="148"/>
        <v>0.29776125917110552</v>
      </c>
      <c r="V76" s="120">
        <f t="shared" si="148"/>
        <v>0.21031268662149757</v>
      </c>
      <c r="W76" s="120">
        <f t="shared" ref="W76:Y76" si="149">IF(W54=0,0,W54/W65)</f>
        <v>0.23156894976774778</v>
      </c>
      <c r="X76" s="120">
        <f t="shared" si="149"/>
        <v>0.35643991351900689</v>
      </c>
      <c r="Y76" s="120">
        <f t="shared" si="149"/>
        <v>0.34942972752090379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0.42736129621509761</v>
      </c>
      <c r="J77" s="121">
        <f t="shared" si="141"/>
        <v>0.4572547772919679</v>
      </c>
      <c r="K77" s="121">
        <f t="shared" ref="K77:V77" si="150">IF(K55=0,0,K55/K66)</f>
        <v>0.46900465657741552</v>
      </c>
      <c r="L77" s="121">
        <f t="shared" si="150"/>
        <v>0.50627647334666281</v>
      </c>
      <c r="M77" s="121">
        <f t="shared" si="150"/>
        <v>0.51064855390008768</v>
      </c>
      <c r="N77" s="121">
        <f t="shared" si="150"/>
        <v>0.5383895945710806</v>
      </c>
      <c r="O77" s="121">
        <f t="shared" si="150"/>
        <v>0.54913849509269352</v>
      </c>
      <c r="P77" s="121">
        <f t="shared" si="150"/>
        <v>0.55987744526174887</v>
      </c>
      <c r="Q77" s="121">
        <f t="shared" si="150"/>
        <v>0.57963216591665034</v>
      </c>
      <c r="R77" s="121">
        <f t="shared" si="150"/>
        <v>0.60403176162797578</v>
      </c>
      <c r="S77" s="121">
        <f t="shared" si="150"/>
        <v>0.61874256156343799</v>
      </c>
      <c r="T77" s="121">
        <f t="shared" si="150"/>
        <v>0.6340349003895599</v>
      </c>
      <c r="U77" s="121">
        <f t="shared" si="150"/>
        <v>0.63913137880218107</v>
      </c>
      <c r="V77" s="121">
        <f t="shared" si="150"/>
        <v>0.34062302508822834</v>
      </c>
      <c r="W77" s="121">
        <f t="shared" ref="W77:Y77" si="151">IF(W55=0,0,W55/W66)</f>
        <v>0.34189696620569787</v>
      </c>
      <c r="X77" s="121">
        <f t="shared" si="151"/>
        <v>0.59438855511036126</v>
      </c>
      <c r="Y77" s="121">
        <f t="shared" si="151"/>
        <v>0.64436114713505077</v>
      </c>
      <c r="DA77" s="204"/>
    </row>
    <row r="78" spans="1:105" ht="11.45" customHeight="1" x14ac:dyDescent="0.25">
      <c r="A78" s="27" t="s">
        <v>34</v>
      </c>
      <c r="B78" s="30">
        <f t="shared" si="141"/>
        <v>0.20503075227515563</v>
      </c>
      <c r="C78" s="30">
        <f t="shared" si="141"/>
        <v>0.21302881638133891</v>
      </c>
      <c r="D78" s="30">
        <f t="shared" si="141"/>
        <v>0.21294361944083687</v>
      </c>
      <c r="E78" s="30">
        <f t="shared" si="141"/>
        <v>0.21281740426870685</v>
      </c>
      <c r="F78" s="30">
        <f t="shared" si="141"/>
        <v>0.21284063956197669</v>
      </c>
      <c r="G78" s="30">
        <f t="shared" si="141"/>
        <v>0.21823343871694922</v>
      </c>
      <c r="H78" s="30">
        <f t="shared" si="141"/>
        <v>0.22934493385328641</v>
      </c>
      <c r="I78" s="30">
        <f t="shared" si="141"/>
        <v>0.22623797131896575</v>
      </c>
      <c r="J78" s="30">
        <f t="shared" si="141"/>
        <v>0.23094649923532448</v>
      </c>
      <c r="K78" s="30">
        <f t="shared" ref="K78:V78" si="152">IF(K56=0,0,K56/K67)</f>
        <v>0.22232210486072684</v>
      </c>
      <c r="L78" s="30">
        <f t="shared" si="152"/>
        <v>0.2288922309448487</v>
      </c>
      <c r="M78" s="30">
        <f t="shared" si="152"/>
        <v>0.22298640415413162</v>
      </c>
      <c r="N78" s="30">
        <f t="shared" si="152"/>
        <v>0.23053021819847253</v>
      </c>
      <c r="O78" s="30">
        <f t="shared" si="152"/>
        <v>0.2211907462327517</v>
      </c>
      <c r="P78" s="30">
        <f t="shared" si="152"/>
        <v>0.24324426960278328</v>
      </c>
      <c r="Q78" s="30">
        <f t="shared" si="152"/>
        <v>0.23823131890710408</v>
      </c>
      <c r="R78" s="30">
        <f t="shared" si="152"/>
        <v>0.24540684300021504</v>
      </c>
      <c r="S78" s="30">
        <f t="shared" si="152"/>
        <v>0.24810778852569634</v>
      </c>
      <c r="T78" s="30">
        <f t="shared" si="152"/>
        <v>0.23944013365108371</v>
      </c>
      <c r="U78" s="30">
        <f t="shared" si="152"/>
        <v>0.22865527928174928</v>
      </c>
      <c r="V78" s="30">
        <f t="shared" si="152"/>
        <v>0.20874643035371301</v>
      </c>
      <c r="W78" s="30">
        <f t="shared" ref="W78:Y78" si="153">IF(W56=0,0,W56/W67)</f>
        <v>0.21952362002252965</v>
      </c>
      <c r="X78" s="30">
        <f t="shared" si="153"/>
        <v>0.2227854537099217</v>
      </c>
      <c r="Y78" s="30">
        <f t="shared" si="153"/>
        <v>0.22081131162539605</v>
      </c>
      <c r="DA78" s="173"/>
    </row>
    <row r="79" spans="1:105" ht="11.45" customHeight="1" x14ac:dyDescent="0.25">
      <c r="A79" s="83" t="s">
        <v>92</v>
      </c>
      <c r="B79" s="120">
        <f t="shared" si="141"/>
        <v>0.21707636272370512</v>
      </c>
      <c r="C79" s="120">
        <f t="shared" si="141"/>
        <v>0.21703059430399788</v>
      </c>
      <c r="D79" s="120">
        <f t="shared" si="141"/>
        <v>0.20791779191837753</v>
      </c>
      <c r="E79" s="120">
        <f t="shared" si="141"/>
        <v>0.20783370586237845</v>
      </c>
      <c r="F79" s="120">
        <f t="shared" si="141"/>
        <v>0.20781085569255858</v>
      </c>
      <c r="G79" s="120">
        <f t="shared" si="141"/>
        <v>0.22062087335475464</v>
      </c>
      <c r="H79" s="120">
        <f t="shared" si="141"/>
        <v>0.21073525630693488</v>
      </c>
      <c r="I79" s="120">
        <f t="shared" si="141"/>
        <v>0.20618926826072562</v>
      </c>
      <c r="J79" s="120">
        <f t="shared" si="141"/>
        <v>0.2945790653126969</v>
      </c>
      <c r="K79" s="120">
        <f t="shared" ref="K79:V79" si="154">IF(K57=0,0,K57/K68)</f>
        <v>0.30391362583398279</v>
      </c>
      <c r="L79" s="120">
        <f t="shared" si="154"/>
        <v>0.31892619288471602</v>
      </c>
      <c r="M79" s="120">
        <f t="shared" si="154"/>
        <v>0.3387314258860824</v>
      </c>
      <c r="N79" s="120">
        <f t="shared" si="154"/>
        <v>0.35048602537876222</v>
      </c>
      <c r="O79" s="120">
        <f t="shared" si="154"/>
        <v>0.36833703440410331</v>
      </c>
      <c r="P79" s="120">
        <f t="shared" si="154"/>
        <v>0.36959217106772924</v>
      </c>
      <c r="Q79" s="120">
        <f t="shared" si="154"/>
        <v>0.35708285839669296</v>
      </c>
      <c r="R79" s="120">
        <f t="shared" si="154"/>
        <v>0.37349445032898571</v>
      </c>
      <c r="S79" s="120">
        <f t="shared" si="154"/>
        <v>0.36214036479059003</v>
      </c>
      <c r="T79" s="120">
        <f t="shared" si="154"/>
        <v>0.39218702972135977</v>
      </c>
      <c r="U79" s="120">
        <f t="shared" si="154"/>
        <v>0.34905485701347611</v>
      </c>
      <c r="V79" s="120">
        <f t="shared" si="154"/>
        <v>0.14738861121736133</v>
      </c>
      <c r="W79" s="120">
        <f t="shared" ref="W79:Y79" si="155">IF(W57=0,0,W57/W68)</f>
        <v>0.14647229304242718</v>
      </c>
      <c r="X79" s="120">
        <f t="shared" si="155"/>
        <v>0.14920833456801294</v>
      </c>
      <c r="Y79" s="120">
        <f t="shared" si="155"/>
        <v>0.22865132199521696</v>
      </c>
      <c r="DA79" s="171"/>
    </row>
    <row r="80" spans="1:105" ht="11.45" customHeight="1" x14ac:dyDescent="0.25">
      <c r="A80" s="85" t="s">
        <v>93</v>
      </c>
      <c r="B80" s="122">
        <f t="shared" si="141"/>
        <v>0.2043331615259304</v>
      </c>
      <c r="C80" s="122">
        <f t="shared" si="141"/>
        <v>0.21277721138268191</v>
      </c>
      <c r="D80" s="122">
        <f t="shared" si="141"/>
        <v>0.21329580080358559</v>
      </c>
      <c r="E80" s="122">
        <f t="shared" si="141"/>
        <v>0.21319253164168309</v>
      </c>
      <c r="F80" s="122">
        <f t="shared" si="141"/>
        <v>0.21322649509193331</v>
      </c>
      <c r="G80" s="122">
        <f t="shared" si="141"/>
        <v>0.21803478197467377</v>
      </c>
      <c r="H80" s="122">
        <f t="shared" si="141"/>
        <v>0.23105932026778248</v>
      </c>
      <c r="I80" s="122">
        <f t="shared" si="141"/>
        <v>0.22813324929986098</v>
      </c>
      <c r="J80" s="122">
        <f t="shared" si="141"/>
        <v>0.22721287501872009</v>
      </c>
      <c r="K80" s="122">
        <f t="shared" ref="K80:V80" si="156">IF(K58=0,0,K58/K69)</f>
        <v>0.21775978581020811</v>
      </c>
      <c r="L80" s="122">
        <f t="shared" si="156"/>
        <v>0.22421967012313057</v>
      </c>
      <c r="M80" s="122">
        <f t="shared" si="156"/>
        <v>0.21805963593717703</v>
      </c>
      <c r="N80" s="122">
        <f t="shared" si="156"/>
        <v>0.22510010341186837</v>
      </c>
      <c r="O80" s="122">
        <f t="shared" si="156"/>
        <v>0.21586851617096489</v>
      </c>
      <c r="P80" s="122">
        <f t="shared" si="156"/>
        <v>0.23775714739566026</v>
      </c>
      <c r="Q80" s="122">
        <f t="shared" si="156"/>
        <v>0.2340968320981251</v>
      </c>
      <c r="R80" s="122">
        <f t="shared" si="156"/>
        <v>0.24101390088427135</v>
      </c>
      <c r="S80" s="122">
        <f t="shared" si="156"/>
        <v>0.24375028884249786</v>
      </c>
      <c r="T80" s="122">
        <f t="shared" si="156"/>
        <v>0.23443659291229377</v>
      </c>
      <c r="U80" s="122">
        <f t="shared" si="156"/>
        <v>0.22435219288629316</v>
      </c>
      <c r="V80" s="122">
        <f t="shared" si="156"/>
        <v>0.21536059672480801</v>
      </c>
      <c r="W80" s="122">
        <f t="shared" ref="W80:Y80" si="157">IF(W58=0,0,W58/W69)</f>
        <v>0.22737268036210193</v>
      </c>
      <c r="X80" s="122">
        <f t="shared" si="157"/>
        <v>0.23065818304468835</v>
      </c>
      <c r="Y80" s="122">
        <f t="shared" si="157"/>
        <v>0.22036156662929968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137153.38670593873</v>
      </c>
      <c r="C82" s="54">
        <f t="shared" si="158"/>
        <v>135940.80191019608</v>
      </c>
      <c r="D82" s="54">
        <f t="shared" si="158"/>
        <v>136113.58517787099</v>
      </c>
      <c r="E82" s="54">
        <f t="shared" si="158"/>
        <v>135785.89264213914</v>
      </c>
      <c r="F82" s="54">
        <f t="shared" si="158"/>
        <v>136397.18487480548</v>
      </c>
      <c r="G82" s="54">
        <f t="shared" si="158"/>
        <v>136041.38999598927</v>
      </c>
      <c r="H82" s="54">
        <f t="shared" si="158"/>
        <v>136378.68516241355</v>
      </c>
      <c r="I82" s="54">
        <f t="shared" si="158"/>
        <v>137005.34665887011</v>
      </c>
      <c r="J82" s="54">
        <f t="shared" si="158"/>
        <v>137163.62450704852</v>
      </c>
      <c r="K82" s="54">
        <f t="shared" ref="K82:V82" si="159">IF(K14=0,0,K14/K25*1000000)</f>
        <v>134280.59033968017</v>
      </c>
      <c r="L82" s="54">
        <f t="shared" si="159"/>
        <v>136263.27776833699</v>
      </c>
      <c r="M82" s="54">
        <f t="shared" si="159"/>
        <v>136055.57323109271</v>
      </c>
      <c r="N82" s="54">
        <f t="shared" si="159"/>
        <v>136073.94195829617</v>
      </c>
      <c r="O82" s="54">
        <f t="shared" si="159"/>
        <v>136653.00578546053</v>
      </c>
      <c r="P82" s="54">
        <f t="shared" si="159"/>
        <v>137781.84536961015</v>
      </c>
      <c r="Q82" s="54">
        <f t="shared" si="159"/>
        <v>136339.26611045608</v>
      </c>
      <c r="R82" s="54">
        <f t="shared" si="159"/>
        <v>137867.21671001753</v>
      </c>
      <c r="S82" s="54">
        <f t="shared" si="159"/>
        <v>139181.92168946212</v>
      </c>
      <c r="T82" s="54">
        <f t="shared" si="159"/>
        <v>139465.18483532395</v>
      </c>
      <c r="U82" s="54">
        <f t="shared" si="159"/>
        <v>139372.78540597775</v>
      </c>
      <c r="V82" s="54">
        <f t="shared" si="159"/>
        <v>128623.30816080041</v>
      </c>
      <c r="W82" s="54">
        <f t="shared" ref="W82:Y82" si="160">IF(W14=0,0,W14/W25*1000000)</f>
        <v>133861.18726846459</v>
      </c>
      <c r="X82" s="54">
        <f t="shared" si="160"/>
        <v>134729.35664825549</v>
      </c>
      <c r="Y82" s="54">
        <f t="shared" si="160"/>
        <v>131030.23899335573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127536.73488604711</v>
      </c>
      <c r="C83" s="28">
        <f t="shared" si="161"/>
        <v>126094.87299737263</v>
      </c>
      <c r="D83" s="28">
        <f t="shared" si="161"/>
        <v>126098.17040550239</v>
      </c>
      <c r="E83" s="28">
        <f t="shared" si="161"/>
        <v>125965.70522547147</v>
      </c>
      <c r="F83" s="28">
        <f t="shared" si="161"/>
        <v>125567.70913363974</v>
      </c>
      <c r="G83" s="28">
        <f t="shared" si="161"/>
        <v>125202.48343509182</v>
      </c>
      <c r="H83" s="28">
        <f t="shared" si="161"/>
        <v>125357.72787474106</v>
      </c>
      <c r="I83" s="28">
        <f t="shared" si="161"/>
        <v>125914.90466468678</v>
      </c>
      <c r="J83" s="28">
        <f t="shared" si="161"/>
        <v>127090.74586049934</v>
      </c>
      <c r="K83" s="28">
        <f t="shared" ref="K83:V83" si="162">IF(K15=0,0,K15/K26*1000000)</f>
        <v>127423.23542706652</v>
      </c>
      <c r="L83" s="28">
        <f t="shared" si="162"/>
        <v>127524.39953119455</v>
      </c>
      <c r="M83" s="28">
        <f t="shared" si="162"/>
        <v>126488.98725833888</v>
      </c>
      <c r="N83" s="28">
        <f t="shared" si="162"/>
        <v>127187.92043364818</v>
      </c>
      <c r="O83" s="28">
        <f t="shared" si="162"/>
        <v>128221.2964008807</v>
      </c>
      <c r="P83" s="28">
        <f t="shared" si="162"/>
        <v>129695.72599551445</v>
      </c>
      <c r="Q83" s="28">
        <f t="shared" si="162"/>
        <v>128135.2138677608</v>
      </c>
      <c r="R83" s="28">
        <f t="shared" si="162"/>
        <v>130196.79359841665</v>
      </c>
      <c r="S83" s="28">
        <f t="shared" si="162"/>
        <v>131621.69697819042</v>
      </c>
      <c r="T83" s="28">
        <f t="shared" si="162"/>
        <v>131629.7904354159</v>
      </c>
      <c r="U83" s="28">
        <f t="shared" si="162"/>
        <v>131385.74358593163</v>
      </c>
      <c r="V83" s="28">
        <f t="shared" si="162"/>
        <v>119134.65351258697</v>
      </c>
      <c r="W83" s="28">
        <f t="shared" ref="W83:Y83" si="163">IF(W15=0,0,W15/W26*1000000)</f>
        <v>124869.35817617261</v>
      </c>
      <c r="X83" s="28">
        <f t="shared" si="163"/>
        <v>125763.51557819912</v>
      </c>
      <c r="Y83" s="28">
        <f t="shared" si="163"/>
        <v>123073.64228356835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109999.99985180248</v>
      </c>
      <c r="C84" s="108">
        <f t="shared" si="161"/>
        <v>109999.99988218134</v>
      </c>
      <c r="D84" s="108">
        <f t="shared" si="161"/>
        <v>109999.99993423199</v>
      </c>
      <c r="E84" s="108">
        <f t="shared" si="161"/>
        <v>109999.99993028895</v>
      </c>
      <c r="F84" s="108">
        <f t="shared" si="161"/>
        <v>109999.99994980283</v>
      </c>
      <c r="G84" s="108">
        <f t="shared" si="161"/>
        <v>109999.99986002989</v>
      </c>
      <c r="H84" s="108">
        <f t="shared" si="161"/>
        <v>109999.99988806639</v>
      </c>
      <c r="I84" s="108">
        <f t="shared" si="161"/>
        <v>109999.99996612966</v>
      </c>
      <c r="J84" s="108">
        <f t="shared" si="161"/>
        <v>109999.99995537307</v>
      </c>
      <c r="K84" s="108">
        <f t="shared" ref="K84:V84" si="164">IF(K16=0,0,K16/K27*1000000)</f>
        <v>109999.99992326298</v>
      </c>
      <c r="L84" s="108">
        <f t="shared" si="164"/>
        <v>109999.99986572297</v>
      </c>
      <c r="M84" s="108">
        <f t="shared" si="164"/>
        <v>109999.99993731917</v>
      </c>
      <c r="N84" s="108">
        <f t="shared" si="164"/>
        <v>109999.99993658306</v>
      </c>
      <c r="O84" s="108">
        <f t="shared" si="164"/>
        <v>109999.99996669398</v>
      </c>
      <c r="P84" s="108">
        <f t="shared" si="164"/>
        <v>109999.99993686698</v>
      </c>
      <c r="Q84" s="108">
        <f t="shared" si="164"/>
        <v>109999.99990308908</v>
      </c>
      <c r="R84" s="108">
        <f t="shared" si="164"/>
        <v>109999.99999648637</v>
      </c>
      <c r="S84" s="108">
        <f t="shared" si="164"/>
        <v>109999.99989556773</v>
      </c>
      <c r="T84" s="108">
        <f t="shared" si="164"/>
        <v>109999.99989371123</v>
      </c>
      <c r="U84" s="108">
        <f t="shared" si="164"/>
        <v>109999.9999205869</v>
      </c>
      <c r="V84" s="108">
        <f t="shared" si="164"/>
        <v>109999.99991723232</v>
      </c>
      <c r="W84" s="108">
        <f t="shared" ref="W84:Y84" si="165">IF(W16=0,0,W16/W27*1000000)</f>
        <v>109999.99993315634</v>
      </c>
      <c r="X84" s="108">
        <f t="shared" si="165"/>
        <v>109999.99990808689</v>
      </c>
      <c r="Y84" s="108">
        <f t="shared" si="165"/>
        <v>95782.523620682652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149999.99969457704</v>
      </c>
      <c r="C85" s="110">
        <f t="shared" si="161"/>
        <v>148792.84825986245</v>
      </c>
      <c r="D85" s="110">
        <f t="shared" si="161"/>
        <v>149999.99978200052</v>
      </c>
      <c r="E85" s="110">
        <f t="shared" si="161"/>
        <v>149999.99964642277</v>
      </c>
      <c r="F85" s="110">
        <f t="shared" si="161"/>
        <v>149999.99963119969</v>
      </c>
      <c r="G85" s="110">
        <f t="shared" si="161"/>
        <v>149999.99977752767</v>
      </c>
      <c r="H85" s="110">
        <f t="shared" si="161"/>
        <v>149999.99973321729</v>
      </c>
      <c r="I85" s="110">
        <f t="shared" si="161"/>
        <v>149999.99968096838</v>
      </c>
      <c r="J85" s="110">
        <f t="shared" si="161"/>
        <v>149999.99972018506</v>
      </c>
      <c r="K85" s="110">
        <f t="shared" ref="K85:V85" si="166">IF(K17=0,0,K17/K28*1000000)</f>
        <v>149999.99958789421</v>
      </c>
      <c r="L85" s="110">
        <f t="shared" si="166"/>
        <v>149952.84456772605</v>
      </c>
      <c r="M85" s="110">
        <f t="shared" si="166"/>
        <v>148373.0121501509</v>
      </c>
      <c r="N85" s="110">
        <f t="shared" si="166"/>
        <v>149999.99976980389</v>
      </c>
      <c r="O85" s="110">
        <f t="shared" si="166"/>
        <v>148820.14414894977</v>
      </c>
      <c r="P85" s="110">
        <f t="shared" si="166"/>
        <v>149999.99975869228</v>
      </c>
      <c r="Q85" s="110">
        <f t="shared" si="166"/>
        <v>146560.17670893253</v>
      </c>
      <c r="R85" s="110">
        <f t="shared" si="166"/>
        <v>148619.88005870933</v>
      </c>
      <c r="S85" s="110">
        <f t="shared" si="166"/>
        <v>149999.99980146423</v>
      </c>
      <c r="T85" s="110">
        <f t="shared" si="166"/>
        <v>149999.99986230041</v>
      </c>
      <c r="U85" s="110">
        <f t="shared" si="166"/>
        <v>149999.99982883557</v>
      </c>
      <c r="V85" s="110">
        <f t="shared" si="166"/>
        <v>127721.31467958422</v>
      </c>
      <c r="W85" s="110">
        <f t="shared" ref="W85:Y85" si="167">IF(W17=0,0,W17/W28*1000000)</f>
        <v>141334.67681983986</v>
      </c>
      <c r="X85" s="110">
        <f t="shared" si="167"/>
        <v>143124.03475699216</v>
      </c>
      <c r="Y85" s="110">
        <f t="shared" si="167"/>
        <v>149356.07011945895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149999.99939130858</v>
      </c>
      <c r="C86" s="84">
        <f t="shared" si="161"/>
        <v>149999.99891438932</v>
      </c>
      <c r="D86" s="84">
        <f t="shared" si="161"/>
        <v>149999.99939162104</v>
      </c>
      <c r="E86" s="84">
        <f t="shared" si="161"/>
        <v>149999.99859066875</v>
      </c>
      <c r="F86" s="84">
        <f t="shared" si="161"/>
        <v>149999.99956128496</v>
      </c>
      <c r="G86" s="84">
        <f t="shared" si="161"/>
        <v>149999.99956122733</v>
      </c>
      <c r="H86" s="84">
        <f t="shared" si="161"/>
        <v>149999.99994611627</v>
      </c>
      <c r="I86" s="84">
        <f t="shared" si="161"/>
        <v>149999.99890811762</v>
      </c>
      <c r="J86" s="84">
        <f t="shared" si="161"/>
        <v>149999.99897348482</v>
      </c>
      <c r="K86" s="84">
        <f t="shared" ref="K86:V86" si="168">IF(K18=0,0,K18/K29*1000000)</f>
        <v>149999.99910703814</v>
      </c>
      <c r="L86" s="84">
        <f t="shared" si="168"/>
        <v>149799.43530033855</v>
      </c>
      <c r="M86" s="84">
        <f t="shared" si="168"/>
        <v>143277.74139387059</v>
      </c>
      <c r="N86" s="84">
        <f t="shared" si="168"/>
        <v>149999.99938585653</v>
      </c>
      <c r="O86" s="84">
        <f t="shared" si="168"/>
        <v>143843.91371073877</v>
      </c>
      <c r="P86" s="84">
        <f t="shared" si="168"/>
        <v>149999.99894079301</v>
      </c>
      <c r="Q86" s="84">
        <f t="shared" si="168"/>
        <v>129354.73118506721</v>
      </c>
      <c r="R86" s="84">
        <f t="shared" si="168"/>
        <v>140137.88267157756</v>
      </c>
      <c r="S86" s="84">
        <f t="shared" si="168"/>
        <v>149999.99955494009</v>
      </c>
      <c r="T86" s="84">
        <f t="shared" si="168"/>
        <v>149999.99947529897</v>
      </c>
      <c r="U86" s="84">
        <f t="shared" si="168"/>
        <v>149999.99891448024</v>
      </c>
      <c r="V86" s="84">
        <f t="shared" si="168"/>
        <v>78705.910230394831</v>
      </c>
      <c r="W86" s="84">
        <f t="shared" ref="W86:Y86" si="169">IF(W18=0,0,W18/W29*1000000)</f>
        <v>85661.212827209689</v>
      </c>
      <c r="X86" s="84">
        <f t="shared" si="169"/>
        <v>93009.424051782335</v>
      </c>
      <c r="Y86" s="84">
        <f t="shared" si="169"/>
        <v>143627.49144444775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149999.99974825681</v>
      </c>
      <c r="C87" s="84">
        <f t="shared" si="161"/>
        <v>148543.23140536729</v>
      </c>
      <c r="D87" s="84">
        <f t="shared" si="161"/>
        <v>149999.99987369418</v>
      </c>
      <c r="E87" s="84">
        <f t="shared" si="161"/>
        <v>149999.99991478896</v>
      </c>
      <c r="F87" s="84">
        <f t="shared" si="161"/>
        <v>149999.99964969812</v>
      </c>
      <c r="G87" s="84">
        <f t="shared" si="161"/>
        <v>149999.99984675716</v>
      </c>
      <c r="H87" s="84">
        <f t="shared" si="161"/>
        <v>149999.99966505525</v>
      </c>
      <c r="I87" s="84">
        <f t="shared" si="161"/>
        <v>149999.99993142422</v>
      </c>
      <c r="J87" s="84">
        <f t="shared" si="161"/>
        <v>149999.999986179</v>
      </c>
      <c r="K87" s="84">
        <f t="shared" ref="K87:V87" si="170">IF(K19=0,0,K19/K30*1000000)</f>
        <v>149999.99975282044</v>
      </c>
      <c r="L87" s="84">
        <f t="shared" si="170"/>
        <v>149999.99995318439</v>
      </c>
      <c r="M87" s="84">
        <f t="shared" si="170"/>
        <v>149999.99965285236</v>
      </c>
      <c r="N87" s="84">
        <f t="shared" si="170"/>
        <v>149999.99989125325</v>
      </c>
      <c r="O87" s="84">
        <f t="shared" si="170"/>
        <v>149999.99987046639</v>
      </c>
      <c r="P87" s="84">
        <f t="shared" si="170"/>
        <v>149999.9999438641</v>
      </c>
      <c r="Q87" s="84">
        <f t="shared" si="170"/>
        <v>149999.99998365165</v>
      </c>
      <c r="R87" s="84">
        <f t="shared" si="170"/>
        <v>149999.99982016985</v>
      </c>
      <c r="S87" s="84">
        <f t="shared" si="170"/>
        <v>149999.9998383043</v>
      </c>
      <c r="T87" s="84">
        <f t="shared" si="170"/>
        <v>149999.99991978417</v>
      </c>
      <c r="U87" s="84">
        <f t="shared" si="170"/>
        <v>149999.99997090499</v>
      </c>
      <c r="V87" s="84">
        <f t="shared" si="170"/>
        <v>135268.15401658128</v>
      </c>
      <c r="W87" s="84">
        <f t="shared" ref="W87:Y87" si="171">IF(W19=0,0,W19/W30*1000000)</f>
        <v>149817.35526158643</v>
      </c>
      <c r="X87" s="84">
        <f t="shared" si="171"/>
        <v>149999.99988449528</v>
      </c>
      <c r="Y87" s="84">
        <f t="shared" si="171"/>
        <v>149999.99996121202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449999.77003556868</v>
      </c>
      <c r="J88" s="113">
        <f t="shared" si="161"/>
        <v>449999.97570512397</v>
      </c>
      <c r="K88" s="113">
        <f t="shared" ref="K88:V88" si="172">IF(K20=0,0,K20/K31*1000000)</f>
        <v>431064.91003923002</v>
      </c>
      <c r="L88" s="113">
        <f t="shared" si="172"/>
        <v>393105.98765425076</v>
      </c>
      <c r="M88" s="113">
        <f t="shared" si="172"/>
        <v>449999.98627481668</v>
      </c>
      <c r="N88" s="113">
        <f t="shared" si="172"/>
        <v>438695.93478729349</v>
      </c>
      <c r="O88" s="113">
        <f t="shared" si="172"/>
        <v>449999.9153869492</v>
      </c>
      <c r="P88" s="113">
        <f t="shared" si="172"/>
        <v>447986.79874980327</v>
      </c>
      <c r="Q88" s="113">
        <f t="shared" si="172"/>
        <v>437873.65226403769</v>
      </c>
      <c r="R88" s="113">
        <f t="shared" si="172"/>
        <v>449999.98101037811</v>
      </c>
      <c r="S88" s="113">
        <f t="shared" si="172"/>
        <v>438709.74201251793</v>
      </c>
      <c r="T88" s="113">
        <f t="shared" si="172"/>
        <v>447294.88672588591</v>
      </c>
      <c r="U88" s="113">
        <f t="shared" si="172"/>
        <v>441021.20481012826</v>
      </c>
      <c r="V88" s="113">
        <f t="shared" si="172"/>
        <v>449999.95618398889</v>
      </c>
      <c r="W88" s="113">
        <f t="shared" ref="W88:Y88" si="173">IF(W20=0,0,W20/W31*1000000)</f>
        <v>449999.94836506335</v>
      </c>
      <c r="X88" s="113">
        <f t="shared" si="173"/>
        <v>399062.65317162167</v>
      </c>
      <c r="Y88" s="113">
        <f t="shared" si="173"/>
        <v>413210.27535412315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199999.99915489889</v>
      </c>
      <c r="C89" s="28">
        <f t="shared" si="161"/>
        <v>199999.99848725833</v>
      </c>
      <c r="D89" s="28">
        <f t="shared" si="161"/>
        <v>199999.99892697873</v>
      </c>
      <c r="E89" s="28">
        <f t="shared" si="161"/>
        <v>199999.9983703531</v>
      </c>
      <c r="F89" s="28">
        <f t="shared" si="161"/>
        <v>199999.99875413009</v>
      </c>
      <c r="G89" s="28">
        <f t="shared" si="161"/>
        <v>199999.99872598599</v>
      </c>
      <c r="H89" s="28">
        <f t="shared" si="161"/>
        <v>199999.99932387334</v>
      </c>
      <c r="I89" s="28">
        <f t="shared" si="161"/>
        <v>199999.99941348942</v>
      </c>
      <c r="J89" s="28">
        <f t="shared" si="161"/>
        <v>194953.74392188876</v>
      </c>
      <c r="K89" s="28">
        <f t="shared" ref="K89:V89" si="174">IF(K21=0,0,K21/K32*1000000)</f>
        <v>179078.55162712137</v>
      </c>
      <c r="L89" s="28">
        <f t="shared" si="174"/>
        <v>194273.60397137469</v>
      </c>
      <c r="M89" s="28">
        <f t="shared" si="174"/>
        <v>194332.88411038494</v>
      </c>
      <c r="N89" s="28">
        <f t="shared" si="174"/>
        <v>194751.49449727239</v>
      </c>
      <c r="O89" s="28">
        <f t="shared" si="174"/>
        <v>194516.37724311906</v>
      </c>
      <c r="P89" s="28">
        <f t="shared" si="174"/>
        <v>196529.00382178149</v>
      </c>
      <c r="Q89" s="28">
        <f t="shared" si="174"/>
        <v>196236.03862247418</v>
      </c>
      <c r="R89" s="28">
        <f t="shared" si="174"/>
        <v>197093.88180990543</v>
      </c>
      <c r="S89" s="28">
        <f t="shared" si="174"/>
        <v>199057.17726462262</v>
      </c>
      <c r="T89" s="28">
        <f t="shared" si="174"/>
        <v>199198.70001768862</v>
      </c>
      <c r="U89" s="28">
        <f t="shared" si="174"/>
        <v>199999.99901313375</v>
      </c>
      <c r="V89" s="28">
        <f t="shared" si="174"/>
        <v>199999.99880316466</v>
      </c>
      <c r="W89" s="28">
        <f t="shared" ref="W89:Y89" si="175">IF(W21=0,0,W21/W32*1000000)</f>
        <v>199999.99953602321</v>
      </c>
      <c r="X89" s="28">
        <f t="shared" si="175"/>
        <v>199999.9987898496</v>
      </c>
      <c r="Y89" s="28">
        <f t="shared" si="175"/>
        <v>191203.3391970394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199999.99002637647</v>
      </c>
      <c r="C90" s="84">
        <f t="shared" si="161"/>
        <v>199999.98697263055</v>
      </c>
      <c r="D90" s="84">
        <f t="shared" si="161"/>
        <v>199999.99806157636</v>
      </c>
      <c r="E90" s="84">
        <f t="shared" si="161"/>
        <v>199999.98640504375</v>
      </c>
      <c r="F90" s="84">
        <f t="shared" si="161"/>
        <v>199999.99181541809</v>
      </c>
      <c r="G90" s="84">
        <f t="shared" si="161"/>
        <v>199999.98982409053</v>
      </c>
      <c r="H90" s="84">
        <f t="shared" si="161"/>
        <v>199999.99959680618</v>
      </c>
      <c r="I90" s="84">
        <f t="shared" si="161"/>
        <v>199999.99908338848</v>
      </c>
      <c r="J90" s="84">
        <f t="shared" si="161"/>
        <v>136329.43751170073</v>
      </c>
      <c r="K90" s="84">
        <f t="shared" ref="K90:V90" si="176">IF(K22=0,0,K22/K33*1000000)</f>
        <v>116387.59640612948</v>
      </c>
      <c r="L90" s="84">
        <f t="shared" si="176"/>
        <v>125200.51368998464</v>
      </c>
      <c r="M90" s="84">
        <f t="shared" si="176"/>
        <v>116668.07119451006</v>
      </c>
      <c r="N90" s="84">
        <f t="shared" si="176"/>
        <v>123282.33048000335</v>
      </c>
      <c r="O90" s="84">
        <f t="shared" si="176"/>
        <v>110643.76304046511</v>
      </c>
      <c r="P90" s="84">
        <f t="shared" si="176"/>
        <v>140415.94929403265</v>
      </c>
      <c r="Q90" s="84">
        <f t="shared" si="176"/>
        <v>127343.20407674204</v>
      </c>
      <c r="R90" s="84">
        <f t="shared" si="176"/>
        <v>138440.02541231716</v>
      </c>
      <c r="S90" s="84">
        <f t="shared" si="176"/>
        <v>177197.26569629397</v>
      </c>
      <c r="T90" s="84">
        <f t="shared" si="176"/>
        <v>177490.00192423904</v>
      </c>
      <c r="U90" s="84">
        <f t="shared" si="176"/>
        <v>199999.97945560832</v>
      </c>
      <c r="V90" s="84">
        <f t="shared" si="176"/>
        <v>199999.99448480509</v>
      </c>
      <c r="W90" s="84">
        <f t="shared" ref="W90:Y90" si="177">IF(W22=0,0,W22/W33*1000000)</f>
        <v>199999.99796737678</v>
      </c>
      <c r="X90" s="84">
        <f t="shared" si="177"/>
        <v>199999.99142734925</v>
      </c>
      <c r="Y90" s="84">
        <f t="shared" si="177"/>
        <v>108224.89235736505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199999.99968355394</v>
      </c>
      <c r="C91" s="86">
        <f t="shared" si="161"/>
        <v>199999.99921122109</v>
      </c>
      <c r="D91" s="86">
        <f t="shared" si="161"/>
        <v>199999.99898762122</v>
      </c>
      <c r="E91" s="86">
        <f t="shared" si="161"/>
        <v>199999.99927099256</v>
      </c>
      <c r="F91" s="86">
        <f t="shared" si="161"/>
        <v>199999.99928642745</v>
      </c>
      <c r="G91" s="86">
        <f t="shared" si="161"/>
        <v>199999.99946670645</v>
      </c>
      <c r="H91" s="86">
        <f t="shared" si="161"/>
        <v>199999.99929872985</v>
      </c>
      <c r="I91" s="86">
        <f t="shared" si="161"/>
        <v>199999.99944469507</v>
      </c>
      <c r="J91" s="86">
        <f t="shared" si="161"/>
        <v>199999.99943358661</v>
      </c>
      <c r="K91" s="86">
        <f t="shared" ref="K91:V91" si="178">IF(K23=0,0,K23/K34*1000000)</f>
        <v>184639.69227993803</v>
      </c>
      <c r="L91" s="86">
        <f t="shared" si="178"/>
        <v>199999.99990569527</v>
      </c>
      <c r="M91" s="86">
        <f t="shared" si="178"/>
        <v>199999.99992682453</v>
      </c>
      <c r="N91" s="86">
        <f t="shared" si="178"/>
        <v>199999.99923257667</v>
      </c>
      <c r="O91" s="86">
        <f t="shared" si="178"/>
        <v>199999.99999631671</v>
      </c>
      <c r="P91" s="86">
        <f t="shared" si="178"/>
        <v>199999.99942873447</v>
      </c>
      <c r="Q91" s="86">
        <f t="shared" si="178"/>
        <v>199999.99926930323</v>
      </c>
      <c r="R91" s="86">
        <f t="shared" si="178"/>
        <v>199999.99994375027</v>
      </c>
      <c r="S91" s="86">
        <f t="shared" si="178"/>
        <v>199999.99948029491</v>
      </c>
      <c r="T91" s="86">
        <f t="shared" si="178"/>
        <v>199999.99961766406</v>
      </c>
      <c r="U91" s="86">
        <f t="shared" si="178"/>
        <v>199999.99971212068</v>
      </c>
      <c r="V91" s="86">
        <f t="shared" si="178"/>
        <v>199999.99926866929</v>
      </c>
      <c r="W91" s="86">
        <f t="shared" ref="W91:Y91" si="179">IF(W23=0,0,W23/W34*1000000)</f>
        <v>199999.99970456769</v>
      </c>
      <c r="X91" s="86">
        <f t="shared" si="179"/>
        <v>199999.99957763494</v>
      </c>
      <c r="Y91" s="86">
        <f t="shared" si="179"/>
        <v>199999.99982330221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11668708.232059173</v>
      </c>
      <c r="C94" s="28">
        <f t="shared" si="180"/>
        <v>12061324.789491065</v>
      </c>
      <c r="D94" s="28">
        <f t="shared" si="180"/>
        <v>12245034.954720607</v>
      </c>
      <c r="E94" s="28">
        <f t="shared" si="180"/>
        <v>12091360.123410663</v>
      </c>
      <c r="F94" s="28">
        <f t="shared" si="180"/>
        <v>11860013.261503831</v>
      </c>
      <c r="G94" s="28">
        <f t="shared" si="180"/>
        <v>12390931.005214497</v>
      </c>
      <c r="H94" s="28">
        <f t="shared" si="180"/>
        <v>12280113.675589282</v>
      </c>
      <c r="I94" s="28">
        <f t="shared" si="180"/>
        <v>12364912.258500848</v>
      </c>
      <c r="J94" s="28">
        <f t="shared" si="180"/>
        <v>12852242.977034625</v>
      </c>
      <c r="K94" s="28">
        <f t="shared" ref="K94:V94" si="181">IF(K4=0,0,K4/K26*1000000)</f>
        <v>12249977.932485148</v>
      </c>
      <c r="L94" s="28">
        <f t="shared" si="181"/>
        <v>12186953.986371808</v>
      </c>
      <c r="M94" s="28">
        <f t="shared" si="181"/>
        <v>13065009.007234968</v>
      </c>
      <c r="N94" s="28">
        <f t="shared" si="181"/>
        <v>13417303.712674605</v>
      </c>
      <c r="O94" s="28">
        <f t="shared" si="181"/>
        <v>12985708.400540989</v>
      </c>
      <c r="P94" s="28">
        <f t="shared" si="181"/>
        <v>12649013.139587598</v>
      </c>
      <c r="Q94" s="28">
        <f t="shared" si="181"/>
        <v>12459754.754509041</v>
      </c>
      <c r="R94" s="28">
        <f t="shared" si="181"/>
        <v>12120933.917435436</v>
      </c>
      <c r="S94" s="28">
        <f t="shared" si="181"/>
        <v>11621409.028051073</v>
      </c>
      <c r="T94" s="28">
        <f t="shared" si="181"/>
        <v>12133784.847918909</v>
      </c>
      <c r="U94" s="28">
        <f t="shared" si="181"/>
        <v>12002739.009680146</v>
      </c>
      <c r="V94" s="28">
        <f t="shared" si="181"/>
        <v>7545435.1572623411</v>
      </c>
      <c r="W94" s="28">
        <f t="shared" ref="W94:Y94" si="182">IF(W4=0,0,W4/W26*1000000)</f>
        <v>8385795.7538038651</v>
      </c>
      <c r="X94" s="28">
        <f t="shared" si="182"/>
        <v>11252549.134428473</v>
      </c>
      <c r="Y94" s="28">
        <f t="shared" si="182"/>
        <v>12337148.48287227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8424792.3761885967</v>
      </c>
      <c r="C95" s="108">
        <f t="shared" si="180"/>
        <v>8424792.3785152826</v>
      </c>
      <c r="D95" s="108">
        <f t="shared" si="180"/>
        <v>8424792.3825017922</v>
      </c>
      <c r="E95" s="108">
        <f t="shared" si="180"/>
        <v>8424792.3821997978</v>
      </c>
      <c r="F95" s="108">
        <f t="shared" si="180"/>
        <v>8424792.383694347</v>
      </c>
      <c r="G95" s="108">
        <f t="shared" si="180"/>
        <v>8508241.8134749886</v>
      </c>
      <c r="H95" s="108">
        <f t="shared" si="180"/>
        <v>8434404.5219161548</v>
      </c>
      <c r="I95" s="108">
        <f t="shared" si="180"/>
        <v>8469030.6176690459</v>
      </c>
      <c r="J95" s="108">
        <f t="shared" si="180"/>
        <v>8667671.3348948509</v>
      </c>
      <c r="K95" s="108">
        <f t="shared" ref="K95:V95" si="183">IF(K5=0,0,K5/K27*1000000)</f>
        <v>8559835.0447347742</v>
      </c>
      <c r="L95" s="108">
        <f t="shared" si="183"/>
        <v>8615254.7213267516</v>
      </c>
      <c r="M95" s="108">
        <f t="shared" si="183"/>
        <v>8714309.476113867</v>
      </c>
      <c r="N95" s="108">
        <f t="shared" si="183"/>
        <v>8836822.7134675346</v>
      </c>
      <c r="O95" s="108">
        <f t="shared" si="183"/>
        <v>8953090.025764659</v>
      </c>
      <c r="P95" s="108">
        <f t="shared" si="183"/>
        <v>8880878.4323576335</v>
      </c>
      <c r="Q95" s="108">
        <f t="shared" si="183"/>
        <v>8875588.4019206725</v>
      </c>
      <c r="R95" s="108">
        <f t="shared" si="183"/>
        <v>8934061.0054249726</v>
      </c>
      <c r="S95" s="108">
        <f t="shared" si="183"/>
        <v>8893947.3278910536</v>
      </c>
      <c r="T95" s="108">
        <f t="shared" si="183"/>
        <v>9022703.3334233928</v>
      </c>
      <c r="U95" s="108">
        <f t="shared" si="183"/>
        <v>8909231.6582945213</v>
      </c>
      <c r="V95" s="108">
        <f t="shared" si="183"/>
        <v>6387424.593216639</v>
      </c>
      <c r="W95" s="108">
        <f t="shared" ref="W95:Y95" si="184">IF(W5=0,0,W5/W27*1000000)</f>
        <v>6472121.6186999073</v>
      </c>
      <c r="X95" s="108">
        <f t="shared" si="184"/>
        <v>6984890.5474622222</v>
      </c>
      <c r="Y95" s="108">
        <f t="shared" si="184"/>
        <v>7872811.9864714956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15823925.308938988</v>
      </c>
      <c r="C96" s="110">
        <f t="shared" si="180"/>
        <v>17189785.393983983</v>
      </c>
      <c r="D96" s="110">
        <f t="shared" si="180"/>
        <v>17917156.908017494</v>
      </c>
      <c r="E96" s="110">
        <f t="shared" si="180"/>
        <v>17610901.351145498</v>
      </c>
      <c r="F96" s="110">
        <f t="shared" si="180"/>
        <v>17251321.219457239</v>
      </c>
      <c r="G96" s="110">
        <f t="shared" si="180"/>
        <v>18724175.715486594</v>
      </c>
      <c r="H96" s="110">
        <f t="shared" si="180"/>
        <v>18450753.664503627</v>
      </c>
      <c r="I96" s="110">
        <f t="shared" si="180"/>
        <v>18202196.687166207</v>
      </c>
      <c r="J96" s="110">
        <f t="shared" si="180"/>
        <v>18380685.36255309</v>
      </c>
      <c r="K96" s="110">
        <f t="shared" ref="K96:V96" si="185">IF(K6=0,0,K6/K28*1000000)</f>
        <v>16912696.024727508</v>
      </c>
      <c r="L96" s="110">
        <f t="shared" si="185"/>
        <v>16615494.22300886</v>
      </c>
      <c r="M96" s="110">
        <f t="shared" si="185"/>
        <v>18641824.273002177</v>
      </c>
      <c r="N96" s="110">
        <f t="shared" si="185"/>
        <v>19264475.770395529</v>
      </c>
      <c r="O96" s="110">
        <f t="shared" si="185"/>
        <v>17242278.147381566</v>
      </c>
      <c r="P96" s="110">
        <f t="shared" si="185"/>
        <v>16188319.521106441</v>
      </c>
      <c r="Q96" s="110">
        <f t="shared" si="185"/>
        <v>15760775.065289099</v>
      </c>
      <c r="R96" s="110">
        <f t="shared" si="185"/>
        <v>14610651.056368811</v>
      </c>
      <c r="S96" s="110">
        <f t="shared" si="185"/>
        <v>13504720.18806438</v>
      </c>
      <c r="T96" s="110">
        <f t="shared" si="185"/>
        <v>14335577.437848954</v>
      </c>
      <c r="U96" s="110">
        <f t="shared" si="185"/>
        <v>14262718.755482884</v>
      </c>
      <c r="V96" s="110">
        <f t="shared" si="185"/>
        <v>8463914.4406805187</v>
      </c>
      <c r="W96" s="110">
        <f t="shared" ref="W96:Y96" si="186">IF(W6=0,0,W6/W28*1000000)</f>
        <v>10300894.275741467</v>
      </c>
      <c r="X96" s="110">
        <f t="shared" si="186"/>
        <v>15684335.471981779</v>
      </c>
      <c r="Y96" s="110">
        <f t="shared" si="186"/>
        <v>16174217.437078902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12057956.177355608</v>
      </c>
      <c r="C97" s="84">
        <f t="shared" si="180"/>
        <v>12041547.33754045</v>
      </c>
      <c r="D97" s="84">
        <f t="shared" si="180"/>
        <v>12068172.193492219</v>
      </c>
      <c r="E97" s="84">
        <f t="shared" si="180"/>
        <v>12084814.010213435</v>
      </c>
      <c r="F97" s="84">
        <f t="shared" si="180"/>
        <v>12106210.36110617</v>
      </c>
      <c r="G97" s="84">
        <f t="shared" si="180"/>
        <v>12599496.956883371</v>
      </c>
      <c r="H97" s="84">
        <f t="shared" si="180"/>
        <v>12176347.765634986</v>
      </c>
      <c r="I97" s="84">
        <f t="shared" si="180"/>
        <v>12099696.542917876</v>
      </c>
      <c r="J97" s="84">
        <f t="shared" si="180"/>
        <v>13326101.459801696</v>
      </c>
      <c r="K97" s="84">
        <f t="shared" ref="K97:V97" si="187">IF(K7=0,0,K7/K29*1000000)</f>
        <v>12666569.713047005</v>
      </c>
      <c r="L97" s="84">
        <f t="shared" si="187"/>
        <v>12973942.579363974</v>
      </c>
      <c r="M97" s="84">
        <f t="shared" si="187"/>
        <v>12683320.640770268</v>
      </c>
      <c r="N97" s="84">
        <f t="shared" si="187"/>
        <v>14074393.376922749</v>
      </c>
      <c r="O97" s="84">
        <f t="shared" si="187"/>
        <v>13940969.237332683</v>
      </c>
      <c r="P97" s="84">
        <f t="shared" si="187"/>
        <v>14314062.924669001</v>
      </c>
      <c r="Q97" s="84">
        <f t="shared" si="187"/>
        <v>12316550.480475066</v>
      </c>
      <c r="R97" s="84">
        <f t="shared" si="187"/>
        <v>13533915.139153458</v>
      </c>
      <c r="S97" s="84">
        <f t="shared" si="187"/>
        <v>14219304.52332145</v>
      </c>
      <c r="T97" s="84">
        <f t="shared" si="187"/>
        <v>14680950.437490776</v>
      </c>
      <c r="U97" s="84">
        <f t="shared" si="187"/>
        <v>14070787.093846023</v>
      </c>
      <c r="V97" s="84">
        <f t="shared" si="187"/>
        <v>4309561.6526751276</v>
      </c>
      <c r="W97" s="84">
        <f t="shared" ref="W97:Y97" si="188">IF(W7=0,0,W7/W29*1000000)</f>
        <v>5044557.1821665391</v>
      </c>
      <c r="X97" s="84">
        <f t="shared" si="188"/>
        <v>5300002.2262447998</v>
      </c>
      <c r="Y97" s="84">
        <f t="shared" si="188"/>
        <v>10850600.543729763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16490517.404929573</v>
      </c>
      <c r="C98" s="84">
        <f t="shared" si="180"/>
        <v>18254347.621591967</v>
      </c>
      <c r="D98" s="84">
        <f t="shared" si="180"/>
        <v>19290986.3130433</v>
      </c>
      <c r="E98" s="84">
        <f t="shared" si="180"/>
        <v>19015598.931655288</v>
      </c>
      <c r="F98" s="84">
        <f t="shared" si="180"/>
        <v>18612642.676568393</v>
      </c>
      <c r="G98" s="84">
        <f t="shared" si="180"/>
        <v>20684451.562931322</v>
      </c>
      <c r="H98" s="84">
        <f t="shared" si="180"/>
        <v>20459576.599035356</v>
      </c>
      <c r="I98" s="84">
        <f t="shared" si="180"/>
        <v>20179818.558396727</v>
      </c>
      <c r="J98" s="84">
        <f t="shared" si="180"/>
        <v>20181258.77640073</v>
      </c>
      <c r="K98" s="84">
        <f t="shared" ref="K98:V98" si="189">IF(K8=0,0,K8/K30*1000000)</f>
        <v>18369051.878481839</v>
      </c>
      <c r="L98" s="84">
        <f t="shared" si="189"/>
        <v>17734844.926827084</v>
      </c>
      <c r="M98" s="84">
        <f t="shared" si="189"/>
        <v>20544453.477248769</v>
      </c>
      <c r="N98" s="84">
        <f t="shared" si="189"/>
        <v>20906191.360972419</v>
      </c>
      <c r="O98" s="84">
        <f t="shared" si="189"/>
        <v>18025012.840716098</v>
      </c>
      <c r="P98" s="84">
        <f t="shared" si="189"/>
        <v>16612649.892022539</v>
      </c>
      <c r="Q98" s="84">
        <f t="shared" si="189"/>
        <v>16449366.585559212</v>
      </c>
      <c r="R98" s="84">
        <f t="shared" si="189"/>
        <v>14785848.530430485</v>
      </c>
      <c r="S98" s="84">
        <f t="shared" si="189"/>
        <v>13397934.101916092</v>
      </c>
      <c r="T98" s="84">
        <f t="shared" si="189"/>
        <v>14284277.052073812</v>
      </c>
      <c r="U98" s="84">
        <f t="shared" si="189"/>
        <v>14292540.437440788</v>
      </c>
      <c r="V98" s="84">
        <f t="shared" si="189"/>
        <v>9103554.8433784712</v>
      </c>
      <c r="W98" s="84">
        <f t="shared" ref="W98:Y98" si="190">IF(W8=0,0,W8/W30*1000000)</f>
        <v>11101775.236770282</v>
      </c>
      <c r="X98" s="84">
        <f t="shared" si="190"/>
        <v>17109115.835737772</v>
      </c>
      <c r="Y98" s="84">
        <f t="shared" si="190"/>
        <v>16772626.916666208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107694991.61058202</v>
      </c>
      <c r="J99" s="113">
        <f t="shared" si="180"/>
        <v>115228197.65656495</v>
      </c>
      <c r="K99" s="113">
        <f t="shared" ref="K99:V99" si="191">IF(K9=0,0,K9/K31*1000000)</f>
        <v>113216012.05349323</v>
      </c>
      <c r="L99" s="113">
        <f t="shared" si="191"/>
        <v>111451375.32538848</v>
      </c>
      <c r="M99" s="113">
        <f t="shared" si="191"/>
        <v>128683431.65792488</v>
      </c>
      <c r="N99" s="113">
        <f t="shared" si="191"/>
        <v>132266022.8232628</v>
      </c>
      <c r="O99" s="113">
        <f t="shared" si="191"/>
        <v>138382874.7433601</v>
      </c>
      <c r="P99" s="113">
        <f t="shared" si="191"/>
        <v>140457914.4612163</v>
      </c>
      <c r="Q99" s="113">
        <f t="shared" si="191"/>
        <v>142131165.93739748</v>
      </c>
      <c r="R99" s="113">
        <f t="shared" si="191"/>
        <v>152215997.50686243</v>
      </c>
      <c r="S99" s="113">
        <f t="shared" si="191"/>
        <v>152011098.15116981</v>
      </c>
      <c r="T99" s="113">
        <f t="shared" si="191"/>
        <v>158816318.61200368</v>
      </c>
      <c r="U99" s="113">
        <f t="shared" si="191"/>
        <v>157847474.79832599</v>
      </c>
      <c r="V99" s="113">
        <f t="shared" si="191"/>
        <v>85836993.96437788</v>
      </c>
      <c r="W99" s="113">
        <f t="shared" ref="W99:Y99" si="192">IF(W9=0,0,W9/W31*1000000)</f>
        <v>86158025.597692072</v>
      </c>
      <c r="X99" s="113">
        <f t="shared" si="192"/>
        <v>132831033.33762494</v>
      </c>
      <c r="Y99" s="113">
        <f t="shared" si="192"/>
        <v>149103722.33969688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86112915.591694757</v>
      </c>
      <c r="C100" s="28">
        <f t="shared" si="180"/>
        <v>89472102.203421459</v>
      </c>
      <c r="D100" s="28">
        <f t="shared" si="180"/>
        <v>89436319.685316131</v>
      </c>
      <c r="E100" s="28">
        <f t="shared" si="180"/>
        <v>89383309.064540714</v>
      </c>
      <c r="F100" s="28">
        <f t="shared" si="180"/>
        <v>89393068.059169546</v>
      </c>
      <c r="G100" s="28">
        <f t="shared" si="180"/>
        <v>91658043.677250504</v>
      </c>
      <c r="H100" s="28">
        <f t="shared" si="180"/>
        <v>96324871.892741218</v>
      </c>
      <c r="I100" s="28">
        <f t="shared" si="180"/>
        <v>95019947.67531459</v>
      </c>
      <c r="J100" s="28">
        <f t="shared" si="180"/>
        <v>94550157.810318261</v>
      </c>
      <c r="K100" s="28">
        <f t="shared" ref="K100:V100" si="193">IF(K10=0,0,K10/K32*1000000)</f>
        <v>83607553.119619116</v>
      </c>
      <c r="L100" s="28">
        <f t="shared" si="193"/>
        <v>93382209.116078332</v>
      </c>
      <c r="M100" s="28">
        <f t="shared" si="193"/>
        <v>91000541.177020282</v>
      </c>
      <c r="N100" s="28">
        <f t="shared" si="193"/>
        <v>94281819.493963122</v>
      </c>
      <c r="O100" s="28">
        <f t="shared" si="193"/>
        <v>90352967.537483588</v>
      </c>
      <c r="P100" s="28">
        <f t="shared" si="193"/>
        <v>100389563.37982288</v>
      </c>
      <c r="Q100" s="28">
        <f t="shared" si="193"/>
        <v>98174097.626088619</v>
      </c>
      <c r="R100" s="28">
        <f t="shared" si="193"/>
        <v>101573193.35021545</v>
      </c>
      <c r="S100" s="28">
        <f t="shared" si="193"/>
        <v>103714035.68671538</v>
      </c>
      <c r="T100" s="28">
        <f t="shared" si="193"/>
        <v>100161943.04625073</v>
      </c>
      <c r="U100" s="28">
        <f t="shared" si="193"/>
        <v>96035216.824465126</v>
      </c>
      <c r="V100" s="28">
        <f t="shared" si="193"/>
        <v>87673500.223905742</v>
      </c>
      <c r="W100" s="28">
        <f t="shared" ref="W100:Y100" si="194">IF(W10=0,0,W10/W32*1000000)</f>
        <v>92199920.195569336</v>
      </c>
      <c r="X100" s="28">
        <f t="shared" si="194"/>
        <v>93569889.991998926</v>
      </c>
      <c r="Y100" s="28">
        <f t="shared" si="194"/>
        <v>88661706.242032915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91172067.797376528</v>
      </c>
      <c r="C101" s="84">
        <f t="shared" si="180"/>
        <v>91152843.670269877</v>
      </c>
      <c r="D101" s="84">
        <f t="shared" si="180"/>
        <v>87325471.759349763</v>
      </c>
      <c r="E101" s="84">
        <f t="shared" si="180"/>
        <v>87290150.528669655</v>
      </c>
      <c r="F101" s="84">
        <f t="shared" si="180"/>
        <v>87280555.819100156</v>
      </c>
      <c r="G101" s="84">
        <f t="shared" si="180"/>
        <v>92660762.094459072</v>
      </c>
      <c r="H101" s="84">
        <f t="shared" si="180"/>
        <v>88508807.470481634</v>
      </c>
      <c r="I101" s="84">
        <f t="shared" si="180"/>
        <v>86599492.2726143</v>
      </c>
      <c r="J101" s="84">
        <f t="shared" si="180"/>
        <v>84335576.381285295</v>
      </c>
      <c r="K101" s="84">
        <f t="shared" ref="K101:V101" si="195">IF(K11=0,0,K11/K33*1000000)</f>
        <v>74280730.494366974</v>
      </c>
      <c r="L101" s="84">
        <f t="shared" si="195"/>
        <v>83852418.674550891</v>
      </c>
      <c r="M101" s="84">
        <f t="shared" si="195"/>
        <v>82990198.433300272</v>
      </c>
      <c r="N101" s="84">
        <f t="shared" si="195"/>
        <v>90738341.419671535</v>
      </c>
      <c r="O101" s="84">
        <f t="shared" si="195"/>
        <v>85583810.662634015</v>
      </c>
      <c r="P101" s="84">
        <f t="shared" si="195"/>
        <v>108982934.65944718</v>
      </c>
      <c r="Q101" s="84">
        <f t="shared" si="195"/>
        <v>95491358.14914456</v>
      </c>
      <c r="R101" s="84">
        <f t="shared" si="195"/>
        <v>108583820.50929885</v>
      </c>
      <c r="S101" s="84">
        <f t="shared" si="195"/>
        <v>134757593.12221709</v>
      </c>
      <c r="T101" s="84">
        <f t="shared" si="195"/>
        <v>146179480.98580208</v>
      </c>
      <c r="U101" s="84">
        <f t="shared" si="195"/>
        <v>146603024.88630861</v>
      </c>
      <c r="V101" s="84">
        <f t="shared" si="195"/>
        <v>61903215.004250236</v>
      </c>
      <c r="W101" s="84">
        <f t="shared" ref="W101:Y101" si="196">IF(W11=0,0,W11/W33*1000000)</f>
        <v>61518362.452601142</v>
      </c>
      <c r="X101" s="84">
        <f t="shared" si="196"/>
        <v>62667497.832432456</v>
      </c>
      <c r="Y101" s="84">
        <f t="shared" si="196"/>
        <v>51966105.891633302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85819927.705103859</v>
      </c>
      <c r="C102" s="86">
        <f t="shared" si="180"/>
        <v>89366428.428274617</v>
      </c>
      <c r="D102" s="86">
        <f t="shared" si="180"/>
        <v>89584235.884040043</v>
      </c>
      <c r="E102" s="86">
        <f t="shared" si="180"/>
        <v>89540862.963127106</v>
      </c>
      <c r="F102" s="86">
        <f t="shared" si="180"/>
        <v>89555127.619091585</v>
      </c>
      <c r="G102" s="86">
        <f t="shared" si="180"/>
        <v>91574608.185182229</v>
      </c>
      <c r="H102" s="86">
        <f t="shared" si="180"/>
        <v>97044914.172195137</v>
      </c>
      <c r="I102" s="86">
        <f t="shared" si="180"/>
        <v>95815964.43990621</v>
      </c>
      <c r="J102" s="86">
        <f t="shared" si="180"/>
        <v>95429407.237599939</v>
      </c>
      <c r="K102" s="86">
        <f t="shared" ref="K102:V102" si="197">IF(K12=0,0,K12/K34*1000000)</f>
        <v>84434909.670178279</v>
      </c>
      <c r="L102" s="86">
        <f t="shared" si="197"/>
        <v>94172261.407310382</v>
      </c>
      <c r="M102" s="86">
        <f t="shared" si="197"/>
        <v>91585047.060105458</v>
      </c>
      <c r="N102" s="86">
        <f t="shared" si="197"/>
        <v>94542043.070215851</v>
      </c>
      <c r="O102" s="86">
        <f t="shared" si="197"/>
        <v>90664776.790135518</v>
      </c>
      <c r="P102" s="86">
        <f t="shared" si="197"/>
        <v>99858001.620950148</v>
      </c>
      <c r="Q102" s="86">
        <f t="shared" si="197"/>
        <v>98320669.121999577</v>
      </c>
      <c r="R102" s="86">
        <f t="shared" si="197"/>
        <v>101225838.34292433</v>
      </c>
      <c r="S102" s="86">
        <f t="shared" si="197"/>
        <v>102375121.04782474</v>
      </c>
      <c r="T102" s="86">
        <f t="shared" si="197"/>
        <v>98463368.834932953</v>
      </c>
      <c r="U102" s="86">
        <f t="shared" si="197"/>
        <v>94227920.876611769</v>
      </c>
      <c r="V102" s="86">
        <f t="shared" si="197"/>
        <v>90451450.29366973</v>
      </c>
      <c r="W102" s="86">
        <f t="shared" ref="W102:Y102" si="198">IF(W12=0,0,W12/W34*1000000)</f>
        <v>95496525.61101903</v>
      </c>
      <c r="X102" s="86">
        <f t="shared" si="198"/>
        <v>96876436.674183011</v>
      </c>
      <c r="Y102" s="86">
        <f t="shared" si="198"/>
        <v>92551857.902537331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0.4054612110514616</v>
      </c>
      <c r="C106" s="123">
        <f t="shared" si="199"/>
        <v>0.40869530048911745</v>
      </c>
      <c r="D106" s="123">
        <f t="shared" si="199"/>
        <v>0.41112163331904727</v>
      </c>
      <c r="E106" s="123">
        <f t="shared" si="199"/>
        <v>0.41865418761719214</v>
      </c>
      <c r="F106" s="123">
        <f t="shared" si="199"/>
        <v>0.43388858848851475</v>
      </c>
      <c r="G106" s="123">
        <f t="shared" si="199"/>
        <v>0.42568081801403423</v>
      </c>
      <c r="H106" s="123">
        <f t="shared" si="199"/>
        <v>0.42312900248468699</v>
      </c>
      <c r="I106" s="123">
        <f t="shared" si="199"/>
        <v>0.41967496883211036</v>
      </c>
      <c r="J106" s="123">
        <f t="shared" si="199"/>
        <v>0.39352741758492171</v>
      </c>
      <c r="K106" s="123">
        <f t="shared" ref="K106:V106" si="202">IF(K5=0,0,K5/K$4)</f>
        <v>0.40115714406853675</v>
      </c>
      <c r="L106" s="123">
        <f t="shared" si="202"/>
        <v>0.40268245715185946</v>
      </c>
      <c r="M106" s="123">
        <f t="shared" si="202"/>
        <v>0.39427957032906208</v>
      </c>
      <c r="N106" s="123">
        <f t="shared" si="202"/>
        <v>0.3881709582592171</v>
      </c>
      <c r="O106" s="123">
        <f t="shared" si="202"/>
        <v>0.37919401628862687</v>
      </c>
      <c r="P106" s="123">
        <f t="shared" si="202"/>
        <v>0.36912415458895947</v>
      </c>
      <c r="Q106" s="123">
        <f t="shared" si="202"/>
        <v>0.37239588196867945</v>
      </c>
      <c r="R106" s="123">
        <f t="shared" si="202"/>
        <v>0.36506501953900938</v>
      </c>
      <c r="S106" s="123">
        <f t="shared" si="202"/>
        <v>0.36396978556372095</v>
      </c>
      <c r="T106" s="123">
        <f t="shared" si="202"/>
        <v>0.35404009430873951</v>
      </c>
      <c r="U106" s="123">
        <f t="shared" si="202"/>
        <v>0.35735621790009958</v>
      </c>
      <c r="V106" s="123">
        <f t="shared" si="202"/>
        <v>0.44424571226824355</v>
      </c>
      <c r="W106" s="123">
        <f t="shared" ref="W106:Y106" si="203">IF(W5=0,0,W5/W$4)</f>
        <v>0.42484619058148632</v>
      </c>
      <c r="X106" s="123">
        <f t="shared" si="203"/>
        <v>0.33759513799849067</v>
      </c>
      <c r="Y106" s="123">
        <f t="shared" si="203"/>
        <v>0.32110253839804465</v>
      </c>
      <c r="DA106" s="203"/>
    </row>
    <row r="107" spans="1:105" ht="11.45" customHeight="1" x14ac:dyDescent="0.25">
      <c r="A107" s="109" t="s">
        <v>24</v>
      </c>
      <c r="B107" s="124">
        <f t="shared" si="199"/>
        <v>0.59453878894853829</v>
      </c>
      <c r="C107" s="124">
        <f t="shared" si="199"/>
        <v>0.5913046995108826</v>
      </c>
      <c r="D107" s="124">
        <f t="shared" si="199"/>
        <v>0.58887836668095261</v>
      </c>
      <c r="E107" s="124">
        <f t="shared" si="199"/>
        <v>0.5813458123828078</v>
      </c>
      <c r="F107" s="124">
        <f t="shared" si="199"/>
        <v>0.56611141151148536</v>
      </c>
      <c r="G107" s="124">
        <f t="shared" si="199"/>
        <v>0.57431918198596588</v>
      </c>
      <c r="H107" s="124">
        <f t="shared" si="199"/>
        <v>0.57687099751531301</v>
      </c>
      <c r="I107" s="124">
        <f t="shared" si="199"/>
        <v>0.56801017168502144</v>
      </c>
      <c r="J107" s="124">
        <f t="shared" si="199"/>
        <v>0.59358250996255324</v>
      </c>
      <c r="K107" s="124">
        <f t="shared" ref="K107:V107" si="204">IF(K6=0,0,K6/K$4)</f>
        <v>0.58611494699633127</v>
      </c>
      <c r="L107" s="124">
        <f t="shared" si="204"/>
        <v>0.58491613195510261</v>
      </c>
      <c r="M107" s="124">
        <f t="shared" si="204"/>
        <v>0.57961938570148119</v>
      </c>
      <c r="N107" s="124">
        <f t="shared" si="204"/>
        <v>0.58577739192178091</v>
      </c>
      <c r="O107" s="124">
        <f t="shared" si="204"/>
        <v>0.59420482331730407</v>
      </c>
      <c r="P107" s="124">
        <f t="shared" si="204"/>
        <v>0.60384319754222537</v>
      </c>
      <c r="Q107" s="124">
        <f t="shared" si="204"/>
        <v>0.60066783118354383</v>
      </c>
      <c r="R107" s="124">
        <f t="shared" si="204"/>
        <v>0.60556446779716044</v>
      </c>
      <c r="S107" s="124">
        <f t="shared" si="204"/>
        <v>0.60680067319024777</v>
      </c>
      <c r="T107" s="124">
        <f t="shared" si="204"/>
        <v>0.61626866138333802</v>
      </c>
      <c r="U107" s="124">
        <f t="shared" si="204"/>
        <v>0.6135731639960047</v>
      </c>
      <c r="V107" s="124">
        <f t="shared" si="204"/>
        <v>0.5305783310554828</v>
      </c>
      <c r="W107" s="124">
        <f t="shared" ref="W107:Y107" si="205">IF(W6=0,0,W6/W$4)</f>
        <v>0.54908044379432985</v>
      </c>
      <c r="X107" s="124">
        <f t="shared" si="205"/>
        <v>0.63222534003767361</v>
      </c>
      <c r="Y107" s="124">
        <f t="shared" si="205"/>
        <v>0.64797762024515126</v>
      </c>
      <c r="DA107" s="176"/>
    </row>
    <row r="108" spans="1:105" ht="11.45" customHeight="1" x14ac:dyDescent="0.25">
      <c r="A108" s="111" t="s">
        <v>92</v>
      </c>
      <c r="B108" s="125">
        <f t="shared" si="199"/>
        <v>6.8131050842614019E-2</v>
      </c>
      <c r="C108" s="125">
        <f t="shared" si="199"/>
        <v>7.0975233956214898E-2</v>
      </c>
      <c r="D108" s="125">
        <f t="shared" si="199"/>
        <v>7.5443941680679832E-2</v>
      </c>
      <c r="E108" s="125">
        <f t="shared" si="199"/>
        <v>8.0852480339566823E-2</v>
      </c>
      <c r="F108" s="125">
        <f t="shared" si="199"/>
        <v>8.3120000512378112E-2</v>
      </c>
      <c r="G108" s="125">
        <f t="shared" si="199"/>
        <v>9.3700826748440366E-2</v>
      </c>
      <c r="H108" s="125">
        <f t="shared" si="199"/>
        <v>9.2325918416319208E-2</v>
      </c>
      <c r="I108" s="125">
        <f t="shared" si="199"/>
        <v>9.2412799345339636E-2</v>
      </c>
      <c r="J108" s="125">
        <f t="shared" si="199"/>
        <v>0.11303577546255679</v>
      </c>
      <c r="K108" s="125">
        <f t="shared" ref="K108:V108" si="206">IF(K7=0,0,K7/K$4)</f>
        <v>0.1121069510523226</v>
      </c>
      <c r="L108" s="125">
        <f t="shared" si="206"/>
        <v>0.10738143666545157</v>
      </c>
      <c r="M108" s="125">
        <f t="shared" si="206"/>
        <v>9.5445726476004314E-2</v>
      </c>
      <c r="N108" s="125">
        <f t="shared" si="206"/>
        <v>0.10284140533994222</v>
      </c>
      <c r="O108" s="125">
        <f t="shared" si="206"/>
        <v>9.2078600172490713E-2</v>
      </c>
      <c r="P108" s="125">
        <f t="shared" si="206"/>
        <v>9.8566312527943928E-2</v>
      </c>
      <c r="Q108" s="125">
        <f t="shared" si="206"/>
        <v>7.8209855443417714E-2</v>
      </c>
      <c r="R108" s="125">
        <f t="shared" si="206"/>
        <v>7.8498413992934307E-2</v>
      </c>
      <c r="S108" s="125">
        <f t="shared" si="206"/>
        <v>8.3064303720206137E-2</v>
      </c>
      <c r="T108" s="125">
        <f t="shared" si="206"/>
        <v>8.162000803821115E-2</v>
      </c>
      <c r="U108" s="125">
        <f t="shared" si="206"/>
        <v>8.1403745369590538E-2</v>
      </c>
      <c r="V108" s="125">
        <f t="shared" si="206"/>
        <v>3.6045397408009348E-2</v>
      </c>
      <c r="W108" s="125">
        <f t="shared" ref="W108:Y108" si="207">IF(W7=0,0,W7/W$4)</f>
        <v>3.5553213178844231E-2</v>
      </c>
      <c r="X108" s="125">
        <f t="shared" si="207"/>
        <v>2.5775817501504796E-2</v>
      </c>
      <c r="Y108" s="125">
        <f t="shared" si="207"/>
        <v>4.3925694063793076E-2</v>
      </c>
      <c r="DA108" s="171"/>
    </row>
    <row r="109" spans="1:105" ht="11.45" customHeight="1" x14ac:dyDescent="0.25">
      <c r="A109" s="111" t="s">
        <v>93</v>
      </c>
      <c r="B109" s="125">
        <f t="shared" si="199"/>
        <v>0.52640773810592434</v>
      </c>
      <c r="C109" s="125">
        <f t="shared" si="199"/>
        <v>0.52032946555466764</v>
      </c>
      <c r="D109" s="125">
        <f t="shared" si="199"/>
        <v>0.51343442500027281</v>
      </c>
      <c r="E109" s="125">
        <f t="shared" si="199"/>
        <v>0.50049333204324098</v>
      </c>
      <c r="F109" s="125">
        <f t="shared" si="199"/>
        <v>0.4829914109991072</v>
      </c>
      <c r="G109" s="125">
        <f t="shared" si="199"/>
        <v>0.48061835523752544</v>
      </c>
      <c r="H109" s="125">
        <f t="shared" si="199"/>
        <v>0.4845450790989938</v>
      </c>
      <c r="I109" s="125">
        <f t="shared" si="199"/>
        <v>0.47559737233968175</v>
      </c>
      <c r="J109" s="125">
        <f t="shared" si="199"/>
        <v>0.48054673449999646</v>
      </c>
      <c r="K109" s="125">
        <f t="shared" ref="K109:V109" si="208">IF(K8=0,0,K8/K$4)</f>
        <v>0.47400799594400866</v>
      </c>
      <c r="L109" s="125">
        <f t="shared" si="208"/>
        <v>0.47753469528965098</v>
      </c>
      <c r="M109" s="125">
        <f t="shared" si="208"/>
        <v>0.48417365922547695</v>
      </c>
      <c r="N109" s="125">
        <f t="shared" si="208"/>
        <v>0.48293598658183867</v>
      </c>
      <c r="O109" s="125">
        <f t="shared" si="208"/>
        <v>0.50212622314481337</v>
      </c>
      <c r="P109" s="125">
        <f t="shared" si="208"/>
        <v>0.50527688501428136</v>
      </c>
      <c r="Q109" s="125">
        <f t="shared" si="208"/>
        <v>0.52245797574012609</v>
      </c>
      <c r="R109" s="125">
        <f t="shared" si="208"/>
        <v>0.52706605380422611</v>
      </c>
      <c r="S109" s="125">
        <f t="shared" si="208"/>
        <v>0.52373636947004176</v>
      </c>
      <c r="T109" s="125">
        <f t="shared" si="208"/>
        <v>0.5346486533451269</v>
      </c>
      <c r="U109" s="125">
        <f t="shared" si="208"/>
        <v>0.5321694186264142</v>
      </c>
      <c r="V109" s="125">
        <f t="shared" si="208"/>
        <v>0.49453293364747347</v>
      </c>
      <c r="W109" s="125">
        <f t="shared" ref="W109:Y109" si="209">IF(W8=0,0,W8/W$4)</f>
        <v>0.51352723061548566</v>
      </c>
      <c r="X109" s="125">
        <f t="shared" si="209"/>
        <v>0.60644952253616879</v>
      </c>
      <c r="Y109" s="125">
        <f t="shared" si="209"/>
        <v>0.60405192618135817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1.2314859482868231E-2</v>
      </c>
      <c r="J110" s="126">
        <f t="shared" si="199"/>
        <v>1.2890072452524937E-2</v>
      </c>
      <c r="K110" s="126">
        <f t="shared" ref="K110:V110" si="210">IF(K9=0,0,K9/K$4)</f>
        <v>1.2727908935132105E-2</v>
      </c>
      <c r="L110" s="126">
        <f t="shared" si="210"/>
        <v>1.2401410893037921E-2</v>
      </c>
      <c r="M110" s="126">
        <f t="shared" si="210"/>
        <v>2.6101043969456787E-2</v>
      </c>
      <c r="N110" s="126">
        <f t="shared" si="210"/>
        <v>2.6051649819002078E-2</v>
      </c>
      <c r="O110" s="126">
        <f t="shared" si="210"/>
        <v>2.660116039406896E-2</v>
      </c>
      <c r="P110" s="126">
        <f t="shared" si="210"/>
        <v>2.7032647868815145E-2</v>
      </c>
      <c r="Q110" s="126">
        <f t="shared" si="210"/>
        <v>2.69362868477767E-2</v>
      </c>
      <c r="R110" s="126">
        <f t="shared" si="210"/>
        <v>2.9370512663830197E-2</v>
      </c>
      <c r="S110" s="126">
        <f t="shared" si="210"/>
        <v>2.9229541246031283E-2</v>
      </c>
      <c r="T110" s="126">
        <f t="shared" si="210"/>
        <v>2.9691244307922582E-2</v>
      </c>
      <c r="U110" s="126">
        <f t="shared" si="210"/>
        <v>2.9070618103895763E-2</v>
      </c>
      <c r="V110" s="126">
        <f t="shared" si="210"/>
        <v>2.5175956676273609E-2</v>
      </c>
      <c r="W110" s="126">
        <f t="shared" ref="W110:Y110" si="211">IF(W9=0,0,W9/W$4)</f>
        <v>2.6073365624183924E-2</v>
      </c>
      <c r="X110" s="126">
        <f t="shared" si="211"/>
        <v>3.0179521963835571E-2</v>
      </c>
      <c r="Y110" s="126">
        <f t="shared" si="211"/>
        <v>3.0919841356804135E-2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5.7958308682815124E-2</v>
      </c>
      <c r="C112" s="125">
        <f t="shared" si="212"/>
        <v>6.0265308962104296E-2</v>
      </c>
      <c r="D112" s="125">
        <f t="shared" si="212"/>
        <v>6.3939888845518225E-2</v>
      </c>
      <c r="E112" s="125">
        <f t="shared" si="212"/>
        <v>6.8362503324422799E-2</v>
      </c>
      <c r="F112" s="125">
        <f t="shared" si="212"/>
        <v>6.9564659713614363E-2</v>
      </c>
      <c r="G112" s="125">
        <f t="shared" si="212"/>
        <v>7.765773975192608E-2</v>
      </c>
      <c r="H112" s="125">
        <f t="shared" si="212"/>
        <v>7.7507943165646326E-2</v>
      </c>
      <c r="I112" s="125">
        <f t="shared" si="212"/>
        <v>7.8715101045682315E-2</v>
      </c>
      <c r="J112" s="125">
        <f t="shared" si="212"/>
        <v>7.0693439691955129E-2</v>
      </c>
      <c r="K112" s="125">
        <f t="shared" ref="K112:V112" si="215">IF(K11=0,0,K11/K$10)</f>
        <v>7.2389993872609082E-2</v>
      </c>
      <c r="L112" s="125">
        <f t="shared" si="215"/>
        <v>6.8743906535791266E-2</v>
      </c>
      <c r="M112" s="125">
        <f t="shared" si="215"/>
        <v>6.2020245698950115E-2</v>
      </c>
      <c r="N112" s="125">
        <f t="shared" si="215"/>
        <v>6.5842009574335031E-2</v>
      </c>
      <c r="O112" s="125">
        <f t="shared" si="215"/>
        <v>5.8128872255321533E-2</v>
      </c>
      <c r="P112" s="125">
        <f t="shared" si="215"/>
        <v>6.3240308015633309E-2</v>
      </c>
      <c r="Q112" s="125">
        <f t="shared" si="215"/>
        <v>5.0389028881271787E-2</v>
      </c>
      <c r="R112" s="125">
        <f t="shared" si="215"/>
        <v>5.0466227913797429E-2</v>
      </c>
      <c r="S112" s="125">
        <f t="shared" si="215"/>
        <v>5.3722795335152909E-2</v>
      </c>
      <c r="T112" s="125">
        <f t="shared" si="215"/>
        <v>5.195210513529986E-2</v>
      </c>
      <c r="U112" s="125">
        <f t="shared" si="215"/>
        <v>5.2676484858997299E-2</v>
      </c>
      <c r="V112" s="125">
        <f t="shared" si="215"/>
        <v>6.8705266382599509E-2</v>
      </c>
      <c r="W112" s="125">
        <f t="shared" ref="W112:Y112" si="216">IF(W11=0,0,W11/W$10)</f>
        <v>6.4735318885329046E-2</v>
      </c>
      <c r="X112" s="125">
        <f t="shared" si="216"/>
        <v>6.4735318885329046E-2</v>
      </c>
      <c r="Y112" s="125">
        <f t="shared" si="216"/>
        <v>5.6179390703348667E-2</v>
      </c>
      <c r="DA112" s="171"/>
    </row>
    <row r="113" spans="1:105" ht="11.45" customHeight="1" x14ac:dyDescent="0.25">
      <c r="A113" s="85" t="s">
        <v>93</v>
      </c>
      <c r="B113" s="127">
        <f t="shared" si="212"/>
        <v>0.94204169131718485</v>
      </c>
      <c r="C113" s="127">
        <f t="shared" si="212"/>
        <v>0.93973469103789575</v>
      </c>
      <c r="D113" s="127">
        <f t="shared" si="212"/>
        <v>0.93606011115448173</v>
      </c>
      <c r="E113" s="127">
        <f t="shared" si="212"/>
        <v>0.93163749667557716</v>
      </c>
      <c r="F113" s="127">
        <f t="shared" si="212"/>
        <v>0.93043534028638575</v>
      </c>
      <c r="G113" s="127">
        <f t="shared" si="212"/>
        <v>0.92234226024807398</v>
      </c>
      <c r="H113" s="127">
        <f t="shared" si="212"/>
        <v>0.92249205683435365</v>
      </c>
      <c r="I113" s="127">
        <f t="shared" si="212"/>
        <v>0.92128489895431764</v>
      </c>
      <c r="J113" s="127">
        <f t="shared" si="212"/>
        <v>0.92930656030804482</v>
      </c>
      <c r="K113" s="127">
        <f t="shared" ref="K113:V113" si="217">IF(K12=0,0,K12/K$10)</f>
        <v>0.92761000612739086</v>
      </c>
      <c r="L113" s="127">
        <f t="shared" si="217"/>
        <v>0.93125609346420879</v>
      </c>
      <c r="M113" s="127">
        <f t="shared" si="217"/>
        <v>0.93797975430104996</v>
      </c>
      <c r="N113" s="127">
        <f t="shared" si="217"/>
        <v>0.93415799042566494</v>
      </c>
      <c r="O113" s="127">
        <f t="shared" si="217"/>
        <v>0.9418711277446784</v>
      </c>
      <c r="P113" s="127">
        <f t="shared" si="217"/>
        <v>0.9367596919843667</v>
      </c>
      <c r="Q113" s="127">
        <f t="shared" si="217"/>
        <v>0.94961097111872828</v>
      </c>
      <c r="R113" s="127">
        <f t="shared" si="217"/>
        <v>0.9495337720862026</v>
      </c>
      <c r="S113" s="127">
        <f t="shared" si="217"/>
        <v>0.9462772046648471</v>
      </c>
      <c r="T113" s="127">
        <f t="shared" si="217"/>
        <v>0.9480478948647002</v>
      </c>
      <c r="U113" s="127">
        <f t="shared" si="217"/>
        <v>0.94732351514100266</v>
      </c>
      <c r="V113" s="127">
        <f t="shared" si="217"/>
        <v>0.93129473361740056</v>
      </c>
      <c r="W113" s="127">
        <f t="shared" ref="W113:Y113" si="218">IF(W12=0,0,W12/W$10)</f>
        <v>0.93526468111467098</v>
      </c>
      <c r="X113" s="127">
        <f t="shared" si="218"/>
        <v>0.93526468111467098</v>
      </c>
      <c r="Y113" s="127">
        <f t="shared" si="218"/>
        <v>0.94382060929665124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0.48436223836401182</v>
      </c>
      <c r="C117" s="123">
        <f t="shared" si="219"/>
        <v>0.51042355208576751</v>
      </c>
      <c r="D117" s="123">
        <f t="shared" si="219"/>
        <v>0.52126078264936326</v>
      </c>
      <c r="E117" s="123">
        <f t="shared" si="219"/>
        <v>0.52470083001141521</v>
      </c>
      <c r="F117" s="123">
        <f t="shared" si="219"/>
        <v>0.53508023548701644</v>
      </c>
      <c r="G117" s="123">
        <f t="shared" si="219"/>
        <v>0.54466307795668489</v>
      </c>
      <c r="H117" s="123">
        <f t="shared" si="219"/>
        <v>0.5405829297728143</v>
      </c>
      <c r="I117" s="123">
        <f t="shared" si="219"/>
        <v>0.53528607640333603</v>
      </c>
      <c r="J117" s="123">
        <f t="shared" si="219"/>
        <v>0.50504519602072429</v>
      </c>
      <c r="K117" s="123">
        <f t="shared" ref="K117:V117" si="222">IF(K16=0,0,K16/K$15)</f>
        <v>0.49559680548225282</v>
      </c>
      <c r="L117" s="123">
        <f t="shared" si="222"/>
        <v>0.49134795889278932</v>
      </c>
      <c r="M117" s="123">
        <f t="shared" si="222"/>
        <v>0.51406848281808537</v>
      </c>
      <c r="N117" s="123">
        <f t="shared" si="222"/>
        <v>0.50972855854675192</v>
      </c>
      <c r="O117" s="123">
        <f t="shared" si="222"/>
        <v>0.47183123968104135</v>
      </c>
      <c r="P117" s="123">
        <f t="shared" si="222"/>
        <v>0.44590280486887168</v>
      </c>
      <c r="Q117" s="123">
        <f t="shared" si="222"/>
        <v>0.44878816611726341</v>
      </c>
      <c r="R117" s="123">
        <f t="shared" si="222"/>
        <v>0.41845598814443596</v>
      </c>
      <c r="S117" s="123">
        <f t="shared" si="222"/>
        <v>0.39746122392501426</v>
      </c>
      <c r="T117" s="123">
        <f t="shared" si="222"/>
        <v>0.39787857564720891</v>
      </c>
      <c r="U117" s="123">
        <f t="shared" si="222"/>
        <v>0.40307503076393392</v>
      </c>
      <c r="V117" s="123">
        <f t="shared" si="222"/>
        <v>0.48454746827565903</v>
      </c>
      <c r="W117" s="123">
        <f t="shared" ref="W117:Y117" si="223">IF(W16=0,0,W16/W$15)</f>
        <v>0.48491558762374137</v>
      </c>
      <c r="X117" s="123">
        <f t="shared" si="223"/>
        <v>0.47569163217778521</v>
      </c>
      <c r="Y117" s="123">
        <f t="shared" si="223"/>
        <v>0.39160648256017694</v>
      </c>
      <c r="DA117" s="203"/>
    </row>
    <row r="118" spans="1:105" ht="11.45" customHeight="1" x14ac:dyDescent="0.25">
      <c r="A118" s="109" t="s">
        <v>24</v>
      </c>
      <c r="B118" s="124">
        <f t="shared" si="219"/>
        <v>0.51563776163598818</v>
      </c>
      <c r="C118" s="124">
        <f t="shared" si="219"/>
        <v>0.48957644791423244</v>
      </c>
      <c r="D118" s="124">
        <f t="shared" si="219"/>
        <v>0.47873921735063668</v>
      </c>
      <c r="E118" s="124">
        <f t="shared" si="219"/>
        <v>0.47529916998858485</v>
      </c>
      <c r="F118" s="124">
        <f t="shared" si="219"/>
        <v>0.46491976451298356</v>
      </c>
      <c r="G118" s="124">
        <f t="shared" si="219"/>
        <v>0.45533692204331505</v>
      </c>
      <c r="H118" s="124">
        <f t="shared" si="219"/>
        <v>0.45941707022718553</v>
      </c>
      <c r="I118" s="124">
        <f t="shared" si="219"/>
        <v>0.45966079740772781</v>
      </c>
      <c r="J118" s="124">
        <f t="shared" si="219"/>
        <v>0.48986414413221868</v>
      </c>
      <c r="K118" s="124">
        <f t="shared" ref="K118:V118" si="224">IF(K17=0,0,K17/K$15)</f>
        <v>0.49974434636162629</v>
      </c>
      <c r="L118" s="124">
        <f t="shared" si="224"/>
        <v>0.50447183969119147</v>
      </c>
      <c r="M118" s="124">
        <f t="shared" si="224"/>
        <v>0.47650383913659961</v>
      </c>
      <c r="N118" s="124">
        <f t="shared" si="224"/>
        <v>0.48115616318608395</v>
      </c>
      <c r="O118" s="124">
        <f t="shared" si="224"/>
        <v>0.51940811398232678</v>
      </c>
      <c r="P118" s="124">
        <f t="shared" si="224"/>
        <v>0.54568830714762295</v>
      </c>
      <c r="Q118" s="124">
        <f t="shared" si="224"/>
        <v>0.54314249008290094</v>
      </c>
      <c r="R118" s="124">
        <f t="shared" si="224"/>
        <v>0.57346051042965784</v>
      </c>
      <c r="S118" s="124">
        <f t="shared" si="224"/>
        <v>0.59509050828833976</v>
      </c>
      <c r="T118" s="124">
        <f t="shared" si="224"/>
        <v>0.59441293446001797</v>
      </c>
      <c r="U118" s="124">
        <f t="shared" si="224"/>
        <v>0.58950489554903518</v>
      </c>
      <c r="V118" s="124">
        <f t="shared" si="224"/>
        <v>0.50709322734334861</v>
      </c>
      <c r="W118" s="124">
        <f t="shared" ref="W118:Y118" si="225">IF(W17=0,0,W17/W$15)</f>
        <v>0.50593902256320467</v>
      </c>
      <c r="X118" s="124">
        <f t="shared" si="225"/>
        <v>0.51619595318974509</v>
      </c>
      <c r="Y118" s="124">
        <f t="shared" si="225"/>
        <v>0.59980398306182181</v>
      </c>
      <c r="DA118" s="176"/>
    </row>
    <row r="119" spans="1:105" ht="11.45" customHeight="1" x14ac:dyDescent="0.25">
      <c r="A119" s="111" t="s">
        <v>92</v>
      </c>
      <c r="B119" s="125">
        <f t="shared" si="219"/>
        <v>7.7544344670907567E-2</v>
      </c>
      <c r="C119" s="125">
        <f t="shared" si="219"/>
        <v>8.4569424497353787E-2</v>
      </c>
      <c r="D119" s="125">
        <f t="shared" si="219"/>
        <v>9.1059523550984761E-2</v>
      </c>
      <c r="E119" s="125">
        <f t="shared" si="219"/>
        <v>9.6331309796756553E-2</v>
      </c>
      <c r="F119" s="125">
        <f t="shared" si="219"/>
        <v>9.7273777745681411E-2</v>
      </c>
      <c r="G119" s="125">
        <f t="shared" si="219"/>
        <v>0.11040086344783219</v>
      </c>
      <c r="H119" s="125">
        <f t="shared" si="219"/>
        <v>0.11141640138882487</v>
      </c>
      <c r="I119" s="125">
        <f t="shared" si="219"/>
        <v>0.11250266269193869</v>
      </c>
      <c r="J119" s="125">
        <f t="shared" si="219"/>
        <v>0.12866755775176245</v>
      </c>
      <c r="K119" s="125">
        <f t="shared" ref="K119:V119" si="226">IF(K18=0,0,K18/K$15)</f>
        <v>0.12762961474615242</v>
      </c>
      <c r="L119" s="125">
        <f t="shared" si="226"/>
        <v>0.11848661678072611</v>
      </c>
      <c r="M119" s="125">
        <f t="shared" si="226"/>
        <v>0.11136769753515149</v>
      </c>
      <c r="N119" s="125">
        <f t="shared" si="226"/>
        <v>0.11562425798114589</v>
      </c>
      <c r="O119" s="125">
        <f t="shared" si="226"/>
        <v>9.6219415213975021E-2</v>
      </c>
      <c r="P119" s="125">
        <f t="shared" si="226"/>
        <v>0.10073672382322345</v>
      </c>
      <c r="Q119" s="125">
        <f t="shared" si="226"/>
        <v>7.9872210860077175E-2</v>
      </c>
      <c r="R119" s="125">
        <f t="shared" si="226"/>
        <v>7.5670879091559312E-2</v>
      </c>
      <c r="S119" s="125">
        <f t="shared" si="226"/>
        <v>7.7367512298456537E-2</v>
      </c>
      <c r="T119" s="125">
        <f t="shared" si="226"/>
        <v>7.6873351956313382E-2</v>
      </c>
      <c r="U119" s="125">
        <f t="shared" si="226"/>
        <v>7.9277394944959292E-2</v>
      </c>
      <c r="V119" s="125">
        <f t="shared" si="226"/>
        <v>4.169368213115722E-2</v>
      </c>
      <c r="W119" s="125">
        <f t="shared" ref="W119:Y119" si="227">IF(W18=0,0,W18/W$15)</f>
        <v>4.0544171250831353E-2</v>
      </c>
      <c r="X119" s="125">
        <f t="shared" si="227"/>
        <v>4.0472459777171531E-2</v>
      </c>
      <c r="Y119" s="125">
        <f t="shared" si="227"/>
        <v>5.8284378574226317E-2</v>
      </c>
      <c r="DA119" s="171"/>
    </row>
    <row r="120" spans="1:105" ht="11.45" customHeight="1" x14ac:dyDescent="0.25">
      <c r="A120" s="111" t="s">
        <v>93</v>
      </c>
      <c r="B120" s="125">
        <f t="shared" si="219"/>
        <v>0.43809341696508058</v>
      </c>
      <c r="C120" s="125">
        <f t="shared" si="219"/>
        <v>0.40500702341687861</v>
      </c>
      <c r="D120" s="125">
        <f t="shared" si="219"/>
        <v>0.38767969379965189</v>
      </c>
      <c r="E120" s="125">
        <f t="shared" si="219"/>
        <v>0.37896786019182827</v>
      </c>
      <c r="F120" s="125">
        <f t="shared" si="219"/>
        <v>0.36764598676730215</v>
      </c>
      <c r="G120" s="125">
        <f t="shared" si="219"/>
        <v>0.34493605859548282</v>
      </c>
      <c r="H120" s="125">
        <f t="shared" si="219"/>
        <v>0.34800066883836067</v>
      </c>
      <c r="I120" s="125">
        <f t="shared" si="219"/>
        <v>0.3471581347157891</v>
      </c>
      <c r="J120" s="125">
        <f t="shared" si="219"/>
        <v>0.36119658638045621</v>
      </c>
      <c r="K120" s="125">
        <f t="shared" ref="K120:V120" si="228">IF(K19=0,0,K19/K$15)</f>
        <v>0.37211473161547387</v>
      </c>
      <c r="L120" s="125">
        <f t="shared" si="228"/>
        <v>0.38598522291046544</v>
      </c>
      <c r="M120" s="125">
        <f t="shared" si="228"/>
        <v>0.36513614160144808</v>
      </c>
      <c r="N120" s="125">
        <f t="shared" si="228"/>
        <v>0.36553190520493806</v>
      </c>
      <c r="O120" s="125">
        <f t="shared" si="228"/>
        <v>0.4231886987683518</v>
      </c>
      <c r="P120" s="125">
        <f t="shared" si="228"/>
        <v>0.44495158332439949</v>
      </c>
      <c r="Q120" s="125">
        <f t="shared" si="228"/>
        <v>0.46327027922282377</v>
      </c>
      <c r="R120" s="125">
        <f t="shared" si="228"/>
        <v>0.49778963133809845</v>
      </c>
      <c r="S120" s="125">
        <f t="shared" si="228"/>
        <v>0.51772299598988325</v>
      </c>
      <c r="T120" s="125">
        <f t="shared" si="228"/>
        <v>0.51753958250370458</v>
      </c>
      <c r="U120" s="125">
        <f t="shared" si="228"/>
        <v>0.51022750060407585</v>
      </c>
      <c r="V120" s="125">
        <f t="shared" si="228"/>
        <v>0.46539954521219135</v>
      </c>
      <c r="W120" s="125">
        <f t="shared" ref="W120:Y120" si="229">IF(W19=0,0,W19/W$15)</f>
        <v>0.46539485131237329</v>
      </c>
      <c r="X120" s="125">
        <f t="shared" si="229"/>
        <v>0.47572349341257358</v>
      </c>
      <c r="Y120" s="125">
        <f t="shared" si="229"/>
        <v>0.54151960448759551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5.0531261889362154E-3</v>
      </c>
      <c r="J121" s="126">
        <f t="shared" si="219"/>
        <v>5.0906598470569879E-3</v>
      </c>
      <c r="K121" s="126">
        <f t="shared" ref="K121:V121" si="230">IF(K20=0,0,K20/K$15)</f>
        <v>4.6588481561208178E-3</v>
      </c>
      <c r="L121" s="126">
        <f t="shared" si="230"/>
        <v>4.1802014160192674E-3</v>
      </c>
      <c r="M121" s="126">
        <f t="shared" si="230"/>
        <v>9.4276780453150036E-3</v>
      </c>
      <c r="N121" s="126">
        <f t="shared" si="230"/>
        <v>9.1152782671640904E-3</v>
      </c>
      <c r="O121" s="126">
        <f t="shared" si="230"/>
        <v>8.7606463366318686E-3</v>
      </c>
      <c r="P121" s="126">
        <f t="shared" si="230"/>
        <v>8.4088879835054545E-3</v>
      </c>
      <c r="Q121" s="126">
        <f t="shared" si="230"/>
        <v>8.0693437998356505E-3</v>
      </c>
      <c r="R121" s="126">
        <f t="shared" si="230"/>
        <v>8.0835014259062459E-3</v>
      </c>
      <c r="S121" s="126">
        <f t="shared" si="230"/>
        <v>7.4482677866459599E-3</v>
      </c>
      <c r="T121" s="126">
        <f t="shared" si="230"/>
        <v>7.7084898927732197E-3</v>
      </c>
      <c r="U121" s="126">
        <f t="shared" si="230"/>
        <v>7.4200736870308846E-3</v>
      </c>
      <c r="V121" s="126">
        <f t="shared" si="230"/>
        <v>8.3593043809924057E-3</v>
      </c>
      <c r="W121" s="126">
        <f t="shared" ref="W121:Y121" si="231">IF(W20=0,0,W20/W$15)</f>
        <v>9.1453898130539509E-3</v>
      </c>
      <c r="X121" s="126">
        <f t="shared" si="231"/>
        <v>8.1124146324698127E-3</v>
      </c>
      <c r="Y121" s="126">
        <f t="shared" si="231"/>
        <v>8.5895343780013084E-3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5.474219063159013E-2</v>
      </c>
      <c r="C123" s="125">
        <f t="shared" si="232"/>
        <v>5.9154090593651766E-2</v>
      </c>
      <c r="D123" s="125">
        <f t="shared" si="232"/>
        <v>6.5485455726436964E-2</v>
      </c>
      <c r="E123" s="125">
        <f t="shared" si="232"/>
        <v>7.0001785545065823E-2</v>
      </c>
      <c r="F123" s="125">
        <f t="shared" si="232"/>
        <v>7.1248379277460167E-2</v>
      </c>
      <c r="G123" s="125">
        <f t="shared" si="232"/>
        <v>7.6817371499556308E-2</v>
      </c>
      <c r="H123" s="125">
        <f t="shared" si="232"/>
        <v>8.4352539816777039E-2</v>
      </c>
      <c r="I123" s="125">
        <f t="shared" si="232"/>
        <v>8.6368921733714937E-2</v>
      </c>
      <c r="J123" s="125">
        <f t="shared" si="232"/>
        <v>5.5422819671282576E-2</v>
      </c>
      <c r="K123" s="125">
        <f t="shared" ref="K123:V123" si="235">IF(K22=0,0,K22/K$21)</f>
        <v>5.2955492747156697E-2</v>
      </c>
      <c r="L123" s="125">
        <f t="shared" si="235"/>
        <v>4.9337265116161926E-2</v>
      </c>
      <c r="M123" s="125">
        <f t="shared" si="235"/>
        <v>4.0827837384700298E-2</v>
      </c>
      <c r="N123" s="125">
        <f t="shared" si="235"/>
        <v>4.3307212655324091E-2</v>
      </c>
      <c r="O123" s="125">
        <f t="shared" si="235"/>
        <v>3.4907075398008448E-2</v>
      </c>
      <c r="P123" s="125">
        <f t="shared" si="235"/>
        <v>4.1621126573860245E-2</v>
      </c>
      <c r="Q123" s="125">
        <f t="shared" si="235"/>
        <v>3.3617533092270981E-2</v>
      </c>
      <c r="R123" s="125">
        <f t="shared" si="235"/>
        <v>3.3159147771929326E-2</v>
      </c>
      <c r="S123" s="125">
        <f t="shared" si="235"/>
        <v>3.6806291813758427E-2</v>
      </c>
      <c r="T123" s="125">
        <f t="shared" si="235"/>
        <v>3.1718078504251609E-2</v>
      </c>
      <c r="U123" s="125">
        <f t="shared" si="235"/>
        <v>3.4506771972950503E-2</v>
      </c>
      <c r="V123" s="125">
        <f t="shared" si="235"/>
        <v>9.7307240942231116E-2</v>
      </c>
      <c r="W123" s="125">
        <f t="shared" ref="W123:Y123" si="236">IF(W22=0,0,W22/W$21)</f>
        <v>9.7021294948280226E-2</v>
      </c>
      <c r="X123" s="125">
        <f t="shared" si="236"/>
        <v>9.6657384660711054E-2</v>
      </c>
      <c r="Y123" s="125">
        <f t="shared" si="236"/>
        <v>5.4253108354131864E-2</v>
      </c>
      <c r="DA123" s="171"/>
    </row>
    <row r="124" spans="1:105" ht="11.45" customHeight="1" x14ac:dyDescent="0.25">
      <c r="A124" s="85" t="s">
        <v>93</v>
      </c>
      <c r="B124" s="127">
        <f t="shared" si="232"/>
        <v>0.94525780936840986</v>
      </c>
      <c r="C124" s="127">
        <f t="shared" si="232"/>
        <v>0.94084590940634816</v>
      </c>
      <c r="D124" s="127">
        <f t="shared" si="232"/>
        <v>0.93451454427356306</v>
      </c>
      <c r="E124" s="127">
        <f t="shared" si="232"/>
        <v>0.92999821445493425</v>
      </c>
      <c r="F124" s="127">
        <f t="shared" si="232"/>
        <v>0.92875162072253981</v>
      </c>
      <c r="G124" s="127">
        <f t="shared" si="232"/>
        <v>0.92318262850044375</v>
      </c>
      <c r="H124" s="127">
        <f t="shared" si="232"/>
        <v>0.91564746018322307</v>
      </c>
      <c r="I124" s="127">
        <f t="shared" si="232"/>
        <v>0.91363107826628498</v>
      </c>
      <c r="J124" s="127">
        <f t="shared" si="232"/>
        <v>0.9445771803287174</v>
      </c>
      <c r="K124" s="127">
        <f t="shared" ref="K124:V124" si="237">IF(K23=0,0,K23/K$21)</f>
        <v>0.94704450725284339</v>
      </c>
      <c r="L124" s="127">
        <f t="shared" si="237"/>
        <v>0.95066273488383801</v>
      </c>
      <c r="M124" s="127">
        <f t="shared" si="237"/>
        <v>0.95917216261529969</v>
      </c>
      <c r="N124" s="127">
        <f t="shared" si="237"/>
        <v>0.95669278734467589</v>
      </c>
      <c r="O124" s="127">
        <f t="shared" si="237"/>
        <v>0.96509292460199159</v>
      </c>
      <c r="P124" s="127">
        <f t="shared" si="237"/>
        <v>0.9583788734261397</v>
      </c>
      <c r="Q124" s="127">
        <f t="shared" si="237"/>
        <v>0.966382466907729</v>
      </c>
      <c r="R124" s="127">
        <f t="shared" si="237"/>
        <v>0.9668408522280707</v>
      </c>
      <c r="S124" s="127">
        <f t="shared" si="237"/>
        <v>0.9631937081862415</v>
      </c>
      <c r="T124" s="127">
        <f t="shared" si="237"/>
        <v>0.96828192149574832</v>
      </c>
      <c r="U124" s="127">
        <f t="shared" si="237"/>
        <v>0.9654932280270494</v>
      </c>
      <c r="V124" s="127">
        <f t="shared" si="237"/>
        <v>0.9026927590577688</v>
      </c>
      <c r="W124" s="127">
        <f t="shared" ref="W124:Y124" si="238">IF(W23=0,0,W23/W$21)</f>
        <v>0.90297870505171973</v>
      </c>
      <c r="X124" s="127">
        <f t="shared" si="238"/>
        <v>0.90334261533928895</v>
      </c>
      <c r="Y124" s="127">
        <f t="shared" si="238"/>
        <v>0.94574689164586812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265.89484092863279</v>
      </c>
      <c r="C4" s="146">
        <f t="shared" ref="C4:V4" si="0">SUM(C5,C8)</f>
        <v>255.66276870163369</v>
      </c>
      <c r="D4" s="146">
        <f t="shared" si="0"/>
        <v>246.67523645743768</v>
      </c>
      <c r="E4" s="146">
        <f t="shared" si="0"/>
        <v>240.77815993121234</v>
      </c>
      <c r="F4" s="146">
        <f t="shared" si="0"/>
        <v>243.7756663800516</v>
      </c>
      <c r="G4" s="146">
        <f t="shared" si="0"/>
        <v>236.18521066208081</v>
      </c>
      <c r="H4" s="146">
        <f t="shared" si="0"/>
        <v>240.85356835769559</v>
      </c>
      <c r="I4" s="146">
        <f t="shared" si="0"/>
        <v>236.80859845227857</v>
      </c>
      <c r="J4" s="146">
        <f t="shared" si="0"/>
        <v>245.30963026655201</v>
      </c>
      <c r="K4" s="146">
        <f t="shared" si="0"/>
        <v>239.00266552020636</v>
      </c>
      <c r="L4" s="146">
        <f t="shared" si="0"/>
        <v>244.99621668099743</v>
      </c>
      <c r="M4" s="146">
        <f t="shared" si="0"/>
        <v>228.80997420464314</v>
      </c>
      <c r="N4" s="146">
        <f t="shared" si="0"/>
        <v>222.45382631126392</v>
      </c>
      <c r="O4" s="146">
        <f t="shared" si="0"/>
        <v>215.26999140154768</v>
      </c>
      <c r="P4" s="146">
        <f t="shared" si="0"/>
        <v>214.91470335339636</v>
      </c>
      <c r="Q4" s="146">
        <f t="shared" si="0"/>
        <v>205.95631986242478</v>
      </c>
      <c r="R4" s="146">
        <f t="shared" si="0"/>
        <v>206.21513327601033</v>
      </c>
      <c r="S4" s="146">
        <f t="shared" si="0"/>
        <v>210.503611349957</v>
      </c>
      <c r="T4" s="146">
        <f t="shared" si="0"/>
        <v>207.36018916595012</v>
      </c>
      <c r="U4" s="146">
        <f t="shared" si="0"/>
        <v>204.33680137575237</v>
      </c>
      <c r="V4" s="146">
        <f t="shared" si="0"/>
        <v>188.12106620808257</v>
      </c>
      <c r="W4" s="146">
        <f t="shared" ref="W4:Y4" si="1">SUM(W5,W8)</f>
        <v>190.67403267411865</v>
      </c>
      <c r="X4" s="146">
        <f t="shared" si="1"/>
        <v>189.65752364574377</v>
      </c>
      <c r="Y4" s="146">
        <f t="shared" si="1"/>
        <v>184.19638865004299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44.656663800515915</v>
      </c>
      <c r="C5" s="101">
        <f t="shared" ref="C5:V5" si="2">SUM(C6:C7)</f>
        <v>44.656749785038699</v>
      </c>
      <c r="D5" s="101">
        <f t="shared" si="2"/>
        <v>45.72940670679278</v>
      </c>
      <c r="E5" s="101">
        <f t="shared" si="2"/>
        <v>47.742906276870151</v>
      </c>
      <c r="F5" s="101">
        <f t="shared" si="2"/>
        <v>49.192691315563188</v>
      </c>
      <c r="G5" s="101">
        <f t="shared" si="2"/>
        <v>53.245227858985388</v>
      </c>
      <c r="H5" s="101">
        <f t="shared" si="2"/>
        <v>54.192175408426486</v>
      </c>
      <c r="I5" s="101">
        <f t="shared" si="2"/>
        <v>54.117884780739466</v>
      </c>
      <c r="J5" s="101">
        <f t="shared" si="2"/>
        <v>54.076784178847809</v>
      </c>
      <c r="K5" s="101">
        <f t="shared" si="2"/>
        <v>53.959243336199471</v>
      </c>
      <c r="L5" s="101">
        <f t="shared" si="2"/>
        <v>52.508942390369725</v>
      </c>
      <c r="M5" s="101">
        <f t="shared" si="2"/>
        <v>44.216165090283752</v>
      </c>
      <c r="N5" s="101">
        <f t="shared" si="2"/>
        <v>45.652794496990538</v>
      </c>
      <c r="O5" s="101">
        <f t="shared" si="2"/>
        <v>38.975666380051592</v>
      </c>
      <c r="P5" s="101">
        <f t="shared" si="2"/>
        <v>42.352708512467757</v>
      </c>
      <c r="Q5" s="101">
        <f t="shared" si="2"/>
        <v>32.301461736887362</v>
      </c>
      <c r="R5" s="101">
        <f t="shared" si="2"/>
        <v>32.39183147033534</v>
      </c>
      <c r="S5" s="101">
        <f t="shared" si="2"/>
        <v>35.209630266552018</v>
      </c>
      <c r="T5" s="101">
        <f t="shared" si="2"/>
        <v>33.53525365434222</v>
      </c>
      <c r="U5" s="101">
        <f t="shared" si="2"/>
        <v>33.509286328460867</v>
      </c>
      <c r="V5" s="101">
        <f t="shared" si="2"/>
        <v>29.686844368013755</v>
      </c>
      <c r="W5" s="101">
        <f t="shared" ref="W5:Y5" si="3">SUM(W6:W7)</f>
        <v>29.67463456577816</v>
      </c>
      <c r="X5" s="101">
        <f t="shared" si="3"/>
        <v>29.466036113499563</v>
      </c>
      <c r="Y5" s="101">
        <f t="shared" si="3"/>
        <v>27.033619948409282</v>
      </c>
      <c r="DA5" s="175"/>
    </row>
    <row r="6" spans="1:105" ht="11.45" customHeight="1" x14ac:dyDescent="0.25">
      <c r="A6" s="164" t="s">
        <v>175</v>
      </c>
      <c r="B6" s="165">
        <v>44.656663800515915</v>
      </c>
      <c r="C6" s="165">
        <v>44.656749785038699</v>
      </c>
      <c r="D6" s="165">
        <v>45.72940670679278</v>
      </c>
      <c r="E6" s="165">
        <v>47.742906276870151</v>
      </c>
      <c r="F6" s="165">
        <v>49.192691315563188</v>
      </c>
      <c r="G6" s="165">
        <v>52.728202923473781</v>
      </c>
      <c r="H6" s="165">
        <v>52.059673258813419</v>
      </c>
      <c r="I6" s="165">
        <v>51.746689595872745</v>
      </c>
      <c r="J6" s="165">
        <v>51.668013757523646</v>
      </c>
      <c r="K6" s="165">
        <v>50.786414445399814</v>
      </c>
      <c r="L6" s="165">
        <v>49.392089423903691</v>
      </c>
      <c r="M6" s="165">
        <v>41.543422184006879</v>
      </c>
      <c r="N6" s="165">
        <v>42.781513327601026</v>
      </c>
      <c r="O6" s="165">
        <v>36.612467755803955</v>
      </c>
      <c r="P6" s="165">
        <v>39.776010318142738</v>
      </c>
      <c r="Q6" s="165">
        <v>30.305846947549441</v>
      </c>
      <c r="R6" s="165">
        <v>30.443250214961306</v>
      </c>
      <c r="S6" s="165">
        <v>33.159157351676697</v>
      </c>
      <c r="T6" s="165">
        <v>31.67592433361995</v>
      </c>
      <c r="U6" s="165">
        <v>31.669819432502141</v>
      </c>
      <c r="V6" s="165">
        <v>27.841100601891657</v>
      </c>
      <c r="W6" s="165">
        <v>27.780051590713672</v>
      </c>
      <c r="X6" s="165">
        <v>27.577214101461731</v>
      </c>
      <c r="Y6" s="165">
        <v>25.334221840068782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0.51702493551160789</v>
      </c>
      <c r="H7" s="167">
        <v>2.1325021496130696</v>
      </c>
      <c r="I7" s="167">
        <v>2.3711951848667234</v>
      </c>
      <c r="J7" s="167">
        <v>2.4087704213241614</v>
      </c>
      <c r="K7" s="167">
        <v>3.1728288907996554</v>
      </c>
      <c r="L7" s="167">
        <v>3.1168529664660354</v>
      </c>
      <c r="M7" s="167">
        <v>2.6727429062768704</v>
      </c>
      <c r="N7" s="167">
        <v>2.8712811693895093</v>
      </c>
      <c r="O7" s="167">
        <v>2.3631986242476346</v>
      </c>
      <c r="P7" s="167">
        <v>2.5766981943250218</v>
      </c>
      <c r="Q7" s="167">
        <v>1.9956147893379186</v>
      </c>
      <c r="R7" s="167">
        <v>1.9485812553740327</v>
      </c>
      <c r="S7" s="167">
        <v>2.0504729148753218</v>
      </c>
      <c r="T7" s="167">
        <v>1.8593293207222701</v>
      </c>
      <c r="U7" s="167">
        <v>1.839466895958727</v>
      </c>
      <c r="V7" s="167">
        <v>1.8457437661220979</v>
      </c>
      <c r="W7" s="167">
        <v>1.894582975064488</v>
      </c>
      <c r="X7" s="167">
        <v>1.888822012037833</v>
      </c>
      <c r="Y7" s="167">
        <v>1.699398108340499</v>
      </c>
      <c r="DA7" s="177" t="s">
        <v>1105</v>
      </c>
    </row>
    <row r="8" spans="1:105" ht="11.45" customHeight="1" x14ac:dyDescent="0.25">
      <c r="A8" s="85" t="s">
        <v>91</v>
      </c>
      <c r="B8" s="88">
        <v>221.23817712811689</v>
      </c>
      <c r="C8" s="88">
        <v>211.006018916595</v>
      </c>
      <c r="D8" s="88">
        <v>200.94582975064489</v>
      </c>
      <c r="E8" s="88">
        <v>193.0352536543422</v>
      </c>
      <c r="F8" s="88">
        <v>194.58297506448841</v>
      </c>
      <c r="G8" s="88">
        <v>182.9399828030954</v>
      </c>
      <c r="H8" s="88">
        <v>186.6613929492691</v>
      </c>
      <c r="I8" s="88">
        <v>182.6907136715391</v>
      </c>
      <c r="J8" s="88">
        <v>191.23284608770419</v>
      </c>
      <c r="K8" s="88">
        <v>185.04342218400689</v>
      </c>
      <c r="L8" s="88">
        <v>192.48727429062771</v>
      </c>
      <c r="M8" s="88">
        <v>184.5938091143594</v>
      </c>
      <c r="N8" s="88">
        <v>176.80103181427339</v>
      </c>
      <c r="O8" s="88">
        <v>176.29432502149609</v>
      </c>
      <c r="P8" s="88">
        <v>172.56199484092861</v>
      </c>
      <c r="Q8" s="88">
        <v>173.6548581255374</v>
      </c>
      <c r="R8" s="88">
        <v>173.82330180567499</v>
      </c>
      <c r="S8" s="88">
        <v>175.29398108340499</v>
      </c>
      <c r="T8" s="88">
        <v>173.82493551160789</v>
      </c>
      <c r="U8" s="88">
        <v>170.82751504729151</v>
      </c>
      <c r="V8" s="88">
        <v>158.4342218400688</v>
      </c>
      <c r="W8" s="88">
        <v>160.9993981083405</v>
      </c>
      <c r="X8" s="88">
        <v>160.1914875322442</v>
      </c>
      <c r="Y8" s="88">
        <v>157.16276870163369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265.89484092863279</v>
      </c>
      <c r="C10" s="62">
        <f t="shared" ref="C10:V10" si="5">SUM(C11,C17)</f>
        <v>255.66276870163369</v>
      </c>
      <c r="D10" s="62">
        <f t="shared" si="5"/>
        <v>246.67523645743768</v>
      </c>
      <c r="E10" s="62">
        <f t="shared" si="5"/>
        <v>240.77815993121237</v>
      </c>
      <c r="F10" s="62">
        <f t="shared" si="5"/>
        <v>243.7756663800516</v>
      </c>
      <c r="G10" s="62">
        <f t="shared" si="5"/>
        <v>236.18521066208081</v>
      </c>
      <c r="H10" s="62">
        <f t="shared" si="5"/>
        <v>240.85356835769556</v>
      </c>
      <c r="I10" s="62">
        <f t="shared" si="5"/>
        <v>236.80859845227855</v>
      </c>
      <c r="J10" s="62">
        <f t="shared" si="5"/>
        <v>245.30963026655198</v>
      </c>
      <c r="K10" s="62">
        <f t="shared" si="5"/>
        <v>239.00266552020636</v>
      </c>
      <c r="L10" s="62">
        <f t="shared" si="5"/>
        <v>244.99621668099746</v>
      </c>
      <c r="M10" s="62">
        <f t="shared" si="5"/>
        <v>228.80997420464314</v>
      </c>
      <c r="N10" s="62">
        <f t="shared" si="5"/>
        <v>222.4538263112639</v>
      </c>
      <c r="O10" s="62">
        <f t="shared" si="5"/>
        <v>215.26999140154771</v>
      </c>
      <c r="P10" s="62">
        <f t="shared" si="5"/>
        <v>214.91470335339636</v>
      </c>
      <c r="Q10" s="62">
        <f t="shared" si="5"/>
        <v>205.95631986242478</v>
      </c>
      <c r="R10" s="62">
        <f t="shared" si="5"/>
        <v>206.21513327601033</v>
      </c>
      <c r="S10" s="62">
        <f t="shared" si="5"/>
        <v>210.503611349957</v>
      </c>
      <c r="T10" s="62">
        <f t="shared" si="5"/>
        <v>207.36018916595009</v>
      </c>
      <c r="U10" s="62">
        <f t="shared" si="5"/>
        <v>204.33680137575237</v>
      </c>
      <c r="V10" s="62">
        <f t="shared" si="5"/>
        <v>188.1210662080826</v>
      </c>
      <c r="W10" s="62">
        <f t="shared" ref="W10:Y10" si="6">SUM(W11,W17)</f>
        <v>190.67403267411868</v>
      </c>
      <c r="X10" s="62">
        <f t="shared" si="6"/>
        <v>189.65752364574377</v>
      </c>
      <c r="Y10" s="62">
        <f t="shared" si="6"/>
        <v>184.19638865004296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175.60512771616445</v>
      </c>
      <c r="C11" s="29">
        <f t="shared" ref="C11:V11" si="8">SUM(C12,C13,C16)</f>
        <v>167.72973794252204</v>
      </c>
      <c r="D11" s="29">
        <f t="shared" si="8"/>
        <v>162.74283767644684</v>
      </c>
      <c r="E11" s="29">
        <f t="shared" si="8"/>
        <v>158.54253708862052</v>
      </c>
      <c r="F11" s="29">
        <f t="shared" si="8"/>
        <v>152.85621965333922</v>
      </c>
      <c r="G11" s="29">
        <f t="shared" si="8"/>
        <v>146.41626069371034</v>
      </c>
      <c r="H11" s="29">
        <f t="shared" si="8"/>
        <v>145.89128389036983</v>
      </c>
      <c r="I11" s="29">
        <f t="shared" si="8"/>
        <v>147.16622654164664</v>
      </c>
      <c r="J11" s="29">
        <f t="shared" si="8"/>
        <v>156.07104472267841</v>
      </c>
      <c r="K11" s="29">
        <f t="shared" si="8"/>
        <v>165.01636851568924</v>
      </c>
      <c r="L11" s="29">
        <f t="shared" si="8"/>
        <v>166.59815398548753</v>
      </c>
      <c r="M11" s="29">
        <f t="shared" si="8"/>
        <v>150.3051444771821</v>
      </c>
      <c r="N11" s="29">
        <f t="shared" si="8"/>
        <v>150.60185152093618</v>
      </c>
      <c r="O11" s="29">
        <f t="shared" si="8"/>
        <v>144.65726263684883</v>
      </c>
      <c r="P11" s="29">
        <f t="shared" si="8"/>
        <v>147.32848873714718</v>
      </c>
      <c r="Q11" s="29">
        <f t="shared" si="8"/>
        <v>139.87331371417017</v>
      </c>
      <c r="R11" s="29">
        <f t="shared" si="8"/>
        <v>141.43487007026749</v>
      </c>
      <c r="S11" s="29">
        <f t="shared" si="8"/>
        <v>144.15629281949666</v>
      </c>
      <c r="T11" s="29">
        <f t="shared" si="8"/>
        <v>140.7039235902555</v>
      </c>
      <c r="U11" s="29">
        <f t="shared" si="8"/>
        <v>136.13983453100971</v>
      </c>
      <c r="V11" s="29">
        <f t="shared" si="8"/>
        <v>111.63229705675911</v>
      </c>
      <c r="W11" s="29">
        <f t="shared" ref="W11:Y11" si="9">SUM(W12,W13,W16)</f>
        <v>113.66433134410345</v>
      </c>
      <c r="X11" s="29">
        <f t="shared" si="9"/>
        <v>112.63964130739389</v>
      </c>
      <c r="Y11" s="29">
        <f t="shared" si="9"/>
        <v>117.3253504112962</v>
      </c>
      <c r="DA11" s="173" t="s">
        <v>395</v>
      </c>
    </row>
    <row r="12" spans="1:105" ht="11.45" customHeight="1" x14ac:dyDescent="0.25">
      <c r="A12" s="107" t="s">
        <v>23</v>
      </c>
      <c r="B12" s="115">
        <v>33.30262473542362</v>
      </c>
      <c r="C12" s="115">
        <v>35.428042185742804</v>
      </c>
      <c r="D12" s="115">
        <v>35.451386756740533</v>
      </c>
      <c r="E12" s="115">
        <v>36.104595326354669</v>
      </c>
      <c r="F12" s="115">
        <v>36.037848056075966</v>
      </c>
      <c r="G12" s="115">
        <v>34.353287758287955</v>
      </c>
      <c r="H12" s="115">
        <v>34.503261640111731</v>
      </c>
      <c r="I12" s="115">
        <v>34.862817592163736</v>
      </c>
      <c r="J12" s="115">
        <v>32.754658868250793</v>
      </c>
      <c r="K12" s="115">
        <v>33.163261161952484</v>
      </c>
      <c r="L12" s="115">
        <v>33.581622092933863</v>
      </c>
      <c r="M12" s="115">
        <v>31.381435753818732</v>
      </c>
      <c r="N12" s="115">
        <v>32.065998683147129</v>
      </c>
      <c r="O12" s="115">
        <v>31.680364225401515</v>
      </c>
      <c r="P12" s="115">
        <v>30.159718393862295</v>
      </c>
      <c r="Q12" s="115">
        <v>30.651340085165021</v>
      </c>
      <c r="R12" s="115">
        <v>30.26733815402136</v>
      </c>
      <c r="S12" s="115">
        <v>30.269940423305709</v>
      </c>
      <c r="T12" s="115">
        <v>29.742843746115337</v>
      </c>
      <c r="U12" s="115">
        <v>30.778952533889719</v>
      </c>
      <c r="V12" s="115">
        <v>34.274041795738761</v>
      </c>
      <c r="W12" s="115">
        <v>35.462064294676381</v>
      </c>
      <c r="X12" s="115">
        <v>34.737758369654479</v>
      </c>
      <c r="Y12" s="115">
        <v>27.94215997799153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142.30250298074083</v>
      </c>
      <c r="C13" s="116">
        <f t="shared" ref="C13:V13" si="11">SUM(C14:C15)</f>
        <v>132.30169575677922</v>
      </c>
      <c r="D13" s="116">
        <f t="shared" si="11"/>
        <v>127.29145091970631</v>
      </c>
      <c r="E13" s="116">
        <f t="shared" si="11"/>
        <v>122.43794176226587</v>
      </c>
      <c r="F13" s="116">
        <f t="shared" si="11"/>
        <v>116.81837159726325</v>
      </c>
      <c r="G13" s="116">
        <f t="shared" si="11"/>
        <v>112.06297293542238</v>
      </c>
      <c r="H13" s="116">
        <f t="shared" si="11"/>
        <v>111.38802225025812</v>
      </c>
      <c r="I13" s="116">
        <f t="shared" si="11"/>
        <v>110.80835649325783</v>
      </c>
      <c r="J13" s="116">
        <f t="shared" si="11"/>
        <v>121.74532575345421</v>
      </c>
      <c r="K13" s="116">
        <f t="shared" si="11"/>
        <v>130.3356004413607</v>
      </c>
      <c r="L13" s="116">
        <f t="shared" si="11"/>
        <v>131.6225667319386</v>
      </c>
      <c r="M13" s="116">
        <f t="shared" si="11"/>
        <v>115.92540077404637</v>
      </c>
      <c r="N13" s="116">
        <f t="shared" si="11"/>
        <v>115.77094147600067</v>
      </c>
      <c r="O13" s="116">
        <f t="shared" si="11"/>
        <v>110.15760422952368</v>
      </c>
      <c r="P13" s="116">
        <f t="shared" si="11"/>
        <v>114.42534496634943</v>
      </c>
      <c r="Q13" s="116">
        <f t="shared" si="11"/>
        <v>106.6713181181312</v>
      </c>
      <c r="R13" s="116">
        <f t="shared" si="11"/>
        <v>108.54417134157441</v>
      </c>
      <c r="S13" s="116">
        <f t="shared" si="11"/>
        <v>111.39977208360254</v>
      </c>
      <c r="T13" s="116">
        <f t="shared" si="11"/>
        <v>108.47878173684086</v>
      </c>
      <c r="U13" s="116">
        <f t="shared" si="11"/>
        <v>102.95183336867416</v>
      </c>
      <c r="V13" s="116">
        <f t="shared" si="11"/>
        <v>74.868789963586991</v>
      </c>
      <c r="W13" s="116">
        <f t="shared" ref="W13:Y13" si="12">SUM(W14:W15)</f>
        <v>75.407084438150449</v>
      </c>
      <c r="X13" s="116">
        <f t="shared" si="12"/>
        <v>75.439594770951089</v>
      </c>
      <c r="Y13" s="116">
        <f t="shared" si="12"/>
        <v>86.84634528790842</v>
      </c>
      <c r="DA13" s="176" t="s">
        <v>397</v>
      </c>
    </row>
    <row r="14" spans="1:105" ht="11.45" customHeight="1" x14ac:dyDescent="0.25">
      <c r="A14" s="111" t="s">
        <v>95</v>
      </c>
      <c r="B14" s="87">
        <v>31.446132732536498</v>
      </c>
      <c r="C14" s="87">
        <v>31.534790353255829</v>
      </c>
      <c r="D14" s="87">
        <v>32.155106928158119</v>
      </c>
      <c r="E14" s="87">
        <v>34.165104169844447</v>
      </c>
      <c r="F14" s="87">
        <v>34.068213473699466</v>
      </c>
      <c r="G14" s="87">
        <v>37.787157451218853</v>
      </c>
      <c r="H14" s="87">
        <v>36.48730582671449</v>
      </c>
      <c r="I14" s="87">
        <v>36.409255084270683</v>
      </c>
      <c r="J14" s="87">
        <v>42.750208518993766</v>
      </c>
      <c r="K14" s="87">
        <v>45.056745484992824</v>
      </c>
      <c r="L14" s="87">
        <v>43.575495267129952</v>
      </c>
      <c r="M14" s="87">
        <v>36.627995312329119</v>
      </c>
      <c r="N14" s="87">
        <v>38.291441095589697</v>
      </c>
      <c r="O14" s="87">
        <v>32.982823309696876</v>
      </c>
      <c r="P14" s="87">
        <v>35.517149293113114</v>
      </c>
      <c r="Q14" s="87">
        <v>26.879043056240693</v>
      </c>
      <c r="R14" s="87">
        <v>27.146426453469552</v>
      </c>
      <c r="S14" s="87">
        <v>29.279732326318001</v>
      </c>
      <c r="T14" s="87">
        <v>28.540010621768317</v>
      </c>
      <c r="U14" s="87">
        <v>27.888663065280799</v>
      </c>
      <c r="V14" s="87">
        <v>13.48409903272954</v>
      </c>
      <c r="W14" s="87">
        <v>13.479792699027557</v>
      </c>
      <c r="X14" s="87">
        <v>13.379610394519428</v>
      </c>
      <c r="Y14" s="87">
        <v>18.766481947056349</v>
      </c>
      <c r="DA14" s="171" t="s">
        <v>1108</v>
      </c>
    </row>
    <row r="15" spans="1:105" ht="11.45" customHeight="1" x14ac:dyDescent="0.25">
      <c r="A15" s="111" t="s">
        <v>93</v>
      </c>
      <c r="B15" s="87">
        <v>110.85637024820431</v>
      </c>
      <c r="C15" s="87">
        <v>100.76690540352338</v>
      </c>
      <c r="D15" s="87">
        <v>95.136343991548188</v>
      </c>
      <c r="E15" s="87">
        <v>88.272837592421425</v>
      </c>
      <c r="F15" s="87">
        <v>82.750158123563779</v>
      </c>
      <c r="G15" s="87">
        <v>74.27581548420352</v>
      </c>
      <c r="H15" s="87">
        <v>74.900716423543628</v>
      </c>
      <c r="I15" s="87">
        <v>74.39910140898715</v>
      </c>
      <c r="J15" s="87">
        <v>78.995117234460452</v>
      </c>
      <c r="K15" s="87">
        <v>85.278854956367866</v>
      </c>
      <c r="L15" s="87">
        <v>88.047071464808639</v>
      </c>
      <c r="M15" s="87">
        <v>79.297405461717247</v>
      </c>
      <c r="N15" s="87">
        <v>77.479500380410983</v>
      </c>
      <c r="O15" s="87">
        <v>77.174780919826802</v>
      </c>
      <c r="P15" s="87">
        <v>78.908195673236307</v>
      </c>
      <c r="Q15" s="87">
        <v>79.792275061890507</v>
      </c>
      <c r="R15" s="87">
        <v>81.397744888104853</v>
      </c>
      <c r="S15" s="87">
        <v>82.120039757284545</v>
      </c>
      <c r="T15" s="87">
        <v>79.938771115072541</v>
      </c>
      <c r="U15" s="87">
        <v>75.063170303393363</v>
      </c>
      <c r="V15" s="87">
        <v>61.384690930857445</v>
      </c>
      <c r="W15" s="87">
        <v>61.927291739122886</v>
      </c>
      <c r="X15" s="87">
        <v>62.059984376431665</v>
      </c>
      <c r="Y15" s="87">
        <v>68.079863340852071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1.4950524562250751</v>
      </c>
      <c r="J16" s="117">
        <v>1.571060100973408</v>
      </c>
      <c r="K16" s="117">
        <v>1.5175069123760498</v>
      </c>
      <c r="L16" s="117">
        <v>1.3939651606150709</v>
      </c>
      <c r="M16" s="117">
        <v>2.9983079493169909</v>
      </c>
      <c r="N16" s="117">
        <v>2.7649113617883994</v>
      </c>
      <c r="O16" s="117">
        <v>2.8192941819236204</v>
      </c>
      <c r="P16" s="117">
        <v>2.74342537693544</v>
      </c>
      <c r="Q16" s="117">
        <v>2.5506555108739559</v>
      </c>
      <c r="R16" s="117">
        <v>2.6233605746717208</v>
      </c>
      <c r="S16" s="117">
        <v>2.4865803125884174</v>
      </c>
      <c r="T16" s="117">
        <v>2.4822981072993016</v>
      </c>
      <c r="U16" s="117">
        <v>2.4090486284458401</v>
      </c>
      <c r="V16" s="117">
        <v>2.4894652974333549</v>
      </c>
      <c r="W16" s="117">
        <v>2.795182611276616</v>
      </c>
      <c r="X16" s="117">
        <v>2.462288166788329</v>
      </c>
      <c r="Y16" s="117">
        <v>2.5368451453962502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90.289713212468357</v>
      </c>
      <c r="C17" s="29">
        <f t="shared" si="13"/>
        <v>87.933030759111674</v>
      </c>
      <c r="D17" s="29">
        <f t="shared" si="13"/>
        <v>83.932398780990823</v>
      </c>
      <c r="E17" s="29">
        <f t="shared" si="13"/>
        <v>82.235622842591837</v>
      </c>
      <c r="F17" s="29">
        <f t="shared" si="13"/>
        <v>90.91944672671238</v>
      </c>
      <c r="G17" s="29">
        <f t="shared" si="13"/>
        <v>89.768949968370464</v>
      </c>
      <c r="H17" s="29">
        <f t="shared" si="13"/>
        <v>94.962284467325745</v>
      </c>
      <c r="I17" s="29">
        <f t="shared" si="13"/>
        <v>89.642371910631923</v>
      </c>
      <c r="J17" s="29">
        <f t="shared" si="13"/>
        <v>89.238585543873569</v>
      </c>
      <c r="K17" s="29">
        <f t="shared" si="13"/>
        <v>73.986297004517127</v>
      </c>
      <c r="L17" s="29">
        <f t="shared" si="13"/>
        <v>78.398062695509921</v>
      </c>
      <c r="M17" s="29">
        <f t="shared" si="13"/>
        <v>78.504829727461058</v>
      </c>
      <c r="N17" s="29">
        <f t="shared" si="13"/>
        <v>71.851974790327716</v>
      </c>
      <c r="O17" s="29">
        <f t="shared" si="13"/>
        <v>70.612728764698886</v>
      </c>
      <c r="P17" s="29">
        <f t="shared" si="13"/>
        <v>67.586214616249194</v>
      </c>
      <c r="Q17" s="29">
        <f t="shared" si="13"/>
        <v>66.083006148254597</v>
      </c>
      <c r="R17" s="29">
        <f t="shared" si="13"/>
        <v>64.780263205742841</v>
      </c>
      <c r="S17" s="29">
        <f t="shared" si="13"/>
        <v>66.347318530460328</v>
      </c>
      <c r="T17" s="29">
        <f t="shared" si="13"/>
        <v>66.65626557569459</v>
      </c>
      <c r="U17" s="29">
        <f t="shared" si="13"/>
        <v>68.196966844742661</v>
      </c>
      <c r="V17" s="29">
        <f t="shared" si="13"/>
        <v>76.488769151323467</v>
      </c>
      <c r="W17" s="29">
        <f t="shared" si="13"/>
        <v>77.009701330015233</v>
      </c>
      <c r="X17" s="29">
        <f t="shared" ref="X17:Y17" si="14">SUM(X18:X19)</f>
        <v>77.017882338349878</v>
      </c>
      <c r="Y17" s="29">
        <f t="shared" si="14"/>
        <v>66.871038238746763</v>
      </c>
      <c r="DA17" s="173" t="s">
        <v>402</v>
      </c>
    </row>
    <row r="18" spans="1:105" ht="11.45" customHeight="1" x14ac:dyDescent="0.25">
      <c r="A18" s="83" t="s">
        <v>95</v>
      </c>
      <c r="B18" s="87">
        <v>13.210531067979421</v>
      </c>
      <c r="C18" s="87">
        <v>13.121959431782864</v>
      </c>
      <c r="D18" s="87">
        <v>13.574299778634659</v>
      </c>
      <c r="E18" s="87">
        <v>13.577802107025708</v>
      </c>
      <c r="F18" s="87">
        <v>15.124477841863722</v>
      </c>
      <c r="G18" s="87">
        <v>15.458070407766538</v>
      </c>
      <c r="H18" s="87">
        <v>17.704869581711993</v>
      </c>
      <c r="I18" s="87">
        <v>17.70862969646878</v>
      </c>
      <c r="J18" s="87">
        <v>11.326575659854042</v>
      </c>
      <c r="K18" s="87">
        <v>8.9024978512066451</v>
      </c>
      <c r="L18" s="87">
        <v>8.9334471232397714</v>
      </c>
      <c r="M18" s="87">
        <v>7.5881697779546329</v>
      </c>
      <c r="N18" s="87">
        <v>7.3613534014008373</v>
      </c>
      <c r="O18" s="87">
        <v>5.9928430703547191</v>
      </c>
      <c r="P18" s="87">
        <v>6.8355592193546411</v>
      </c>
      <c r="Q18" s="87">
        <v>5.4224186806466674</v>
      </c>
      <c r="R18" s="87">
        <v>5.245405016865786</v>
      </c>
      <c r="S18" s="87">
        <v>5.9298979402340173</v>
      </c>
      <c r="T18" s="87">
        <v>4.9952430325738932</v>
      </c>
      <c r="U18" s="87">
        <v>5.6206232631800779</v>
      </c>
      <c r="V18" s="87">
        <v>16.202745335284217</v>
      </c>
      <c r="W18" s="87">
        <v>16.1948418667506</v>
      </c>
      <c r="X18" s="87">
        <v>16.086425718980134</v>
      </c>
      <c r="Y18" s="87">
        <v>8.2671380013529312</v>
      </c>
      <c r="DA18" s="171" t="s">
        <v>1110</v>
      </c>
    </row>
    <row r="19" spans="1:105" ht="11.45" customHeight="1" x14ac:dyDescent="0.25">
      <c r="A19" s="85" t="s">
        <v>93</v>
      </c>
      <c r="B19" s="88">
        <v>77.079182144488939</v>
      </c>
      <c r="C19" s="88">
        <v>74.811071327328804</v>
      </c>
      <c r="D19" s="88">
        <v>70.35809900235617</v>
      </c>
      <c r="E19" s="88">
        <v>68.657820735566133</v>
      </c>
      <c r="F19" s="88">
        <v>75.794968884848657</v>
      </c>
      <c r="G19" s="88">
        <v>74.310879560603922</v>
      </c>
      <c r="H19" s="88">
        <v>77.257414885613755</v>
      </c>
      <c r="I19" s="88">
        <v>71.933742214163146</v>
      </c>
      <c r="J19" s="88">
        <v>77.912009884019525</v>
      </c>
      <c r="K19" s="88">
        <v>65.08379915331048</v>
      </c>
      <c r="L19" s="88">
        <v>69.464615572270148</v>
      </c>
      <c r="M19" s="88">
        <v>70.916659949506425</v>
      </c>
      <c r="N19" s="88">
        <v>64.490621388926883</v>
      </c>
      <c r="O19" s="88">
        <v>64.619885694344163</v>
      </c>
      <c r="P19" s="88">
        <v>60.750655396894551</v>
      </c>
      <c r="Q19" s="88">
        <v>60.660587467607925</v>
      </c>
      <c r="R19" s="88">
        <v>59.53485818887706</v>
      </c>
      <c r="S19" s="88">
        <v>60.417420590226314</v>
      </c>
      <c r="T19" s="88">
        <v>61.661022543120694</v>
      </c>
      <c r="U19" s="88">
        <v>62.57634358156259</v>
      </c>
      <c r="V19" s="88">
        <v>60.286023816039247</v>
      </c>
      <c r="W19" s="88">
        <v>60.814859463264632</v>
      </c>
      <c r="X19" s="88">
        <v>60.931456619369747</v>
      </c>
      <c r="Y19" s="88">
        <v>58.60390023739383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133.46567245952255</v>
      </c>
      <c r="C23" s="62">
        <f>IF(C10=0,0,C10/TrRail_act!C14*100)</f>
        <v>132.70297428249594</v>
      </c>
      <c r="D23" s="62">
        <f>IF(D10=0,0,D10/TrRail_act!D14*100)</f>
        <v>128.23140244486083</v>
      </c>
      <c r="E23" s="62">
        <f>IF(E10=0,0,E10/TrRail_act!E14*100)</f>
        <v>124.6503821448606</v>
      </c>
      <c r="F23" s="62">
        <f>IF(F10=0,0,F10/TrRail_act!F14*100)</f>
        <v>123.92857732067793</v>
      </c>
      <c r="G23" s="62">
        <f>IF(G10=0,0,G10/TrRail_act!G14*100)</f>
        <v>121.64126100242055</v>
      </c>
      <c r="H23" s="62">
        <f>IF(H10=0,0,H10/TrRail_act!H14*100)</f>
        <v>119.72201409196492</v>
      </c>
      <c r="I23" s="62">
        <f>IF(I10=0,0,I10/TrRail_act!I14*100)</f>
        <v>115.0450423244697</v>
      </c>
      <c r="J23" s="62">
        <f>IF(J10=0,0,J10/TrRail_act!J14*100)</f>
        <v>114.52940065255761</v>
      </c>
      <c r="K23" s="62">
        <f>IF(K10=0,0,K10/TrRail_act!K14*100)</f>
        <v>111.18917733622864</v>
      </c>
      <c r="L23" s="62">
        <f>IF(L10=0,0,L10/TrRail_act!L14*100)</f>
        <v>110.83217919238047</v>
      </c>
      <c r="M23" s="62">
        <f>IF(M10=0,0,M10/TrRail_act!M14*100)</f>
        <v>106.06963885059699</v>
      </c>
      <c r="N23" s="62">
        <f>IF(N10=0,0,N10/TrRail_act!N14*100)</f>
        <v>103.9621555242388</v>
      </c>
      <c r="O23" s="62">
        <f>IF(O10=0,0,O10/TrRail_act!O14*100)</f>
        <v>93.902915090741317</v>
      </c>
      <c r="P23" s="62">
        <f>IF(P10=0,0,P10/TrRail_act!P14*100)</f>
        <v>91.322062260972359</v>
      </c>
      <c r="Q23" s="62">
        <f>IF(Q10=0,0,Q10/TrRail_act!Q14*100)</f>
        <v>85.836417730090375</v>
      </c>
      <c r="R23" s="62">
        <f>IF(R10=0,0,R10/TrRail_act!R14*100)</f>
        <v>81.55097496813481</v>
      </c>
      <c r="S23" s="62">
        <f>IF(S10=0,0,S10/TrRail_act!S14*100)</f>
        <v>79.015700136947558</v>
      </c>
      <c r="T23" s="62">
        <f>IF(T10=0,0,T10/TrRail_act!T14*100)</f>
        <v>78.511369856305492</v>
      </c>
      <c r="U23" s="62">
        <f>IF(U10=0,0,U10/TrRail_act!U14*100)</f>
        <v>75.403431507619402</v>
      </c>
      <c r="V23" s="62">
        <f>IF(V10=0,0,V10/TrRail_act!V14*100)</f>
        <v>73.403506662933268</v>
      </c>
      <c r="W23" s="62">
        <f>IF(W10=0,0,W10/TrRail_act!W14*100)</f>
        <v>72.170620102995812</v>
      </c>
      <c r="X23" s="62">
        <f>IF(X10=0,0,X10/TrRail_act!X14*100)</f>
        <v>71.764668585095066</v>
      </c>
      <c r="Y23" s="62">
        <f>IF(Y10=0,0,Y10/TrRail_act!Y14*100)</f>
        <v>72.040662324919424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109.29596366503669</v>
      </c>
      <c r="C24" s="29">
        <f>IF(C11=0,0,C11/TrRail_act!C15*100)</f>
        <v>108.28510143014343</v>
      </c>
      <c r="D24" s="29">
        <f>IF(D11=0,0,D11/TrRail_act!D15*100)</f>
        <v>105.63554700273225</v>
      </c>
      <c r="E24" s="29">
        <f>IF(E11=0,0,E11/TrRail_act!E15*100)</f>
        <v>102.00633676177087</v>
      </c>
      <c r="F24" s="29">
        <f>IF(F11=0,0,F11/TrRail_act!F15*100)</f>
        <v>98.781748934070208</v>
      </c>
      <c r="G24" s="29">
        <f>IF(G11=0,0,G11/TrRail_act!G15*100)</f>
        <v>95.821685464499893</v>
      </c>
      <c r="H24" s="29">
        <f>IF(H11=0,0,H11/TrRail_act!H15*100)</f>
        <v>92.560965099995315</v>
      </c>
      <c r="I24" s="29">
        <f>IF(I11=0,0,I11/TrRail_act!I15*100)</f>
        <v>91.488419358597824</v>
      </c>
      <c r="J24" s="29">
        <f>IF(J11=0,0,J11/TrRail_act!J15*100)</f>
        <v>92.348363136536406</v>
      </c>
      <c r="K24" s="29">
        <f>IF(K11=0,0,K11/TrRail_act!K15*100)</f>
        <v>93.284220296586653</v>
      </c>
      <c r="L24" s="29">
        <f>IF(L11=0,0,L11/TrRail_act!L15*100)</f>
        <v>92.662285959616739</v>
      </c>
      <c r="M24" s="29">
        <f>IF(M11=0,0,M11/TrRail_act!M15*100)</f>
        <v>87.249889571719578</v>
      </c>
      <c r="N24" s="29">
        <f>IF(N11=0,0,N11/TrRail_act!N15*100)</f>
        <v>86.703260680877065</v>
      </c>
      <c r="O24" s="29">
        <f>IF(O11=0,0,O11/TrRail_act!O15*100)</f>
        <v>77.049960231372296</v>
      </c>
      <c r="P24" s="29">
        <f>IF(P11=0,0,P11/TrRail_act!P15*100)</f>
        <v>75.660384620965246</v>
      </c>
      <c r="Q24" s="29">
        <f>IF(Q11=0,0,Q11/TrRail_act!Q15*100)</f>
        <v>70.523316782575208</v>
      </c>
      <c r="R24" s="29">
        <f>IF(R11=0,0,R11/TrRail_act!R15*100)</f>
        <v>66.898406782831458</v>
      </c>
      <c r="S24" s="29">
        <f>IF(S11=0,0,S11/TrRail_act!S15*100)</f>
        <v>64.444204114436587</v>
      </c>
      <c r="T24" s="29">
        <f>IF(T11=0,0,T11/TrRail_act!T15*100)</f>
        <v>63.848961397068116</v>
      </c>
      <c r="U24" s="29">
        <f>IF(U11=0,0,U11/TrRail_act!U15*100)</f>
        <v>60.312345832111326</v>
      </c>
      <c r="V24" s="29">
        <f>IF(V11=0,0,V11/TrRail_act!V15*100)</f>
        <v>53.279095566952215</v>
      </c>
      <c r="W24" s="29">
        <f>IF(W11=0,0,W11/TrRail_act!W15*100)</f>
        <v>52.39050496148672</v>
      </c>
      <c r="X24" s="29">
        <f>IF(X11=0,0,X11/TrRail_act!X15*100)</f>
        <v>51.93246513413122</v>
      </c>
      <c r="Y24" s="29">
        <f>IF(Y11=0,0,Y11/TrRail_act!Y15*100)</f>
        <v>55.31322683372759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42.793234781485232</v>
      </c>
      <c r="C25" s="115">
        <f>IF(C12=0,0,C12/TrRail_act!C16*100)</f>
        <v>44.810014750034604</v>
      </c>
      <c r="D25" s="115">
        <f>IF(D12=0,0,D12/TrRail_act!D16*100)</f>
        <v>44.145493652294995</v>
      </c>
      <c r="E25" s="115">
        <f>IF(E12=0,0,E12/TrRail_act!E16*100)</f>
        <v>44.272299338342329</v>
      </c>
      <c r="F25" s="115">
        <f>IF(F12=0,0,F12/TrRail_act!F16*100)</f>
        <v>43.524474545681059</v>
      </c>
      <c r="G25" s="115">
        <f>IF(G12=0,0,G12/TrRail_act!G16*100)</f>
        <v>41.277640626655106</v>
      </c>
      <c r="H25" s="115">
        <f>IF(H12=0,0,H12/TrRail_act!H16*100)</f>
        <v>40.494528980371534</v>
      </c>
      <c r="I25" s="115">
        <f>IF(I12=0,0,I12/TrRail_act!I16*100)</f>
        <v>40.488762832319637</v>
      </c>
      <c r="J25" s="115">
        <f>IF(J12=0,0,J12/TrRail_act!J16*100)</f>
        <v>38.375115956842009</v>
      </c>
      <c r="K25" s="115">
        <f>IF(K12=0,0,K12/TrRail_act!K16*100)</f>
        <v>37.827696254983223</v>
      </c>
      <c r="L25" s="115">
        <f>IF(L12=0,0,L12/TrRail_act!L16*100)</f>
        <v>38.014154796399751</v>
      </c>
      <c r="M25" s="115">
        <f>IF(M12=0,0,M12/TrRail_act!M16*100)</f>
        <v>35.435851383099291</v>
      </c>
      <c r="N25" s="115">
        <f>IF(N12=0,0,N12/TrRail_act!N16*100)</f>
        <v>36.216870749284197</v>
      </c>
      <c r="O25" s="115">
        <f>IF(O12=0,0,O12/TrRail_act!O16*100)</f>
        <v>35.763140620019009</v>
      </c>
      <c r="P25" s="115">
        <f>IF(P12=0,0,P12/TrRail_act!P16*100)</f>
        <v>34.735126805008129</v>
      </c>
      <c r="Q25" s="115">
        <f>IF(Q12=0,0,Q12/TrRail_act!Q16*100)</f>
        <v>34.435463715831126</v>
      </c>
      <c r="R25" s="115">
        <f>IF(R12=0,0,R12/TrRail_act!R16*100)</f>
        <v>34.212414172991608</v>
      </c>
      <c r="S25" s="115">
        <f>IF(S12=0,0,S12/TrRail_act!S16*100)</f>
        <v>34.046075654671057</v>
      </c>
      <c r="T25" s="115">
        <f>IF(T12=0,0,T12/TrRail_act!T16*100)</f>
        <v>33.921852708374381</v>
      </c>
      <c r="U25" s="115">
        <f>IF(U12=0,0,U12/TrRail_act!U16*100)</f>
        <v>33.828983033671406</v>
      </c>
      <c r="V25" s="115">
        <f>IF(V12=0,0,V12/TrRail_act!V16*100)</f>
        <v>33.759497670011882</v>
      </c>
      <c r="W25" s="115">
        <f>IF(W12=0,0,W12/TrRail_act!W16*100)</f>
        <v>33.707477326072166</v>
      </c>
      <c r="X25" s="115">
        <f>IF(X12=0,0,X12/TrRail_act!X16*100)</f>
        <v>33.66851467915312</v>
      </c>
      <c r="Y25" s="115">
        <f>IF(Y12=0,0,Y12/TrRail_act!Y16*100)</f>
        <v>33.639322252485464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171.76503210012055</v>
      </c>
      <c r="C26" s="116">
        <f>IF(C13=0,0,C13/TrRail_act!C17*100)</f>
        <v>174.46307904782705</v>
      </c>
      <c r="D26" s="116">
        <f>IF(D13=0,0,D13/TrRail_act!D17*100)</f>
        <v>172.5871402145421</v>
      </c>
      <c r="E26" s="116">
        <f>IF(E13=0,0,E13/TrRail_act!E17*100)</f>
        <v>165.74113637589727</v>
      </c>
      <c r="F26" s="116">
        <f>IF(F13=0,0,F13/TrRail_act!F17*100)</f>
        <v>162.37783077215315</v>
      </c>
      <c r="G26" s="116">
        <f>IF(G13=0,0,G13/TrRail_act!G17*100)</f>
        <v>161.06596043406171</v>
      </c>
      <c r="H26" s="116">
        <f>IF(H13=0,0,H13/TrRail_act!H17*100)</f>
        <v>153.82605167254425</v>
      </c>
      <c r="I26" s="116">
        <f>IF(I13=0,0,I13/TrRail_act!I17*100)</f>
        <v>149.86251523644313</v>
      </c>
      <c r="J26" s="116">
        <f>IF(J13=0,0,J13/TrRail_act!J17*100)</f>
        <v>147.05625721444258</v>
      </c>
      <c r="K26" s="116">
        <f>IF(K13=0,0,K13/TrRail_act!K17*100)</f>
        <v>147.43355168804115</v>
      </c>
      <c r="L26" s="116">
        <f>IF(L13=0,0,L13/TrRail_act!L17*100)</f>
        <v>145.11966005462668</v>
      </c>
      <c r="M26" s="116">
        <f>IF(M13=0,0,M13/TrRail_act!M17*100)</f>
        <v>141.22228771675898</v>
      </c>
      <c r="N26" s="116">
        <f>IF(N13=0,0,N13/TrRail_act!N17*100)</f>
        <v>138.52196106869198</v>
      </c>
      <c r="O26" s="116">
        <f>IF(O13=0,0,O13/TrRail_act!O17*100)</f>
        <v>112.96344505008666</v>
      </c>
      <c r="P26" s="116">
        <f>IF(P13=0,0,P13/TrRail_act!P17*100)</f>
        <v>107.68603664918868</v>
      </c>
      <c r="Q26" s="116">
        <f>IF(Q13=0,0,Q13/TrRail_act!Q17*100)</f>
        <v>99.02201241790786</v>
      </c>
      <c r="R26" s="116">
        <f>IF(R13=0,0,R13/TrRail_act!R17*100)</f>
        <v>89.528698204284467</v>
      </c>
      <c r="S26" s="116">
        <f>IF(S13=0,0,S13/TrRail_act!S17*100)</f>
        <v>83.685754923863641</v>
      </c>
      <c r="T26" s="116">
        <f>IF(T13=0,0,T13/TrRail_act!T17*100)</f>
        <v>82.814079169629593</v>
      </c>
      <c r="U26" s="116">
        <f>IF(U13=0,0,U13/TrRail_act!U17*100)</f>
        <v>77.369122467717617</v>
      </c>
      <c r="V26" s="116">
        <f>IF(V13=0,0,V13/TrRail_act!V17*100)</f>
        <v>70.466059543181345</v>
      </c>
      <c r="W26" s="116">
        <f>IF(W13=0,0,W13/TrRail_act!W17*100)</f>
        <v>68.697724968498662</v>
      </c>
      <c r="X26" s="116">
        <f>IF(X13=0,0,X13/TrRail_act!X17*100)</f>
        <v>67.380220953224878</v>
      </c>
      <c r="Y26" s="116">
        <f>IF(Y13=0,0,Y13/TrRail_act!Y17*100)</f>
        <v>68.262051547931563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252.39691567828069</v>
      </c>
      <c r="C27" s="87">
        <f>IF(C14=0,0,C14/TrRail_act!C18*100)</f>
        <v>240.73276947279857</v>
      </c>
      <c r="D27" s="87">
        <f>IF(D14=0,0,D14/TrRail_act!D18*100)</f>
        <v>229.20959072302614</v>
      </c>
      <c r="E27" s="87">
        <f>IF(E14=0,0,E14/TrRail_act!E18*100)</f>
        <v>228.19001224918179</v>
      </c>
      <c r="F27" s="87">
        <f>IF(F14=0,0,F14/TrRail_act!F18*100)</f>
        <v>226.33263196660684</v>
      </c>
      <c r="G27" s="87">
        <f>IF(G14=0,0,G14/TrRail_act!G18*100)</f>
        <v>223.99908668454933</v>
      </c>
      <c r="H27" s="87">
        <f>IF(H14=0,0,H14/TrRail_act!H18*100)</f>
        <v>207.77399849543573</v>
      </c>
      <c r="I27" s="87">
        <f>IF(I14=0,0,I14/TrRail_act!I18*100)</f>
        <v>201.19026478529483</v>
      </c>
      <c r="J27" s="87">
        <f>IF(J14=0,0,J14/TrRail_act!J18*100)</f>
        <v>196.59661878990772</v>
      </c>
      <c r="K27" s="87">
        <f>IF(K14=0,0,K14/TrRail_act!K18*100)</f>
        <v>199.56736399002543</v>
      </c>
      <c r="L27" s="87">
        <f>IF(L14=0,0,L14/TrRail_act!L18*100)</f>
        <v>204.55300222309077</v>
      </c>
      <c r="M27" s="87">
        <f>IF(M14=0,0,M14/TrRail_act!M18*100)</f>
        <v>190.91715304658143</v>
      </c>
      <c r="N27" s="87">
        <f>IF(N14=0,0,N14/TrRail_act!N18*100)</f>
        <v>190.65924631465455</v>
      </c>
      <c r="O27" s="87">
        <f>IF(O14=0,0,O14/TrRail_act!O18*100)</f>
        <v>182.58171890671406</v>
      </c>
      <c r="P27" s="87">
        <f>IF(P14=0,0,P14/TrRail_act!P18*100)</f>
        <v>181.06399106180305</v>
      </c>
      <c r="Q27" s="87">
        <f>IF(Q14=0,0,Q14/TrRail_act!Q18*100)</f>
        <v>169.67425958988511</v>
      </c>
      <c r="R27" s="87">
        <f>IF(R14=0,0,R14/TrRail_act!R18*100)</f>
        <v>169.68488838809122</v>
      </c>
      <c r="S27" s="87">
        <f>IF(S14=0,0,S14/TrRail_act!S18*100)</f>
        <v>169.18378184241234</v>
      </c>
      <c r="T27" s="87">
        <f>IF(T14=0,0,T14/TrRail_act!T18*100)</f>
        <v>168.47130547569535</v>
      </c>
      <c r="U27" s="87">
        <f>IF(U14=0,0,U14/TrRail_act!U18*100)</f>
        <v>155.84731582870305</v>
      </c>
      <c r="V27" s="87">
        <f>IF(V14=0,0,V14/TrRail_act!V18*100)</f>
        <v>154.35427600569923</v>
      </c>
      <c r="W27" s="87">
        <f>IF(W14=0,0,W14/TrRail_act!W18*100)</f>
        <v>153.24389035123329</v>
      </c>
      <c r="X27" s="87">
        <f>IF(X14=0,0,X14/TrRail_act!X18*100)</f>
        <v>152.41634627587467</v>
      </c>
      <c r="Y27" s="87">
        <f>IF(Y14=0,0,Y14/TrRail_act!Y18*100)</f>
        <v>151.7986222465893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157.49285559730012</v>
      </c>
      <c r="C28" s="87">
        <f>IF(C15=0,0,C15/TrRail_act!C19*100)</f>
        <v>160.6253200539812</v>
      </c>
      <c r="D28" s="87">
        <f>IF(D15=0,0,D15/TrRail_act!D19*100)</f>
        <v>159.28746667462144</v>
      </c>
      <c r="E28" s="87">
        <f>IF(E15=0,0,E15/TrRail_act!E19*100)</f>
        <v>149.86701447763537</v>
      </c>
      <c r="F28" s="87">
        <f>IF(F15=0,0,F15/TrRail_act!F19*100)</f>
        <v>145.45632111047925</v>
      </c>
      <c r="G28" s="87">
        <f>IF(G15=0,0,G15/TrRail_act!G19*100)</f>
        <v>140.92346937117966</v>
      </c>
      <c r="H28" s="87">
        <f>IF(H15=0,0,H15/TrRail_act!H19*100)</f>
        <v>136.55399838199699</v>
      </c>
      <c r="I28" s="87">
        <f>IF(I15=0,0,I15/TrRail_act!I19*100)</f>
        <v>133.22886066585892</v>
      </c>
      <c r="J28" s="87">
        <f>IF(J15=0,0,J15/TrRail_act!J19*100)</f>
        <v>129.40870024849656</v>
      </c>
      <c r="K28" s="87">
        <f>IF(K15=0,0,K15/TrRail_act!K19*100)</f>
        <v>129.55245799829649</v>
      </c>
      <c r="L28" s="87">
        <f>IF(L15=0,0,L15/TrRail_act!L19*100)</f>
        <v>126.87529415788845</v>
      </c>
      <c r="M28" s="87">
        <f>IF(M15=0,0,M15/TrRail_act!M19*100)</f>
        <v>126.06519396310189</v>
      </c>
      <c r="N28" s="87">
        <f>IF(N15=0,0,N15/TrRail_act!N19*100)</f>
        <v>122.03000829008037</v>
      </c>
      <c r="O28" s="87">
        <f>IF(O15=0,0,O15/TrRail_act!O19*100)</f>
        <v>97.13450250462941</v>
      </c>
      <c r="P28" s="87">
        <f>IF(P15=0,0,P15/TrRail_act!P19*100)</f>
        <v>91.073319658388669</v>
      </c>
      <c r="Q28" s="87">
        <f>IF(Q15=0,0,Q15/TrRail_act!Q19*100)</f>
        <v>86.840891726709316</v>
      </c>
      <c r="R28" s="87">
        <f>IF(R15=0,0,R15/TrRail_act!R19*100)</f>
        <v>77.343853454637184</v>
      </c>
      <c r="S28" s="87">
        <f>IF(S15=0,0,S15/TrRail_act!S19*100)</f>
        <v>70.909096941988253</v>
      </c>
      <c r="T28" s="87">
        <f>IF(T15=0,0,T15/TrRail_act!T19*100)</f>
        <v>70.090882088601219</v>
      </c>
      <c r="U28" s="87">
        <f>IF(U15=0,0,U15/TrRail_act!U19*100)</f>
        <v>65.175450581588748</v>
      </c>
      <c r="V28" s="87">
        <f>IF(V15=0,0,V15/TrRail_act!V19*100)</f>
        <v>62.950777958315896</v>
      </c>
      <c r="W28" s="87">
        <f>IF(W15=0,0,W15/TrRail_act!W19*100)</f>
        <v>61.332249827954122</v>
      </c>
      <c r="X28" s="87">
        <f>IF(X15=0,0,X15/TrRail_act!X19*100)</f>
        <v>60.145721902023517</v>
      </c>
      <c r="Y28" s="87">
        <f>IF(Y15=0,0,Y15/TrRail_act!Y19*100)</f>
        <v>59.270914253834349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183.93071413573682</v>
      </c>
      <c r="J29" s="117">
        <f>IF(J16=0,0,J16/TrRail_act!J20*100)</f>
        <v>182.61043245547333</v>
      </c>
      <c r="K29" s="117">
        <f>IF(K16=0,0,K16/TrRail_act!K20*100)</f>
        <v>184.1337010788319</v>
      </c>
      <c r="L29" s="117">
        <f>IF(L16=0,0,L16/TrRail_act!L20*100)</f>
        <v>185.47592115590069</v>
      </c>
      <c r="M29" s="117">
        <f>IF(M16=0,0,M16/TrRail_act!M20*100)</f>
        <v>184.61310799835437</v>
      </c>
      <c r="N29" s="117">
        <f>IF(N16=0,0,N16/TrRail_act!N20*100)</f>
        <v>174.62901376040412</v>
      </c>
      <c r="O29" s="117">
        <f>IF(O16=0,0,O16/TrRail_act!O20*100)</f>
        <v>171.41010578757434</v>
      </c>
      <c r="P29" s="117">
        <f>IF(P16=0,0,P16/TrRail_act!P20*100)</f>
        <v>167.54689934830134</v>
      </c>
      <c r="Q29" s="117">
        <f>IF(Q16=0,0,Q16/TrRail_act!Q20*100)</f>
        <v>159.37179111064492</v>
      </c>
      <c r="R29" s="117">
        <f>IF(R16=0,0,R16/TrRail_act!R20*100)</f>
        <v>153.50331094853217</v>
      </c>
      <c r="S29" s="117">
        <f>IF(S16=0,0,S16/TrRail_act!S20*100)</f>
        <v>149.24420181897378</v>
      </c>
      <c r="T29" s="117">
        <f>IF(T16=0,0,T16/TrRail_act!T20*100)</f>
        <v>146.12760216212558</v>
      </c>
      <c r="U29" s="117">
        <f>IF(U16=0,0,U16/TrRail_act!U20*100)</f>
        <v>143.83293765864173</v>
      </c>
      <c r="V29" s="117">
        <f>IF(V16=0,0,V16/TrRail_act!V20*100)</f>
        <v>142.13561734529071</v>
      </c>
      <c r="W29" s="117">
        <f>IF(W16=0,0,W16/TrRail_act!W20*100)</f>
        <v>140.87578441800764</v>
      </c>
      <c r="X29" s="117">
        <f>IF(X16=0,0,X16/TrRail_act!X20*100)</f>
        <v>139.93824326654135</v>
      </c>
      <c r="Y29" s="117">
        <f>IF(Y16=0,0,Y16/TrRail_act!Y20*100)</f>
        <v>139.23918429918675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234.19007486498157</v>
      </c>
      <c r="C30" s="29">
        <f>IF(C17=0,0,C17/TrRail_act!C21*100)</f>
        <v>232.8642980715006</v>
      </c>
      <c r="D30" s="29">
        <f>IF(D17=0,0,D17/TrRail_act!D21*100)</f>
        <v>219.10697284313682</v>
      </c>
      <c r="E30" s="29">
        <f>IF(E17=0,0,E17/TrRail_act!E21*100)</f>
        <v>217.90857798375205</v>
      </c>
      <c r="F30" s="29">
        <f>IF(F17=0,0,F17/TrRail_act!F21*100)</f>
        <v>216.65427146591946</v>
      </c>
      <c r="G30" s="29">
        <f>IF(G17=0,0,G17/TrRail_act!G21*100)</f>
        <v>217.01868411338947</v>
      </c>
      <c r="H30" s="29">
        <f>IF(H17=0,0,H17/TrRail_act!H21*100)</f>
        <v>217.99880640802266</v>
      </c>
      <c r="I30" s="29">
        <f>IF(I17=0,0,I17/TrRail_act!I21*100)</f>
        <v>199.28439271485365</v>
      </c>
      <c r="J30" s="29">
        <f>IF(J17=0,0,J17/TrRail_act!J21*100)</f>
        <v>197.48853182270699</v>
      </c>
      <c r="K30" s="29">
        <f>IF(K17=0,0,K17/TrRail_act!K21*100)</f>
        <v>194.4191900145201</v>
      </c>
      <c r="L30" s="29">
        <f>IF(L17=0,0,L17/TrRail_act!L21*100)</f>
        <v>190.00597837680485</v>
      </c>
      <c r="M30" s="29">
        <f>IF(M17=0,0,M17/TrRail_act!M21*100)</f>
        <v>180.69093314467304</v>
      </c>
      <c r="N30" s="29">
        <f>IF(N17=0,0,N17/TrRail_act!N21*100)</f>
        <v>178.39124055311211</v>
      </c>
      <c r="O30" s="29">
        <f>IF(O17=0,0,O17/TrRail_act!O21*100)</f>
        <v>170.14032863828581</v>
      </c>
      <c r="P30" s="29">
        <f>IF(P17=0,0,P17/TrRail_act!P21*100)</f>
        <v>166.41239159378981</v>
      </c>
      <c r="Q30" s="29">
        <f>IF(Q17=0,0,Q17/TrRail_act!Q21*100)</f>
        <v>158.83726143602584</v>
      </c>
      <c r="R30" s="29">
        <f>IF(R17=0,0,R17/TrRail_act!R21*100)</f>
        <v>156.28852465845753</v>
      </c>
      <c r="S30" s="29">
        <f>IF(S17=0,0,S17/TrRail_act!S21*100)</f>
        <v>155.32306613014549</v>
      </c>
      <c r="T30" s="29">
        <f>IF(T17=0,0,T17/TrRail_act!T21*100)</f>
        <v>152.37492630508061</v>
      </c>
      <c r="U30" s="29">
        <f>IF(U17=0,0,U17/TrRail_act!U21*100)</f>
        <v>150.65583663098519</v>
      </c>
      <c r="V30" s="29">
        <f>IF(V17=0,0,V17/TrRail_act!V21*100)</f>
        <v>163.57786514403722</v>
      </c>
      <c r="W30" s="29">
        <f>IF(W17=0,0,W17/TrRail_act!W21*100)</f>
        <v>163.00767559079569</v>
      </c>
      <c r="X30" s="29">
        <f>IF(X17=0,0,X17/TrRail_act!X21*100)</f>
        <v>162.55142377004535</v>
      </c>
      <c r="Y30" s="29">
        <f>IF(Y17=0,0,Y17/TrRail_act!Y21*100)</f>
        <v>153.46870325575026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625.93367335327889</v>
      </c>
      <c r="C31" s="87">
        <f>IF(C18=0,0,C18/TrRail_act!C22*100)</f>
        <v>587.44170496432218</v>
      </c>
      <c r="D31" s="87">
        <f>IF(D18=0,0,D18/TrRail_act!D22*100)</f>
        <v>541.12692674833988</v>
      </c>
      <c r="E31" s="87">
        <f>IF(E18=0,0,E18/TrRail_act!E22*100)</f>
        <v>513.96636336888753</v>
      </c>
      <c r="F31" s="87">
        <f>IF(F18=0,0,F18/TrRail_act!F22*100)</f>
        <v>505.84314839342318</v>
      </c>
      <c r="G31" s="87">
        <f>IF(G18=0,0,G18/TrRail_act!G22*100)</f>
        <v>486.48204837475538</v>
      </c>
      <c r="H31" s="87">
        <f>IF(H18=0,0,H18/TrRail_act!H22*100)</f>
        <v>481.83409798888943</v>
      </c>
      <c r="I31" s="87">
        <f>IF(I18=0,0,I18/TrRail_act!I22*100)</f>
        <v>455.81373442490457</v>
      </c>
      <c r="J31" s="87">
        <f>IF(J18=0,0,J18/TrRail_act!J22*100)</f>
        <v>452.27149489696546</v>
      </c>
      <c r="K31" s="87">
        <f>IF(K18=0,0,K18/TrRail_act!K22*100)</f>
        <v>441.76235242680627</v>
      </c>
      <c r="L31" s="87">
        <f>IF(L18=0,0,L18/TrRail_act!L22*100)</f>
        <v>438.83972507894873</v>
      </c>
      <c r="M31" s="87">
        <f>IF(M18=0,0,M18/TrRail_act!M22*100)</f>
        <v>427.78016895899168</v>
      </c>
      <c r="N31" s="87">
        <f>IF(N18=0,0,N18/TrRail_act!N22*100)</f>
        <v>422.01924090837633</v>
      </c>
      <c r="O31" s="87">
        <f>IF(O18=0,0,O18/TrRail_act!O22*100)</f>
        <v>413.66017741110142</v>
      </c>
      <c r="P31" s="87">
        <f>IF(P18=0,0,P18/TrRail_act!P22*100)</f>
        <v>404.37822157156376</v>
      </c>
      <c r="Q31" s="87">
        <f>IF(Q18=0,0,Q18/TrRail_act!Q22*100)</f>
        <v>387.69464842866716</v>
      </c>
      <c r="R31" s="87">
        <f>IF(R18=0,0,R18/TrRail_act!R22*100)</f>
        <v>381.64541602895241</v>
      </c>
      <c r="S31" s="87">
        <f>IF(S18=0,0,S18/TrRail_act!S22*100)</f>
        <v>377.1705139261955</v>
      </c>
      <c r="T31" s="87">
        <f>IF(T18=0,0,T18/TrRail_act!T22*100)</f>
        <v>360.0163984786148</v>
      </c>
      <c r="U31" s="87">
        <f>IF(U18=0,0,U18/TrRail_act!U22*100)</f>
        <v>359.833045789599</v>
      </c>
      <c r="V31" s="87">
        <f>IF(V18=0,0,V18/TrRail_act!V22*100)</f>
        <v>356.09863663028125</v>
      </c>
      <c r="W31" s="87">
        <f>IF(W18=0,0,W18/TrRail_act!W22*100)</f>
        <v>353.32328567681844</v>
      </c>
      <c r="X31" s="87">
        <f>IF(X18=0,0,X18/TrRail_act!X22*100)</f>
        <v>351.25597668488808</v>
      </c>
      <c r="Y31" s="87">
        <f>IF(Y18=0,0,Y18/TrRail_act!Y22*100)</f>
        <v>349.71343675904336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211.50324537295097</v>
      </c>
      <c r="C32" s="88">
        <f>IF(C19=0,0,C19/TrRail_act!C23*100)</f>
        <v>210.57084508403463</v>
      </c>
      <c r="D32" s="88">
        <f>IF(D19=0,0,D19/TrRail_act!D23*100)</f>
        <v>196.54164888567959</v>
      </c>
      <c r="E32" s="88">
        <f>IF(E19=0,0,E19/TrRail_act!E23*100)</f>
        <v>195.62404745524572</v>
      </c>
      <c r="F32" s="88">
        <f>IF(F19=0,0,F19/TrRail_act!F23*100)</f>
        <v>194.46939627816576</v>
      </c>
      <c r="G32" s="88">
        <f>IF(G19=0,0,G19/TrRail_act!G23*100)</f>
        <v>194.59682876326391</v>
      </c>
      <c r="H32" s="88">
        <f>IF(H19=0,0,H19/TrRail_act!H23*100)</f>
        <v>193.69340732605201</v>
      </c>
      <c r="I32" s="88">
        <f>IF(I19=0,0,I19/TrRail_act!I23*100)</f>
        <v>175.03372615631173</v>
      </c>
      <c r="J32" s="88">
        <f>IF(J19=0,0,J19/TrRail_act!J23*100)</f>
        <v>182.53920792218082</v>
      </c>
      <c r="K32" s="88">
        <f>IF(K19=0,0,K19/TrRail_act!K23*100)</f>
        <v>180.58860555637523</v>
      </c>
      <c r="L32" s="88">
        <f>IF(L19=0,0,L19/TrRail_act!L23*100)</f>
        <v>177.0920646612413</v>
      </c>
      <c r="M32" s="88">
        <f>IF(M19=0,0,M19/TrRail_act!M23*100)</f>
        <v>170.17340612238084</v>
      </c>
      <c r="N32" s="88">
        <f>IF(N19=0,0,N19/TrRail_act!N23*100)</f>
        <v>167.36277900333818</v>
      </c>
      <c r="O32" s="88">
        <f>IF(O19=0,0,O19/TrRail_act!O23*100)</f>
        <v>161.33230041081748</v>
      </c>
      <c r="P32" s="88">
        <f>IF(P19=0,0,P19/TrRail_act!P23*100)</f>
        <v>156.07785041765655</v>
      </c>
      <c r="Q32" s="88">
        <f>IF(Q19=0,0,Q19/TrRail_act!Q23*100)</f>
        <v>150.87600277903243</v>
      </c>
      <c r="R32" s="88">
        <f>IF(R19=0,0,R19/TrRail_act!R23*100)</f>
        <v>148.5595975603149</v>
      </c>
      <c r="S32" s="88">
        <f>IF(S19=0,0,S19/TrRail_act!S23*100)</f>
        <v>146.84566243416941</v>
      </c>
      <c r="T32" s="88">
        <f>IF(T19=0,0,T19/TrRail_act!T23*100)</f>
        <v>145.57320010434262</v>
      </c>
      <c r="U32" s="88">
        <f>IF(U19=0,0,U19/TrRail_act!U23*100)</f>
        <v>143.17983364220791</v>
      </c>
      <c r="V32" s="88">
        <f>IF(V19=0,0,V19/TrRail_act!V23*100)</f>
        <v>142.8247740070812</v>
      </c>
      <c r="W32" s="88">
        <f>IF(W19=0,0,W19/TrRail_act!W23*100)</f>
        <v>142.55905721683271</v>
      </c>
      <c r="X32" s="88">
        <f>IF(X19=0,0,X19/TrRail_act!X23*100)</f>
        <v>142.36009409224999</v>
      </c>
      <c r="Y32" s="88">
        <f>IF(Y19=0,0,Y19/TrRail_act!Y23*100)</f>
        <v>142.21105400019388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11.945838446594671</v>
      </c>
      <c r="C35" s="29">
        <f>IF(C11=0,0,C11/TrRail_act!C4*1000)</f>
        <v>11.320643752366522</v>
      </c>
      <c r="D35" s="29">
        <f>IF(D11=0,0,D11/TrRail_act!D4*1000)</f>
        <v>10.878245146775834</v>
      </c>
      <c r="E35" s="29">
        <f>IF(E11=0,0,E11/TrRail_act!E4*1000)</f>
        <v>10.626844305782651</v>
      </c>
      <c r="F35" s="29">
        <f>IF(F11=0,0,F11/TrRail_act!F4*1000)</f>
        <v>10.458502570251573</v>
      </c>
      <c r="G35" s="29">
        <f>IF(G11=0,0,G11/TrRail_act!G4*1000)</f>
        <v>9.6821723743299533</v>
      </c>
      <c r="H35" s="29">
        <f>IF(H11=0,0,H11/TrRail_act!H4*1000)</f>
        <v>9.448798750042366</v>
      </c>
      <c r="I35" s="29">
        <f>IF(I11=0,0,I11/TrRail_act!I4*1000)</f>
        <v>9.3164879463992349</v>
      </c>
      <c r="J35" s="29">
        <f>IF(J11=0,0,J11/TrRail_act!J4*1000)</f>
        <v>9.1319642579046718</v>
      </c>
      <c r="K35" s="29">
        <f>IF(K11=0,0,K11/TrRail_act!K4*1000)</f>
        <v>9.7033457774326575</v>
      </c>
      <c r="L35" s="29">
        <f>IF(L11=0,0,L11/TrRail_act!L4*1000)</f>
        <v>9.6961901960097006</v>
      </c>
      <c r="M35" s="29">
        <f>IF(M11=0,0,M11/TrRail_act!M4*1000)</f>
        <v>8.4471049076332481</v>
      </c>
      <c r="N35" s="29">
        <f>IF(N11=0,0,N11/TrRail_act!N4*1000)</f>
        <v>8.2189444742165776</v>
      </c>
      <c r="O35" s="29">
        <f>IF(O11=0,0,O11/TrRail_act!O4*1000)</f>
        <v>7.6079374984974066</v>
      </c>
      <c r="P35" s="29">
        <f>IF(P11=0,0,P11/TrRail_act!P4*1000)</f>
        <v>7.7577818950987965</v>
      </c>
      <c r="Q35" s="29">
        <f>IF(Q11=0,0,Q11/TrRail_act!Q4*1000)</f>
        <v>7.2525667291556495</v>
      </c>
      <c r="R35" s="29">
        <f>IF(R11=0,0,R11/TrRail_act!R4*1000)</f>
        <v>7.1858803284442692</v>
      </c>
      <c r="S35" s="29">
        <f>IF(S11=0,0,S11/TrRail_act!S4*1000)</f>
        <v>7.298818487050112</v>
      </c>
      <c r="T35" s="29">
        <f>IF(T11=0,0,T11/TrRail_act!T4*1000)</f>
        <v>6.926466484739505</v>
      </c>
      <c r="U35" s="29">
        <f>IF(U11=0,0,U11/TrRail_act!U4*1000)</f>
        <v>6.6019784302341318</v>
      </c>
      <c r="V35" s="29">
        <f>IF(V11=0,0,V11/TrRail_act!V4*1000)</f>
        <v>8.4122207103239344</v>
      </c>
      <c r="W35" s="29">
        <f>IF(W11=0,0,W11/TrRail_act!W4*1000)</f>
        <v>7.8012497813328485</v>
      </c>
      <c r="X35" s="29">
        <f>IF(X11=0,0,X11/TrRail_act!X4*1000)</f>
        <v>5.8042042828567668</v>
      </c>
      <c r="Y35" s="29">
        <f>IF(Y11=0,0,Y11/TrRail_act!Y4*1000)</f>
        <v>5.5179690042112171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5.5873849579081298</v>
      </c>
      <c r="C36" s="115">
        <f>IF(C12=0,0,C12/TrRail_act!C5*1000)</f>
        <v>5.850709899741191</v>
      </c>
      <c r="D36" s="115">
        <f>IF(D12=0,0,D12/TrRail_act!D5*1000)</f>
        <v>5.7639453631343605</v>
      </c>
      <c r="E36" s="115">
        <f>IF(E12=0,0,E12/TrRail_act!E5*1000)</f>
        <v>5.7805020031363599</v>
      </c>
      <c r="F36" s="115">
        <f>IF(F12=0,0,F12/TrRail_act!F5*1000)</f>
        <v>5.682860751686162</v>
      </c>
      <c r="G36" s="115">
        <f>IF(G12=0,0,G12/TrRail_act!G5*1000)</f>
        <v>5.3366377715820343</v>
      </c>
      <c r="H36" s="115">
        <f>IF(H12=0,0,H12/TrRail_act!H5*1000)</f>
        <v>5.2812242663175057</v>
      </c>
      <c r="I36" s="115">
        <f>IF(I12=0,0,I12/TrRail_act!I5*1000)</f>
        <v>5.2588827591340239</v>
      </c>
      <c r="J36" s="115">
        <f>IF(J12=0,0,J12/TrRail_act!J5*1000)</f>
        <v>4.8701232319986971</v>
      </c>
      <c r="K36" s="115">
        <f>IF(K12=0,0,K12/TrRail_act!K5*1000)</f>
        <v>4.8611294065822737</v>
      </c>
      <c r="L36" s="115">
        <f>IF(L12=0,0,L12/TrRail_act!L5*1000)</f>
        <v>4.8536661512146031</v>
      </c>
      <c r="M36" s="115">
        <f>IF(M12=0,0,M12/TrRail_act!M5*1000)</f>
        <v>4.4730378931390158</v>
      </c>
      <c r="N36" s="115">
        <f>IF(N12=0,0,N12/TrRail_act!N5*1000)</f>
        <v>4.5082445459192071</v>
      </c>
      <c r="O36" s="115">
        <f>IF(O12=0,0,O12/TrRail_act!O5*1000)</f>
        <v>4.3939527645651868</v>
      </c>
      <c r="P36" s="115">
        <f>IF(P12=0,0,P12/TrRail_act!P5*1000)</f>
        <v>4.3023491149665762</v>
      </c>
      <c r="Q36" s="115">
        <f>IF(Q12=0,0,Q12/TrRail_act!Q5*1000)</f>
        <v>4.2677745225145323</v>
      </c>
      <c r="R36" s="115">
        <f>IF(R12=0,0,R12/TrRail_act!R5*1000)</f>
        <v>4.2123795176948784</v>
      </c>
      <c r="S36" s="115">
        <f>IF(S12=0,0,S12/TrRail_act!S5*1000)</f>
        <v>4.2108055966487754</v>
      </c>
      <c r="T36" s="115">
        <f>IF(T12=0,0,T12/TrRail_act!T5*1000)</f>
        <v>4.1355718529425483</v>
      </c>
      <c r="U36" s="115">
        <f>IF(U12=0,0,U12/TrRail_act!U5*1000)</f>
        <v>4.1767778342063346</v>
      </c>
      <c r="V36" s="115">
        <f>IF(V12=0,0,V12/TrRail_act!V5*1000)</f>
        <v>5.8138373090945707</v>
      </c>
      <c r="W36" s="115">
        <f>IF(W12=0,0,W12/TrRail_act!W5*1000)</f>
        <v>5.7289135187166318</v>
      </c>
      <c r="X36" s="115">
        <f>IF(X12=0,0,X12/TrRail_act!X5*1000)</f>
        <v>5.302211375320474</v>
      </c>
      <c r="Y36" s="115">
        <f>IF(Y12=0,0,Y12/TrRail_act!Y5*1000)</f>
        <v>4.0926408299463706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16.282151400198092</v>
      </c>
      <c r="C37" s="116">
        <f>IF(C13=0,0,C13/TrRail_act!C6*1000)</f>
        <v>15.101327825067964</v>
      </c>
      <c r="D37" s="116">
        <f>IF(D13=0,0,D13/TrRail_act!D6*1000)</f>
        <v>14.44876055250324</v>
      </c>
      <c r="E37" s="116">
        <f>IF(E13=0,0,E13/TrRail_act!E6*1000)</f>
        <v>14.116921049112124</v>
      </c>
      <c r="F37" s="116">
        <f>IF(F13=0,0,F13/TrRail_act!F6*1000)</f>
        <v>14.118729948907813</v>
      </c>
      <c r="G37" s="116">
        <f>IF(G13=0,0,G13/TrRail_act!G6*1000)</f>
        <v>12.903048121522438</v>
      </c>
      <c r="H37" s="116">
        <f>IF(H13=0,0,H13/TrRail_act!H6*1000)</f>
        <v>12.505672196054578</v>
      </c>
      <c r="I37" s="116">
        <f>IF(I13=0,0,I13/TrRail_act!I6*1000)</f>
        <v>12.349815587645576</v>
      </c>
      <c r="J37" s="116">
        <f>IF(J13=0,0,J13/TrRail_act!J6*1000)</f>
        <v>12.000879241400559</v>
      </c>
      <c r="K37" s="116">
        <f>IF(K13=0,0,K13/TrRail_act!K6*1000)</f>
        <v>13.075994897628547</v>
      </c>
      <c r="L37" s="116">
        <f>IF(L13=0,0,L13/TrRail_act!L6*1000)</f>
        <v>13.096875443980627</v>
      </c>
      <c r="M37" s="116">
        <f>IF(M13=0,0,M13/TrRail_act!M6*1000)</f>
        <v>11.240088901393936</v>
      </c>
      <c r="N37" s="116">
        <f>IF(N13=0,0,N13/TrRail_act!N6*1000)</f>
        <v>10.785808228608738</v>
      </c>
      <c r="O37" s="116">
        <f>IF(O13=0,0,O13/TrRail_act!O6*1000)</f>
        <v>9.7500086892339315</v>
      </c>
      <c r="P37" s="116">
        <f>IF(P13=0,0,P13/TrRail_act!P6*1000)</f>
        <v>9.9781237022981681</v>
      </c>
      <c r="Q37" s="116">
        <f>IF(Q13=0,0,Q13/TrRail_act!Q6*1000)</f>
        <v>9.2081027601268435</v>
      </c>
      <c r="R37" s="116">
        <f>IF(R13=0,0,R13/TrRail_act!R6*1000)</f>
        <v>9.1068798629155836</v>
      </c>
      <c r="S37" s="116">
        <f>IF(S13=0,0,S13/TrRail_act!S6*1000)</f>
        <v>9.2951672060997534</v>
      </c>
      <c r="T37" s="116">
        <f>IF(T13=0,0,T13/TrRail_act!T6*1000)</f>
        <v>8.6652329966450985</v>
      </c>
      <c r="U37" s="116">
        <f>IF(U13=0,0,U13/TrRail_act!U6*1000)</f>
        <v>8.1368556415329003</v>
      </c>
      <c r="V37" s="116">
        <f>IF(V13=0,0,V13/TrRail_act!V6*1000)</f>
        <v>10.633398799363759</v>
      </c>
      <c r="W37" s="116">
        <f>IF(W13=0,0,W13/TrRail_act!W6*1000)</f>
        <v>9.4257551788940308</v>
      </c>
      <c r="X37" s="116">
        <f>IF(X13=0,0,X13/TrRail_act!X6*1000)</f>
        <v>6.1486373476712197</v>
      </c>
      <c r="Y37" s="116">
        <f>IF(Y13=0,0,Y13/TrRail_act!Y6*1000)</f>
        <v>6.3034590682071903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31.397972128318941</v>
      </c>
      <c r="C38" s="87">
        <f>IF(C14=0,0,C14/TrRail_act!C7*1000)</f>
        <v>29.987769966242031</v>
      </c>
      <c r="D38" s="87">
        <f>IF(D14=0,0,D14/TrRail_act!D7*1000)</f>
        <v>28.489350265939919</v>
      </c>
      <c r="E38" s="87">
        <f>IF(E14=0,0,E14/TrRail_act!E7*1000)</f>
        <v>28.32356500220348</v>
      </c>
      <c r="F38" s="87">
        <f>IF(F14=0,0,F14/TrRail_act!F7*1000)</f>
        <v>28.043370867539942</v>
      </c>
      <c r="G38" s="87">
        <f>IF(G14=0,0,G14/TrRail_act!G7*1000)</f>
        <v>26.667622540312141</v>
      </c>
      <c r="H38" s="87">
        <f>IF(H14=0,0,H14/TrRail_act!H7*1000)</f>
        <v>25.595605811357533</v>
      </c>
      <c r="I38" s="87">
        <f>IF(I14=0,0,I14/TrRail_act!I7*1000)</f>
        <v>24.941567245983574</v>
      </c>
      <c r="J38" s="87">
        <f>IF(J14=0,0,J14/TrRail_act!J7*1000)</f>
        <v>22.12912208843078</v>
      </c>
      <c r="K38" s="87">
        <f>IF(K14=0,0,K14/TrRail_act!K7*1000)</f>
        <v>23.633158067620766</v>
      </c>
      <c r="L38" s="87">
        <f>IF(L14=0,0,L14/TrRail_act!L7*1000)</f>
        <v>23.618051363003687</v>
      </c>
      <c r="M38" s="87">
        <f>IF(M14=0,0,M14/TrRail_act!M7*1000)</f>
        <v>21.567047981056852</v>
      </c>
      <c r="N38" s="87">
        <f>IF(N14=0,0,N14/TrRail_act!N7*1000)</f>
        <v>20.319800693505247</v>
      </c>
      <c r="O38" s="87">
        <f>IF(O14=0,0,O14/TrRail_act!O7*1000)</f>
        <v>18.838911823465637</v>
      </c>
      <c r="P38" s="87">
        <f>IF(P14=0,0,P14/TrRail_act!P7*1000)</f>
        <v>18.974066699594484</v>
      </c>
      <c r="Q38" s="87">
        <f>IF(Q14=0,0,Q14/TrRail_act!Q7*1000)</f>
        <v>17.820061122688898</v>
      </c>
      <c r="R38" s="87">
        <f>IF(R14=0,0,R14/TrRail_act!R7*1000)</f>
        <v>17.570141925359703</v>
      </c>
      <c r="S38" s="87">
        <f>IF(S14=0,0,S14/TrRail_act!S7*1000)</f>
        <v>17.84726331688201</v>
      </c>
      <c r="T38" s="87">
        <f>IF(T14=0,0,T14/TrRail_act!T7*1000)</f>
        <v>17.213255940448789</v>
      </c>
      <c r="U38" s="87">
        <f>IF(U14=0,0,U14/TrRail_act!U7*1000)</f>
        <v>16.613922909368934</v>
      </c>
      <c r="V38" s="87">
        <f>IF(V14=0,0,V14/TrRail_act!V7*1000)</f>
        <v>28.189859596140138</v>
      </c>
      <c r="W38" s="87">
        <f>IF(W14=0,0,W14/TrRail_act!W7*1000)</f>
        <v>26.022219655380667</v>
      </c>
      <c r="X38" s="87">
        <f>IF(X14=0,0,X14/TrRail_act!X7*1000)</f>
        <v>26.747454016147323</v>
      </c>
      <c r="Y38" s="87">
        <f>IF(Y14=0,0,Y14/TrRail_act!Y7*1000)</f>
        <v>20.093316706419486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14.325765359481851</v>
      </c>
      <c r="C39" s="87">
        <f>IF(C15=0,0,C15/TrRail_act!C8*1000)</f>
        <v>13.070751462033838</v>
      </c>
      <c r="D39" s="87">
        <f>IF(D15=0,0,D15/TrRail_act!D8*1000)</f>
        <v>12.385639382740798</v>
      </c>
      <c r="E39" s="87">
        <f>IF(E15=0,0,E15/TrRail_act!E8*1000)</f>
        <v>11.821900661489247</v>
      </c>
      <c r="F39" s="87">
        <f>IF(F15=0,0,F15/TrRail_act!F8*1000)</f>
        <v>11.722380585474674</v>
      </c>
      <c r="G39" s="87">
        <f>IF(G15=0,0,G15/TrRail_act!G8*1000)</f>
        <v>10.219521808334457</v>
      </c>
      <c r="H39" s="87">
        <f>IF(H15=0,0,H15/TrRail_act!H8*1000)</f>
        <v>10.011497360374143</v>
      </c>
      <c r="I39" s="87">
        <f>IF(I15=0,0,I15/TrRail_act!I8*1000)</f>
        <v>9.9031262510669009</v>
      </c>
      <c r="J39" s="87">
        <f>IF(J15=0,0,J15/TrRail_act!J8*1000)</f>
        <v>9.6184808145787386</v>
      </c>
      <c r="K39" s="87">
        <f>IF(K15=0,0,K15/TrRail_act!K8*1000)</f>
        <v>10.579135382858878</v>
      </c>
      <c r="L39" s="87">
        <f>IF(L15=0,0,L15/TrRail_act!L8*1000)</f>
        <v>10.731018058666717</v>
      </c>
      <c r="M39" s="87">
        <f>IF(M15=0,0,M15/TrRail_act!M8*1000)</f>
        <v>9.2043232357789506</v>
      </c>
      <c r="N39" s="87">
        <f>IF(N15=0,0,N15/TrRail_act!N8*1000)</f>
        <v>8.7555408415578011</v>
      </c>
      <c r="O39" s="87">
        <f>IF(O15=0,0,O15/TrRail_act!O8*1000)</f>
        <v>8.0833092835307987</v>
      </c>
      <c r="P39" s="87">
        <f>IF(P15=0,0,P15/TrRail_act!P8*1000)</f>
        <v>8.2232503739249232</v>
      </c>
      <c r="Q39" s="87">
        <f>IF(Q15=0,0,Q15/TrRail_act!Q8*1000)</f>
        <v>7.9189272667935118</v>
      </c>
      <c r="R39" s="87">
        <f>IF(R15=0,0,R15/TrRail_act!R8*1000)</f>
        <v>7.8464066370014729</v>
      </c>
      <c r="S39" s="87">
        <f>IF(S15=0,0,S15/TrRail_act!S8*1000)</f>
        <v>7.9388094081694236</v>
      </c>
      <c r="T39" s="87">
        <f>IF(T15=0,0,T15/TrRail_act!T8*1000)</f>
        <v>7.3602831066213454</v>
      </c>
      <c r="U39" s="87">
        <f>IF(U15=0,0,U15/TrRail_act!U8*1000)</f>
        <v>6.8401538747666972</v>
      </c>
      <c r="V39" s="87">
        <f>IF(V15=0,0,V15/TrRail_act!V8*1000)</f>
        <v>9.3537477115576397</v>
      </c>
      <c r="W39" s="87">
        <f>IF(W15=0,0,W15/TrRail_act!W8*1000)</f>
        <v>8.2767262581872671</v>
      </c>
      <c r="X39" s="87">
        <f>IF(X15=0,0,X15/TrRail_act!X8*1000)</f>
        <v>5.273129462079754</v>
      </c>
      <c r="Y39" s="87">
        <f>IF(Y15=0,0,Y15/TrRail_act!Y8*1000)</f>
        <v>5.300682582369924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7.6854808033084696</v>
      </c>
      <c r="J40" s="117">
        <f>IF(J16=0,0,J16/TrRail_act!J9*1000)</f>
        <v>7.1314740523309226</v>
      </c>
      <c r="K40" s="117">
        <f>IF(K16=0,0,K16/TrRail_act!K9*1000)</f>
        <v>7.0108084405264233</v>
      </c>
      <c r="L40" s="117">
        <f>IF(L16=0,0,L16/TrRail_act!L9*1000)</f>
        <v>6.5420184326306021</v>
      </c>
      <c r="M40" s="117">
        <f>IF(M16=0,0,M16/TrRail_act!M9*1000)</f>
        <v>6.4558346785659833</v>
      </c>
      <c r="N40" s="117">
        <f>IF(N16=0,0,N16/TrRail_act!N9*1000)</f>
        <v>5.792042188716187</v>
      </c>
      <c r="O40" s="117">
        <f>IF(O16=0,0,O16/TrRail_act!O9*1000)</f>
        <v>5.5739941263633517</v>
      </c>
      <c r="P40" s="117">
        <f>IF(P16=0,0,P16/TrRail_act!P9*1000)</f>
        <v>5.3438639871181142</v>
      </c>
      <c r="Q40" s="117">
        <f>IF(Q16=0,0,Q16/TrRail_act!Q9*1000)</f>
        <v>4.9098807978692349</v>
      </c>
      <c r="R40" s="117">
        <f>IF(R16=0,0,R16/TrRail_act!R9*1000)</f>
        <v>4.5380569810840967</v>
      </c>
      <c r="S40" s="117">
        <f>IF(S16=0,0,S16/TrRail_act!S9*1000)</f>
        <v>4.3072437521472038</v>
      </c>
      <c r="T40" s="117">
        <f>IF(T16=0,0,T16/TrRail_act!T9*1000)</f>
        <v>4.1155801763870556</v>
      </c>
      <c r="U40" s="117">
        <f>IF(U16=0,0,U16/TrRail_act!U9*1000)</f>
        <v>4.0186499998584058</v>
      </c>
      <c r="V40" s="117">
        <f>IF(V16=0,0,V16/TrRail_act!V9*1000)</f>
        <v>7.4514517137108358</v>
      </c>
      <c r="W40" s="117">
        <f>IF(W16=0,0,W16/TrRail_act!W9*1000)</f>
        <v>7.3578863111377277</v>
      </c>
      <c r="X40" s="117">
        <f>IF(X16=0,0,X16/TrRail_act!X9*1000)</f>
        <v>4.2041475726669466</v>
      </c>
      <c r="Y40" s="117">
        <f>IF(Y16=0,0,Y16/TrRail_act!Y9*1000)</f>
        <v>3.8587273866490537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5.4391393501486966</v>
      </c>
      <c r="C41" s="29">
        <f>IF(C17=0,0,C17/TrRail_act!C10*1000)</f>
        <v>5.2052939536560512</v>
      </c>
      <c r="D41" s="29">
        <f>IF(D17=0,0,D17/TrRail_act!D10*1000)</f>
        <v>4.8997313941033758</v>
      </c>
      <c r="E41" s="29">
        <f>IF(E17=0,0,E17/TrRail_act!E10*1000)</f>
        <v>4.875822533060111</v>
      </c>
      <c r="F41" s="29">
        <f>IF(F17=0,0,F17/TrRail_act!F10*1000)</f>
        <v>4.847227527147858</v>
      </c>
      <c r="G41" s="29">
        <f>IF(G17=0,0,G17/TrRail_act!G10*1000)</f>
        <v>4.7353985318547487</v>
      </c>
      <c r="H41" s="29">
        <f>IF(H17=0,0,H17/TrRail_act!H10*1000)</f>
        <v>4.5263243311404073</v>
      </c>
      <c r="I41" s="29">
        <f>IF(I17=0,0,I17/TrRail_act!I10*1000)</f>
        <v>4.1945801277727721</v>
      </c>
      <c r="J41" s="29">
        <f>IF(J17=0,0,J17/TrRail_act!J10*1000)</f>
        <v>4.0720321945641604</v>
      </c>
      <c r="K41" s="29">
        <f>IF(K17=0,0,K17/TrRail_act!K10*1000)</f>
        <v>4.1642537853614643</v>
      </c>
      <c r="L41" s="29">
        <f>IF(L17=0,0,L17/TrRail_act!L10*1000)</f>
        <v>3.9529099327136548</v>
      </c>
      <c r="M41" s="29">
        <f>IF(M17=0,0,M17/TrRail_act!M10*1000)</f>
        <v>3.8586792689830944</v>
      </c>
      <c r="N41" s="29">
        <f>IF(N17=0,0,N17/TrRail_act!N10*1000)</f>
        <v>3.6849056254334949</v>
      </c>
      <c r="O41" s="29">
        <f>IF(O17=0,0,O17/TrRail_act!O10*1000)</f>
        <v>3.6628658971210131</v>
      </c>
      <c r="P41" s="29">
        <f>IF(P17=0,0,P17/TrRail_act!P10*1000)</f>
        <v>3.2577949781282749</v>
      </c>
      <c r="Q41" s="29">
        <f>IF(Q17=0,0,Q17/TrRail_act!Q10*1000)</f>
        <v>3.1749306307415486</v>
      </c>
      <c r="R41" s="29">
        <f>IF(R17=0,0,R17/TrRail_act!R10*1000)</f>
        <v>3.0326418803306416</v>
      </c>
      <c r="S41" s="29">
        <f>IF(S17=0,0,S17/TrRail_act!S10*1000)</f>
        <v>2.9810980648121999</v>
      </c>
      <c r="T41" s="29">
        <f>IF(T17=0,0,T17/TrRail_act!T10*1000)</f>
        <v>3.0303812318464534</v>
      </c>
      <c r="U41" s="29">
        <f>IF(U17=0,0,U17/TrRail_act!U10*1000)</f>
        <v>3.1375122766259969</v>
      </c>
      <c r="V41" s="29">
        <f>IF(V17=0,0,V17/TrRail_act!V10*1000)</f>
        <v>3.731523521871571</v>
      </c>
      <c r="W41" s="29">
        <f>IF(W17=0,0,W17/TrRail_act!W10*1000)</f>
        <v>3.5359613081415691</v>
      </c>
      <c r="X41" s="29">
        <f>IF(X17=0,0,X17/TrRail_act!X10*1000)</f>
        <v>3.4744386853588609</v>
      </c>
      <c r="Y41" s="29">
        <f>IF(Y17=0,0,Y17/TrRail_act!Y10*1000)</f>
        <v>3.3096282226551232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13.730820354546267</v>
      </c>
      <c r="C42" s="87">
        <f>IF(C18=0,0,C18/TrRail_act!C11*1000)</f>
        <v>12.889157223118421</v>
      </c>
      <c r="D42" s="87">
        <f>IF(D18=0,0,D18/TrRail_act!D11*1000)</f>
        <v>12.393335199949524</v>
      </c>
      <c r="E42" s="87">
        <f>IF(E18=0,0,E18/TrRail_act!E11*1000)</f>
        <v>11.776044039775801</v>
      </c>
      <c r="F42" s="87">
        <f>IF(F18=0,0,F18/TrRail_act!F11*1000)</f>
        <v>11.591198588177479</v>
      </c>
      <c r="G42" s="87">
        <f>IF(G18=0,0,G18/TrRail_act!G11*1000)</f>
        <v>10.500281081799123</v>
      </c>
      <c r="H42" s="87">
        <f>IF(H18=0,0,H18/TrRail_act!H11*1000)</f>
        <v>10.887822597275919</v>
      </c>
      <c r="I42" s="87">
        <f>IF(I18=0,0,I18/TrRail_act!I11*1000)</f>
        <v>10.526937753883987</v>
      </c>
      <c r="J42" s="87">
        <f>IF(J18=0,0,J18/TrRail_act!J11*1000)</f>
        <v>7.3110211784313703</v>
      </c>
      <c r="K42" s="87">
        <f>IF(K18=0,0,K18/TrRail_act!K11*1000)</f>
        <v>6.9218030085975712</v>
      </c>
      <c r="L42" s="87">
        <f>IF(L18=0,0,L18/TrRail_act!L11*1000)</f>
        <v>6.5523403947000443</v>
      </c>
      <c r="M42" s="87">
        <f>IF(M18=0,0,M18/TrRail_act!M11*1000)</f>
        <v>6.0137568230805929</v>
      </c>
      <c r="N42" s="87">
        <f>IF(N18=0,0,N18/TrRail_act!N11*1000)</f>
        <v>5.7337961783933746</v>
      </c>
      <c r="O42" s="87">
        <f>IF(O18=0,0,O18/TrRail_act!O11*1000)</f>
        <v>5.3478477172708336</v>
      </c>
      <c r="P42" s="87">
        <f>IF(P18=0,0,P18/TrRail_act!P11*1000)</f>
        <v>5.2100956937189364</v>
      </c>
      <c r="Q42" s="87">
        <f>IF(Q18=0,0,Q18/TrRail_act!Q11*1000)</f>
        <v>5.1701305428291047</v>
      </c>
      <c r="R42" s="87">
        <f>IF(R18=0,0,R18/TrRail_act!R11*1000)</f>
        <v>4.8658263124033168</v>
      </c>
      <c r="S42" s="87">
        <f>IF(S18=0,0,S18/TrRail_act!S11*1000)</f>
        <v>4.9595412192004451</v>
      </c>
      <c r="T42" s="87">
        <f>IF(T18=0,0,T18/TrRail_act!T11*1000)</f>
        <v>4.3712914307674469</v>
      </c>
      <c r="U42" s="87">
        <f>IF(U18=0,0,U18/TrRail_act!U11*1000)</f>
        <v>4.908943851682408</v>
      </c>
      <c r="V42" s="87">
        <f>IF(V18=0,0,V18/TrRail_act!V11*1000)</f>
        <v>11.505012357954747</v>
      </c>
      <c r="W42" s="87">
        <f>IF(W18=0,0,W18/TrRail_act!W11*1000)</f>
        <v>11.486758359609539</v>
      </c>
      <c r="X42" s="87">
        <f>IF(X18=0,0,X18/TrRail_act!X11*1000)</f>
        <v>11.210147964360809</v>
      </c>
      <c r="Y42" s="87">
        <f>IF(Y18=0,0,Y18/TrRail_act!Y11*1000)</f>
        <v>7.2831508922559562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4.929000773924578</v>
      </c>
      <c r="C43" s="88">
        <f>IF(C19=0,0,C19/TrRail_act!C12*1000)</f>
        <v>4.7125267946132432</v>
      </c>
      <c r="D43" s="88">
        <f>IF(D19=0,0,D19/TrRail_act!D12*1000)</f>
        <v>4.3878623499164471</v>
      </c>
      <c r="E43" s="88">
        <f>IF(E19=0,0,E19/TrRail_act!E12*1000)</f>
        <v>4.3694921015614208</v>
      </c>
      <c r="F43" s="88">
        <f>IF(F19=0,0,F19/TrRail_act!F12*1000)</f>
        <v>4.3430097361140527</v>
      </c>
      <c r="G43" s="88">
        <f>IF(G19=0,0,G19/TrRail_act!G12*1000)</f>
        <v>4.2500171630735002</v>
      </c>
      <c r="H43" s="88">
        <f>IF(H19=0,0,H19/TrRail_act!H12*1000)</f>
        <v>3.991830139665189</v>
      </c>
      <c r="I43" s="88">
        <f>IF(I19=0,0,I19/TrRail_act!I12*1000)</f>
        <v>3.653539922986504</v>
      </c>
      <c r="J43" s="88">
        <f>IF(J19=0,0,J19/TrRail_act!J12*1000)</f>
        <v>3.8256385047165136</v>
      </c>
      <c r="K43" s="88">
        <f>IF(K19=0,0,K19/TrRail_act!K12*1000)</f>
        <v>3.9490566981643842</v>
      </c>
      <c r="L43" s="88">
        <f>IF(L19=0,0,L19/TrRail_act!L12*1000)</f>
        <v>3.7610239348885579</v>
      </c>
      <c r="M43" s="88">
        <f>IF(M19=0,0,M19/TrRail_act!M12*1000)</f>
        <v>3.7161831875991025</v>
      </c>
      <c r="N43" s="88">
        <f>IF(N19=0,0,N19/TrRail_act!N12*1000)</f>
        <v>3.5404942166703179</v>
      </c>
      <c r="O43" s="88">
        <f>IF(O19=0,0,O19/TrRail_act!O12*1000)</f>
        <v>3.558874926285585</v>
      </c>
      <c r="P43" s="88">
        <f>IF(P19=0,0,P19/TrRail_act!P12*1000)</f>
        <v>3.1259958628914131</v>
      </c>
      <c r="Q43" s="88">
        <f>IF(Q19=0,0,Q19/TrRail_act!Q12*1000)</f>
        <v>3.0690597119634622</v>
      </c>
      <c r="R43" s="88">
        <f>IF(R19=0,0,R19/TrRail_act!R12*1000)</f>
        <v>2.9352110083841452</v>
      </c>
      <c r="S43" s="88">
        <f>IF(S19=0,0,S19/TrRail_act!S12*1000)</f>
        <v>2.8687763306084486</v>
      </c>
      <c r="T43" s="88">
        <f>IF(T19=0,0,T19/TrRail_act!T12*1000)</f>
        <v>2.9569006534825499</v>
      </c>
      <c r="U43" s="88">
        <f>IF(U19=0,0,U19/TrRail_act!U12*1000)</f>
        <v>3.0390107752372981</v>
      </c>
      <c r="V43" s="88">
        <f>IF(V19=0,0,V19/TrRail_act!V12*1000)</f>
        <v>3.1580427515779945</v>
      </c>
      <c r="W43" s="88">
        <f>IF(W19=0,0,W19/TrRail_act!W12*1000)</f>
        <v>2.9856386102867924</v>
      </c>
      <c r="X43" s="88">
        <f>IF(X19=0,0,X19/TrRail_act!X12*1000)</f>
        <v>2.9390035116671149</v>
      </c>
      <c r="Y43" s="88">
        <f>IF(Y19=0,0,Y19/TrRail_act!Y12*1000)</f>
        <v>3.0731107315924175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183052.6898680905</v>
      </c>
      <c r="C45" s="54">
        <f>IF(C10=0,0,1000000*C10/TrRail_act!C25)</f>
        <v>180397.48739830629</v>
      </c>
      <c r="D45" s="54">
        <f>IF(D10=0,0,1000000*D10/TrRail_act!D25)</f>
        <v>174540.3591915642</v>
      </c>
      <c r="E45" s="54">
        <f>IF(E10=0,0,1000000*E10/TrRail_act!E25)</f>
        <v>169257.63407723658</v>
      </c>
      <c r="F45" s="54">
        <f>IF(F10=0,0,1000000*F10/TrRail_act!F25)</f>
        <v>169035.09072080135</v>
      </c>
      <c r="G45" s="54">
        <f>IF(G10=0,0,1000000*G10/TrRail_act!G25)</f>
        <v>165482.46227634212</v>
      </c>
      <c r="H45" s="54">
        <f>IF(H10=0,0,1000000*H10/TrRail_act!H25)</f>
        <v>163275.30866858125</v>
      </c>
      <c r="I45" s="54">
        <f>IF(I10=0,0,1000000*I10/TrRail_act!I25)</f>
        <v>157617.85905048362</v>
      </c>
      <c r="J45" s="54">
        <f>IF(J10=0,0,1000000*J10/TrRail_act!J25)</f>
        <v>157092.67706124729</v>
      </c>
      <c r="K45" s="54">
        <f>IF(K10=0,0,1000000*K10/TrRail_act!K25)</f>
        <v>149305.48372092171</v>
      </c>
      <c r="L45" s="54">
        <f>IF(L10=0,0,1000000*L10/TrRail_act!L25)</f>
        <v>151023.56018961439</v>
      </c>
      <c r="M45" s="54">
        <f>IF(M10=0,0,1000000*M10/TrRail_act!M25)</f>
        <v>144313.65516232955</v>
      </c>
      <c r="N45" s="54">
        <f>IF(N10=0,0,1000000*N10/TrRail_act!N25)</f>
        <v>141465.40316664631</v>
      </c>
      <c r="O45" s="54">
        <f>IF(O10=0,0,1000000*O10/TrRail_act!O25)</f>
        <v>128321.15599166682</v>
      </c>
      <c r="P45" s="54">
        <f>IF(P10=0,0,1000000*P10/TrRail_act!P25)</f>
        <v>125825.22261275204</v>
      </c>
      <c r="Q45" s="54">
        <f>IF(Q10=0,0,1000000*Q10/TrRail_act!Q25)</f>
        <v>117028.74198871064</v>
      </c>
      <c r="R45" s="54">
        <f>IF(R10=0,0,1000000*R10/TrRail_act!R25)</f>
        <v>112432.05938845058</v>
      </c>
      <c r="S45" s="54">
        <f>IF(S10=0,0,1000000*S10/TrRail_act!S25)</f>
        <v>109975.56988698654</v>
      </c>
      <c r="T45" s="54">
        <f>IF(T10=0,0,1000000*T10/TrRail_act!T25)</f>
        <v>109496.02708684125</v>
      </c>
      <c r="U45" s="54">
        <f>IF(U10=0,0,1000000*U10/TrRail_act!U25)</f>
        <v>105091.86278385778</v>
      </c>
      <c r="V45" s="54">
        <f>IF(V10=0,0,1000000*V10/TrRail_act!V25)</f>
        <v>94414.018575898328</v>
      </c>
      <c r="W45" s="54">
        <f>IF(W10=0,0,1000000*W10/TrRail_act!W25)</f>
        <v>96608.448928883372</v>
      </c>
      <c r="X45" s="54">
        <f>IF(X10=0,0,1000000*X10/TrRail_act!X25)</f>
        <v>96688.076285451287</v>
      </c>
      <c r="Y45" s="54">
        <f>IF(Y10=0,0,1000000*Y10/TrRail_act!Y25)</f>
        <v>94395.052016738293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139392.50342062823</v>
      </c>
      <c r="C46" s="28">
        <f>IF(C11=0,0,1000000*C11/TrRail_act!C26)</f>
        <v>136541.9611234155</v>
      </c>
      <c r="D46" s="28">
        <f>IF(D11=0,0,1000000*D11/TrRail_act!D26)</f>
        <v>133204.49206828987</v>
      </c>
      <c r="E46" s="28">
        <f>IF(E11=0,0,1000000*E11/TrRail_act!E26)</f>
        <v>128493.00147663402</v>
      </c>
      <c r="F46" s="28">
        <f>IF(F11=0,0,1000000*F11/TrRail_act!F26)</f>
        <v>124037.97917865556</v>
      </c>
      <c r="G46" s="28">
        <f>IF(G11=0,0,1000000*G11/TrRail_act!G26)</f>
        <v>119971.12987091628</v>
      </c>
      <c r="H46" s="28">
        <f>IF(H11=0,0,1000000*H11/TrRail_act!H26)</f>
        <v>116032.32274828617</v>
      </c>
      <c r="I46" s="28">
        <f>IF(I11=0,0,1000000*I11/TrRail_act!I26)</f>
        <v>115197.55601460728</v>
      </c>
      <c r="J46" s="28">
        <f>IF(J11=0,0,1000000*J11/TrRail_act!J26)</f>
        <v>117366.22350018655</v>
      </c>
      <c r="K46" s="28">
        <f>IF(K11=0,0,1000000*K11/TrRail_act!K26)</f>
        <v>118865.77164482296</v>
      </c>
      <c r="L46" s="28">
        <f>IF(L11=0,0,1000000*L11/TrRail_act!L26)</f>
        <v>118167.02376187965</v>
      </c>
      <c r="M46" s="28">
        <f>IF(M11=0,0,1000000*M11/TrRail_act!M26)</f>
        <v>110361.5017032871</v>
      </c>
      <c r="N46" s="28">
        <f>IF(N11=0,0,1000000*N11/TrRail_act!N26)</f>
        <v>110276.07420817252</v>
      </c>
      <c r="O46" s="28">
        <f>IF(O11=0,0,1000000*O11/TrRail_act!O26)</f>
        <v>98794.457885028576</v>
      </c>
      <c r="P46" s="28">
        <f>IF(P11=0,0,1000000*P11/TrRail_act!P26)</f>
        <v>98128.285125159455</v>
      </c>
      <c r="Q46" s="28">
        <f>IF(Q11=0,0,1000000*Q11/TrRail_act!Q26)</f>
        <v>90365.202785991176</v>
      </c>
      <c r="R46" s="28">
        <f>IF(R11=0,0,1000000*R11/TrRail_act!R26)</f>
        <v>87099.580599672248</v>
      </c>
      <c r="S46" s="28">
        <f>IF(S11=0,0,1000000*S11/TrRail_act!S26)</f>
        <v>84822.555059510254</v>
      </c>
      <c r="T46" s="28">
        <f>IF(T11=0,0,1000000*T11/TrRail_act!T26)</f>
        <v>84044.25408215035</v>
      </c>
      <c r="U46" s="28">
        <f>IF(U11=0,0,1000000*U11/TrRail_act!U26)</f>
        <v>79241.824045638103</v>
      </c>
      <c r="V46" s="28">
        <f>IF(V11=0,0,1000000*V11/TrRail_act!V26)</f>
        <v>63473.8658983286</v>
      </c>
      <c r="W46" s="28">
        <f>IF(W11=0,0,1000000*W11/TrRail_act!W26)</f>
        <v>65419.687290664333</v>
      </c>
      <c r="X46" s="28">
        <f>IF(X11=0,0,1000000*X11/TrRail_act!X26)</f>
        <v>65312.093879105953</v>
      </c>
      <c r="Y46" s="28">
        <f>IF(Y11=0,0,1000000*Y11/TrRail_act!Y26)</f>
        <v>68076.002928840637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47072.55819621525</v>
      </c>
      <c r="C47" s="108">
        <f>IF(C12=0,0,1000000*C12/TrRail_act!C27)</f>
        <v>49291.0161722435</v>
      </c>
      <c r="D47" s="108">
        <f>IF(D12=0,0,1000000*D12/TrRail_act!D27)</f>
        <v>48560.042988490888</v>
      </c>
      <c r="E47" s="108">
        <f>IF(E12=0,0,1000000*E12/TrRail_act!E27)</f>
        <v>48699.529241313874</v>
      </c>
      <c r="F47" s="108">
        <f>IF(F12=0,0,1000000*F12/TrRail_act!F27)</f>
        <v>47876.921978401115</v>
      </c>
      <c r="G47" s="108">
        <f>IF(G12=0,0,1000000*G12/TrRail_act!G27)</f>
        <v>45405.404631544239</v>
      </c>
      <c r="H47" s="108">
        <f>IF(H12=0,0,1000000*H12/TrRail_act!H27)</f>
        <v>44543.981833081692</v>
      </c>
      <c r="I47" s="108">
        <f>IF(I12=0,0,1000000*I12/TrRail_act!I27)</f>
        <v>44537.639101837914</v>
      </c>
      <c r="J47" s="108">
        <f>IF(J12=0,0,1000000*J12/TrRail_act!J27)</f>
        <v>42212.627535400577</v>
      </c>
      <c r="K47" s="108">
        <f>IF(K12=0,0,1000000*K12/TrRail_act!K27)</f>
        <v>41610.4658514537</v>
      </c>
      <c r="L47" s="108">
        <f>IF(L12=0,0,1000000*L12/TrRail_act!L27)</f>
        <v>41815.570224995448</v>
      </c>
      <c r="M47" s="108">
        <f>IF(M12=0,0,1000000*M12/TrRail_act!M27)</f>
        <v>38979.436499197727</v>
      </c>
      <c r="N47" s="108">
        <f>IF(N12=0,0,1000000*N12/TrRail_act!N27)</f>
        <v>39838.557801244984</v>
      </c>
      <c r="O47" s="108">
        <f>IF(O12=0,0,1000000*O12/TrRail_act!O27)</f>
        <v>39339.454670109633</v>
      </c>
      <c r="P47" s="108">
        <f>IF(P12=0,0,1000000*P12/TrRail_act!P27)</f>
        <v>38208.639463579617</v>
      </c>
      <c r="Q47" s="108">
        <f>IF(Q12=0,0,1000000*Q12/TrRail_act!Q27)</f>
        <v>37879.010054042519</v>
      </c>
      <c r="R47" s="108">
        <f>IF(R12=0,0,1000000*R12/TrRail_act!R27)</f>
        <v>37633.655589088667</v>
      </c>
      <c r="S47" s="108">
        <f>IF(S12=0,0,1000000*S12/TrRail_act!S27)</f>
        <v>37450.683184583075</v>
      </c>
      <c r="T47" s="108">
        <f>IF(T12=0,0,1000000*T12/TrRail_act!T27)</f>
        <v>37314.037943156698</v>
      </c>
      <c r="U47" s="108">
        <f>IF(U12=0,0,1000000*U12/TrRail_act!U27)</f>
        <v>37211.881310173907</v>
      </c>
      <c r="V47" s="108">
        <f>IF(V12=0,0,1000000*V12/TrRail_act!V27)</f>
        <v>37135.447409071116</v>
      </c>
      <c r="W47" s="108">
        <f>IF(W12=0,0,1000000*W12/TrRail_act!W27)</f>
        <v>37078.225036148069</v>
      </c>
      <c r="X47" s="108">
        <f>IF(X12=0,0,1000000*X12/TrRail_act!X27)</f>
        <v>37035.366116122648</v>
      </c>
      <c r="Y47" s="108">
        <f>IF(Y12=0,0,1000000*Y12/TrRail_act!Y27)</f>
        <v>32220.591782324445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257647.54762557094</v>
      </c>
      <c r="C48" s="110">
        <f>IF(C13=0,0,1000000*C13/TrRail_act!C28)</f>
        <v>259588.5844771172</v>
      </c>
      <c r="D48" s="110">
        <f>IF(D13=0,0,1000000*D13/TrRail_act!D28)</f>
        <v>258880.70994557405</v>
      </c>
      <c r="E48" s="110">
        <f>IF(E13=0,0,1000000*E13/TrRail_act!E28)</f>
        <v>248611.703977823</v>
      </c>
      <c r="F48" s="110">
        <f>IF(F13=0,0,1000000*F13/TrRail_act!F28)</f>
        <v>243566.74555937978</v>
      </c>
      <c r="G48" s="110">
        <f>IF(G13=0,0,1000000*G13/TrRail_act!G28)</f>
        <v>241598.94029276539</v>
      </c>
      <c r="H48" s="110">
        <f>IF(H13=0,0,1000000*H13/TrRail_act!H28)</f>
        <v>230739.07709843511</v>
      </c>
      <c r="I48" s="110">
        <f>IF(I13=0,0,1000000*I13/TrRail_act!I28)</f>
        <v>224793.77237655589</v>
      </c>
      <c r="J48" s="110">
        <f>IF(J13=0,0,1000000*J13/TrRail_act!J28)</f>
        <v>220584.38541017848</v>
      </c>
      <c r="K48" s="110">
        <f>IF(K13=0,0,1000000*K13/TrRail_act!K28)</f>
        <v>221150.32692447954</v>
      </c>
      <c r="L48" s="110">
        <f>IF(L13=0,0,1000000*L13/TrRail_act!L28)</f>
        <v>217611.05827892674</v>
      </c>
      <c r="M48" s="110">
        <f>IF(M13=0,0,1000000*M13/TrRail_act!M28)</f>
        <v>209535.76211270783</v>
      </c>
      <c r="N48" s="110">
        <f>IF(N13=0,0,1000000*N13/TrRail_act!N28)</f>
        <v>207782.94128416575</v>
      </c>
      <c r="O48" s="110">
        <f>IF(O13=0,0,1000000*O13/TrRail_act!O28)</f>
        <v>168112.36175915864</v>
      </c>
      <c r="P48" s="110">
        <f>IF(P13=0,0,1000000*P13/TrRail_act!P28)</f>
        <v>161529.05471392826</v>
      </c>
      <c r="Q48" s="110">
        <f>IF(Q13=0,0,1000000*Q13/TrRail_act!Q28)</f>
        <v>145126.83638042686</v>
      </c>
      <c r="R48" s="110">
        <f>IF(R13=0,0,1000000*R13/TrRail_act!R28)</f>
        <v>133057.44388933142</v>
      </c>
      <c r="S48" s="110">
        <f>IF(S13=0,0,1000000*S13/TrRail_act!S28)</f>
        <v>125528.63221964931</v>
      </c>
      <c r="T48" s="110">
        <f>IF(T13=0,0,1000000*T13/TrRail_act!T28)</f>
        <v>124221.11864040975</v>
      </c>
      <c r="U48" s="110">
        <f>IF(U13=0,0,1000000*U13/TrRail_act!U28)</f>
        <v>116053.68356914802</v>
      </c>
      <c r="V48" s="110">
        <f>IF(V13=0,0,1000000*V13/TrRail_act!V28)</f>
        <v>90000.17765144982</v>
      </c>
      <c r="W48" s="110">
        <f>IF(W13=0,0,1000000*W13/TrRail_act!W28)</f>
        <v>97093.707566810015</v>
      </c>
      <c r="X48" s="110">
        <f>IF(X13=0,0,1000000*X13/TrRail_act!X28)</f>
        <v>96437.290856431689</v>
      </c>
      <c r="Y48" s="110">
        <f>IF(Y13=0,0,1000000*Y13/TrRail_act!Y28)</f>
        <v>101953.51757490986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378595.37198110262</v>
      </c>
      <c r="C49" s="84">
        <f>IF(C14=0,0,1000000*C14/TrRail_act!C29)</f>
        <v>361099.15159577719</v>
      </c>
      <c r="D49" s="84">
        <f>IF(D14=0,0,1000000*D14/TrRail_act!D29)</f>
        <v>343814.38469007629</v>
      </c>
      <c r="E49" s="84">
        <f>IF(E14=0,0,1000000*E14/TrRail_act!E29)</f>
        <v>342285.01515781949</v>
      </c>
      <c r="F49" s="84">
        <f>IF(F14=0,0,1000000*F14/TrRail_act!F29)</f>
        <v>339498.94695695495</v>
      </c>
      <c r="G49" s="84">
        <f>IF(G14=0,0,1000000*G14/TrRail_act!G29)</f>
        <v>335998.62904397724</v>
      </c>
      <c r="H49" s="84">
        <f>IF(H14=0,0,1000000*H14/TrRail_act!H29)</f>
        <v>311660.99763119721</v>
      </c>
      <c r="I49" s="84">
        <f>IF(I14=0,0,1000000*I14/TrRail_act!I29)</f>
        <v>301785.39498118119</v>
      </c>
      <c r="J49" s="84">
        <f>IF(J14=0,0,1000000*J14/TrRail_act!J29)</f>
        <v>294894.92616676743</v>
      </c>
      <c r="K49" s="84">
        <f>IF(K14=0,0,1000000*K14/TrRail_act!K29)</f>
        <v>299351.04420297768</v>
      </c>
      <c r="L49" s="84">
        <f>IF(L14=0,0,1000000*L14/TrRail_act!L29)</f>
        <v>306419.24222007889</v>
      </c>
      <c r="M49" s="84">
        <f>IF(M14=0,0,1000000*M14/TrRail_act!M29)</f>
        <v>273541.78481862112</v>
      </c>
      <c r="N49" s="84">
        <f>IF(N14=0,0,1000000*N14/TrRail_act!N29)</f>
        <v>285988.86830106052</v>
      </c>
      <c r="O49" s="84">
        <f>IF(O14=0,0,1000000*O14/TrRail_act!O29)</f>
        <v>262632.69019575743</v>
      </c>
      <c r="P49" s="84">
        <f>IF(P14=0,0,1000000*P14/TrRail_act!P29)</f>
        <v>271595.98467486212</v>
      </c>
      <c r="Q49" s="84">
        <f>IF(Q14=0,0,1000000*Q14/TrRail_act!Q29)</f>
        <v>219481.68238274902</v>
      </c>
      <c r="R49" s="84">
        <f>IF(R14=0,0,1000000*R14/TrRail_act!R29)</f>
        <v>237792.8098007006</v>
      </c>
      <c r="S49" s="84">
        <f>IF(S14=0,0,1000000*S14/TrRail_act!S29)</f>
        <v>253775.67201064932</v>
      </c>
      <c r="T49" s="84">
        <f>IF(T14=0,0,1000000*T14/TrRail_act!T29)</f>
        <v>252706.95732957235</v>
      </c>
      <c r="U49" s="84">
        <f>IF(U14=0,0,1000000*U14/TrRail_act!U29)</f>
        <v>233770.97205130116</v>
      </c>
      <c r="V49" s="84">
        <f>IF(V14=0,0,1000000*V14/TrRail_act!V29)</f>
        <v>121485.9379098215</v>
      </c>
      <c r="W49" s="84">
        <f>IF(W14=0,0,1000000*W14/TrRail_act!W29)</f>
        <v>131270.57505846579</v>
      </c>
      <c r="X49" s="84">
        <f>IF(X14=0,0,1000000*X14/TrRail_act!X29)</f>
        <v>141761.56583196123</v>
      </c>
      <c r="Y49" s="84">
        <f>IF(Y14=0,0,1000000*Y14/TrRail_act!Y29)</f>
        <v>218024.55318000962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236239.28299947263</v>
      </c>
      <c r="C50" s="84">
        <f>IF(C15=0,0,1000000*C15/TrRail_act!C30)</f>
        <v>238598.04086339718</v>
      </c>
      <c r="D50" s="84">
        <f>IF(D15=0,0,1000000*D15/TrRail_act!D30)</f>
        <v>238931.19981074278</v>
      </c>
      <c r="E50" s="84">
        <f>IF(E15=0,0,1000000*E15/TrRail_act!E30)</f>
        <v>224800.52158874983</v>
      </c>
      <c r="F50" s="84">
        <f>IF(F15=0,0,1000000*F15/TrRail_act!F30)</f>
        <v>218184.48115618271</v>
      </c>
      <c r="G50" s="84">
        <f>IF(G15=0,0,1000000*G15/TrRail_act!G30)</f>
        <v>211385.20384081439</v>
      </c>
      <c r="H50" s="84">
        <f>IF(H15=0,0,1000000*H15/TrRail_act!H30)</f>
        <v>204830.99711561506</v>
      </c>
      <c r="I50" s="84">
        <f>IF(I15=0,0,1000000*I15/TrRail_act!I30)</f>
        <v>199843.29090742563</v>
      </c>
      <c r="J50" s="84">
        <f>IF(J15=0,0,1000000*J15/TrRail_act!J30)</f>
        <v>194113.05035485927</v>
      </c>
      <c r="K50" s="84">
        <f>IF(K15=0,0,1000000*K15/TrRail_act!K30)</f>
        <v>194328.68667721757</v>
      </c>
      <c r="L50" s="84">
        <f>IF(L15=0,0,1000000*L15/TrRail_act!L30)</f>
        <v>190312.94117743525</v>
      </c>
      <c r="M50" s="84">
        <f>IF(M15=0,0,1000000*M15/TrRail_act!M30)</f>
        <v>189097.79050702049</v>
      </c>
      <c r="N50" s="84">
        <f>IF(N15=0,0,1000000*N15/TrRail_act!N30)</f>
        <v>183045.0123024169</v>
      </c>
      <c r="O50" s="84">
        <f>IF(O15=0,0,1000000*O15/TrRail_act!O30)</f>
        <v>145701.75363112229</v>
      </c>
      <c r="P50" s="84">
        <f>IF(P15=0,0,1000000*P15/TrRail_act!P30)</f>
        <v>136609.97943645818</v>
      </c>
      <c r="Q50" s="84">
        <f>IF(Q15=0,0,1000000*Q15/TrRail_act!Q30)</f>
        <v>130261.33757586694</v>
      </c>
      <c r="R50" s="84">
        <f>IF(R15=0,0,1000000*R15/TrRail_act!R30)</f>
        <v>116015.78004286822</v>
      </c>
      <c r="S50" s="84">
        <f>IF(S15=0,0,1000000*S15/TrRail_act!S30)</f>
        <v>106363.64529832544</v>
      </c>
      <c r="T50" s="84">
        <f>IF(T15=0,0,1000000*T15/TrRail_act!T30)</f>
        <v>105136.32307667781</v>
      </c>
      <c r="U50" s="84">
        <f>IF(U15=0,0,1000000*U15/TrRail_act!U30)</f>
        <v>97763.175853420311</v>
      </c>
      <c r="V50" s="84">
        <f>IF(V15=0,0,1000000*V15/TrRail_act!V30)</f>
        <v>85152.355283290846</v>
      </c>
      <c r="W50" s="84">
        <f>IF(W15=0,0,1000000*W15/TrRail_act!W30)</f>
        <v>91886.354614669748</v>
      </c>
      <c r="X50" s="84">
        <f>IF(X15=0,0,1000000*X15/TrRail_act!X30)</f>
        <v>90218.582783564125</v>
      </c>
      <c r="Y50" s="84">
        <f>IF(Y15=0,0,1000000*Y15/TrRail_act!Y30)</f>
        <v>88906.371357761527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827687.79063559487</v>
      </c>
      <c r="J51" s="113">
        <f>IF(J16=0,0,1000000*J16/TrRail_act!J31)</f>
        <v>821746.90168465162</v>
      </c>
      <c r="K51" s="113">
        <f>IF(K16=0,0,1000000*K16/TrRail_act!K31)</f>
        <v>793735.77290737152</v>
      </c>
      <c r="L51" s="113">
        <f>IF(L16=0,0,1000000*L16/TrRail_act!L31)</f>
        <v>729116.95172072295</v>
      </c>
      <c r="M51" s="113">
        <f>IF(M16=0,0,1000000*M16/TrRail_act!M31)</f>
        <v>830758.96065410727</v>
      </c>
      <c r="N51" s="113">
        <f>IF(N16=0,0,1000000*N16/TrRail_act!N31)</f>
        <v>766090.3843260362</v>
      </c>
      <c r="O51" s="113">
        <f>IF(O16=0,0,1000000*O16/TrRail_act!O31)</f>
        <v>771345.33100876468</v>
      </c>
      <c r="P51" s="113">
        <f>IF(P16=0,0,1000000*P16/TrRail_act!P31)</f>
        <v>750587.99079501024</v>
      </c>
      <c r="Q51" s="113">
        <f>IF(Q16=0,0,1000000*Q16/TrRail_act!Q31)</f>
        <v>697847.0824147939</v>
      </c>
      <c r="R51" s="113">
        <f>IF(R16=0,0,1000000*R16/TrRail_act!R31)</f>
        <v>690764.87011869636</v>
      </c>
      <c r="S51" s="113">
        <f>IF(S16=0,0,1000000*S16/TrRail_act!S31)</f>
        <v>654748.85276866145</v>
      </c>
      <c r="T51" s="113">
        <f>IF(T16=0,0,1000000*T16/TrRail_act!T31)</f>
        <v>653621.29256633297</v>
      </c>
      <c r="U51" s="113">
        <f>IF(U16=0,0,1000000*U16/TrRail_act!U31)</f>
        <v>634333.75457594229</v>
      </c>
      <c r="V51" s="113">
        <f>IF(V16=0,0,1000000*V16/TrRail_act!V31)</f>
        <v>639610.21577565023</v>
      </c>
      <c r="W51" s="113">
        <f>IF(W16=0,0,1000000*W16/TrRail_act!W31)</f>
        <v>633940.95713991241</v>
      </c>
      <c r="X51" s="113">
        <f>IF(X16=0,0,1000000*X16/TrRail_act!X31)</f>
        <v>558441.2663812181</v>
      </c>
      <c r="Y51" s="113">
        <f>IF(Y16=0,0,1000000*Y16/TrRail_act!Y31)</f>
        <v>575350.61684350471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468380.14775082021</v>
      </c>
      <c r="C52" s="28">
        <f>IF(C17=0,0,1000000*C17/TrRail_act!C32)</f>
        <v>465728.59262036596</v>
      </c>
      <c r="D52" s="28">
        <f>IF(D17=0,0,1000000*D17/TrRail_act!D32)</f>
        <v>438213.94333520922</v>
      </c>
      <c r="E52" s="28">
        <f>IF(E17=0,0,1000000*E17/TrRail_act!E32)</f>
        <v>435817.15241636371</v>
      </c>
      <c r="F52" s="28">
        <f>IF(F17=0,0,1000000*F17/TrRail_act!F32)</f>
        <v>433308.54023260862</v>
      </c>
      <c r="G52" s="28">
        <f>IF(G17=0,0,1000000*G17/TrRail_act!G32)</f>
        <v>434037.36546193046</v>
      </c>
      <c r="H52" s="28">
        <f>IF(H17=0,0,1000000*H17/TrRail_act!H32)</f>
        <v>435997.61134209734</v>
      </c>
      <c r="I52" s="28">
        <f>IF(I17=0,0,1000000*I17/TrRail_act!I32)</f>
        <v>398568.78426088323</v>
      </c>
      <c r="J52" s="28">
        <f>IF(J17=0,0,1000000*J17/TrRail_act!J32)</f>
        <v>385011.28660473798</v>
      </c>
      <c r="K52" s="28">
        <f>IF(K17=0,0,1000000*K17/TrRail_act!K32)</f>
        <v>348163.06956318353</v>
      </c>
      <c r="L52" s="28">
        <f>IF(L17=0,0,1000000*L17/TrRail_act!L32)</f>
        <v>369131.46195368969</v>
      </c>
      <c r="M52" s="28">
        <f>IF(M17=0,0,1000000*M17/TrRail_act!M32)</f>
        <v>351141.90170601057</v>
      </c>
      <c r="N52" s="28">
        <f>IF(N17=0,0,1000000*N17/TrRail_act!N32)</f>
        <v>347419.60702941008</v>
      </c>
      <c r="O52" s="28">
        <f>IF(O17=0,0,1000000*O17/TrRail_act!O32)</f>
        <v>330950.80349673063</v>
      </c>
      <c r="P52" s="28">
        <f>IF(P17=0,0,1000000*P17/TrRail_act!P32)</f>
        <v>327048.61543527711</v>
      </c>
      <c r="Q52" s="28">
        <f>IF(Q17=0,0,1000000*Q17/TrRail_act!Q32)</f>
        <v>311695.94969847996</v>
      </c>
      <c r="R52" s="28">
        <f>IF(R17=0,0,1000000*R17/TrRail_act!R32)</f>
        <v>308035.12007278524</v>
      </c>
      <c r="S52" s="28">
        <f>IF(S17=0,0,1000000*S17/TrRail_act!S32)</f>
        <v>309181.71107953065</v>
      </c>
      <c r="T52" s="28">
        <f>IF(T17=0,0,1000000*T17/TrRail_act!T32)</f>
        <v>303528.87235263159</v>
      </c>
      <c r="U52" s="28">
        <f>IF(U17=0,0,1000000*U17/TrRail_act!U32)</f>
        <v>301311.67177519877</v>
      </c>
      <c r="V52" s="28">
        <f>IF(V17=0,0,1000000*V17/TrRail_act!V32)</f>
        <v>327155.72833031678</v>
      </c>
      <c r="W52" s="28">
        <f>IF(W17=0,0,1000000*W17/TrRail_act!W32)</f>
        <v>326015.35042527359</v>
      </c>
      <c r="X52" s="28">
        <f>IF(X17=0,0,1000000*X17/TrRail_act!X32)</f>
        <v>325102.84557297401</v>
      </c>
      <c r="Y52" s="28">
        <f>IF(Y17=0,0,1000000*Y17/TrRail_act!Y32)</f>
        <v>293437.28524739004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1251867.2842782899</v>
      </c>
      <c r="C53" s="84">
        <f>IF(C18=0,0,1000000*C18/TrRail_act!C33)</f>
        <v>1174883.3334004432</v>
      </c>
      <c r="D53" s="84">
        <f>IF(D18=0,0,1000000*D18/TrRail_act!D33)</f>
        <v>1082253.8430073475</v>
      </c>
      <c r="E53" s="84">
        <f>IF(E18=0,0,1000000*E18/TrRail_act!E33)</f>
        <v>1027932.6568642728</v>
      </c>
      <c r="F53" s="84">
        <f>IF(F18=0,0,1000000*F18/TrRail_act!F33)</f>
        <v>1011686.2553856994</v>
      </c>
      <c r="G53" s="84">
        <f>IF(G18=0,0,1000000*G18/TrRail_act!G33)</f>
        <v>972964.04724553786</v>
      </c>
      <c r="H53" s="84">
        <f>IF(H18=0,0,1000000*H18/TrRail_act!H33)</f>
        <v>963668.1940350536</v>
      </c>
      <c r="I53" s="84">
        <f>IF(I18=0,0,1000000*I18/TrRail_act!I33)</f>
        <v>911627.4646717679</v>
      </c>
      <c r="J53" s="84">
        <f>IF(J18=0,0,1000000*J18/TrRail_act!J33)</f>
        <v>616579.18501879321</v>
      </c>
      <c r="K53" s="84">
        <f>IF(K18=0,0,1000000*K18/TrRail_act!K33)</f>
        <v>514156.58381673472</v>
      </c>
      <c r="L53" s="84">
        <f>IF(L18=0,0,1000000*L18/TrRail_act!L33)</f>
        <v>549429.59007456014</v>
      </c>
      <c r="M53" s="84">
        <f>IF(M18=0,0,1000000*M18/TrRail_act!M33)</f>
        <v>499082.87207707181</v>
      </c>
      <c r="N53" s="84">
        <f>IF(N18=0,0,1000000*N18/TrRail_act!N33)</f>
        <v>520275.15526586596</v>
      </c>
      <c r="O53" s="84">
        <f>IF(O18=0,0,1000000*O18/TrRail_act!O33)</f>
        <v>457689.18648750655</v>
      </c>
      <c r="P53" s="84">
        <f>IF(P18=0,0,1000000*P18/TrRail_act!P33)</f>
        <v>567811.51855803793</v>
      </c>
      <c r="Q53" s="84">
        <f>IF(Q18=0,0,1000000*Q18/TrRail_act!Q33)</f>
        <v>493702.78734312515</v>
      </c>
      <c r="R53" s="84">
        <f>IF(R18=0,0,1000000*R18/TrRail_act!R33)</f>
        <v>528350.01093542529</v>
      </c>
      <c r="S53" s="84">
        <f>IF(S18=0,0,1000000*S18/TrRail_act!S33)</f>
        <v>668335.83768987807</v>
      </c>
      <c r="T53" s="84">
        <f>IF(T18=0,0,1000000*T18/TrRail_act!T33)</f>
        <v>638993.11258726963</v>
      </c>
      <c r="U53" s="84">
        <f>IF(U18=0,0,1000000*U18/TrRail_act!U33)</f>
        <v>719666.01765368774</v>
      </c>
      <c r="V53" s="84">
        <f>IF(V18=0,0,1000000*V18/TrRail_act!V33)</f>
        <v>712197.25362102874</v>
      </c>
      <c r="W53" s="84">
        <f>IF(W18=0,0,1000000*W18/TrRail_act!W33)</f>
        <v>706646.56417190575</v>
      </c>
      <c r="X53" s="84">
        <f>IF(X18=0,0,1000000*X18/TrRail_act!X33)</f>
        <v>702511.92325782799</v>
      </c>
      <c r="Y53" s="84">
        <f>IF(Y18=0,0,1000000*Y18/TrRail_act!Y33)</f>
        <v>378476.9904917166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423006.49007660832</v>
      </c>
      <c r="C54" s="86">
        <f>IF(C19=0,0,1000000*C19/TrRail_act!C34)</f>
        <v>421141.68850713078</v>
      </c>
      <c r="D54" s="86">
        <f>IF(D19=0,0,1000000*D19/TrRail_act!D34)</f>
        <v>393083.29578161327</v>
      </c>
      <c r="E54" s="86">
        <f>IF(E19=0,0,1000000*E19/TrRail_act!E34)</f>
        <v>391248.09348437755</v>
      </c>
      <c r="F54" s="86">
        <f>IF(F19=0,0,1000000*F19/TrRail_act!F34)</f>
        <v>388938.79116865125</v>
      </c>
      <c r="G54" s="86">
        <f>IF(G19=0,0,1000000*G19/TrRail_act!G34)</f>
        <v>389193.65648875543</v>
      </c>
      <c r="H54" s="86">
        <f>IF(H19=0,0,1000000*H19/TrRail_act!H34)</f>
        <v>387386.81329379004</v>
      </c>
      <c r="I54" s="86">
        <f>IF(I19=0,0,1000000*I19/TrRail_act!I34)</f>
        <v>350067.45134065254</v>
      </c>
      <c r="J54" s="86">
        <f>IF(J19=0,0,1000000*J19/TrRail_act!J34)</f>
        <v>365078.41481043509</v>
      </c>
      <c r="K54" s="86">
        <f>IF(K19=0,0,1000000*K19/TrRail_act!K34)</f>
        <v>333438.24559192231</v>
      </c>
      <c r="L54" s="86">
        <f>IF(L19=0,0,1000000*L19/TrRail_act!L34)</f>
        <v>354184.1291554764</v>
      </c>
      <c r="M54" s="86">
        <f>IF(M19=0,0,1000000*M19/TrRail_act!M34)</f>
        <v>340346.81212023651</v>
      </c>
      <c r="N54" s="86">
        <f>IF(N19=0,0,1000000*N19/TrRail_act!N34)</f>
        <v>334725.55672229535</v>
      </c>
      <c r="O54" s="86">
        <f>IF(O19=0,0,1000000*O19/TrRail_act!O34)</f>
        <v>322664.60081569257</v>
      </c>
      <c r="P54" s="86">
        <f>IF(P19=0,0,1000000*P19/TrRail_act!P34)</f>
        <v>312155.69994369417</v>
      </c>
      <c r="Q54" s="86">
        <f>IF(Q19=0,0,1000000*Q19/TrRail_act!Q34)</f>
        <v>301752.00445561879</v>
      </c>
      <c r="R54" s="86">
        <f>IF(R19=0,0,1000000*R19/TrRail_act!R34)</f>
        <v>297119.19503706536</v>
      </c>
      <c r="S54" s="86">
        <f>IF(S19=0,0,1000000*S19/TrRail_act!S34)</f>
        <v>293691.32410517446</v>
      </c>
      <c r="T54" s="86">
        <f>IF(T19=0,0,1000000*T19/TrRail_act!T34)</f>
        <v>291146.39965210657</v>
      </c>
      <c r="U54" s="86">
        <f>IF(U19=0,0,1000000*U19/TrRail_act!U34)</f>
        <v>286359.66687223065</v>
      </c>
      <c r="V54" s="86">
        <f>IF(V19=0,0,1000000*V19/TrRail_act!V34)</f>
        <v>285649.546969641</v>
      </c>
      <c r="W54" s="86">
        <f>IF(W19=0,0,1000000*W19/TrRail_act!W34)</f>
        <v>285118.11401249992</v>
      </c>
      <c r="X54" s="86">
        <f>IF(X19=0,0,1000000*X19/TrRail_act!X34)</f>
        <v>284720.18758322072</v>
      </c>
      <c r="Y54" s="86">
        <f>IF(Y19=0,0,1000000*Y19/TrRail_act!Y34)</f>
        <v>284422.10774910398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0.66043074436069082</v>
      </c>
      <c r="C57" s="31">
        <f t="shared" ref="C57:V57" si="18">IF(C11=0,0,C11/C$10)</f>
        <v>0.65605852113049667</v>
      </c>
      <c r="D57" s="31">
        <f t="shared" si="18"/>
        <v>0.65974533971725668</v>
      </c>
      <c r="E57" s="31">
        <f t="shared" si="18"/>
        <v>0.65845896128583403</v>
      </c>
      <c r="F57" s="31">
        <f t="shared" si="18"/>
        <v>0.62703641394228837</v>
      </c>
      <c r="G57" s="31">
        <f t="shared" si="18"/>
        <v>0.61992137561565475</v>
      </c>
      <c r="H57" s="31">
        <f t="shared" si="18"/>
        <v>0.6057260637040025</v>
      </c>
      <c r="I57" s="31">
        <f t="shared" si="18"/>
        <v>0.62145643149568086</v>
      </c>
      <c r="J57" s="31">
        <f t="shared" si="18"/>
        <v>0.63622061862427715</v>
      </c>
      <c r="K57" s="31">
        <f t="shared" si="18"/>
        <v>0.69043735623834712</v>
      </c>
      <c r="L57" s="31">
        <f t="shared" si="18"/>
        <v>0.68000296593318499</v>
      </c>
      <c r="M57" s="31">
        <f t="shared" si="18"/>
        <v>0.65689944242881704</v>
      </c>
      <c r="N57" s="31">
        <f t="shared" si="18"/>
        <v>0.67700274712384434</v>
      </c>
      <c r="O57" s="31">
        <f t="shared" si="18"/>
        <v>0.67198062161398309</v>
      </c>
      <c r="P57" s="31">
        <f t="shared" si="18"/>
        <v>0.68552075050391803</v>
      </c>
      <c r="Q57" s="31">
        <f t="shared" si="18"/>
        <v>0.67914067316605331</v>
      </c>
      <c r="R57" s="31">
        <f t="shared" si="18"/>
        <v>0.68586076988327926</v>
      </c>
      <c r="S57" s="31">
        <f t="shared" si="18"/>
        <v>0.68481624564549826</v>
      </c>
      <c r="T57" s="31">
        <f t="shared" si="18"/>
        <v>0.67854839521606691</v>
      </c>
      <c r="U57" s="31">
        <f t="shared" si="18"/>
        <v>0.66625215631453427</v>
      </c>
      <c r="V57" s="31">
        <f t="shared" si="18"/>
        <v>0.59340667851245066</v>
      </c>
      <c r="W57" s="31">
        <f t="shared" ref="W57:Y57" si="19">IF(W11=0,0,W11/W$10)</f>
        <v>0.59611856816584641</v>
      </c>
      <c r="X57" s="31">
        <f t="shared" si="19"/>
        <v>0.59391074575976466</v>
      </c>
      <c r="Y57" s="31">
        <f t="shared" si="19"/>
        <v>0.63695792990927802</v>
      </c>
      <c r="DA57" s="173"/>
    </row>
    <row r="58" spans="1:105" ht="11.45" customHeight="1" x14ac:dyDescent="0.25">
      <c r="A58" s="107" t="s">
        <v>23</v>
      </c>
      <c r="B58" s="123">
        <f t="shared" si="15"/>
        <v>0.12524735199492709</v>
      </c>
      <c r="C58" s="123">
        <f t="shared" ref="C58:V58" si="20">IF(C12=0,0,C12/C$10)</f>
        <v>0.13857333379303427</v>
      </c>
      <c r="D58" s="123">
        <f t="shared" si="20"/>
        <v>0.14371684513559776</v>
      </c>
      <c r="E58" s="123">
        <f t="shared" si="20"/>
        <v>0.14994962722810637</v>
      </c>
      <c r="F58" s="123">
        <f t="shared" si="20"/>
        <v>0.14783201535748106</v>
      </c>
      <c r="G58" s="123">
        <f t="shared" si="20"/>
        <v>0.14545063029978839</v>
      </c>
      <c r="H58" s="123">
        <f t="shared" si="20"/>
        <v>0.14325410196485183</v>
      </c>
      <c r="I58" s="123">
        <f t="shared" si="20"/>
        <v>0.14721939076544663</v>
      </c>
      <c r="J58" s="123">
        <f t="shared" si="20"/>
        <v>0.13352373827582625</v>
      </c>
      <c r="K58" s="123">
        <f t="shared" si="20"/>
        <v>0.13875686737539214</v>
      </c>
      <c r="L58" s="123">
        <f t="shared" si="20"/>
        <v>0.1370699619278592</v>
      </c>
      <c r="M58" s="123">
        <f t="shared" si="20"/>
        <v>0.13715064591437692</v>
      </c>
      <c r="N58" s="123">
        <f t="shared" si="20"/>
        <v>0.14414676166675347</v>
      </c>
      <c r="O58" s="123">
        <f t="shared" si="20"/>
        <v>0.14716572439633471</v>
      </c>
      <c r="P58" s="123">
        <f t="shared" si="20"/>
        <v>0.14033343425679429</v>
      </c>
      <c r="Q58" s="123">
        <f t="shared" si="20"/>
        <v>0.14882446970134047</v>
      </c>
      <c r="R58" s="123">
        <f t="shared" si="20"/>
        <v>0.14677554296420037</v>
      </c>
      <c r="S58" s="123">
        <f t="shared" si="20"/>
        <v>0.14379772503276766</v>
      </c>
      <c r="T58" s="123">
        <f t="shared" si="20"/>
        <v>0.14343565110423476</v>
      </c>
      <c r="U58" s="123">
        <f t="shared" si="20"/>
        <v>0.15062853253384687</v>
      </c>
      <c r="V58" s="123">
        <f t="shared" si="20"/>
        <v>0.18219140730272015</v>
      </c>
      <c r="W58" s="123">
        <f t="shared" ref="W58:Y58" si="21">IF(W12=0,0,W12/W$10)</f>
        <v>0.18598266264858759</v>
      </c>
      <c r="X58" s="123">
        <f t="shared" si="21"/>
        <v>0.18316045523477473</v>
      </c>
      <c r="Y58" s="123">
        <f t="shared" si="21"/>
        <v>0.15169765369873342</v>
      </c>
      <c r="DA58" s="203"/>
    </row>
    <row r="59" spans="1:105" ht="11.45" customHeight="1" x14ac:dyDescent="0.25">
      <c r="A59" s="109" t="s">
        <v>24</v>
      </c>
      <c r="B59" s="124">
        <f t="shared" si="15"/>
        <v>0.53518339236576373</v>
      </c>
      <c r="C59" s="124">
        <f t="shared" ref="C59:V59" si="22">IF(C13=0,0,C13/C$10)</f>
        <v>0.5174851873374624</v>
      </c>
      <c r="D59" s="124">
        <f t="shared" si="22"/>
        <v>0.51602849458165889</v>
      </c>
      <c r="E59" s="124">
        <f t="shared" si="22"/>
        <v>0.50850933405772769</v>
      </c>
      <c r="F59" s="124">
        <f t="shared" si="22"/>
        <v>0.47920439858480729</v>
      </c>
      <c r="G59" s="124">
        <f t="shared" si="22"/>
        <v>0.47447074531586636</v>
      </c>
      <c r="H59" s="124">
        <f t="shared" si="22"/>
        <v>0.46247196173915078</v>
      </c>
      <c r="I59" s="124">
        <f t="shared" si="22"/>
        <v>0.46792370385819343</v>
      </c>
      <c r="J59" s="124">
        <f t="shared" si="22"/>
        <v>0.49629248399733211</v>
      </c>
      <c r="K59" s="124">
        <f t="shared" si="22"/>
        <v>0.54533115836878199</v>
      </c>
      <c r="L59" s="124">
        <f t="shared" si="22"/>
        <v>0.5372432624268666</v>
      </c>
      <c r="M59" s="124">
        <f t="shared" si="22"/>
        <v>0.50664487497544564</v>
      </c>
      <c r="N59" s="124">
        <f t="shared" si="22"/>
        <v>0.52042683821500368</v>
      </c>
      <c r="O59" s="124">
        <f t="shared" si="22"/>
        <v>0.51171834732897981</v>
      </c>
      <c r="P59" s="124">
        <f t="shared" si="22"/>
        <v>0.53242213390208759</v>
      </c>
      <c r="Q59" s="124">
        <f t="shared" si="22"/>
        <v>0.51793175460401397</v>
      </c>
      <c r="R59" s="124">
        <f t="shared" si="22"/>
        <v>0.5263637523454332</v>
      </c>
      <c r="S59" s="124">
        <f t="shared" si="22"/>
        <v>0.52920599019274406</v>
      </c>
      <c r="T59" s="124">
        <f t="shared" si="22"/>
        <v>0.52314179579584308</v>
      </c>
      <c r="U59" s="124">
        <f t="shared" si="22"/>
        <v>0.503834026350238</v>
      </c>
      <c r="V59" s="124">
        <f t="shared" si="22"/>
        <v>0.39798195636832012</v>
      </c>
      <c r="W59" s="124">
        <f t="shared" ref="W59:Y59" si="23">IF(W13=0,0,W13/W$10)</f>
        <v>0.39547642319512288</v>
      </c>
      <c r="X59" s="124">
        <f t="shared" si="23"/>
        <v>0.39776747750784036</v>
      </c>
      <c r="Y59" s="124">
        <f t="shared" si="23"/>
        <v>0.47148777413279741</v>
      </c>
      <c r="DA59" s="176"/>
    </row>
    <row r="60" spans="1:105" ht="11.45" customHeight="1" x14ac:dyDescent="0.25">
      <c r="A60" s="111" t="s">
        <v>92</v>
      </c>
      <c r="B60" s="125">
        <f t="shared" si="15"/>
        <v>0.11826529850188693</v>
      </c>
      <c r="C60" s="125">
        <f t="shared" ref="C60:V60" si="24">IF(C14=0,0,C14/C$10)</f>
        <v>0.12334525873048766</v>
      </c>
      <c r="D60" s="125">
        <f t="shared" si="24"/>
        <v>0.13035401279003656</v>
      </c>
      <c r="E60" s="125">
        <f t="shared" si="24"/>
        <v>0.14189453137944502</v>
      </c>
      <c r="F60" s="125">
        <f t="shared" si="24"/>
        <v>0.13975231400080093</v>
      </c>
      <c r="G60" s="125">
        <f t="shared" si="24"/>
        <v>0.15998951562332317</v>
      </c>
      <c r="H60" s="125">
        <f t="shared" si="24"/>
        <v>0.15149165559601174</v>
      </c>
      <c r="I60" s="125">
        <f t="shared" si="24"/>
        <v>0.15374971737611057</v>
      </c>
      <c r="J60" s="125">
        <f t="shared" si="24"/>
        <v>0.17427040460067403</v>
      </c>
      <c r="K60" s="125">
        <f t="shared" si="24"/>
        <v>0.18851984511103087</v>
      </c>
      <c r="L60" s="125">
        <f t="shared" si="24"/>
        <v>0.17786191092031578</v>
      </c>
      <c r="M60" s="125">
        <f t="shared" si="24"/>
        <v>0.16008041362554309</v>
      </c>
      <c r="N60" s="125">
        <f t="shared" si="24"/>
        <v>0.17213208570308516</v>
      </c>
      <c r="O60" s="125">
        <f t="shared" si="24"/>
        <v>0.15321607575193011</v>
      </c>
      <c r="P60" s="125">
        <f t="shared" si="24"/>
        <v>0.16526160722800926</v>
      </c>
      <c r="Q60" s="125">
        <f t="shared" si="24"/>
        <v>0.13050846448506861</v>
      </c>
      <c r="R60" s="125">
        <f t="shared" si="24"/>
        <v>0.13164129141354139</v>
      </c>
      <c r="S60" s="125">
        <f t="shared" si="24"/>
        <v>0.13909372926453589</v>
      </c>
      <c r="T60" s="125">
        <f t="shared" si="24"/>
        <v>0.13763495652932581</v>
      </c>
      <c r="U60" s="125">
        <f t="shared" si="24"/>
        <v>0.136483799675403</v>
      </c>
      <c r="V60" s="125">
        <f t="shared" si="24"/>
        <v>7.1677772747761506E-2</v>
      </c>
      <c r="W60" s="125">
        <f t="shared" ref="W60:Y60" si="25">IF(W14=0,0,W14/W$10)</f>
        <v>7.069548228450119E-2</v>
      </c>
      <c r="X60" s="125">
        <f t="shared" si="25"/>
        <v>7.0546162036317875E-2</v>
      </c>
      <c r="Y60" s="125">
        <f t="shared" si="25"/>
        <v>0.10188300696117894</v>
      </c>
      <c r="DA60" s="171"/>
    </row>
    <row r="61" spans="1:105" ht="11.45" customHeight="1" x14ac:dyDescent="0.25">
      <c r="A61" s="111" t="s">
        <v>93</v>
      </c>
      <c r="B61" s="125">
        <f t="shared" si="15"/>
        <v>0.41691809386387679</v>
      </c>
      <c r="C61" s="125">
        <f t="shared" ref="C61:V61" si="26">IF(C15=0,0,C15/C$10)</f>
        <v>0.39413992860697467</v>
      </c>
      <c r="D61" s="125">
        <f t="shared" si="26"/>
        <v>0.38567448179162234</v>
      </c>
      <c r="E61" s="125">
        <f t="shared" si="26"/>
        <v>0.36661480267828273</v>
      </c>
      <c r="F61" s="125">
        <f t="shared" si="26"/>
        <v>0.33945208458400633</v>
      </c>
      <c r="G61" s="125">
        <f t="shared" si="26"/>
        <v>0.31448122969254311</v>
      </c>
      <c r="H61" s="125">
        <f t="shared" si="26"/>
        <v>0.31098030614313904</v>
      </c>
      <c r="I61" s="125">
        <f t="shared" si="26"/>
        <v>0.31417398648208289</v>
      </c>
      <c r="J61" s="125">
        <f t="shared" si="26"/>
        <v>0.32202207939665811</v>
      </c>
      <c r="K61" s="125">
        <f t="shared" si="26"/>
        <v>0.35681131325775112</v>
      </c>
      <c r="L61" s="125">
        <f t="shared" si="26"/>
        <v>0.35938135150655082</v>
      </c>
      <c r="M61" s="125">
        <f t="shared" si="26"/>
        <v>0.34656446134990254</v>
      </c>
      <c r="N61" s="125">
        <f t="shared" si="26"/>
        <v>0.3482947525119186</v>
      </c>
      <c r="O61" s="125">
        <f t="shared" si="26"/>
        <v>0.35850227157704967</v>
      </c>
      <c r="P61" s="125">
        <f t="shared" si="26"/>
        <v>0.36716052667407828</v>
      </c>
      <c r="Q61" s="125">
        <f t="shared" si="26"/>
        <v>0.38742329011894538</v>
      </c>
      <c r="R61" s="125">
        <f t="shared" si="26"/>
        <v>0.39472246093189184</v>
      </c>
      <c r="S61" s="125">
        <f t="shared" si="26"/>
        <v>0.39011226092820817</v>
      </c>
      <c r="T61" s="125">
        <f t="shared" si="26"/>
        <v>0.3855068392665173</v>
      </c>
      <c r="U61" s="125">
        <f t="shared" si="26"/>
        <v>0.36735022667483497</v>
      </c>
      <c r="V61" s="125">
        <f t="shared" si="26"/>
        <v>0.32630418362055863</v>
      </c>
      <c r="W61" s="125">
        <f t="shared" ref="W61:Y61" si="27">IF(W15=0,0,W15/W$10)</f>
        <v>0.32478094091062171</v>
      </c>
      <c r="X61" s="125">
        <f t="shared" si="27"/>
        <v>0.32722131547152256</v>
      </c>
      <c r="Y61" s="125">
        <f t="shared" si="27"/>
        <v>0.36960476717161844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6.3133368720408043E-3</v>
      </c>
      <c r="J62" s="126">
        <f t="shared" si="28"/>
        <v>6.4043963511188021E-3</v>
      </c>
      <c r="K62" s="126">
        <f t="shared" si="28"/>
        <v>6.3493304941728904E-3</v>
      </c>
      <c r="L62" s="126">
        <f t="shared" si="28"/>
        <v>5.6897415784592006E-3</v>
      </c>
      <c r="M62" s="126">
        <f t="shared" si="28"/>
        <v>1.3103921538994463E-2</v>
      </c>
      <c r="N62" s="126">
        <f t="shared" si="28"/>
        <v>1.2429147242087239E-2</v>
      </c>
      <c r="O62" s="126">
        <f t="shared" si="28"/>
        <v>1.3096549888668554E-2</v>
      </c>
      <c r="P62" s="126">
        <f t="shared" si="28"/>
        <v>1.2765182345036073E-2</v>
      </c>
      <c r="Q62" s="126">
        <f t="shared" si="28"/>
        <v>1.2384448860698954E-2</v>
      </c>
      <c r="R62" s="126">
        <f t="shared" si="28"/>
        <v>1.2721474573645681E-2</v>
      </c>
      <c r="S62" s="126">
        <f t="shared" si="28"/>
        <v>1.1812530419986665E-2</v>
      </c>
      <c r="T62" s="126">
        <f t="shared" si="28"/>
        <v>1.1970948315989053E-2</v>
      </c>
      <c r="U62" s="126">
        <f t="shared" si="28"/>
        <v>1.17895974304495E-2</v>
      </c>
      <c r="V62" s="126">
        <f t="shared" si="28"/>
        <v>1.3233314841410332E-2</v>
      </c>
      <c r="W62" s="126">
        <f t="shared" ref="W62:Y62" si="29">IF(W16=0,0,W16/W$10)</f>
        <v>1.4659482322135955E-2</v>
      </c>
      <c r="X62" s="126">
        <f t="shared" si="29"/>
        <v>1.2982813017149646E-2</v>
      </c>
      <c r="Y62" s="126">
        <f t="shared" si="29"/>
        <v>1.3772502077747214E-2</v>
      </c>
      <c r="DA62" s="204"/>
    </row>
    <row r="63" spans="1:105" ht="11.45" customHeight="1" x14ac:dyDescent="0.25">
      <c r="A63" s="27" t="s">
        <v>34</v>
      </c>
      <c r="B63" s="31">
        <f t="shared" si="15"/>
        <v>0.33956925563930918</v>
      </c>
      <c r="C63" s="31">
        <f t="shared" ref="C63:V63" si="30">IF(C17=0,0,C17/C$10)</f>
        <v>0.34394147886950338</v>
      </c>
      <c r="D63" s="31">
        <f t="shared" si="30"/>
        <v>0.34025466028274326</v>
      </c>
      <c r="E63" s="31">
        <f t="shared" si="30"/>
        <v>0.34154103871416591</v>
      </c>
      <c r="F63" s="31">
        <f t="shared" si="30"/>
        <v>0.37296358605771163</v>
      </c>
      <c r="G63" s="31">
        <f t="shared" si="30"/>
        <v>0.38007862438434525</v>
      </c>
      <c r="H63" s="31">
        <f t="shared" si="30"/>
        <v>0.3942739362959975</v>
      </c>
      <c r="I63" s="31">
        <f t="shared" si="30"/>
        <v>0.37854356850431919</v>
      </c>
      <c r="J63" s="31">
        <f t="shared" si="30"/>
        <v>0.3637793813757228</v>
      </c>
      <c r="K63" s="31">
        <f t="shared" si="30"/>
        <v>0.30956264376165293</v>
      </c>
      <c r="L63" s="31">
        <f t="shared" si="30"/>
        <v>0.31999703406681496</v>
      </c>
      <c r="M63" s="31">
        <f t="shared" si="30"/>
        <v>0.34310055757118296</v>
      </c>
      <c r="N63" s="31">
        <f t="shared" si="30"/>
        <v>0.32299725287615566</v>
      </c>
      <c r="O63" s="31">
        <f t="shared" si="30"/>
        <v>0.32801937838601691</v>
      </c>
      <c r="P63" s="31">
        <f t="shared" si="30"/>
        <v>0.31447924949608203</v>
      </c>
      <c r="Q63" s="31">
        <f t="shared" si="30"/>
        <v>0.32085932683394658</v>
      </c>
      <c r="R63" s="31">
        <f t="shared" si="30"/>
        <v>0.31413923011672074</v>
      </c>
      <c r="S63" s="31">
        <f t="shared" si="30"/>
        <v>0.31518375435450163</v>
      </c>
      <c r="T63" s="31">
        <f t="shared" si="30"/>
        <v>0.32145160478393309</v>
      </c>
      <c r="U63" s="31">
        <f t="shared" si="30"/>
        <v>0.33374784368546573</v>
      </c>
      <c r="V63" s="31">
        <f t="shared" si="30"/>
        <v>0.40659332148754929</v>
      </c>
      <c r="W63" s="31">
        <f t="shared" ref="W63:Y63" si="31">IF(W17=0,0,W17/W$10)</f>
        <v>0.40388143183415359</v>
      </c>
      <c r="X63" s="31">
        <f t="shared" si="31"/>
        <v>0.40608925424023529</v>
      </c>
      <c r="Y63" s="31">
        <f t="shared" si="31"/>
        <v>0.36304207009072198</v>
      </c>
      <c r="DA63" s="173"/>
    </row>
    <row r="64" spans="1:105" ht="11.45" customHeight="1" x14ac:dyDescent="0.25">
      <c r="A64" s="83" t="s">
        <v>92</v>
      </c>
      <c r="B64" s="125">
        <f t="shared" si="15"/>
        <v>4.9683292168595246E-2</v>
      </c>
      <c r="C64" s="125">
        <f t="shared" ref="C64:V64" si="32">IF(C18=0,0,C18/C$10)</f>
        <v>5.1325265303281582E-2</v>
      </c>
      <c r="D64" s="125">
        <f t="shared" si="32"/>
        <v>5.5029033208109736E-2</v>
      </c>
      <c r="E64" s="125">
        <f t="shared" si="32"/>
        <v>5.639133595382876E-2</v>
      </c>
      <c r="F64" s="125">
        <f t="shared" si="32"/>
        <v>6.2042606903530438E-2</v>
      </c>
      <c r="G64" s="125">
        <f t="shared" si="32"/>
        <v>6.5448934607014786E-2</v>
      </c>
      <c r="H64" s="125">
        <f t="shared" si="32"/>
        <v>7.3508853127798396E-2</v>
      </c>
      <c r="I64" s="125">
        <f t="shared" si="32"/>
        <v>7.4780349244951111E-2</v>
      </c>
      <c r="J64" s="125">
        <f t="shared" si="32"/>
        <v>4.6172568307027539E-2</v>
      </c>
      <c r="K64" s="125">
        <f t="shared" si="32"/>
        <v>3.7248529558570921E-2</v>
      </c>
      <c r="L64" s="125">
        <f t="shared" si="32"/>
        <v>3.6463612558032911E-2</v>
      </c>
      <c r="M64" s="125">
        <f t="shared" si="32"/>
        <v>3.3163631980343319E-2</v>
      </c>
      <c r="N64" s="125">
        <f t="shared" si="32"/>
        <v>3.3091601630176576E-2</v>
      </c>
      <c r="O64" s="125">
        <f t="shared" si="32"/>
        <v>2.7838729547659716E-2</v>
      </c>
      <c r="P64" s="125">
        <f t="shared" si="32"/>
        <v>3.1805917011245834E-2</v>
      </c>
      <c r="Q64" s="125">
        <f t="shared" si="32"/>
        <v>2.6328003356579435E-2</v>
      </c>
      <c r="R64" s="125">
        <f t="shared" si="32"/>
        <v>2.543656681997742E-2</v>
      </c>
      <c r="S64" s="125">
        <f t="shared" si="32"/>
        <v>2.8170053246144598E-2</v>
      </c>
      <c r="T64" s="125">
        <f t="shared" si="32"/>
        <v>2.4089691722726039E-2</v>
      </c>
      <c r="U64" s="125">
        <f t="shared" si="32"/>
        <v>2.7506661674929444E-2</v>
      </c>
      <c r="V64" s="125">
        <f t="shared" si="32"/>
        <v>8.612935096467185E-2</v>
      </c>
      <c r="W64" s="125">
        <f t="shared" ref="W64:Y64" si="33">IF(W18=0,0,W18/W$10)</f>
        <v>8.4934700544301342E-2</v>
      </c>
      <c r="X64" s="125">
        <f t="shared" si="33"/>
        <v>8.4818284082563158E-2</v>
      </c>
      <c r="Y64" s="125">
        <f t="shared" si="33"/>
        <v>4.4882193738661029E-2</v>
      </c>
      <c r="DA64" s="171"/>
    </row>
    <row r="65" spans="1:105" ht="11.45" customHeight="1" x14ac:dyDescent="0.25">
      <c r="A65" s="85" t="s">
        <v>93</v>
      </c>
      <c r="B65" s="127">
        <f t="shared" si="15"/>
        <v>0.28988596347071394</v>
      </c>
      <c r="C65" s="127">
        <f t="shared" ref="C65:V65" si="34">IF(C19=0,0,C19/C$10)</f>
        <v>0.29261621356622175</v>
      </c>
      <c r="D65" s="127">
        <f t="shared" si="34"/>
        <v>0.28522562707463356</v>
      </c>
      <c r="E65" s="127">
        <f t="shared" si="34"/>
        <v>0.28514970276033719</v>
      </c>
      <c r="F65" s="127">
        <f t="shared" si="34"/>
        <v>0.31092097915418121</v>
      </c>
      <c r="G65" s="127">
        <f t="shared" si="34"/>
        <v>0.31462968977733047</v>
      </c>
      <c r="H65" s="127">
        <f t="shared" si="34"/>
        <v>0.32076508316819913</v>
      </c>
      <c r="I65" s="127">
        <f t="shared" si="34"/>
        <v>0.30376321925936811</v>
      </c>
      <c r="J65" s="127">
        <f t="shared" si="34"/>
        <v>0.31760681306869526</v>
      </c>
      <c r="K65" s="127">
        <f t="shared" si="34"/>
        <v>0.27231411420308199</v>
      </c>
      <c r="L65" s="127">
        <f t="shared" si="34"/>
        <v>0.28353342150878202</v>
      </c>
      <c r="M65" s="127">
        <f t="shared" si="34"/>
        <v>0.30993692559083968</v>
      </c>
      <c r="N65" s="127">
        <f t="shared" si="34"/>
        <v>0.28990565124597911</v>
      </c>
      <c r="O65" s="127">
        <f t="shared" si="34"/>
        <v>0.30018064883835716</v>
      </c>
      <c r="P65" s="127">
        <f t="shared" si="34"/>
        <v>0.28267333248483623</v>
      </c>
      <c r="Q65" s="127">
        <f t="shared" si="34"/>
        <v>0.29453132347736716</v>
      </c>
      <c r="R65" s="127">
        <f t="shared" si="34"/>
        <v>0.28870266329674332</v>
      </c>
      <c r="S65" s="127">
        <f t="shared" si="34"/>
        <v>0.28701370110835706</v>
      </c>
      <c r="T65" s="127">
        <f t="shared" si="34"/>
        <v>0.29736191306120702</v>
      </c>
      <c r="U65" s="127">
        <f t="shared" si="34"/>
        <v>0.30624118201053629</v>
      </c>
      <c r="V65" s="127">
        <f t="shared" si="34"/>
        <v>0.32046397052287739</v>
      </c>
      <c r="W65" s="127">
        <f t="shared" ref="W65:Y65" si="35">IF(W19=0,0,W19/W$10)</f>
        <v>0.31894673128985224</v>
      </c>
      <c r="X65" s="127">
        <f t="shared" si="35"/>
        <v>0.32127097015767214</v>
      </c>
      <c r="Y65" s="127">
        <f t="shared" si="35"/>
        <v>0.31815987635206094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139.04282252241399</v>
      </c>
      <c r="C4" s="26">
        <f t="shared" ref="C4:W4" si="0">SUM(C5:C6)</f>
        <v>139.04315802813079</v>
      </c>
      <c r="D4" s="26">
        <f t="shared" si="0"/>
        <v>142.2910796106458</v>
      </c>
      <c r="E4" s="26">
        <f t="shared" si="0"/>
        <v>148.57307853064574</v>
      </c>
      <c r="F4" s="26">
        <f t="shared" si="0"/>
        <v>152.47521035999995</v>
      </c>
      <c r="G4" s="26">
        <f t="shared" si="0"/>
        <v>163.77528342008122</v>
      </c>
      <c r="H4" s="26">
        <f t="shared" si="0"/>
        <v>161.67855159373821</v>
      </c>
      <c r="I4" s="26">
        <f t="shared" si="0"/>
        <v>160.67862916220571</v>
      </c>
      <c r="J4" s="26">
        <f t="shared" si="0"/>
        <v>160.40596880002573</v>
      </c>
      <c r="K4" s="26">
        <f t="shared" si="0"/>
        <v>157.68026032633148</v>
      </c>
      <c r="L4" s="26">
        <f t="shared" si="0"/>
        <v>153.32004485091974</v>
      </c>
      <c r="M4" s="26">
        <f t="shared" si="0"/>
        <v>128.97099005407654</v>
      </c>
      <c r="N4" s="26">
        <f t="shared" si="0"/>
        <v>132.81458719525881</v>
      </c>
      <c r="O4" s="26">
        <f t="shared" si="0"/>
        <v>113.67331768848067</v>
      </c>
      <c r="P4" s="26">
        <f t="shared" si="0"/>
        <v>123.49140623078429</v>
      </c>
      <c r="Q4" s="26">
        <f t="shared" si="0"/>
        <v>94.111114812406981</v>
      </c>
      <c r="R4" s="26">
        <f t="shared" si="0"/>
        <v>94.533068695135128</v>
      </c>
      <c r="S4" s="26">
        <f t="shared" si="0"/>
        <v>102.9540067104154</v>
      </c>
      <c r="T4" s="26">
        <f t="shared" si="0"/>
        <v>98.350220717257955</v>
      </c>
      <c r="U4" s="26">
        <f t="shared" si="0"/>
        <v>98.331669489887389</v>
      </c>
      <c r="V4" s="26">
        <f t="shared" si="0"/>
        <v>86.44511275163751</v>
      </c>
      <c r="W4" s="26">
        <f t="shared" si="0"/>
        <v>86.254914429965112</v>
      </c>
      <c r="X4" s="26">
        <f t="shared" ref="X4:Y4" si="1">SUM(X5:X6)</f>
        <v>85.616744634371585</v>
      </c>
      <c r="Y4" s="26">
        <f t="shared" si="1"/>
        <v>78.654095801724182</v>
      </c>
      <c r="DA4" s="202" t="s">
        <v>1137</v>
      </c>
    </row>
    <row r="5" spans="1:105" ht="11.45" customHeight="1" x14ac:dyDescent="0.25">
      <c r="A5" s="107" t="s">
        <v>92</v>
      </c>
      <c r="B5" s="129">
        <v>139.04282252241399</v>
      </c>
      <c r="C5" s="129">
        <v>139.04315802813079</v>
      </c>
      <c r="D5" s="129">
        <v>142.2910796106458</v>
      </c>
      <c r="E5" s="129">
        <v>148.57307853064574</v>
      </c>
      <c r="F5" s="129">
        <v>152.47521035999995</v>
      </c>
      <c r="G5" s="129">
        <v>163.77528342008122</v>
      </c>
      <c r="H5" s="129">
        <v>161.67855159373821</v>
      </c>
      <c r="I5" s="129">
        <v>160.67862916220571</v>
      </c>
      <c r="J5" s="129">
        <v>160.40596880002573</v>
      </c>
      <c r="K5" s="129">
        <v>157.68026032633148</v>
      </c>
      <c r="L5" s="129">
        <v>153.32004485091974</v>
      </c>
      <c r="M5" s="129">
        <v>128.97099005407654</v>
      </c>
      <c r="N5" s="129">
        <v>132.81458719525881</v>
      </c>
      <c r="O5" s="129">
        <v>113.67331768848067</v>
      </c>
      <c r="P5" s="129">
        <v>123.49140623078429</v>
      </c>
      <c r="Q5" s="129">
        <v>94.111114812406981</v>
      </c>
      <c r="R5" s="129">
        <v>94.533068695135128</v>
      </c>
      <c r="S5" s="129">
        <v>102.9540067104154</v>
      </c>
      <c r="T5" s="129">
        <v>98.350220717257955</v>
      </c>
      <c r="U5" s="129">
        <v>98.331669489887389</v>
      </c>
      <c r="V5" s="129">
        <v>86.44511275163751</v>
      </c>
      <c r="W5" s="129">
        <v>86.254914429965112</v>
      </c>
      <c r="X5" s="129">
        <v>85.616744634371585</v>
      </c>
      <c r="Y5" s="129">
        <v>78.654095801724182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139.04282252241401</v>
      </c>
      <c r="C8" s="79">
        <f t="shared" si="2"/>
        <v>139.04315802813079</v>
      </c>
      <c r="D8" s="79">
        <f t="shared" si="2"/>
        <v>142.2910796106458</v>
      </c>
      <c r="E8" s="79">
        <f t="shared" si="2"/>
        <v>148.57307853064577</v>
      </c>
      <c r="F8" s="79">
        <f t="shared" si="2"/>
        <v>152.47521035999995</v>
      </c>
      <c r="G8" s="79">
        <f t="shared" si="2"/>
        <v>163.77528342008122</v>
      </c>
      <c r="H8" s="79">
        <f t="shared" si="2"/>
        <v>161.67855159373821</v>
      </c>
      <c r="I8" s="79">
        <f t="shared" si="2"/>
        <v>160.67862916220568</v>
      </c>
      <c r="J8" s="79">
        <f t="shared" si="2"/>
        <v>160.40596880002573</v>
      </c>
      <c r="K8" s="79">
        <f t="shared" si="2"/>
        <v>157.68026032633148</v>
      </c>
      <c r="L8" s="79">
        <f t="shared" si="2"/>
        <v>153.32004485091974</v>
      </c>
      <c r="M8" s="79">
        <f t="shared" si="2"/>
        <v>128.97099005407654</v>
      </c>
      <c r="N8" s="79">
        <f t="shared" si="2"/>
        <v>132.81458719525881</v>
      </c>
      <c r="O8" s="79">
        <f t="shared" si="2"/>
        <v>113.67331768848067</v>
      </c>
      <c r="P8" s="79">
        <f t="shared" si="2"/>
        <v>123.49140623078426</v>
      </c>
      <c r="Q8" s="79">
        <f t="shared" si="2"/>
        <v>94.111114812406996</v>
      </c>
      <c r="R8" s="79">
        <f t="shared" si="2"/>
        <v>94.533068695135128</v>
      </c>
      <c r="S8" s="79">
        <f t="shared" si="2"/>
        <v>102.9540067104154</v>
      </c>
      <c r="T8" s="79">
        <f t="shared" si="2"/>
        <v>98.350220717257955</v>
      </c>
      <c r="U8" s="79">
        <f t="shared" si="2"/>
        <v>98.331669489887389</v>
      </c>
      <c r="V8" s="79">
        <f t="shared" si="2"/>
        <v>86.44511275163751</v>
      </c>
      <c r="W8" s="79">
        <f t="shared" si="2"/>
        <v>86.254914429965112</v>
      </c>
      <c r="X8" s="79">
        <f t="shared" ref="X8:Y8" si="3">SUM(X9,X15)</f>
        <v>85.616744634371585</v>
      </c>
      <c r="Y8" s="79">
        <f t="shared" si="3"/>
        <v>78.654095801724182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97.910562062538858</v>
      </c>
      <c r="C9" s="32">
        <f t="shared" si="4"/>
        <v>98.186653967833678</v>
      </c>
      <c r="D9" s="32">
        <f t="shared" si="4"/>
        <v>100.05344939504177</v>
      </c>
      <c r="E9" s="32">
        <f t="shared" si="4"/>
        <v>106.31976770323159</v>
      </c>
      <c r="F9" s="32">
        <f t="shared" si="4"/>
        <v>105.59613383763572</v>
      </c>
      <c r="G9" s="32">
        <f t="shared" si="4"/>
        <v>116.22830195416743</v>
      </c>
      <c r="H9" s="32">
        <f t="shared" si="4"/>
        <v>108.85731589774267</v>
      </c>
      <c r="I9" s="32">
        <f t="shared" si="4"/>
        <v>108.10084724227362</v>
      </c>
      <c r="J9" s="32">
        <f t="shared" si="4"/>
        <v>126.80836551250736</v>
      </c>
      <c r="K9" s="32">
        <f t="shared" si="4"/>
        <v>131.66528880446171</v>
      </c>
      <c r="L9" s="32">
        <f t="shared" si="4"/>
        <v>127.2354114293248</v>
      </c>
      <c r="M9" s="32">
        <f t="shared" si="4"/>
        <v>106.83759682644258</v>
      </c>
      <c r="N9" s="32">
        <f t="shared" si="4"/>
        <v>111.39869964712817</v>
      </c>
      <c r="O9" s="32">
        <f t="shared" si="4"/>
        <v>96.195069913291761</v>
      </c>
      <c r="P9" s="32">
        <f t="shared" si="4"/>
        <v>103.56038292625554</v>
      </c>
      <c r="Q9" s="32">
        <f t="shared" si="4"/>
        <v>78.312762676766042</v>
      </c>
      <c r="R9" s="32">
        <f t="shared" si="4"/>
        <v>79.224757609135082</v>
      </c>
      <c r="S9" s="32">
        <f t="shared" si="4"/>
        <v>85.614808664053271</v>
      </c>
      <c r="T9" s="32">
        <f t="shared" si="4"/>
        <v>83.700465571410859</v>
      </c>
      <c r="U9" s="32">
        <f t="shared" si="4"/>
        <v>81.838173817531739</v>
      </c>
      <c r="V9" s="32">
        <f t="shared" si="4"/>
        <v>39.26434372036087</v>
      </c>
      <c r="W9" s="32">
        <f t="shared" si="4"/>
        <v>39.181556329227902</v>
      </c>
      <c r="X9" s="32">
        <f t="shared" ref="X9:Y9" si="5">SUM(X10,X11,X14)</f>
        <v>38.875900444924312</v>
      </c>
      <c r="Y9" s="32">
        <f t="shared" si="5"/>
        <v>54.60092550468633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97.910562062538858</v>
      </c>
      <c r="C11" s="130">
        <f t="shared" si="6"/>
        <v>98.186653967833678</v>
      </c>
      <c r="D11" s="130">
        <f t="shared" si="6"/>
        <v>100.05344939504177</v>
      </c>
      <c r="E11" s="130">
        <f t="shared" si="6"/>
        <v>106.31976770323159</v>
      </c>
      <c r="F11" s="130">
        <f t="shared" si="6"/>
        <v>105.59613383763572</v>
      </c>
      <c r="G11" s="130">
        <f t="shared" si="6"/>
        <v>116.22830195416743</v>
      </c>
      <c r="H11" s="130">
        <f t="shared" si="6"/>
        <v>108.85731589774267</v>
      </c>
      <c r="I11" s="130">
        <f t="shared" si="6"/>
        <v>108.10084724227362</v>
      </c>
      <c r="J11" s="130">
        <f t="shared" si="6"/>
        <v>126.80836551250736</v>
      </c>
      <c r="K11" s="130">
        <f t="shared" si="6"/>
        <v>131.66528880446171</v>
      </c>
      <c r="L11" s="130">
        <f t="shared" si="6"/>
        <v>127.2354114293248</v>
      </c>
      <c r="M11" s="130">
        <f t="shared" si="6"/>
        <v>106.83759682644258</v>
      </c>
      <c r="N11" s="130">
        <f t="shared" si="6"/>
        <v>111.39869964712817</v>
      </c>
      <c r="O11" s="130">
        <f t="shared" si="6"/>
        <v>96.195069913291761</v>
      </c>
      <c r="P11" s="130">
        <f t="shared" si="6"/>
        <v>103.56038292625554</v>
      </c>
      <c r="Q11" s="130">
        <f t="shared" si="6"/>
        <v>78.312762676766042</v>
      </c>
      <c r="R11" s="130">
        <f t="shared" si="6"/>
        <v>79.224757609135082</v>
      </c>
      <c r="S11" s="130">
        <f t="shared" si="6"/>
        <v>85.614808664053271</v>
      </c>
      <c r="T11" s="130">
        <f t="shared" si="6"/>
        <v>83.700465571410859</v>
      </c>
      <c r="U11" s="130">
        <f t="shared" si="6"/>
        <v>81.838173817531739</v>
      </c>
      <c r="V11" s="130">
        <f t="shared" si="6"/>
        <v>39.26434372036087</v>
      </c>
      <c r="W11" s="130">
        <f t="shared" si="6"/>
        <v>39.181556329227902</v>
      </c>
      <c r="X11" s="130">
        <f t="shared" ref="X11:Y11" si="7">SUM(X12:X13)</f>
        <v>38.875900444924312</v>
      </c>
      <c r="Y11" s="130">
        <f t="shared" si="7"/>
        <v>54.60092550468633</v>
      </c>
      <c r="DA11" s="176" t="s">
        <v>409</v>
      </c>
    </row>
    <row r="12" spans="1:105" ht="11.45" customHeight="1" x14ac:dyDescent="0.25">
      <c r="A12" s="111" t="s">
        <v>92</v>
      </c>
      <c r="B12" s="96">
        <v>97.910562062538858</v>
      </c>
      <c r="C12" s="96">
        <v>98.186653967833678</v>
      </c>
      <c r="D12" s="96">
        <v>100.05344939504177</v>
      </c>
      <c r="E12" s="96">
        <v>106.31976770323159</v>
      </c>
      <c r="F12" s="96">
        <v>105.59613383763572</v>
      </c>
      <c r="G12" s="96">
        <v>116.22830195416743</v>
      </c>
      <c r="H12" s="96">
        <v>108.85731589774267</v>
      </c>
      <c r="I12" s="96">
        <v>108.10084724227362</v>
      </c>
      <c r="J12" s="96">
        <v>126.80836551250736</v>
      </c>
      <c r="K12" s="96">
        <v>131.66528880446171</v>
      </c>
      <c r="L12" s="96">
        <v>127.2354114293248</v>
      </c>
      <c r="M12" s="96">
        <v>106.83759682644258</v>
      </c>
      <c r="N12" s="96">
        <v>111.39869964712817</v>
      </c>
      <c r="O12" s="96">
        <v>96.195069913291761</v>
      </c>
      <c r="P12" s="96">
        <v>103.56038292625554</v>
      </c>
      <c r="Q12" s="96">
        <v>78.312762676766042</v>
      </c>
      <c r="R12" s="96">
        <v>79.224757609135082</v>
      </c>
      <c r="S12" s="96">
        <v>85.614808664053271</v>
      </c>
      <c r="T12" s="96">
        <v>83.700465571410859</v>
      </c>
      <c r="U12" s="96">
        <v>81.838173817531739</v>
      </c>
      <c r="V12" s="96">
        <v>39.26434372036087</v>
      </c>
      <c r="W12" s="96">
        <v>39.181556329227902</v>
      </c>
      <c r="X12" s="96">
        <v>38.875900444924312</v>
      </c>
      <c r="Y12" s="96">
        <v>54.60092550468633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41.132260459875155</v>
      </c>
      <c r="C15" s="32">
        <f t="shared" si="8"/>
        <v>40.856504060297127</v>
      </c>
      <c r="D15" s="32">
        <f t="shared" si="8"/>
        <v>42.237630215604028</v>
      </c>
      <c r="E15" s="32">
        <f t="shared" si="8"/>
        <v>42.253310827414175</v>
      </c>
      <c r="F15" s="32">
        <f t="shared" si="8"/>
        <v>46.879076522364237</v>
      </c>
      <c r="G15" s="32">
        <f t="shared" si="8"/>
        <v>47.546981465913795</v>
      </c>
      <c r="H15" s="32">
        <f t="shared" si="8"/>
        <v>52.821235695995533</v>
      </c>
      <c r="I15" s="32">
        <f t="shared" si="8"/>
        <v>52.577781919932072</v>
      </c>
      <c r="J15" s="32">
        <f t="shared" si="8"/>
        <v>33.597603287518368</v>
      </c>
      <c r="K15" s="32">
        <f t="shared" si="8"/>
        <v>26.014971521869768</v>
      </c>
      <c r="L15" s="32">
        <f t="shared" si="8"/>
        <v>26.084633421594944</v>
      </c>
      <c r="M15" s="32">
        <f t="shared" si="8"/>
        <v>22.133393227633949</v>
      </c>
      <c r="N15" s="32">
        <f t="shared" si="8"/>
        <v>21.415887548130641</v>
      </c>
      <c r="O15" s="32">
        <f t="shared" si="8"/>
        <v>17.478247775188912</v>
      </c>
      <c r="P15" s="32">
        <f t="shared" si="8"/>
        <v>19.931023304528722</v>
      </c>
      <c r="Q15" s="32">
        <f t="shared" si="8"/>
        <v>15.798352135640952</v>
      </c>
      <c r="R15" s="32">
        <f t="shared" si="8"/>
        <v>15.308311086000048</v>
      </c>
      <c r="S15" s="32">
        <f t="shared" si="8"/>
        <v>17.339198046362124</v>
      </c>
      <c r="T15" s="32">
        <f t="shared" si="8"/>
        <v>14.649755145847093</v>
      </c>
      <c r="U15" s="32">
        <f t="shared" si="8"/>
        <v>16.493495672355646</v>
      </c>
      <c r="V15" s="32">
        <f t="shared" si="8"/>
        <v>47.180769031276633</v>
      </c>
      <c r="W15" s="32">
        <f t="shared" si="8"/>
        <v>47.073358100737202</v>
      </c>
      <c r="X15" s="32">
        <f t="shared" ref="X15:Y15" si="9">SUM(X16:X17)</f>
        <v>46.740844189447273</v>
      </c>
      <c r="Y15" s="32">
        <f t="shared" si="9"/>
        <v>24.053170297037852</v>
      </c>
      <c r="DA15" s="173" t="s">
        <v>414</v>
      </c>
    </row>
    <row r="16" spans="1:105" ht="11.45" customHeight="1" x14ac:dyDescent="0.25">
      <c r="A16" s="83" t="s">
        <v>92</v>
      </c>
      <c r="B16" s="96">
        <v>41.132260459875155</v>
      </c>
      <c r="C16" s="96">
        <v>40.856504060297127</v>
      </c>
      <c r="D16" s="96">
        <v>42.237630215604028</v>
      </c>
      <c r="E16" s="96">
        <v>42.253310827414175</v>
      </c>
      <c r="F16" s="96">
        <v>46.879076522364237</v>
      </c>
      <c r="G16" s="96">
        <v>47.546981465913795</v>
      </c>
      <c r="H16" s="96">
        <v>52.821235695995533</v>
      </c>
      <c r="I16" s="96">
        <v>52.577781919932072</v>
      </c>
      <c r="J16" s="96">
        <v>33.597603287518368</v>
      </c>
      <c r="K16" s="96">
        <v>26.014971521869768</v>
      </c>
      <c r="L16" s="96">
        <v>26.084633421594944</v>
      </c>
      <c r="M16" s="96">
        <v>22.133393227633949</v>
      </c>
      <c r="N16" s="96">
        <v>21.415887548130641</v>
      </c>
      <c r="O16" s="96">
        <v>17.478247775188912</v>
      </c>
      <c r="P16" s="96">
        <v>19.931023304528722</v>
      </c>
      <c r="Q16" s="96">
        <v>15.798352135640952</v>
      </c>
      <c r="R16" s="96">
        <v>15.308311086000048</v>
      </c>
      <c r="S16" s="96">
        <v>17.339198046362124</v>
      </c>
      <c r="T16" s="96">
        <v>14.649755145847093</v>
      </c>
      <c r="U16" s="96">
        <v>16.493495672355646</v>
      </c>
      <c r="V16" s="96">
        <v>47.180769031276633</v>
      </c>
      <c r="W16" s="96">
        <v>47.073358100737202</v>
      </c>
      <c r="X16" s="96">
        <v>46.740844189447273</v>
      </c>
      <c r="Y16" s="96">
        <v>24.053170297037852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0.52292410803011258</v>
      </c>
      <c r="C22" s="134">
        <f>IF(C4=0,0,C4/TrRail_ene!C4)</f>
        <v>0.5438537599129204</v>
      </c>
      <c r="D22" s="134">
        <f>IF(D4=0,0,D4/TrRail_ene!D4)</f>
        <v>0.57683568749795144</v>
      </c>
      <c r="E22" s="134">
        <f>IF(E4=0,0,E4/TrRail_ene!E4)</f>
        <v>0.61705379995050813</v>
      </c>
      <c r="F22" s="134">
        <f>IF(F4=0,0,F4/TrRail_ene!F4)</f>
        <v>0.62547346346820254</v>
      </c>
      <c r="G22" s="134">
        <f>IF(G4=0,0,G4/TrRail_ene!G4)</f>
        <v>0.69341887648672795</v>
      </c>
      <c r="H22" s="134">
        <f>IF(H4=0,0,H4/TrRail_ene!H4)</f>
        <v>0.67127322503948428</v>
      </c>
      <c r="I22" s="134">
        <f>IF(I4=0,0,I4/TrRail_ene!I4)</f>
        <v>0.67851687063882316</v>
      </c>
      <c r="J22" s="134">
        <f>IF(J4=0,0,J4/TrRail_ene!J4)</f>
        <v>0.65389185343326939</v>
      </c>
      <c r="K22" s="134">
        <f>IF(K4=0,0,K4/TrRail_ene!K4)</f>
        <v>0.65974268522541013</v>
      </c>
      <c r="L22" s="134">
        <f>IF(L4=0,0,L4/TrRail_ene!L4)</f>
        <v>0.62580576519903319</v>
      </c>
      <c r="M22" s="134">
        <f>IF(M4=0,0,M4/TrRail_ene!M4)</f>
        <v>0.56365982515573132</v>
      </c>
      <c r="N22" s="134">
        <f>IF(N4=0,0,N4/TrRail_ene!N4)</f>
        <v>0.5970433927687121</v>
      </c>
      <c r="O22" s="134">
        <f>IF(O4=0,0,O4/TrRail_ene!O4)</f>
        <v>0.5280499940952913</v>
      </c>
      <c r="P22" s="134">
        <f>IF(P4=0,0,P4/TrRail_ene!P4)</f>
        <v>0.57460659649572887</v>
      </c>
      <c r="Q22" s="134">
        <f>IF(Q4=0,0,Q4/TrRail_ene!Q4)</f>
        <v>0.45694696271166413</v>
      </c>
      <c r="R22" s="134">
        <f>IF(R4=0,0,R4/TrRail_ene!R4)</f>
        <v>0.45841964744947483</v>
      </c>
      <c r="S22" s="134">
        <f>IF(S4=0,0,S4/TrRail_ene!S4)</f>
        <v>0.48908427770038082</v>
      </c>
      <c r="T22" s="134">
        <f>IF(T4=0,0,T4/TrRail_ene!T4)</f>
        <v>0.47429654222850071</v>
      </c>
      <c r="U22" s="134">
        <f>IF(U4=0,0,U4/TrRail_ene!U4)</f>
        <v>0.48122349389754088</v>
      </c>
      <c r="V22" s="134">
        <f>IF(V4=0,0,V4/TrRail_ene!V4)</f>
        <v>0.45951851376400193</v>
      </c>
      <c r="W22" s="134">
        <f>IF(W4=0,0,W4/TrRail_ene!W4)</f>
        <v>0.45236843853501307</v>
      </c>
      <c r="X22" s="134">
        <f>IF(X4=0,0,X4/TrRail_ene!X4)</f>
        <v>0.45142814789827596</v>
      </c>
      <c r="Y22" s="134">
        <f>IF(Y4=0,0,Y4/TrRail_ene!Y4)</f>
        <v>0.42701214925098274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1.5567981426414532</v>
      </c>
      <c r="C23" s="129">
        <f>IF(C5=0,0,C5/SUM(TrRail_ene!C5:C7))</f>
        <v>1.556798901593083</v>
      </c>
      <c r="D23" s="129">
        <f>IF(D5=0,0,D5/SUM(TrRail_ene!D5:D7))</f>
        <v>1.5557940705746076</v>
      </c>
      <c r="E23" s="129">
        <f>IF(E5=0,0,E5/SUM(TrRail_ene!E5:E7))</f>
        <v>1.555970196588393</v>
      </c>
      <c r="F23" s="129">
        <f>IF(F5=0,0,F5/SUM(TrRail_ene!F5:F7))</f>
        <v>1.5497750405837327</v>
      </c>
      <c r="G23" s="129">
        <f>IF(G5=0,0,G5/SUM(TrRail_ene!G5:G7))</f>
        <v>1.5379339145080151</v>
      </c>
      <c r="H23" s="129">
        <f>IF(H5=0,0,H5/SUM(TrRail_ene!H5:H7))</f>
        <v>1.4917149051060088</v>
      </c>
      <c r="I23" s="129">
        <f>IF(I5=0,0,I5/SUM(TrRail_ene!I5:I7))</f>
        <v>1.4845242918602684</v>
      </c>
      <c r="J23" s="129">
        <f>IF(J5=0,0,J5/SUM(TrRail_ene!J5:J7))</f>
        <v>1.4831315437463521</v>
      </c>
      <c r="K23" s="129">
        <f>IF(K5=0,0,K5/SUM(TrRail_ene!K5:K7))</f>
        <v>1.4611051839986517</v>
      </c>
      <c r="L23" s="129">
        <f>IF(L5=0,0,L5/SUM(TrRail_ene!L5:L7))</f>
        <v>1.4599422295643021</v>
      </c>
      <c r="M23" s="129">
        <f>IF(M5=0,0,M5/SUM(TrRail_ene!M5:M7))</f>
        <v>1.4584144711638187</v>
      </c>
      <c r="N23" s="129">
        <f>IF(N5=0,0,N5/SUM(TrRail_ene!N5:N7))</f>
        <v>1.4546161813162832</v>
      </c>
      <c r="O23" s="129">
        <f>IF(O5=0,0,O5/SUM(TrRail_ene!O5:O7))</f>
        <v>1.4582600920796651</v>
      </c>
      <c r="P23" s="129">
        <f>IF(P5=0,0,P5/SUM(TrRail_ene!P5:P7))</f>
        <v>1.457892665759865</v>
      </c>
      <c r="Q23" s="129">
        <f>IF(Q5=0,0,Q5/SUM(TrRail_ene!Q5:Q7))</f>
        <v>1.4567624768654779</v>
      </c>
      <c r="R23" s="129">
        <f>IF(R5=0,0,R5/SUM(TrRail_ene!R5:R7))</f>
        <v>1.4592115419856571</v>
      </c>
      <c r="S23" s="129">
        <f>IF(S5=0,0,S5/SUM(TrRail_ene!S5:S7))</f>
        <v>1.4620148796083539</v>
      </c>
      <c r="T23" s="129">
        <f>IF(T5=0,0,T5/SUM(TrRail_ene!T5:T7))</f>
        <v>1.4663706100300116</v>
      </c>
      <c r="U23" s="129">
        <f>IF(U5=0,0,U5/SUM(TrRail_ene!U5:U7))</f>
        <v>1.4672301362379374</v>
      </c>
      <c r="V23" s="129">
        <f>IF(V5=0,0,V5/SUM(TrRail_ene!V5:V7))</f>
        <v>1.4559498422940877</v>
      </c>
      <c r="W23" s="129">
        <f>IF(W5=0,0,W5/SUM(TrRail_ene!W5:W7))</f>
        <v>1.4533441724239013</v>
      </c>
      <c r="X23" s="129">
        <f>IF(X5=0,0,X5/SUM(TrRail_ene!X5:X7))</f>
        <v>1.4528039045460064</v>
      </c>
      <c r="Y23" s="129">
        <f>IF(Y5=0,0,Y5/SUM(TrRail_ene!Y5:Y7))</f>
        <v>1.4547459043928812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697.92417723535004</v>
      </c>
      <c r="C26" s="54">
        <f>IF(C8=0,0,C8/TrRail_act!C14*1000)</f>
        <v>721.71011515163013</v>
      </c>
      <c r="D26" s="54">
        <f>IF(D8=0,0,D8/TrRail_act!D14*1000)</f>
        <v>739.68449188107786</v>
      </c>
      <c r="E26" s="54">
        <f>IF(E8=0,0,E8/TrRail_act!E14*1000)</f>
        <v>769.15991967769207</v>
      </c>
      <c r="F26" s="54">
        <f>IF(F8=0,0,F8/TrRail_act!F14*1000)</f>
        <v>775.14036479451363</v>
      </c>
      <c r="G26" s="54">
        <f>IF(G8=0,0,G8/TrRail_act!G14*1000)</f>
        <v>843.48346538727276</v>
      </c>
      <c r="H26" s="54">
        <f>IF(H8=0,0,H8/TrRail_act!H14*1000)</f>
        <v>803.6618250773588</v>
      </c>
      <c r="I26" s="54">
        <f>IF(I8=0,0,I8/TrRail_act!I14*1000)</f>
        <v>780.60002100510144</v>
      </c>
      <c r="J26" s="54">
        <f>IF(J8=0,0,J8/TrRail_act!J14*1000)</f>
        <v>748.898420653024</v>
      </c>
      <c r="K26" s="54">
        <f>IF(K8=0,0,K8/TrRail_act!K14*1000)</f>
        <v>733.56246423807795</v>
      </c>
      <c r="L26" s="54">
        <f>IF(L8=0,0,L8/TrRail_act!L14*1000)</f>
        <v>693.59416708164008</v>
      </c>
      <c r="M26" s="54">
        <f>IF(M8=0,0,M8/TrRail_act!M14*1000)</f>
        <v>597.87194088859064</v>
      </c>
      <c r="N26" s="54">
        <f>IF(N8=0,0,N8/TrRail_act!N14*1000)</f>
        <v>620.69918053740048</v>
      </c>
      <c r="O26" s="54">
        <f>IF(O8=0,0,O8/TrRail_act!O14*1000)</f>
        <v>495.85433759196587</v>
      </c>
      <c r="P26" s="54">
        <f>IF(P8=0,0,P8/TrRail_act!P14*1000)</f>
        <v>524.74259380748367</v>
      </c>
      <c r="Q26" s="54">
        <f>IF(Q8=0,0,Q8/TrRail_act!Q14*1000)</f>
        <v>392.22690371814434</v>
      </c>
      <c r="R26" s="54">
        <f>IF(R8=0,0,R8/TrRail_act!R14*1000)</f>
        <v>373.84569194053313</v>
      </c>
      <c r="S26" s="54">
        <f>IF(S8=0,0,S8/TrRail_act!S14*1000)</f>
        <v>386.45336628468874</v>
      </c>
      <c r="T26" s="54">
        <f>IF(T8=0,0,T8/TrRail_act!T14*1000)</f>
        <v>372.37671248468638</v>
      </c>
      <c r="U26" s="54">
        <f>IF(U8=0,0,U8/TrRail_act!U14*1000)</f>
        <v>362.85902761960523</v>
      </c>
      <c r="V26" s="54">
        <f>IF(V8=0,0,V8/TrRail_act!V14*1000)</f>
        <v>337.30270286817102</v>
      </c>
      <c r="W26" s="54">
        <f>IF(W8=0,0,W8/TrRail_act!W14*1000)</f>
        <v>326.47710724095828</v>
      </c>
      <c r="X26" s="54">
        <f>IF(X8=0,0,X8/TrRail_act!X14*1000)</f>
        <v>323.9659142390305</v>
      </c>
      <c r="Y26" s="54">
        <f>IF(Y8=0,0,Y8/TrRail_act!Y14*1000)</f>
        <v>307.62238052828144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609.3916147430084</v>
      </c>
      <c r="C27" s="28">
        <f>IF(C9=0,0,C9/TrRail_act!C15*1000)</f>
        <v>633.88591161077898</v>
      </c>
      <c r="D27" s="28">
        <f>IF(D9=0,0,D9/TrRail_act!D15*1000)</f>
        <v>649.44184378598129</v>
      </c>
      <c r="E27" s="28">
        <f>IF(E9=0,0,E9/TrRail_act!E15*1000)</f>
        <v>684.06184409089531</v>
      </c>
      <c r="F27" s="28">
        <f>IF(F9=0,0,F9/TrRail_act!F15*1000)</f>
        <v>682.40407912835212</v>
      </c>
      <c r="G27" s="28">
        <f>IF(G9=0,0,G9/TrRail_act!G15*1000)</f>
        <v>760.65265832892396</v>
      </c>
      <c r="H27" s="28">
        <f>IF(H9=0,0,H9/TrRail_act!H15*1000)</f>
        <v>690.64703174877116</v>
      </c>
      <c r="I27" s="28">
        <f>IF(I9=0,0,I9/TrRail_act!I15*1000)</f>
        <v>672.02753498079824</v>
      </c>
      <c r="J27" s="28">
        <f>IF(J9=0,0,J9/TrRail_act!J15*1000)</f>
        <v>750.3342473235864</v>
      </c>
      <c r="K27" s="28">
        <f>IF(K9=0,0,K9/TrRail_act!K15*1000)</f>
        <v>744.30760516229338</v>
      </c>
      <c r="L27" s="28">
        <f>IF(L9=0,0,L9/TrRail_act!L15*1000)</f>
        <v>707.68635762198255</v>
      </c>
      <c r="M27" s="28">
        <f>IF(M9=0,0,M9/TrRail_act!M15*1000)</f>
        <v>620.17627923774251</v>
      </c>
      <c r="N27" s="28">
        <f>IF(N9=0,0,N9/TrRail_act!N15*1000)</f>
        <v>641.33544159468522</v>
      </c>
      <c r="O27" s="28">
        <f>IF(O9=0,0,O9/TrRail_act!O15*1000)</f>
        <v>512.3715308978326</v>
      </c>
      <c r="P27" s="28">
        <f>IF(P9=0,0,P9/TrRail_act!P15*1000)</f>
        <v>531.83321643068791</v>
      </c>
      <c r="Q27" s="28">
        <f>IF(Q9=0,0,Q9/TrRail_act!Q15*1000)</f>
        <v>394.84842560162332</v>
      </c>
      <c r="R27" s="28">
        <f>IF(R9=0,0,R9/TrRail_act!R15*1000)</f>
        <v>374.73149720249302</v>
      </c>
      <c r="S27" s="28">
        <f>IF(S9=0,0,S9/TrRail_act!S15*1000)</f>
        <v>382.73585542832967</v>
      </c>
      <c r="T27" s="28">
        <f>IF(T9=0,0,T9/TrRail_act!T15*1000)</f>
        <v>379.81796518684672</v>
      </c>
      <c r="U27" s="28">
        <f>IF(U9=0,0,U9/TrRail_act!U15*1000)</f>
        <v>362.55753200780714</v>
      </c>
      <c r="V27" s="28">
        <f>IF(V9=0,0,V9/TrRail_act!V15*1000)</f>
        <v>187.39816133919663</v>
      </c>
      <c r="W27" s="28">
        <f>IF(W9=0,0,W9/TrRail_act!W15*1000)</f>
        <v>180.59680613883941</v>
      </c>
      <c r="X27" s="28">
        <f>IF(X9=0,0,X9/TrRail_act!X15*1000)</f>
        <v>179.23719580252802</v>
      </c>
      <c r="Y27" s="28">
        <f>IF(Y9=0,0,Y9/TrRail_act!Y15*1000)</f>
        <v>257.41694929396891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1181.8211544661954</v>
      </c>
      <c r="C29" s="110">
        <f>IF(C11=0,0,C11/TrRail_act!C17*1000)</f>
        <v>1294.7639011462979</v>
      </c>
      <c r="D29" s="110">
        <f>IF(D11=0,0,D11/TrRail_act!D17*1000)</f>
        <v>1356.5670416140547</v>
      </c>
      <c r="E29" s="110">
        <f>IF(E11=0,0,E11/TrRail_act!E17*1000)</f>
        <v>1439.2237295666309</v>
      </c>
      <c r="F29" s="110">
        <f>IF(F11=0,0,F11/TrRail_act!F17*1000)</f>
        <v>1467.7889201875284</v>
      </c>
      <c r="G29" s="110">
        <f>IF(G11=0,0,G11/TrRail_act!G17*1000)</f>
        <v>1670.5270789715687</v>
      </c>
      <c r="H29" s="110">
        <f>IF(H11=0,0,H11/TrRail_act!H17*1000)</f>
        <v>1503.311645357976</v>
      </c>
      <c r="I29" s="110">
        <f>IF(I11=0,0,I11/TrRail_act!I17*1000)</f>
        <v>1462.0075037304023</v>
      </c>
      <c r="J29" s="110">
        <f>IF(J11=0,0,J11/TrRail_act!J17*1000)</f>
        <v>1531.7190619304943</v>
      </c>
      <c r="K29" s="110">
        <f>IF(K11=0,0,K11/TrRail_act!K17*1000)</f>
        <v>1489.3767394893059</v>
      </c>
      <c r="L29" s="110">
        <f>IF(L11=0,0,L11/TrRail_act!L17*1000)</f>
        <v>1402.8262867064834</v>
      </c>
      <c r="M29" s="110">
        <f>IF(M11=0,0,M11/TrRail_act!M17*1000)</f>
        <v>1301.5137094413972</v>
      </c>
      <c r="N29" s="110">
        <f>IF(N11=0,0,N11/TrRail_act!N17*1000)</f>
        <v>1332.9049707021065</v>
      </c>
      <c r="O29" s="110">
        <f>IF(O11=0,0,O11/TrRail_act!O17*1000)</f>
        <v>986.45268933027569</v>
      </c>
      <c r="P29" s="110">
        <f>IF(P11=0,0,P11/TrRail_act!P17*1000)</f>
        <v>974.60988162022898</v>
      </c>
      <c r="Q29" s="110">
        <f>IF(Q11=0,0,Q11/TrRail_act!Q17*1000)</f>
        <v>726.97023858574721</v>
      </c>
      <c r="R29" s="110">
        <f>IF(R11=0,0,R11/TrRail_act!R17*1000)</f>
        <v>653.45649855075521</v>
      </c>
      <c r="S29" s="110">
        <f>IF(S11=0,0,S11/TrRail_act!S17*1000)</f>
        <v>643.15570505265441</v>
      </c>
      <c r="T29" s="110">
        <f>IF(T11=0,0,T11/TrRail_act!T17*1000)</f>
        <v>638.97998035975525</v>
      </c>
      <c r="U29" s="110">
        <f>IF(U11=0,0,U11/TrRail_act!U17*1000)</f>
        <v>615.0203921040204</v>
      </c>
      <c r="V29" s="110">
        <f>IF(V11=0,0,V11/TrRail_act!V17*1000)</f>
        <v>369.55366633660611</v>
      </c>
      <c r="W29" s="110">
        <f>IF(W11=0,0,W11/TrRail_act!W17*1000)</f>
        <v>356.95370011961927</v>
      </c>
      <c r="X29" s="110">
        <f>IF(X11=0,0,X11/TrRail_act!X17*1000)</f>
        <v>347.22704564993637</v>
      </c>
      <c r="Y29" s="110">
        <f>IF(Y11=0,0,Y11/TrRail_act!Y17*1000)</f>
        <v>429.16845596778398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7858.6209907275779</v>
      </c>
      <c r="C30" s="84">
        <f>IF(C12=0,0,C12/TrRail_act!C18*1000)</f>
        <v>7495.4502218542766</v>
      </c>
      <c r="D30" s="84">
        <f>IF(D12=0,0,D12/TrRail_act!D18*1000)</f>
        <v>7132.0584433143322</v>
      </c>
      <c r="E30" s="84">
        <f>IF(E12=0,0,E12/TrRail_act!E18*1000)</f>
        <v>7101.1371643773446</v>
      </c>
      <c r="F30" s="84">
        <f>IF(F12=0,0,F12/TrRail_act!F18*1000)</f>
        <v>7015.2932778294235</v>
      </c>
      <c r="G30" s="84">
        <f>IF(G12=0,0,G12/TrRail_act!G18*1000)</f>
        <v>6889.9158446197825</v>
      </c>
      <c r="H30" s="84">
        <f>IF(H12=0,0,H12/TrRail_act!H18*1000)</f>
        <v>6198.7914089822998</v>
      </c>
      <c r="I30" s="84">
        <f>IF(I12=0,0,I12/TrRail_act!I18*1000)</f>
        <v>5973.4367071913939</v>
      </c>
      <c r="J30" s="84">
        <f>IF(J12=0,0,J12/TrRail_act!J18*1000)</f>
        <v>5831.5729344237798</v>
      </c>
      <c r="K30" s="84">
        <f>IF(K12=0,0,K12/TrRail_act!K18*1000)</f>
        <v>5831.7782016554402</v>
      </c>
      <c r="L30" s="84">
        <f>IF(L12=0,0,L12/TrRail_act!L18*1000)</f>
        <v>5972.7113225930161</v>
      </c>
      <c r="M30" s="84">
        <f>IF(M12=0,0,M12/TrRail_act!M18*1000)</f>
        <v>5568.7267759306369</v>
      </c>
      <c r="N30" s="84">
        <f>IF(N12=0,0,N12/TrRail_act!N18*1000)</f>
        <v>5546.7204961372699</v>
      </c>
      <c r="O30" s="84">
        <f>IF(O12=0,0,O12/TrRail_act!O18*1000)</f>
        <v>5325.032684499367</v>
      </c>
      <c r="P30" s="84">
        <f>IF(P12=0,0,P12/TrRail_act!P18*1000)</f>
        <v>5279.4372920442474</v>
      </c>
      <c r="Q30" s="84">
        <f>IF(Q12=0,0,Q12/TrRail_act!Q18*1000)</f>
        <v>4943.5018932095427</v>
      </c>
      <c r="R30" s="84">
        <f>IF(R12=0,0,R12/TrRail_act!R18*1000)</f>
        <v>4952.1229527290152</v>
      </c>
      <c r="S30" s="84">
        <f>IF(S12=0,0,S12/TrRail_act!S18*1000)</f>
        <v>4946.9841288404086</v>
      </c>
      <c r="T30" s="84">
        <f>IF(T12=0,0,T12/TrRail_act!T18*1000)</f>
        <v>4940.8274196589582</v>
      </c>
      <c r="U30" s="84">
        <f>IF(U12=0,0,U12/TrRail_act!U18*1000)</f>
        <v>4573.2775687132962</v>
      </c>
      <c r="V30" s="84">
        <f>IF(V12=0,0,V12/TrRail_act!V18*1000)</f>
        <v>4494.6416761583187</v>
      </c>
      <c r="W30" s="84">
        <f>IF(W12=0,0,W12/TrRail_act!W18*1000)</f>
        <v>4454.3223000306443</v>
      </c>
      <c r="X30" s="84">
        <f>IF(X12=0,0,X12/TrRail_act!X18*1000)</f>
        <v>4428.6212597245367</v>
      </c>
      <c r="Y30" s="84">
        <f>IF(Y12=0,0,Y12/TrRail_act!Y18*1000)</f>
        <v>4416.5684801141579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1066.8731590492935</v>
      </c>
      <c r="C33" s="28">
        <f>IF(C15=0,0,C15/TrRail_act!C21*1000)</f>
        <v>1081.9621543262522</v>
      </c>
      <c r="D33" s="28">
        <f>IF(D15=0,0,D15/TrRail_act!D21*1000)</f>
        <v>1102.6206126620079</v>
      </c>
      <c r="E33" s="28">
        <f>IF(E15=0,0,E15/TrRail_act!E21*1000)</f>
        <v>1119.6314394226952</v>
      </c>
      <c r="F33" s="28">
        <f>IF(F15=0,0,F15/TrRail_act!F21*1000)</f>
        <v>1117.0934862237661</v>
      </c>
      <c r="G33" s="28">
        <f>IF(G15=0,0,G15/TrRail_act!G21*1000)</f>
        <v>1149.4601813803122</v>
      </c>
      <c r="H33" s="28">
        <f>IF(H15=0,0,H15/TrRail_act!H21*1000)</f>
        <v>1212.5831217430211</v>
      </c>
      <c r="I33" s="28">
        <f>IF(I15=0,0,I15/TrRail_act!I21*1000)</f>
        <v>1168.8592254847456</v>
      </c>
      <c r="J33" s="28">
        <f>IF(J15=0,0,J15/TrRail_act!J21*1000)</f>
        <v>743.52829614848974</v>
      </c>
      <c r="K33" s="28">
        <f>IF(K15=0,0,K15/TrRail_act!K21*1000)</f>
        <v>683.61438486696136</v>
      </c>
      <c r="L33" s="28">
        <f>IF(L15=0,0,L15/TrRail_act!L21*1000)</f>
        <v>632.18861837440636</v>
      </c>
      <c r="M33" s="28">
        <f>IF(M15=0,0,M15/TrRail_act!M21*1000)</f>
        <v>509.4340679220918</v>
      </c>
      <c r="N33" s="28">
        <f>IF(N15=0,0,N15/TrRail_act!N21*1000)</f>
        <v>531.70518394314911</v>
      </c>
      <c r="O33" s="28">
        <f>IF(O15=0,0,O15/TrRail_act!O21*1000)</f>
        <v>421.13580263997466</v>
      </c>
      <c r="P33" s="28">
        <f>IF(P15=0,0,P15/TrRail_act!P21*1000)</f>
        <v>490.7464153526895</v>
      </c>
      <c r="Q33" s="28">
        <f>IF(Q15=0,0,Q15/TrRail_act!Q21*1000)</f>
        <v>379.7295454140712</v>
      </c>
      <c r="R33" s="28">
        <f>IF(R15=0,0,R15/TrRail_act!R21*1000)</f>
        <v>369.3275136973445</v>
      </c>
      <c r="S33" s="28">
        <f>IF(S15=0,0,S15/TrRail_act!S21*1000)</f>
        <v>405.9210627423239</v>
      </c>
      <c r="T33" s="28">
        <f>IF(T15=0,0,T15/TrRail_act!T21*1000)</f>
        <v>334.8905525169252</v>
      </c>
      <c r="U33" s="28">
        <f>IF(U15=0,0,U15/TrRail_act!U21*1000)</f>
        <v>364.36244960062049</v>
      </c>
      <c r="V33" s="28">
        <f>IF(V15=0,0,V15/TrRail_act!V21*1000)</f>
        <v>1009.0016560106459</v>
      </c>
      <c r="W33" s="28">
        <f>IF(W15=0,0,W15/TrRail_act!W21*1000)</f>
        <v>996.40935540982014</v>
      </c>
      <c r="X33" s="28">
        <f>IF(X15=0,0,X15/TrRail_act!X21*1000)</f>
        <v>986.49697194093073</v>
      </c>
      <c r="Y33" s="28">
        <f>IF(Y15=0,0,Y15/TrRail_act!Y21*1000)</f>
        <v>552.01907311456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19489.047601862538</v>
      </c>
      <c r="C34" s="84">
        <f>IF(C16=0,0,C16/TrRail_act!C22*1000)</f>
        <v>18290.572020768497</v>
      </c>
      <c r="D34" s="84">
        <f>IF(D16=0,0,D16/TrRail_act!D22*1000)</f>
        <v>16837.641281266548</v>
      </c>
      <c r="E34" s="84">
        <f>IF(E16=0,0,E16/TrRail_act!E22*1000)</f>
        <v>15994.326869018189</v>
      </c>
      <c r="F34" s="84">
        <f>IF(F16=0,0,F16/TrRail_act!F22*1000)</f>
        <v>15678.861716608411</v>
      </c>
      <c r="G34" s="84">
        <f>IF(G16=0,0,G16/TrRail_act!G22*1000)</f>
        <v>14963.544819897299</v>
      </c>
      <c r="H34" s="84">
        <f>IF(H16=0,0,H16/TrRail_act!H22*1000)</f>
        <v>14375.182115166712</v>
      </c>
      <c r="I34" s="84">
        <f>IF(I16=0,0,I16/TrRail_act!I22*1000)</f>
        <v>13533.331226346319</v>
      </c>
      <c r="J34" s="84">
        <f>IF(J16=0,0,J16/TrRail_act!J22*1000)</f>
        <v>13415.562408380136</v>
      </c>
      <c r="K34" s="84">
        <f>IF(K16=0,0,K16/TrRail_act!K22*1000)</f>
        <v>12909.225264524919</v>
      </c>
      <c r="L34" s="84">
        <f>IF(L16=0,0,L16/TrRail_act!L22*1000)</f>
        <v>12813.612933062916</v>
      </c>
      <c r="M34" s="84">
        <f>IF(M16=0,0,M16/TrRail_act!M22*1000)</f>
        <v>12477.615777733934</v>
      </c>
      <c r="N34" s="84">
        <f>IF(N16=0,0,N16/TrRail_act!N22*1000)</f>
        <v>12277.520333042779</v>
      </c>
      <c r="O34" s="84">
        <f>IF(O16=0,0,O16/TrRail_act!O22*1000)</f>
        <v>12064.482568024066</v>
      </c>
      <c r="P34" s="84">
        <f>IF(P16=0,0,P16/TrRail_act!P22*1000)</f>
        <v>11790.80086844401</v>
      </c>
      <c r="Q34" s="84">
        <f>IF(Q16=0,0,Q16/TrRail_act!Q22*1000)</f>
        <v>11295.580326248717</v>
      </c>
      <c r="R34" s="84">
        <f>IF(R16=0,0,R16/TrRail_act!R22*1000)</f>
        <v>11138.027920307304</v>
      </c>
      <c r="S34" s="84">
        <f>IF(S16=0,0,S16/TrRail_act!S22*1000)</f>
        <v>11028.578070192554</v>
      </c>
      <c r="T34" s="84">
        <f>IF(T16=0,0,T16/TrRail_act!T22*1000)</f>
        <v>10558.349317157885</v>
      </c>
      <c r="U34" s="84">
        <f>IF(U16=0,0,U16/TrRail_act!U22*1000)</f>
        <v>10559.157775935702</v>
      </c>
      <c r="V34" s="84">
        <f>IF(V16=0,0,V16/TrRail_act!V22*1000)</f>
        <v>10369.235076859954</v>
      </c>
      <c r="W34" s="84">
        <f>IF(W16=0,0,W16/TrRail_act!W22*1000)</f>
        <v>10270.006764401387</v>
      </c>
      <c r="X34" s="84">
        <f>IF(X16=0,0,X16/TrRail_act!X22*1000)</f>
        <v>10206.121088458527</v>
      </c>
      <c r="Y34" s="84">
        <f>IF(Y16=0,0,Y16/TrRail_act!Y22*1000)</f>
        <v>10174.883796727543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6.6605330483564611</v>
      </c>
      <c r="C38" s="29">
        <f>IF(C9=0,0,C9/TrRail_act!C4*1000)</f>
        <v>6.6269472810339298</v>
      </c>
      <c r="D38" s="29">
        <f>IF(D9=0,0,D9/TrRail_act!D4*1000)</f>
        <v>6.6878884861506602</v>
      </c>
      <c r="E38" s="29">
        <f>IF(E9=0,0,E9/TrRail_act!E4*1000)</f>
        <v>7.1264383600577306</v>
      </c>
      <c r="F38" s="29">
        <f>IF(F9=0,0,F9/TrRail_act!F4*1000)</f>
        <v>7.2249427576721867</v>
      </c>
      <c r="G38" s="29">
        <f>IF(G9=0,0,G9/TrRail_act!G4*1000)</f>
        <v>7.685911721581494</v>
      </c>
      <c r="H38" s="29">
        <f>IF(H9=0,0,H9/TrRail_act!H4*1000)</f>
        <v>7.0502557997945834</v>
      </c>
      <c r="I38" s="29">
        <f>IF(I9=0,0,I9/TrRail_act!I4*1000)</f>
        <v>6.8434196078485563</v>
      </c>
      <c r="J38" s="29">
        <f>IF(J9=0,0,J9/TrRail_act!J4*1000)</f>
        <v>7.4197585049884687</v>
      </c>
      <c r="K38" s="29">
        <f>IF(K9=0,0,K9/TrRail_act!K4*1000)</f>
        <v>7.7422248207683424</v>
      </c>
      <c r="L38" s="29">
        <f>IF(L9=0,0,L9/TrRail_act!L4*1000)</f>
        <v>7.4052366090067707</v>
      </c>
      <c r="M38" s="29">
        <f>IF(M9=0,0,M9/TrRail_act!M4*1000)</f>
        <v>6.0042415155616293</v>
      </c>
      <c r="N38" s="29">
        <f>IF(N9=0,0,N9/TrRail_act!N4*1000)</f>
        <v>6.079471916534807</v>
      </c>
      <c r="O38" s="29">
        <f>IF(O9=0,0,O9/TrRail_act!O4*1000)</f>
        <v>5.0591727385382406</v>
      </c>
      <c r="P38" s="29">
        <f>IF(P9=0,0,P9/TrRail_act!P4*1000)</f>
        <v>5.4531127726978168</v>
      </c>
      <c r="Q38" s="29">
        <f>IF(Q9=0,0,Q9/TrRail_act!Q4*1000)</f>
        <v>4.0605925603393809</v>
      </c>
      <c r="R38" s="29">
        <f>IF(R9=0,0,R9/TrRail_act!R4*1000)</f>
        <v>4.0251716351590705</v>
      </c>
      <c r="S38" s="29">
        <f>IF(S9=0,0,S9/TrRail_act!S4*1000)</f>
        <v>4.3347878612895094</v>
      </c>
      <c r="T38" s="29">
        <f>IF(T9=0,0,T9/TrRail_act!T4*1000)</f>
        <v>4.1203433048943126</v>
      </c>
      <c r="U38" s="29">
        <f>IF(U9=0,0,U9/TrRail_act!U4*1000)</f>
        <v>3.9686683928650504</v>
      </c>
      <c r="V38" s="29">
        <f>IF(V9=0,0,V9/TrRail_act!V4*1000)</f>
        <v>2.9588240511951209</v>
      </c>
      <c r="W38" s="29">
        <f>IF(W9=0,0,W9/TrRail_act!W4*1000)</f>
        <v>2.6891910956684377</v>
      </c>
      <c r="X38" s="29">
        <f>IF(X9=0,0,X9/TrRail_act!X4*1000)</f>
        <v>2.0032349645588874</v>
      </c>
      <c r="Y38" s="29">
        <f>IF(Y9=0,0,Y9/TrRail_act!Y4*1000)</f>
        <v>2.5679549515932809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11.202857024914785</v>
      </c>
      <c r="C40" s="116">
        <f>IF(C11=0,0,C11/TrRail_act!C6*1000)</f>
        <v>11.207330647829503</v>
      </c>
      <c r="D40" s="116">
        <f>IF(D11=0,0,D11/TrRail_act!D6*1000)</f>
        <v>11.356994694583642</v>
      </c>
      <c r="E40" s="116">
        <f>IF(E11=0,0,E11/TrRail_act!E6*1000)</f>
        <v>12.258518438187483</v>
      </c>
      <c r="F40" s="116">
        <f>IF(F11=0,0,F11/TrRail_act!F6*1000)</f>
        <v>12.762404379699749</v>
      </c>
      <c r="G40" s="116">
        <f>IF(G11=0,0,G11/TrRail_act!G6*1000)</f>
        <v>13.382648469103907</v>
      </c>
      <c r="H40" s="116">
        <f>IF(H11=0,0,H11/TrRail_act!H6*1000)</f>
        <v>12.221546637222708</v>
      </c>
      <c r="I40" s="116">
        <f>IF(I11=0,0,I11/TrRail_act!I6*1000)</f>
        <v>12.048058202104585</v>
      </c>
      <c r="J40" s="116">
        <f>IF(J11=0,0,J11/TrRail_act!J6*1000)</f>
        <v>12.499961472005891</v>
      </c>
      <c r="K40" s="116">
        <f>IF(K11=0,0,K11/TrRail_act!K6*1000)</f>
        <v>13.209396655801038</v>
      </c>
      <c r="L40" s="116">
        <f>IF(L11=0,0,L11/TrRail_act!L6*1000)</f>
        <v>12.660339157093361</v>
      </c>
      <c r="M40" s="116">
        <f>IF(M11=0,0,M11/TrRail_act!M6*1000)</f>
        <v>10.35893840626988</v>
      </c>
      <c r="N40" s="116">
        <f>IF(N11=0,0,N11/TrRail_act!N6*1000)</f>
        <v>10.378467998892319</v>
      </c>
      <c r="O40" s="116">
        <f>IF(O11=0,0,O11/TrRail_act!O6*1000)</f>
        <v>8.5141899560728653</v>
      </c>
      <c r="P40" s="116">
        <f>IF(P11=0,0,P11/TrRail_act!P6*1000)</f>
        <v>9.0306768295033955</v>
      </c>
      <c r="Q40" s="116">
        <f>IF(Q11=0,0,Q11/TrRail_act!Q6*1000)</f>
        <v>6.7601298913219159</v>
      </c>
      <c r="R40" s="116">
        <f>IF(R11=0,0,R11/TrRail_act!R6*1000)</f>
        <v>6.6469745984292787</v>
      </c>
      <c r="S40" s="116">
        <f>IF(S11=0,0,S11/TrRail_act!S6*1000)</f>
        <v>7.1436767505537038</v>
      </c>
      <c r="T40" s="116">
        <f>IF(T11=0,0,T11/TrRail_act!T6*1000)</f>
        <v>6.6859529992087854</v>
      </c>
      <c r="U40" s="116">
        <f>IF(U11=0,0,U11/TrRail_act!U6*1000)</f>
        <v>6.4681257684387461</v>
      </c>
      <c r="V40" s="116">
        <f>IF(V11=0,0,V11/TrRail_act!V6*1000)</f>
        <v>5.5766017532399292</v>
      </c>
      <c r="W40" s="116">
        <f>IF(W11=0,0,W11/TrRail_act!W6*1000)</f>
        <v>4.8976267977879999</v>
      </c>
      <c r="X40" s="116">
        <f>IF(X11=0,0,X11/TrRail_act!X6*1000)</f>
        <v>3.1685458296238442</v>
      </c>
      <c r="Y40" s="116">
        <f>IF(Y11=0,0,Y11/TrRail_act!Y6*1000)</f>
        <v>3.96303031364222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97.760609384150115</v>
      </c>
      <c r="C41" s="87">
        <f>IF(C12=0,0,C12/TrRail_act!C7*1000)</f>
        <v>93.369854689343313</v>
      </c>
      <c r="D41" s="87">
        <f>IF(D12=0,0,D12/TrRail_act!D7*1000)</f>
        <v>88.647124436544885</v>
      </c>
      <c r="E41" s="87">
        <f>IF(E12=0,0,E12/TrRail_act!E7*1000)</f>
        <v>88.141246009125354</v>
      </c>
      <c r="F41" s="87">
        <f>IF(F12=0,0,F12/TrRail_act!F7*1000)</f>
        <v>86.921832448692768</v>
      </c>
      <c r="G41" s="87">
        <f>IF(G12=0,0,G12/TrRail_act!G7*1000)</f>
        <v>82.026082248088855</v>
      </c>
      <c r="H41" s="87">
        <f>IF(H12=0,0,H12/TrRail_act!H7*1000)</f>
        <v>76.362693388040043</v>
      </c>
      <c r="I41" s="87">
        <f>IF(I12=0,0,I12/TrRail_act!I7*1000)</f>
        <v>74.052724907458071</v>
      </c>
      <c r="J41" s="87">
        <f>IF(J12=0,0,J12/TrRail_act!J7*1000)</f>
        <v>65.640798009531693</v>
      </c>
      <c r="K41" s="87">
        <f>IF(K12=0,0,K12/TrRail_act!K7*1000)</f>
        <v>69.06105953372051</v>
      </c>
      <c r="L41" s="87">
        <f>IF(L12=0,0,L12/TrRail_act!L7*1000)</f>
        <v>68.961981129735619</v>
      </c>
      <c r="M41" s="87">
        <f>IF(M12=0,0,M12/TrRail_act!M7*1000)</f>
        <v>62.907389751715449</v>
      </c>
      <c r="N41" s="87">
        <f>IF(N12=0,0,N12/TrRail_act!N7*1000)</f>
        <v>59.115021779789132</v>
      </c>
      <c r="O41" s="87">
        <f>IF(O12=0,0,O12/TrRail_act!O7*1000)</f>
        <v>54.944066580735367</v>
      </c>
      <c r="P41" s="87">
        <f>IF(P12=0,0,P12/TrRail_act!P7*1000)</f>
        <v>55.324305361954558</v>
      </c>
      <c r="Q41" s="87">
        <f>IF(Q12=0,0,Q12/TrRail_act!Q7*1000)</f>
        <v>51.919192757964986</v>
      </c>
      <c r="R41" s="87">
        <f>IF(R12=0,0,R12/TrRail_act!R7*1000)</f>
        <v>51.277107783621958</v>
      </c>
      <c r="S41" s="87">
        <f>IF(S12=0,0,S12/TrRail_act!S7*1000)</f>
        <v>52.185929059139681</v>
      </c>
      <c r="T41" s="87">
        <f>IF(T12=0,0,T12/TrRail_act!T7*1000)</f>
        <v>50.482025227997234</v>
      </c>
      <c r="U41" s="87">
        <f>IF(U12=0,0,U12/TrRail_act!U7*1000)</f>
        <v>48.752896747519927</v>
      </c>
      <c r="V41" s="87">
        <f>IF(V12=0,0,V12/TrRail_act!V7*1000)</f>
        <v>82.08604326658542</v>
      </c>
      <c r="W41" s="87">
        <f>IF(W12=0,0,W12/TrRail_act!W7*1000)</f>
        <v>75.638482579364364</v>
      </c>
      <c r="X41" s="87">
        <f>IF(X12=0,0,X12/TrRail_act!X7*1000)</f>
        <v>77.717611262647168</v>
      </c>
      <c r="Y41" s="87">
        <f>IF(Y12=0,0,Y12/TrRail_act!Y7*1000)</f>
        <v>58.461340368665603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2.4778470156551302</v>
      </c>
      <c r="C44" s="29">
        <f>IF(C15=0,0,C15/TrRail_act!C10*1000)</f>
        <v>2.4185463837268175</v>
      </c>
      <c r="D44" s="29">
        <f>IF(D15=0,0,D15/TrRail_act!D10*1000)</f>
        <v>2.4657110458612976</v>
      </c>
      <c r="E44" s="29">
        <f>IF(E15=0,0,E15/TrRail_act!E10*1000)</f>
        <v>2.5052360267647442</v>
      </c>
      <c r="F44" s="29">
        <f>IF(F15=0,0,F15/TrRail_act!F10*1000)</f>
        <v>2.4992843483693683</v>
      </c>
      <c r="G44" s="29">
        <f>IF(G15=0,0,G15/TrRail_act!G10*1000)</f>
        <v>2.508149046047043</v>
      </c>
      <c r="H44" s="29">
        <f>IF(H15=0,0,H15/TrRail_act!H10*1000)</f>
        <v>2.5176947424211407</v>
      </c>
      <c r="I44" s="29">
        <f>IF(I15=0,0,I15/TrRail_act!I10*1000)</f>
        <v>2.4602396668350601</v>
      </c>
      <c r="J44" s="29">
        <f>IF(J15=0,0,J15/TrRail_act!J10*1000)</f>
        <v>1.5330870767747371</v>
      </c>
      <c r="K44" s="29">
        <f>IF(K15=0,0,K15/TrRail_act!K10*1000)</f>
        <v>1.4642298374441249</v>
      </c>
      <c r="L44" s="29">
        <f>IF(L15=0,0,L15/TrRail_act!L10*1000)</f>
        <v>1.3152137055208464</v>
      </c>
      <c r="M44" s="29">
        <f>IF(M15=0,0,M15/TrRail_act!M10*1000)</f>
        <v>1.087903328957186</v>
      </c>
      <c r="N44" s="29">
        <f>IF(N15=0,0,N15/TrRail_act!N10*1000)</f>
        <v>1.0983069669280805</v>
      </c>
      <c r="O44" s="29">
        <f>IF(O15=0,0,O15/TrRail_act!O10*1000)</f>
        <v>0.90664217113750967</v>
      </c>
      <c r="P44" s="29">
        <f>IF(P15=0,0,P15/TrRail_act!P10*1000)</f>
        <v>0.96071644194199957</v>
      </c>
      <c r="Q44" s="29">
        <f>IF(Q15=0,0,Q15/TrRail_act!Q10*1000)</f>
        <v>0.75902527796872077</v>
      </c>
      <c r="R44" s="29">
        <f>IF(R15=0,0,R15/TrRail_act!R10*1000)</f>
        <v>0.71664767969664567</v>
      </c>
      <c r="S44" s="29">
        <f>IF(S15=0,0,S15/TrRail_act!S10*1000)</f>
        <v>0.77907971092568851</v>
      </c>
      <c r="T44" s="29">
        <f>IF(T15=0,0,T15/TrRail_act!T10*1000)</f>
        <v>0.66601905554860408</v>
      </c>
      <c r="U44" s="29">
        <f>IF(U15=0,0,U15/TrRail_act!U10*1000)</f>
        <v>0.75881006957837904</v>
      </c>
      <c r="V44" s="29">
        <f>IF(V15=0,0,V15/TrRail_act!V10*1000)</f>
        <v>2.3017254869390493</v>
      </c>
      <c r="W44" s="29">
        <f>IF(W15=0,0,W15/TrRail_act!W10*1000)</f>
        <v>2.1614104458761743</v>
      </c>
      <c r="X44" s="29">
        <f>IF(X15=0,0,X15/TrRail_act!X10*1000)</f>
        <v>2.1085778043689842</v>
      </c>
      <c r="Y44" s="29">
        <f>IF(Y15=0,0,Y15/TrRail_act!Y10*1000)</f>
        <v>1.1904563373936081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42.752231249802179</v>
      </c>
      <c r="C45" s="87">
        <f>IF(C16=0,0,C16/TrRail_act!C11*1000)</f>
        <v>40.13165161482263</v>
      </c>
      <c r="D45" s="87">
        <f>IF(D16=0,0,D16/TrRail_act!D11*1000)</f>
        <v>38.562954837450086</v>
      </c>
      <c r="E45" s="87">
        <f>IF(E16=0,0,E16/TrRail_act!E11*1000)</f>
        <v>36.646347119207057</v>
      </c>
      <c r="F45" s="87">
        <f>IF(F16=0,0,F16/TrRail_act!F11*1000)</f>
        <v>35.927500524813723</v>
      </c>
      <c r="G45" s="87">
        <f>IF(G16=0,0,G16/TrRail_act!G11*1000)</f>
        <v>32.297476775131557</v>
      </c>
      <c r="H45" s="87">
        <f>IF(H16=0,0,H16/TrRail_act!H11*1000)</f>
        <v>32.483054505013016</v>
      </c>
      <c r="I45" s="87">
        <f>IF(I16=0,0,I16/TrRail_act!I11*1000)</f>
        <v>31.254989629083497</v>
      </c>
      <c r="J45" s="87">
        <f>IF(J16=0,0,J16/TrRail_act!J11*1000)</f>
        <v>21.686412253458389</v>
      </c>
      <c r="K45" s="87">
        <f>IF(K16=0,0,K16/TrRail_act!K11*1000)</f>
        <v>20.226964516958748</v>
      </c>
      <c r="L45" s="87">
        <f>IF(L16=0,0,L16/TrRail_act!L11*1000)</f>
        <v>19.132076889405244</v>
      </c>
      <c r="M45" s="87">
        <f>IF(M16=0,0,M16/TrRail_act!M11*1000)</f>
        <v>17.541099953681773</v>
      </c>
      <c r="N45" s="87">
        <f>IF(N16=0,0,N16/TrRail_act!N11*1000)</f>
        <v>16.680945402920941</v>
      </c>
      <c r="O45" s="87">
        <f>IF(O16=0,0,O16/TrRail_act!O11*1000)</f>
        <v>15.597105809230785</v>
      </c>
      <c r="P45" s="87">
        <f>IF(P16=0,0,P16/TrRail_act!P11*1000)</f>
        <v>15.191520599559789</v>
      </c>
      <c r="Q45" s="87">
        <f>IF(Q16=0,0,Q16/TrRail_act!Q11*1000)</f>
        <v>15.06330435057917</v>
      </c>
      <c r="R45" s="87">
        <f>IF(R16=0,0,R16/TrRail_act!R11*1000)</f>
        <v>14.200539832712852</v>
      </c>
      <c r="S45" s="87">
        <f>IF(S16=0,0,S16/TrRail_act!S11*1000)</f>
        <v>14.501846117004012</v>
      </c>
      <c r="T45" s="87">
        <f>IF(T16=0,0,T16/TrRail_act!T11*1000)</f>
        <v>12.819866563906849</v>
      </c>
      <c r="U45" s="87">
        <f>IF(U16=0,0,U16/TrRail_act!U11*1000)</f>
        <v>14.405100712576724</v>
      </c>
      <c r="V45" s="87">
        <f>IF(V16=0,0,V16/TrRail_act!V11*1000)</f>
        <v>33.501441856311487</v>
      </c>
      <c r="W45" s="87">
        <f>IF(W16=0,0,W16/TrRail_act!W11*1000)</f>
        <v>33.388426643960109</v>
      </c>
      <c r="X45" s="87">
        <f>IF(X16=0,0,X16/TrRail_act!X11*1000)</f>
        <v>32.572293466323693</v>
      </c>
      <c r="Y45" s="87">
        <f>IF(Y16=0,0,Y16/TrRail_act!Y11*1000)</f>
        <v>21.190267863169421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95.72266457178408</v>
      </c>
      <c r="C48" s="62">
        <f>IF(C8=0,0,1000000*C8/TrRail_act!C25/1000)</f>
        <v>98.109851800412557</v>
      </c>
      <c r="D48" s="62">
        <f>IF(D8=0,0,1000000*D8/TrRail_act!D25/1000)</f>
        <v>100.68110809040533</v>
      </c>
      <c r="E48" s="62">
        <f>IF(E8=0,0,1000000*E8/TrRail_act!E25/1000)</f>
        <v>104.44106627799145</v>
      </c>
      <c r="F48" s="62">
        <f>IF(F8=0,0,1000000*F8/TrRail_act!F25/1000)</f>
        <v>105.72696364080144</v>
      </c>
      <c r="G48" s="62">
        <f>IF(G8=0,0,1000000*G8/TrRail_act!G25/1000)</f>
        <v>114.74866306991851</v>
      </c>
      <c r="H48" s="62">
        <f>IF(H8=0,0,1000000*H8/TrRail_act!H25/1000)</f>
        <v>109.60234301927579</v>
      </c>
      <c r="I48" s="62">
        <f>IF(I8=0,0,1000000*I8/TrRail_act!I25/1000)</f>
        <v>106.94637647972522</v>
      </c>
      <c r="J48" s="62">
        <f>IF(J8=0,0,1000000*J8/TrRail_act!J25/1000)</f>
        <v>102.72162176437307</v>
      </c>
      <c r="K48" s="62">
        <f>IF(K8=0,0,1000000*K8/TrRail_act!K25/1000)</f>
        <v>98.503200748919625</v>
      </c>
      <c r="L48" s="62">
        <f>IF(L8=0,0,1000000*L8/TrRail_act!L25/1000)</f>
        <v>94.511414647543887</v>
      </c>
      <c r="M48" s="62">
        <f>IF(M8=0,0,1000000*M8/TrRail_act!M25/1000)</f>
        <v>81.343809636383185</v>
      </c>
      <c r="N48" s="62">
        <f>IF(N8=0,0,1000000*N8/TrRail_act!N25/1000)</f>
        <v>84.460984266008239</v>
      </c>
      <c r="O48" s="62">
        <f>IF(O8=0,0,1000000*O8/TrRail_act!O25/1000)</f>
        <v>67.759985663700618</v>
      </c>
      <c r="P48" s="62">
        <f>IF(P8=0,0,1000000*P8/TrRail_act!P25/1000)</f>
        <v>72.300002918830856</v>
      </c>
      <c r="Q48" s="62">
        <f>IF(Q8=0,0,1000000*Q8/TrRail_act!Q25/1000)</f>
        <v>53.475928201708321</v>
      </c>
      <c r="R48" s="62">
        <f>IF(R8=0,0,1000000*R8/TrRail_act!R25/1000)</f>
        <v>51.541065026871941</v>
      </c>
      <c r="S48" s="62">
        <f>IF(S8=0,0,1000000*S8/TrRail_act!S25/1000)</f>
        <v>53.787322162864562</v>
      </c>
      <c r="T48" s="62">
        <f>IF(T8=0,0,1000000*T8/TrRail_act!T25/1000)</f>
        <v>51.933587035047069</v>
      </c>
      <c r="U48" s="62">
        <f>IF(U8=0,0,1000000*U8/TrRail_act!U25/1000)</f>
        <v>50.572673389048994</v>
      </c>
      <c r="V48" s="62">
        <f>IF(V8=0,0,1000000*V8/TrRail_act!V25/1000)</f>
        <v>43.384989494483662</v>
      </c>
      <c r="W48" s="62">
        <f>IF(W8=0,0,1000000*W8/TrRail_act!W25/1000)</f>
        <v>43.702613191248524</v>
      </c>
      <c r="X48" s="62">
        <f>IF(X8=0,0,1000000*X8/TrRail_act!X25/1000)</f>
        <v>43.64771920138849</v>
      </c>
      <c r="Y48" s="62">
        <f>IF(Y8=0,0,1000000*Y8/TrRail_act!Y25/1000)</f>
        <v>40.307834040325737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77.719816811259221</v>
      </c>
      <c r="C49" s="29">
        <f>IF(C9=0,0,1000000*C9/TrRail_act!C26/1000)</f>
        <v>79.929763519384949</v>
      </c>
      <c r="D49" s="29">
        <f>IF(D9=0,0,1000000*D9/TrRail_act!D26/1000)</f>
        <v>81.89342828618831</v>
      </c>
      <c r="E49" s="29">
        <f>IF(E9=0,0,1000000*E9/TrRail_act!E26/1000)</f>
        <v>86.168332608746127</v>
      </c>
      <c r="F49" s="29">
        <f>IF(F9=0,0,1000000*F9/TrRail_act!F26/1000)</f>
        <v>85.687916919598194</v>
      </c>
      <c r="G49" s="29">
        <f>IF(G9=0,0,1000000*G9/TrRail_act!G26/1000)</f>
        <v>95.235601854285676</v>
      </c>
      <c r="H49" s="29">
        <f>IF(H9=0,0,1000000*H9/TrRail_act!H26/1000)</f>
        <v>86.577942663460092</v>
      </c>
      <c r="I49" s="29">
        <f>IF(I9=0,0,1000000*I9/TrRail_act!I26/1000)</f>
        <v>84.618282999151674</v>
      </c>
      <c r="J49" s="29">
        <f>IF(J9=0,0,1000000*J9/TrRail_act!J26/1000)</f>
        <v>95.360539137030969</v>
      </c>
      <c r="K49" s="29">
        <f>IF(K9=0,0,1000000*K9/TrRail_act!K26/1000)</f>
        <v>94.842083202750956</v>
      </c>
      <c r="L49" s="29">
        <f>IF(L9=0,0,1000000*L9/TrRail_act!L26/1000)</f>
        <v>90.247277812161528</v>
      </c>
      <c r="M49" s="29">
        <f>IF(M9=0,0,1000000*M9/TrRail_act!M26/1000)</f>
        <v>78.44546948242683</v>
      </c>
      <c r="N49" s="29">
        <f>IF(N9=0,0,1000000*N9/TrRail_act!N26/1000)</f>
        <v>81.570121116823458</v>
      </c>
      <c r="O49" s="29">
        <f>IF(O9=0,0,1000000*O9/TrRail_act!O26/1000)</f>
        <v>65.696941930624007</v>
      </c>
      <c r="P49" s="29">
        <f>IF(P9=0,0,1000000*P9/TrRail_act!P26/1000)</f>
        <v>68.976495113507639</v>
      </c>
      <c r="Q49" s="29">
        <f>IF(Q9=0,0,1000000*Q9/TrRail_act!Q26/1000)</f>
        <v>50.593987459812638</v>
      </c>
      <c r="R49" s="29">
        <f>IF(R9=0,0,1000000*R9/TrRail_act!R26/1000)</f>
        <v>48.788839396098631</v>
      </c>
      <c r="S49" s="29">
        <f>IF(S9=0,0,1000000*S9/TrRail_act!S26/1000)</f>
        <v>50.376342785876112</v>
      </c>
      <c r="T49" s="29">
        <f>IF(T9=0,0,1000000*T9/TrRail_act!T26/1000)</f>
        <v>49.995359161150731</v>
      </c>
      <c r="U49" s="29">
        <f>IF(U9=0,0,1000000*U9/TrRail_act!U26/1000)</f>
        <v>47.634890935525945</v>
      </c>
      <c r="V49" s="29">
        <f>IF(V9=0,0,1000000*V9/TrRail_act!V26/1000)</f>
        <v>22.325615020041056</v>
      </c>
      <c r="W49" s="29">
        <f>IF(W9=0,0,1000000*W9/TrRail_act!W26/1000)</f>
        <v>22.551007271223547</v>
      </c>
      <c r="X49" s="29">
        <f>IF(X9=0,0,1000000*X9/TrRail_act!X26/1000)</f>
        <v>22.541499866503962</v>
      </c>
      <c r="Y49" s="29">
        <f>IF(Y9=0,0,1000000*Y9/TrRail_act!Y26/1000)</f>
        <v>31.681241535133385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177.27317280897395</v>
      </c>
      <c r="C51" s="116">
        <f>IF(C11=0,0,1000000*C11/TrRail_act!C28/1000)</f>
        <v>192.65160867560868</v>
      </c>
      <c r="D51" s="116">
        <f>IF(D11=0,0,1000000*D11/TrRail_act!D28/1000)</f>
        <v>203.48505594637732</v>
      </c>
      <c r="E51" s="116">
        <f>IF(E11=0,0,1000000*E11/TrRail_act!E28/1000)</f>
        <v>215.88355892611793</v>
      </c>
      <c r="F51" s="116">
        <f>IF(F11=0,0,1000000*F11/TrRail_act!F28/1000)</f>
        <v>220.1683374868083</v>
      </c>
      <c r="G51" s="116">
        <f>IF(G11=0,0,1000000*G11/TrRail_act!G28/1000)</f>
        <v>250.57906147408929</v>
      </c>
      <c r="H51" s="116">
        <f>IF(H11=0,0,1000000*H11/TrRail_act!H28/1000)</f>
        <v>225.49674640263885</v>
      </c>
      <c r="I51" s="116">
        <f>IF(I11=0,0,1000000*I11/TrRail_act!I28/1000)</f>
        <v>219.30112509313375</v>
      </c>
      <c r="J51" s="116">
        <f>IF(J11=0,0,1000000*J11/TrRail_act!J28/1000)</f>
        <v>229.75785886097626</v>
      </c>
      <c r="K51" s="116">
        <f>IF(K11=0,0,1000000*K11/TrRail_act!K28/1000)</f>
        <v>223.40651030961507</v>
      </c>
      <c r="L51" s="116">
        <f>IF(L11=0,0,1000000*L11/TrRail_act!L28/1000)</f>
        <v>210.35779212601759</v>
      </c>
      <c r="M51" s="116">
        <f>IF(M11=0,0,1000000*M11/TrRail_act!M28/1000)</f>
        <v>193.10950942453638</v>
      </c>
      <c r="N51" s="116">
        <f>IF(N11=0,0,1000000*N11/TrRail_act!N28/1000)</f>
        <v>199.93574529848644</v>
      </c>
      <c r="O51" s="116">
        <f>IF(O11=0,0,1000000*O11/TrRail_act!O28/1000)</f>
        <v>146.8040314222508</v>
      </c>
      <c r="P51" s="116">
        <f>IF(P11=0,0,1000000*P11/TrRail_act!P28/1000)</f>
        <v>146.19148200785344</v>
      </c>
      <c r="Q51" s="116">
        <f>IF(Q11=0,0,1000000*Q11/TrRail_act!Q28/1000)</f>
        <v>106.54488662926197</v>
      </c>
      <c r="R51" s="116">
        <f>IF(R11=0,0,1000000*R11/TrRail_act!R28/1000)</f>
        <v>97.116626438197386</v>
      </c>
      <c r="S51" s="116">
        <f>IF(S11=0,0,1000000*S11/TrRail_act!S28/1000)</f>
        <v>96.473355630208758</v>
      </c>
      <c r="T51" s="116">
        <f>IF(T11=0,0,1000000*T11/TrRail_act!T28/1000)</f>
        <v>95.846996965976018</v>
      </c>
      <c r="U51" s="116">
        <f>IF(U11=0,0,1000000*U11/TrRail_act!U28/1000)</f>
        <v>92.253058710333434</v>
      </c>
      <c r="V51" s="116">
        <f>IF(V11=0,0,1000000*V11/TrRail_act!V28/1000)</f>
        <v>47.199880109171737</v>
      </c>
      <c r="W51" s="116">
        <f>IF(W11=0,0,1000000*W11/TrRail_act!W28/1000)</f>
        <v>50.449935846052419</v>
      </c>
      <c r="X51" s="116">
        <f>IF(X11=0,0,1000000*X11/TrRail_act!X28/1000)</f>
        <v>49.69653575016919</v>
      </c>
      <c r="Y51" s="116">
        <f>IF(Y11=0,0,1000000*Y11/TrRail_act!Y28/1000)</f>
        <v>64.098914002584266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1178.7931438256614</v>
      </c>
      <c r="C52" s="87">
        <f>IF(C12=0,0,1000000*C12/TrRail_act!C29/1000)</f>
        <v>1124.3175251410005</v>
      </c>
      <c r="D52" s="87">
        <f>IF(D12=0,0,1000000*D12/TrRail_act!D29/1000)</f>
        <v>1069.8087621581553</v>
      </c>
      <c r="E52" s="87">
        <f>IF(E12=0,0,1000000*E12/TrRail_act!E29/1000)</f>
        <v>1065.1705646487469</v>
      </c>
      <c r="F52" s="87">
        <f>IF(F12=0,0,1000000*F12/TrRail_act!F29/1000)</f>
        <v>1052.2939885966989</v>
      </c>
      <c r="G52" s="87">
        <f>IF(G12=0,0,1000000*G12/TrRail_act!G29/1000)</f>
        <v>1033.4873736698607</v>
      </c>
      <c r="H52" s="87">
        <f>IF(H12=0,0,1000000*H12/TrRail_act!H29/1000)</f>
        <v>929.8187110133307</v>
      </c>
      <c r="I52" s="87">
        <f>IF(I12=0,0,1000000*I12/TrRail_act!I29/1000)</f>
        <v>896.01549955641872</v>
      </c>
      <c r="J52" s="87">
        <f>IF(J12=0,0,1000000*J12/TrRail_act!J29/1000)</f>
        <v>874.73593417736868</v>
      </c>
      <c r="K52" s="87">
        <f>IF(K12=0,0,1000000*K12/TrRail_act!K29/1000)</f>
        <v>874.76672504076021</v>
      </c>
      <c r="L52" s="87">
        <f>IF(L12=0,0,1000000*L12/TrRail_act!L29/1000)</f>
        <v>894.70878333637199</v>
      </c>
      <c r="M52" s="87">
        <f>IF(M12=0,0,1000000*M12/TrRail_act!M29/1000)</f>
        <v>797.87459489491255</v>
      </c>
      <c r="N52" s="87">
        <f>IF(N12=0,0,1000000*N12/TrRail_act!N29/1000)</f>
        <v>832.00807101410828</v>
      </c>
      <c r="O52" s="87">
        <f>IF(O12=0,0,1000000*O12/TrRail_act!O29/1000)</f>
        <v>765.97354197599066</v>
      </c>
      <c r="P52" s="87">
        <f>IF(P12=0,0,1000000*P12/TrRail_act!P29/1000)</f>
        <v>791.91558821462013</v>
      </c>
      <c r="Q52" s="87">
        <f>IF(Q12=0,0,1000000*Q12/TrRail_act!Q29/1000)</f>
        <v>639.46535850899124</v>
      </c>
      <c r="R52" s="87">
        <f>IF(R12=0,0,1000000*R12/TrRail_act!R29/1000)</f>
        <v>693.98002532476482</v>
      </c>
      <c r="S52" s="87">
        <f>IF(S12=0,0,1000000*S12/TrRail_act!S29/1000)</f>
        <v>742.04761712435709</v>
      </c>
      <c r="T52" s="87">
        <f>IF(T12=0,0,1000000*T12/TrRail_act!T29/1000)</f>
        <v>741.1241103563865</v>
      </c>
      <c r="U52" s="87">
        <f>IF(U12=0,0,1000000*U12/TrRail_act!U29/1000)</f>
        <v>685.99163034261107</v>
      </c>
      <c r="V52" s="87">
        <f>IF(V12=0,0,1000000*V12/TrRail_act!V29/1000)</f>
        <v>353.75486428150793</v>
      </c>
      <c r="W52" s="87">
        <f>IF(W12=0,0,1000000*W12/TrRail_act!W29/1000)</f>
        <v>381.56265054391122</v>
      </c>
      <c r="X52" s="87">
        <f>IF(X12=0,0,1000000*X12/TrRail_act!X29/1000)</f>
        <v>411.90351271045796</v>
      </c>
      <c r="Y52" s="87">
        <f>IF(Y12=0,0,1000000*Y12/TrRail_act!Y29/1000)</f>
        <v>634.34065159141392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213.37463090824298</v>
      </c>
      <c r="C55" s="29">
        <f>IF(C15=0,0,1000000*C15/TrRail_act!C32/1000)</f>
        <v>216.39242922852117</v>
      </c>
      <c r="D55" s="29">
        <f>IF(D15=0,0,1000000*D15/TrRail_act!D32/1000)</f>
        <v>220.52412134926624</v>
      </c>
      <c r="E55" s="29">
        <f>IF(E15=0,0,1000000*E15/TrRail_act!E32/1000)</f>
        <v>223.92628605993511</v>
      </c>
      <c r="F55" s="29">
        <f>IF(F15=0,0,1000000*F15/TrRail_act!F32/1000)</f>
        <v>223.41869585300012</v>
      </c>
      <c r="G55" s="29">
        <f>IF(G15=0,0,1000000*G15/TrRail_act!G32/1000)</f>
        <v>229.89203481163406</v>
      </c>
      <c r="H55" s="29">
        <f>IF(H15=0,0,1000000*H15/TrRail_act!H32/1000)</f>
        <v>242.51662352874447</v>
      </c>
      <c r="I55" s="29">
        <f>IF(I15=0,0,1000000*I15/TrRail_act!I32/1000)</f>
        <v>233.77184441140082</v>
      </c>
      <c r="J55" s="29">
        <f>IF(J15=0,0,1000000*J15/TrRail_act!J32/1000)</f>
        <v>144.95362504601096</v>
      </c>
      <c r="K55" s="29">
        <f>IF(K15=0,0,1000000*K15/TrRail_act!K32/1000)</f>
        <v>122.42067391344095</v>
      </c>
      <c r="L55" s="29">
        <f>IF(L15=0,0,1000000*L15/TrRail_act!L32/1000)</f>
        <v>122.81756128127994</v>
      </c>
      <c r="M55" s="29">
        <f>IF(M15=0,0,1000000*M15/TrRail_act!M32/1000)</f>
        <v>98.999791683385851</v>
      </c>
      <c r="N55" s="29">
        <f>IF(N15=0,0,1000000*N15/TrRail_act!N32/1000)</f>
        <v>103.55037920487543</v>
      </c>
      <c r="O55" s="29">
        <f>IF(O15=0,0,1000000*O15/TrRail_act!O32/1000)</f>
        <v>81.917810656901054</v>
      </c>
      <c r="P55" s="29">
        <f>IF(P15=0,0,1000000*P15/TrRail_act!P32/1000)</f>
        <v>96.445904138374274</v>
      </c>
      <c r="Q55" s="29">
        <f>IF(Q15=0,0,1000000*Q15/TrRail_act!Q32/1000)</f>
        <v>74.516621739970248</v>
      </c>
      <c r="R55" s="29">
        <f>IF(R15=0,0,1000000*R15/TrRail_act!R32/1000)</f>
        <v>72.792193333810658</v>
      </c>
      <c r="S55" s="29">
        <f>IF(S15=0,0,1000000*S15/TrRail_act!S32/1000)</f>
        <v>80.801500941742759</v>
      </c>
      <c r="T55" s="29">
        <f>IF(T15=0,0,1000000*T15/TrRail_act!T32/1000)</f>
        <v>66.709762709576978</v>
      </c>
      <c r="U55" s="29">
        <f>IF(U15=0,0,1000000*U15/TrRail_act!U32/1000)</f>
        <v>72.872489560547095</v>
      </c>
      <c r="V55" s="29">
        <f>IF(V15=0,0,1000000*V15/TrRail_act!V32/1000)</f>
        <v>201.80032999452035</v>
      </c>
      <c r="W55" s="29">
        <f>IF(W15=0,0,1000000*W15/TrRail_act!W32/1000)</f>
        <v>199.28187061965318</v>
      </c>
      <c r="X55" s="29">
        <f>IF(X15=0,0,1000000*X15/TrRail_act!X32/1000)</f>
        <v>197.29939319437648</v>
      </c>
      <c r="Y55" s="29">
        <f>IF(Y15=0,0,1000000*Y15/TrRail_act!Y32/1000)</f>
        <v>105.54789007995851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3897.8093259960842</v>
      </c>
      <c r="C56" s="87">
        <f>IF(C16=0,0,1000000*C16/TrRail_act!C33/1000)</f>
        <v>3658.1141658756601</v>
      </c>
      <c r="D56" s="87">
        <f>IF(D16=0,0,1000000*D16/TrRail_act!D33/1000)</f>
        <v>3367.5282236148278</v>
      </c>
      <c r="E56" s="87">
        <f>IF(E16=0,0,1000000*E16/TrRail_act!E33/1000)</f>
        <v>3198.8651563614635</v>
      </c>
      <c r="F56" s="87">
        <f>IF(F16=0,0,1000000*F16/TrRail_act!F33/1000)</f>
        <v>3135.772214996754</v>
      </c>
      <c r="G56" s="87">
        <f>IF(G16=0,0,1000000*G16/TrRail_act!G33/1000)</f>
        <v>2992.7088117117828</v>
      </c>
      <c r="H56" s="87">
        <f>IF(H16=0,0,1000000*H16/TrRail_act!H33/1000)</f>
        <v>2875.0364172373579</v>
      </c>
      <c r="I56" s="87">
        <f>IF(I16=0,0,1000000*I16/TrRail_act!I33/1000)</f>
        <v>2706.6662328644566</v>
      </c>
      <c r="J56" s="87">
        <f>IF(J16=0,0,1000000*J16/TrRail_act!J33/1000)</f>
        <v>1828.9360770375813</v>
      </c>
      <c r="K56" s="87">
        <f>IF(K16=0,0,1000000*K16/TrRail_act!K33/1000)</f>
        <v>1502.4737000033365</v>
      </c>
      <c r="L56" s="87">
        <f>IF(L16=0,0,1000000*L16/TrRail_act!L33/1000)</f>
        <v>1604.2709214441079</v>
      </c>
      <c r="M56" s="87">
        <f>IF(M16=0,0,1000000*M16/TrRail_act!M33/1000)</f>
        <v>1455.7393658944045</v>
      </c>
      <c r="N56" s="87">
        <f>IF(N16=0,0,1000000*N16/TrRail_act!N33/1000)</f>
        <v>1513.6013191731411</v>
      </c>
      <c r="O56" s="87">
        <f>IF(O16=0,0,1000000*O16/TrRail_act!O33/1000)</f>
        <v>1334.8597504622769</v>
      </c>
      <c r="P56" s="87">
        <f>IF(P16=0,0,1000000*P16/TrRail_act!P33/1000)</f>
        <v>1655.6164968794703</v>
      </c>
      <c r="Q56" s="87">
        <f>IF(Q16=0,0,1000000*Q16/TrRail_act!Q33/1000)</f>
        <v>1438.4153906507227</v>
      </c>
      <c r="R56" s="87">
        <f>IF(R16=0,0,1000000*R16/TrRail_act!R33/1000)</f>
        <v>1541.948868330441</v>
      </c>
      <c r="S56" s="87">
        <f>IF(S16=0,0,1000000*S16/TrRail_act!S33/1000)</f>
        <v>1954.2338785562306</v>
      </c>
      <c r="T56" s="87">
        <f>IF(T16=0,0,1000000*T16/TrRail_act!T33/1000)</f>
        <v>1874.0014406191412</v>
      </c>
      <c r="U56" s="87">
        <f>IF(U16=0,0,1000000*U16/TrRail_act!U33/1000)</f>
        <v>2111.8313382556676</v>
      </c>
      <c r="V56" s="87">
        <f>IF(V16=0,0,1000000*V16/TrRail_act!V33/1000)</f>
        <v>2073.846958183638</v>
      </c>
      <c r="W56" s="87">
        <f>IF(W16=0,0,1000000*W16/TrRail_act!W33/1000)</f>
        <v>2054.001332005223</v>
      </c>
      <c r="X56" s="87">
        <f>IF(X16=0,0,1000000*X16/TrRail_act!X33/1000)</f>
        <v>2041.224130198194</v>
      </c>
      <c r="Y56" s="87">
        <f>IF(Y16=0,0,1000000*Y16/TrRail_act!Y33/1000)</f>
        <v>1101.1757036495362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0.7041755934345727</v>
      </c>
      <c r="C60" s="31">
        <f t="shared" ref="C60:V60" si="13">IF(C9=0,0,C9/C$8)</f>
        <v>0.70615955046107948</v>
      </c>
      <c r="D60" s="31">
        <f t="shared" si="13"/>
        <v>0.70316037849189295</v>
      </c>
      <c r="E60" s="31">
        <f t="shared" si="13"/>
        <v>0.715605873922181</v>
      </c>
      <c r="F60" s="31">
        <f t="shared" si="13"/>
        <v>0.69254624137470677</v>
      </c>
      <c r="G60" s="31">
        <f t="shared" si="13"/>
        <v>0.70968158031541018</v>
      </c>
      <c r="H60" s="31">
        <f t="shared" si="13"/>
        <v>0.67329472477757335</v>
      </c>
      <c r="I60" s="31">
        <f t="shared" si="13"/>
        <v>0.67277675821558947</v>
      </c>
      <c r="J60" s="31">
        <f t="shared" si="13"/>
        <v>0.79054642705095535</v>
      </c>
      <c r="K60" s="31">
        <f t="shared" si="13"/>
        <v>0.83501440530330318</v>
      </c>
      <c r="L60" s="31">
        <f t="shared" si="13"/>
        <v>0.82986808119604805</v>
      </c>
      <c r="M60" s="31">
        <f t="shared" si="13"/>
        <v>0.82838471490097421</v>
      </c>
      <c r="N60" s="31">
        <f t="shared" si="13"/>
        <v>0.83875349838910507</v>
      </c>
      <c r="O60" s="31">
        <f t="shared" si="13"/>
        <v>0.84624142120064028</v>
      </c>
      <c r="P60" s="31">
        <f t="shared" si="13"/>
        <v>0.8386039651432825</v>
      </c>
      <c r="Q60" s="31">
        <f t="shared" si="13"/>
        <v>0.83213085758114724</v>
      </c>
      <c r="R60" s="31">
        <f t="shared" si="13"/>
        <v>0.83806395690624769</v>
      </c>
      <c r="S60" s="31">
        <f t="shared" si="13"/>
        <v>0.8315830670375649</v>
      </c>
      <c r="T60" s="31">
        <f t="shared" si="13"/>
        <v>0.85104502014323968</v>
      </c>
      <c r="U60" s="31">
        <f t="shared" si="13"/>
        <v>0.83226669741377801</v>
      </c>
      <c r="V60" s="31">
        <f t="shared" si="13"/>
        <v>0.45421126158016484</v>
      </c>
      <c r="W60" s="31">
        <f t="shared" ref="W60:Y60" si="14">IF(W9=0,0,W9/W$8)</f>
        <v>0.45425303112486953</v>
      </c>
      <c r="X60" s="31">
        <f t="shared" si="14"/>
        <v>0.4540688928426887</v>
      </c>
      <c r="Y60" s="31">
        <f t="shared" si="14"/>
        <v>0.69419049253744547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0.7041755934345727</v>
      </c>
      <c r="C62" s="124">
        <f t="shared" ref="C62:V62" si="17">IF(C11=0,0,C11/C$8)</f>
        <v>0.70615955046107948</v>
      </c>
      <c r="D62" s="124">
        <f t="shared" si="17"/>
        <v>0.70316037849189295</v>
      </c>
      <c r="E62" s="124">
        <f t="shared" si="17"/>
        <v>0.715605873922181</v>
      </c>
      <c r="F62" s="124">
        <f t="shared" si="17"/>
        <v>0.69254624137470677</v>
      </c>
      <c r="G62" s="124">
        <f t="shared" si="17"/>
        <v>0.70968158031541018</v>
      </c>
      <c r="H62" s="124">
        <f t="shared" si="17"/>
        <v>0.67329472477757335</v>
      </c>
      <c r="I62" s="124">
        <f t="shared" si="17"/>
        <v>0.67277675821558947</v>
      </c>
      <c r="J62" s="124">
        <f t="shared" si="17"/>
        <v>0.79054642705095535</v>
      </c>
      <c r="K62" s="124">
        <f t="shared" si="17"/>
        <v>0.83501440530330318</v>
      </c>
      <c r="L62" s="124">
        <f t="shared" si="17"/>
        <v>0.82986808119604805</v>
      </c>
      <c r="M62" s="124">
        <f t="shared" si="17"/>
        <v>0.82838471490097421</v>
      </c>
      <c r="N62" s="124">
        <f t="shared" si="17"/>
        <v>0.83875349838910507</v>
      </c>
      <c r="O62" s="124">
        <f t="shared" si="17"/>
        <v>0.84624142120064028</v>
      </c>
      <c r="P62" s="124">
        <f t="shared" si="17"/>
        <v>0.8386039651432825</v>
      </c>
      <c r="Q62" s="124">
        <f t="shared" si="17"/>
        <v>0.83213085758114724</v>
      </c>
      <c r="R62" s="124">
        <f t="shared" si="17"/>
        <v>0.83806395690624769</v>
      </c>
      <c r="S62" s="124">
        <f t="shared" si="17"/>
        <v>0.8315830670375649</v>
      </c>
      <c r="T62" s="124">
        <f t="shared" si="17"/>
        <v>0.85104502014323968</v>
      </c>
      <c r="U62" s="124">
        <f t="shared" si="17"/>
        <v>0.83226669741377801</v>
      </c>
      <c r="V62" s="124">
        <f t="shared" si="17"/>
        <v>0.45421126158016484</v>
      </c>
      <c r="W62" s="124">
        <f t="shared" ref="W62:Y62" si="18">IF(W11=0,0,W11/W$8)</f>
        <v>0.45425303112486953</v>
      </c>
      <c r="X62" s="124">
        <f t="shared" si="18"/>
        <v>0.4540688928426887</v>
      </c>
      <c r="Y62" s="124">
        <f t="shared" si="18"/>
        <v>0.69419049253744547</v>
      </c>
      <c r="DA62" s="176"/>
    </row>
    <row r="63" spans="1:105" ht="11.45" customHeight="1" x14ac:dyDescent="0.25">
      <c r="A63" s="111" t="s">
        <v>92</v>
      </c>
      <c r="B63" s="125">
        <f t="shared" si="10"/>
        <v>0.7041755934345727</v>
      </c>
      <c r="C63" s="125">
        <f t="shared" ref="C63:V63" si="19">IF(C12=0,0,C12/C$8)</f>
        <v>0.70615955046107948</v>
      </c>
      <c r="D63" s="125">
        <f t="shared" si="19"/>
        <v>0.70316037849189295</v>
      </c>
      <c r="E63" s="125">
        <f t="shared" si="19"/>
        <v>0.715605873922181</v>
      </c>
      <c r="F63" s="125">
        <f t="shared" si="19"/>
        <v>0.69254624137470677</v>
      </c>
      <c r="G63" s="125">
        <f t="shared" si="19"/>
        <v>0.70968158031541018</v>
      </c>
      <c r="H63" s="125">
        <f t="shared" si="19"/>
        <v>0.67329472477757335</v>
      </c>
      <c r="I63" s="125">
        <f t="shared" si="19"/>
        <v>0.67277675821558947</v>
      </c>
      <c r="J63" s="125">
        <f t="shared" si="19"/>
        <v>0.79054642705095535</v>
      </c>
      <c r="K63" s="125">
        <f t="shared" si="19"/>
        <v>0.83501440530330318</v>
      </c>
      <c r="L63" s="125">
        <f t="shared" si="19"/>
        <v>0.82986808119604805</v>
      </c>
      <c r="M63" s="125">
        <f t="shared" si="19"/>
        <v>0.82838471490097421</v>
      </c>
      <c r="N63" s="125">
        <f t="shared" si="19"/>
        <v>0.83875349838910507</v>
      </c>
      <c r="O63" s="125">
        <f t="shared" si="19"/>
        <v>0.84624142120064028</v>
      </c>
      <c r="P63" s="125">
        <f t="shared" si="19"/>
        <v>0.8386039651432825</v>
      </c>
      <c r="Q63" s="125">
        <f t="shared" si="19"/>
        <v>0.83213085758114724</v>
      </c>
      <c r="R63" s="125">
        <f t="shared" si="19"/>
        <v>0.83806395690624769</v>
      </c>
      <c r="S63" s="125">
        <f t="shared" si="19"/>
        <v>0.8315830670375649</v>
      </c>
      <c r="T63" s="125">
        <f t="shared" si="19"/>
        <v>0.85104502014323968</v>
      </c>
      <c r="U63" s="125">
        <f t="shared" si="19"/>
        <v>0.83226669741377801</v>
      </c>
      <c r="V63" s="125">
        <f t="shared" si="19"/>
        <v>0.45421126158016484</v>
      </c>
      <c r="W63" s="125">
        <f t="shared" ref="W63:Y63" si="20">IF(W12=0,0,W12/W$8)</f>
        <v>0.45425303112486953</v>
      </c>
      <c r="X63" s="125">
        <f t="shared" si="20"/>
        <v>0.4540688928426887</v>
      </c>
      <c r="Y63" s="125">
        <f t="shared" si="20"/>
        <v>0.69419049253744547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0.2958244065654273</v>
      </c>
      <c r="C66" s="31">
        <f t="shared" ref="C66:V66" si="25">IF(C15=0,0,C15/C$8)</f>
        <v>0.29384044953892058</v>
      </c>
      <c r="D66" s="31">
        <f t="shared" si="25"/>
        <v>0.29683962150810705</v>
      </c>
      <c r="E66" s="31">
        <f t="shared" si="25"/>
        <v>0.284394126077819</v>
      </c>
      <c r="F66" s="31">
        <f t="shared" si="25"/>
        <v>0.30745375862529323</v>
      </c>
      <c r="G66" s="31">
        <f t="shared" si="25"/>
        <v>0.29031841968458988</v>
      </c>
      <c r="H66" s="31">
        <f t="shared" si="25"/>
        <v>0.32670527522242654</v>
      </c>
      <c r="I66" s="31">
        <f t="shared" si="25"/>
        <v>0.32722324178441059</v>
      </c>
      <c r="J66" s="31">
        <f t="shared" si="25"/>
        <v>0.20945357294904463</v>
      </c>
      <c r="K66" s="31">
        <f t="shared" si="25"/>
        <v>0.16498559469669682</v>
      </c>
      <c r="L66" s="31">
        <f t="shared" si="25"/>
        <v>0.17013191880395193</v>
      </c>
      <c r="M66" s="31">
        <f t="shared" si="25"/>
        <v>0.17161528509902566</v>
      </c>
      <c r="N66" s="31">
        <f t="shared" si="25"/>
        <v>0.1612465016108949</v>
      </c>
      <c r="O66" s="31">
        <f t="shared" si="25"/>
        <v>0.15375857879935978</v>
      </c>
      <c r="P66" s="31">
        <f t="shared" si="25"/>
        <v>0.16139603485671752</v>
      </c>
      <c r="Q66" s="31">
        <f t="shared" si="25"/>
        <v>0.16786914241885276</v>
      </c>
      <c r="R66" s="31">
        <f t="shared" si="25"/>
        <v>0.16193604309375229</v>
      </c>
      <c r="S66" s="31">
        <f t="shared" si="25"/>
        <v>0.1684169329624351</v>
      </c>
      <c r="T66" s="31">
        <f t="shared" si="25"/>
        <v>0.14895497985676034</v>
      </c>
      <c r="U66" s="31">
        <f t="shared" si="25"/>
        <v>0.16773330258622191</v>
      </c>
      <c r="V66" s="31">
        <f t="shared" si="25"/>
        <v>0.54578873841983511</v>
      </c>
      <c r="W66" s="31">
        <f t="shared" ref="W66:Y66" si="26">IF(W15=0,0,W15/W$8)</f>
        <v>0.54574696887513041</v>
      </c>
      <c r="X66" s="31">
        <f t="shared" si="26"/>
        <v>0.5459311071573113</v>
      </c>
      <c r="Y66" s="31">
        <f t="shared" si="26"/>
        <v>0.30580950746255453</v>
      </c>
      <c r="DA66" s="173"/>
    </row>
    <row r="67" spans="1:105" ht="11.45" customHeight="1" x14ac:dyDescent="0.25">
      <c r="A67" s="83" t="s">
        <v>92</v>
      </c>
      <c r="B67" s="125">
        <f t="shared" si="10"/>
        <v>0.2958244065654273</v>
      </c>
      <c r="C67" s="125">
        <f t="shared" ref="C67:V67" si="27">IF(C16=0,0,C16/C$8)</f>
        <v>0.29384044953892058</v>
      </c>
      <c r="D67" s="125">
        <f t="shared" si="27"/>
        <v>0.29683962150810705</v>
      </c>
      <c r="E67" s="125">
        <f t="shared" si="27"/>
        <v>0.284394126077819</v>
      </c>
      <c r="F67" s="125">
        <f t="shared" si="27"/>
        <v>0.30745375862529323</v>
      </c>
      <c r="G67" s="125">
        <f t="shared" si="27"/>
        <v>0.29031841968458988</v>
      </c>
      <c r="H67" s="125">
        <f t="shared" si="27"/>
        <v>0.32670527522242654</v>
      </c>
      <c r="I67" s="125">
        <f t="shared" si="27"/>
        <v>0.32722324178441059</v>
      </c>
      <c r="J67" s="125">
        <f t="shared" si="27"/>
        <v>0.20945357294904463</v>
      </c>
      <c r="K67" s="125">
        <f t="shared" si="27"/>
        <v>0.16498559469669682</v>
      </c>
      <c r="L67" s="125">
        <f t="shared" si="27"/>
        <v>0.17013191880395193</v>
      </c>
      <c r="M67" s="125">
        <f t="shared" si="27"/>
        <v>0.17161528509902566</v>
      </c>
      <c r="N67" s="125">
        <f t="shared" si="27"/>
        <v>0.1612465016108949</v>
      </c>
      <c r="O67" s="125">
        <f t="shared" si="27"/>
        <v>0.15375857879935978</v>
      </c>
      <c r="P67" s="125">
        <f t="shared" si="27"/>
        <v>0.16139603485671752</v>
      </c>
      <c r="Q67" s="125">
        <f t="shared" si="27"/>
        <v>0.16786914241885276</v>
      </c>
      <c r="R67" s="125">
        <f t="shared" si="27"/>
        <v>0.16193604309375229</v>
      </c>
      <c r="S67" s="125">
        <f t="shared" si="27"/>
        <v>0.1684169329624351</v>
      </c>
      <c r="T67" s="125">
        <f t="shared" si="27"/>
        <v>0.14895497985676034</v>
      </c>
      <c r="U67" s="125">
        <f t="shared" si="27"/>
        <v>0.16773330258622191</v>
      </c>
      <c r="V67" s="125">
        <f t="shared" si="27"/>
        <v>0.54578873841983511</v>
      </c>
      <c r="W67" s="125">
        <f t="shared" ref="W67:Y67" si="28">IF(W16=0,0,W16/W$8)</f>
        <v>0.54574696887513041</v>
      </c>
      <c r="X67" s="125">
        <f t="shared" si="28"/>
        <v>0.5459311071573113</v>
      </c>
      <c r="Y67" s="125">
        <f t="shared" si="28"/>
        <v>0.30580950746255453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13556.997210907819</v>
      </c>
      <c r="C4" s="11">
        <f t="shared" si="0"/>
        <v>13564.891231067448</v>
      </c>
      <c r="D4" s="11">
        <f t="shared" ref="D4:V4" si="1">SUM(D5:D7)</f>
        <v>14157.346775246435</v>
      </c>
      <c r="E4" s="11">
        <f t="shared" si="1"/>
        <v>14546.982667349283</v>
      </c>
      <c r="F4" s="11">
        <f t="shared" si="1"/>
        <v>17173.443848633226</v>
      </c>
      <c r="G4" s="11">
        <f t="shared" si="1"/>
        <v>18710.541662745087</v>
      </c>
      <c r="H4" s="11">
        <f t="shared" si="1"/>
        <v>18405.437721511957</v>
      </c>
      <c r="I4" s="11">
        <f t="shared" si="1"/>
        <v>18816.16524840302</v>
      </c>
      <c r="J4" s="11">
        <f t="shared" si="1"/>
        <v>18798.712954205224</v>
      </c>
      <c r="K4" s="11">
        <f t="shared" si="1"/>
        <v>16698.609360804152</v>
      </c>
      <c r="L4" s="11">
        <f t="shared" si="1"/>
        <v>17905.628056380985</v>
      </c>
      <c r="M4" s="11">
        <f t="shared" si="1"/>
        <v>18661.301457798883</v>
      </c>
      <c r="N4" s="11">
        <f t="shared" si="1"/>
        <v>19016.074339722793</v>
      </c>
      <c r="O4" s="11">
        <f t="shared" si="1"/>
        <v>19081.994965501413</v>
      </c>
      <c r="P4" s="11">
        <f t="shared" si="1"/>
        <v>20440.221516405516</v>
      </c>
      <c r="Q4" s="11">
        <f t="shared" si="1"/>
        <v>20966.063381252821</v>
      </c>
      <c r="R4" s="11">
        <f t="shared" si="1"/>
        <v>20987.647783945264</v>
      </c>
      <c r="S4" s="11">
        <f t="shared" si="1"/>
        <v>21810.849756601325</v>
      </c>
      <c r="T4" s="11">
        <f t="shared" si="1"/>
        <v>25346.132708190275</v>
      </c>
      <c r="U4" s="11">
        <f t="shared" si="1"/>
        <v>30143.580079857362</v>
      </c>
      <c r="V4" s="11">
        <f t="shared" si="1"/>
        <v>7442.9413193550445</v>
      </c>
      <c r="W4" s="11">
        <f t="shared" ref="W4:Y4" si="2">SUM(W5:W7)</f>
        <v>8872.4733077098881</v>
      </c>
      <c r="X4" s="11">
        <f t="shared" si="2"/>
        <v>21376.774041802335</v>
      </c>
      <c r="Y4" s="11">
        <f t="shared" si="2"/>
        <v>28467.54104121912</v>
      </c>
      <c r="DA4" s="189" t="s">
        <v>190</v>
      </c>
    </row>
    <row r="5" spans="1:105" ht="11.45" customHeight="1" x14ac:dyDescent="0.25">
      <c r="A5" s="83" t="s">
        <v>27</v>
      </c>
      <c r="B5" s="84">
        <v>157.73010977986456</v>
      </c>
      <c r="C5" s="84">
        <v>161.6706720296161</v>
      </c>
      <c r="D5" s="84">
        <v>164.77891671145522</v>
      </c>
      <c r="E5" s="84">
        <v>169.57291546636549</v>
      </c>
      <c r="F5" s="84">
        <v>176.9205698250168</v>
      </c>
      <c r="G5" s="84">
        <v>176.76307214720245</v>
      </c>
      <c r="H5" s="84">
        <v>222.22347415220128</v>
      </c>
      <c r="I5" s="84">
        <v>239.27197635652539</v>
      </c>
      <c r="J5" s="84">
        <v>254.91024629023923</v>
      </c>
      <c r="K5" s="84">
        <v>253.19715721549841</v>
      </c>
      <c r="L5" s="84">
        <v>273.91358864677414</v>
      </c>
      <c r="M5" s="84">
        <v>214.35635078544078</v>
      </c>
      <c r="N5" s="84">
        <v>199.03830850251691</v>
      </c>
      <c r="O5" s="84">
        <v>190.16316407123657</v>
      </c>
      <c r="P5" s="84">
        <v>178.54922045539277</v>
      </c>
      <c r="Q5" s="84">
        <v>162.94319937007094</v>
      </c>
      <c r="R5" s="84">
        <v>156.4305711148541</v>
      </c>
      <c r="S5" s="84">
        <v>167.92680319809793</v>
      </c>
      <c r="T5" s="84">
        <v>184.04799250286447</v>
      </c>
      <c r="U5" s="84">
        <v>174.94500495564222</v>
      </c>
      <c r="V5" s="84">
        <v>44.97552719827641</v>
      </c>
      <c r="W5" s="84">
        <v>32.685958448531302</v>
      </c>
      <c r="X5" s="84">
        <v>72.223238344160052</v>
      </c>
      <c r="Y5" s="84">
        <v>81.445386437117307</v>
      </c>
      <c r="DA5" s="171" t="s">
        <v>191</v>
      </c>
    </row>
    <row r="6" spans="1:105" ht="11.45" customHeight="1" x14ac:dyDescent="0.25">
      <c r="A6" s="83" t="s">
        <v>181</v>
      </c>
      <c r="B6" s="84">
        <v>6152.2971345716414</v>
      </c>
      <c r="C6" s="84">
        <v>6147.9535135985998</v>
      </c>
      <c r="D6" s="84">
        <v>6288.8131270261247</v>
      </c>
      <c r="E6" s="84">
        <v>6674.18953204441</v>
      </c>
      <c r="F6" s="84">
        <v>7395.0010590480388</v>
      </c>
      <c r="G6" s="84">
        <v>7750.9805055047746</v>
      </c>
      <c r="H6" s="84">
        <v>8014.0555930683613</v>
      </c>
      <c r="I6" s="84">
        <v>8416.4650449701385</v>
      </c>
      <c r="J6" s="84">
        <v>8348.8353529856195</v>
      </c>
      <c r="K6" s="84">
        <v>7585.2525710399013</v>
      </c>
      <c r="L6" s="84">
        <v>8053.221960277112</v>
      </c>
      <c r="M6" s="84">
        <v>8690.087345060896</v>
      </c>
      <c r="N6" s="84">
        <v>8877.8997455986082</v>
      </c>
      <c r="O6" s="84">
        <v>8749.6069040402817</v>
      </c>
      <c r="P6" s="84">
        <v>9101.8208266513193</v>
      </c>
      <c r="Q6" s="84">
        <v>9333.3286223853647</v>
      </c>
      <c r="R6" s="84">
        <v>9841.1967630690106</v>
      </c>
      <c r="S6" s="84">
        <v>10099.005798214599</v>
      </c>
      <c r="T6" s="84">
        <v>11149.098232634444</v>
      </c>
      <c r="U6" s="84">
        <v>13103.377682886836</v>
      </c>
      <c r="V6" s="84">
        <v>3701.6698502209233</v>
      </c>
      <c r="W6" s="84">
        <v>4437.0147707804872</v>
      </c>
      <c r="X6" s="84">
        <v>10549.444763355481</v>
      </c>
      <c r="Y6" s="84">
        <v>13000.303875640462</v>
      </c>
      <c r="DA6" s="171" t="s">
        <v>192</v>
      </c>
    </row>
    <row r="7" spans="1:105" ht="11.45" customHeight="1" x14ac:dyDescent="0.25">
      <c r="A7" s="83" t="s">
        <v>182</v>
      </c>
      <c r="B7" s="84">
        <v>7246.969966556313</v>
      </c>
      <c r="C7" s="84">
        <v>7255.2670454392319</v>
      </c>
      <c r="D7" s="84">
        <v>7703.7547315088559</v>
      </c>
      <c r="E7" s="84">
        <v>7703.2202198385066</v>
      </c>
      <c r="F7" s="84">
        <v>9601.5222197601688</v>
      </c>
      <c r="G7" s="84">
        <v>10782.798085093111</v>
      </c>
      <c r="H7" s="84">
        <v>10169.158654291394</v>
      </c>
      <c r="I7" s="84">
        <v>10160.428227076356</v>
      </c>
      <c r="J7" s="84">
        <v>10194.967354929366</v>
      </c>
      <c r="K7" s="84">
        <v>8860.1596325487535</v>
      </c>
      <c r="L7" s="84">
        <v>9578.4925074570965</v>
      </c>
      <c r="M7" s="84">
        <v>9756.8577619525458</v>
      </c>
      <c r="N7" s="84">
        <v>9939.1362856216674</v>
      </c>
      <c r="O7" s="84">
        <v>10142.224897389893</v>
      </c>
      <c r="P7" s="84">
        <v>11159.851469298805</v>
      </c>
      <c r="Q7" s="84">
        <v>11469.791559497386</v>
      </c>
      <c r="R7" s="84">
        <v>10990.020449761398</v>
      </c>
      <c r="S7" s="84">
        <v>11543.917155188628</v>
      </c>
      <c r="T7" s="84">
        <v>14012.986483052966</v>
      </c>
      <c r="U7" s="84">
        <v>16865.257392014886</v>
      </c>
      <c r="V7" s="84">
        <v>3696.2959419358449</v>
      </c>
      <c r="W7" s="84">
        <v>4402.7725784808699</v>
      </c>
      <c r="X7" s="84">
        <v>10755.106040102693</v>
      </c>
      <c r="Y7" s="84">
        <v>15385.791779141542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137.05997666481613</v>
      </c>
      <c r="C8" s="13">
        <f t="shared" si="3"/>
        <v>123.00266581559336</v>
      </c>
      <c r="D8" s="13">
        <f t="shared" ref="D8:V8" si="4">SUM(D9:D11)</f>
        <v>138.13893520771055</v>
      </c>
      <c r="E8" s="13">
        <f t="shared" si="4"/>
        <v>140.12249023380949</v>
      </c>
      <c r="F8" s="13">
        <f t="shared" si="4"/>
        <v>174.25042308911409</v>
      </c>
      <c r="G8" s="13">
        <f t="shared" si="4"/>
        <v>213.20408635812939</v>
      </c>
      <c r="H8" s="13">
        <f t="shared" si="4"/>
        <v>195.75307471372713</v>
      </c>
      <c r="I8" s="13">
        <f t="shared" si="4"/>
        <v>169.29244117464347</v>
      </c>
      <c r="J8" s="13">
        <f t="shared" si="4"/>
        <v>153.02161737914156</v>
      </c>
      <c r="K8" s="13">
        <f t="shared" si="4"/>
        <v>133.60031422845594</v>
      </c>
      <c r="L8" s="13">
        <f t="shared" si="4"/>
        <v>143.70996452422801</v>
      </c>
      <c r="M8" s="13">
        <f t="shared" si="4"/>
        <v>185.62823991679099</v>
      </c>
      <c r="N8" s="13">
        <f t="shared" si="4"/>
        <v>205.90288877226794</v>
      </c>
      <c r="O8" s="13">
        <f t="shared" si="4"/>
        <v>235.11280170397882</v>
      </c>
      <c r="P8" s="13">
        <f t="shared" si="4"/>
        <v>303.35390059416733</v>
      </c>
      <c r="Q8" s="13">
        <f t="shared" si="4"/>
        <v>370.41487028838003</v>
      </c>
      <c r="R8" s="13">
        <f t="shared" si="4"/>
        <v>384.20050096047072</v>
      </c>
      <c r="S8" s="13">
        <f t="shared" si="4"/>
        <v>412.86743748035042</v>
      </c>
      <c r="T8" s="13">
        <f t="shared" si="4"/>
        <v>493.76468343676731</v>
      </c>
      <c r="U8" s="13">
        <f t="shared" si="4"/>
        <v>527.01219058905212</v>
      </c>
      <c r="V8" s="13">
        <f t="shared" si="4"/>
        <v>176.84388346573161</v>
      </c>
      <c r="W8" s="13">
        <f t="shared" ref="W8:Y8" si="5">SUM(W9:W11)</f>
        <v>172.42292825189668</v>
      </c>
      <c r="X8" s="13">
        <f t="shared" si="5"/>
        <v>224.77595374753622</v>
      </c>
      <c r="Y8" s="13">
        <f t="shared" si="5"/>
        <v>231.2590548679012</v>
      </c>
      <c r="DA8" s="193" t="s">
        <v>194</v>
      </c>
    </row>
    <row r="9" spans="1:105" ht="11.45" customHeight="1" x14ac:dyDescent="0.25">
      <c r="A9" s="92" t="s">
        <v>27</v>
      </c>
      <c r="B9" s="102">
        <v>0.28801273010216366</v>
      </c>
      <c r="C9" s="102">
        <v>0.17715884575593069</v>
      </c>
      <c r="D9" s="102">
        <v>0.18217740497561377</v>
      </c>
      <c r="E9" s="102">
        <v>0.19378083324847151</v>
      </c>
      <c r="F9" s="102">
        <v>0.2360001586379202</v>
      </c>
      <c r="G9" s="102">
        <v>0.24124954713272115</v>
      </c>
      <c r="H9" s="102">
        <v>0.2387271929481945</v>
      </c>
      <c r="I9" s="102">
        <v>0.21276301929892277</v>
      </c>
      <c r="J9" s="102">
        <v>0.22503387062388769</v>
      </c>
      <c r="K9" s="102">
        <v>0.21629151338098909</v>
      </c>
      <c r="L9" s="102">
        <v>0.18957172639026551</v>
      </c>
      <c r="M9" s="102">
        <v>0.14504913997046329</v>
      </c>
      <c r="N9" s="102">
        <v>0.11128334716758893</v>
      </c>
      <c r="O9" s="102">
        <v>8.2766665470793754E-2</v>
      </c>
      <c r="P9" s="102">
        <v>5.6643408476688639E-2</v>
      </c>
      <c r="Q9" s="102">
        <v>5.1504268667046917E-2</v>
      </c>
      <c r="R9" s="102">
        <v>3.237733860229404E-2</v>
      </c>
      <c r="S9" s="102">
        <v>2.2563753626521157E-2</v>
      </c>
      <c r="T9" s="102">
        <v>2.1363160597074212E-2</v>
      </c>
      <c r="U9" s="102">
        <v>7.0960202864536071E-3</v>
      </c>
      <c r="V9" s="102">
        <v>2.9143152930297535E-3</v>
      </c>
      <c r="W9" s="102">
        <v>2.8440696259453978E-3</v>
      </c>
      <c r="X9" s="102">
        <v>3.1269284119620441E-3</v>
      </c>
      <c r="Y9" s="102">
        <v>4.8996118612024166E-3</v>
      </c>
      <c r="DA9" s="175" t="s">
        <v>195</v>
      </c>
    </row>
    <row r="10" spans="1:105" ht="11.45" customHeight="1" x14ac:dyDescent="0.25">
      <c r="A10" s="92" t="s">
        <v>181</v>
      </c>
      <c r="B10" s="102">
        <v>35.608811303033669</v>
      </c>
      <c r="C10" s="102">
        <v>33.854526200574441</v>
      </c>
      <c r="D10" s="102">
        <v>41.819726933355383</v>
      </c>
      <c r="E10" s="102">
        <v>45.62612925517459</v>
      </c>
      <c r="F10" s="102">
        <v>65.855565233430099</v>
      </c>
      <c r="G10" s="102">
        <v>68.477135071405854</v>
      </c>
      <c r="H10" s="102">
        <v>65.241122416840625</v>
      </c>
      <c r="I10" s="102">
        <v>54.742604761911515</v>
      </c>
      <c r="J10" s="102">
        <v>49.207499546323412</v>
      </c>
      <c r="K10" s="102">
        <v>44.873478363582969</v>
      </c>
      <c r="L10" s="102">
        <v>47.531469954283239</v>
      </c>
      <c r="M10" s="102">
        <v>49.394195976869042</v>
      </c>
      <c r="N10" s="102">
        <v>46.399448871252801</v>
      </c>
      <c r="O10" s="102">
        <v>49.838332327825498</v>
      </c>
      <c r="P10" s="102">
        <v>65.264561724064009</v>
      </c>
      <c r="Q10" s="102">
        <v>61.907536932351682</v>
      </c>
      <c r="R10" s="102">
        <v>55.929326456969648</v>
      </c>
      <c r="S10" s="102">
        <v>61.05583917746975</v>
      </c>
      <c r="T10" s="102">
        <v>62.870411792544395</v>
      </c>
      <c r="U10" s="102">
        <v>71.476066252006362</v>
      </c>
      <c r="V10" s="102">
        <v>55.862164123684039</v>
      </c>
      <c r="W10" s="102">
        <v>62.033659023889534</v>
      </c>
      <c r="X10" s="102">
        <v>71.829397279135833</v>
      </c>
      <c r="Y10" s="102">
        <v>69.767715639184118</v>
      </c>
      <c r="DA10" s="175" t="s">
        <v>196</v>
      </c>
    </row>
    <row r="11" spans="1:105" ht="11.45" customHeight="1" x14ac:dyDescent="0.25">
      <c r="A11" s="85" t="s">
        <v>182</v>
      </c>
      <c r="B11" s="86">
        <v>101.1631526316803</v>
      </c>
      <c r="C11" s="86">
        <v>88.970980769262979</v>
      </c>
      <c r="D11" s="86">
        <v>96.137030869379544</v>
      </c>
      <c r="E11" s="86">
        <v>94.302580145386415</v>
      </c>
      <c r="F11" s="86">
        <v>108.15885769704607</v>
      </c>
      <c r="G11" s="86">
        <v>144.48570173959081</v>
      </c>
      <c r="H11" s="86">
        <v>130.27322510393833</v>
      </c>
      <c r="I11" s="86">
        <v>114.33707339343303</v>
      </c>
      <c r="J11" s="86">
        <v>103.58908396219425</v>
      </c>
      <c r="K11" s="86">
        <v>88.510544351491987</v>
      </c>
      <c r="L11" s="86">
        <v>95.988922843554505</v>
      </c>
      <c r="M11" s="86">
        <v>136.08899479995148</v>
      </c>
      <c r="N11" s="86">
        <v>159.39215655384757</v>
      </c>
      <c r="O11" s="86">
        <v>185.19170271068253</v>
      </c>
      <c r="P11" s="86">
        <v>238.03269546162662</v>
      </c>
      <c r="Q11" s="86">
        <v>308.45582908736128</v>
      </c>
      <c r="R11" s="86">
        <v>328.23879716489876</v>
      </c>
      <c r="S11" s="86">
        <v>351.78903454925415</v>
      </c>
      <c r="T11" s="86">
        <v>430.87290848362585</v>
      </c>
      <c r="U11" s="86">
        <v>455.52902831675931</v>
      </c>
      <c r="V11" s="86">
        <v>120.97880502675454</v>
      </c>
      <c r="W11" s="86">
        <v>110.38642515838121</v>
      </c>
      <c r="X11" s="86">
        <v>152.94342953998841</v>
      </c>
      <c r="Y11" s="86">
        <v>161.48643961685588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133.95195503269352</v>
      </c>
      <c r="C13" s="54">
        <f t="shared" si="6"/>
        <v>131.9324208824697</v>
      </c>
      <c r="D13" s="54">
        <f t="shared" ref="D13:V13" si="7">SUM(D14,D18)</f>
        <v>132.07122975578341</v>
      </c>
      <c r="E13" s="54">
        <f t="shared" si="7"/>
        <v>139.33868605742617</v>
      </c>
      <c r="F13" s="54">
        <f t="shared" si="7"/>
        <v>161.96515944315576</v>
      </c>
      <c r="G13" s="54">
        <f t="shared" si="7"/>
        <v>171.94397927491428</v>
      </c>
      <c r="H13" s="54">
        <f t="shared" si="7"/>
        <v>171.12770115769078</v>
      </c>
      <c r="I13" s="54">
        <f t="shared" si="7"/>
        <v>177.2540392003288</v>
      </c>
      <c r="J13" s="54">
        <f t="shared" si="7"/>
        <v>181.96443295923686</v>
      </c>
      <c r="K13" s="54">
        <f t="shared" si="7"/>
        <v>163.54188656656513</v>
      </c>
      <c r="L13" s="54">
        <f t="shared" si="7"/>
        <v>165.31774530302243</v>
      </c>
      <c r="M13" s="54">
        <f t="shared" si="7"/>
        <v>167.02091499503436</v>
      </c>
      <c r="N13" s="54">
        <f t="shared" si="7"/>
        <v>161.861011760103</v>
      </c>
      <c r="O13" s="54">
        <f t="shared" si="7"/>
        <v>156.12560295840086</v>
      </c>
      <c r="P13" s="54">
        <f t="shared" si="7"/>
        <v>162.89889722836048</v>
      </c>
      <c r="Q13" s="54">
        <f t="shared" si="7"/>
        <v>166.04672224318895</v>
      </c>
      <c r="R13" s="54">
        <f t="shared" si="7"/>
        <v>165.92007433033012</v>
      </c>
      <c r="S13" s="54">
        <f t="shared" si="7"/>
        <v>166.6470192789192</v>
      </c>
      <c r="T13" s="54">
        <f t="shared" si="7"/>
        <v>183.62529945331309</v>
      </c>
      <c r="U13" s="54">
        <f t="shared" si="7"/>
        <v>207.61504496078135</v>
      </c>
      <c r="V13" s="54">
        <f t="shared" si="7"/>
        <v>69.399321715789895</v>
      </c>
      <c r="W13" s="54">
        <f t="shared" ref="W13:Y13" si="8">SUM(W14,W18)</f>
        <v>80.824747218607499</v>
      </c>
      <c r="X13" s="54">
        <f t="shared" si="8"/>
        <v>146.02346054218492</v>
      </c>
      <c r="Y13" s="54">
        <f t="shared" si="8"/>
        <v>176.01271039059284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131.4071125008324</v>
      </c>
      <c r="C14" s="11">
        <f t="shared" si="9"/>
        <v>129.70977350949676</v>
      </c>
      <c r="D14" s="11">
        <f t="shared" ref="D14:V14" si="10">SUM(D15:D17)</f>
        <v>129.32558866619786</v>
      </c>
      <c r="E14" s="11">
        <f t="shared" si="10"/>
        <v>136.41724541415937</v>
      </c>
      <c r="F14" s="11">
        <f t="shared" si="10"/>
        <v>157.68194551975293</v>
      </c>
      <c r="G14" s="11">
        <f t="shared" si="10"/>
        <v>166.95195772865867</v>
      </c>
      <c r="H14" s="11">
        <f t="shared" si="10"/>
        <v>166.04023193395125</v>
      </c>
      <c r="I14" s="11">
        <f t="shared" si="10"/>
        <v>172.76062843565339</v>
      </c>
      <c r="J14" s="11">
        <f t="shared" si="10"/>
        <v>177.79691636315016</v>
      </c>
      <c r="K14" s="11">
        <f t="shared" si="10"/>
        <v>160.03264219655841</v>
      </c>
      <c r="L14" s="11">
        <f t="shared" si="10"/>
        <v>161.61318593378755</v>
      </c>
      <c r="M14" s="11">
        <f t="shared" si="10"/>
        <v>162.76865922125924</v>
      </c>
      <c r="N14" s="11">
        <f t="shared" si="10"/>
        <v>157.78630479374283</v>
      </c>
      <c r="O14" s="11">
        <f t="shared" si="10"/>
        <v>151.64573734299285</v>
      </c>
      <c r="P14" s="11">
        <f t="shared" si="10"/>
        <v>157.89266061728023</v>
      </c>
      <c r="Q14" s="11">
        <f t="shared" si="10"/>
        <v>160.41573656125141</v>
      </c>
      <c r="R14" s="11">
        <f t="shared" si="10"/>
        <v>160.74737154029964</v>
      </c>
      <c r="S14" s="11">
        <f t="shared" si="10"/>
        <v>160.84032829752135</v>
      </c>
      <c r="T14" s="11">
        <f t="shared" si="10"/>
        <v>177.18849378495563</v>
      </c>
      <c r="U14" s="11">
        <f t="shared" si="10"/>
        <v>200.89271352671221</v>
      </c>
      <c r="V14" s="11">
        <f t="shared" si="10"/>
        <v>65.372945659328678</v>
      </c>
      <c r="W14" s="11">
        <f t="shared" ref="W14:Y14" si="11">SUM(W15:W17)</f>
        <v>76.508205318272715</v>
      </c>
      <c r="X14" s="11">
        <f t="shared" si="11"/>
        <v>140.92591539065023</v>
      </c>
      <c r="Y14" s="11">
        <f t="shared" si="11"/>
        <v>171.06284300930207</v>
      </c>
      <c r="DA14" s="189" t="s">
        <v>199</v>
      </c>
    </row>
    <row r="15" spans="1:105" ht="11.45" customHeight="1" x14ac:dyDescent="0.25">
      <c r="A15" s="83" t="s">
        <v>27</v>
      </c>
      <c r="B15" s="84">
        <v>5.6861641189378567</v>
      </c>
      <c r="C15" s="84">
        <v>5.0963220220770165</v>
      </c>
      <c r="D15" s="84">
        <v>5.475255788007277</v>
      </c>
      <c r="E15" s="84">
        <v>5.2314435998215432</v>
      </c>
      <c r="F15" s="84">
        <v>5.1114254319646282</v>
      </c>
      <c r="G15" s="84">
        <v>5.1718206653088927</v>
      </c>
      <c r="H15" s="84">
        <v>5.3994792257001363</v>
      </c>
      <c r="I15" s="84">
        <v>5.5863666585932554</v>
      </c>
      <c r="J15" s="84">
        <v>6.0046010158490617</v>
      </c>
      <c r="K15" s="84">
        <v>5.9842777695470231</v>
      </c>
      <c r="L15" s="84">
        <v>5.9186436943591243</v>
      </c>
      <c r="M15" s="84">
        <v>4.5415264237386497</v>
      </c>
      <c r="N15" s="84">
        <v>4.3741924004640937</v>
      </c>
      <c r="O15" s="84">
        <v>4.1366257754756806</v>
      </c>
      <c r="P15" s="84">
        <v>3.8758738968408508</v>
      </c>
      <c r="Q15" s="84">
        <v>3.5605271487955434</v>
      </c>
      <c r="R15" s="84">
        <v>3.274314542605012</v>
      </c>
      <c r="S15" s="84">
        <v>3.2518334128779216</v>
      </c>
      <c r="T15" s="84">
        <v>3.1972669505135389</v>
      </c>
      <c r="U15" s="84">
        <v>3.0205833984491499</v>
      </c>
      <c r="V15" s="84">
        <v>0.97697962293657692</v>
      </c>
      <c r="W15" s="84">
        <v>0.71541947029702968</v>
      </c>
      <c r="X15" s="84">
        <v>1.2051165749999997</v>
      </c>
      <c r="Y15" s="84">
        <v>1.3318606289993193</v>
      </c>
      <c r="DA15" s="171" t="s">
        <v>200</v>
      </c>
    </row>
    <row r="16" spans="1:105" ht="11.45" customHeight="1" x14ac:dyDescent="0.25">
      <c r="A16" s="83" t="s">
        <v>181</v>
      </c>
      <c r="B16" s="84">
        <v>78.303273551053508</v>
      </c>
      <c r="C16" s="84">
        <v>76.508233209479712</v>
      </c>
      <c r="D16" s="84">
        <v>76.583860548163869</v>
      </c>
      <c r="E16" s="84">
        <v>81.69123225533049</v>
      </c>
      <c r="F16" s="84">
        <v>90.825695085448359</v>
      </c>
      <c r="G16" s="84">
        <v>92.10943029063435</v>
      </c>
      <c r="H16" s="84">
        <v>92.20685040536695</v>
      </c>
      <c r="I16" s="84">
        <v>99.684765942993479</v>
      </c>
      <c r="J16" s="84">
        <v>102.4506302275625</v>
      </c>
      <c r="K16" s="84">
        <v>91.458927454278282</v>
      </c>
      <c r="L16" s="84">
        <v>91.394064348422603</v>
      </c>
      <c r="M16" s="84">
        <v>91.449119484955958</v>
      </c>
      <c r="N16" s="84">
        <v>88.386585555707796</v>
      </c>
      <c r="O16" s="84">
        <v>83.096815783603319</v>
      </c>
      <c r="P16" s="84">
        <v>85.767392359004688</v>
      </c>
      <c r="Q16" s="84">
        <v>87.132736701910062</v>
      </c>
      <c r="R16" s="84">
        <v>90.092115644231612</v>
      </c>
      <c r="S16" s="84">
        <v>89.164204261428807</v>
      </c>
      <c r="T16" s="84">
        <v>96.354090524543551</v>
      </c>
      <c r="U16" s="84">
        <v>107.49424542023434</v>
      </c>
      <c r="V16" s="84">
        <v>38.290646000200127</v>
      </c>
      <c r="W16" s="84">
        <v>43.111790706637343</v>
      </c>
      <c r="X16" s="84">
        <v>83.516704042532908</v>
      </c>
      <c r="Y16" s="84">
        <v>97.609941291525104</v>
      </c>
      <c r="DA16" s="171" t="s">
        <v>201</v>
      </c>
    </row>
    <row r="17" spans="1:105" ht="11.45" customHeight="1" x14ac:dyDescent="0.25">
      <c r="A17" s="83" t="s">
        <v>182</v>
      </c>
      <c r="B17" s="84">
        <v>47.417674830841023</v>
      </c>
      <c r="C17" s="84">
        <v>48.105218277940033</v>
      </c>
      <c r="D17" s="84">
        <v>47.266472330026716</v>
      </c>
      <c r="E17" s="84">
        <v>49.494569559007331</v>
      </c>
      <c r="F17" s="84">
        <v>61.744825002339944</v>
      </c>
      <c r="G17" s="84">
        <v>69.670706772715434</v>
      </c>
      <c r="H17" s="84">
        <v>68.433902302884164</v>
      </c>
      <c r="I17" s="84">
        <v>67.489495834066659</v>
      </c>
      <c r="J17" s="84">
        <v>69.341685119738614</v>
      </c>
      <c r="K17" s="84">
        <v>62.589436972733111</v>
      </c>
      <c r="L17" s="84">
        <v>64.300477891005826</v>
      </c>
      <c r="M17" s="84">
        <v>66.778013312564639</v>
      </c>
      <c r="N17" s="84">
        <v>65.025526837570922</v>
      </c>
      <c r="O17" s="84">
        <v>64.412295783913862</v>
      </c>
      <c r="P17" s="84">
        <v>68.249394361434682</v>
      </c>
      <c r="Q17" s="84">
        <v>69.722472710545802</v>
      </c>
      <c r="R17" s="84">
        <v>67.380941353463029</v>
      </c>
      <c r="S17" s="84">
        <v>68.424290623214645</v>
      </c>
      <c r="T17" s="84">
        <v>77.637136309898537</v>
      </c>
      <c r="U17" s="84">
        <v>90.377884708028716</v>
      </c>
      <c r="V17" s="84">
        <v>26.105320036191973</v>
      </c>
      <c r="W17" s="84">
        <v>32.680995141338343</v>
      </c>
      <c r="X17" s="84">
        <v>56.204094773117305</v>
      </c>
      <c r="Y17" s="84">
        <v>72.121041088777631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2.5448425318611334</v>
      </c>
      <c r="C18" s="13">
        <f t="shared" si="12"/>
        <v>2.2226473729729324</v>
      </c>
      <c r="D18" s="13">
        <f t="shared" ref="D18:V18" si="13">SUM(D19:D21)</f>
        <v>2.7456410895855559</v>
      </c>
      <c r="E18" s="13">
        <f t="shared" si="13"/>
        <v>2.9214406432667976</v>
      </c>
      <c r="F18" s="13">
        <f t="shared" si="13"/>
        <v>4.2832139234028324</v>
      </c>
      <c r="G18" s="13">
        <f t="shared" si="13"/>
        <v>4.9920215462556152</v>
      </c>
      <c r="H18" s="13">
        <f t="shared" si="13"/>
        <v>5.0874692237395234</v>
      </c>
      <c r="I18" s="13">
        <f t="shared" si="13"/>
        <v>4.4934107646754065</v>
      </c>
      <c r="J18" s="13">
        <f t="shared" si="13"/>
        <v>4.1675165960867098</v>
      </c>
      <c r="K18" s="13">
        <f t="shared" si="13"/>
        <v>3.509244370006718</v>
      </c>
      <c r="L18" s="13">
        <f t="shared" si="13"/>
        <v>3.7045593692348886</v>
      </c>
      <c r="M18" s="13">
        <f t="shared" si="13"/>
        <v>4.2522557737751274</v>
      </c>
      <c r="N18" s="13">
        <f t="shared" si="13"/>
        <v>4.0747069663601687</v>
      </c>
      <c r="O18" s="13">
        <f t="shared" si="13"/>
        <v>4.4798656154080181</v>
      </c>
      <c r="P18" s="13">
        <f t="shared" si="13"/>
        <v>5.006236611080265</v>
      </c>
      <c r="Q18" s="13">
        <f t="shared" si="13"/>
        <v>5.6309856819375481</v>
      </c>
      <c r="R18" s="13">
        <f t="shared" si="13"/>
        <v>5.1727027900304847</v>
      </c>
      <c r="S18" s="13">
        <f t="shared" si="13"/>
        <v>5.8066909813978569</v>
      </c>
      <c r="T18" s="13">
        <f t="shared" si="13"/>
        <v>6.4368056683574721</v>
      </c>
      <c r="U18" s="13">
        <f t="shared" si="13"/>
        <v>6.7223314340691331</v>
      </c>
      <c r="V18" s="13">
        <f t="shared" si="13"/>
        <v>4.0263760564612223</v>
      </c>
      <c r="W18" s="13">
        <f t="shared" ref="W18:Y18" si="14">SUM(W19:W21)</f>
        <v>4.3165419003347782</v>
      </c>
      <c r="X18" s="13">
        <f t="shared" si="14"/>
        <v>5.0975451515347023</v>
      </c>
      <c r="Y18" s="13">
        <f t="shared" si="14"/>
        <v>4.9498673812907832</v>
      </c>
      <c r="DA18" s="193" t="s">
        <v>203</v>
      </c>
    </row>
    <row r="19" spans="1:105" ht="11.45" customHeight="1" x14ac:dyDescent="0.25">
      <c r="A19" s="92" t="s">
        <v>27</v>
      </c>
      <c r="B19" s="102">
        <v>2.6787945451380257E-2</v>
      </c>
      <c r="C19" s="102">
        <v>1.6604098420277016E-2</v>
      </c>
      <c r="D19" s="102">
        <v>1.6604098420277016E-2</v>
      </c>
      <c r="E19" s="102">
        <v>1.6604098420277016E-2</v>
      </c>
      <c r="F19" s="102">
        <v>2.1474633956891608E-2</v>
      </c>
      <c r="G19" s="102">
        <v>2.243157894736842E-2</v>
      </c>
      <c r="H19" s="102">
        <v>2.3076458726689373E-2</v>
      </c>
      <c r="I19" s="102">
        <v>2.0643291268791004E-2</v>
      </c>
      <c r="J19" s="102">
        <v>2.2694143312103728E-2</v>
      </c>
      <c r="K19" s="102">
        <v>2.1625708597281881E-2</v>
      </c>
      <c r="L19" s="102">
        <v>1.7721435016111706E-2</v>
      </c>
      <c r="M19" s="102">
        <v>1.3276708412372515E-2</v>
      </c>
      <c r="N19" s="102">
        <v>9.6845714285714295E-3</v>
      </c>
      <c r="O19" s="102">
        <v>6.8577409412068089E-3</v>
      </c>
      <c r="P19" s="102">
        <v>4.1973938319532682E-3</v>
      </c>
      <c r="Q19" s="102">
        <v>3.853790249042656E-3</v>
      </c>
      <c r="R19" s="102">
        <v>2.1005779104582749E-3</v>
      </c>
      <c r="S19" s="102">
        <v>1.5880154362991454E-3</v>
      </c>
      <c r="T19" s="102">
        <v>1.48E-3</v>
      </c>
      <c r="U19" s="102">
        <v>4.4099999999999999E-4</v>
      </c>
      <c r="V19" s="102">
        <v>1.9599999999999999E-4</v>
      </c>
      <c r="W19" s="102">
        <v>1.9599999999999999E-4</v>
      </c>
      <c r="X19" s="102">
        <v>2.095E-4</v>
      </c>
      <c r="Y19" s="102">
        <v>3.2533333333333334E-4</v>
      </c>
      <c r="DA19" s="175" t="s">
        <v>204</v>
      </c>
    </row>
    <row r="20" spans="1:105" ht="11.45" customHeight="1" x14ac:dyDescent="0.25">
      <c r="A20" s="92" t="s">
        <v>181</v>
      </c>
      <c r="B20" s="102">
        <v>1.4232124664155652</v>
      </c>
      <c r="C20" s="102">
        <v>1.2871836824099705</v>
      </c>
      <c r="D20" s="102">
        <v>1.6774692632657224</v>
      </c>
      <c r="E20" s="102">
        <v>1.7696049922306758</v>
      </c>
      <c r="F20" s="102">
        <v>2.9202331345123511</v>
      </c>
      <c r="G20" s="102">
        <v>3.0639898149049642</v>
      </c>
      <c r="H20" s="102">
        <v>3.2870693870760106</v>
      </c>
      <c r="I20" s="102">
        <v>2.886397862997776</v>
      </c>
      <c r="J20" s="102">
        <v>2.6780226047804909</v>
      </c>
      <c r="K20" s="102">
        <v>2.3763495335383089</v>
      </c>
      <c r="L20" s="102">
        <v>2.5013386284026415</v>
      </c>
      <c r="M20" s="102">
        <v>2.5265333777994705</v>
      </c>
      <c r="N20" s="102">
        <v>2.2180703120586691</v>
      </c>
      <c r="O20" s="102">
        <v>2.3508824551210488</v>
      </c>
      <c r="P20" s="102">
        <v>2.6555941014787261</v>
      </c>
      <c r="Q20" s="102">
        <v>2.5113865602034067</v>
      </c>
      <c r="R20" s="102">
        <v>2.0920951634949119</v>
      </c>
      <c r="S20" s="102">
        <v>2.4670349906365141</v>
      </c>
      <c r="T20" s="102">
        <v>2.4804935556590588</v>
      </c>
      <c r="U20" s="102">
        <v>2.6253257167167172</v>
      </c>
      <c r="V20" s="102">
        <v>2.4341118940482298</v>
      </c>
      <c r="W20" s="102">
        <v>2.7773817424400415</v>
      </c>
      <c r="X20" s="102">
        <v>3.2354286699848869</v>
      </c>
      <c r="Y20" s="102">
        <v>3.1014271426456719</v>
      </c>
      <c r="DA20" s="175" t="s">
        <v>205</v>
      </c>
    </row>
    <row r="21" spans="1:105" ht="11.45" customHeight="1" x14ac:dyDescent="0.25">
      <c r="A21" s="85" t="s">
        <v>182</v>
      </c>
      <c r="B21" s="86">
        <v>1.094842119994188</v>
      </c>
      <c r="C21" s="86">
        <v>0.91885959214268476</v>
      </c>
      <c r="D21" s="86">
        <v>1.0515677278995561</v>
      </c>
      <c r="E21" s="86">
        <v>1.1352315526158445</v>
      </c>
      <c r="F21" s="86">
        <v>1.34150615493359</v>
      </c>
      <c r="G21" s="86">
        <v>1.9056001524032824</v>
      </c>
      <c r="H21" s="86">
        <v>1.7773233779368234</v>
      </c>
      <c r="I21" s="86">
        <v>1.5863696104088392</v>
      </c>
      <c r="J21" s="86">
        <v>1.4667998479941149</v>
      </c>
      <c r="K21" s="86">
        <v>1.1112691278711271</v>
      </c>
      <c r="L21" s="86">
        <v>1.1854993058161352</v>
      </c>
      <c r="M21" s="86">
        <v>1.7124456875632839</v>
      </c>
      <c r="N21" s="86">
        <v>1.8469520828729278</v>
      </c>
      <c r="O21" s="86">
        <v>2.1221254193457622</v>
      </c>
      <c r="P21" s="86">
        <v>2.3464451157695856</v>
      </c>
      <c r="Q21" s="86">
        <v>3.1157453314850989</v>
      </c>
      <c r="R21" s="86">
        <v>3.0785070486251143</v>
      </c>
      <c r="S21" s="86">
        <v>3.3380679753250435</v>
      </c>
      <c r="T21" s="86">
        <v>3.9548321126984134</v>
      </c>
      <c r="U21" s="86">
        <v>4.0965647173524156</v>
      </c>
      <c r="V21" s="86">
        <v>1.5920681624129931</v>
      </c>
      <c r="W21" s="86">
        <v>1.5389641578947371</v>
      </c>
      <c r="X21" s="86">
        <v>1.8619069815498153</v>
      </c>
      <c r="Y21" s="86">
        <v>1.8481149053117782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132819</v>
      </c>
      <c r="C23" s="54">
        <f t="shared" si="15"/>
        <v>127682</v>
      </c>
      <c r="D23" s="54">
        <f t="shared" ref="D23:V23" si="16">SUM(D24,D28)</f>
        <v>129225</v>
      </c>
      <c r="E23" s="54">
        <f t="shared" si="16"/>
        <v>134833</v>
      </c>
      <c r="F23" s="54">
        <f t="shared" si="16"/>
        <v>150619</v>
      </c>
      <c r="G23" s="54">
        <f t="shared" si="16"/>
        <v>154689</v>
      </c>
      <c r="H23" s="54">
        <f t="shared" si="16"/>
        <v>155225</v>
      </c>
      <c r="I23" s="54">
        <f t="shared" si="16"/>
        <v>165476</v>
      </c>
      <c r="J23" s="54">
        <f t="shared" si="16"/>
        <v>172757</v>
      </c>
      <c r="K23" s="54">
        <f t="shared" si="16"/>
        <v>158148</v>
      </c>
      <c r="L23" s="54">
        <f t="shared" si="16"/>
        <v>159448</v>
      </c>
      <c r="M23" s="54">
        <f t="shared" si="16"/>
        <v>155770</v>
      </c>
      <c r="N23" s="54">
        <f t="shared" si="16"/>
        <v>151108</v>
      </c>
      <c r="O23" s="54">
        <f t="shared" si="16"/>
        <v>144558</v>
      </c>
      <c r="P23" s="54">
        <f t="shared" si="16"/>
        <v>145043</v>
      </c>
      <c r="Q23" s="54">
        <f t="shared" si="16"/>
        <v>142630</v>
      </c>
      <c r="R23" s="54">
        <f t="shared" si="16"/>
        <v>139587</v>
      </c>
      <c r="S23" s="54">
        <f t="shared" si="16"/>
        <v>139938</v>
      </c>
      <c r="T23" s="54">
        <f t="shared" si="16"/>
        <v>147986</v>
      </c>
      <c r="U23" s="54">
        <f t="shared" si="16"/>
        <v>159563</v>
      </c>
      <c r="V23" s="54">
        <f t="shared" si="16"/>
        <v>56797</v>
      </c>
      <c r="W23" s="54">
        <f t="shared" ref="W23:Y23" si="17">SUM(W24,W28)</f>
        <v>62518</v>
      </c>
      <c r="X23" s="54">
        <f t="shared" si="17"/>
        <v>111170</v>
      </c>
      <c r="Y23" s="54">
        <f t="shared" si="17"/>
        <v>129833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130247</v>
      </c>
      <c r="C24" s="11">
        <f t="shared" si="18"/>
        <v>125442</v>
      </c>
      <c r="D24" s="11">
        <f t="shared" ref="D24:V24" si="19">SUM(D25:D27)</f>
        <v>126434</v>
      </c>
      <c r="E24" s="11">
        <f t="shared" si="19"/>
        <v>131869</v>
      </c>
      <c r="F24" s="11">
        <f t="shared" si="19"/>
        <v>146250</v>
      </c>
      <c r="G24" s="11">
        <f t="shared" si="19"/>
        <v>149765</v>
      </c>
      <c r="H24" s="11">
        <f t="shared" si="19"/>
        <v>149764</v>
      </c>
      <c r="I24" s="11">
        <f t="shared" si="19"/>
        <v>160414</v>
      </c>
      <c r="J24" s="11">
        <f t="shared" si="19"/>
        <v>167828</v>
      </c>
      <c r="K24" s="11">
        <f t="shared" si="19"/>
        <v>153661</v>
      </c>
      <c r="L24" s="11">
        <f t="shared" si="19"/>
        <v>154523</v>
      </c>
      <c r="M24" s="11">
        <f t="shared" si="19"/>
        <v>150933</v>
      </c>
      <c r="N24" s="11">
        <f t="shared" si="19"/>
        <v>146971</v>
      </c>
      <c r="O24" s="11">
        <f t="shared" si="19"/>
        <v>140262</v>
      </c>
      <c r="P24" s="11">
        <f t="shared" si="19"/>
        <v>140470</v>
      </c>
      <c r="Q24" s="11">
        <f t="shared" si="19"/>
        <v>138148</v>
      </c>
      <c r="R24" s="11">
        <f t="shared" si="19"/>
        <v>135880</v>
      </c>
      <c r="S24" s="11">
        <f t="shared" si="19"/>
        <v>135709</v>
      </c>
      <c r="T24" s="11">
        <f t="shared" si="19"/>
        <v>143766</v>
      </c>
      <c r="U24" s="11">
        <f t="shared" si="19"/>
        <v>155114</v>
      </c>
      <c r="V24" s="11">
        <f t="shared" si="19"/>
        <v>52844</v>
      </c>
      <c r="W24" s="11">
        <f t="shared" ref="W24:Y24" si="20">SUM(W25:W27)</f>
        <v>58098</v>
      </c>
      <c r="X24" s="11">
        <f t="shared" si="20"/>
        <v>106752</v>
      </c>
      <c r="Y24" s="11">
        <f t="shared" si="20"/>
        <v>125420</v>
      </c>
      <c r="DA24" s="189" t="s">
        <v>208</v>
      </c>
    </row>
    <row r="25" spans="1:105" ht="11.45" customHeight="1" x14ac:dyDescent="0.25">
      <c r="A25" s="83" t="s">
        <v>27</v>
      </c>
      <c r="B25" s="84">
        <v>21083</v>
      </c>
      <c r="C25" s="84">
        <v>18896</v>
      </c>
      <c r="D25" s="84">
        <v>20301</v>
      </c>
      <c r="E25" s="84">
        <v>19397</v>
      </c>
      <c r="F25" s="84">
        <v>18952</v>
      </c>
      <c r="G25" s="84">
        <v>18970</v>
      </c>
      <c r="H25" s="84">
        <v>19618</v>
      </c>
      <c r="I25" s="84">
        <v>19837</v>
      </c>
      <c r="J25" s="84">
        <v>20580</v>
      </c>
      <c r="K25" s="84">
        <v>19975</v>
      </c>
      <c r="L25" s="84">
        <v>19873</v>
      </c>
      <c r="M25" s="84">
        <v>15427</v>
      </c>
      <c r="N25" s="84">
        <v>15550</v>
      </c>
      <c r="O25" s="84">
        <v>14879</v>
      </c>
      <c r="P25" s="84">
        <v>13964</v>
      </c>
      <c r="Q25" s="84">
        <v>12456</v>
      </c>
      <c r="R25" s="84">
        <v>11028</v>
      </c>
      <c r="S25" s="84">
        <v>10823</v>
      </c>
      <c r="T25" s="84">
        <v>10585</v>
      </c>
      <c r="U25" s="84">
        <v>9885</v>
      </c>
      <c r="V25" s="84">
        <v>3253</v>
      </c>
      <c r="W25" s="84">
        <v>2509</v>
      </c>
      <c r="X25" s="84">
        <v>3900</v>
      </c>
      <c r="Y25" s="84">
        <v>4331</v>
      </c>
      <c r="DA25" s="171" t="s">
        <v>209</v>
      </c>
    </row>
    <row r="26" spans="1:105" ht="11.45" customHeight="1" x14ac:dyDescent="0.25">
      <c r="A26" s="83" t="s">
        <v>181</v>
      </c>
      <c r="B26" s="84">
        <v>92543</v>
      </c>
      <c r="C26" s="84">
        <v>89684</v>
      </c>
      <c r="D26" s="84">
        <v>89565</v>
      </c>
      <c r="E26" s="84">
        <v>95123</v>
      </c>
      <c r="F26" s="84">
        <v>105655</v>
      </c>
      <c r="G26" s="84">
        <v>106909</v>
      </c>
      <c r="H26" s="84">
        <v>105911</v>
      </c>
      <c r="I26" s="84">
        <v>114861</v>
      </c>
      <c r="J26" s="84">
        <v>119729</v>
      </c>
      <c r="K26" s="84">
        <v>107837</v>
      </c>
      <c r="L26" s="84">
        <v>107382</v>
      </c>
      <c r="M26" s="84">
        <v>107639</v>
      </c>
      <c r="N26" s="84">
        <v>103416</v>
      </c>
      <c r="O26" s="84">
        <v>97663</v>
      </c>
      <c r="P26" s="84">
        <v>99237</v>
      </c>
      <c r="Q26" s="84">
        <v>99308</v>
      </c>
      <c r="R26" s="84">
        <v>100088</v>
      </c>
      <c r="S26" s="84">
        <v>99482</v>
      </c>
      <c r="T26" s="84">
        <v>105503</v>
      </c>
      <c r="U26" s="84">
        <v>114190</v>
      </c>
      <c r="V26" s="84">
        <v>40063</v>
      </c>
      <c r="W26" s="84">
        <v>42080</v>
      </c>
      <c r="X26" s="84">
        <v>82410</v>
      </c>
      <c r="Y26" s="84">
        <v>96565</v>
      </c>
      <c r="DA26" s="171" t="s">
        <v>210</v>
      </c>
    </row>
    <row r="27" spans="1:105" ht="11.45" customHeight="1" x14ac:dyDescent="0.25">
      <c r="A27" s="83" t="s">
        <v>182</v>
      </c>
      <c r="B27" s="84">
        <v>16621</v>
      </c>
      <c r="C27" s="84">
        <v>16862</v>
      </c>
      <c r="D27" s="84">
        <v>16568</v>
      </c>
      <c r="E27" s="84">
        <v>17349</v>
      </c>
      <c r="F27" s="84">
        <v>21643</v>
      </c>
      <c r="G27" s="84">
        <v>23886</v>
      </c>
      <c r="H27" s="84">
        <v>24235</v>
      </c>
      <c r="I27" s="84">
        <v>25716</v>
      </c>
      <c r="J27" s="84">
        <v>27519</v>
      </c>
      <c r="K27" s="84">
        <v>25849</v>
      </c>
      <c r="L27" s="84">
        <v>27268</v>
      </c>
      <c r="M27" s="84">
        <v>27867</v>
      </c>
      <c r="N27" s="84">
        <v>28005</v>
      </c>
      <c r="O27" s="84">
        <v>27720</v>
      </c>
      <c r="P27" s="84">
        <v>27269</v>
      </c>
      <c r="Q27" s="84">
        <v>26384</v>
      </c>
      <c r="R27" s="84">
        <v>24764</v>
      </c>
      <c r="S27" s="84">
        <v>25404</v>
      </c>
      <c r="T27" s="84">
        <v>27678</v>
      </c>
      <c r="U27" s="84">
        <v>31039</v>
      </c>
      <c r="V27" s="84">
        <v>9528</v>
      </c>
      <c r="W27" s="84">
        <v>13509</v>
      </c>
      <c r="X27" s="84">
        <v>20442</v>
      </c>
      <c r="Y27" s="84">
        <v>24524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2572</v>
      </c>
      <c r="C28" s="13">
        <f t="shared" si="21"/>
        <v>2240</v>
      </c>
      <c r="D28" s="13">
        <f t="shared" ref="D28:V28" si="22">SUM(D29:D31)</f>
        <v>2791</v>
      </c>
      <c r="E28" s="13">
        <f t="shared" si="22"/>
        <v>2964</v>
      </c>
      <c r="F28" s="13">
        <f t="shared" si="22"/>
        <v>4369</v>
      </c>
      <c r="G28" s="13">
        <f t="shared" si="22"/>
        <v>4924</v>
      </c>
      <c r="H28" s="13">
        <f t="shared" si="22"/>
        <v>5461</v>
      </c>
      <c r="I28" s="13">
        <f t="shared" si="22"/>
        <v>5062</v>
      </c>
      <c r="J28" s="13">
        <f t="shared" si="22"/>
        <v>4929</v>
      </c>
      <c r="K28" s="13">
        <f t="shared" si="22"/>
        <v>4487</v>
      </c>
      <c r="L28" s="13">
        <f t="shared" si="22"/>
        <v>4925</v>
      </c>
      <c r="M28" s="13">
        <f t="shared" si="22"/>
        <v>4837</v>
      </c>
      <c r="N28" s="13">
        <f t="shared" si="22"/>
        <v>4137</v>
      </c>
      <c r="O28" s="13">
        <f t="shared" si="22"/>
        <v>4296</v>
      </c>
      <c r="P28" s="13">
        <f t="shared" si="22"/>
        <v>4573</v>
      </c>
      <c r="Q28" s="13">
        <f t="shared" si="22"/>
        <v>4482</v>
      </c>
      <c r="R28" s="13">
        <f t="shared" si="22"/>
        <v>3707</v>
      </c>
      <c r="S28" s="13">
        <f t="shared" si="22"/>
        <v>4229</v>
      </c>
      <c r="T28" s="13">
        <f t="shared" si="22"/>
        <v>4220</v>
      </c>
      <c r="U28" s="13">
        <f t="shared" si="22"/>
        <v>4449</v>
      </c>
      <c r="V28" s="13">
        <f t="shared" si="22"/>
        <v>3953</v>
      </c>
      <c r="W28" s="13">
        <f t="shared" ref="W28:Y28" si="23">SUM(W29:W31)</f>
        <v>4420</v>
      </c>
      <c r="X28" s="13">
        <f t="shared" si="23"/>
        <v>4418</v>
      </c>
      <c r="Y28" s="13">
        <f t="shared" si="23"/>
        <v>4413</v>
      </c>
      <c r="DA28" s="193" t="s">
        <v>212</v>
      </c>
    </row>
    <row r="29" spans="1:105" ht="11.45" customHeight="1" x14ac:dyDescent="0.25">
      <c r="A29" s="92" t="s">
        <v>27</v>
      </c>
      <c r="B29" s="102">
        <v>121</v>
      </c>
      <c r="C29" s="102">
        <v>75</v>
      </c>
      <c r="D29" s="102">
        <v>75</v>
      </c>
      <c r="E29" s="102">
        <v>75</v>
      </c>
      <c r="F29" s="102">
        <v>97</v>
      </c>
      <c r="G29" s="102">
        <v>100</v>
      </c>
      <c r="H29" s="102">
        <v>102</v>
      </c>
      <c r="I29" s="102">
        <v>89</v>
      </c>
      <c r="J29" s="102">
        <v>94</v>
      </c>
      <c r="K29" s="102">
        <v>87</v>
      </c>
      <c r="L29" s="102">
        <v>72</v>
      </c>
      <c r="M29" s="102">
        <v>52</v>
      </c>
      <c r="N29" s="102">
        <v>38</v>
      </c>
      <c r="O29" s="102">
        <v>29</v>
      </c>
      <c r="P29" s="102">
        <v>19</v>
      </c>
      <c r="Q29" s="102">
        <v>18</v>
      </c>
      <c r="R29" s="102">
        <v>10</v>
      </c>
      <c r="S29" s="102">
        <v>8</v>
      </c>
      <c r="T29" s="102">
        <v>8</v>
      </c>
      <c r="U29" s="102">
        <v>2</v>
      </c>
      <c r="V29" s="102">
        <v>1</v>
      </c>
      <c r="W29" s="102">
        <v>1</v>
      </c>
      <c r="X29" s="102">
        <v>1</v>
      </c>
      <c r="Y29" s="102">
        <v>1</v>
      </c>
      <c r="DA29" s="175" t="s">
        <v>213</v>
      </c>
    </row>
    <row r="30" spans="1:105" ht="11.45" customHeight="1" x14ac:dyDescent="0.25">
      <c r="A30" s="92" t="s">
        <v>181</v>
      </c>
      <c r="B30" s="102">
        <v>1692</v>
      </c>
      <c r="C30" s="102">
        <v>1528</v>
      </c>
      <c r="D30" s="102">
        <v>1987</v>
      </c>
      <c r="E30" s="102">
        <v>2102</v>
      </c>
      <c r="F30" s="102">
        <v>3342</v>
      </c>
      <c r="G30" s="102">
        <v>3559</v>
      </c>
      <c r="H30" s="102">
        <v>4156</v>
      </c>
      <c r="I30" s="102">
        <v>3791</v>
      </c>
      <c r="J30" s="102">
        <v>3708</v>
      </c>
      <c r="K30" s="102">
        <v>3523</v>
      </c>
      <c r="L30" s="102">
        <v>3918</v>
      </c>
      <c r="M30" s="102">
        <v>3710</v>
      </c>
      <c r="N30" s="102">
        <v>3076</v>
      </c>
      <c r="O30" s="102">
        <v>3256</v>
      </c>
      <c r="P30" s="102">
        <v>3641</v>
      </c>
      <c r="Q30" s="102">
        <v>3426</v>
      </c>
      <c r="R30" s="102">
        <v>2784</v>
      </c>
      <c r="S30" s="102">
        <v>3303</v>
      </c>
      <c r="T30" s="102">
        <v>3233</v>
      </c>
      <c r="U30" s="102">
        <v>3508</v>
      </c>
      <c r="V30" s="102">
        <v>3279</v>
      </c>
      <c r="W30" s="102">
        <v>3672</v>
      </c>
      <c r="X30" s="102">
        <v>3706</v>
      </c>
      <c r="Y30" s="102">
        <v>3690</v>
      </c>
      <c r="DA30" s="175" t="s">
        <v>214</v>
      </c>
    </row>
    <row r="31" spans="1:105" ht="11.45" customHeight="1" x14ac:dyDescent="0.25">
      <c r="A31" s="85" t="s">
        <v>182</v>
      </c>
      <c r="B31" s="86">
        <v>759</v>
      </c>
      <c r="C31" s="86">
        <v>637</v>
      </c>
      <c r="D31" s="86">
        <v>729</v>
      </c>
      <c r="E31" s="86">
        <v>787</v>
      </c>
      <c r="F31" s="86">
        <v>930</v>
      </c>
      <c r="G31" s="86">
        <v>1265</v>
      </c>
      <c r="H31" s="86">
        <v>1203</v>
      </c>
      <c r="I31" s="86">
        <v>1182</v>
      </c>
      <c r="J31" s="86">
        <v>1127</v>
      </c>
      <c r="K31" s="86">
        <v>877</v>
      </c>
      <c r="L31" s="86">
        <v>935</v>
      </c>
      <c r="M31" s="86">
        <v>1075</v>
      </c>
      <c r="N31" s="86">
        <v>1023</v>
      </c>
      <c r="O31" s="86">
        <v>1011</v>
      </c>
      <c r="P31" s="86">
        <v>913</v>
      </c>
      <c r="Q31" s="86">
        <v>1038</v>
      </c>
      <c r="R31" s="86">
        <v>913</v>
      </c>
      <c r="S31" s="86">
        <v>918</v>
      </c>
      <c r="T31" s="86">
        <v>979</v>
      </c>
      <c r="U31" s="86">
        <v>939</v>
      </c>
      <c r="V31" s="86">
        <v>673</v>
      </c>
      <c r="W31" s="86">
        <v>747</v>
      </c>
      <c r="X31" s="86">
        <v>711</v>
      </c>
      <c r="Y31" s="86">
        <v>722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7677070</v>
      </c>
      <c r="C34" s="11">
        <f t="shared" si="24"/>
        <v>7640394</v>
      </c>
      <c r="D34" s="11">
        <f t="shared" ref="D34:V34" si="25">SUM(D35:D37)</f>
        <v>7900826</v>
      </c>
      <c r="E34" s="11">
        <f t="shared" si="25"/>
        <v>8343009</v>
      </c>
      <c r="F34" s="11">
        <f t="shared" si="25"/>
        <v>9629359</v>
      </c>
      <c r="G34" s="11">
        <f t="shared" si="25"/>
        <v>10287663</v>
      </c>
      <c r="H34" s="11">
        <f t="shared" si="25"/>
        <v>10884123</v>
      </c>
      <c r="I34" s="11">
        <f t="shared" si="25"/>
        <v>11952363</v>
      </c>
      <c r="J34" s="11">
        <f t="shared" si="25"/>
        <v>12474266</v>
      </c>
      <c r="K34" s="11">
        <f t="shared" si="25"/>
        <v>11413000</v>
      </c>
      <c r="L34" s="11">
        <f t="shared" si="25"/>
        <v>12277981</v>
      </c>
      <c r="M34" s="11">
        <f t="shared" si="25"/>
        <v>13035580</v>
      </c>
      <c r="N34" s="11">
        <f t="shared" si="25"/>
        <v>13409537</v>
      </c>
      <c r="O34" s="11">
        <f t="shared" si="25"/>
        <v>13275496</v>
      </c>
      <c r="P34" s="11">
        <f t="shared" si="25"/>
        <v>13637631</v>
      </c>
      <c r="Q34" s="11">
        <f t="shared" si="25"/>
        <v>13829028</v>
      </c>
      <c r="R34" s="11">
        <f t="shared" si="25"/>
        <v>14000667</v>
      </c>
      <c r="S34" s="11">
        <f t="shared" si="25"/>
        <v>14594293</v>
      </c>
      <c r="T34" s="11">
        <f t="shared" si="25"/>
        <v>16030483</v>
      </c>
      <c r="U34" s="11">
        <f t="shared" si="25"/>
        <v>18230443</v>
      </c>
      <c r="V34" s="11">
        <f t="shared" si="25"/>
        <v>4679759</v>
      </c>
      <c r="W34" s="11">
        <f t="shared" ref="W34:Y34" si="26">SUM(W35:W37)</f>
        <v>5647656</v>
      </c>
      <c r="X34" s="11">
        <f t="shared" si="26"/>
        <v>13351416</v>
      </c>
      <c r="Y34" s="11">
        <f t="shared" si="26"/>
        <v>16726413</v>
      </c>
      <c r="DA34" s="189" t="s">
        <v>216</v>
      </c>
    </row>
    <row r="35" spans="1:105" ht="11.45" customHeight="1" x14ac:dyDescent="0.25">
      <c r="A35" s="83" t="s">
        <v>27</v>
      </c>
      <c r="B35" s="84">
        <v>545212</v>
      </c>
      <c r="C35" s="84">
        <v>558833</v>
      </c>
      <c r="D35" s="84">
        <v>569577</v>
      </c>
      <c r="E35" s="84">
        <v>586148</v>
      </c>
      <c r="F35" s="84">
        <v>611546</v>
      </c>
      <c r="G35" s="84">
        <v>604440</v>
      </c>
      <c r="H35" s="84">
        <v>752715</v>
      </c>
      <c r="I35" s="84">
        <v>792093</v>
      </c>
      <c r="J35" s="84">
        <v>814491</v>
      </c>
      <c r="K35" s="84">
        <v>787901</v>
      </c>
      <c r="L35" s="84">
        <v>857418</v>
      </c>
      <c r="M35" s="84">
        <v>726166</v>
      </c>
      <c r="N35" s="84">
        <v>689130</v>
      </c>
      <c r="O35" s="84">
        <v>650192</v>
      </c>
      <c r="P35" s="84">
        <v>613351</v>
      </c>
      <c r="Q35" s="84">
        <v>564733</v>
      </c>
      <c r="R35" s="84">
        <v>521657</v>
      </c>
      <c r="S35" s="84">
        <v>552166</v>
      </c>
      <c r="T35" s="84">
        <v>603120</v>
      </c>
      <c r="U35" s="84">
        <v>562292</v>
      </c>
      <c r="V35" s="84">
        <v>146697</v>
      </c>
      <c r="W35" s="84">
        <v>116395</v>
      </c>
      <c r="X35" s="84">
        <v>233376</v>
      </c>
      <c r="Y35" s="84">
        <v>260118</v>
      </c>
      <c r="DA35" s="171" t="s">
        <v>217</v>
      </c>
    </row>
    <row r="36" spans="1:105" ht="11.45" customHeight="1" x14ac:dyDescent="0.25">
      <c r="A36" s="83" t="s">
        <v>181</v>
      </c>
      <c r="B36" s="84">
        <v>5342187</v>
      </c>
      <c r="C36" s="84">
        <v>5289841</v>
      </c>
      <c r="D36" s="84">
        <v>5428773</v>
      </c>
      <c r="E36" s="84">
        <v>5854517</v>
      </c>
      <c r="F36" s="84">
        <v>6646675</v>
      </c>
      <c r="G36" s="84">
        <v>7078722</v>
      </c>
      <c r="H36" s="84">
        <v>7594197</v>
      </c>
      <c r="I36" s="84">
        <v>8432680</v>
      </c>
      <c r="J36" s="84">
        <v>8809256</v>
      </c>
      <c r="K36" s="84">
        <v>8047092</v>
      </c>
      <c r="L36" s="84">
        <v>8558784</v>
      </c>
      <c r="M36" s="84">
        <v>9261568</v>
      </c>
      <c r="N36" s="84">
        <v>9502997</v>
      </c>
      <c r="O36" s="84">
        <v>9351126</v>
      </c>
      <c r="P36" s="84">
        <v>9718806</v>
      </c>
      <c r="Q36" s="84">
        <v>9974323</v>
      </c>
      <c r="R36" s="84">
        <v>10385066</v>
      </c>
      <c r="S36" s="84">
        <v>10737710</v>
      </c>
      <c r="T36" s="84">
        <v>11634181</v>
      </c>
      <c r="U36" s="84">
        <v>13174807</v>
      </c>
      <c r="V36" s="84">
        <v>3530006</v>
      </c>
      <c r="W36" s="84">
        <v>4045413</v>
      </c>
      <c r="X36" s="84">
        <v>10005936</v>
      </c>
      <c r="Y36" s="84">
        <v>12407657</v>
      </c>
      <c r="DA36" s="171" t="s">
        <v>218</v>
      </c>
    </row>
    <row r="37" spans="1:105" ht="11.45" customHeight="1" x14ac:dyDescent="0.25">
      <c r="A37" s="83" t="s">
        <v>182</v>
      </c>
      <c r="B37" s="84">
        <v>1789671</v>
      </c>
      <c r="C37" s="84">
        <v>1791720</v>
      </c>
      <c r="D37" s="84">
        <v>1902476</v>
      </c>
      <c r="E37" s="84">
        <v>1902344</v>
      </c>
      <c r="F37" s="84">
        <v>2371138</v>
      </c>
      <c r="G37" s="84">
        <v>2604501</v>
      </c>
      <c r="H37" s="84">
        <v>2537211</v>
      </c>
      <c r="I37" s="84">
        <v>2727590</v>
      </c>
      <c r="J37" s="84">
        <v>2850519</v>
      </c>
      <c r="K37" s="84">
        <v>2578007</v>
      </c>
      <c r="L37" s="84">
        <v>2861779</v>
      </c>
      <c r="M37" s="84">
        <v>3047846</v>
      </c>
      <c r="N37" s="84">
        <v>3217410</v>
      </c>
      <c r="O37" s="84">
        <v>3274178</v>
      </c>
      <c r="P37" s="84">
        <v>3305474</v>
      </c>
      <c r="Q37" s="84">
        <v>3289972</v>
      </c>
      <c r="R37" s="84">
        <v>3093944</v>
      </c>
      <c r="S37" s="84">
        <v>3304417</v>
      </c>
      <c r="T37" s="84">
        <v>3793182</v>
      </c>
      <c r="U37" s="84">
        <v>4493344</v>
      </c>
      <c r="V37" s="84">
        <v>1003056</v>
      </c>
      <c r="W37" s="84">
        <v>1485848</v>
      </c>
      <c r="X37" s="84">
        <v>3112104</v>
      </c>
      <c r="Y37" s="84">
        <v>4058638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68141.735142911435</v>
      </c>
      <c r="C38" s="13">
        <f t="shared" si="27"/>
        <v>60038.564238678213</v>
      </c>
      <c r="D38" s="13">
        <f t="shared" ref="D38:V38" si="28">SUM(D39:D41)</f>
        <v>71851.111780405365</v>
      </c>
      <c r="E38" s="13">
        <f t="shared" si="28"/>
        <v>75363.852845140907</v>
      </c>
      <c r="F38" s="13">
        <f t="shared" si="28"/>
        <v>99381.65321112427</v>
      </c>
      <c r="G38" s="13">
        <f t="shared" si="28"/>
        <v>111040.91010814926</v>
      </c>
      <c r="H38" s="13">
        <f t="shared" si="28"/>
        <v>113574.34541242714</v>
      </c>
      <c r="I38" s="13">
        <f t="shared" si="28"/>
        <v>106530.72177504562</v>
      </c>
      <c r="J38" s="13">
        <f t="shared" si="28"/>
        <v>102308.07747237384</v>
      </c>
      <c r="K38" s="13">
        <f t="shared" si="28"/>
        <v>92834.642785366421</v>
      </c>
      <c r="L38" s="13">
        <f t="shared" si="28"/>
        <v>106661.35063132882</v>
      </c>
      <c r="M38" s="13">
        <f t="shared" si="28"/>
        <v>117616.66381382976</v>
      </c>
      <c r="N38" s="13">
        <f t="shared" si="28"/>
        <v>112137.81993627705</v>
      </c>
      <c r="O38" s="13">
        <f t="shared" si="28"/>
        <v>115214.52171641255</v>
      </c>
      <c r="P38" s="13">
        <f t="shared" si="28"/>
        <v>128098.41705807172</v>
      </c>
      <c r="Q38" s="13">
        <f t="shared" si="28"/>
        <v>132325.08293105121</v>
      </c>
      <c r="R38" s="13">
        <f t="shared" si="28"/>
        <v>125246.05511259315</v>
      </c>
      <c r="S38" s="13">
        <f t="shared" si="28"/>
        <v>131429.46952902028</v>
      </c>
      <c r="T38" s="13">
        <f t="shared" si="28"/>
        <v>134317.51146383691</v>
      </c>
      <c r="U38" s="13">
        <f t="shared" si="28"/>
        <v>139950.3529835926</v>
      </c>
      <c r="V38" s="13">
        <f t="shared" si="28"/>
        <v>91863.287422485359</v>
      </c>
      <c r="W38" s="13">
        <f t="shared" ref="W38:Y38" si="29">SUM(W39:W41)</f>
        <v>105289.78109746779</v>
      </c>
      <c r="X38" s="13">
        <f t="shared" si="29"/>
        <v>109333.69051775442</v>
      </c>
      <c r="Y38" s="13">
        <f t="shared" si="29"/>
        <v>111858.9210421226</v>
      </c>
      <c r="DA38" s="193" t="s">
        <v>220</v>
      </c>
    </row>
    <row r="39" spans="1:105" ht="11.45" customHeight="1" x14ac:dyDescent="0.25">
      <c r="A39" s="92" t="s">
        <v>27</v>
      </c>
      <c r="B39" s="102">
        <v>1212.8174319316543</v>
      </c>
      <c r="C39" s="102">
        <v>746.01333169359725</v>
      </c>
      <c r="D39" s="102">
        <v>767.14641182742992</v>
      </c>
      <c r="E39" s="102">
        <v>816.00828010144176</v>
      </c>
      <c r="F39" s="102">
        <v>993.79324737894683</v>
      </c>
      <c r="G39" s="102">
        <v>1002.6386560137623</v>
      </c>
      <c r="H39" s="102">
        <v>983.71814433059933</v>
      </c>
      <c r="I39" s="102">
        <v>855.15530295696237</v>
      </c>
      <c r="J39" s="102">
        <v>868.95989481736467</v>
      </c>
      <c r="K39" s="102">
        <v>811.19668554895554</v>
      </c>
      <c r="L39" s="102">
        <v>718.03391396838742</v>
      </c>
      <c r="M39" s="102">
        <v>566.56273539843937</v>
      </c>
      <c r="N39" s="102">
        <v>425.27058292287188</v>
      </c>
      <c r="O39" s="102">
        <v>332.70559016974613</v>
      </c>
      <c r="P39" s="102">
        <v>244.4748439455737</v>
      </c>
      <c r="Q39" s="102">
        <v>238.32537517207302</v>
      </c>
      <c r="R39" s="102">
        <v>152.61225204177913</v>
      </c>
      <c r="S39" s="102">
        <v>112.29925826245977</v>
      </c>
      <c r="T39" s="102">
        <v>114.30216555781112</v>
      </c>
      <c r="U39" s="102">
        <v>31.606817567697242</v>
      </c>
      <c r="V39" s="102">
        <v>14.565549583941408</v>
      </c>
      <c r="W39" s="102">
        <v>14.733887425092286</v>
      </c>
      <c r="X39" s="102">
        <v>14.903133727895911</v>
      </c>
      <c r="Y39" s="102">
        <v>14.791343727721088</v>
      </c>
      <c r="DA39" s="175" t="s">
        <v>221</v>
      </c>
    </row>
    <row r="40" spans="1:105" ht="11.45" customHeight="1" x14ac:dyDescent="0.25">
      <c r="A40" s="92" t="s">
        <v>181</v>
      </c>
      <c r="B40" s="102">
        <v>27355.930739110227</v>
      </c>
      <c r="C40" s="102">
        <v>24979.028560214741</v>
      </c>
      <c r="D40" s="102">
        <v>32517.540998996705</v>
      </c>
      <c r="E40" s="102">
        <v>36200.00641570289</v>
      </c>
      <c r="F40" s="102">
        <v>53692.395630357882</v>
      </c>
      <c r="G40" s="102">
        <v>54105.611706900221</v>
      </c>
      <c r="H40" s="102">
        <v>58258.175632458187</v>
      </c>
      <c r="I40" s="102">
        <v>52265.924702904413</v>
      </c>
      <c r="J40" s="102">
        <v>50822.031604034906</v>
      </c>
      <c r="K40" s="102">
        <v>48261.204457910935</v>
      </c>
      <c r="L40" s="102">
        <v>56829.706250341238</v>
      </c>
      <c r="M40" s="102">
        <v>57853.706524549511</v>
      </c>
      <c r="N40" s="102">
        <v>51271.60603989556</v>
      </c>
      <c r="O40" s="102">
        <v>54560.813440925784</v>
      </c>
      <c r="P40" s="102">
        <v>67174.311563017487</v>
      </c>
      <c r="Q40" s="102">
        <v>63304.280069399043</v>
      </c>
      <c r="R40" s="102">
        <v>58040.607618016184</v>
      </c>
      <c r="S40" s="102">
        <v>64003.965686309246</v>
      </c>
      <c r="T40" s="102">
        <v>62155.916047664978</v>
      </c>
      <c r="U40" s="102">
        <v>69116.715950652899</v>
      </c>
      <c r="V40" s="102">
        <v>57843.219549408568</v>
      </c>
      <c r="W40" s="102">
        <v>65245.549214085091</v>
      </c>
      <c r="X40" s="102">
        <v>66302.097126302644</v>
      </c>
      <c r="Y40" s="102">
        <v>66309.437427934579</v>
      </c>
      <c r="DA40" s="175" t="s">
        <v>222</v>
      </c>
    </row>
    <row r="41" spans="1:105" ht="11.45" customHeight="1" x14ac:dyDescent="0.25">
      <c r="A41" s="85" t="s">
        <v>182</v>
      </c>
      <c r="B41" s="86">
        <v>39572.986971869548</v>
      </c>
      <c r="C41" s="86">
        <v>34313.522346769874</v>
      </c>
      <c r="D41" s="86">
        <v>38566.424369581233</v>
      </c>
      <c r="E41" s="86">
        <v>38347.838149336581</v>
      </c>
      <c r="F41" s="86">
        <v>44695.464333387434</v>
      </c>
      <c r="G41" s="86">
        <v>55932.65974523528</v>
      </c>
      <c r="H41" s="86">
        <v>54332.451635638354</v>
      </c>
      <c r="I41" s="86">
        <v>53409.641769184243</v>
      </c>
      <c r="J41" s="86">
        <v>50617.085973521578</v>
      </c>
      <c r="K41" s="86">
        <v>43762.241641906527</v>
      </c>
      <c r="L41" s="86">
        <v>49113.610467019207</v>
      </c>
      <c r="M41" s="86">
        <v>59196.394553881808</v>
      </c>
      <c r="N41" s="86">
        <v>60440.943313458622</v>
      </c>
      <c r="O41" s="86">
        <v>60321.00268531702</v>
      </c>
      <c r="P41" s="86">
        <v>60679.630651108659</v>
      </c>
      <c r="Q41" s="86">
        <v>68782.4774864801</v>
      </c>
      <c r="R41" s="86">
        <v>67052.835242535191</v>
      </c>
      <c r="S41" s="86">
        <v>67313.204584448584</v>
      </c>
      <c r="T41" s="86">
        <v>72047.293250614122</v>
      </c>
      <c r="U41" s="86">
        <v>70802.030215372026</v>
      </c>
      <c r="V41" s="86">
        <v>34005.502323492845</v>
      </c>
      <c r="W41" s="86">
        <v>40029.497995957601</v>
      </c>
      <c r="X41" s="86">
        <v>43016.69025772388</v>
      </c>
      <c r="Y41" s="86">
        <v>45534.692270460306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101.30262332293437</v>
      </c>
      <c r="C43" s="54">
        <f t="shared" si="30"/>
        <v>99.613488736429005</v>
      </c>
      <c r="D43" s="54">
        <f t="shared" ref="D43:V43" si="31">SUM(D44,D48)</f>
        <v>99.473852584168696</v>
      </c>
      <c r="E43" s="54">
        <f t="shared" si="31"/>
        <v>104.50013635990275</v>
      </c>
      <c r="F43" s="54">
        <f t="shared" si="31"/>
        <v>120.25200344088967</v>
      </c>
      <c r="G43" s="54">
        <f t="shared" si="31"/>
        <v>126.35760174359044</v>
      </c>
      <c r="H43" s="54">
        <f t="shared" si="31"/>
        <v>126.98078227447905</v>
      </c>
      <c r="I43" s="54">
        <f t="shared" si="31"/>
        <v>132.49555188168745</v>
      </c>
      <c r="J43" s="54">
        <f t="shared" si="31"/>
        <v>137.03435442496874</v>
      </c>
      <c r="K43" s="54">
        <f t="shared" si="31"/>
        <v>128.36177490855059</v>
      </c>
      <c r="L43" s="54">
        <f t="shared" si="31"/>
        <v>125.64668940567442</v>
      </c>
      <c r="M43" s="54">
        <f t="shared" si="31"/>
        <v>126.61803184372718</v>
      </c>
      <c r="N43" s="54">
        <f t="shared" si="31"/>
        <v>122.29549760023562</v>
      </c>
      <c r="O43" s="54">
        <f t="shared" si="31"/>
        <v>117.55212873248433</v>
      </c>
      <c r="P43" s="54">
        <f t="shared" si="31"/>
        <v>120.20190972693983</v>
      </c>
      <c r="Q43" s="54">
        <f t="shared" si="31"/>
        <v>120.70247965094829</v>
      </c>
      <c r="R43" s="54">
        <f t="shared" si="31"/>
        <v>119.3790537363639</v>
      </c>
      <c r="S43" s="54">
        <f t="shared" si="31"/>
        <v>119.72092982514474</v>
      </c>
      <c r="T43" s="54">
        <f t="shared" si="31"/>
        <v>129.75133947967959</v>
      </c>
      <c r="U43" s="54">
        <f t="shared" si="31"/>
        <v>144.0990531201503</v>
      </c>
      <c r="V43" s="54">
        <f t="shared" si="31"/>
        <v>139.03725151864592</v>
      </c>
      <c r="W43" s="54">
        <f t="shared" ref="W43:Y43" si="32">SUM(W44,W48)</f>
        <v>134.18047412405156</v>
      </c>
      <c r="X43" s="54">
        <f t="shared" si="32"/>
        <v>129.33303541757223</v>
      </c>
      <c r="Y43" s="54">
        <f t="shared" si="32"/>
        <v>127.27025737863249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98.782914336988881</v>
      </c>
      <c r="C44" s="11">
        <f t="shared" si="33"/>
        <v>97.314739413123021</v>
      </c>
      <c r="D44" s="11">
        <f t="shared" ref="D44:V44" si="34">SUM(D45:D47)</f>
        <v>96.728861980746103</v>
      </c>
      <c r="E44" s="11">
        <f t="shared" si="34"/>
        <v>101.58107159303344</v>
      </c>
      <c r="F44" s="11">
        <f t="shared" si="34"/>
        <v>116.03667356344567</v>
      </c>
      <c r="G44" s="11">
        <f t="shared" si="34"/>
        <v>121.47949150500389</v>
      </c>
      <c r="H44" s="11">
        <f t="shared" si="34"/>
        <v>121.51306297384733</v>
      </c>
      <c r="I44" s="11">
        <f t="shared" si="34"/>
        <v>127.26266897390678</v>
      </c>
      <c r="J44" s="11">
        <f t="shared" si="34"/>
        <v>132.0121417559065</v>
      </c>
      <c r="K44" s="11">
        <f t="shared" si="34"/>
        <v>123.57371874461059</v>
      </c>
      <c r="L44" s="11">
        <f t="shared" si="34"/>
        <v>120.94278930359897</v>
      </c>
      <c r="M44" s="11">
        <f t="shared" si="34"/>
        <v>121.57796663442372</v>
      </c>
      <c r="N44" s="11">
        <f t="shared" si="34"/>
        <v>117.38558105808386</v>
      </c>
      <c r="O44" s="11">
        <f t="shared" si="34"/>
        <v>112.64293294479668</v>
      </c>
      <c r="P44" s="11">
        <f t="shared" si="34"/>
        <v>115.25654848820969</v>
      </c>
      <c r="Q44" s="11">
        <f t="shared" si="34"/>
        <v>115.47467653932964</v>
      </c>
      <c r="R44" s="11">
        <f t="shared" si="34"/>
        <v>114.39325496181058</v>
      </c>
      <c r="S44" s="11">
        <f t="shared" si="34"/>
        <v>114.57308077904588</v>
      </c>
      <c r="T44" s="11">
        <f t="shared" si="34"/>
        <v>124.32519732523176</v>
      </c>
      <c r="U44" s="11">
        <f t="shared" si="34"/>
        <v>138.372807147608</v>
      </c>
      <c r="V44" s="11">
        <f t="shared" si="34"/>
        <v>133.43366143075858</v>
      </c>
      <c r="W44" s="11">
        <f t="shared" ref="W44:Y44" si="35">SUM(W45:W47)</f>
        <v>128.49451571390912</v>
      </c>
      <c r="X44" s="11">
        <f t="shared" si="35"/>
        <v>123.55536999705967</v>
      </c>
      <c r="Y44" s="11">
        <f t="shared" si="35"/>
        <v>121.45710167275591</v>
      </c>
      <c r="DA44" s="189" t="s">
        <v>225</v>
      </c>
    </row>
    <row r="45" spans="1:105" ht="11.45" customHeight="1" x14ac:dyDescent="0.25">
      <c r="A45" s="83" t="s">
        <v>27</v>
      </c>
      <c r="B45" s="84">
        <v>8.3962564715252892</v>
      </c>
      <c r="C45" s="84">
        <v>7.5566308243727605</v>
      </c>
      <c r="D45" s="84">
        <v>8.0848267622461165</v>
      </c>
      <c r="E45" s="84">
        <v>7.724810832337714</v>
      </c>
      <c r="F45" s="84">
        <v>7.5475906013540426</v>
      </c>
      <c r="G45" s="84">
        <v>7.5728542914171655</v>
      </c>
      <c r="H45" s="84">
        <v>7.8472</v>
      </c>
      <c r="I45" s="84">
        <v>7.9794851166532581</v>
      </c>
      <c r="J45" s="84">
        <v>8.3488843813387419</v>
      </c>
      <c r="K45" s="84">
        <v>8.1563903634136388</v>
      </c>
      <c r="L45" s="84">
        <v>8.104812398042414</v>
      </c>
      <c r="M45" s="84">
        <v>7.2651867508898853</v>
      </c>
      <c r="N45" s="84">
        <v>6.4255611037373566</v>
      </c>
      <c r="O45" s="84">
        <v>5.9659182036888536</v>
      </c>
      <c r="P45" s="84">
        <v>5.596793587174349</v>
      </c>
      <c r="Q45" s="84">
        <v>5.0286637060960837</v>
      </c>
      <c r="R45" s="84">
        <v>4.4938875305623469</v>
      </c>
      <c r="S45" s="84">
        <v>4.4229668982427466</v>
      </c>
      <c r="T45" s="84">
        <v>4.3310147299509003</v>
      </c>
      <c r="U45" s="84">
        <v>4.0562166598276566</v>
      </c>
      <c r="V45" s="84">
        <v>3.6364038362513922</v>
      </c>
      <c r="W45" s="84">
        <v>3.2165910126751278</v>
      </c>
      <c r="X45" s="84">
        <v>2.7967781890988634</v>
      </c>
      <c r="Y45" s="84">
        <v>2.3769653655225991</v>
      </c>
      <c r="DA45" s="171" t="s">
        <v>226</v>
      </c>
    </row>
    <row r="46" spans="1:105" ht="11.45" customHeight="1" x14ac:dyDescent="0.25">
      <c r="A46" s="83" t="s">
        <v>181</v>
      </c>
      <c r="B46" s="84">
        <v>61.227008742656587</v>
      </c>
      <c r="C46" s="84">
        <v>60.175652448399383</v>
      </c>
      <c r="D46" s="84">
        <v>59.577368551833317</v>
      </c>
      <c r="E46" s="84">
        <v>63.419418655432573</v>
      </c>
      <c r="F46" s="84">
        <v>70.518907523495145</v>
      </c>
      <c r="G46" s="84">
        <v>71.253065785015281</v>
      </c>
      <c r="H46" s="84">
        <v>71.444608618446637</v>
      </c>
      <c r="I46" s="84">
        <v>76.847540292897094</v>
      </c>
      <c r="J46" s="84">
        <v>79.632857374567735</v>
      </c>
      <c r="K46" s="84">
        <v>74.302893293477652</v>
      </c>
      <c r="L46" s="84">
        <v>71.207442554411514</v>
      </c>
      <c r="M46" s="84">
        <v>71.308150253904202</v>
      </c>
      <c r="N46" s="84">
        <v>68.720200949821617</v>
      </c>
      <c r="O46" s="84">
        <v>64.803902958630488</v>
      </c>
      <c r="P46" s="84">
        <v>66.237780378742357</v>
      </c>
      <c r="Q46" s="84">
        <v>66.691452302553614</v>
      </c>
      <c r="R46" s="84">
        <v>67.926486075316035</v>
      </c>
      <c r="S46" s="84">
        <v>67.454315561475397</v>
      </c>
      <c r="T46" s="84">
        <v>72.025378435835449</v>
      </c>
      <c r="U46" s="84">
        <v>78.988604748029914</v>
      </c>
      <c r="V46" s="84">
        <v>75.927254310897084</v>
      </c>
      <c r="W46" s="84">
        <v>72.865903873764253</v>
      </c>
      <c r="X46" s="84">
        <v>69.804553436631423</v>
      </c>
      <c r="Y46" s="84">
        <v>69.584080392044271</v>
      </c>
      <c r="DA46" s="171" t="s">
        <v>227</v>
      </c>
    </row>
    <row r="47" spans="1:105" ht="11.45" customHeight="1" x14ac:dyDescent="0.25">
      <c r="A47" s="83" t="s">
        <v>182</v>
      </c>
      <c r="B47" s="84">
        <v>29.159649122807018</v>
      </c>
      <c r="C47" s="84">
        <v>29.582456140350878</v>
      </c>
      <c r="D47" s="84">
        <v>29.066666666666666</v>
      </c>
      <c r="E47" s="84">
        <v>30.436842105263157</v>
      </c>
      <c r="F47" s="84">
        <v>37.970175438596492</v>
      </c>
      <c r="G47" s="84">
        <v>42.653571428571432</v>
      </c>
      <c r="H47" s="84">
        <v>42.221254355400696</v>
      </c>
      <c r="I47" s="84">
        <v>42.435643564356432</v>
      </c>
      <c r="J47" s="84">
        <v>44.0304</v>
      </c>
      <c r="K47" s="84">
        <v>41.114435087719301</v>
      </c>
      <c r="L47" s="84">
        <v>41.630534351145037</v>
      </c>
      <c r="M47" s="84">
        <v>43.004629629629626</v>
      </c>
      <c r="N47" s="84">
        <v>42.23981900452489</v>
      </c>
      <c r="O47" s="84">
        <v>41.873111782477345</v>
      </c>
      <c r="P47" s="84">
        <v>43.421974522292992</v>
      </c>
      <c r="Q47" s="84">
        <v>43.754560530679932</v>
      </c>
      <c r="R47" s="84">
        <v>41.972881355932202</v>
      </c>
      <c r="S47" s="84">
        <v>42.695798319327729</v>
      </c>
      <c r="T47" s="84">
        <v>47.968804159445405</v>
      </c>
      <c r="U47" s="84">
        <v>55.327985739750446</v>
      </c>
      <c r="V47" s="84">
        <v>53.870003283610096</v>
      </c>
      <c r="W47" s="84">
        <v>52.412020827469746</v>
      </c>
      <c r="X47" s="84">
        <v>50.954038371329396</v>
      </c>
      <c r="Y47" s="84">
        <v>49.496055915189046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2.5197089859454813</v>
      </c>
      <c r="C48" s="13">
        <f t="shared" si="36"/>
        <v>2.298749323305989</v>
      </c>
      <c r="D48" s="13">
        <f t="shared" ref="D48:V48" si="37">SUM(D49:D51)</f>
        <v>2.7449906034225964</v>
      </c>
      <c r="E48" s="13">
        <f t="shared" si="37"/>
        <v>2.9190647668693144</v>
      </c>
      <c r="F48" s="13">
        <f t="shared" si="37"/>
        <v>4.2153298774439847</v>
      </c>
      <c r="G48" s="13">
        <f t="shared" si="37"/>
        <v>4.8781102385865429</v>
      </c>
      <c r="H48" s="13">
        <f t="shared" si="37"/>
        <v>5.4677193006317317</v>
      </c>
      <c r="I48" s="13">
        <f t="shared" si="37"/>
        <v>5.2328829077806667</v>
      </c>
      <c r="J48" s="13">
        <f t="shared" si="37"/>
        <v>5.0222126690622373</v>
      </c>
      <c r="K48" s="13">
        <f t="shared" si="37"/>
        <v>4.788056163940011</v>
      </c>
      <c r="L48" s="13">
        <f t="shared" si="37"/>
        <v>4.7039001020754476</v>
      </c>
      <c r="M48" s="13">
        <f t="shared" si="37"/>
        <v>5.0400652093034708</v>
      </c>
      <c r="N48" s="13">
        <f t="shared" si="37"/>
        <v>4.9099165421517572</v>
      </c>
      <c r="O48" s="13">
        <f t="shared" si="37"/>
        <v>4.9091957876876444</v>
      </c>
      <c r="P48" s="13">
        <f t="shared" si="37"/>
        <v>4.9453612387301478</v>
      </c>
      <c r="Q48" s="13">
        <f t="shared" si="37"/>
        <v>5.2278031116186519</v>
      </c>
      <c r="R48" s="13">
        <f t="shared" si="37"/>
        <v>4.9857987745533148</v>
      </c>
      <c r="S48" s="13">
        <f t="shared" si="37"/>
        <v>5.1478490460988535</v>
      </c>
      <c r="T48" s="13">
        <f t="shared" si="37"/>
        <v>5.4261421544478239</v>
      </c>
      <c r="U48" s="13">
        <f t="shared" si="37"/>
        <v>5.7262459725423032</v>
      </c>
      <c r="V48" s="13">
        <f t="shared" si="37"/>
        <v>5.6035900878873504</v>
      </c>
      <c r="W48" s="13">
        <f t="shared" ref="W48:Y48" si="38">SUM(W49:W51)</f>
        <v>5.6859584101424385</v>
      </c>
      <c r="X48" s="13">
        <f t="shared" si="38"/>
        <v>5.7776654205125695</v>
      </c>
      <c r="Y48" s="13">
        <f t="shared" si="38"/>
        <v>5.8131557058765821</v>
      </c>
      <c r="DA48" s="193" t="s">
        <v>229</v>
      </c>
    </row>
    <row r="49" spans="1:105" ht="11.45" customHeight="1" x14ac:dyDescent="0.25">
      <c r="A49" s="92" t="s">
        <v>27</v>
      </c>
      <c r="B49" s="102">
        <v>7.9973562458691347E-2</v>
      </c>
      <c r="C49" s="102">
        <v>7.1976206212822219E-2</v>
      </c>
      <c r="D49" s="102">
        <v>6.3978849966953077E-2</v>
      </c>
      <c r="E49" s="102">
        <v>5.5981493721083943E-2</v>
      </c>
      <c r="F49" s="102">
        <v>6.4111037673496366E-2</v>
      </c>
      <c r="G49" s="102">
        <v>6.6181336863004633E-2</v>
      </c>
      <c r="H49" s="102">
        <v>6.7594433399602388E-2</v>
      </c>
      <c r="I49" s="102">
        <v>5.9597077153733254E-2</v>
      </c>
      <c r="J49" s="102">
        <v>6.2792251169004679E-2</v>
      </c>
      <c r="K49" s="102">
        <v>5.8350100603621731E-2</v>
      </c>
      <c r="L49" s="102">
        <v>5.0352744357752596E-2</v>
      </c>
      <c r="M49" s="102">
        <v>4.2355388111883462E-2</v>
      </c>
      <c r="N49" s="102">
        <v>3.4358031866014327E-2</v>
      </c>
      <c r="O49" s="102">
        <v>2.6360675620145192E-2</v>
      </c>
      <c r="P49" s="102">
        <v>1.8363319374276058E-2</v>
      </c>
      <c r="Q49" s="102">
        <v>1.1849901250822911E-2</v>
      </c>
      <c r="R49" s="102">
        <v>6.5703022339027592E-3</v>
      </c>
      <c r="S49" s="102">
        <v>5.2219321148825066E-3</v>
      </c>
      <c r="T49" s="102">
        <v>5.1847051198963059E-3</v>
      </c>
      <c r="U49" s="102">
        <v>1.321003963011889E-3</v>
      </c>
      <c r="V49" s="102">
        <v>6.5189048239895696E-4</v>
      </c>
      <c r="W49" s="102">
        <v>6.5189048239895696E-4</v>
      </c>
      <c r="X49" s="102">
        <v>6.5659881812212733E-4</v>
      </c>
      <c r="Y49" s="102">
        <v>6.9783670621074664E-4</v>
      </c>
      <c r="DA49" s="175" t="s">
        <v>230</v>
      </c>
    </row>
    <row r="50" spans="1:105" ht="11.45" customHeight="1" x14ac:dyDescent="0.25">
      <c r="A50" s="92" t="s">
        <v>181</v>
      </c>
      <c r="B50" s="102">
        <v>1.4886076039379177</v>
      </c>
      <c r="C50" s="102">
        <v>1.3707580794991818</v>
      </c>
      <c r="D50" s="102">
        <v>1.7674779188691772</v>
      </c>
      <c r="E50" s="102">
        <v>1.8768677343011126</v>
      </c>
      <c r="F50" s="102">
        <v>2.9858053059359015</v>
      </c>
      <c r="G50" s="102">
        <v>3.1901340299286667</v>
      </c>
      <c r="H50" s="102">
        <v>3.8734427773921447</v>
      </c>
      <c r="I50" s="102">
        <v>3.7417165227418363</v>
      </c>
      <c r="J50" s="102">
        <v>3.6177537512265658</v>
      </c>
      <c r="K50" s="102">
        <v>3.4831521786246094</v>
      </c>
      <c r="L50" s="102">
        <v>3.5021062549608026</v>
      </c>
      <c r="M50" s="102">
        <v>3.5795040164422467</v>
      </c>
      <c r="N50" s="102">
        <v>3.4306432560484548</v>
      </c>
      <c r="O50" s="102">
        <v>3.3226499268823142</v>
      </c>
      <c r="P50" s="102">
        <v>3.3280487074469396</v>
      </c>
      <c r="Q50" s="102">
        <v>3.2004192297853047</v>
      </c>
      <c r="R50" s="102">
        <v>3.0571232091615168</v>
      </c>
      <c r="S50" s="102">
        <v>3.1026271139839716</v>
      </c>
      <c r="T50" s="102">
        <v>3.0732356267859617</v>
      </c>
      <c r="U50" s="102">
        <v>3.3416762376148235</v>
      </c>
      <c r="V50" s="102">
        <v>3.2672458574179277</v>
      </c>
      <c r="W50" s="102">
        <v>3.3971705706504589</v>
      </c>
      <c r="X50" s="102">
        <v>3.5364292636623111</v>
      </c>
      <c r="Y50" s="102">
        <v>3.6194347021156785</v>
      </c>
      <c r="DA50" s="175" t="s">
        <v>231</v>
      </c>
    </row>
    <row r="51" spans="1:105" ht="11.45" customHeight="1" x14ac:dyDescent="0.25">
      <c r="A51" s="85" t="s">
        <v>182</v>
      </c>
      <c r="B51" s="86">
        <v>0.95112781954887216</v>
      </c>
      <c r="C51" s="86">
        <v>0.8560150375939849</v>
      </c>
      <c r="D51" s="86">
        <v>0.9135338345864662</v>
      </c>
      <c r="E51" s="86">
        <v>0.98621553884711777</v>
      </c>
      <c r="F51" s="86">
        <v>1.1654135338345866</v>
      </c>
      <c r="G51" s="86">
        <v>1.6217948717948718</v>
      </c>
      <c r="H51" s="86">
        <v>1.5266820898399847</v>
      </c>
      <c r="I51" s="86">
        <v>1.4315693078850975</v>
      </c>
      <c r="J51" s="86">
        <v>1.3416666666666666</v>
      </c>
      <c r="K51" s="86">
        <v>1.2465538847117794</v>
      </c>
      <c r="L51" s="86">
        <v>1.1514411027568923</v>
      </c>
      <c r="M51" s="86">
        <v>1.4182058047493404</v>
      </c>
      <c r="N51" s="86">
        <v>1.4449152542372881</v>
      </c>
      <c r="O51" s="86">
        <v>1.5601851851851851</v>
      </c>
      <c r="P51" s="86">
        <v>1.5989492119089317</v>
      </c>
      <c r="Q51" s="86">
        <v>2.0155339805825241</v>
      </c>
      <c r="R51" s="86">
        <v>1.9221052631578948</v>
      </c>
      <c r="S51" s="86">
        <v>2.04</v>
      </c>
      <c r="T51" s="86">
        <v>2.3477218225419665</v>
      </c>
      <c r="U51" s="86">
        <v>2.3832487309644672</v>
      </c>
      <c r="V51" s="86">
        <v>2.3356923399870237</v>
      </c>
      <c r="W51" s="86">
        <v>2.2881359490095803</v>
      </c>
      <c r="X51" s="86">
        <v>2.2405795580321368</v>
      </c>
      <c r="Y51" s="86">
        <v>2.1930231670546934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13.305480360091993</v>
      </c>
      <c r="C53" s="54">
        <f t="shared" si="39"/>
        <v>2.9633751250896339</v>
      </c>
      <c r="D53" s="54">
        <f t="shared" ref="D53:V53" si="40">SUM(D54,D58)</f>
        <v>3.7923354000926106</v>
      </c>
      <c r="E53" s="54">
        <f t="shared" si="40"/>
        <v>8.9242082490661367</v>
      </c>
      <c r="F53" s="54">
        <f t="shared" si="40"/>
        <v>19.089946480646962</v>
      </c>
      <c r="G53" s="54">
        <f t="shared" si="40"/>
        <v>9.9210761462330694</v>
      </c>
      <c r="H53" s="54">
        <f t="shared" si="40"/>
        <v>4.7364160240118833</v>
      </c>
      <c r="I53" s="54">
        <f t="shared" si="40"/>
        <v>9.1922984100264085</v>
      </c>
      <c r="J53" s="54">
        <f t="shared" si="40"/>
        <v>8.0256517837217718</v>
      </c>
      <c r="K53" s="54">
        <f t="shared" si="40"/>
        <v>0.18791104781719556</v>
      </c>
      <c r="L53" s="54">
        <f t="shared" si="40"/>
        <v>1.8815565485207202</v>
      </c>
      <c r="M53" s="54">
        <f t="shared" si="40"/>
        <v>4.9855894861902605</v>
      </c>
      <c r="N53" s="54">
        <f t="shared" si="40"/>
        <v>0.39631737436695169</v>
      </c>
      <c r="O53" s="54">
        <f t="shared" si="40"/>
        <v>1.305172255409077</v>
      </c>
      <c r="P53" s="54">
        <f t="shared" si="40"/>
        <v>6.1671749867935608</v>
      </c>
      <c r="Q53" s="54">
        <f t="shared" si="40"/>
        <v>4.2340331511677594</v>
      </c>
      <c r="R53" s="54">
        <f t="shared" si="40"/>
        <v>3.3675193753868435</v>
      </c>
      <c r="S53" s="54">
        <f t="shared" si="40"/>
        <v>3.6858411091633658</v>
      </c>
      <c r="T53" s="54">
        <f t="shared" si="40"/>
        <v>13.370565124524497</v>
      </c>
      <c r="U53" s="54">
        <f t="shared" si="40"/>
        <v>17.911552444882943</v>
      </c>
      <c r="V53" s="54">
        <f t="shared" si="40"/>
        <v>2.5732129358973302E-3</v>
      </c>
      <c r="W53" s="54">
        <f t="shared" ref="W53:Y53" si="41">SUM(W54,W58)</f>
        <v>0.18244534345882166</v>
      </c>
      <c r="X53" s="54">
        <f t="shared" si="41"/>
        <v>0.19345488853701542</v>
      </c>
      <c r="Y53" s="54">
        <f t="shared" si="41"/>
        <v>2.1363612285803613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13.071209282147336</v>
      </c>
      <c r="C54" s="11">
        <f t="shared" si="42"/>
        <v>2.9624013423176336</v>
      </c>
      <c r="D54" s="11">
        <f t="shared" ref="D54:V54" si="43">SUM(D55:D57)</f>
        <v>3.2569608808000616</v>
      </c>
      <c r="E54" s="11">
        <f t="shared" si="43"/>
        <v>8.6590532809008707</v>
      </c>
      <c r="F54" s="11">
        <f t="shared" si="43"/>
        <v>17.710146280268219</v>
      </c>
      <c r="G54" s="11">
        <f t="shared" si="43"/>
        <v>9.1708226401065573</v>
      </c>
      <c r="H54" s="11">
        <f t="shared" si="43"/>
        <v>3.9927548696138548</v>
      </c>
      <c r="I54" s="11">
        <f t="shared" si="43"/>
        <v>9.1820740166419981</v>
      </c>
      <c r="J54" s="11">
        <f t="shared" si="43"/>
        <v>8.0040170918556584</v>
      </c>
      <c r="K54" s="11">
        <f t="shared" si="43"/>
        <v>0.18250953792703939</v>
      </c>
      <c r="L54" s="11">
        <f t="shared" si="43"/>
        <v>1.804114803117967</v>
      </c>
      <c r="M54" s="11">
        <f t="shared" si="43"/>
        <v>4.472890105638256</v>
      </c>
      <c r="N54" s="11">
        <f t="shared" si="43"/>
        <v>0.34107409029300406</v>
      </c>
      <c r="O54" s="11">
        <f t="shared" si="43"/>
        <v>1.1224486241901355</v>
      </c>
      <c r="P54" s="11">
        <f t="shared" si="43"/>
        <v>6.0290805634935571</v>
      </c>
      <c r="Q54" s="11">
        <f t="shared" si="43"/>
        <v>3.788914547908167</v>
      </c>
      <c r="R54" s="11">
        <f t="shared" si="43"/>
        <v>3.3675193753868435</v>
      </c>
      <c r="S54" s="11">
        <f t="shared" si="43"/>
        <v>3.4343701270912668</v>
      </c>
      <c r="T54" s="11">
        <f t="shared" si="43"/>
        <v>12.995941193289894</v>
      </c>
      <c r="U54" s="11">
        <f t="shared" si="43"/>
        <v>17.513653309619947</v>
      </c>
      <c r="V54" s="11">
        <f t="shared" si="43"/>
        <v>8.4311954251026222E-4</v>
      </c>
      <c r="W54" s="11">
        <f t="shared" ref="W54:Y54" si="44">SUM(W55:W57)</f>
        <v>8.4311954251026222E-4</v>
      </c>
      <c r="X54" s="11">
        <f t="shared" si="44"/>
        <v>8.4311954251026222E-4</v>
      </c>
      <c r="Y54" s="11">
        <f t="shared" si="44"/>
        <v>1.9996627237385893</v>
      </c>
      <c r="DA54" s="189" t="s">
        <v>234</v>
      </c>
    </row>
    <row r="55" spans="1:105" ht="11.45" customHeight="1" x14ac:dyDescent="0.25">
      <c r="A55" s="83" t="s">
        <v>27</v>
      </c>
      <c r="B55" s="84">
        <v>1.4227359617684607</v>
      </c>
      <c r="C55" s="84">
        <v>0</v>
      </c>
      <c r="D55" s="84">
        <v>0.78008363201935538</v>
      </c>
      <c r="E55" s="84">
        <v>0</v>
      </c>
      <c r="F55" s="84">
        <v>7.4667463162328751E-2</v>
      </c>
      <c r="G55" s="84">
        <v>0.27715138420912311</v>
      </c>
      <c r="H55" s="84">
        <v>0.52623340272883468</v>
      </c>
      <c r="I55" s="84">
        <v>0.38417281079925747</v>
      </c>
      <c r="J55" s="84">
        <v>0.6212869588314831</v>
      </c>
      <c r="K55" s="84">
        <v>5.9393676220896197E-2</v>
      </c>
      <c r="L55" s="84">
        <v>0.2003097287747746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0.18096706182639988</v>
      </c>
      <c r="T55" s="84">
        <v>0.15993552585415394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6.7273037297356293</v>
      </c>
      <c r="C56" s="84">
        <v>1.553512453428773</v>
      </c>
      <c r="D56" s="84">
        <v>2.0065848511199178</v>
      </c>
      <c r="E56" s="84">
        <v>6.302795970959381</v>
      </c>
      <c r="F56" s="84">
        <v>9.1160636124275563</v>
      </c>
      <c r="G56" s="84">
        <v>3.224193394577493</v>
      </c>
      <c r="H56" s="84">
        <v>2.9127566687107564</v>
      </c>
      <c r="I56" s="84">
        <v>7.5974301255420036</v>
      </c>
      <c r="J56" s="84">
        <v>4.8018918260356074</v>
      </c>
      <c r="K56" s="84">
        <v>0.12311586170614319</v>
      </c>
      <c r="L56" s="84">
        <v>0.10162393957245541</v>
      </c>
      <c r="M56" s="84">
        <v>2.112712955808667</v>
      </c>
      <c r="N56" s="84">
        <v>0.11980284405274055</v>
      </c>
      <c r="O56" s="84">
        <v>0.50307397489268002</v>
      </c>
      <c r="P56" s="84">
        <v>3.4941359523329103</v>
      </c>
      <c r="Q56" s="84">
        <v>2.4702466681762267</v>
      </c>
      <c r="R56" s="84">
        <v>3.3675193753868435</v>
      </c>
      <c r="S56" s="84">
        <v>1.5444042305243402</v>
      </c>
      <c r="T56" s="84">
        <v>6.5769179559730651</v>
      </c>
      <c r="U56" s="84">
        <v>9.1683898579699061</v>
      </c>
      <c r="V56" s="84">
        <v>8.4311954251026222E-4</v>
      </c>
      <c r="W56" s="84">
        <v>8.4311954251026222E-4</v>
      </c>
      <c r="X56" s="84">
        <v>8.4311954251026222E-4</v>
      </c>
      <c r="Y56" s="84">
        <v>1.9996627237385893</v>
      </c>
      <c r="DA56" s="171" t="s">
        <v>236</v>
      </c>
    </row>
    <row r="57" spans="1:105" ht="11.45" customHeight="1" x14ac:dyDescent="0.25">
      <c r="A57" s="83" t="s">
        <v>182</v>
      </c>
      <c r="B57" s="84">
        <v>4.9211695906432453</v>
      </c>
      <c r="C57" s="84">
        <v>1.4088888888888604</v>
      </c>
      <c r="D57" s="84">
        <v>0.47029239766078845</v>
      </c>
      <c r="E57" s="84">
        <v>2.3562573099414905</v>
      </c>
      <c r="F57" s="84">
        <v>8.5194152046783351</v>
      </c>
      <c r="G57" s="84">
        <v>5.6694778613199404</v>
      </c>
      <c r="H57" s="84">
        <v>0.55376479817426372</v>
      </c>
      <c r="I57" s="84">
        <v>1.200471080300737</v>
      </c>
      <c r="J57" s="84">
        <v>2.5808383069885679</v>
      </c>
      <c r="K57" s="84">
        <v>0</v>
      </c>
      <c r="L57" s="84">
        <v>1.502181134770737</v>
      </c>
      <c r="M57" s="84">
        <v>2.3601771498295889</v>
      </c>
      <c r="N57" s="84">
        <v>0.22127124624026351</v>
      </c>
      <c r="O57" s="84">
        <v>0.61937464929745545</v>
      </c>
      <c r="P57" s="84">
        <v>2.5349446111606468</v>
      </c>
      <c r="Q57" s="84">
        <v>1.3186678797319402</v>
      </c>
      <c r="R57" s="84">
        <v>0</v>
      </c>
      <c r="S57" s="84">
        <v>1.7089988347405267</v>
      </c>
      <c r="T57" s="84">
        <v>6.2590877114626764</v>
      </c>
      <c r="U57" s="84">
        <v>8.345263451650041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0.23427107794465749</v>
      </c>
      <c r="C58" s="13">
        <f t="shared" si="45"/>
        <v>9.7378277200000155E-4</v>
      </c>
      <c r="D58" s="13">
        <f t="shared" ref="D58:V58" si="46">SUM(D59:D61)</f>
        <v>0.53537451929254887</v>
      </c>
      <c r="E58" s="13">
        <f t="shared" si="46"/>
        <v>0.26515496816526585</v>
      </c>
      <c r="F58" s="13">
        <f t="shared" si="46"/>
        <v>1.3798002003787428</v>
      </c>
      <c r="G58" s="13">
        <f t="shared" si="46"/>
        <v>0.75025350612651132</v>
      </c>
      <c r="H58" s="13">
        <f t="shared" si="46"/>
        <v>0.7436611543980286</v>
      </c>
      <c r="I58" s="13">
        <f t="shared" si="46"/>
        <v>1.0224393384411105E-2</v>
      </c>
      <c r="J58" s="13">
        <f t="shared" si="46"/>
        <v>2.1634691866113012E-2</v>
      </c>
      <c r="K58" s="13">
        <f t="shared" si="46"/>
        <v>5.4015098901561698E-3</v>
      </c>
      <c r="L58" s="13">
        <f t="shared" si="46"/>
        <v>7.7441745402753115E-2</v>
      </c>
      <c r="M58" s="13">
        <f t="shared" si="46"/>
        <v>0.5126993805520047</v>
      </c>
      <c r="N58" s="13">
        <f t="shared" si="46"/>
        <v>5.5243284073947629E-2</v>
      </c>
      <c r="O58" s="13">
        <f t="shared" si="46"/>
        <v>0.18272363121894161</v>
      </c>
      <c r="P58" s="13">
        <f t="shared" si="46"/>
        <v>0.13809442330000365</v>
      </c>
      <c r="Q58" s="13">
        <f t="shared" si="46"/>
        <v>0.44511860325959218</v>
      </c>
      <c r="R58" s="13">
        <f t="shared" si="46"/>
        <v>0</v>
      </c>
      <c r="S58" s="13">
        <f t="shared" si="46"/>
        <v>0.25147098207209895</v>
      </c>
      <c r="T58" s="13">
        <f t="shared" si="46"/>
        <v>0.37462393123460186</v>
      </c>
      <c r="U58" s="13">
        <f t="shared" si="46"/>
        <v>0.39789913526299436</v>
      </c>
      <c r="V58" s="13">
        <f t="shared" si="46"/>
        <v>1.7300933933870682E-3</v>
      </c>
      <c r="W58" s="13">
        <f t="shared" ref="W58:Y58" si="47">SUM(W59:W61)</f>
        <v>0.18160222391631139</v>
      </c>
      <c r="X58" s="13">
        <f t="shared" si="47"/>
        <v>0.19261176899450516</v>
      </c>
      <c r="Y58" s="13">
        <f t="shared" si="47"/>
        <v>0.13669850484177207</v>
      </c>
      <c r="DA58" s="193" t="s">
        <v>238</v>
      </c>
    </row>
    <row r="59" spans="1:105" ht="11.45" customHeight="1" x14ac:dyDescent="0.25">
      <c r="A59" s="92" t="s">
        <v>27</v>
      </c>
      <c r="B59" s="102">
        <v>3.0158625248091216E-2</v>
      </c>
      <c r="C59" s="102">
        <v>0</v>
      </c>
      <c r="D59" s="102">
        <v>0</v>
      </c>
      <c r="E59" s="102">
        <v>0</v>
      </c>
      <c r="F59" s="102">
        <v>1.0528750826412421E-2</v>
      </c>
      <c r="G59" s="102">
        <v>4.4695060635082662E-3</v>
      </c>
      <c r="H59" s="102">
        <v>3.8123034105977532E-3</v>
      </c>
      <c r="I59" s="102">
        <v>0</v>
      </c>
      <c r="J59" s="102">
        <v>5.5943808892714234E-3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1.0508367549797474E-3</v>
      </c>
      <c r="T59" s="102">
        <v>2.3619798790137994E-3</v>
      </c>
      <c r="U59" s="102">
        <v>0</v>
      </c>
      <c r="V59" s="102">
        <v>1.7300933933870682E-3</v>
      </c>
      <c r="W59" s="102">
        <v>2.3992068740000001E-3</v>
      </c>
      <c r="X59" s="102">
        <v>2.4039152097231706E-3</v>
      </c>
      <c r="Y59" s="102">
        <v>2.4404447620886192E-3</v>
      </c>
      <c r="DA59" s="175" t="s">
        <v>239</v>
      </c>
    </row>
    <row r="60" spans="1:105" ht="11.45" customHeight="1" x14ac:dyDescent="0.25">
      <c r="A60" s="92" t="s">
        <v>181</v>
      </c>
      <c r="B60" s="102">
        <v>2.0190146932621403E-2</v>
      </c>
      <c r="C60" s="102">
        <v>9.7378277200000155E-4</v>
      </c>
      <c r="D60" s="102">
        <v>0.44932188771406756</v>
      </c>
      <c r="E60" s="102">
        <v>0.16393942931861441</v>
      </c>
      <c r="F60" s="102">
        <v>1.1615396199788615</v>
      </c>
      <c r="G60" s="102">
        <v>0.26086882751671781</v>
      </c>
      <c r="H60" s="102">
        <v>0.73984885098743081</v>
      </c>
      <c r="I60" s="102">
        <v>1.0224393384411105E-2</v>
      </c>
      <c r="J60" s="102">
        <v>1.6040310976841589E-2</v>
      </c>
      <c r="K60" s="102">
        <v>5.4015098901561698E-3</v>
      </c>
      <c r="L60" s="102">
        <v>7.7441745402753115E-2</v>
      </c>
      <c r="M60" s="102">
        <v>0.2174008439735565</v>
      </c>
      <c r="N60" s="102">
        <v>0</v>
      </c>
      <c r="O60" s="102">
        <v>3.8919865685044547E-2</v>
      </c>
      <c r="P60" s="102">
        <v>7.0796561990257079E-2</v>
      </c>
      <c r="Q60" s="102">
        <v>0</v>
      </c>
      <c r="R60" s="102">
        <v>0</v>
      </c>
      <c r="S60" s="102">
        <v>0.10399157388901417</v>
      </c>
      <c r="T60" s="102">
        <v>3.6006294227621805E-2</v>
      </c>
      <c r="U60" s="102">
        <v>0.33383839225449385</v>
      </c>
      <c r="V60" s="102">
        <v>0</v>
      </c>
      <c r="W60" s="102">
        <v>0.1792030170423114</v>
      </c>
      <c r="X60" s="102">
        <v>0.190207853784782</v>
      </c>
      <c r="Y60" s="102">
        <v>0.13425806007968344</v>
      </c>
      <c r="DA60" s="175" t="s">
        <v>240</v>
      </c>
    </row>
    <row r="61" spans="1:105" ht="11.45" customHeight="1" x14ac:dyDescent="0.25">
      <c r="A61" s="85" t="s">
        <v>182</v>
      </c>
      <c r="B61" s="86">
        <v>0.18392230576394486</v>
      </c>
      <c r="C61" s="86">
        <v>0</v>
      </c>
      <c r="D61" s="86">
        <v>8.6052631578481309E-2</v>
      </c>
      <c r="E61" s="86">
        <v>0.10121553884665146</v>
      </c>
      <c r="F61" s="86">
        <v>0.20773182957346881</v>
      </c>
      <c r="G61" s="86">
        <v>0.48491517254628524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0.29529853657844818</v>
      </c>
      <c r="N61" s="86">
        <v>5.5243284073947629E-2</v>
      </c>
      <c r="O61" s="86">
        <v>0.14380376553389707</v>
      </c>
      <c r="P61" s="86">
        <v>6.7297861309746576E-2</v>
      </c>
      <c r="Q61" s="86">
        <v>0.44511860325959218</v>
      </c>
      <c r="R61" s="86">
        <v>0</v>
      </c>
      <c r="S61" s="86">
        <v>0.14642857142810506</v>
      </c>
      <c r="T61" s="86">
        <v>0.33625565712796623</v>
      </c>
      <c r="U61" s="86">
        <v>6.4060743008500509E-2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58.942394066657968</v>
      </c>
      <c r="C66" s="14">
        <f t="shared" si="48"/>
        <v>60.907782082556082</v>
      </c>
      <c r="D66" s="14">
        <f t="shared" ref="D66:V66" si="49">IF(D34=0,0,D34/D24)</f>
        <v>62.489725864878118</v>
      </c>
      <c r="E66" s="14">
        <f t="shared" si="49"/>
        <v>63.267401739605212</v>
      </c>
      <c r="F66" s="14">
        <f t="shared" si="49"/>
        <v>65.841770940170946</v>
      </c>
      <c r="G66" s="14">
        <f t="shared" si="49"/>
        <v>68.692037525456556</v>
      </c>
      <c r="H66" s="14">
        <f t="shared" si="49"/>
        <v>72.675162255281649</v>
      </c>
      <c r="I66" s="14">
        <f t="shared" si="49"/>
        <v>74.509475482189828</v>
      </c>
      <c r="J66" s="14">
        <f t="shared" si="49"/>
        <v>74.327680720737902</v>
      </c>
      <c r="K66" s="14">
        <f t="shared" si="49"/>
        <v>74.273888624960136</v>
      </c>
      <c r="L66" s="14">
        <f t="shared" si="49"/>
        <v>79.457304090653167</v>
      </c>
      <c r="M66" s="14">
        <f t="shared" si="49"/>
        <v>86.366666004121029</v>
      </c>
      <c r="N66" s="14">
        <f t="shared" si="49"/>
        <v>91.239339733688965</v>
      </c>
      <c r="O66" s="14">
        <f t="shared" si="49"/>
        <v>94.647844747686477</v>
      </c>
      <c r="P66" s="14">
        <f t="shared" si="49"/>
        <v>97.085719370684131</v>
      </c>
      <c r="Q66" s="14">
        <f t="shared" si="49"/>
        <v>100.1029909951646</v>
      </c>
      <c r="R66" s="14">
        <f t="shared" si="49"/>
        <v>103.03699587871651</v>
      </c>
      <c r="S66" s="14">
        <f t="shared" si="49"/>
        <v>107.54108423170166</v>
      </c>
      <c r="T66" s="14">
        <f t="shared" si="49"/>
        <v>111.50399259908463</v>
      </c>
      <c r="U66" s="14">
        <f t="shared" si="49"/>
        <v>117.52932037082404</v>
      </c>
      <c r="V66" s="14">
        <f t="shared" si="49"/>
        <v>88.558000908333966</v>
      </c>
      <c r="W66" s="14">
        <f t="shared" ref="W66:Y66" si="50">IF(W34=0,0,W34/W24)</f>
        <v>97.209129402044823</v>
      </c>
      <c r="X66" s="14">
        <f t="shared" si="50"/>
        <v>125.06946942446044</v>
      </c>
      <c r="Y66" s="14">
        <f t="shared" si="50"/>
        <v>133.36320363578378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25.860266565479296</v>
      </c>
      <c r="C67" s="87">
        <f t="shared" si="48"/>
        <v>29.57414267569856</v>
      </c>
      <c r="D67" s="87">
        <f t="shared" ref="D67:V67" si="51">IF(D35=0,0,D35/D25)</f>
        <v>28.056598197133145</v>
      </c>
      <c r="E67" s="87">
        <f t="shared" si="51"/>
        <v>30.218487394957982</v>
      </c>
      <c r="F67" s="87">
        <f t="shared" si="51"/>
        <v>32.268151118615449</v>
      </c>
      <c r="G67" s="87">
        <f t="shared" si="51"/>
        <v>31.862941486557723</v>
      </c>
      <c r="H67" s="87">
        <f t="shared" si="51"/>
        <v>38.368590070343565</v>
      </c>
      <c r="I67" s="87">
        <f t="shared" si="51"/>
        <v>39.93008015324898</v>
      </c>
      <c r="J67" s="87">
        <f t="shared" si="51"/>
        <v>39.5768221574344</v>
      </c>
      <c r="K67" s="87">
        <f t="shared" si="51"/>
        <v>39.44435544430538</v>
      </c>
      <c r="L67" s="87">
        <f t="shared" si="51"/>
        <v>43.144869924017513</v>
      </c>
      <c r="M67" s="87">
        <f t="shared" si="51"/>
        <v>47.071109094444807</v>
      </c>
      <c r="N67" s="87">
        <f t="shared" si="51"/>
        <v>44.317041800643089</v>
      </c>
      <c r="O67" s="87">
        <f t="shared" si="51"/>
        <v>43.698635660998725</v>
      </c>
      <c r="P67" s="87">
        <f t="shared" si="51"/>
        <v>43.923732454883989</v>
      </c>
      <c r="Q67" s="87">
        <f t="shared" si="51"/>
        <v>45.338230571612073</v>
      </c>
      <c r="R67" s="87">
        <f t="shared" si="51"/>
        <v>47.302956111715631</v>
      </c>
      <c r="S67" s="87">
        <f t="shared" si="51"/>
        <v>51.017832393975795</v>
      </c>
      <c r="T67" s="87">
        <f t="shared" si="51"/>
        <v>56.978743504959851</v>
      </c>
      <c r="U67" s="87">
        <f t="shared" si="51"/>
        <v>56.883358624178051</v>
      </c>
      <c r="V67" s="87">
        <f t="shared" si="51"/>
        <v>45.095911466338762</v>
      </c>
      <c r="W67" s="87">
        <f t="shared" ref="W67:Y67" si="52">IF(W35=0,0,W35/W25)</f>
        <v>46.390992427261857</v>
      </c>
      <c r="X67" s="87">
        <f t="shared" si="52"/>
        <v>59.84</v>
      </c>
      <c r="Y67" s="87">
        <f t="shared" si="52"/>
        <v>60.05957053798199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57.726537933717296</v>
      </c>
      <c r="C68" s="87">
        <f t="shared" si="48"/>
        <v>58.983107354712104</v>
      </c>
      <c r="D68" s="87">
        <f t="shared" ref="D68:V68" si="53">IF(D36=0,0,D36/D26)</f>
        <v>60.612661195779602</v>
      </c>
      <c r="E68" s="87">
        <f t="shared" si="53"/>
        <v>61.546807817247142</v>
      </c>
      <c r="F68" s="87">
        <f t="shared" si="53"/>
        <v>62.909232880601962</v>
      </c>
      <c r="G68" s="87">
        <f t="shared" si="53"/>
        <v>66.212592017510218</v>
      </c>
      <c r="H68" s="87">
        <f t="shared" si="53"/>
        <v>71.703571866944884</v>
      </c>
      <c r="I68" s="87">
        <f t="shared" si="53"/>
        <v>73.416390245601207</v>
      </c>
      <c r="J68" s="87">
        <f t="shared" si="53"/>
        <v>73.576627216463848</v>
      </c>
      <c r="K68" s="87">
        <f t="shared" si="53"/>
        <v>74.622736166621848</v>
      </c>
      <c r="L68" s="87">
        <f t="shared" si="53"/>
        <v>79.704084483432979</v>
      </c>
      <c r="M68" s="87">
        <f t="shared" si="53"/>
        <v>86.042865504138831</v>
      </c>
      <c r="N68" s="87">
        <f t="shared" si="53"/>
        <v>91.890974317320342</v>
      </c>
      <c r="O68" s="87">
        <f t="shared" si="53"/>
        <v>95.748912075197367</v>
      </c>
      <c r="P68" s="87">
        <f t="shared" si="53"/>
        <v>97.93530638773845</v>
      </c>
      <c r="Q68" s="87">
        <f t="shared" si="53"/>
        <v>100.43826277842672</v>
      </c>
      <c r="R68" s="87">
        <f t="shared" si="53"/>
        <v>103.75935177044201</v>
      </c>
      <c r="S68" s="87">
        <f t="shared" si="53"/>
        <v>107.93620956554955</v>
      </c>
      <c r="T68" s="87">
        <f t="shared" si="53"/>
        <v>110.27346141815873</v>
      </c>
      <c r="U68" s="87">
        <f t="shared" si="53"/>
        <v>115.37618880812681</v>
      </c>
      <c r="V68" s="87">
        <f t="shared" si="53"/>
        <v>88.111374585028585</v>
      </c>
      <c r="W68" s="87">
        <f t="shared" ref="W68:Y68" si="54">IF(W36=0,0,W36/W26)</f>
        <v>96.136240494296572</v>
      </c>
      <c r="X68" s="87">
        <f t="shared" si="54"/>
        <v>121.41652712049509</v>
      </c>
      <c r="Y68" s="87">
        <f t="shared" si="54"/>
        <v>128.49020866773677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107.67529029540943</v>
      </c>
      <c r="C69" s="87">
        <f t="shared" si="48"/>
        <v>106.25785790534931</v>
      </c>
      <c r="D69" s="87">
        <f t="shared" ref="D69:V69" si="55">IF(D37=0,0,D37/D27)</f>
        <v>114.82834379526798</v>
      </c>
      <c r="E69" s="87">
        <f t="shared" si="55"/>
        <v>109.65150729148654</v>
      </c>
      <c r="F69" s="87">
        <f t="shared" si="55"/>
        <v>109.55680820588643</v>
      </c>
      <c r="G69" s="87">
        <f t="shared" si="55"/>
        <v>109.03880934438584</v>
      </c>
      <c r="H69" s="87">
        <f t="shared" si="55"/>
        <v>104.69201567980194</v>
      </c>
      <c r="I69" s="87">
        <f t="shared" si="55"/>
        <v>106.0658733862187</v>
      </c>
      <c r="J69" s="87">
        <f t="shared" si="55"/>
        <v>103.58366946473346</v>
      </c>
      <c r="K69" s="87">
        <f t="shared" si="55"/>
        <v>99.733335912414404</v>
      </c>
      <c r="L69" s="87">
        <f t="shared" si="55"/>
        <v>104.95008801525597</v>
      </c>
      <c r="M69" s="87">
        <f t="shared" si="55"/>
        <v>109.37115584741809</v>
      </c>
      <c r="N69" s="87">
        <f t="shared" si="55"/>
        <v>114.88698446705945</v>
      </c>
      <c r="O69" s="87">
        <f t="shared" si="55"/>
        <v>118.11608946608946</v>
      </c>
      <c r="P69" s="87">
        <f t="shared" si="55"/>
        <v>121.21727969489163</v>
      </c>
      <c r="Q69" s="87">
        <f t="shared" si="55"/>
        <v>124.69572468162522</v>
      </c>
      <c r="R69" s="87">
        <f t="shared" si="55"/>
        <v>124.93716685511227</v>
      </c>
      <c r="S69" s="87">
        <f t="shared" si="55"/>
        <v>130.07467327979845</v>
      </c>
      <c r="T69" s="87">
        <f t="shared" si="55"/>
        <v>137.04682419249946</v>
      </c>
      <c r="U69" s="87">
        <f t="shared" si="55"/>
        <v>144.76445761783563</v>
      </c>
      <c r="V69" s="87">
        <f t="shared" si="55"/>
        <v>105.27455919395466</v>
      </c>
      <c r="W69" s="87">
        <f t="shared" ref="W69:Y69" si="56">IF(W37=0,0,W37/W27)</f>
        <v>109.98948848915538</v>
      </c>
      <c r="X69" s="87">
        <f t="shared" si="56"/>
        <v>152.24068095098326</v>
      </c>
      <c r="Y69" s="87">
        <f t="shared" si="56"/>
        <v>165.49657478388517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26.493676183091537</v>
      </c>
      <c r="C70" s="15">
        <f t="shared" si="48"/>
        <v>26.802930463695631</v>
      </c>
      <c r="D70" s="15">
        <f t="shared" ref="D70:V70" si="57">IF(D38=0,0,D38/D28)</f>
        <v>25.743859469869353</v>
      </c>
      <c r="E70" s="15">
        <f t="shared" si="57"/>
        <v>25.426401094851858</v>
      </c>
      <c r="F70" s="15">
        <f t="shared" si="57"/>
        <v>22.747002337176532</v>
      </c>
      <c r="G70" s="15">
        <f t="shared" si="57"/>
        <v>22.550956561362561</v>
      </c>
      <c r="H70" s="15">
        <f t="shared" si="57"/>
        <v>20.797353124414418</v>
      </c>
      <c r="I70" s="15">
        <f t="shared" si="57"/>
        <v>21.045184072510001</v>
      </c>
      <c r="J70" s="15">
        <f t="shared" si="57"/>
        <v>20.756355746068948</v>
      </c>
      <c r="K70" s="15">
        <f t="shared" si="57"/>
        <v>20.689690836943708</v>
      </c>
      <c r="L70" s="15">
        <f t="shared" si="57"/>
        <v>21.657127031741894</v>
      </c>
      <c r="M70" s="15">
        <f t="shared" si="57"/>
        <v>24.316035520742144</v>
      </c>
      <c r="N70" s="15">
        <f t="shared" si="57"/>
        <v>27.106072017470886</v>
      </c>
      <c r="O70" s="15">
        <f t="shared" si="57"/>
        <v>26.819022745906086</v>
      </c>
      <c r="P70" s="15">
        <f t="shared" si="57"/>
        <v>28.011899640951611</v>
      </c>
      <c r="Q70" s="15">
        <f t="shared" si="57"/>
        <v>29.523668659315305</v>
      </c>
      <c r="R70" s="15">
        <f t="shared" si="57"/>
        <v>33.786365015536326</v>
      </c>
      <c r="S70" s="15">
        <f t="shared" si="57"/>
        <v>31.07814365784353</v>
      </c>
      <c r="T70" s="15">
        <f t="shared" si="57"/>
        <v>31.828794185743345</v>
      </c>
      <c r="U70" s="15">
        <f t="shared" si="57"/>
        <v>31.456586420227602</v>
      </c>
      <c r="V70" s="15">
        <f t="shared" si="57"/>
        <v>23.238878680112663</v>
      </c>
      <c r="W70" s="15">
        <f t="shared" ref="W70:Y70" si="58">IF(W38=0,0,W38/W28)</f>
        <v>23.821217442866015</v>
      </c>
      <c r="X70" s="15">
        <f t="shared" si="58"/>
        <v>24.747326961918159</v>
      </c>
      <c r="Y70" s="15">
        <f t="shared" si="58"/>
        <v>25.347591443943486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10.895437219200756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15.261225204177913</v>
      </c>
      <c r="S71" s="41">
        <f t="shared" si="59"/>
        <v>14.037407282807472</v>
      </c>
      <c r="T71" s="41">
        <f t="shared" si="59"/>
        <v>14.28777069472639</v>
      </c>
      <c r="U71" s="41">
        <f t="shared" si="59"/>
        <v>15.803408783848621</v>
      </c>
      <c r="V71" s="41">
        <f t="shared" si="59"/>
        <v>14.565549583941408</v>
      </c>
      <c r="W71" s="41">
        <f t="shared" ref="W71:Y71" si="60">IF(W39=0,0,W39/W29)</f>
        <v>14.733887425092286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17.221696677308703</v>
      </c>
      <c r="F72" s="41">
        <f t="shared" si="61"/>
        <v>16.065947226318936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13.698894254303417</v>
      </c>
      <c r="L72" s="41">
        <f t="shared" si="61"/>
        <v>14.504774438576121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18.449412678664512</v>
      </c>
      <c r="Q72" s="41">
        <f t="shared" si="61"/>
        <v>18.477606558493591</v>
      </c>
      <c r="R72" s="41">
        <f t="shared" si="61"/>
        <v>20.847919403023056</v>
      </c>
      <c r="S72" s="41">
        <f t="shared" si="61"/>
        <v>19.377525185076973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17.970037243342706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53.867382020046897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50.528235250360837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1008.5300674805075</v>
      </c>
      <c r="C75" s="62">
        <f t="shared" si="65"/>
        <v>1033.2891157913386</v>
      </c>
      <c r="D75" s="62">
        <f t="shared" ref="D75:V75" si="66">IF(D13=0,0,D13*1000000/D23)</f>
        <v>1022.0253801956542</v>
      </c>
      <c r="E75" s="62">
        <f t="shared" si="66"/>
        <v>1033.416790084224</v>
      </c>
      <c r="F75" s="62">
        <f t="shared" si="66"/>
        <v>1075.3302003276863</v>
      </c>
      <c r="G75" s="62">
        <f t="shared" si="66"/>
        <v>1111.5462591064284</v>
      </c>
      <c r="H75" s="62">
        <f t="shared" si="66"/>
        <v>1102.4493551791966</v>
      </c>
      <c r="I75" s="62">
        <f t="shared" si="66"/>
        <v>1071.1767217018105</v>
      </c>
      <c r="J75" s="62">
        <f t="shared" si="66"/>
        <v>1053.2970181193054</v>
      </c>
      <c r="K75" s="62">
        <f t="shared" si="66"/>
        <v>1034.1065746425193</v>
      </c>
      <c r="L75" s="62">
        <f t="shared" si="66"/>
        <v>1036.8129126926801</v>
      </c>
      <c r="M75" s="62">
        <f t="shared" si="66"/>
        <v>1072.2277395842227</v>
      </c>
      <c r="N75" s="62">
        <f t="shared" si="66"/>
        <v>1071.1611017292466</v>
      </c>
      <c r="O75" s="62">
        <f t="shared" si="66"/>
        <v>1080.020496675389</v>
      </c>
      <c r="P75" s="62">
        <f t="shared" si="66"/>
        <v>1123.1076110419701</v>
      </c>
      <c r="Q75" s="62">
        <f t="shared" si="66"/>
        <v>1164.178098879541</v>
      </c>
      <c r="R75" s="62">
        <f t="shared" si="66"/>
        <v>1188.6499052944052</v>
      </c>
      <c r="S75" s="62">
        <f t="shared" si="66"/>
        <v>1190.8632342817475</v>
      </c>
      <c r="T75" s="62">
        <f t="shared" si="66"/>
        <v>1240.8288584954867</v>
      </c>
      <c r="U75" s="62">
        <f t="shared" si="66"/>
        <v>1301.147790908803</v>
      </c>
      <c r="V75" s="62">
        <f t="shared" si="66"/>
        <v>1221.883580396674</v>
      </c>
      <c r="W75" s="62">
        <f t="shared" ref="W75:Y75" si="67">IF(W13=0,0,W13*1000000/W23)</f>
        <v>1292.8236222944993</v>
      </c>
      <c r="X75" s="62">
        <f t="shared" si="67"/>
        <v>1313.5149819392366</v>
      </c>
      <c r="Y75" s="62">
        <f t="shared" si="67"/>
        <v>1355.6854604807163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1008.9070189780371</v>
      </c>
      <c r="C76" s="14">
        <f t="shared" si="65"/>
        <v>1034.0218866846571</v>
      </c>
      <c r="D76" s="14">
        <f t="shared" ref="D76:V76" si="68">IF(D14=0,0,D14*1000000/D24)</f>
        <v>1022.870340780153</v>
      </c>
      <c r="E76" s="14">
        <f t="shared" si="68"/>
        <v>1034.4906339940346</v>
      </c>
      <c r="F76" s="14">
        <f t="shared" si="68"/>
        <v>1078.1671488530114</v>
      </c>
      <c r="G76" s="14">
        <f t="shared" si="68"/>
        <v>1114.7595080870608</v>
      </c>
      <c r="H76" s="14">
        <f t="shared" si="68"/>
        <v>1108.6792015033736</v>
      </c>
      <c r="I76" s="14">
        <f t="shared" si="68"/>
        <v>1076.9672748990324</v>
      </c>
      <c r="J76" s="14">
        <f t="shared" si="68"/>
        <v>1059.3996017538798</v>
      </c>
      <c r="K76" s="14">
        <f t="shared" si="68"/>
        <v>1041.4655781008742</v>
      </c>
      <c r="L76" s="14">
        <f t="shared" si="68"/>
        <v>1045.8843404139679</v>
      </c>
      <c r="M76" s="14">
        <f t="shared" si="68"/>
        <v>1078.4166432871489</v>
      </c>
      <c r="N76" s="14">
        <f t="shared" si="68"/>
        <v>1073.5880193626147</v>
      </c>
      <c r="O76" s="14">
        <f t="shared" si="68"/>
        <v>1081.1605234703115</v>
      </c>
      <c r="P76" s="14">
        <f t="shared" si="68"/>
        <v>1124.0311854294882</v>
      </c>
      <c r="Q76" s="14">
        <f t="shared" si="68"/>
        <v>1161.1875420654037</v>
      </c>
      <c r="R76" s="14">
        <f t="shared" si="68"/>
        <v>1183.0097993840125</v>
      </c>
      <c r="S76" s="14">
        <f t="shared" si="68"/>
        <v>1185.1854209928697</v>
      </c>
      <c r="T76" s="14">
        <f t="shared" si="68"/>
        <v>1232.478428731102</v>
      </c>
      <c r="U76" s="14">
        <f t="shared" si="68"/>
        <v>1295.1294759126333</v>
      </c>
      <c r="V76" s="14">
        <f t="shared" si="68"/>
        <v>1237.0930599373378</v>
      </c>
      <c r="W76" s="14">
        <f t="shared" ref="W76:Y76" si="69">IF(W14=0,0,W14*1000000/W24)</f>
        <v>1316.8819119121606</v>
      </c>
      <c r="X76" s="14">
        <f t="shared" si="69"/>
        <v>1320.1243573015049</v>
      </c>
      <c r="Y76" s="14">
        <f t="shared" si="69"/>
        <v>1363.9199729652535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269.70374799306819</v>
      </c>
      <c r="C77" s="39">
        <f t="shared" si="65"/>
        <v>269.70374799306819</v>
      </c>
      <c r="D77" s="39">
        <f t="shared" ref="D77:V77" si="70">IF(D15=0,0,D15*1000000/D25)</f>
        <v>269.70374799306819</v>
      </c>
      <c r="E77" s="39">
        <f t="shared" si="70"/>
        <v>269.70374799306819</v>
      </c>
      <c r="F77" s="39">
        <f t="shared" si="70"/>
        <v>269.70374799306819</v>
      </c>
      <c r="G77" s="39">
        <f t="shared" si="70"/>
        <v>272.63155852972551</v>
      </c>
      <c r="H77" s="39">
        <f t="shared" si="70"/>
        <v>275.23087091957063</v>
      </c>
      <c r="I77" s="39">
        <f t="shared" si="70"/>
        <v>281.61348281460175</v>
      </c>
      <c r="J77" s="39">
        <f t="shared" si="70"/>
        <v>291.76875684397771</v>
      </c>
      <c r="K77" s="39">
        <f t="shared" si="70"/>
        <v>299.58837394478212</v>
      </c>
      <c r="L77" s="39">
        <f t="shared" si="70"/>
        <v>297.82336307347276</v>
      </c>
      <c r="M77" s="39">
        <f t="shared" si="70"/>
        <v>294.38817811231286</v>
      </c>
      <c r="N77" s="39">
        <f t="shared" si="70"/>
        <v>281.29854665363945</v>
      </c>
      <c r="O77" s="39">
        <f t="shared" si="70"/>
        <v>278.0177280378843</v>
      </c>
      <c r="P77" s="39">
        <f t="shared" si="70"/>
        <v>277.56186600120674</v>
      </c>
      <c r="Q77" s="39">
        <f t="shared" si="70"/>
        <v>285.8483581242408</v>
      </c>
      <c r="R77" s="39">
        <f t="shared" si="70"/>
        <v>296.90918957245304</v>
      </c>
      <c r="S77" s="39">
        <f t="shared" si="70"/>
        <v>300.455826746551</v>
      </c>
      <c r="T77" s="39">
        <f t="shared" si="70"/>
        <v>302.05639589169004</v>
      </c>
      <c r="U77" s="39">
        <f t="shared" si="70"/>
        <v>305.57242270603439</v>
      </c>
      <c r="V77" s="39">
        <f t="shared" si="70"/>
        <v>300.33188531711556</v>
      </c>
      <c r="W77" s="39">
        <f t="shared" ref="W77:Y77" si="71">IF(W15=0,0,W15*1000000/W25)</f>
        <v>285.14127951256665</v>
      </c>
      <c r="X77" s="39">
        <f t="shared" si="71"/>
        <v>309.00424999999996</v>
      </c>
      <c r="Y77" s="39">
        <f t="shared" si="71"/>
        <v>307.51803948264126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846.12854079782926</v>
      </c>
      <c r="C78" s="39">
        <f t="shared" si="65"/>
        <v>853.0867625159417</v>
      </c>
      <c r="D78" s="39">
        <f t="shared" ref="D78:V78" si="72">IF(D16=0,0,D16*1000000/D26)</f>
        <v>855.0645960828881</v>
      </c>
      <c r="E78" s="39">
        <f t="shared" si="72"/>
        <v>858.79579339729071</v>
      </c>
      <c r="F78" s="39">
        <f t="shared" si="72"/>
        <v>859.64407823054614</v>
      </c>
      <c r="G78" s="39">
        <f t="shared" si="72"/>
        <v>861.56853296386976</v>
      </c>
      <c r="H78" s="39">
        <f t="shared" si="72"/>
        <v>870.60692850947453</v>
      </c>
      <c r="I78" s="39">
        <f t="shared" si="72"/>
        <v>867.87304605561053</v>
      </c>
      <c r="J78" s="39">
        <f t="shared" si="72"/>
        <v>855.68767990681044</v>
      </c>
      <c r="K78" s="39">
        <f t="shared" si="72"/>
        <v>848.12195678921216</v>
      </c>
      <c r="L78" s="39">
        <f t="shared" si="72"/>
        <v>851.1115861915647</v>
      </c>
      <c r="M78" s="39">
        <f t="shared" si="72"/>
        <v>849.59094273410153</v>
      </c>
      <c r="N78" s="39">
        <f t="shared" si="72"/>
        <v>854.67031751090542</v>
      </c>
      <c r="O78" s="39">
        <f t="shared" si="72"/>
        <v>850.85258269358224</v>
      </c>
      <c r="P78" s="39">
        <f t="shared" si="72"/>
        <v>864.26829064768879</v>
      </c>
      <c r="Q78" s="39">
        <f t="shared" si="72"/>
        <v>877.39896787680811</v>
      </c>
      <c r="R78" s="39">
        <f t="shared" si="72"/>
        <v>900.12904288457776</v>
      </c>
      <c r="S78" s="39">
        <f t="shared" si="72"/>
        <v>896.28479786724029</v>
      </c>
      <c r="T78" s="39">
        <f t="shared" si="72"/>
        <v>913.28294479345186</v>
      </c>
      <c r="U78" s="39">
        <f t="shared" si="72"/>
        <v>941.36303897218966</v>
      </c>
      <c r="V78" s="39">
        <f t="shared" si="72"/>
        <v>955.76082670294613</v>
      </c>
      <c r="W78" s="39">
        <f t="shared" ref="W78:Y78" si="73">IF(W16=0,0,W16*1000000/W26)</f>
        <v>1024.5197411273134</v>
      </c>
      <c r="X78" s="39">
        <f t="shared" si="73"/>
        <v>1013.4292445398969</v>
      </c>
      <c r="Y78" s="39">
        <f t="shared" si="73"/>
        <v>1010.8211183298826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2852.8773738548234</v>
      </c>
      <c r="C79" s="39">
        <f t="shared" si="65"/>
        <v>2852.8773738548234</v>
      </c>
      <c r="D79" s="39">
        <f t="shared" ref="D79:V79" si="74">IF(D17=0,0,D17*1000000/D27)</f>
        <v>2852.8773738548234</v>
      </c>
      <c r="E79" s="39">
        <f t="shared" si="74"/>
        <v>2852.8773738548234</v>
      </c>
      <c r="F79" s="39">
        <f t="shared" si="74"/>
        <v>2852.8773738548234</v>
      </c>
      <c r="G79" s="39">
        <f t="shared" si="74"/>
        <v>2916.8009198993318</v>
      </c>
      <c r="H79" s="39">
        <f t="shared" si="74"/>
        <v>2823.7632474885149</v>
      </c>
      <c r="I79" s="39">
        <f t="shared" si="74"/>
        <v>2624.4165435552441</v>
      </c>
      <c r="J79" s="39">
        <f t="shared" si="74"/>
        <v>2519.7748871593667</v>
      </c>
      <c r="K79" s="39">
        <f t="shared" si="74"/>
        <v>2421.3484843797869</v>
      </c>
      <c r="L79" s="39">
        <f t="shared" si="74"/>
        <v>2358.0929254439575</v>
      </c>
      <c r="M79" s="39">
        <f t="shared" si="74"/>
        <v>2396.3115266287955</v>
      </c>
      <c r="N79" s="39">
        <f t="shared" si="74"/>
        <v>2321.9256146249213</v>
      </c>
      <c r="O79" s="39">
        <f t="shared" si="74"/>
        <v>2323.6758940805867</v>
      </c>
      <c r="P79" s="39">
        <f t="shared" si="74"/>
        <v>2502.8198452981292</v>
      </c>
      <c r="Q79" s="39">
        <f t="shared" si="74"/>
        <v>2642.6043325707174</v>
      </c>
      <c r="R79" s="39">
        <f t="shared" si="74"/>
        <v>2720.9231688524883</v>
      </c>
      <c r="S79" s="39">
        <f t="shared" si="74"/>
        <v>2693.4455449226361</v>
      </c>
      <c r="T79" s="39">
        <f t="shared" si="74"/>
        <v>2805.01251209981</v>
      </c>
      <c r="U79" s="39">
        <f t="shared" si="74"/>
        <v>2911.7524632890468</v>
      </c>
      <c r="V79" s="39">
        <f t="shared" si="74"/>
        <v>2739.8530684500392</v>
      </c>
      <c r="W79" s="39">
        <f t="shared" ref="W79:Y79" si="75">IF(W17=0,0,W17*1000000/W27)</f>
        <v>2419.2016538114103</v>
      </c>
      <c r="X79" s="39">
        <f t="shared" si="75"/>
        <v>2749.4420689324579</v>
      </c>
      <c r="Y79" s="39">
        <f t="shared" si="75"/>
        <v>2940.8351447063133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989.44110881070503</v>
      </c>
      <c r="C80" s="15">
        <f t="shared" si="65"/>
        <v>992.25329150577329</v>
      </c>
      <c r="D80" s="15">
        <f t="shared" ref="D80:V80" si="76">IF(D18=0,0,D18*1000000/D28)</f>
        <v>983.74815105179357</v>
      </c>
      <c r="E80" s="15">
        <f t="shared" si="76"/>
        <v>985.64124266761053</v>
      </c>
      <c r="F80" s="15">
        <f t="shared" si="76"/>
        <v>980.36482568158226</v>
      </c>
      <c r="G80" s="15">
        <f t="shared" si="76"/>
        <v>1013.8142864044711</v>
      </c>
      <c r="H80" s="15">
        <f t="shared" si="76"/>
        <v>931.60029733373437</v>
      </c>
      <c r="I80" s="15">
        <f t="shared" si="76"/>
        <v>887.67498314409454</v>
      </c>
      <c r="J80" s="15">
        <f t="shared" si="76"/>
        <v>845.5095548968776</v>
      </c>
      <c r="K80" s="15">
        <f t="shared" si="76"/>
        <v>782.09145754551321</v>
      </c>
      <c r="L80" s="15">
        <f t="shared" si="76"/>
        <v>752.19479578373375</v>
      </c>
      <c r="M80" s="15">
        <f t="shared" si="76"/>
        <v>879.11014549826916</v>
      </c>
      <c r="N80" s="15">
        <f t="shared" si="76"/>
        <v>984.94246225771542</v>
      </c>
      <c r="O80" s="15">
        <f t="shared" si="76"/>
        <v>1042.7992587076392</v>
      </c>
      <c r="P80" s="15">
        <f t="shared" si="76"/>
        <v>1094.7379425060715</v>
      </c>
      <c r="Q80" s="15">
        <f t="shared" si="76"/>
        <v>1256.3555738370255</v>
      </c>
      <c r="R80" s="15">
        <f t="shared" si="76"/>
        <v>1395.3878581145091</v>
      </c>
      <c r="S80" s="15">
        <f t="shared" si="76"/>
        <v>1373.0647863319596</v>
      </c>
      <c r="T80" s="15">
        <f t="shared" si="76"/>
        <v>1525.3094000847091</v>
      </c>
      <c r="U80" s="15">
        <f t="shared" si="76"/>
        <v>1510.9758224475463</v>
      </c>
      <c r="V80" s="15">
        <f t="shared" si="76"/>
        <v>1018.5621190137168</v>
      </c>
      <c r="W80" s="15">
        <f t="shared" ref="W80:Y80" si="77">IF(W18=0,0,W18*1000000/W28)</f>
        <v>976.59319012099058</v>
      </c>
      <c r="X80" s="15">
        <f t="shared" si="77"/>
        <v>1153.812845526189</v>
      </c>
      <c r="Y80" s="15">
        <f t="shared" si="77"/>
        <v>1121.6558761139322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221.3879789370269</v>
      </c>
      <c r="C81" s="41">
        <f t="shared" si="65"/>
        <v>221.38797893702687</v>
      </c>
      <c r="D81" s="41">
        <f t="shared" ref="D81:V81" si="78">IF(D19=0,0,D19*1000000/D29)</f>
        <v>221.38797893702687</v>
      </c>
      <c r="E81" s="41">
        <f t="shared" si="78"/>
        <v>221.38797893702687</v>
      </c>
      <c r="F81" s="41">
        <f t="shared" si="78"/>
        <v>221.3879789370269</v>
      </c>
      <c r="G81" s="41">
        <f t="shared" si="78"/>
        <v>224.31578947368419</v>
      </c>
      <c r="H81" s="41">
        <f t="shared" si="78"/>
        <v>226.23979143813111</v>
      </c>
      <c r="I81" s="41">
        <f t="shared" si="78"/>
        <v>231.94709290776407</v>
      </c>
      <c r="J81" s="41">
        <f t="shared" si="78"/>
        <v>241.4270565117418</v>
      </c>
      <c r="K81" s="41">
        <f t="shared" si="78"/>
        <v>248.57136318714808</v>
      </c>
      <c r="L81" s="41">
        <f t="shared" si="78"/>
        <v>246.13104189044037</v>
      </c>
      <c r="M81" s="41">
        <f t="shared" si="78"/>
        <v>255.32131562254835</v>
      </c>
      <c r="N81" s="41">
        <f t="shared" si="78"/>
        <v>254.85714285714289</v>
      </c>
      <c r="O81" s="41">
        <f t="shared" si="78"/>
        <v>236.47382555885548</v>
      </c>
      <c r="P81" s="41">
        <f t="shared" si="78"/>
        <v>220.91546483964569</v>
      </c>
      <c r="Q81" s="41">
        <f t="shared" si="78"/>
        <v>214.09945828014756</v>
      </c>
      <c r="R81" s="41">
        <f t="shared" si="78"/>
        <v>210.05779104582749</v>
      </c>
      <c r="S81" s="41">
        <f t="shared" si="78"/>
        <v>198.50192953739318</v>
      </c>
      <c r="T81" s="41">
        <f t="shared" si="78"/>
        <v>185</v>
      </c>
      <c r="U81" s="41">
        <f t="shared" si="78"/>
        <v>220.5</v>
      </c>
      <c r="V81" s="41">
        <f t="shared" si="78"/>
        <v>196</v>
      </c>
      <c r="W81" s="41">
        <f t="shared" ref="W81:Y81" si="79">IF(W19=0,0,W19*1000000/W29)</f>
        <v>196</v>
      </c>
      <c r="X81" s="41">
        <f t="shared" si="79"/>
        <v>209.5</v>
      </c>
      <c r="Y81" s="41">
        <f t="shared" si="79"/>
        <v>325.33333333333337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841.14211963094874</v>
      </c>
      <c r="C82" s="41">
        <f t="shared" si="65"/>
        <v>842.39769791228434</v>
      </c>
      <c r="D82" s="41">
        <f t="shared" ref="D82:V82" si="80">IF(D20=0,0,D20*1000000/D30)</f>
        <v>844.22207512114869</v>
      </c>
      <c r="E82" s="41">
        <f t="shared" si="80"/>
        <v>841.86726557120642</v>
      </c>
      <c r="F82" s="41">
        <f t="shared" si="80"/>
        <v>873.79806538370758</v>
      </c>
      <c r="G82" s="41">
        <f t="shared" si="80"/>
        <v>860.91312585135267</v>
      </c>
      <c r="H82" s="41">
        <f t="shared" si="80"/>
        <v>790.92141171222579</v>
      </c>
      <c r="I82" s="41">
        <f t="shared" si="80"/>
        <v>761.38165734575989</v>
      </c>
      <c r="J82" s="41">
        <f t="shared" si="80"/>
        <v>722.22831844134066</v>
      </c>
      <c r="K82" s="41">
        <f t="shared" si="80"/>
        <v>674.5244205331561</v>
      </c>
      <c r="L82" s="41">
        <f t="shared" si="80"/>
        <v>638.42231454891305</v>
      </c>
      <c r="M82" s="41">
        <f t="shared" si="80"/>
        <v>681.00630129365777</v>
      </c>
      <c r="N82" s="41">
        <f t="shared" si="80"/>
        <v>721.08917817251915</v>
      </c>
      <c r="O82" s="41">
        <f t="shared" si="80"/>
        <v>722.01549604454817</v>
      </c>
      <c r="P82" s="41">
        <f t="shared" si="80"/>
        <v>729.35844588814234</v>
      </c>
      <c r="Q82" s="41">
        <f t="shared" si="80"/>
        <v>733.03752486964584</v>
      </c>
      <c r="R82" s="41">
        <f t="shared" si="80"/>
        <v>751.47096389903447</v>
      </c>
      <c r="S82" s="41">
        <f t="shared" si="80"/>
        <v>746.90735411338608</v>
      </c>
      <c r="T82" s="41">
        <f t="shared" si="80"/>
        <v>767.24205247728389</v>
      </c>
      <c r="U82" s="41">
        <f t="shared" si="80"/>
        <v>748.38247340841417</v>
      </c>
      <c r="V82" s="41">
        <f t="shared" si="80"/>
        <v>742.33360599214086</v>
      </c>
      <c r="W82" s="41">
        <f t="shared" ref="W82:Y82" si="81">IF(W20=0,0,W20*1000000/W30)</f>
        <v>756.36757691722266</v>
      </c>
      <c r="X82" s="41">
        <f t="shared" si="81"/>
        <v>873.0244657271686</v>
      </c>
      <c r="Y82" s="41">
        <f t="shared" si="81"/>
        <v>840.49516060858321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1442.4797364877311</v>
      </c>
      <c r="C83" s="40">
        <f t="shared" si="65"/>
        <v>1442.4797364877311</v>
      </c>
      <c r="D83" s="40">
        <f t="shared" ref="D83:V83" si="82">IF(D21=0,0,D21*1000000/D31)</f>
        <v>1442.4797364877313</v>
      </c>
      <c r="E83" s="40">
        <f t="shared" si="82"/>
        <v>1442.4797364877311</v>
      </c>
      <c r="F83" s="40">
        <f t="shared" si="82"/>
        <v>1442.4797364877311</v>
      </c>
      <c r="G83" s="40">
        <f t="shared" si="82"/>
        <v>1506.403282532239</v>
      </c>
      <c r="H83" s="40">
        <f t="shared" si="82"/>
        <v>1477.4092917180576</v>
      </c>
      <c r="I83" s="40">
        <f t="shared" si="82"/>
        <v>1342.1062693814206</v>
      </c>
      <c r="J83" s="40">
        <f t="shared" si="82"/>
        <v>1301.5082945821782</v>
      </c>
      <c r="K83" s="40">
        <f t="shared" si="82"/>
        <v>1267.1255733992327</v>
      </c>
      <c r="L83" s="40">
        <f t="shared" si="82"/>
        <v>1267.9136960600376</v>
      </c>
      <c r="M83" s="40">
        <f t="shared" si="82"/>
        <v>1592.9727326170082</v>
      </c>
      <c r="N83" s="40">
        <f t="shared" si="82"/>
        <v>1805.4272559852668</v>
      </c>
      <c r="O83" s="40">
        <f t="shared" si="82"/>
        <v>2099.0360230917527</v>
      </c>
      <c r="P83" s="40">
        <f t="shared" si="82"/>
        <v>2570.0384619601155</v>
      </c>
      <c r="Q83" s="40">
        <f t="shared" si="82"/>
        <v>3001.6814368835248</v>
      </c>
      <c r="R83" s="40">
        <f t="shared" si="82"/>
        <v>3371.8587608161165</v>
      </c>
      <c r="S83" s="40">
        <f t="shared" si="82"/>
        <v>3636.2396245370842</v>
      </c>
      <c r="T83" s="40">
        <f t="shared" si="82"/>
        <v>4039.6650793650801</v>
      </c>
      <c r="U83" s="40">
        <f t="shared" si="82"/>
        <v>4362.688729874777</v>
      </c>
      <c r="V83" s="40">
        <f t="shared" si="82"/>
        <v>2365.6287703016242</v>
      </c>
      <c r="W83" s="40">
        <f t="shared" ref="W83:Y83" si="83">IF(W21=0,0,W21*1000000/W31)</f>
        <v>2060.1929824561407</v>
      </c>
      <c r="X83" s="40">
        <f t="shared" si="83"/>
        <v>2618.7158671586712</v>
      </c>
      <c r="Y83" s="40">
        <f t="shared" si="83"/>
        <v>2559.7159353348729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104086.82895504557</v>
      </c>
      <c r="C86" s="11">
        <f t="shared" si="84"/>
        <v>108136.75827129229</v>
      </c>
      <c r="D86" s="11">
        <f t="shared" ref="D86:V86" si="85">IF(D4=0,0,D4*1000000/D24)</f>
        <v>111974.20610948349</v>
      </c>
      <c r="E86" s="11">
        <f t="shared" si="85"/>
        <v>110313.89232760758</v>
      </c>
      <c r="F86" s="11">
        <f t="shared" si="85"/>
        <v>117425.25708467163</v>
      </c>
      <c r="G86" s="11">
        <f t="shared" si="85"/>
        <v>124932.67227152597</v>
      </c>
      <c r="H86" s="11">
        <f t="shared" si="85"/>
        <v>122896.27494933332</v>
      </c>
      <c r="I86" s="11">
        <f t="shared" si="85"/>
        <v>117297.52545540301</v>
      </c>
      <c r="J86" s="11">
        <f t="shared" si="85"/>
        <v>112011.7796446673</v>
      </c>
      <c r="K86" s="11">
        <f t="shared" si="85"/>
        <v>108671.74729309422</v>
      </c>
      <c r="L86" s="11">
        <f t="shared" si="85"/>
        <v>115876.78246203468</v>
      </c>
      <c r="M86" s="11">
        <f t="shared" si="85"/>
        <v>123639.63783797369</v>
      </c>
      <c r="N86" s="11">
        <f t="shared" si="85"/>
        <v>129386.5751728082</v>
      </c>
      <c r="O86" s="11">
        <f t="shared" si="85"/>
        <v>136045.36485649296</v>
      </c>
      <c r="P86" s="11">
        <f t="shared" si="85"/>
        <v>145513.07408276157</v>
      </c>
      <c r="Q86" s="11">
        <f t="shared" si="85"/>
        <v>151765.23280288404</v>
      </c>
      <c r="R86" s="11">
        <f t="shared" si="85"/>
        <v>154457.22537492833</v>
      </c>
      <c r="S86" s="11">
        <f t="shared" si="85"/>
        <v>160717.78405707303</v>
      </c>
      <c r="T86" s="11">
        <f t="shared" si="85"/>
        <v>176301.30008618362</v>
      </c>
      <c r="U86" s="11">
        <f t="shared" si="85"/>
        <v>194331.78230112925</v>
      </c>
      <c r="V86" s="11">
        <f t="shared" si="85"/>
        <v>140847.42486100682</v>
      </c>
      <c r="W86" s="11">
        <f t="shared" ref="W86:Y86" si="86">IF(W4=0,0,W4*1000000/W24)</f>
        <v>152715.64094650227</v>
      </c>
      <c r="X86" s="11">
        <f t="shared" si="86"/>
        <v>200247.05899470113</v>
      </c>
      <c r="Y86" s="11">
        <f t="shared" si="86"/>
        <v>226977.68331381853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7481.3883119036454</v>
      </c>
      <c r="C87" s="36">
        <f t="shared" si="84"/>
        <v>8555.8145654961936</v>
      </c>
      <c r="D87" s="36">
        <f t="shared" ref="D87:V87" si="87">IF(D5=0,0,D5*1000000/D25)</f>
        <v>8116.7881735606734</v>
      </c>
      <c r="E87" s="36">
        <f t="shared" si="87"/>
        <v>8742.2238215376346</v>
      </c>
      <c r="F87" s="36">
        <f t="shared" si="87"/>
        <v>9335.1925825779235</v>
      </c>
      <c r="G87" s="36">
        <f t="shared" si="87"/>
        <v>9318.0322692252212</v>
      </c>
      <c r="H87" s="36">
        <f t="shared" si="87"/>
        <v>11327.529521470144</v>
      </c>
      <c r="I87" s="36">
        <f t="shared" si="87"/>
        <v>12061.903329965488</v>
      </c>
      <c r="J87" s="36">
        <f t="shared" si="87"/>
        <v>12386.309343549039</v>
      </c>
      <c r="K87" s="36">
        <f t="shared" si="87"/>
        <v>12675.702488886029</v>
      </c>
      <c r="L87" s="36">
        <f t="shared" si="87"/>
        <v>13783.20276992775</v>
      </c>
      <c r="M87" s="36">
        <f t="shared" si="87"/>
        <v>13894.882400041535</v>
      </c>
      <c r="N87" s="36">
        <f t="shared" si="87"/>
        <v>12799.891222026812</v>
      </c>
      <c r="O87" s="36">
        <f t="shared" si="87"/>
        <v>12780.641445744777</v>
      </c>
      <c r="P87" s="36">
        <f t="shared" si="87"/>
        <v>12786.395048366712</v>
      </c>
      <c r="Q87" s="36">
        <f t="shared" si="87"/>
        <v>13081.502839601071</v>
      </c>
      <c r="R87" s="36">
        <f t="shared" si="87"/>
        <v>14184.854109072732</v>
      </c>
      <c r="S87" s="36">
        <f t="shared" si="87"/>
        <v>15515.735304268494</v>
      </c>
      <c r="T87" s="36">
        <f t="shared" si="87"/>
        <v>17387.623287941849</v>
      </c>
      <c r="U87" s="36">
        <f t="shared" si="87"/>
        <v>17698.027815441805</v>
      </c>
      <c r="V87" s="36">
        <f t="shared" si="87"/>
        <v>13825.861419697636</v>
      </c>
      <c r="W87" s="36">
        <f t="shared" ref="W87:Y87" si="88">IF(W5=0,0,W5*1000000/W25)</f>
        <v>13027.48443544492</v>
      </c>
      <c r="X87" s="36">
        <f t="shared" si="88"/>
        <v>18518.779062605143</v>
      </c>
      <c r="Y87" s="36">
        <f t="shared" si="88"/>
        <v>18805.215062830135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66480.415964164131</v>
      </c>
      <c r="C88" s="36">
        <f t="shared" si="84"/>
        <v>68551.285776711564</v>
      </c>
      <c r="D88" s="36">
        <f t="shared" ref="D88:V88" si="89">IF(D6=0,0,D6*1000000/D26)</f>
        <v>70215.074270374869</v>
      </c>
      <c r="E88" s="36">
        <f t="shared" si="89"/>
        <v>70163.783018243848</v>
      </c>
      <c r="F88" s="36">
        <f t="shared" si="89"/>
        <v>69991.96497135052</v>
      </c>
      <c r="G88" s="36">
        <f t="shared" si="89"/>
        <v>72500.729643947416</v>
      </c>
      <c r="H88" s="36">
        <f t="shared" si="89"/>
        <v>75667.830471512512</v>
      </c>
      <c r="I88" s="36">
        <f t="shared" si="89"/>
        <v>73275.220004789604</v>
      </c>
      <c r="J88" s="36">
        <f t="shared" si="89"/>
        <v>69731.104018121085</v>
      </c>
      <c r="K88" s="36">
        <f t="shared" si="89"/>
        <v>70339.98137040071</v>
      </c>
      <c r="L88" s="36">
        <f t="shared" si="89"/>
        <v>74996.013859651634</v>
      </c>
      <c r="M88" s="36">
        <f t="shared" si="89"/>
        <v>80733.63135165596</v>
      </c>
      <c r="N88" s="36">
        <f t="shared" si="89"/>
        <v>85846.481643059175</v>
      </c>
      <c r="O88" s="36">
        <f t="shared" si="89"/>
        <v>89589.782251623255</v>
      </c>
      <c r="P88" s="36">
        <f t="shared" si="89"/>
        <v>91718.016734195102</v>
      </c>
      <c r="Q88" s="36">
        <f t="shared" si="89"/>
        <v>93983.653103328674</v>
      </c>
      <c r="R88" s="36">
        <f t="shared" si="89"/>
        <v>98325.441242396788</v>
      </c>
      <c r="S88" s="36">
        <f t="shared" si="89"/>
        <v>101515.91039800768</v>
      </c>
      <c r="T88" s="36">
        <f t="shared" si="89"/>
        <v>105675.65123867989</v>
      </c>
      <c r="U88" s="36">
        <f t="shared" si="89"/>
        <v>114750.6584016712</v>
      </c>
      <c r="V88" s="36">
        <f t="shared" si="89"/>
        <v>92396.222205549348</v>
      </c>
      <c r="W88" s="36">
        <f t="shared" ref="W88:Y88" si="90">IF(W6=0,0,W6*1000000/W26)</f>
        <v>105442.36622577203</v>
      </c>
      <c r="X88" s="36">
        <f t="shared" si="90"/>
        <v>128011.70687241209</v>
      </c>
      <c r="Y88" s="36">
        <f t="shared" si="90"/>
        <v>134627.49314596865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436012.87326612795</v>
      </c>
      <c r="C89" s="36">
        <f t="shared" si="84"/>
        <v>430273.22058114293</v>
      </c>
      <c r="D89" s="36">
        <f t="shared" ref="D89:V89" si="91">IF(D7=0,0,D7*1000000/D27)</f>
        <v>464977.95337450842</v>
      </c>
      <c r="E89" s="36">
        <f t="shared" si="91"/>
        <v>444015.22968692757</v>
      </c>
      <c r="F89" s="36">
        <f t="shared" si="91"/>
        <v>443631.76175946812</v>
      </c>
      <c r="G89" s="36">
        <f t="shared" si="91"/>
        <v>451427.53433363105</v>
      </c>
      <c r="H89" s="36">
        <f t="shared" si="91"/>
        <v>419606.29891856376</v>
      </c>
      <c r="I89" s="36">
        <f t="shared" si="91"/>
        <v>395101.42429135001</v>
      </c>
      <c r="J89" s="36">
        <f t="shared" si="91"/>
        <v>370470.12445689761</v>
      </c>
      <c r="K89" s="36">
        <f t="shared" si="91"/>
        <v>342766.0502359377</v>
      </c>
      <c r="L89" s="36">
        <f t="shared" si="91"/>
        <v>351272.27913514362</v>
      </c>
      <c r="M89" s="36">
        <f t="shared" si="91"/>
        <v>350122.28664558602</v>
      </c>
      <c r="N89" s="36">
        <f t="shared" si="91"/>
        <v>354905.77702630486</v>
      </c>
      <c r="O89" s="36">
        <f t="shared" si="91"/>
        <v>365881.12905446941</v>
      </c>
      <c r="P89" s="36">
        <f t="shared" si="91"/>
        <v>409250.48477387527</v>
      </c>
      <c r="Q89" s="36">
        <f t="shared" si="91"/>
        <v>434725.2713575419</v>
      </c>
      <c r="R89" s="36">
        <f t="shared" si="91"/>
        <v>443790.19745442574</v>
      </c>
      <c r="S89" s="36">
        <f t="shared" si="91"/>
        <v>454413.36620959808</v>
      </c>
      <c r="T89" s="36">
        <f t="shared" si="91"/>
        <v>506286.09303609241</v>
      </c>
      <c r="U89" s="36">
        <f t="shared" si="91"/>
        <v>543356.98289296974</v>
      </c>
      <c r="V89" s="36">
        <f t="shared" si="91"/>
        <v>387940.38013600389</v>
      </c>
      <c r="W89" s="36">
        <f t="shared" ref="W89:Y89" si="92">IF(W7=0,0,W7*1000000/W27)</f>
        <v>325914.0260922992</v>
      </c>
      <c r="X89" s="36">
        <f t="shared" si="92"/>
        <v>526127.87594671233</v>
      </c>
      <c r="Y89" s="36">
        <f t="shared" si="92"/>
        <v>627376.92787235125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53289.259978544382</v>
      </c>
      <c r="C90" s="13">
        <f t="shared" si="84"/>
        <v>54911.904381961322</v>
      </c>
      <c r="D90" s="13">
        <f t="shared" ref="D90:V90" si="93">IF(D8=0,0,D8*1000000/D28)</f>
        <v>49494.423220247416</v>
      </c>
      <c r="E90" s="13">
        <f t="shared" si="93"/>
        <v>47274.794275914137</v>
      </c>
      <c r="F90" s="13">
        <f t="shared" si="93"/>
        <v>39883.365321381119</v>
      </c>
      <c r="G90" s="13">
        <f t="shared" si="93"/>
        <v>43298.961486216365</v>
      </c>
      <c r="H90" s="13">
        <f t="shared" si="93"/>
        <v>35845.646349336588</v>
      </c>
      <c r="I90" s="13">
        <f t="shared" si="93"/>
        <v>33443.785297242881</v>
      </c>
      <c r="J90" s="13">
        <f t="shared" si="93"/>
        <v>31045.164816218617</v>
      </c>
      <c r="K90" s="13">
        <f t="shared" si="93"/>
        <v>29774.975312782695</v>
      </c>
      <c r="L90" s="13">
        <f t="shared" si="93"/>
        <v>29179.688228269646</v>
      </c>
      <c r="M90" s="13">
        <f t="shared" si="93"/>
        <v>38376.72936051085</v>
      </c>
      <c r="N90" s="13">
        <f t="shared" si="93"/>
        <v>49771.063275868488</v>
      </c>
      <c r="O90" s="13">
        <f t="shared" si="93"/>
        <v>54728.30579701555</v>
      </c>
      <c r="P90" s="13">
        <f t="shared" si="93"/>
        <v>66335.862802135875</v>
      </c>
      <c r="Q90" s="13">
        <f t="shared" si="93"/>
        <v>82644.995602048206</v>
      </c>
      <c r="R90" s="13">
        <f t="shared" si="93"/>
        <v>103641.89397369052</v>
      </c>
      <c r="S90" s="13">
        <f t="shared" si="93"/>
        <v>97627.674977618924</v>
      </c>
      <c r="T90" s="13">
        <f t="shared" si="93"/>
        <v>117005.84915563207</v>
      </c>
      <c r="U90" s="13">
        <f t="shared" si="93"/>
        <v>118456.32514925874</v>
      </c>
      <c r="V90" s="13">
        <f t="shared" si="93"/>
        <v>44736.626224571621</v>
      </c>
      <c r="W90" s="13">
        <f t="shared" ref="W90:Y90" si="94">IF(W8=0,0,W8*1000000/W28)</f>
        <v>39009.712274184771</v>
      </c>
      <c r="X90" s="13">
        <f t="shared" si="94"/>
        <v>50877.309585227755</v>
      </c>
      <c r="Y90" s="13">
        <f t="shared" si="94"/>
        <v>52404.045970519197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2380.2704967120967</v>
      </c>
      <c r="C91" s="34">
        <f t="shared" si="84"/>
        <v>2362.1179434124092</v>
      </c>
      <c r="D91" s="34">
        <f t="shared" ref="D91:V91" si="95">IF(D9=0,0,D9*1000000/D29)</f>
        <v>2429.0320663415173</v>
      </c>
      <c r="E91" s="34">
        <f t="shared" si="95"/>
        <v>2583.7444433129535</v>
      </c>
      <c r="F91" s="34">
        <f t="shared" si="95"/>
        <v>2432.9913261641259</v>
      </c>
      <c r="G91" s="34">
        <f t="shared" si="95"/>
        <v>2412.4954713272114</v>
      </c>
      <c r="H91" s="34">
        <f t="shared" si="95"/>
        <v>2340.4626759626913</v>
      </c>
      <c r="I91" s="34">
        <f t="shared" si="95"/>
        <v>2390.5957224598064</v>
      </c>
      <c r="J91" s="34">
        <f t="shared" si="95"/>
        <v>2393.9773470626351</v>
      </c>
      <c r="K91" s="34">
        <f t="shared" si="95"/>
        <v>2486.1093492067712</v>
      </c>
      <c r="L91" s="34">
        <f t="shared" si="95"/>
        <v>2632.940644309243</v>
      </c>
      <c r="M91" s="34">
        <f t="shared" si="95"/>
        <v>2789.4065378935247</v>
      </c>
      <c r="N91" s="34">
        <f t="shared" si="95"/>
        <v>2928.5091359891826</v>
      </c>
      <c r="O91" s="34">
        <f t="shared" si="95"/>
        <v>2854.0229472687502</v>
      </c>
      <c r="P91" s="34">
        <f t="shared" si="95"/>
        <v>2981.2320250888756</v>
      </c>
      <c r="Q91" s="34">
        <f t="shared" si="95"/>
        <v>2861.3482592803844</v>
      </c>
      <c r="R91" s="34">
        <f t="shared" si="95"/>
        <v>3237.7338602294039</v>
      </c>
      <c r="S91" s="34">
        <f t="shared" si="95"/>
        <v>2820.4692033151446</v>
      </c>
      <c r="T91" s="34">
        <f t="shared" si="95"/>
        <v>2670.3950746342766</v>
      </c>
      <c r="U91" s="34">
        <f t="shared" si="95"/>
        <v>3548.0101432268034</v>
      </c>
      <c r="V91" s="34">
        <f t="shared" si="95"/>
        <v>2914.3152930297533</v>
      </c>
      <c r="W91" s="34">
        <f t="shared" ref="W91:Y91" si="96">IF(W9=0,0,W9*1000000/W29)</f>
        <v>2844.069625945398</v>
      </c>
      <c r="X91" s="34">
        <f t="shared" si="96"/>
        <v>3126.9284119620443</v>
      </c>
      <c r="Y91" s="34">
        <f t="shared" si="96"/>
        <v>4899.6118612024165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21045.396751201934</v>
      </c>
      <c r="C92" s="34">
        <f t="shared" si="84"/>
        <v>22156.103534407357</v>
      </c>
      <c r="D92" s="34">
        <f t="shared" ref="D92:V92" si="97">IF(D10=0,0,D10*1000000/D30)</f>
        <v>21046.666800883435</v>
      </c>
      <c r="E92" s="34">
        <f t="shared" si="97"/>
        <v>21706.055782671072</v>
      </c>
      <c r="F92" s="34">
        <f t="shared" si="97"/>
        <v>19705.435437890512</v>
      </c>
      <c r="G92" s="34">
        <f t="shared" si="97"/>
        <v>19240.554951223898</v>
      </c>
      <c r="H92" s="34">
        <f t="shared" si="97"/>
        <v>15698.056404437109</v>
      </c>
      <c r="I92" s="34">
        <f t="shared" si="97"/>
        <v>14440.148974389744</v>
      </c>
      <c r="J92" s="34">
        <f t="shared" si="97"/>
        <v>13270.630945610414</v>
      </c>
      <c r="K92" s="34">
        <f t="shared" si="97"/>
        <v>12737.291616117789</v>
      </c>
      <c r="L92" s="34">
        <f t="shared" si="97"/>
        <v>12131.56456209373</v>
      </c>
      <c r="M92" s="34">
        <f t="shared" si="97"/>
        <v>13313.799454681683</v>
      </c>
      <c r="N92" s="34">
        <f t="shared" si="97"/>
        <v>15084.346187013263</v>
      </c>
      <c r="O92" s="34">
        <f t="shared" si="97"/>
        <v>15306.613122796527</v>
      </c>
      <c r="P92" s="34">
        <f t="shared" si="97"/>
        <v>17924.900226329031</v>
      </c>
      <c r="Q92" s="34">
        <f t="shared" si="97"/>
        <v>18069.91737663505</v>
      </c>
      <c r="R92" s="34">
        <f t="shared" si="97"/>
        <v>20089.556917014961</v>
      </c>
      <c r="S92" s="34">
        <f t="shared" si="97"/>
        <v>18484.964934141615</v>
      </c>
      <c r="T92" s="34">
        <f t="shared" si="97"/>
        <v>19446.46204532768</v>
      </c>
      <c r="U92" s="34">
        <f t="shared" si="97"/>
        <v>20375.161417333627</v>
      </c>
      <c r="V92" s="34">
        <f t="shared" si="97"/>
        <v>17036.341605271133</v>
      </c>
      <c r="W92" s="34">
        <f t="shared" ref="W92:Y92" si="98">IF(W10=0,0,W10*1000000/W30)</f>
        <v>16893.697991255322</v>
      </c>
      <c r="X92" s="34">
        <f t="shared" si="98"/>
        <v>19381.920474672381</v>
      </c>
      <c r="Y92" s="34">
        <f t="shared" si="98"/>
        <v>18907.240010619003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133284.78607599513</v>
      </c>
      <c r="C93" s="35">
        <f t="shared" si="84"/>
        <v>139671.86933950233</v>
      </c>
      <c r="D93" s="35">
        <f t="shared" ref="D93:V93" si="99">IF(D11=0,0,D11*1000000/D31)</f>
        <v>131875.21381259197</v>
      </c>
      <c r="E93" s="35">
        <f t="shared" si="99"/>
        <v>119825.38773238426</v>
      </c>
      <c r="F93" s="35">
        <f t="shared" si="99"/>
        <v>116299.84698607105</v>
      </c>
      <c r="G93" s="35">
        <f t="shared" si="99"/>
        <v>114217.94603920223</v>
      </c>
      <c r="H93" s="35">
        <f t="shared" si="99"/>
        <v>108290.29518199363</v>
      </c>
      <c r="I93" s="35">
        <f t="shared" si="99"/>
        <v>96731.87258327668</v>
      </c>
      <c r="J93" s="35">
        <f t="shared" si="99"/>
        <v>91915.77991321584</v>
      </c>
      <c r="K93" s="35">
        <f t="shared" si="99"/>
        <v>100924.22388995666</v>
      </c>
      <c r="L93" s="35">
        <f t="shared" si="99"/>
        <v>102661.94956529894</v>
      </c>
      <c r="M93" s="35">
        <f t="shared" si="99"/>
        <v>126594.41376739673</v>
      </c>
      <c r="N93" s="35">
        <f t="shared" si="99"/>
        <v>155808.55968118043</v>
      </c>
      <c r="O93" s="35">
        <f t="shared" si="99"/>
        <v>183176.75836862763</v>
      </c>
      <c r="P93" s="35">
        <f t="shared" si="99"/>
        <v>260714.89097658993</v>
      </c>
      <c r="Q93" s="35">
        <f t="shared" si="99"/>
        <v>297163.61183753493</v>
      </c>
      <c r="R93" s="35">
        <f t="shared" si="99"/>
        <v>359516.75483559555</v>
      </c>
      <c r="S93" s="35">
        <f t="shared" si="99"/>
        <v>383212.45593600674</v>
      </c>
      <c r="T93" s="35">
        <f t="shared" si="99"/>
        <v>440115.33042249829</v>
      </c>
      <c r="U93" s="35">
        <f t="shared" si="99"/>
        <v>485121.43590709189</v>
      </c>
      <c r="V93" s="35">
        <f t="shared" si="99"/>
        <v>179760.48295208698</v>
      </c>
      <c r="W93" s="35">
        <f t="shared" ref="W93:Y93" si="100">IF(W11=0,0,W11*1000000/W31)</f>
        <v>147772.99217989453</v>
      </c>
      <c r="X93" s="35">
        <f t="shared" si="100"/>
        <v>215110.30877635503</v>
      </c>
      <c r="Y93" s="35">
        <f t="shared" si="100"/>
        <v>223665.42883221037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1311.1111602371554</v>
      </c>
      <c r="C95" s="62">
        <f t="shared" si="101"/>
        <v>1281.7742016629745</v>
      </c>
      <c r="D95" s="62">
        <f t="shared" ref="D95:V95" si="102">IF(D23=0,0,D23/D43)</f>
        <v>1299.0851026972912</v>
      </c>
      <c r="E95" s="62">
        <f t="shared" si="102"/>
        <v>1290.266258941803</v>
      </c>
      <c r="F95" s="62">
        <f t="shared" si="102"/>
        <v>1252.5279886420965</v>
      </c>
      <c r="G95" s="62">
        <f t="shared" si="102"/>
        <v>1224.2160175998013</v>
      </c>
      <c r="H95" s="62">
        <f t="shared" si="102"/>
        <v>1222.4290732787331</v>
      </c>
      <c r="I95" s="62">
        <f t="shared" si="102"/>
        <v>1248.9173987347335</v>
      </c>
      <c r="J95" s="62">
        <f t="shared" si="102"/>
        <v>1260.6838681068891</v>
      </c>
      <c r="K95" s="62">
        <f t="shared" si="102"/>
        <v>1232.049027934291</v>
      </c>
      <c r="L95" s="62">
        <f t="shared" si="102"/>
        <v>1269.0187123449912</v>
      </c>
      <c r="M95" s="62">
        <f t="shared" si="102"/>
        <v>1230.2355180520606</v>
      </c>
      <c r="N95" s="62">
        <f t="shared" si="102"/>
        <v>1235.5974092680651</v>
      </c>
      <c r="O95" s="62">
        <f t="shared" si="102"/>
        <v>1229.7352804981817</v>
      </c>
      <c r="P95" s="62">
        <f t="shared" si="102"/>
        <v>1206.6613611172331</v>
      </c>
      <c r="Q95" s="62">
        <f t="shared" si="102"/>
        <v>1181.6658647979932</v>
      </c>
      <c r="R95" s="62">
        <f t="shared" si="102"/>
        <v>1169.2754769883102</v>
      </c>
      <c r="S95" s="62">
        <f t="shared" si="102"/>
        <v>1168.8683023459873</v>
      </c>
      <c r="T95" s="62">
        <f t="shared" si="102"/>
        <v>1140.535431799347</v>
      </c>
      <c r="U95" s="62">
        <f t="shared" si="102"/>
        <v>1107.3147015543245</v>
      </c>
      <c r="V95" s="62">
        <f t="shared" si="102"/>
        <v>408.50203366097975</v>
      </c>
      <c r="W95" s="62">
        <f t="shared" ref="W95:Y95" si="103">IF(W23=0,0,W23/W43)</f>
        <v>465.92472122435129</v>
      </c>
      <c r="X95" s="62">
        <f t="shared" si="103"/>
        <v>859.56383565165709</v>
      </c>
      <c r="Y95" s="62">
        <f t="shared" si="103"/>
        <v>1020.1362256520255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1318.5174873022502</v>
      </c>
      <c r="C96" s="11">
        <f t="shared" si="104"/>
        <v>1289.033919799861</v>
      </c>
      <c r="D96" s="11">
        <f t="shared" ref="D96:V96" si="105">IF(D24=0,0,D24/D44)</f>
        <v>1307.0969451203375</v>
      </c>
      <c r="E96" s="11">
        <f t="shared" si="105"/>
        <v>1298.1650806787093</v>
      </c>
      <c r="F96" s="11">
        <f t="shared" si="105"/>
        <v>1260.3773919806008</v>
      </c>
      <c r="G96" s="11">
        <f t="shared" si="105"/>
        <v>1232.8418414052301</v>
      </c>
      <c r="H96" s="11">
        <f t="shared" si="105"/>
        <v>1232.4930039187061</v>
      </c>
      <c r="I96" s="11">
        <f t="shared" si="105"/>
        <v>1260.4953305897614</v>
      </c>
      <c r="J96" s="11">
        <f t="shared" si="105"/>
        <v>1271.3073037654208</v>
      </c>
      <c r="K96" s="11">
        <f t="shared" si="105"/>
        <v>1243.4763763771705</v>
      </c>
      <c r="L96" s="11">
        <f t="shared" si="105"/>
        <v>1277.6536814617832</v>
      </c>
      <c r="M96" s="11">
        <f t="shared" si="105"/>
        <v>1241.4502740767559</v>
      </c>
      <c r="N96" s="11">
        <f t="shared" si="105"/>
        <v>1252.0362268963588</v>
      </c>
      <c r="O96" s="11">
        <f t="shared" si="105"/>
        <v>1245.1912990292847</v>
      </c>
      <c r="P96" s="11">
        <f t="shared" si="105"/>
        <v>1218.7593836750157</v>
      </c>
      <c r="Q96" s="11">
        <f t="shared" si="105"/>
        <v>1196.3488804659958</v>
      </c>
      <c r="R96" s="11">
        <f t="shared" si="105"/>
        <v>1187.8322725003552</v>
      </c>
      <c r="S96" s="11">
        <f t="shared" si="105"/>
        <v>1184.4754376616156</v>
      </c>
      <c r="T96" s="11">
        <f t="shared" si="105"/>
        <v>1156.3705756598283</v>
      </c>
      <c r="U96" s="11">
        <f t="shared" si="105"/>
        <v>1120.9861474771808</v>
      </c>
      <c r="V96" s="11">
        <f t="shared" si="105"/>
        <v>396.03200147079696</v>
      </c>
      <c r="W96" s="11">
        <f t="shared" ref="W96:Y96" si="106">IF(W24=0,0,W24/W44)</f>
        <v>452.14381078609006</v>
      </c>
      <c r="X96" s="11">
        <f t="shared" si="106"/>
        <v>864.00129757646675</v>
      </c>
      <c r="Y96" s="11">
        <f t="shared" si="106"/>
        <v>1032.6279671807204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2511</v>
      </c>
      <c r="C97" s="36">
        <f t="shared" si="104"/>
        <v>2500.5853056965325</v>
      </c>
      <c r="D97" s="36">
        <f t="shared" ref="D97:V97" si="107">IF(D25=0,0,D25/D45)</f>
        <v>2511</v>
      </c>
      <c r="E97" s="36">
        <f t="shared" si="107"/>
        <v>2511</v>
      </c>
      <c r="F97" s="36">
        <f t="shared" si="107"/>
        <v>2511</v>
      </c>
      <c r="G97" s="36">
        <f t="shared" si="107"/>
        <v>2505</v>
      </c>
      <c r="H97" s="36">
        <f t="shared" si="107"/>
        <v>2500</v>
      </c>
      <c r="I97" s="36">
        <f t="shared" si="107"/>
        <v>2486</v>
      </c>
      <c r="J97" s="36">
        <f t="shared" si="107"/>
        <v>2465</v>
      </c>
      <c r="K97" s="36">
        <f t="shared" si="107"/>
        <v>2449</v>
      </c>
      <c r="L97" s="36">
        <f t="shared" si="107"/>
        <v>2452</v>
      </c>
      <c r="M97" s="36">
        <f t="shared" si="107"/>
        <v>2123.4141019307458</v>
      </c>
      <c r="N97" s="36">
        <f t="shared" si="107"/>
        <v>2420.0221193065172</v>
      </c>
      <c r="O97" s="36">
        <f t="shared" si="107"/>
        <v>2494</v>
      </c>
      <c r="P97" s="36">
        <f t="shared" si="107"/>
        <v>2495</v>
      </c>
      <c r="Q97" s="36">
        <f t="shared" si="107"/>
        <v>2477</v>
      </c>
      <c r="R97" s="36">
        <f t="shared" si="107"/>
        <v>2454</v>
      </c>
      <c r="S97" s="36">
        <f t="shared" si="107"/>
        <v>2447</v>
      </c>
      <c r="T97" s="36">
        <f t="shared" si="107"/>
        <v>2444</v>
      </c>
      <c r="U97" s="36">
        <f t="shared" si="107"/>
        <v>2437.0000000000005</v>
      </c>
      <c r="V97" s="36">
        <f t="shared" si="107"/>
        <v>894.56511061031483</v>
      </c>
      <c r="W97" s="36">
        <f t="shared" ref="W97:Y97" si="108">IF(W25=0,0,W25/W45)</f>
        <v>780.01834554444997</v>
      </c>
      <c r="X97" s="36">
        <f t="shared" si="108"/>
        <v>1394.4616756527982</v>
      </c>
      <c r="Y97" s="36">
        <f t="shared" si="108"/>
        <v>1822.0711428194443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1511.4734804205077</v>
      </c>
      <c r="C98" s="36">
        <f t="shared" si="104"/>
        <v>1490.3702137156556</v>
      </c>
      <c r="D98" s="36">
        <f t="shared" ref="D98:V98" si="109">IF(D26=0,0,D26/D46)</f>
        <v>1503.3393078124445</v>
      </c>
      <c r="E98" s="36">
        <f t="shared" si="109"/>
        <v>1499.9033737098387</v>
      </c>
      <c r="F98" s="36">
        <f t="shared" si="109"/>
        <v>1498.2506636932567</v>
      </c>
      <c r="G98" s="36">
        <f t="shared" si="109"/>
        <v>1500.4126323850512</v>
      </c>
      <c r="H98" s="36">
        <f t="shared" si="109"/>
        <v>1482.4211658240411</v>
      </c>
      <c r="I98" s="36">
        <f t="shared" si="109"/>
        <v>1494.6607212438839</v>
      </c>
      <c r="J98" s="36">
        <f t="shared" si="109"/>
        <v>1503.5125442859937</v>
      </c>
      <c r="K98" s="36">
        <f t="shared" si="109"/>
        <v>1451.3162976584383</v>
      </c>
      <c r="L98" s="36">
        <f t="shared" si="109"/>
        <v>1508.0165239461667</v>
      </c>
      <c r="M98" s="36">
        <f t="shared" si="109"/>
        <v>1509.4908452502825</v>
      </c>
      <c r="N98" s="36">
        <f t="shared" si="109"/>
        <v>1504.8850057279765</v>
      </c>
      <c r="O98" s="36">
        <f t="shared" si="109"/>
        <v>1507.0542905779316</v>
      </c>
      <c r="P98" s="36">
        <f t="shared" si="109"/>
        <v>1498.1933185648845</v>
      </c>
      <c r="Q98" s="36">
        <f t="shared" si="109"/>
        <v>1489.0663881403809</v>
      </c>
      <c r="R98" s="36">
        <f t="shared" si="109"/>
        <v>1473.4753081297872</v>
      </c>
      <c r="S98" s="36">
        <f t="shared" si="109"/>
        <v>1474.8055653953784</v>
      </c>
      <c r="T98" s="36">
        <f t="shared" si="109"/>
        <v>1464.8031331621316</v>
      </c>
      <c r="U98" s="36">
        <f t="shared" si="109"/>
        <v>1445.6515640991627</v>
      </c>
      <c r="V98" s="36">
        <f t="shared" si="109"/>
        <v>527.64979273391373</v>
      </c>
      <c r="W98" s="36">
        <f t="shared" ref="W98:Y98" si="110">IF(W26=0,0,W26/W46)</f>
        <v>577.49918360857828</v>
      </c>
      <c r="X98" s="36">
        <f t="shared" si="110"/>
        <v>1180.5820099517118</v>
      </c>
      <c r="Y98" s="36">
        <f t="shared" si="110"/>
        <v>1387.745579965163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570</v>
      </c>
      <c r="C99" s="36">
        <f t="shared" si="104"/>
        <v>570</v>
      </c>
      <c r="D99" s="36">
        <f t="shared" ref="D99:V99" si="111">IF(D27=0,0,D27/D47)</f>
        <v>570</v>
      </c>
      <c r="E99" s="36">
        <f t="shared" si="111"/>
        <v>570</v>
      </c>
      <c r="F99" s="36">
        <f t="shared" si="111"/>
        <v>570</v>
      </c>
      <c r="G99" s="36">
        <f t="shared" si="111"/>
        <v>560</v>
      </c>
      <c r="H99" s="36">
        <f t="shared" si="111"/>
        <v>574</v>
      </c>
      <c r="I99" s="36">
        <f t="shared" si="111"/>
        <v>606</v>
      </c>
      <c r="J99" s="36">
        <f t="shared" si="111"/>
        <v>625</v>
      </c>
      <c r="K99" s="36">
        <f t="shared" si="111"/>
        <v>628.70862617594332</v>
      </c>
      <c r="L99" s="36">
        <f t="shared" si="111"/>
        <v>655</v>
      </c>
      <c r="M99" s="36">
        <f t="shared" si="111"/>
        <v>648</v>
      </c>
      <c r="N99" s="36">
        <f t="shared" si="111"/>
        <v>663</v>
      </c>
      <c r="O99" s="36">
        <f t="shared" si="111"/>
        <v>662</v>
      </c>
      <c r="P99" s="36">
        <f t="shared" si="111"/>
        <v>628</v>
      </c>
      <c r="Q99" s="36">
        <f t="shared" si="111"/>
        <v>603</v>
      </c>
      <c r="R99" s="36">
        <f t="shared" si="111"/>
        <v>590</v>
      </c>
      <c r="S99" s="36">
        <f t="shared" si="111"/>
        <v>595</v>
      </c>
      <c r="T99" s="36">
        <f t="shared" si="111"/>
        <v>577</v>
      </c>
      <c r="U99" s="36">
        <f t="shared" si="111"/>
        <v>561</v>
      </c>
      <c r="V99" s="36">
        <f t="shared" si="111"/>
        <v>176.87023239701352</v>
      </c>
      <c r="W99" s="36">
        <f t="shared" ref="W99:Y99" si="112">IF(W27=0,0,W27/W47)</f>
        <v>257.74621521404453</v>
      </c>
      <c r="X99" s="36">
        <f t="shared" si="112"/>
        <v>401.18508077864578</v>
      </c>
      <c r="Y99" s="36">
        <f t="shared" si="112"/>
        <v>495.47382203587307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1020.7527989724962</v>
      </c>
      <c r="C100" s="13">
        <f t="shared" si="104"/>
        <v>974.44291871655776</v>
      </c>
      <c r="D100" s="13">
        <f t="shared" ref="D100:V100" si="113">IF(D28=0,0,D28/D48)</f>
        <v>1016.7612218854363</v>
      </c>
      <c r="E100" s="13">
        <f t="shared" si="113"/>
        <v>1015.3937088483577</v>
      </c>
      <c r="F100" s="13">
        <f t="shared" si="113"/>
        <v>1036.4550644964459</v>
      </c>
      <c r="G100" s="13">
        <f t="shared" si="113"/>
        <v>1009.40728256825</v>
      </c>
      <c r="H100" s="13">
        <f t="shared" si="113"/>
        <v>998.77109627208631</v>
      </c>
      <c r="I100" s="13">
        <f t="shared" si="113"/>
        <v>967.34440445311998</v>
      </c>
      <c r="J100" s="13">
        <f t="shared" si="113"/>
        <v>981.43991997064472</v>
      </c>
      <c r="K100" s="13">
        <f t="shared" si="113"/>
        <v>937.12351032819197</v>
      </c>
      <c r="L100" s="13">
        <f t="shared" si="113"/>
        <v>1047.0035275253824</v>
      </c>
      <c r="M100" s="13">
        <f t="shared" si="113"/>
        <v>959.70980515715712</v>
      </c>
      <c r="N100" s="13">
        <f t="shared" si="113"/>
        <v>842.58051322945118</v>
      </c>
      <c r="O100" s="13">
        <f t="shared" si="113"/>
        <v>875.09241549796184</v>
      </c>
      <c r="P100" s="13">
        <f t="shared" si="113"/>
        <v>924.70494656407323</v>
      </c>
      <c r="Q100" s="13">
        <f t="shared" si="113"/>
        <v>857.33909718957773</v>
      </c>
      <c r="R100" s="13">
        <f t="shared" si="113"/>
        <v>743.51175561274351</v>
      </c>
      <c r="S100" s="13">
        <f t="shared" si="113"/>
        <v>821.50816042378392</v>
      </c>
      <c r="T100" s="13">
        <f t="shared" si="113"/>
        <v>777.71644750236669</v>
      </c>
      <c r="U100" s="13">
        <f t="shared" si="113"/>
        <v>776.94881102439979</v>
      </c>
      <c r="V100" s="13">
        <f t="shared" si="113"/>
        <v>705.44060825304746</v>
      </c>
      <c r="W100" s="13">
        <f t="shared" ref="W100:Y100" si="114">IF(W28=0,0,W28/W48)</f>
        <v>777.35355786559035</v>
      </c>
      <c r="X100" s="13">
        <f t="shared" si="114"/>
        <v>764.6687162456102</v>
      </c>
      <c r="Y100" s="13">
        <f t="shared" si="114"/>
        <v>759.1401681428988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1513</v>
      </c>
      <c r="C101" s="34">
        <f t="shared" si="104"/>
        <v>1042.0110192837465</v>
      </c>
      <c r="D101" s="34">
        <f t="shared" ref="D101:V101" si="115">IF(D29=0,0,D29/D49)</f>
        <v>1172.2623966942149</v>
      </c>
      <c r="E101" s="34">
        <f t="shared" si="115"/>
        <v>1339.7284533648169</v>
      </c>
      <c r="F101" s="34">
        <f t="shared" si="115"/>
        <v>1513</v>
      </c>
      <c r="G101" s="34">
        <f t="shared" si="115"/>
        <v>1511</v>
      </c>
      <c r="H101" s="34">
        <f t="shared" si="115"/>
        <v>1509</v>
      </c>
      <c r="I101" s="34">
        <f t="shared" si="115"/>
        <v>1493.3618266281856</v>
      </c>
      <c r="J101" s="34">
        <f t="shared" si="115"/>
        <v>1497</v>
      </c>
      <c r="K101" s="34">
        <f t="shared" si="115"/>
        <v>1491</v>
      </c>
      <c r="L101" s="34">
        <f t="shared" si="115"/>
        <v>1429.9121312722345</v>
      </c>
      <c r="M101" s="34">
        <f t="shared" si="115"/>
        <v>1227.7068471817543</v>
      </c>
      <c r="N101" s="34">
        <f t="shared" si="115"/>
        <v>1106.0004876934809</v>
      </c>
      <c r="O101" s="34">
        <f t="shared" si="115"/>
        <v>1100.1235483447851</v>
      </c>
      <c r="P101" s="34">
        <f t="shared" si="115"/>
        <v>1034.6713256327625</v>
      </c>
      <c r="Q101" s="34">
        <f t="shared" si="115"/>
        <v>1519</v>
      </c>
      <c r="R101" s="34">
        <f t="shared" si="115"/>
        <v>1522</v>
      </c>
      <c r="S101" s="34">
        <f t="shared" si="115"/>
        <v>1532</v>
      </c>
      <c r="T101" s="34">
        <f t="shared" si="115"/>
        <v>1543</v>
      </c>
      <c r="U101" s="34">
        <f t="shared" si="115"/>
        <v>1514</v>
      </c>
      <c r="V101" s="34">
        <f t="shared" si="115"/>
        <v>1534</v>
      </c>
      <c r="W101" s="34">
        <f t="shared" ref="W101:Y101" si="116">IF(W29=0,0,W29/W49)</f>
        <v>1534</v>
      </c>
      <c r="X101" s="34">
        <f t="shared" si="116"/>
        <v>1523.0000000000002</v>
      </c>
      <c r="Y101" s="34">
        <f t="shared" si="116"/>
        <v>1433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1136.6326461883134</v>
      </c>
      <c r="C102" s="34">
        <f t="shared" si="104"/>
        <v>1114.7116495992261</v>
      </c>
      <c r="D102" s="34">
        <f t="shared" ref="D102:V102" si="117">IF(D30=0,0,D30/D50)</f>
        <v>1124.2007488677832</v>
      </c>
      <c r="E102" s="34">
        <f t="shared" si="117"/>
        <v>1119.9510554656745</v>
      </c>
      <c r="F102" s="34">
        <f t="shared" si="117"/>
        <v>1119.2960215309313</v>
      </c>
      <c r="G102" s="34">
        <f t="shared" si="117"/>
        <v>1115.627107391341</v>
      </c>
      <c r="H102" s="34">
        <f t="shared" si="117"/>
        <v>1072.9473078205872</v>
      </c>
      <c r="I102" s="34">
        <f t="shared" si="117"/>
        <v>1013.1713551677747</v>
      </c>
      <c r="J102" s="34">
        <f t="shared" si="117"/>
        <v>1024.9453818527138</v>
      </c>
      <c r="K102" s="34">
        <f t="shared" si="117"/>
        <v>1011.4401609036574</v>
      </c>
      <c r="L102" s="34">
        <f t="shared" si="117"/>
        <v>1118.755318874199</v>
      </c>
      <c r="M102" s="34">
        <f t="shared" si="117"/>
        <v>1036.4564428363058</v>
      </c>
      <c r="N102" s="34">
        <f t="shared" si="117"/>
        <v>896.62485149885674</v>
      </c>
      <c r="O102" s="34">
        <f t="shared" si="117"/>
        <v>979.94073153988484</v>
      </c>
      <c r="P102" s="34">
        <f t="shared" si="117"/>
        <v>1094.0344688624273</v>
      </c>
      <c r="Q102" s="34">
        <f t="shared" si="117"/>
        <v>1070.4847565329208</v>
      </c>
      <c r="R102" s="34">
        <f t="shared" si="117"/>
        <v>910.66005833751569</v>
      </c>
      <c r="S102" s="34">
        <f t="shared" si="117"/>
        <v>1064.581684699692</v>
      </c>
      <c r="T102" s="34">
        <f t="shared" si="117"/>
        <v>1051.9857220909294</v>
      </c>
      <c r="U102" s="34">
        <f t="shared" si="117"/>
        <v>1049.7725544183456</v>
      </c>
      <c r="V102" s="34">
        <f t="shared" si="117"/>
        <v>1003.597569052046</v>
      </c>
      <c r="W102" s="34">
        <f t="shared" ref="W102:Y102" si="118">IF(W30=0,0,W30/W50)</f>
        <v>1080.899508468578</v>
      </c>
      <c r="X102" s="34">
        <f t="shared" si="118"/>
        <v>1047.9497039796809</v>
      </c>
      <c r="Y102" s="34">
        <f t="shared" si="118"/>
        <v>1019.4962207338825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798</v>
      </c>
      <c r="C103" s="35">
        <f t="shared" si="104"/>
        <v>744.14580588493641</v>
      </c>
      <c r="D103" s="35">
        <f t="shared" ref="D103:V103" si="119">IF(D31=0,0,D31/D51)</f>
        <v>798</v>
      </c>
      <c r="E103" s="35">
        <f t="shared" si="119"/>
        <v>798</v>
      </c>
      <c r="F103" s="35">
        <f t="shared" si="119"/>
        <v>797.99999999999989</v>
      </c>
      <c r="G103" s="35">
        <f t="shared" si="119"/>
        <v>780</v>
      </c>
      <c r="H103" s="35">
        <f t="shared" si="119"/>
        <v>787.98330576216392</v>
      </c>
      <c r="I103" s="35">
        <f t="shared" si="119"/>
        <v>825.66732430594357</v>
      </c>
      <c r="J103" s="35">
        <f t="shared" si="119"/>
        <v>840.00000000000011</v>
      </c>
      <c r="K103" s="35">
        <f t="shared" si="119"/>
        <v>703.53958280975121</v>
      </c>
      <c r="L103" s="35">
        <f t="shared" si="119"/>
        <v>812.02590194264565</v>
      </c>
      <c r="M103" s="35">
        <f t="shared" si="119"/>
        <v>758</v>
      </c>
      <c r="N103" s="35">
        <f t="shared" si="119"/>
        <v>708</v>
      </c>
      <c r="O103" s="35">
        <f t="shared" si="119"/>
        <v>648</v>
      </c>
      <c r="P103" s="35">
        <f t="shared" si="119"/>
        <v>571</v>
      </c>
      <c r="Q103" s="35">
        <f t="shared" si="119"/>
        <v>515</v>
      </c>
      <c r="R103" s="35">
        <f t="shared" si="119"/>
        <v>475</v>
      </c>
      <c r="S103" s="35">
        <f t="shared" si="119"/>
        <v>450</v>
      </c>
      <c r="T103" s="35">
        <f t="shared" si="119"/>
        <v>417</v>
      </c>
      <c r="U103" s="35">
        <f t="shared" si="119"/>
        <v>393.99999999999994</v>
      </c>
      <c r="V103" s="35">
        <f t="shared" si="119"/>
        <v>288.13726383318914</v>
      </c>
      <c r="W103" s="35">
        <f t="shared" ref="W103:Y103" si="120">IF(W31=0,0,W31/W51)</f>
        <v>326.46661590336839</v>
      </c>
      <c r="X103" s="35">
        <f t="shared" si="120"/>
        <v>317.32861145285966</v>
      </c>
      <c r="Y103" s="35">
        <f t="shared" si="120"/>
        <v>329.2258881923583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1.1634590413056702E-2</v>
      </c>
      <c r="C107" s="43">
        <f t="shared" si="124"/>
        <v>1.1918316872260973E-2</v>
      </c>
      <c r="D107" s="43">
        <f t="shared" ref="D107:V107" si="125">IF(D5=0,0,D5/D$4)</f>
        <v>1.1639110020216831E-2</v>
      </c>
      <c r="E107" s="43">
        <f t="shared" si="125"/>
        <v>1.1656913281884364E-2</v>
      </c>
      <c r="F107" s="43">
        <f t="shared" si="125"/>
        <v>1.0301985518128753E-2</v>
      </c>
      <c r="G107" s="43">
        <f t="shared" si="125"/>
        <v>9.4472450521920891E-3</v>
      </c>
      <c r="H107" s="43">
        <f t="shared" si="125"/>
        <v>1.2073794577157506E-2</v>
      </c>
      <c r="I107" s="43">
        <f t="shared" si="125"/>
        <v>1.2716298629277454E-2</v>
      </c>
      <c r="J107" s="43">
        <f t="shared" si="125"/>
        <v>1.3559983968648048E-2</v>
      </c>
      <c r="K107" s="43">
        <f t="shared" si="125"/>
        <v>1.5162769051284953E-2</v>
      </c>
      <c r="L107" s="43">
        <f t="shared" si="125"/>
        <v>1.5297625293247406E-2</v>
      </c>
      <c r="M107" s="43">
        <f t="shared" si="125"/>
        <v>1.1486677457635599E-2</v>
      </c>
      <c r="N107" s="43">
        <f t="shared" si="125"/>
        <v>1.0466845309220558E-2</v>
      </c>
      <c r="O107" s="43">
        <f t="shared" si="125"/>
        <v>9.9655808742762503E-3</v>
      </c>
      <c r="P107" s="43">
        <f t="shared" si="125"/>
        <v>8.7351900913641006E-3</v>
      </c>
      <c r="Q107" s="43">
        <f t="shared" si="125"/>
        <v>7.7717593621208598E-3</v>
      </c>
      <c r="R107" s="43">
        <f t="shared" si="125"/>
        <v>7.4534589452428975E-3</v>
      </c>
      <c r="S107" s="43">
        <f t="shared" si="125"/>
        <v>7.6992324953901806E-3</v>
      </c>
      <c r="T107" s="43">
        <f t="shared" si="125"/>
        <v>7.2613836052153134E-3</v>
      </c>
      <c r="U107" s="43">
        <f t="shared" si="125"/>
        <v>5.8037235289296147E-3</v>
      </c>
      <c r="V107" s="43">
        <f t="shared" si="125"/>
        <v>6.0427088255176099E-3</v>
      </c>
      <c r="W107" s="43">
        <f t="shared" ref="W107:Y107" si="126">IF(W5=0,0,W5/W$4)</f>
        <v>3.683973714536653E-3</v>
      </c>
      <c r="X107" s="43">
        <f t="shared" si="126"/>
        <v>3.3785845424069753E-3</v>
      </c>
      <c r="Y107" s="43">
        <f t="shared" si="126"/>
        <v>2.8609912713988806E-3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0.45380972193617974</v>
      </c>
      <c r="C108" s="43">
        <f t="shared" si="127"/>
        <v>0.45322541912595971</v>
      </c>
      <c r="D108" s="43">
        <f t="shared" ref="D108:V108" si="128">IF(D6=0,0,D6/D$4)</f>
        <v>0.44420845422970551</v>
      </c>
      <c r="E108" s="43">
        <f t="shared" si="128"/>
        <v>0.45880232929847614</v>
      </c>
      <c r="F108" s="43">
        <f t="shared" si="128"/>
        <v>0.43060676264048114</v>
      </c>
      <c r="G108" s="43">
        <f t="shared" si="128"/>
        <v>0.41425740874930939</v>
      </c>
      <c r="H108" s="43">
        <f t="shared" si="128"/>
        <v>0.43541782131601642</v>
      </c>
      <c r="I108" s="43">
        <f t="shared" si="128"/>
        <v>0.44729969862931912</v>
      </c>
      <c r="J108" s="43">
        <f t="shared" si="128"/>
        <v>0.4441173910854363</v>
      </c>
      <c r="K108" s="43">
        <f t="shared" si="128"/>
        <v>0.45424456654722412</v>
      </c>
      <c r="L108" s="43">
        <f t="shared" si="128"/>
        <v>0.44975925641475639</v>
      </c>
      <c r="M108" s="43">
        <f t="shared" si="128"/>
        <v>0.4656742384614958</v>
      </c>
      <c r="N108" s="43">
        <f t="shared" si="128"/>
        <v>0.46686290698041233</v>
      </c>
      <c r="O108" s="43">
        <f t="shared" si="128"/>
        <v>0.45852684270480154</v>
      </c>
      <c r="P108" s="43">
        <f t="shared" si="128"/>
        <v>0.44528973520889248</v>
      </c>
      <c r="Q108" s="43">
        <f t="shared" si="128"/>
        <v>0.44516361763605689</v>
      </c>
      <c r="R108" s="43">
        <f t="shared" si="128"/>
        <v>0.46890422711387142</v>
      </c>
      <c r="S108" s="43">
        <f t="shared" si="128"/>
        <v>0.46302670051440842</v>
      </c>
      <c r="T108" s="43">
        <f t="shared" si="128"/>
        <v>0.43987374172596189</v>
      </c>
      <c r="U108" s="43">
        <f t="shared" si="128"/>
        <v>0.43469878654668548</v>
      </c>
      <c r="V108" s="43">
        <f t="shared" si="128"/>
        <v>0.49733965261756025</v>
      </c>
      <c r="W108" s="43">
        <f t="shared" ref="W108:Y108" si="129">IF(W6=0,0,W6/W$4)</f>
        <v>0.50008770011456294</v>
      </c>
      <c r="X108" s="43">
        <f t="shared" si="129"/>
        <v>0.49350031687316409</v>
      </c>
      <c r="Y108" s="43">
        <f t="shared" si="129"/>
        <v>0.45667112086768857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0.53455568765076356</v>
      </c>
      <c r="C109" s="43">
        <f t="shared" si="130"/>
        <v>0.53485626400177932</v>
      </c>
      <c r="D109" s="43">
        <f t="shared" ref="D109:V109" si="131">IF(D7=0,0,D7/D$4)</f>
        <v>0.54415243575007777</v>
      </c>
      <c r="E109" s="43">
        <f t="shared" si="131"/>
        <v>0.52954075741963946</v>
      </c>
      <c r="F109" s="43">
        <f t="shared" si="131"/>
        <v>0.55909125184138997</v>
      </c>
      <c r="G109" s="43">
        <f t="shared" si="131"/>
        <v>0.57629534619849854</v>
      </c>
      <c r="H109" s="43">
        <f t="shared" si="131"/>
        <v>0.55250838410682612</v>
      </c>
      <c r="I109" s="43">
        <f t="shared" si="131"/>
        <v>0.53998400274140346</v>
      </c>
      <c r="J109" s="43">
        <f t="shared" si="131"/>
        <v>0.54232262494591565</v>
      </c>
      <c r="K109" s="43">
        <f t="shared" si="131"/>
        <v>0.530592664401491</v>
      </c>
      <c r="L109" s="43">
        <f t="shared" si="131"/>
        <v>0.53494311829199603</v>
      </c>
      <c r="M109" s="43">
        <f t="shared" si="131"/>
        <v>0.52283908408086854</v>
      </c>
      <c r="N109" s="43">
        <f t="shared" si="131"/>
        <v>0.52267024771036708</v>
      </c>
      <c r="O109" s="43">
        <f t="shared" si="131"/>
        <v>0.53150757642092206</v>
      </c>
      <c r="P109" s="43">
        <f t="shared" si="131"/>
        <v>0.54597507469974349</v>
      </c>
      <c r="Q109" s="43">
        <f t="shared" si="131"/>
        <v>0.54706462300182224</v>
      </c>
      <c r="R109" s="43">
        <f t="shared" si="131"/>
        <v>0.52364231394088556</v>
      </c>
      <c r="S109" s="43">
        <f t="shared" si="131"/>
        <v>0.52927406699020141</v>
      </c>
      <c r="T109" s="43">
        <f t="shared" si="131"/>
        <v>0.55286487466882284</v>
      </c>
      <c r="U109" s="43">
        <f t="shared" si="131"/>
        <v>0.55949748992438497</v>
      </c>
      <c r="V109" s="43">
        <f t="shared" si="131"/>
        <v>0.49661763855692215</v>
      </c>
      <c r="W109" s="43">
        <f t="shared" ref="W109:Y109" si="132">IF(W7=0,0,W7/W$4)</f>
        <v>0.4962283261709004</v>
      </c>
      <c r="X109" s="43">
        <f t="shared" si="132"/>
        <v>0.50312109858442888</v>
      </c>
      <c r="Y109" s="43">
        <f t="shared" si="132"/>
        <v>0.5404678878609126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2.1013627545443596E-3</v>
      </c>
      <c r="C111" s="44">
        <f t="shared" si="136"/>
        <v>1.440284603437203E-3</v>
      </c>
      <c r="D111" s="44">
        <f t="shared" ref="D111:V111" si="137">IF(D9=0,0,D9/D$8)</f>
        <v>1.318798387302504E-3</v>
      </c>
      <c r="E111" s="44">
        <f t="shared" si="137"/>
        <v>1.3829388339097264E-3</v>
      </c>
      <c r="F111" s="44">
        <f t="shared" si="137"/>
        <v>1.3543735186067607E-3</v>
      </c>
      <c r="G111" s="44">
        <f t="shared" si="137"/>
        <v>1.1315427919495052E-3</v>
      </c>
      <c r="H111" s="44">
        <f t="shared" si="137"/>
        <v>1.2195322770654484E-3</v>
      </c>
      <c r="I111" s="44">
        <f t="shared" si="137"/>
        <v>1.2567780216450107E-3</v>
      </c>
      <c r="J111" s="44">
        <f t="shared" si="137"/>
        <v>1.4706018305003365E-3</v>
      </c>
      <c r="K111" s="44">
        <f t="shared" si="137"/>
        <v>1.6189446456774913E-3</v>
      </c>
      <c r="L111" s="44">
        <f t="shared" si="137"/>
        <v>1.3191272227911911E-3</v>
      </c>
      <c r="M111" s="44">
        <f t="shared" si="137"/>
        <v>7.8139586969893412E-4</v>
      </c>
      <c r="N111" s="44">
        <f t="shared" si="137"/>
        <v>5.4046520586056564E-4</v>
      </c>
      <c r="O111" s="44">
        <f t="shared" si="137"/>
        <v>3.5202959971104413E-4</v>
      </c>
      <c r="P111" s="44">
        <f t="shared" si="137"/>
        <v>1.8672385080839056E-4</v>
      </c>
      <c r="Q111" s="44">
        <f t="shared" si="137"/>
        <v>1.3904481919678108E-4</v>
      </c>
      <c r="R111" s="44">
        <f t="shared" si="137"/>
        <v>8.4271984345031477E-5</v>
      </c>
      <c r="S111" s="44">
        <f t="shared" si="137"/>
        <v>5.4651327709986896E-5</v>
      </c>
      <c r="T111" s="44">
        <f t="shared" si="137"/>
        <v>4.32658740361491E-5</v>
      </c>
      <c r="U111" s="44">
        <f t="shared" si="137"/>
        <v>1.3464622665601421E-5</v>
      </c>
      <c r="V111" s="44">
        <f t="shared" si="137"/>
        <v>1.6479593390033659E-5</v>
      </c>
      <c r="W111" s="44">
        <f t="shared" ref="W111:Y111" si="138">IF(W9=0,0,W9/W$8)</f>
        <v>1.6494729876008314E-5</v>
      </c>
      <c r="X111" s="44">
        <f t="shared" si="138"/>
        <v>1.3911311952319182E-5</v>
      </c>
      <c r="Y111" s="44">
        <f t="shared" si="138"/>
        <v>2.1186681161527499E-5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0.25980459189859617</v>
      </c>
      <c r="C112" s="44">
        <f t="shared" si="139"/>
        <v>0.2752340851809621</v>
      </c>
      <c r="D112" s="44">
        <f t="shared" ref="D112:V112" si="140">IF(D10=0,0,D10/D$8)</f>
        <v>0.30273671119929929</v>
      </c>
      <c r="E112" s="44">
        <f t="shared" si="140"/>
        <v>0.32561603193778865</v>
      </c>
      <c r="F112" s="44">
        <f t="shared" si="140"/>
        <v>0.37793632902544316</v>
      </c>
      <c r="G112" s="44">
        <f t="shared" si="140"/>
        <v>0.32118115670813852</v>
      </c>
      <c r="H112" s="44">
        <f t="shared" si="140"/>
        <v>0.3332827467065354</v>
      </c>
      <c r="I112" s="44">
        <f t="shared" si="140"/>
        <v>0.32336118719818446</v>
      </c>
      <c r="J112" s="44">
        <f t="shared" si="140"/>
        <v>0.32157220913697454</v>
      </c>
      <c r="K112" s="44">
        <f t="shared" si="140"/>
        <v>0.33587853907925336</v>
      </c>
      <c r="L112" s="44">
        <f t="shared" si="140"/>
        <v>0.33074581927316477</v>
      </c>
      <c r="M112" s="44">
        <f t="shared" si="140"/>
        <v>0.26609203426703987</v>
      </c>
      <c r="N112" s="44">
        <f t="shared" si="140"/>
        <v>0.22534627439137764</v>
      </c>
      <c r="O112" s="44">
        <f t="shared" si="140"/>
        <v>0.21197625976391946</v>
      </c>
      <c r="P112" s="44">
        <f t="shared" si="140"/>
        <v>0.21514330818305907</v>
      </c>
      <c r="Q112" s="44">
        <f t="shared" si="140"/>
        <v>0.16713026905252115</v>
      </c>
      <c r="R112" s="44">
        <f t="shared" si="140"/>
        <v>0.14557327831991571</v>
      </c>
      <c r="S112" s="44">
        <f t="shared" si="140"/>
        <v>0.14788242819555267</v>
      </c>
      <c r="T112" s="44">
        <f t="shared" si="140"/>
        <v>0.12732869300198893</v>
      </c>
      <c r="U112" s="44">
        <f t="shared" si="140"/>
        <v>0.13562507192123227</v>
      </c>
      <c r="V112" s="44">
        <f t="shared" si="140"/>
        <v>0.31588406129131902</v>
      </c>
      <c r="W112" s="44">
        <f t="shared" ref="W112:Y112" si="141">IF(W10=0,0,W10/W$8)</f>
        <v>0.35977616000850604</v>
      </c>
      <c r="X112" s="44">
        <f t="shared" si="141"/>
        <v>0.31955997108041706</v>
      </c>
      <c r="Y112" s="44">
        <f t="shared" si="141"/>
        <v>0.30168641690175779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0.73809404534685952</v>
      </c>
      <c r="C113" s="45">
        <f t="shared" si="142"/>
        <v>0.72332563021560059</v>
      </c>
      <c r="D113" s="45">
        <f t="shared" ref="D113:V113" si="143">IF(D11=0,0,D11/D$8)</f>
        <v>0.69594449041339823</v>
      </c>
      <c r="E113" s="45">
        <f t="shared" si="143"/>
        <v>0.67300102922830152</v>
      </c>
      <c r="F113" s="45">
        <f t="shared" si="143"/>
        <v>0.62070929745595005</v>
      </c>
      <c r="G113" s="45">
        <f t="shared" si="143"/>
        <v>0.67768730049991199</v>
      </c>
      <c r="H113" s="45">
        <f t="shared" si="143"/>
        <v>0.66549772101639926</v>
      </c>
      <c r="I113" s="45">
        <f t="shared" si="143"/>
        <v>0.67538203478017056</v>
      </c>
      <c r="J113" s="45">
        <f t="shared" si="143"/>
        <v>0.676957189032525</v>
      </c>
      <c r="K113" s="45">
        <f t="shared" si="143"/>
        <v>0.66250251627506918</v>
      </c>
      <c r="L113" s="45">
        <f t="shared" si="143"/>
        <v>0.66793505350404403</v>
      </c>
      <c r="M113" s="45">
        <f t="shared" si="143"/>
        <v>0.73312656986326119</v>
      </c>
      <c r="N113" s="45">
        <f t="shared" si="143"/>
        <v>0.77411326040276185</v>
      </c>
      <c r="O113" s="45">
        <f t="shared" si="143"/>
        <v>0.78767171063636954</v>
      </c>
      <c r="P113" s="45">
        <f t="shared" si="143"/>
        <v>0.78466996796613253</v>
      </c>
      <c r="Q113" s="45">
        <f t="shared" si="143"/>
        <v>0.83273068612828205</v>
      </c>
      <c r="R113" s="45">
        <f t="shared" si="143"/>
        <v>0.85434244969573925</v>
      </c>
      <c r="S113" s="45">
        <f t="shared" si="143"/>
        <v>0.85206292047673737</v>
      </c>
      <c r="T113" s="45">
        <f t="shared" si="143"/>
        <v>0.87262804112397496</v>
      </c>
      <c r="U113" s="45">
        <f t="shared" si="143"/>
        <v>0.8643614634561021</v>
      </c>
      <c r="V113" s="45">
        <f t="shared" si="143"/>
        <v>0.68409945911529102</v>
      </c>
      <c r="W113" s="45">
        <f t="shared" ref="W113:Y113" si="144">IF(W11=0,0,W11/W$8)</f>
        <v>0.64020734526161804</v>
      </c>
      <c r="X113" s="45">
        <f t="shared" si="144"/>
        <v>0.68042611760763061</v>
      </c>
      <c r="Y113" s="45">
        <f t="shared" si="144"/>
        <v>0.69829239641708063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4.3271357316384512E-2</v>
      </c>
      <c r="C117" s="43">
        <f t="shared" si="148"/>
        <v>3.9290192899025356E-2</v>
      </c>
      <c r="D117" s="43">
        <f t="shared" ref="D117:V117" si="149">IF(D15=0,0,D15/D$14)</f>
        <v>4.2336987169178511E-2</v>
      </c>
      <c r="E117" s="43">
        <f t="shared" si="149"/>
        <v>3.8348843534693949E-2</v>
      </c>
      <c r="F117" s="43">
        <f t="shared" si="149"/>
        <v>3.2416047475291435E-2</v>
      </c>
      <c r="G117" s="43">
        <f t="shared" si="149"/>
        <v>3.0977897687875434E-2</v>
      </c>
      <c r="H117" s="43">
        <f t="shared" si="149"/>
        <v>3.2519101923731246E-2</v>
      </c>
      <c r="I117" s="43">
        <f t="shared" si="149"/>
        <v>3.233587831427668E-2</v>
      </c>
      <c r="J117" s="43">
        <f t="shared" si="149"/>
        <v>3.377224497856119E-2</v>
      </c>
      <c r="K117" s="43">
        <f t="shared" si="149"/>
        <v>3.7394107148445981E-2</v>
      </c>
      <c r="L117" s="43">
        <f t="shared" si="149"/>
        <v>3.6622282149576427E-2</v>
      </c>
      <c r="M117" s="43">
        <f t="shared" si="149"/>
        <v>2.7901725341148969E-2</v>
      </c>
      <c r="N117" s="43">
        <f t="shared" si="149"/>
        <v>2.7722256416246063E-2</v>
      </c>
      <c r="O117" s="43">
        <f t="shared" si="149"/>
        <v>2.7278219935186483E-2</v>
      </c>
      <c r="P117" s="43">
        <f t="shared" si="149"/>
        <v>2.4547524132459034E-2</v>
      </c>
      <c r="Q117" s="43">
        <f t="shared" si="149"/>
        <v>2.2195622606115271E-2</v>
      </c>
      <c r="R117" s="43">
        <f t="shared" si="149"/>
        <v>2.0369319331508547E-2</v>
      </c>
      <c r="S117" s="43">
        <f t="shared" si="149"/>
        <v>2.021777403278301E-2</v>
      </c>
      <c r="T117" s="43">
        <f t="shared" si="149"/>
        <v>1.8044438903543555E-2</v>
      </c>
      <c r="U117" s="43">
        <f t="shared" si="149"/>
        <v>1.5035803665659134E-2</v>
      </c>
      <c r="V117" s="43">
        <f t="shared" si="149"/>
        <v>1.4944708595935245E-2</v>
      </c>
      <c r="W117" s="43">
        <f t="shared" ref="W117:Y117" si="150">IF(W15=0,0,W15/W$14)</f>
        <v>9.3508855333999524E-3</v>
      </c>
      <c r="X117" s="43">
        <f t="shared" si="150"/>
        <v>8.5514191741056702E-3</v>
      </c>
      <c r="Y117" s="43">
        <f t="shared" si="150"/>
        <v>7.7857973454053681E-3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0.59588306949943437</v>
      </c>
      <c r="C118" s="43">
        <f t="shared" si="151"/>
        <v>0.58984169919838869</v>
      </c>
      <c r="D118" s="43">
        <f t="shared" ref="D118:V118" si="152">IF(D16=0,0,D16/D$14)</f>
        <v>0.59217871217918361</v>
      </c>
      <c r="E118" s="43">
        <f t="shared" si="152"/>
        <v>0.59883361526116397</v>
      </c>
      <c r="F118" s="43">
        <f t="shared" si="152"/>
        <v>0.57600567259661672</v>
      </c>
      <c r="G118" s="43">
        <f t="shared" si="152"/>
        <v>0.55171219040352115</v>
      </c>
      <c r="H118" s="43">
        <f t="shared" si="152"/>
        <v>0.55532836428490229</v>
      </c>
      <c r="I118" s="43">
        <f t="shared" si="152"/>
        <v>0.57701090141682465</v>
      </c>
      <c r="J118" s="43">
        <f t="shared" si="152"/>
        <v>0.57622276203208789</v>
      </c>
      <c r="K118" s="43">
        <f t="shared" si="152"/>
        <v>0.57150170239609499</v>
      </c>
      <c r="L118" s="43">
        <f t="shared" si="152"/>
        <v>0.56551118536742717</v>
      </c>
      <c r="M118" s="43">
        <f t="shared" si="152"/>
        <v>0.56183493752716107</v>
      </c>
      <c r="N118" s="43">
        <f t="shared" si="152"/>
        <v>0.56016639512057864</v>
      </c>
      <c r="O118" s="43">
        <f t="shared" si="152"/>
        <v>0.5479667100411445</v>
      </c>
      <c r="P118" s="43">
        <f t="shared" si="152"/>
        <v>0.54320062771567523</v>
      </c>
      <c r="Q118" s="43">
        <f t="shared" si="152"/>
        <v>0.54316826123003359</v>
      </c>
      <c r="R118" s="43">
        <f t="shared" si="152"/>
        <v>0.56045778404311497</v>
      </c>
      <c r="S118" s="43">
        <f t="shared" si="152"/>
        <v>0.55436472435254835</v>
      </c>
      <c r="T118" s="43">
        <f t="shared" si="152"/>
        <v>0.54379428633488724</v>
      </c>
      <c r="U118" s="43">
        <f t="shared" si="152"/>
        <v>0.53508284861681199</v>
      </c>
      <c r="V118" s="43">
        <f t="shared" si="152"/>
        <v>0.58572618403552201</v>
      </c>
      <c r="W118" s="43">
        <f t="shared" ref="W118:Y118" si="153">IF(W16=0,0,W16/W$14)</f>
        <v>0.5634923800302607</v>
      </c>
      <c r="X118" s="43">
        <f t="shared" si="153"/>
        <v>0.59262843041340174</v>
      </c>
      <c r="Y118" s="43">
        <f t="shared" si="153"/>
        <v>0.57060866974026181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0.36084557318418098</v>
      </c>
      <c r="C119" s="43">
        <f t="shared" si="154"/>
        <v>0.37086810790258601</v>
      </c>
      <c r="D119" s="43">
        <f t="shared" ref="D119:V119" si="155">IF(D17=0,0,D17/D$14)</f>
        <v>0.36548430065163789</v>
      </c>
      <c r="E119" s="43">
        <f t="shared" si="155"/>
        <v>0.36281754120414211</v>
      </c>
      <c r="F119" s="43">
        <f t="shared" si="155"/>
        <v>0.39157827992809185</v>
      </c>
      <c r="G119" s="43">
        <f t="shared" si="155"/>
        <v>0.41730991190860345</v>
      </c>
      <c r="H119" s="43">
        <f t="shared" si="155"/>
        <v>0.41215253379136646</v>
      </c>
      <c r="I119" s="43">
        <f t="shared" si="155"/>
        <v>0.39065322026889865</v>
      </c>
      <c r="J119" s="43">
        <f t="shared" si="155"/>
        <v>0.39000499298935104</v>
      </c>
      <c r="K119" s="43">
        <f t="shared" si="155"/>
        <v>0.39110419045545902</v>
      </c>
      <c r="L119" s="43">
        <f t="shared" si="155"/>
        <v>0.39786653248299642</v>
      </c>
      <c r="M119" s="43">
        <f t="shared" si="155"/>
        <v>0.41026333713169</v>
      </c>
      <c r="N119" s="43">
        <f t="shared" si="155"/>
        <v>0.41211134846317521</v>
      </c>
      <c r="O119" s="43">
        <f t="shared" si="155"/>
        <v>0.42475507002366913</v>
      </c>
      <c r="P119" s="43">
        <f t="shared" si="155"/>
        <v>0.43225184815186574</v>
      </c>
      <c r="Q119" s="43">
        <f t="shared" si="155"/>
        <v>0.43463611616385112</v>
      </c>
      <c r="R119" s="43">
        <f t="shared" si="155"/>
        <v>0.4191728966253766</v>
      </c>
      <c r="S119" s="43">
        <f t="shared" si="155"/>
        <v>0.42541750161466879</v>
      </c>
      <c r="T119" s="43">
        <f t="shared" si="155"/>
        <v>0.43816127476156919</v>
      </c>
      <c r="U119" s="43">
        <f t="shared" si="155"/>
        <v>0.4498813477175288</v>
      </c>
      <c r="V119" s="43">
        <f t="shared" si="155"/>
        <v>0.39932910736854277</v>
      </c>
      <c r="W119" s="43">
        <f t="shared" ref="W119:Y119" si="156">IF(W17=0,0,W17/W$14)</f>
        <v>0.42715673443633934</v>
      </c>
      <c r="X119" s="43">
        <f t="shared" si="156"/>
        <v>0.39882015041249241</v>
      </c>
      <c r="Y119" s="43">
        <f t="shared" si="156"/>
        <v>0.42160553291433267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1.0526366608541898E-2</v>
      </c>
      <c r="C121" s="44">
        <f t="shared" si="160"/>
        <v>7.4704150654667173E-3</v>
      </c>
      <c r="D121" s="44">
        <f t="shared" ref="D121:V121" si="161">IF(D19=0,0,D19/D$18)</f>
        <v>6.0474395154041568E-3</v>
      </c>
      <c r="E121" s="44">
        <f t="shared" si="161"/>
        <v>5.6835309861747079E-3</v>
      </c>
      <c r="F121" s="44">
        <f t="shared" si="161"/>
        <v>5.0136729897046371E-3</v>
      </c>
      <c r="G121" s="44">
        <f t="shared" si="161"/>
        <v>4.4934860035197085E-3</v>
      </c>
      <c r="H121" s="44">
        <f t="shared" si="161"/>
        <v>4.5359407028957152E-3</v>
      </c>
      <c r="I121" s="44">
        <f t="shared" si="161"/>
        <v>4.5941251200706168E-3</v>
      </c>
      <c r="J121" s="44">
        <f t="shared" si="161"/>
        <v>5.445483608490842E-3</v>
      </c>
      <c r="K121" s="44">
        <f t="shared" si="161"/>
        <v>6.1624971980051881E-3</v>
      </c>
      <c r="L121" s="44">
        <f t="shared" si="161"/>
        <v>4.7836822816992013E-3</v>
      </c>
      <c r="M121" s="44">
        <f t="shared" si="161"/>
        <v>3.1222741807427853E-3</v>
      </c>
      <c r="N121" s="44">
        <f t="shared" si="161"/>
        <v>2.3767528581871027E-3</v>
      </c>
      <c r="O121" s="44">
        <f t="shared" si="161"/>
        <v>1.5307916642901839E-3</v>
      </c>
      <c r="P121" s="44">
        <f t="shared" si="161"/>
        <v>8.3843297032010211E-4</v>
      </c>
      <c r="Q121" s="44">
        <f t="shared" si="161"/>
        <v>6.8438999257348801E-4</v>
      </c>
      <c r="R121" s="44">
        <f t="shared" si="161"/>
        <v>4.0608904004822889E-4</v>
      </c>
      <c r="S121" s="44">
        <f t="shared" si="161"/>
        <v>2.7348027325484767E-4</v>
      </c>
      <c r="T121" s="44">
        <f t="shared" si="161"/>
        <v>2.2992771201335067E-4</v>
      </c>
      <c r="U121" s="44">
        <f t="shared" si="161"/>
        <v>6.5602239985518789E-5</v>
      </c>
      <c r="V121" s="44">
        <f t="shared" si="161"/>
        <v>4.8679009921458795E-5</v>
      </c>
      <c r="W121" s="44">
        <f t="shared" ref="W121:Y121" si="162">IF(W19=0,0,W19/W$18)</f>
        <v>4.5406717813812674E-5</v>
      </c>
      <c r="X121" s="44">
        <f t="shared" si="162"/>
        <v>4.1098213703301181E-5</v>
      </c>
      <c r="Y121" s="44">
        <f t="shared" si="162"/>
        <v>6.5725666623515827E-5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0.55925364677661193</v>
      </c>
      <c r="C122" s="44">
        <f t="shared" si="163"/>
        <v>0.57912186074225547</v>
      </c>
      <c r="D122" s="44">
        <f t="shared" ref="D122:V122" si="164">IF(D20=0,0,D20/D$18)</f>
        <v>0.61095722584736301</v>
      </c>
      <c r="E122" s="44">
        <f t="shared" si="164"/>
        <v>0.60573025719662665</v>
      </c>
      <c r="F122" s="44">
        <f t="shared" si="164"/>
        <v>0.68178549723062853</v>
      </c>
      <c r="G122" s="44">
        <f t="shared" si="164"/>
        <v>0.61377736183914966</v>
      </c>
      <c r="H122" s="44">
        <f t="shared" si="164"/>
        <v>0.64611091340614812</v>
      </c>
      <c r="I122" s="44">
        <f t="shared" si="164"/>
        <v>0.6423623421408442</v>
      </c>
      <c r="J122" s="44">
        <f t="shared" si="164"/>
        <v>0.64259434678560112</v>
      </c>
      <c r="K122" s="44">
        <f t="shared" si="164"/>
        <v>0.67716843940787164</v>
      </c>
      <c r="L122" s="44">
        <f t="shared" si="164"/>
        <v>0.67520543716356984</v>
      </c>
      <c r="M122" s="44">
        <f t="shared" si="164"/>
        <v>0.59416307772014132</v>
      </c>
      <c r="N122" s="44">
        <f t="shared" si="164"/>
        <v>0.54435087734419696</v>
      </c>
      <c r="O122" s="44">
        <f t="shared" si="164"/>
        <v>0.52476628920194401</v>
      </c>
      <c r="P122" s="44">
        <f t="shared" si="164"/>
        <v>0.53045716928383291</v>
      </c>
      <c r="Q122" s="44">
        <f t="shared" si="164"/>
        <v>0.44599412999027049</v>
      </c>
      <c r="R122" s="44">
        <f t="shared" si="164"/>
        <v>0.40444913392802573</v>
      </c>
      <c r="S122" s="44">
        <f t="shared" si="164"/>
        <v>0.42486073368461214</v>
      </c>
      <c r="T122" s="44">
        <f t="shared" si="164"/>
        <v>0.38536095129496506</v>
      </c>
      <c r="U122" s="44">
        <f t="shared" si="164"/>
        <v>0.3905379766625946</v>
      </c>
      <c r="V122" s="44">
        <f t="shared" si="164"/>
        <v>0.60454161755262581</v>
      </c>
      <c r="W122" s="44">
        <f t="shared" ref="W122:Y122" si="165">IF(W20=0,0,W20/W$18)</f>
        <v>0.64342749510311392</v>
      </c>
      <c r="X122" s="44">
        <f t="shared" si="165"/>
        <v>0.6347032883094339</v>
      </c>
      <c r="Y122" s="44">
        <f t="shared" si="165"/>
        <v>0.62656772469667843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0.43021998661484617</v>
      </c>
      <c r="C123" s="45">
        <f t="shared" si="166"/>
        <v>0.41340772419227778</v>
      </c>
      <c r="D123" s="45">
        <f t="shared" ref="D123:V123" si="167">IF(D21=0,0,D21/D$18)</f>
        <v>0.38299533463723268</v>
      </c>
      <c r="E123" s="45">
        <f t="shared" si="167"/>
        <v>0.38858621181719849</v>
      </c>
      <c r="F123" s="45">
        <f t="shared" si="167"/>
        <v>0.31320082977966696</v>
      </c>
      <c r="G123" s="45">
        <f t="shared" si="167"/>
        <v>0.38172915215733055</v>
      </c>
      <c r="H123" s="45">
        <f t="shared" si="167"/>
        <v>0.34935314589095617</v>
      </c>
      <c r="I123" s="45">
        <f t="shared" si="167"/>
        <v>0.35304353273908506</v>
      </c>
      <c r="J123" s="45">
        <f t="shared" si="167"/>
        <v>0.35196016960590804</v>
      </c>
      <c r="K123" s="45">
        <f t="shared" si="167"/>
        <v>0.31666906339412315</v>
      </c>
      <c r="L123" s="45">
        <f t="shared" si="167"/>
        <v>0.32001088055473087</v>
      </c>
      <c r="M123" s="45">
        <f t="shared" si="167"/>
        <v>0.40271464809911584</v>
      </c>
      <c r="N123" s="45">
        <f t="shared" si="167"/>
        <v>0.45327236979761582</v>
      </c>
      <c r="O123" s="45">
        <f t="shared" si="167"/>
        <v>0.47370291913376578</v>
      </c>
      <c r="P123" s="45">
        <f t="shared" si="167"/>
        <v>0.46870439774584699</v>
      </c>
      <c r="Q123" s="45">
        <f t="shared" si="167"/>
        <v>0.55332148001715609</v>
      </c>
      <c r="R123" s="45">
        <f t="shared" si="167"/>
        <v>0.59514477703192603</v>
      </c>
      <c r="S123" s="45">
        <f t="shared" si="167"/>
        <v>0.57486578604213301</v>
      </c>
      <c r="T123" s="45">
        <f t="shared" si="167"/>
        <v>0.61440912099302158</v>
      </c>
      <c r="U123" s="45">
        <f t="shared" si="167"/>
        <v>0.60939642109741987</v>
      </c>
      <c r="V123" s="45">
        <f t="shared" si="167"/>
        <v>0.39540970343745291</v>
      </c>
      <c r="W123" s="45">
        <f t="shared" ref="W123:Y123" si="168">IF(W21=0,0,W21/W$18)</f>
        <v>0.35652709817907235</v>
      </c>
      <c r="X123" s="45">
        <f t="shared" si="168"/>
        <v>0.36525561347686281</v>
      </c>
      <c r="Y123" s="45">
        <f t="shared" si="168"/>
        <v>0.37336654963669813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590.49638865004306</v>
      </c>
      <c r="C3" s="79">
        <f t="shared" si="0"/>
        <v>573.94909716251072</v>
      </c>
      <c r="D3" s="79">
        <f t="shared" ref="D3" si="1">SUM(D4:D5)</f>
        <v>539.8036113499569</v>
      </c>
      <c r="E3" s="79">
        <f t="shared" ref="E3" si="2">SUM(E4:E5)</f>
        <v>510.86268271711106</v>
      </c>
      <c r="F3" s="79">
        <f t="shared" ref="F3" si="3">SUM(F4:F5)</f>
        <v>601.8558039552878</v>
      </c>
      <c r="G3" s="79">
        <f t="shared" ref="G3" si="4">SUM(G4:G5)</f>
        <v>677.8350816852967</v>
      </c>
      <c r="H3" s="79">
        <f t="shared" ref="H3" si="5">SUM(H4:H5)</f>
        <v>709.37996560619069</v>
      </c>
      <c r="I3" s="79">
        <f t="shared" ref="I3" si="6">SUM(I4:I5)</f>
        <v>751.82699914015461</v>
      </c>
      <c r="J3" s="79">
        <f t="shared" ref="J3" si="7">SUM(J4:J5)</f>
        <v>753.07592433361981</v>
      </c>
      <c r="K3" s="79">
        <f t="shared" ref="K3" si="8">SUM(K4:K5)</f>
        <v>657.54067067927747</v>
      </c>
      <c r="L3" s="79">
        <f t="shared" ref="L3" si="9">SUM(L4:L5)</f>
        <v>702.46010318142726</v>
      </c>
      <c r="M3" s="79">
        <f t="shared" ref="M3" si="10">SUM(M4:M5)</f>
        <v>735.68142734307844</v>
      </c>
      <c r="N3" s="79">
        <f t="shared" ref="N3" si="11">SUM(N4:N5)</f>
        <v>713.32803095442819</v>
      </c>
      <c r="O3" s="79">
        <f t="shared" ref="O3" si="12">SUM(O4:O5)</f>
        <v>680.94686156491832</v>
      </c>
      <c r="P3" s="79">
        <f t="shared" ref="P3" si="13">SUM(P4:P5)</f>
        <v>680.77858985382613</v>
      </c>
      <c r="Q3" s="79">
        <f t="shared" ref="Q3" si="14">SUM(Q4:Q5)</f>
        <v>730.30077386070491</v>
      </c>
      <c r="R3" s="79">
        <f t="shared" ref="R3" si="15">SUM(R4:R5)</f>
        <v>794.54075666380049</v>
      </c>
      <c r="S3" s="79">
        <f t="shared" ref="S3" si="16">SUM(S4:S5)</f>
        <v>767.19888220120367</v>
      </c>
      <c r="T3" s="79">
        <f t="shared" ref="T3" si="17">SUM(T4:T5)</f>
        <v>861.79991401547716</v>
      </c>
      <c r="U3" s="79">
        <f t="shared" ref="U3" si="18">SUM(U4:U5)</f>
        <v>985.70739466895941</v>
      </c>
      <c r="V3" s="79">
        <f t="shared" ref="V3:W3" si="19">SUM(V4:V5)</f>
        <v>334.813241616509</v>
      </c>
      <c r="W3" s="79">
        <f t="shared" si="19"/>
        <v>419.75348237317286</v>
      </c>
      <c r="X3" s="79">
        <f t="shared" ref="X3:Y3" si="20">SUM(X4:X5)</f>
        <v>632.24849527085132</v>
      </c>
      <c r="Y3" s="79">
        <f t="shared" si="20"/>
        <v>883.27910576096292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35.129492691315562</v>
      </c>
      <c r="C4" s="96">
        <f t="shared" si="21"/>
        <v>33.061049011177992</v>
      </c>
      <c r="D4" s="96">
        <f t="shared" ref="D4:V4" si="22">SUM(D7,D11)</f>
        <v>34.078503869303532</v>
      </c>
      <c r="E4" s="96">
        <f t="shared" si="22"/>
        <v>33.061049011177992</v>
      </c>
      <c r="F4" s="96">
        <f t="shared" si="22"/>
        <v>35.112725709372313</v>
      </c>
      <c r="G4" s="96">
        <f t="shared" si="22"/>
        <v>35.515563198624243</v>
      </c>
      <c r="H4" s="96">
        <f t="shared" si="22"/>
        <v>37.335339638865008</v>
      </c>
      <c r="I4" s="96">
        <f t="shared" si="22"/>
        <v>38.153654342218395</v>
      </c>
      <c r="J4" s="96">
        <f t="shared" si="22"/>
        <v>37.377644024075657</v>
      </c>
      <c r="K4" s="96">
        <f t="shared" si="22"/>
        <v>36.478245915735165</v>
      </c>
      <c r="L4" s="96">
        <f t="shared" si="22"/>
        <v>35.414359415305242</v>
      </c>
      <c r="M4" s="96">
        <f t="shared" si="22"/>
        <v>35.013757523645737</v>
      </c>
      <c r="N4" s="96">
        <f t="shared" si="22"/>
        <v>32.887876182287187</v>
      </c>
      <c r="O4" s="96">
        <f t="shared" si="22"/>
        <v>32.690627687016331</v>
      </c>
      <c r="P4" s="96">
        <f t="shared" si="22"/>
        <v>31.659243336199484</v>
      </c>
      <c r="Q4" s="96">
        <f t="shared" si="22"/>
        <v>31.84479793637145</v>
      </c>
      <c r="R4" s="96">
        <f t="shared" si="22"/>
        <v>31.268099742046431</v>
      </c>
      <c r="S4" s="96">
        <f t="shared" si="22"/>
        <v>29.808168529664663</v>
      </c>
      <c r="T4" s="96">
        <f t="shared" si="22"/>
        <v>31.166552020636281</v>
      </c>
      <c r="U4" s="96">
        <f t="shared" si="22"/>
        <v>25.80902837489252</v>
      </c>
      <c r="V4" s="96">
        <f t="shared" si="22"/>
        <v>16.685210662080824</v>
      </c>
      <c r="W4" s="96">
        <f t="shared" ref="W4:Y4" si="23">SUM(W7,W11)</f>
        <v>16.430610490111778</v>
      </c>
      <c r="X4" s="96">
        <f t="shared" si="23"/>
        <v>18.141960447119523</v>
      </c>
      <c r="Y4" s="96">
        <f t="shared" si="23"/>
        <v>18.487102321582107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555.36689595872747</v>
      </c>
      <c r="C5" s="96">
        <f t="shared" si="24"/>
        <v>540.88804815133278</v>
      </c>
      <c r="D5" s="96">
        <f t="shared" ref="D5:V5" si="25">SUM(D8:D9,D12:D13)</f>
        <v>505.72510748065332</v>
      </c>
      <c r="E5" s="96">
        <f t="shared" si="25"/>
        <v>477.80163370593306</v>
      </c>
      <c r="F5" s="96">
        <f t="shared" si="25"/>
        <v>566.74307824591551</v>
      </c>
      <c r="G5" s="96">
        <f t="shared" si="25"/>
        <v>642.31951848667245</v>
      </c>
      <c r="H5" s="96">
        <f t="shared" si="25"/>
        <v>672.04462596732571</v>
      </c>
      <c r="I5" s="96">
        <f t="shared" si="25"/>
        <v>713.67334479793624</v>
      </c>
      <c r="J5" s="96">
        <f t="shared" si="25"/>
        <v>715.6982803095442</v>
      </c>
      <c r="K5" s="96">
        <f t="shared" si="25"/>
        <v>621.06242476354225</v>
      </c>
      <c r="L5" s="96">
        <f t="shared" si="25"/>
        <v>667.04574376612197</v>
      </c>
      <c r="M5" s="96">
        <f t="shared" si="25"/>
        <v>700.66766981943272</v>
      </c>
      <c r="N5" s="96">
        <f t="shared" si="25"/>
        <v>680.440154772141</v>
      </c>
      <c r="O5" s="96">
        <f t="shared" si="25"/>
        <v>648.25623387790199</v>
      </c>
      <c r="P5" s="96">
        <f t="shared" si="25"/>
        <v>649.1193465176267</v>
      </c>
      <c r="Q5" s="96">
        <f t="shared" si="25"/>
        <v>698.45597592433342</v>
      </c>
      <c r="R5" s="96">
        <f t="shared" si="25"/>
        <v>763.27265692175411</v>
      </c>
      <c r="S5" s="96">
        <f t="shared" si="25"/>
        <v>737.39071367153906</v>
      </c>
      <c r="T5" s="96">
        <f t="shared" si="25"/>
        <v>830.63336199484093</v>
      </c>
      <c r="U5" s="96">
        <f t="shared" si="25"/>
        <v>959.89836629406693</v>
      </c>
      <c r="V5" s="96">
        <f t="shared" si="25"/>
        <v>318.1280309544282</v>
      </c>
      <c r="W5" s="96">
        <f t="shared" ref="W5:Y5" si="26">SUM(W8:W9,W12:W13)</f>
        <v>403.32287188306105</v>
      </c>
      <c r="X5" s="96">
        <f t="shared" si="26"/>
        <v>614.10653482373175</v>
      </c>
      <c r="Y5" s="96">
        <f t="shared" si="26"/>
        <v>864.79200343938078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581.53585758093914</v>
      </c>
      <c r="C6" s="21">
        <f t="shared" si="27"/>
        <v>566.31821715003593</v>
      </c>
      <c r="D6" s="21">
        <f t="shared" ref="D6:V6" si="28">SUM(D7:D9)</f>
        <v>530.94803888700494</v>
      </c>
      <c r="E6" s="21">
        <f t="shared" si="28"/>
        <v>502.47000670712964</v>
      </c>
      <c r="F6" s="21">
        <f t="shared" si="28"/>
        <v>589.32994792924842</v>
      </c>
      <c r="G6" s="21">
        <f t="shared" si="28"/>
        <v>662.45414637393924</v>
      </c>
      <c r="H6" s="21">
        <f t="shared" si="28"/>
        <v>692.64672009252604</v>
      </c>
      <c r="I6" s="21">
        <f t="shared" si="28"/>
        <v>736.2647919168752</v>
      </c>
      <c r="J6" s="21">
        <f t="shared" si="28"/>
        <v>738.64400565646201</v>
      </c>
      <c r="K6" s="21">
        <f t="shared" si="28"/>
        <v>645.49356658659326</v>
      </c>
      <c r="L6" s="21">
        <f t="shared" si="28"/>
        <v>688.77380804940526</v>
      </c>
      <c r="M6" s="21">
        <f t="shared" si="28"/>
        <v>718.62391759243314</v>
      </c>
      <c r="N6" s="21">
        <f t="shared" si="28"/>
        <v>695.92183957324471</v>
      </c>
      <c r="O6" s="21">
        <f t="shared" si="28"/>
        <v>661.98753276279876</v>
      </c>
      <c r="P6" s="21">
        <f t="shared" si="28"/>
        <v>660.58616437568162</v>
      </c>
      <c r="Q6" s="21">
        <f t="shared" si="28"/>
        <v>706.40236499451203</v>
      </c>
      <c r="R6" s="21">
        <f t="shared" si="28"/>
        <v>769.70913270466554</v>
      </c>
      <c r="S6" s="21">
        <f t="shared" si="28"/>
        <v>739.84657244515404</v>
      </c>
      <c r="T6" s="21">
        <f t="shared" si="28"/>
        <v>829.87125243409355</v>
      </c>
      <c r="U6" s="21">
        <f t="shared" si="28"/>
        <v>951.87942710493689</v>
      </c>
      <c r="V6" s="21">
        <f t="shared" si="28"/>
        <v>318.15461937945713</v>
      </c>
      <c r="W6" s="21">
        <f t="shared" ref="W6:Y6" si="29">SUM(W7:W9)</f>
        <v>401.16840301214484</v>
      </c>
      <c r="X6" s="21">
        <f t="shared" si="29"/>
        <v>613.85631484830367</v>
      </c>
      <c r="Y6" s="21">
        <f t="shared" si="29"/>
        <v>862.16523823426553</v>
      </c>
      <c r="DA6" s="189" t="s">
        <v>280</v>
      </c>
    </row>
    <row r="7" spans="1:105" ht="11.45" customHeight="1" x14ac:dyDescent="0.25">
      <c r="A7" s="83" t="s">
        <v>27</v>
      </c>
      <c r="B7" s="96">
        <v>34.935283356307032</v>
      </c>
      <c r="C7" s="96">
        <v>32.934431310873471</v>
      </c>
      <c r="D7" s="96">
        <v>33.956989989309442</v>
      </c>
      <c r="E7" s="96">
        <v>32.937689483442718</v>
      </c>
      <c r="F7" s="96">
        <v>34.939510361407848</v>
      </c>
      <c r="G7" s="96">
        <v>35.335140009482743</v>
      </c>
      <c r="H7" s="96">
        <v>37.147653020166636</v>
      </c>
      <c r="I7" s="96">
        <v>37.987501094214842</v>
      </c>
      <c r="J7" s="96">
        <v>37.211415933149404</v>
      </c>
      <c r="K7" s="96">
        <v>36.32302653355331</v>
      </c>
      <c r="L7" s="96">
        <v>35.288520832878618</v>
      </c>
      <c r="M7" s="96">
        <v>34.897880127790508</v>
      </c>
      <c r="N7" s="96">
        <v>32.808833115156737</v>
      </c>
      <c r="O7" s="96">
        <v>32.628585555585794</v>
      </c>
      <c r="P7" s="96">
        <v>31.617711359184199</v>
      </c>
      <c r="Q7" s="96">
        <v>31.800895798072474</v>
      </c>
      <c r="R7" s="96">
        <v>31.241318617613963</v>
      </c>
      <c r="S7" s="96">
        <v>29.787570901462303</v>
      </c>
      <c r="T7" s="96">
        <v>31.144761514736803</v>
      </c>
      <c r="U7" s="96">
        <v>25.80409350399486</v>
      </c>
      <c r="V7" s="96">
        <v>16.680431071522818</v>
      </c>
      <c r="W7" s="96">
        <v>16.424451478857868</v>
      </c>
      <c r="X7" s="96">
        <v>18.137611549409051</v>
      </c>
      <c r="Y7" s="96">
        <v>18.482785868284243</v>
      </c>
      <c r="DA7" s="171" t="s">
        <v>281</v>
      </c>
    </row>
    <row r="8" spans="1:105" ht="11.45" customHeight="1" x14ac:dyDescent="0.25">
      <c r="A8" s="83" t="s">
        <v>181</v>
      </c>
      <c r="B8" s="96">
        <v>276.83978492455276</v>
      </c>
      <c r="C8" s="96">
        <v>265.5130107124748</v>
      </c>
      <c r="D8" s="96">
        <v>249.58857407635045</v>
      </c>
      <c r="E8" s="96">
        <v>238.50914764517205</v>
      </c>
      <c r="F8" s="96">
        <v>265.91333382935363</v>
      </c>
      <c r="G8" s="96">
        <v>300.32485326988501</v>
      </c>
      <c r="H8" s="96">
        <v>316.53643025955262</v>
      </c>
      <c r="I8" s="96">
        <v>342.6609824020461</v>
      </c>
      <c r="J8" s="96">
        <v>339.84863403000071</v>
      </c>
      <c r="K8" s="96">
        <v>288.29810225366731</v>
      </c>
      <c r="L8" s="96">
        <v>307.85762420722648</v>
      </c>
      <c r="M8" s="96">
        <v>322.49613939898194</v>
      </c>
      <c r="N8" s="96">
        <v>308.46684583261481</v>
      </c>
      <c r="O8" s="96">
        <v>290.95886445786851</v>
      </c>
      <c r="P8" s="96">
        <v>292.98888297131015</v>
      </c>
      <c r="Q8" s="96">
        <v>316.61238573706845</v>
      </c>
      <c r="R8" s="96">
        <v>360.29286650891453</v>
      </c>
      <c r="S8" s="96">
        <v>352.8600814349337</v>
      </c>
      <c r="T8" s="96">
        <v>395.79235384000651</v>
      </c>
      <c r="U8" s="96">
        <v>449.26086301431229</v>
      </c>
      <c r="V8" s="96">
        <v>125.87474956249631</v>
      </c>
      <c r="W8" s="96">
        <v>173.61596126165347</v>
      </c>
      <c r="X8" s="96">
        <v>299.81770090755236</v>
      </c>
      <c r="Y8" s="96">
        <v>415.39394445391582</v>
      </c>
      <c r="DA8" s="171" t="s">
        <v>282</v>
      </c>
    </row>
    <row r="9" spans="1:105" ht="11.45" customHeight="1" x14ac:dyDescent="0.25">
      <c r="A9" s="83" t="s">
        <v>182</v>
      </c>
      <c r="B9" s="96">
        <v>269.76078930007941</v>
      </c>
      <c r="C9" s="96">
        <v>267.8707751266877</v>
      </c>
      <c r="D9" s="96">
        <v>247.40247482134501</v>
      </c>
      <c r="E9" s="96">
        <v>231.02316957851488</v>
      </c>
      <c r="F9" s="96">
        <v>288.47710373848702</v>
      </c>
      <c r="G9" s="96">
        <v>326.79415309457153</v>
      </c>
      <c r="H9" s="96">
        <v>338.96263681280686</v>
      </c>
      <c r="I9" s="96">
        <v>355.61630842061425</v>
      </c>
      <c r="J9" s="96">
        <v>361.58395569331196</v>
      </c>
      <c r="K9" s="96">
        <v>320.87243779937262</v>
      </c>
      <c r="L9" s="96">
        <v>345.62766300930014</v>
      </c>
      <c r="M9" s="96">
        <v>361.22989806566073</v>
      </c>
      <c r="N9" s="96">
        <v>354.64616062547316</v>
      </c>
      <c r="O9" s="96">
        <v>338.40008274934439</v>
      </c>
      <c r="P9" s="96">
        <v>335.97957004518736</v>
      </c>
      <c r="Q9" s="96">
        <v>357.9890834593711</v>
      </c>
      <c r="R9" s="96">
        <v>378.17494757813711</v>
      </c>
      <c r="S9" s="96">
        <v>357.19892010875805</v>
      </c>
      <c r="T9" s="96">
        <v>402.93413707935031</v>
      </c>
      <c r="U9" s="96">
        <v>476.81447058662968</v>
      </c>
      <c r="V9" s="96">
        <v>175.59943874543799</v>
      </c>
      <c r="W9" s="96">
        <v>211.12799027163354</v>
      </c>
      <c r="X9" s="96">
        <v>295.90100239134227</v>
      </c>
      <c r="Y9" s="96">
        <v>428.28850791206548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8.960531069103812</v>
      </c>
      <c r="C10" s="22">
        <f t="shared" si="30"/>
        <v>7.6308800124747522</v>
      </c>
      <c r="D10" s="22">
        <f t="shared" ref="D10:V10" si="31">SUM(D11:D13)</f>
        <v>8.8555724629519474</v>
      </c>
      <c r="E10" s="22">
        <f t="shared" si="31"/>
        <v>8.39267600998134</v>
      </c>
      <c r="F10" s="22">
        <f t="shared" si="31"/>
        <v>12.525856026039364</v>
      </c>
      <c r="G10" s="22">
        <f t="shared" si="31"/>
        <v>15.380935311357417</v>
      </c>
      <c r="H10" s="22">
        <f t="shared" si="31"/>
        <v>16.733245513664524</v>
      </c>
      <c r="I10" s="22">
        <f t="shared" si="31"/>
        <v>15.562207223279435</v>
      </c>
      <c r="J10" s="22">
        <f t="shared" si="31"/>
        <v>14.431918677157785</v>
      </c>
      <c r="K10" s="22">
        <f t="shared" si="31"/>
        <v>12.047104092684211</v>
      </c>
      <c r="L10" s="22">
        <f t="shared" si="31"/>
        <v>13.686295132022025</v>
      </c>
      <c r="M10" s="22">
        <f t="shared" si="31"/>
        <v>17.057509750645281</v>
      </c>
      <c r="N10" s="22">
        <f t="shared" si="31"/>
        <v>17.406191381183483</v>
      </c>
      <c r="O10" s="22">
        <f t="shared" si="31"/>
        <v>18.959328802119657</v>
      </c>
      <c r="P10" s="22">
        <f t="shared" si="31"/>
        <v>20.192425478144489</v>
      </c>
      <c r="Q10" s="22">
        <f t="shared" si="31"/>
        <v>23.898408866192899</v>
      </c>
      <c r="R10" s="22">
        <f t="shared" si="31"/>
        <v>24.831623959134902</v>
      </c>
      <c r="S10" s="22">
        <f t="shared" si="31"/>
        <v>27.352309756049713</v>
      </c>
      <c r="T10" s="22">
        <f t="shared" si="31"/>
        <v>31.928661581383523</v>
      </c>
      <c r="U10" s="22">
        <f t="shared" si="31"/>
        <v>33.827967564022615</v>
      </c>
      <c r="V10" s="22">
        <f t="shared" si="31"/>
        <v>16.658622237051908</v>
      </c>
      <c r="W10" s="22">
        <f t="shared" ref="W10:Y10" si="32">SUM(W11:W13)</f>
        <v>18.585079361027926</v>
      </c>
      <c r="X10" s="22">
        <f t="shared" si="32"/>
        <v>18.392180422547646</v>
      </c>
      <c r="Y10" s="22">
        <f t="shared" si="32"/>
        <v>21.113867526697277</v>
      </c>
      <c r="DA10" s="193" t="s">
        <v>284</v>
      </c>
    </row>
    <row r="11" spans="1:105" ht="11.45" customHeight="1" x14ac:dyDescent="0.25">
      <c r="A11" s="92" t="s">
        <v>27</v>
      </c>
      <c r="B11" s="97">
        <v>0.19420933500853202</v>
      </c>
      <c r="C11" s="97">
        <v>0.12661770030451863</v>
      </c>
      <c r="D11" s="97">
        <v>0.12151387999409029</v>
      </c>
      <c r="E11" s="97">
        <v>0.12335952773527492</v>
      </c>
      <c r="F11" s="97">
        <v>0.17321534796446639</v>
      </c>
      <c r="G11" s="97">
        <v>0.18042318914150213</v>
      </c>
      <c r="H11" s="97">
        <v>0.18768661869836853</v>
      </c>
      <c r="I11" s="97">
        <v>0.16615324800355433</v>
      </c>
      <c r="J11" s="97">
        <v>0.16622809092625374</v>
      </c>
      <c r="K11" s="97">
        <v>0.15521938218185413</v>
      </c>
      <c r="L11" s="97">
        <v>0.12583858242662327</v>
      </c>
      <c r="M11" s="97">
        <v>0.11587739585522615</v>
      </c>
      <c r="N11" s="97">
        <v>7.9043067130446107E-2</v>
      </c>
      <c r="O11" s="97">
        <v>6.2042131430534428E-2</v>
      </c>
      <c r="P11" s="97">
        <v>4.1531977015285181E-2</v>
      </c>
      <c r="Q11" s="97">
        <v>4.3902138298973624E-2</v>
      </c>
      <c r="R11" s="97">
        <v>2.6781124432467187E-2</v>
      </c>
      <c r="S11" s="97">
        <v>2.0597628202358189E-2</v>
      </c>
      <c r="T11" s="97">
        <v>2.1790505899476821E-2</v>
      </c>
      <c r="U11" s="97">
        <v>4.9348708976614166E-3</v>
      </c>
      <c r="V11" s="97">
        <v>4.7795905580054832E-3</v>
      </c>
      <c r="W11" s="97">
        <v>6.1590112539100933E-3</v>
      </c>
      <c r="X11" s="97">
        <v>4.3488977104711854E-3</v>
      </c>
      <c r="Y11" s="97">
        <v>4.3164532978646909E-3</v>
      </c>
      <c r="DA11" s="175" t="s">
        <v>285</v>
      </c>
    </row>
    <row r="12" spans="1:105" ht="11.45" customHeight="1" x14ac:dyDescent="0.25">
      <c r="A12" s="92" t="s">
        <v>181</v>
      </c>
      <c r="B12" s="97">
        <v>5.155990076956475</v>
      </c>
      <c r="C12" s="97">
        <v>4.5384795872185943</v>
      </c>
      <c r="D12" s="97">
        <v>5.543658620552355</v>
      </c>
      <c r="E12" s="97">
        <v>5.1978946094402492</v>
      </c>
      <c r="F12" s="97">
        <v>8.7196817528754273</v>
      </c>
      <c r="G12" s="97">
        <v>10.128211038969864</v>
      </c>
      <c r="H12" s="97">
        <v>11.456530432912212</v>
      </c>
      <c r="I12" s="97">
        <v>10.295327150053145</v>
      </c>
      <c r="J12" s="97">
        <v>9.499099038988259</v>
      </c>
      <c r="K12" s="97">
        <v>8.278133464901023</v>
      </c>
      <c r="L12" s="97">
        <v>9.5045647541196381</v>
      </c>
      <c r="M12" s="97">
        <v>10.368051811946707</v>
      </c>
      <c r="N12" s="97">
        <v>9.0543075111705384</v>
      </c>
      <c r="O12" s="97">
        <v>9.7737297036956328</v>
      </c>
      <c r="P12" s="97">
        <v>10.54582250155571</v>
      </c>
      <c r="Q12" s="97">
        <v>9.9971190638185963</v>
      </c>
      <c r="R12" s="97">
        <v>9.0391156180721381</v>
      </c>
      <c r="S12" s="97">
        <v>10.607071823922627</v>
      </c>
      <c r="T12" s="97">
        <v>10.816265098168163</v>
      </c>
      <c r="U12" s="97">
        <v>11.255946916952222</v>
      </c>
      <c r="V12" s="97">
        <v>8.9965989033064258</v>
      </c>
      <c r="W12" s="97">
        <v>12.530318826124546</v>
      </c>
      <c r="X12" s="97">
        <v>11.724052086211852</v>
      </c>
      <c r="Y12" s="97">
        <v>13.20067085455331</v>
      </c>
      <c r="DA12" s="175" t="s">
        <v>286</v>
      </c>
    </row>
    <row r="13" spans="1:105" ht="11.45" customHeight="1" x14ac:dyDescent="0.25">
      <c r="A13" s="85" t="s">
        <v>182</v>
      </c>
      <c r="B13" s="98">
        <v>3.610331657138806</v>
      </c>
      <c r="C13" s="98">
        <v>2.9657827249516391</v>
      </c>
      <c r="D13" s="98">
        <v>3.1903999624055022</v>
      </c>
      <c r="E13" s="98">
        <v>3.071421872805816</v>
      </c>
      <c r="F13" s="98">
        <v>3.6329589251994703</v>
      </c>
      <c r="G13" s="98">
        <v>5.0723010832460513</v>
      </c>
      <c r="H13" s="98">
        <v>5.0890284620539443</v>
      </c>
      <c r="I13" s="98">
        <v>5.1007268252227345</v>
      </c>
      <c r="J13" s="98">
        <v>4.7665915472432729</v>
      </c>
      <c r="K13" s="98">
        <v>3.6137512456013337</v>
      </c>
      <c r="L13" s="98">
        <v>4.0558917954757634</v>
      </c>
      <c r="M13" s="98">
        <v>6.5735805428433487</v>
      </c>
      <c r="N13" s="98">
        <v>8.2728408028825005</v>
      </c>
      <c r="O13" s="98">
        <v>9.1235569669934922</v>
      </c>
      <c r="P13" s="98">
        <v>9.6050709995734938</v>
      </c>
      <c r="Q13" s="98">
        <v>13.857387664075329</v>
      </c>
      <c r="R13" s="98">
        <v>15.765727216630296</v>
      </c>
      <c r="S13" s="98">
        <v>16.724640303924726</v>
      </c>
      <c r="T13" s="98">
        <v>21.090605977315885</v>
      </c>
      <c r="U13" s="98">
        <v>22.567085776172728</v>
      </c>
      <c r="V13" s="98">
        <v>7.6572437431874762</v>
      </c>
      <c r="W13" s="98">
        <v>6.048601523649471</v>
      </c>
      <c r="X13" s="98">
        <v>6.6637794386253209</v>
      </c>
      <c r="Y13" s="98">
        <v>7.9088802188461029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440.8270028652596</v>
      </c>
      <c r="C17" s="62">
        <f>IF(C3=0,0,C3/TrAvia_act!C13*100)</f>
        <v>435.03264271471676</v>
      </c>
      <c r="D17" s="62">
        <f>IF(D3=0,0,D3/TrAvia_act!D13*100)</f>
        <v>408.7215757346417</v>
      </c>
      <c r="E17" s="62">
        <f>IF(E3=0,0,E3/TrAvia_act!E13*100)</f>
        <v>366.63377355702011</v>
      </c>
      <c r="F17" s="62">
        <f>IF(F3=0,0,F3/TrAvia_act!F13*100)</f>
        <v>371.59584568959019</v>
      </c>
      <c r="G17" s="62">
        <f>IF(G3=0,0,G3/TrAvia_act!G13*100)</f>
        <v>394.2185615010884</v>
      </c>
      <c r="H17" s="62">
        <f>IF(H3=0,0,H3/TrAvia_act!H13*100)</f>
        <v>414.53251624791659</v>
      </c>
      <c r="I17" s="62">
        <f>IF(I3=0,0,I3/TrAvia_act!I13*100)</f>
        <v>424.15225206262039</v>
      </c>
      <c r="J17" s="62">
        <f>IF(J3=0,0,J3/TrAvia_act!J13*100)</f>
        <v>413.8588580672365</v>
      </c>
      <c r="K17" s="62">
        <f>IF(K3=0,0,K3/TrAvia_act!K13*100)</f>
        <v>402.06254463846119</v>
      </c>
      <c r="L17" s="62">
        <f>IF(L3=0,0,L3/TrAvia_act!L13*100)</f>
        <v>424.91512444344022</v>
      </c>
      <c r="M17" s="62">
        <f>IF(M3=0,0,M3/TrAvia_act!M13*100)</f>
        <v>440.47263623537856</v>
      </c>
      <c r="N17" s="62">
        <f>IF(N3=0,0,N3/TrAvia_act!N13*100)</f>
        <v>440.7040479962302</v>
      </c>
      <c r="O17" s="62">
        <f>IF(O3=0,0,O3/TrAvia_act!O13*100)</f>
        <v>436.15323089983792</v>
      </c>
      <c r="P17" s="62">
        <f>IF(P3=0,0,P3/TrAvia_act!P13*100)</f>
        <v>417.9147934313354</v>
      </c>
      <c r="Q17" s="62">
        <f>IF(Q3=0,0,Q3/TrAvia_act!Q13*100)</f>
        <v>439.81643479304574</v>
      </c>
      <c r="R17" s="62">
        <f>IF(R3=0,0,R3/TrAvia_act!R13*100)</f>
        <v>478.86957613215026</v>
      </c>
      <c r="S17" s="62">
        <f>IF(S3=0,0,S3/TrAvia_act!S13*100)</f>
        <v>460.37360015250755</v>
      </c>
      <c r="T17" s="62">
        <f>IF(T3=0,0,T3/TrAvia_act!T13*100)</f>
        <v>469.32525996211677</v>
      </c>
      <c r="U17" s="62">
        <f>IF(U3=0,0,U3/TrAvia_act!U13*100)</f>
        <v>474.77647626893338</v>
      </c>
      <c r="V17" s="62">
        <f>IF(V3=0,0,V3/TrAvia_act!V13*100)</f>
        <v>482.44454461336835</v>
      </c>
      <c r="W17" s="62">
        <f>IF(W3=0,0,W3/TrAvia_act!W13*100)</f>
        <v>519.33782265704031</v>
      </c>
      <c r="X17" s="62">
        <f>IF(X3=0,0,X3/TrAvia_act!X13*100)</f>
        <v>432.97734002694739</v>
      </c>
      <c r="Y17" s="62">
        <f>IF(Y3=0,0,Y3/TrAvia_act!Y13*100)</f>
        <v>501.82688727471049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442.54519143874757</v>
      </c>
      <c r="C18" s="14">
        <f>IF(C6=0,0,C6/TrAvia_act!C14*100)</f>
        <v>436.6041215148469</v>
      </c>
      <c r="D18" s="14">
        <f>IF(D6=0,0,D6/TrAvia_act!D14*100)</f>
        <v>410.55141860396577</v>
      </c>
      <c r="E18" s="14">
        <f>IF(E6=0,0,E6/TrAvia_act!E14*100)</f>
        <v>368.33320096857494</v>
      </c>
      <c r="F18" s="14">
        <f>IF(F6=0,0,F6/TrAvia_act!F14*100)</f>
        <v>373.74598974327256</v>
      </c>
      <c r="G18" s="14">
        <f>IF(G6=0,0,G6/TrAvia_act!G14*100)</f>
        <v>396.79327836969924</v>
      </c>
      <c r="H18" s="14">
        <f>IF(H6=0,0,H6/TrAvia_act!H14*100)</f>
        <v>417.15595794159839</v>
      </c>
      <c r="I18" s="14">
        <f>IF(I6=0,0,I6/TrAvia_act!I14*100)</f>
        <v>426.17626399240913</v>
      </c>
      <c r="J18" s="14">
        <f>IF(J6=0,0,J6/TrAvia_act!J14*100)</f>
        <v>415.44252890628417</v>
      </c>
      <c r="K18" s="14">
        <f>IF(K6=0,0,K6/TrAvia_act!K14*100)</f>
        <v>403.35118993647097</v>
      </c>
      <c r="L18" s="14">
        <f>IF(L6=0,0,L6/TrAvia_act!L14*100)</f>
        <v>426.18664069378218</v>
      </c>
      <c r="M18" s="14">
        <f>IF(M6=0,0,M6/TrAvia_act!M14*100)</f>
        <v>441.50017640409089</v>
      </c>
      <c r="N18" s="14">
        <f>IF(N6=0,0,N6/TrAvia_act!N14*100)</f>
        <v>441.05338576941068</v>
      </c>
      <c r="O18" s="14">
        <f>IF(O6=0,0,O6/TrAvia_act!O14*100)</f>
        <v>436.53553628448725</v>
      </c>
      <c r="P18" s="14">
        <f>IF(P6=0,0,P6/TrAvia_act!P14*100)</f>
        <v>418.37673885101736</v>
      </c>
      <c r="Q18" s="14">
        <f>IF(Q6=0,0,Q6/TrAvia_act!Q14*100)</f>
        <v>440.35727425331925</v>
      </c>
      <c r="R18" s="14">
        <f>IF(R6=0,0,R6/TrAvia_act!R14*100)</f>
        <v>478.83155122800758</v>
      </c>
      <c r="S18" s="14">
        <f>IF(S6=0,0,S6/TrAvia_act!S14*100)</f>
        <v>459.98822576175723</v>
      </c>
      <c r="T18" s="14">
        <f>IF(T6=0,0,T6/TrAvia_act!T14*100)</f>
        <v>468.35504648584276</v>
      </c>
      <c r="U18" s="14">
        <f>IF(U6=0,0,U6/TrAvia_act!U14*100)</f>
        <v>473.82476466891256</v>
      </c>
      <c r="V18" s="14">
        <f>IF(V6=0,0,V6/TrAvia_act!V14*100)</f>
        <v>486.67627895708358</v>
      </c>
      <c r="W18" s="14">
        <f>IF(W6=0,0,W6/TrAvia_act!W14*100)</f>
        <v>524.34690023546068</v>
      </c>
      <c r="X18" s="14">
        <f>IF(X6=0,0,X6/TrAvia_act!X14*100)</f>
        <v>435.58795637174211</v>
      </c>
      <c r="Y18" s="14">
        <f>IF(Y6=0,0,Y6/TrAvia_act!Y14*100)</f>
        <v>504.00497446858327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614.39104861490955</v>
      </c>
      <c r="C19" s="87">
        <f>IF(C7=0,0,C7/TrAvia_act!C15*100)</f>
        <v>646.23921267539868</v>
      </c>
      <c r="D19" s="87">
        <f>IF(D7=0,0,D7/TrAvia_act!D15*100)</f>
        <v>620.19002041305748</v>
      </c>
      <c r="E19" s="87">
        <f>IF(E7=0,0,E7/TrAvia_act!E15*100)</f>
        <v>629.60995096203089</v>
      </c>
      <c r="F19" s="87">
        <f>IF(F7=0,0,F7/TrAvia_act!F15*100)</f>
        <v>683.55707867538024</v>
      </c>
      <c r="G19" s="87">
        <f>IF(G7=0,0,G7/TrAvia_act!G15*100)</f>
        <v>683.22438646221531</v>
      </c>
      <c r="H19" s="87">
        <f>IF(H7=0,0,H7/TrAvia_act!H15*100)</f>
        <v>687.98584951217765</v>
      </c>
      <c r="I19" s="87">
        <f>IF(I7=0,0,I7/TrAvia_act!I15*100)</f>
        <v>680.00372005264603</v>
      </c>
      <c r="J19" s="87">
        <f>IF(J7=0,0,J7/TrAvia_act!J15*100)</f>
        <v>619.71504576124846</v>
      </c>
      <c r="K19" s="87">
        <f>IF(K7=0,0,K7/TrAvia_act!K15*100)</f>
        <v>606.97427379449266</v>
      </c>
      <c r="L19" s="87">
        <f>IF(L7=0,0,L7/TrAvia_act!L15*100)</f>
        <v>596.22647780793113</v>
      </c>
      <c r="M19" s="87">
        <f>IF(M7=0,0,M7/TrAvia_act!M15*100)</f>
        <v>768.41741898447594</v>
      </c>
      <c r="N19" s="87">
        <f>IF(N7=0,0,N7/TrAvia_act!N15*100)</f>
        <v>750.05464121047305</v>
      </c>
      <c r="O19" s="87">
        <f>IF(O7=0,0,O7/TrAvia_act!O15*100)</f>
        <v>788.77295957074466</v>
      </c>
      <c r="P19" s="87">
        <f>IF(P7=0,0,P7/TrAvia_act!P15*100)</f>
        <v>815.75696735012923</v>
      </c>
      <c r="Q19" s="87">
        <f>IF(Q7=0,0,Q7/TrAvia_act!Q15*100)</f>
        <v>893.15133599894307</v>
      </c>
      <c r="R19" s="87">
        <f>IF(R7=0,0,R7/TrAvia_act!R15*100)</f>
        <v>954.13309292999941</v>
      </c>
      <c r="S19" s="87">
        <f>IF(S7=0,0,S7/TrAvia_act!S15*100)</f>
        <v>916.02388927727554</v>
      </c>
      <c r="T19" s="87">
        <f>IF(T7=0,0,T7/TrAvia_act!T15*100)</f>
        <v>974.10575959991058</v>
      </c>
      <c r="U19" s="87">
        <f>IF(U7=0,0,U7/TrAvia_act!U15*100)</f>
        <v>854.27515483410866</v>
      </c>
      <c r="V19" s="87">
        <f>IF(V7=0,0,V7/TrAvia_act!V15*100)</f>
        <v>1707.3468760162332</v>
      </c>
      <c r="W19" s="87">
        <f>IF(W7=0,0,W7/TrAvia_act!W15*100)</f>
        <v>2295.7792121646789</v>
      </c>
      <c r="X19" s="87">
        <f>IF(X7=0,0,X7/TrAvia_act!X15*100)</f>
        <v>1505.0503765089327</v>
      </c>
      <c r="Y19" s="87">
        <f>IF(Y7=0,0,Y7/TrAvia_act!Y15*100)</f>
        <v>1387.7417400776467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353.5481626372287</v>
      </c>
      <c r="C20" s="87">
        <f>IF(C8=0,0,C8/TrAvia_act!C16*100)</f>
        <v>347.03848144747974</v>
      </c>
      <c r="D20" s="87">
        <f>IF(D8=0,0,D8/TrAvia_act!D16*100)</f>
        <v>325.90231452145628</v>
      </c>
      <c r="E20" s="87">
        <f>IF(E8=0,0,E8/TrAvia_act!E16*100)</f>
        <v>291.96419378238591</v>
      </c>
      <c r="F20" s="87">
        <f>IF(F8=0,0,F8/TrAvia_act!F16*100)</f>
        <v>292.77324393629323</v>
      </c>
      <c r="G20" s="87">
        <f>IF(G8=0,0,G8/TrAvia_act!G16*100)</f>
        <v>326.05223191834455</v>
      </c>
      <c r="H20" s="87">
        <f>IF(H8=0,0,H8/TrAvia_act!H16*100)</f>
        <v>343.28949407551659</v>
      </c>
      <c r="I20" s="87">
        <f>IF(I8=0,0,I8/TrAvia_act!I16*100)</f>
        <v>343.74458239486955</v>
      </c>
      <c r="J20" s="87">
        <f>IF(J8=0,0,J8/TrAvia_act!J16*100)</f>
        <v>331.7194177089313</v>
      </c>
      <c r="K20" s="87">
        <f>IF(K8=0,0,K8/TrAvia_act!K16*100)</f>
        <v>315.22138983949043</v>
      </c>
      <c r="L20" s="87">
        <f>IF(L8=0,0,L8/TrAvia_act!L16*100)</f>
        <v>336.84640944906164</v>
      </c>
      <c r="M20" s="87">
        <f>IF(M8=0,0,M8/TrAvia_act!M16*100)</f>
        <v>352.65089616530958</v>
      </c>
      <c r="N20" s="87">
        <f>IF(N8=0,0,N8/TrAvia_act!N16*100)</f>
        <v>348.99735507736756</v>
      </c>
      <c r="O20" s="87">
        <f>IF(O8=0,0,O8/TrAvia_act!O16*100)</f>
        <v>350.14442095539431</v>
      </c>
      <c r="P20" s="87">
        <f>IF(P8=0,0,P8/TrAvia_act!P16*100)</f>
        <v>341.60871038834767</v>
      </c>
      <c r="Q20" s="87">
        <f>IF(Q8=0,0,Q8/TrAvia_act!Q16*100)</f>
        <v>363.36788871928991</v>
      </c>
      <c r="R20" s="87">
        <f>IF(R8=0,0,R8/TrAvia_act!R16*100)</f>
        <v>399.91609025110427</v>
      </c>
      <c r="S20" s="87">
        <f>IF(S8=0,0,S8/TrAvia_act!S16*100)</f>
        <v>395.74186116252491</v>
      </c>
      <c r="T20" s="87">
        <f>IF(T8=0,0,T8/TrAvia_act!T16*100)</f>
        <v>410.76860534446052</v>
      </c>
      <c r="U20" s="87">
        <f>IF(U8=0,0,U8/TrAvia_act!U16*100)</f>
        <v>417.93945458009142</v>
      </c>
      <c r="V20" s="87">
        <f>IF(V8=0,0,V8/TrAvia_act!V16*100)</f>
        <v>328.73498546312965</v>
      </c>
      <c r="W20" s="87">
        <f>IF(W8=0,0,W8/TrAvia_act!W16*100)</f>
        <v>402.71108765362447</v>
      </c>
      <c r="X20" s="87">
        <f>IF(X8=0,0,X8/TrAvia_act!X16*100)</f>
        <v>358.99129921945064</v>
      </c>
      <c r="Y20" s="87">
        <f>IF(Y8=0,0,Y8/TrAvia_act!Y16*100)</f>
        <v>425.56520263984839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568.90345269444504</v>
      </c>
      <c r="C21" s="87">
        <f>IF(C9=0,0,C9/TrAvia_act!C17*100)</f>
        <v>556.84348749650553</v>
      </c>
      <c r="D21" s="87">
        <f>IF(D9=0,0,D9/TrAvia_act!D17*100)</f>
        <v>523.42064602138498</v>
      </c>
      <c r="E21" s="87">
        <f>IF(E9=0,0,E9/TrAvia_act!E17*100)</f>
        <v>466.76468072540666</v>
      </c>
      <c r="F21" s="87">
        <f>IF(F9=0,0,F9/TrAvia_act!F17*100)</f>
        <v>467.208553474003</v>
      </c>
      <c r="G21" s="87">
        <f>IF(G9=0,0,G9/TrAvia_act!G17*100)</f>
        <v>469.05531496997997</v>
      </c>
      <c r="H21" s="87">
        <f>IF(H9=0,0,H9/TrAvia_act!H17*100)</f>
        <v>495.31390934361667</v>
      </c>
      <c r="I21" s="87">
        <f>IF(I9=0,0,I9/TrAvia_act!I17*100)</f>
        <v>526.92097344296633</v>
      </c>
      <c r="J21" s="87">
        <f>IF(J9=0,0,J9/TrAvia_act!J17*100)</f>
        <v>521.4525073466732</v>
      </c>
      <c r="K21" s="87">
        <f>IF(K9=0,0,K9/TrAvia_act!K17*100)</f>
        <v>512.66228507401286</v>
      </c>
      <c r="L21" s="87">
        <f>IF(L9=0,0,L9/TrAvia_act!L17*100)</f>
        <v>537.519586705351</v>
      </c>
      <c r="M21" s="87">
        <f>IF(M9=0,0,M9/TrAvia_act!M17*100)</f>
        <v>540.94136699585431</v>
      </c>
      <c r="N21" s="87">
        <f>IF(N9=0,0,N9/TrAvia_act!N17*100)</f>
        <v>545.39528993183501</v>
      </c>
      <c r="O21" s="87">
        <f>IF(O9=0,0,O9/TrAvia_act!O17*100)</f>
        <v>525.36565981840909</v>
      </c>
      <c r="P21" s="87">
        <f>IF(P9=0,0,P9/TrAvia_act!P17*100)</f>
        <v>492.28212673347554</v>
      </c>
      <c r="Q21" s="87">
        <f>IF(Q9=0,0,Q9/TrAvia_act!Q17*100)</f>
        <v>513.44863362142894</v>
      </c>
      <c r="R21" s="87">
        <f>IF(R9=0,0,R9/TrAvia_act!R17*100)</f>
        <v>561.24913066193142</v>
      </c>
      <c r="S21" s="87">
        <f>IF(S9=0,0,S9/TrAvia_act!S17*100)</f>
        <v>522.03525510510656</v>
      </c>
      <c r="T21" s="87">
        <f>IF(T9=0,0,T9/TrAvia_act!T17*100)</f>
        <v>518.99665061187636</v>
      </c>
      <c r="U21" s="87">
        <f>IF(U9=0,0,U9/TrAvia_act!U17*100)</f>
        <v>527.5787015009347</v>
      </c>
      <c r="V21" s="87">
        <f>IF(V9=0,0,V9/TrAvia_act!V17*100)</f>
        <v>672.65767476510496</v>
      </c>
      <c r="W21" s="87">
        <f>IF(W9=0,0,W9/TrAvia_act!W17*100)</f>
        <v>646.02680964441242</v>
      </c>
      <c r="X21" s="87">
        <f>IF(X9=0,0,X9/TrAvia_act!X17*100)</f>
        <v>526.47587971272367</v>
      </c>
      <c r="Y21" s="87">
        <f>IF(Y9=0,0,Y9/TrAvia_act!Y17*100)</f>
        <v>593.84681841303757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352.10552153695176</v>
      </c>
      <c r="C22" s="15">
        <f>IF(C10=0,0,C10/TrAvia_act!C18*100)</f>
        <v>343.32391657197354</v>
      </c>
      <c r="D22" s="15">
        <f>IF(D10=0,0,D10/TrAvia_act!D18*100)</f>
        <v>322.532048946305</v>
      </c>
      <c r="E22" s="15">
        <f>IF(E10=0,0,E10/TrAvia_act!E18*100)</f>
        <v>287.27867633814139</v>
      </c>
      <c r="F22" s="15">
        <f>IF(F10=0,0,F10/TrAvia_act!F18*100)</f>
        <v>292.44058900724019</v>
      </c>
      <c r="G22" s="15">
        <f>IF(G10=0,0,G10/TrAvia_act!G18*100)</f>
        <v>308.11035507036729</v>
      </c>
      <c r="H22" s="15">
        <f>IF(H10=0,0,H10/TrAvia_act!H18*100)</f>
        <v>328.91099243574035</v>
      </c>
      <c r="I22" s="15">
        <f>IF(I10=0,0,I10/TrAvia_act!I18*100)</f>
        <v>346.33395516876618</v>
      </c>
      <c r="J22" s="15">
        <f>IF(J10=0,0,J10/TrAvia_act!J18*100)</f>
        <v>346.29540985414025</v>
      </c>
      <c r="K22" s="15">
        <f>IF(K10=0,0,K10/TrAvia_act!K18*100)</f>
        <v>343.29624336367175</v>
      </c>
      <c r="L22" s="15">
        <f>IF(L10=0,0,L10/TrAvia_act!L18*100)</f>
        <v>369.44461588825038</v>
      </c>
      <c r="M22" s="15">
        <f>IF(M10=0,0,M10/TrAvia_act!M18*100)</f>
        <v>401.1402572687137</v>
      </c>
      <c r="N22" s="15">
        <f>IF(N10=0,0,N10/TrAvia_act!N18*100)</f>
        <v>427.17651906959065</v>
      </c>
      <c r="O22" s="15">
        <f>IF(O10=0,0,O10/TrAvia_act!O18*100)</f>
        <v>423.21199852314936</v>
      </c>
      <c r="P22" s="15">
        <f>IF(P10=0,0,P10/TrAvia_act!P18*100)</f>
        <v>403.34540787490442</v>
      </c>
      <c r="Q22" s="15">
        <f>IF(Q10=0,0,Q10/TrAvia_act!Q18*100)</f>
        <v>424.40897945898826</v>
      </c>
      <c r="R22" s="15">
        <f>IF(R10=0,0,R10/TrAvia_act!R18*100)</f>
        <v>480.05124143211322</v>
      </c>
      <c r="S22" s="15">
        <f>IF(S10=0,0,S10/TrAvia_act!S18*100)</f>
        <v>471.04813815088085</v>
      </c>
      <c r="T22" s="15">
        <f>IF(T10=0,0,T10/TrAvia_act!T18*100)</f>
        <v>496.03270980108675</v>
      </c>
      <c r="U22" s="15">
        <f>IF(U10=0,0,U10/TrAvia_act!U18*100)</f>
        <v>503.21778828965017</v>
      </c>
      <c r="V22" s="15">
        <f>IF(V10=0,0,V10/TrAvia_act!V18*100)</f>
        <v>413.73736589555301</v>
      </c>
      <c r="W22" s="15">
        <f>IF(W10=0,0,W10/TrAvia_act!W18*100)</f>
        <v>430.55482351709645</v>
      </c>
      <c r="X22" s="15">
        <f>IF(X10=0,0,X10/TrAvia_act!X18*100)</f>
        <v>360.80465941553001</v>
      </c>
      <c r="Y22" s="15">
        <f>IF(Y10=0,0,Y10/TrAvia_act!Y18*100)</f>
        <v>426.55420641171577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724.98779483114606</v>
      </c>
      <c r="C23" s="101">
        <f>IF(C11=0,0,C11/TrAvia_act!C19*100)</f>
        <v>762.56895797420952</v>
      </c>
      <c r="D23" s="101">
        <f>IF(D11=0,0,D11/TrAvia_act!D19*100)</f>
        <v>731.83064155833279</v>
      </c>
      <c r="E23" s="101">
        <f>IF(E11=0,0,E11/TrAvia_act!E19*100)</f>
        <v>742.94625707968339</v>
      </c>
      <c r="F23" s="101">
        <f>IF(F11=0,0,F11/TrAvia_act!F19*100)</f>
        <v>806.60442600409658</v>
      </c>
      <c r="G23" s="101">
        <f>IF(G11=0,0,G11/TrAvia_act!G19*100)</f>
        <v>804.32674652476305</v>
      </c>
      <c r="H23" s="101">
        <f>IF(H11=0,0,H11/TrAvia_act!H19*100)</f>
        <v>813.32504662553436</v>
      </c>
      <c r="I23" s="101">
        <f>IF(I11=0,0,I11/TrAvia_act!I19*100)</f>
        <v>804.87770016958768</v>
      </c>
      <c r="J23" s="101">
        <f>IF(J11=0,0,J11/TrAvia_act!J19*100)</f>
        <v>732.47131931874867</v>
      </c>
      <c r="K23" s="101">
        <f>IF(K11=0,0,K11/TrAvia_act!K19*100)</f>
        <v>717.75397085191253</v>
      </c>
      <c r="L23" s="101">
        <f>IF(L11=0,0,L11/TrAvia_act!L19*100)</f>
        <v>710.09250837878119</v>
      </c>
      <c r="M23" s="101">
        <f>IF(M11=0,0,M11/TrAvia_act!M19*100)</f>
        <v>872.78708137658919</v>
      </c>
      <c r="N23" s="101">
        <f>IF(N11=0,0,N11/TrAvia_act!N19*100)</f>
        <v>816.17516803328215</v>
      </c>
      <c r="O23" s="101">
        <f>IF(O11=0,0,O11/TrAvia_act!O19*100)</f>
        <v>904.70217470210241</v>
      </c>
      <c r="P23" s="101">
        <f>IF(P11=0,0,P11/TrAvia_act!P19*100)</f>
        <v>989.47057812676496</v>
      </c>
      <c r="Q23" s="101">
        <f>IF(Q11=0,0,Q11/TrAvia_act!Q19*100)</f>
        <v>1139.1937667048596</v>
      </c>
      <c r="R23" s="101">
        <f>IF(R11=0,0,R11/TrAvia_act!R19*100)</f>
        <v>1274.9407817310835</v>
      </c>
      <c r="S23" s="101">
        <f>IF(S11=0,0,S11/TrAvia_act!S19*100)</f>
        <v>1297.0672533486679</v>
      </c>
      <c r="T23" s="101">
        <f>IF(T11=0,0,T11/TrAvia_act!T19*100)</f>
        <v>1472.3314796943798</v>
      </c>
      <c r="U23" s="101">
        <f>IF(U11=0,0,U11/TrAvia_act!U19*100)</f>
        <v>1119.0183441409108</v>
      </c>
      <c r="V23" s="101">
        <f>IF(V11=0,0,V11/TrAvia_act!V19*100)</f>
        <v>2438.5666112272875</v>
      </c>
      <c r="W23" s="101">
        <f>IF(W11=0,0,W11/TrAvia_act!W19*100)</f>
        <v>3142.3526805663741</v>
      </c>
      <c r="X23" s="101">
        <f>IF(X11=0,0,X11/TrAvia_act!X19*100)</f>
        <v>2075.8461625160789</v>
      </c>
      <c r="Y23" s="101">
        <f>IF(Y11=0,0,Y11/TrAvia_act!Y19*100)</f>
        <v>1326.7786776223436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362.27831041573893</v>
      </c>
      <c r="C24" s="101">
        <f>IF(C12=0,0,C12/TrAvia_act!C20*100)</f>
        <v>352.58989445245936</v>
      </c>
      <c r="D24" s="101">
        <f>IF(D12=0,0,D12/TrAvia_act!D20*100)</f>
        <v>330.47750811003698</v>
      </c>
      <c r="E24" s="101">
        <f>IF(E12=0,0,E12/TrAvia_act!E20*100)</f>
        <v>293.73191374692283</v>
      </c>
      <c r="F24" s="101">
        <f>IF(F12=0,0,F12/TrAvia_act!F20*100)</f>
        <v>298.59539808048663</v>
      </c>
      <c r="G24" s="101">
        <f>IF(G12=0,0,G12/TrAvia_act!G20*100)</f>
        <v>330.5562893747416</v>
      </c>
      <c r="H24" s="101">
        <f>IF(H12=0,0,H12/TrAvia_act!H20*100)</f>
        <v>348.53327033364781</v>
      </c>
      <c r="I24" s="101">
        <f>IF(I12=0,0,I12/TrAvia_act!I20*100)</f>
        <v>356.68427010822927</v>
      </c>
      <c r="J24" s="101">
        <f>IF(J12=0,0,J12/TrAvia_act!J20*100)</f>
        <v>354.70570793657924</v>
      </c>
      <c r="K24" s="101">
        <f>IF(K12=0,0,K12/TrAvia_act!K20*100)</f>
        <v>348.35504407363612</v>
      </c>
      <c r="L24" s="101">
        <f>IF(L12=0,0,L12/TrAvia_act!L20*100)</f>
        <v>379.97912982254888</v>
      </c>
      <c r="M24" s="101">
        <f>IF(M12=0,0,M12/TrAvia_act!M20*100)</f>
        <v>410.36670653355651</v>
      </c>
      <c r="N24" s="101">
        <f>IF(N12=0,0,N12/TrAvia_act!N20*100)</f>
        <v>408.20651455214312</v>
      </c>
      <c r="O24" s="101">
        <f>IF(O12=0,0,O12/TrAvia_act!O20*100)</f>
        <v>415.74727321670258</v>
      </c>
      <c r="P24" s="101">
        <f>IF(P12=0,0,P12/TrAvia_act!P20*100)</f>
        <v>397.11725883422594</v>
      </c>
      <c r="Q24" s="101">
        <f>IF(Q12=0,0,Q12/TrAvia_act!Q20*100)</f>
        <v>398.07169562175613</v>
      </c>
      <c r="R24" s="101">
        <f>IF(R12=0,0,R12/TrAvia_act!R20*100)</f>
        <v>432.06044236400822</v>
      </c>
      <c r="S24" s="101">
        <f>IF(S12=0,0,S12/TrAvia_act!S20*100)</f>
        <v>429.95222460083227</v>
      </c>
      <c r="T24" s="101">
        <f>IF(T12=0,0,T12/TrAvia_act!T20*100)</f>
        <v>436.05294089523721</v>
      </c>
      <c r="U24" s="101">
        <f>IF(U12=0,0,U12/TrAvia_act!U20*100)</f>
        <v>428.74477803954647</v>
      </c>
      <c r="V24" s="101">
        <f>IF(V12=0,0,V12/TrAvia_act!V20*100)</f>
        <v>369.60498509967704</v>
      </c>
      <c r="W24" s="101">
        <f>IF(W12=0,0,W12/TrAvia_act!W20*100)</f>
        <v>451.1558002507843</v>
      </c>
      <c r="X24" s="101">
        <f>IF(X12=0,0,X12/TrAvia_act!X20*100)</f>
        <v>362.36472140387559</v>
      </c>
      <c r="Y24" s="101">
        <f>IF(Y12=0,0,Y12/TrAvia_act!Y20*100)</f>
        <v>425.63214440989509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329.75819903220128</v>
      </c>
      <c r="C25" s="88">
        <f>IF(C13=0,0,C13/TrAvia_act!C21*100)</f>
        <v>322.76778196718203</v>
      </c>
      <c r="D25" s="88">
        <f>IF(D13=0,0,D13/TrAvia_act!D21*100)</f>
        <v>303.39462478352544</v>
      </c>
      <c r="E25" s="88">
        <f>IF(E13=0,0,E13/TrAvia_act!E21*100)</f>
        <v>270.55466047684519</v>
      </c>
      <c r="F25" s="88">
        <f>IF(F13=0,0,F13/TrAvia_act!F21*100)</f>
        <v>270.81194609795261</v>
      </c>
      <c r="G25" s="88">
        <f>IF(G13=0,0,G13/TrAvia_act!G21*100)</f>
        <v>266.17866695954166</v>
      </c>
      <c r="H25" s="88">
        <f>IF(H13=0,0,H13/TrAvia_act!H21*100)</f>
        <v>286.33103717802101</v>
      </c>
      <c r="I25" s="88">
        <f>IF(I13=0,0,I13/TrAvia_act!I21*100)</f>
        <v>321.5345775508253</v>
      </c>
      <c r="J25" s="88">
        <f>IF(J13=0,0,J13/TrAvia_act!J21*100)</f>
        <v>324.96536959433865</v>
      </c>
      <c r="K25" s="88">
        <f>IF(K13=0,0,K13/TrAvia_act!K21*100)</f>
        <v>325.19136498682764</v>
      </c>
      <c r="L25" s="88">
        <f>IF(L13=0,0,L13/TrAvia_act!L21*100)</f>
        <v>342.12519362746986</v>
      </c>
      <c r="M25" s="88">
        <f>IF(M13=0,0,M13/TrAvia_act!M21*100)</f>
        <v>383.87089240752459</v>
      </c>
      <c r="N25" s="88">
        <f>IF(N13=0,0,N13/TrAvia_act!N21*100)</f>
        <v>447.9185399338636</v>
      </c>
      <c r="O25" s="88">
        <f>IF(O13=0,0,O13/TrAvia_act!O21*100)</f>
        <v>429.92543625466897</v>
      </c>
      <c r="P25" s="88">
        <f>IF(P13=0,0,P13/TrAvia_act!P21*100)</f>
        <v>409.34564951131318</v>
      </c>
      <c r="Q25" s="88">
        <f>IF(Q13=0,0,Q13/TrAvia_act!Q21*100)</f>
        <v>444.75354015760649</v>
      </c>
      <c r="R25" s="88">
        <f>IF(R13=0,0,R13/TrAvia_act!R21*100)</f>
        <v>512.12249858811902</v>
      </c>
      <c r="S25" s="88">
        <f>IF(S13=0,0,S13/TrAvia_act!S21*100)</f>
        <v>501.02755328989872</v>
      </c>
      <c r="T25" s="88">
        <f>IF(T13=0,0,T13/TrAvia_act!T21*100)</f>
        <v>533.28701133979609</v>
      </c>
      <c r="U25" s="88">
        <f>IF(U13=0,0,U13/TrAvia_act!U21*100)</f>
        <v>550.87829274567628</v>
      </c>
      <c r="V25" s="88">
        <f>IF(V13=0,0,V13/TrAvia_act!V21*100)</f>
        <v>480.96205451291081</v>
      </c>
      <c r="W25" s="88">
        <f>IF(W13=0,0,W13/TrAvia_act!W21*100)</f>
        <v>393.03069487490865</v>
      </c>
      <c r="X25" s="88">
        <f>IF(X13=0,0,X13/TrAvia_act!X21*100)</f>
        <v>357.90077080427079</v>
      </c>
      <c r="Y25" s="88">
        <f>IF(Y13=0,0,Y13/TrAvia_act!Y21*100)</f>
        <v>427.94310008077503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42.89562419567671</v>
      </c>
      <c r="C28" s="14">
        <f>IF(C6=0,0,C6/TrAvia_act!C4*1000)</f>
        <v>41.748821092867047</v>
      </c>
      <c r="D28" s="14">
        <f>IF(D6=0,0,D6/TrAvia_act!D4*1000)</f>
        <v>37.503357607609551</v>
      </c>
      <c r="E28" s="14">
        <f>IF(E6=0,0,E6/TrAvia_act!E4*1000)</f>
        <v>34.541184120259118</v>
      </c>
      <c r="F28" s="14">
        <f>IF(F6=0,0,F6/TrAvia_act!F4*1000)</f>
        <v>34.316352219368689</v>
      </c>
      <c r="G28" s="14">
        <f>IF(G6=0,0,G6/TrAvia_act!G4*1000)</f>
        <v>35.405396503991341</v>
      </c>
      <c r="H28" s="14">
        <f>IF(H6=0,0,H6/TrAvia_act!H4*1000)</f>
        <v>37.632721947328236</v>
      </c>
      <c r="I28" s="14">
        <f>IF(I6=0,0,I6/TrAvia_act!I4*1000)</f>
        <v>39.129375310910604</v>
      </c>
      <c r="J28" s="14">
        <f>IF(J6=0,0,J6/TrAvia_act!J4*1000)</f>
        <v>39.292264712794029</v>
      </c>
      <c r="K28" s="14">
        <f>IF(K6=0,0,K6/TrAvia_act!K4*1000)</f>
        <v>38.655528292177998</v>
      </c>
      <c r="L28" s="14">
        <f>IF(L6=0,0,L6/TrAvia_act!L4*1000)</f>
        <v>38.466889063070234</v>
      </c>
      <c r="M28" s="14">
        <f>IF(M6=0,0,M6/TrAvia_act!M4*1000)</f>
        <v>38.508778137341949</v>
      </c>
      <c r="N28" s="14">
        <f>IF(N6=0,0,N6/TrAvia_act!N4*1000)</f>
        <v>36.596503944009591</v>
      </c>
      <c r="O28" s="14">
        <f>IF(O6=0,0,O6/TrAvia_act!O4*1000)</f>
        <v>34.691736055879623</v>
      </c>
      <c r="P28" s="14">
        <f>IF(P6=0,0,P6/TrAvia_act!P4*1000)</f>
        <v>32.317955255303318</v>
      </c>
      <c r="Q28" s="14">
        <f>IF(Q6=0,0,Q6/TrAvia_act!Q4*1000)</f>
        <v>33.692656181997158</v>
      </c>
      <c r="R28" s="14">
        <f>IF(R6=0,0,R6/TrAvia_act!R4*1000)</f>
        <v>36.674387745989485</v>
      </c>
      <c r="S28" s="14">
        <f>IF(S6=0,0,S6/TrAvia_act!S4*1000)</f>
        <v>33.921033829561374</v>
      </c>
      <c r="T28" s="14">
        <f>IF(T6=0,0,T6/TrAvia_act!T4*1000)</f>
        <v>32.741533471334321</v>
      </c>
      <c r="U28" s="14">
        <f>IF(U6=0,0,U6/TrAvia_act!U4*1000)</f>
        <v>31.578180978609268</v>
      </c>
      <c r="V28" s="14">
        <f>IF(V6=0,0,V6/TrAvia_act!V4*1000)</f>
        <v>42.745818585471028</v>
      </c>
      <c r="W28" s="14">
        <f>IF(W6=0,0,W6/TrAvia_act!W4*1000)</f>
        <v>45.214946171045973</v>
      </c>
      <c r="X28" s="14">
        <f>IF(X6=0,0,X6/TrAvia_act!X4*1000)</f>
        <v>28.716040766857812</v>
      </c>
      <c r="Y28" s="14">
        <f>IF(Y6=0,0,Y6/TrAvia_act!Y4*1000)</f>
        <v>30.285904812990598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221.48772612321343</v>
      </c>
      <c r="C29" s="87">
        <f>IF(C7=0,0,C7/TrAvia_act!C5*1000)</f>
        <v>203.71308473833946</v>
      </c>
      <c r="D29" s="87">
        <f>IF(D7=0,0,D7/TrAvia_act!D5*1000)</f>
        <v>206.07606037835296</v>
      </c>
      <c r="E29" s="87">
        <f>IF(E7=0,0,E7/TrAvia_act!E5*1000)</f>
        <v>194.23909409622587</v>
      </c>
      <c r="F29" s="87">
        <f>IF(F7=0,0,F7/TrAvia_act!F5*1000)</f>
        <v>197.48698749933234</v>
      </c>
      <c r="G29" s="87">
        <f>IF(G7=0,0,G7/TrAvia_act!G5*1000)</f>
        <v>199.90114213480521</v>
      </c>
      <c r="H29" s="87">
        <f>IF(H7=0,0,H7/TrAvia_act!H5*1000)</f>
        <v>167.1634968442809</v>
      </c>
      <c r="I29" s="87">
        <f>IF(I7=0,0,I7/TrAvia_act!I5*1000)</f>
        <v>158.76285084723776</v>
      </c>
      <c r="J29" s="87">
        <f>IF(J7=0,0,J7/TrAvia_act!J5*1000)</f>
        <v>145.97850213828093</v>
      </c>
      <c r="K29" s="87">
        <f>IF(K7=0,0,K7/TrAvia_act!K5*1000)</f>
        <v>143.45748164399197</v>
      </c>
      <c r="L29" s="87">
        <f>IF(L7=0,0,L7/TrAvia_act!L5*1000)</f>
        <v>128.83085139081948</v>
      </c>
      <c r="M29" s="87">
        <f>IF(M7=0,0,M7/TrAvia_act!M5*1000)</f>
        <v>162.80310800178444</v>
      </c>
      <c r="N29" s="87">
        <f>IF(N7=0,0,N7/TrAvia_act!N5*1000)</f>
        <v>164.8367762065354</v>
      </c>
      <c r="O29" s="87">
        <f>IF(O7=0,0,O7/TrAvia_act!O5*1000)</f>
        <v>171.58205015647971</v>
      </c>
      <c r="P29" s="87">
        <f>IF(P7=0,0,P7/TrAvia_act!P5*1000)</f>
        <v>177.08120639531609</v>
      </c>
      <c r="Q29" s="87">
        <f>IF(Q7=0,0,Q7/TrAvia_act!Q5*1000)</f>
        <v>195.1655295895313</v>
      </c>
      <c r="R29" s="87">
        <f>IF(R7=0,0,R7/TrAvia_act!R5*1000)</f>
        <v>199.71363906020667</v>
      </c>
      <c r="S29" s="87">
        <f>IF(S7=0,0,S7/TrAvia_act!S5*1000)</f>
        <v>177.38425512884234</v>
      </c>
      <c r="T29" s="87">
        <f>IF(T7=0,0,T7/TrAvia_act!T5*1000)</f>
        <v>169.22087055229397</v>
      </c>
      <c r="U29" s="87">
        <f>IF(U7=0,0,U7/TrAvia_act!U5*1000)</f>
        <v>147.49831531650509</v>
      </c>
      <c r="V29" s="87">
        <f>IF(V7=0,0,V7/TrAvia_act!V5*1000)</f>
        <v>370.87794430927897</v>
      </c>
      <c r="W29" s="87">
        <f>IF(W7=0,0,W7/TrAvia_act!W5*1000)</f>
        <v>502.49257658209734</v>
      </c>
      <c r="X29" s="87">
        <f>IF(X7=0,0,X7/TrAvia_act!X5*1000)</f>
        <v>251.13262663436987</v>
      </c>
      <c r="Y29" s="87">
        <f>IF(Y7=0,0,Y7/TrAvia_act!Y5*1000)</f>
        <v>226.93471879533053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44.997791697820517</v>
      </c>
      <c r="C30" s="87">
        <f>IF(C8=0,0,C8/TrAvia_act!C6*1000)</f>
        <v>43.187218336181154</v>
      </c>
      <c r="D30" s="87">
        <f>IF(D8=0,0,D8/TrAvia_act!D6*1000)</f>
        <v>39.687707208812661</v>
      </c>
      <c r="E30" s="87">
        <f>IF(E8=0,0,E8/TrAvia_act!E6*1000)</f>
        <v>35.736046526702836</v>
      </c>
      <c r="F30" s="87">
        <f>IF(F8=0,0,F8/TrAvia_act!F6*1000)</f>
        <v>35.958525456057849</v>
      </c>
      <c r="G30" s="87">
        <f>IF(G8=0,0,G8/TrAvia_act!G6*1000)</f>
        <v>38.746691861319121</v>
      </c>
      <c r="H30" s="87">
        <f>IF(H8=0,0,H8/TrAvia_act!H6*1000)</f>
        <v>39.497658405731066</v>
      </c>
      <c r="I30" s="87">
        <f>IF(I8=0,0,I8/TrAvia_act!I6*1000)</f>
        <v>40.713171215132384</v>
      </c>
      <c r="J30" s="87">
        <f>IF(J8=0,0,J8/TrAvia_act!J6*1000)</f>
        <v>40.706112848239094</v>
      </c>
      <c r="K30" s="87">
        <f>IF(K8=0,0,K8/TrAvia_act!K6*1000)</f>
        <v>38.007712934223761</v>
      </c>
      <c r="L30" s="87">
        <f>IF(L8=0,0,L8/TrAvia_act!L6*1000)</f>
        <v>38.227882669290423</v>
      </c>
      <c r="M30" s="87">
        <f>IF(M8=0,0,M8/TrAvia_act!M6*1000)</f>
        <v>37.110805288082183</v>
      </c>
      <c r="N30" s="87">
        <f>IF(N8=0,0,N8/TrAvia_act!N6*1000)</f>
        <v>34.745475244360946</v>
      </c>
      <c r="O30" s="87">
        <f>IF(O8=0,0,O8/TrAvia_act!O6*1000)</f>
        <v>33.253935593782309</v>
      </c>
      <c r="P30" s="87">
        <f>IF(P8=0,0,P8/TrAvia_act!P6*1000)</f>
        <v>32.190139594200808</v>
      </c>
      <c r="Q30" s="87">
        <f>IF(Q8=0,0,Q8/TrAvia_act!Q6*1000)</f>
        <v>33.922772737016331</v>
      </c>
      <c r="R30" s="87">
        <f>IF(R8=0,0,R8/TrAvia_act!R6*1000)</f>
        <v>36.610676036981907</v>
      </c>
      <c r="S30" s="87">
        <f>IF(S8=0,0,S8/TrAvia_act!S6*1000)</f>
        <v>34.94008108177497</v>
      </c>
      <c r="T30" s="87">
        <f>IF(T8=0,0,T8/TrAvia_act!T6*1000)</f>
        <v>35.499943186569617</v>
      </c>
      <c r="U30" s="87">
        <f>IF(U8=0,0,U8/TrAvia_act!U6*1000)</f>
        <v>34.285882150909245</v>
      </c>
      <c r="V30" s="87">
        <f>IF(V8=0,0,V8/TrAvia_act!V6*1000)</f>
        <v>34.004855823374911</v>
      </c>
      <c r="W30" s="87">
        <f>IF(W8=0,0,W8/TrAvia_act!W6*1000)</f>
        <v>39.129002320430359</v>
      </c>
      <c r="X30" s="87">
        <f>IF(X8=0,0,X8/TrAvia_act!X6*1000)</f>
        <v>28.420235152943615</v>
      </c>
      <c r="Y30" s="87">
        <f>IF(Y8=0,0,Y8/TrAvia_act!Y6*1000)</f>
        <v>31.952633448227864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37.22394194332049</v>
      </c>
      <c r="C31" s="87">
        <f>IF(C9=0,0,C9/TrAvia_act!C7*1000)</f>
        <v>36.920870513660169</v>
      </c>
      <c r="D31" s="87">
        <f>IF(D9=0,0,D9/TrAvia_act!D7*1000)</f>
        <v>32.114531607483926</v>
      </c>
      <c r="E31" s="87">
        <f>IF(E9=0,0,E9/TrAvia_act!E7*1000)</f>
        <v>29.990466712031523</v>
      </c>
      <c r="F31" s="87">
        <f>IF(F9=0,0,F9/TrAvia_act!F7*1000)</f>
        <v>30.044934244363258</v>
      </c>
      <c r="G31" s="87">
        <f>IF(G9=0,0,G9/TrAvia_act!G7*1000)</f>
        <v>30.306989940426917</v>
      </c>
      <c r="H31" s="87">
        <f>IF(H9=0,0,H9/TrAvia_act!H7*1000)</f>
        <v>33.33241700086608</v>
      </c>
      <c r="I31" s="87">
        <f>IF(I9=0,0,I9/TrAvia_act!I7*1000)</f>
        <v>35.000129962331535</v>
      </c>
      <c r="J31" s="87">
        <f>IF(J9=0,0,J9/TrAvia_act!J7*1000)</f>
        <v>35.466906671209948</v>
      </c>
      <c r="K31" s="87">
        <f>IF(K9=0,0,K9/TrAvia_act!K7*1000)</f>
        <v>36.215198270312541</v>
      </c>
      <c r="L31" s="87">
        <f>IF(L9=0,0,L9/TrAvia_act!L7*1000)</f>
        <v>36.083722228755761</v>
      </c>
      <c r="M31" s="87">
        <f>IF(M9=0,0,M9/TrAvia_act!M7*1000)</f>
        <v>37.023179683350357</v>
      </c>
      <c r="N31" s="87">
        <f>IF(N9=0,0,N9/TrAvia_act!N7*1000)</f>
        <v>35.68178868203244</v>
      </c>
      <c r="O31" s="87">
        <f>IF(O9=0,0,O9/TrAvia_act!O7*1000)</f>
        <v>33.365468245180779</v>
      </c>
      <c r="P31" s="87">
        <f>IF(P9=0,0,P9/TrAvia_act!P7*1000)</f>
        <v>30.106096928752187</v>
      </c>
      <c r="Q31" s="87">
        <f>IF(Q9=0,0,Q9/TrAvia_act!Q7*1000)</f>
        <v>31.211472466815991</v>
      </c>
      <c r="R31" s="87">
        <f>IF(R9=0,0,R9/TrAvia_act!R7*1000)</f>
        <v>34.410759225324973</v>
      </c>
      <c r="S31" s="87">
        <f>IF(S9=0,0,S9/TrAvia_act!S7*1000)</f>
        <v>30.942609454556624</v>
      </c>
      <c r="T31" s="87">
        <f>IF(T9=0,0,T9/TrAvia_act!T7*1000)</f>
        <v>28.754337097709399</v>
      </c>
      <c r="U31" s="87">
        <f>IF(U9=0,0,U9/TrAvia_act!U7*1000)</f>
        <v>28.271994877017697</v>
      </c>
      <c r="V31" s="87">
        <f>IF(V9=0,0,V9/TrAvia_act!V7*1000)</f>
        <v>47.506866740078195</v>
      </c>
      <c r="W31" s="87">
        <f>IF(W9=0,0,W9/TrAvia_act!W7*1000)</f>
        <v>47.953417195234962</v>
      </c>
      <c r="X31" s="87">
        <f>IF(X9=0,0,X9/TrAvia_act!X7*1000)</f>
        <v>27.512606690070058</v>
      </c>
      <c r="Y31" s="87">
        <f>IF(Y9=0,0,Y9/TrAvia_act!Y7*1000)</f>
        <v>27.836624468861885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65.376715268360442</v>
      </c>
      <c r="C32" s="15">
        <f>IF(C10=0,0,C10/TrAvia_act!C8*1000)</f>
        <v>62.038330322978794</v>
      </c>
      <c r="D32" s="15">
        <f>IF(D10=0,0,D10/TrAvia_act!D8*1000)</f>
        <v>64.106274234967842</v>
      </c>
      <c r="E32" s="15">
        <f>IF(E10=0,0,E10/TrAvia_act!E8*1000)</f>
        <v>59.895281592392877</v>
      </c>
      <c r="F32" s="15">
        <f>IF(F10=0,0,F10/TrAvia_act!F8*1000)</f>
        <v>71.884221593157719</v>
      </c>
      <c r="G32" s="15">
        <f>IF(G10=0,0,G10/TrAvia_act!G8*1000)</f>
        <v>72.141841059843955</v>
      </c>
      <c r="H32" s="15">
        <f>IF(H10=0,0,H10/TrAvia_act!H8*1000)</f>
        <v>85.481393015846777</v>
      </c>
      <c r="I32" s="15">
        <f>IF(I10=0,0,I10/TrAvia_act!I8*1000)</f>
        <v>91.924997449976715</v>
      </c>
      <c r="J32" s="15">
        <f>IF(J10=0,0,J10/TrAvia_act!J8*1000)</f>
        <v>94.312940382794608</v>
      </c>
      <c r="K32" s="15">
        <f>IF(K10=0,0,K10/TrAvia_act!K8*1000)</f>
        <v>90.172722738389055</v>
      </c>
      <c r="L32" s="15">
        <f>IF(L10=0,0,L10/TrAvia_act!L8*1000)</f>
        <v>95.235533439399447</v>
      </c>
      <c r="M32" s="15">
        <f>IF(M10=0,0,M10/TrAvia_act!M8*1000)</f>
        <v>91.89070455169653</v>
      </c>
      <c r="N32" s="15">
        <f>IF(N10=0,0,N10/TrAvia_act!N8*1000)</f>
        <v>84.535926061897186</v>
      </c>
      <c r="O32" s="15">
        <f>IF(O10=0,0,O10/TrAvia_act!O8*1000)</f>
        <v>80.639287459942707</v>
      </c>
      <c r="P32" s="15">
        <f>IF(P10=0,0,P10/TrAvia_act!P8*1000)</f>
        <v>66.563922331621185</v>
      </c>
      <c r="Q32" s="15">
        <f>IF(Q10=0,0,Q10/TrAvia_act!Q8*1000)</f>
        <v>64.517952121056069</v>
      </c>
      <c r="R32" s="15">
        <f>IF(R10=0,0,R10/TrAvia_act!R8*1000)</f>
        <v>64.631940606682747</v>
      </c>
      <c r="S32" s="15">
        <f>IF(S10=0,0,S10/TrAvia_act!S8*1000)</f>
        <v>66.24961736623149</v>
      </c>
      <c r="T32" s="15">
        <f>IF(T10=0,0,T10/TrAvia_act!T8*1000)</f>
        <v>64.663720700211599</v>
      </c>
      <c r="U32" s="15">
        <f>IF(U10=0,0,U10/TrAvia_act!U8*1000)</f>
        <v>64.18820696768401</v>
      </c>
      <c r="V32" s="15">
        <f>IF(V10=0,0,V10/TrAvia_act!V8*1000)</f>
        <v>94.199595205564322</v>
      </c>
      <c r="W32" s="15">
        <f>IF(W10=0,0,W10/TrAvia_act!W8*1000)</f>
        <v>107.78774928283639</v>
      </c>
      <c r="X32" s="15">
        <f>IF(X10=0,0,X10/TrAvia_act!X8*1000)</f>
        <v>81.824501757894311</v>
      </c>
      <c r="Y32" s="15">
        <f>IF(Y10=0,0,Y10/TrAvia_act!Y8*1000)</f>
        <v>91.299635980774241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674.30816318307268</v>
      </c>
      <c r="C33" s="101">
        <f>IF(C11=0,0,C11/TrAvia_act!C9*1000)</f>
        <v>714.71283166383967</v>
      </c>
      <c r="D33" s="101">
        <f>IF(D11=0,0,D11/TrAvia_act!D9*1000)</f>
        <v>667.00851299510009</v>
      </c>
      <c r="E33" s="101">
        <f>IF(E11=0,0,E11/TrAvia_act!E9*1000)</f>
        <v>636.59302969917405</v>
      </c>
      <c r="F33" s="101">
        <f>IF(F11=0,0,F11/TrAvia_act!F9*1000)</f>
        <v>733.96284546664015</v>
      </c>
      <c r="G33" s="101">
        <f>IF(G11=0,0,G11/TrAvia_act!G9*1000)</f>
        <v>747.86954539750502</v>
      </c>
      <c r="H33" s="101">
        <f>IF(H11=0,0,H11/TrAvia_act!H9*1000)</f>
        <v>786.19706611763274</v>
      </c>
      <c r="I33" s="101">
        <f>IF(I11=0,0,I11/TrAvia_act!I9*1000)</f>
        <v>780.93104972399487</v>
      </c>
      <c r="J33" s="101">
        <f>IF(J11=0,0,J11/TrAvia_act!J9*1000)</f>
        <v>738.68031716914516</v>
      </c>
      <c r="K33" s="101">
        <f>IF(K11=0,0,K11/TrAvia_act!K9*1000)</f>
        <v>717.6397249967049</v>
      </c>
      <c r="L33" s="101">
        <f>IF(L11=0,0,L11/TrAvia_act!L9*1000)</f>
        <v>663.80459165921832</v>
      </c>
      <c r="M33" s="101">
        <f>IF(M11=0,0,M11/TrAvia_act!M9*1000)</f>
        <v>798.88371540032938</v>
      </c>
      <c r="N33" s="101">
        <f>IF(N11=0,0,N11/TrAvia_act!N9*1000)</f>
        <v>710.28657155153633</v>
      </c>
      <c r="O33" s="101">
        <f>IF(O11=0,0,O11/TrAvia_act!O9*1000)</f>
        <v>749.60288755897159</v>
      </c>
      <c r="P33" s="101">
        <f>IF(P11=0,0,P11/TrAvia_act!P9*1000)</f>
        <v>733.21818252475907</v>
      </c>
      <c r="Q33" s="101">
        <f>IF(Q11=0,0,Q11/TrAvia_act!Q9*1000)</f>
        <v>852.39805233974266</v>
      </c>
      <c r="R33" s="101">
        <f>IF(R11=0,0,R11/TrAvia_act!R9*1000)</f>
        <v>827.1564491891146</v>
      </c>
      <c r="S33" s="101">
        <f>IF(S11=0,0,S11/TrAvia_act!S9*1000)</f>
        <v>912.86354847218286</v>
      </c>
      <c r="T33" s="101">
        <f>IF(T11=0,0,T11/TrAvia_act!T9*1000)</f>
        <v>1020.0038426177978</v>
      </c>
      <c r="U33" s="101">
        <f>IF(U11=0,0,U11/TrAvia_act!U9*1000)</f>
        <v>695.44205039578992</v>
      </c>
      <c r="V33" s="101">
        <f>IF(V11=0,0,V11/TrAvia_act!V9*1000)</f>
        <v>1640.038937940915</v>
      </c>
      <c r="W33" s="101">
        <f>IF(W11=0,0,W11/TrAvia_act!W9*1000)</f>
        <v>2165.5627547665167</v>
      </c>
      <c r="X33" s="101">
        <f>IF(X11=0,0,X11/TrAvia_act!X9*1000)</f>
        <v>1390.7890228105337</v>
      </c>
      <c r="Y33" s="101">
        <f>IF(Y11=0,0,Y11/TrAvia_act!Y9*1000)</f>
        <v>880.97862037695927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144.79534385685076</v>
      </c>
      <c r="C34" s="101">
        <f>IF(C12=0,0,C12/TrAvia_act!C10*1000)</f>
        <v>134.05828102068034</v>
      </c>
      <c r="D34" s="101">
        <f>IF(D12=0,0,D12/TrAvia_act!D10*1000)</f>
        <v>132.56085170969249</v>
      </c>
      <c r="E34" s="101">
        <f>IF(E12=0,0,E12/TrAvia_act!E10*1000)</f>
        <v>113.92363749223239</v>
      </c>
      <c r="F34" s="101">
        <f>IF(F12=0,0,F12/TrAvia_act!F10*1000)</f>
        <v>132.40614854595577</v>
      </c>
      <c r="G34" s="101">
        <f>IF(G12=0,0,G12/TrAvia_act!G10*1000)</f>
        <v>147.90646583576367</v>
      </c>
      <c r="H34" s="101">
        <f>IF(H12=0,0,H12/TrAvia_act!H10*1000)</f>
        <v>175.6029021038876</v>
      </c>
      <c r="I34" s="101">
        <f>IF(I12=0,0,I12/TrAvia_act!I10*1000)</f>
        <v>188.06790789057169</v>
      </c>
      <c r="J34" s="101">
        <f>IF(J12=0,0,J12/TrAvia_act!J10*1000)</f>
        <v>193.04169337126976</v>
      </c>
      <c r="K34" s="101">
        <f>IF(K12=0,0,K12/TrAvia_act!K10*1000)</f>
        <v>184.47719603611418</v>
      </c>
      <c r="L34" s="101">
        <f>IF(L12=0,0,L12/TrAvia_act!L10*1000)</f>
        <v>199.96361911931879</v>
      </c>
      <c r="M34" s="101">
        <f>IF(M12=0,0,M12/TrAvia_act!M10*1000)</f>
        <v>209.90425305843613</v>
      </c>
      <c r="N34" s="101">
        <f>IF(N12=0,0,N12/TrAvia_act!N10*1000)</f>
        <v>195.13825554898384</v>
      </c>
      <c r="O34" s="101">
        <f>IF(O12=0,0,O12/TrAvia_act!O10*1000)</f>
        <v>196.1086827586085</v>
      </c>
      <c r="P34" s="101">
        <f>IF(P12=0,0,P12/TrAvia_act!P10*1000)</f>
        <v>161.58573999382745</v>
      </c>
      <c r="Q34" s="101">
        <f>IF(Q12=0,0,Q12/TrAvia_act!Q10*1000)</f>
        <v>161.48468440511152</v>
      </c>
      <c r="R34" s="101">
        <f>IF(R12=0,0,R12/TrAvia_act!R10*1000)</f>
        <v>161.61674367787288</v>
      </c>
      <c r="S34" s="101">
        <f>IF(S12=0,0,S12/TrAvia_act!S10*1000)</f>
        <v>173.72739392036311</v>
      </c>
      <c r="T34" s="101">
        <f>IF(T12=0,0,T12/TrAvia_act!T10*1000)</f>
        <v>172.04062753491985</v>
      </c>
      <c r="U34" s="101">
        <f>IF(U12=0,0,U12/TrAvia_act!U10*1000)</f>
        <v>157.47854501766545</v>
      </c>
      <c r="V34" s="101">
        <f>IF(V12=0,0,V12/TrAvia_act!V10*1000)</f>
        <v>161.049952941084</v>
      </c>
      <c r="W34" s="101">
        <f>IF(W12=0,0,W12/TrAvia_act!W10*1000)</f>
        <v>201.99225748232979</v>
      </c>
      <c r="X34" s="101">
        <f>IF(X12=0,0,X12/TrAvia_act!X10*1000)</f>
        <v>163.22080555195356</v>
      </c>
      <c r="Y34" s="101">
        <f>IF(Y12=0,0,Y12/TrAvia_act!Y10*1000)</f>
        <v>189.20887309572922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35.688208238067432</v>
      </c>
      <c r="C35" s="88">
        <f>IF(C13=0,0,C13/TrAvia_act!C11*1000)</f>
        <v>33.334270335212885</v>
      </c>
      <c r="D35" s="88">
        <f>IF(D13=0,0,D13/TrAvia_act!D11*1000)</f>
        <v>33.18596313568564</v>
      </c>
      <c r="E35" s="88">
        <f>IF(E13=0,0,E13/TrAvia_act!E11*1000)</f>
        <v>32.569860422382938</v>
      </c>
      <c r="F35" s="88">
        <f>IF(F13=0,0,F13/TrAvia_act!F11*1000)</f>
        <v>33.589102201646959</v>
      </c>
      <c r="G35" s="88">
        <f>IF(G13=0,0,G13/TrAvia_act!G11*1000)</f>
        <v>35.105903367434593</v>
      </c>
      <c r="H35" s="88">
        <f>IF(H13=0,0,H13/TrAvia_act!H11*1000)</f>
        <v>39.064270175192711</v>
      </c>
      <c r="I35" s="88">
        <f>IF(I13=0,0,I13/TrAvia_act!I11*1000)</f>
        <v>44.611311745501574</v>
      </c>
      <c r="J35" s="88">
        <f>IF(J13=0,0,J13/TrAvia_act!J11*1000)</f>
        <v>46.014419328033469</v>
      </c>
      <c r="K35" s="88">
        <f>IF(K13=0,0,K13/TrAvia_act!K11*1000)</f>
        <v>40.828482889569059</v>
      </c>
      <c r="L35" s="88">
        <f>IF(L13=0,0,L13/TrAvia_act!L11*1000)</f>
        <v>42.253748404763037</v>
      </c>
      <c r="M35" s="88">
        <f>IF(M13=0,0,M13/TrAvia_act!M11*1000)</f>
        <v>48.303542490753209</v>
      </c>
      <c r="N35" s="88">
        <f>IF(N13=0,0,N13/TrAvia_act!N11*1000)</f>
        <v>51.902433480706947</v>
      </c>
      <c r="O35" s="88">
        <f>IF(O13=0,0,O13/TrAvia_act!O11*1000)</f>
        <v>49.265473741266121</v>
      </c>
      <c r="P35" s="88">
        <f>IF(P13=0,0,P13/TrAvia_act!P11*1000)</f>
        <v>40.351897796838301</v>
      </c>
      <c r="Q35" s="88">
        <f>IF(Q13=0,0,Q13/TrAvia_act!Q11*1000)</f>
        <v>44.925030935792826</v>
      </c>
      <c r="R35" s="88">
        <f>IF(R13=0,0,R13/TrAvia_act!R11*1000)</f>
        <v>48.031272819678293</v>
      </c>
      <c r="S35" s="88">
        <f>IF(S13=0,0,S13/TrAvia_act!S11*1000)</f>
        <v>47.541676008616754</v>
      </c>
      <c r="T35" s="88">
        <f>IF(T13=0,0,T13/TrAvia_act!T11*1000)</f>
        <v>48.948554346431777</v>
      </c>
      <c r="U35" s="88">
        <f>IF(U13=0,0,U13/TrAvia_act!U11*1000)</f>
        <v>49.540390125215794</v>
      </c>
      <c r="V35" s="88">
        <f>IF(V13=0,0,V13/TrAvia_act!V11*1000)</f>
        <v>63.294093056168563</v>
      </c>
      <c r="W35" s="88">
        <f>IF(W13=0,0,W13/TrAvia_act!W11*1000)</f>
        <v>54.794794876009483</v>
      </c>
      <c r="X35" s="88">
        <f>IF(X13=0,0,X13/TrAvia_act!X11*1000)</f>
        <v>43.570223700803155</v>
      </c>
      <c r="Y35" s="88">
        <f>IF(Y13=0,0,Y13/TrAvia_act!Y11*1000)</f>
        <v>48.975506783174986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4445.8728694693</v>
      </c>
      <c r="C37" s="62">
        <f>IF(C3=0,0,C3/TrAvia_act!C23*1000000)</f>
        <v>4495.1449473105895</v>
      </c>
      <c r="D37" s="62">
        <f>IF(D3=0,0,D3/TrAvia_act!D23*1000000)</f>
        <v>4177.2382383436398</v>
      </c>
      <c r="E37" s="62">
        <f>IF(E3=0,0,E3/TrAvia_act!E23*1000000)</f>
        <v>3788.8549740576195</v>
      </c>
      <c r="F37" s="62">
        <f>IF(F3=0,0,F3/TrAvia_act!F23*1000000)</f>
        <v>3995.8823518632298</v>
      </c>
      <c r="G37" s="62">
        <f>IF(G3=0,0,G3/TrAvia_act!G23*1000000)</f>
        <v>4381.9216730685221</v>
      </c>
      <c r="H37" s="62">
        <f>IF(H3=0,0,H3/TrAvia_act!H23*1000000)</f>
        <v>4570.0110523832545</v>
      </c>
      <c r="I37" s="62">
        <f>IF(I3=0,0,I3/TrAvia_act!I23*1000000)</f>
        <v>4543.420188668777</v>
      </c>
      <c r="J37" s="62">
        <f>IF(J3=0,0,J3/TrAvia_act!J23*1000000)</f>
        <v>4359.1630112448111</v>
      </c>
      <c r="K37" s="62">
        <f>IF(K3=0,0,K3/TrAvia_act!K23*1000000)</f>
        <v>4157.7552082813409</v>
      </c>
      <c r="L37" s="62">
        <f>IF(L3=0,0,L3/TrAvia_act!L23*1000000)</f>
        <v>4405.574878213758</v>
      </c>
      <c r="M37" s="62">
        <f>IF(M3=0,0,M3/TrAvia_act!M23*1000000)</f>
        <v>4722.8697909936345</v>
      </c>
      <c r="N37" s="62">
        <f>IF(N3=0,0,N3/TrAvia_act!N23*1000000)</f>
        <v>4720.6503358818072</v>
      </c>
      <c r="O37" s="62">
        <f>IF(O3=0,0,O3/TrAvia_act!O23*1000000)</f>
        <v>4710.5442906301851</v>
      </c>
      <c r="P37" s="62">
        <f>IF(P3=0,0,P3/TrAvia_act!P23*1000000)</f>
        <v>4693.6328526976558</v>
      </c>
      <c r="Q37" s="62">
        <f>IF(Q3=0,0,Q3/TrAvia_act!Q23*1000000)</f>
        <v>5120.2466091334563</v>
      </c>
      <c r="R37" s="62">
        <f>IF(R3=0,0,R3/TrAvia_act!R23*1000000)</f>
        <v>5692.0827631785232</v>
      </c>
      <c r="S37" s="62">
        <f>IF(S3=0,0,S3/TrAvia_act!S23*1000000)</f>
        <v>5482.4199445554723</v>
      </c>
      <c r="T37" s="62">
        <f>IF(T3=0,0,T3/TrAvia_act!T23*1000000)</f>
        <v>5823.5232658189097</v>
      </c>
      <c r="U37" s="62">
        <f>IF(U3=0,0,U3/TrAvia_act!U23*1000000)</f>
        <v>6177.5436327278849</v>
      </c>
      <c r="V37" s="62">
        <f>IF(V3=0,0,V3/TrAvia_act!V23*1000000)</f>
        <v>5894.910675150255</v>
      </c>
      <c r="W37" s="62">
        <f>IF(W3=0,0,W3/TrAvia_act!W23*1000000)</f>
        <v>6714.1220508201295</v>
      </c>
      <c r="X37" s="62">
        <f>IF(X3=0,0,X3/TrAvia_act!X23*1000000)</f>
        <v>5687.2222296559439</v>
      </c>
      <c r="Y37" s="62">
        <f>IF(Y3=0,0,Y3/TrAvia_act!Y23*1000000)</f>
        <v>6803.1941475662034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4464.8694985753154</v>
      </c>
      <c r="C38" s="14">
        <f>IF(C6=0,0,C6/TrAvia_act!C24*1000000)</f>
        <v>4514.5821746307929</v>
      </c>
      <c r="D38" s="14">
        <f>IF(D6=0,0,D6/TrAvia_act!D24*1000000)</f>
        <v>4199.4086945521367</v>
      </c>
      <c r="E38" s="14">
        <f>IF(E6=0,0,E6/TrAvia_act!E24*1000000)</f>
        <v>3810.3724659103327</v>
      </c>
      <c r="F38" s="14">
        <f>IF(F6=0,0,F6/TrAvia_act!F24*1000000)</f>
        <v>4029.6064815675104</v>
      </c>
      <c r="G38" s="14">
        <f>IF(G6=0,0,G6/TrAvia_act!G24*1000000)</f>
        <v>4423.2907980765813</v>
      </c>
      <c r="H38" s="14">
        <f>IF(H6=0,0,H6/TrAvia_act!H24*1000000)</f>
        <v>4624.9213435306619</v>
      </c>
      <c r="I38" s="14">
        <f>IF(I6=0,0,I6/TrAvia_act!I24*1000000)</f>
        <v>4589.7788965855552</v>
      </c>
      <c r="J38" s="14">
        <f>IF(J6=0,0,J6/TrAvia_act!J24*1000000)</f>
        <v>4401.1964967494223</v>
      </c>
      <c r="K38" s="14">
        <f>IF(K6=0,0,K6/TrAvia_act!K24*1000000)</f>
        <v>4200.763802048622</v>
      </c>
      <c r="L38" s="14">
        <f>IF(L6=0,0,L6/TrAvia_act!L24*1000000)</f>
        <v>4457.4193359526107</v>
      </c>
      <c r="M38" s="14">
        <f>IF(M6=0,0,M6/TrAvia_act!M24*1000000)</f>
        <v>4761.2113824838389</v>
      </c>
      <c r="N38" s="14">
        <f>IF(N6=0,0,N6/TrAvia_act!N24*1000000)</f>
        <v>4735.096308613568</v>
      </c>
      <c r="O38" s="14">
        <f>IF(O6=0,0,O6/TrAvia_act!O24*1000000)</f>
        <v>4719.6498892272948</v>
      </c>
      <c r="P38" s="14">
        <f>IF(P6=0,0,P6/TrAvia_act!P24*1000000)</f>
        <v>4702.6850172683244</v>
      </c>
      <c r="Q38" s="14">
        <f>IF(Q6=0,0,Q6/TrAvia_act!Q24*1000000)</f>
        <v>5113.3738092083267</v>
      </c>
      <c r="R38" s="14">
        <f>IF(R6=0,0,R6/TrAvia_act!R24*1000000)</f>
        <v>5664.6241735698077</v>
      </c>
      <c r="S38" s="14">
        <f>IF(S6=0,0,S6/TrAvia_act!S24*1000000)</f>
        <v>5451.7133900121144</v>
      </c>
      <c r="T38" s="14">
        <f>IF(T6=0,0,T6/TrAvia_act!T24*1000000)</f>
        <v>5772.3749178115377</v>
      </c>
      <c r="U38" s="14">
        <f>IF(U6=0,0,U6/TrAvia_act!U24*1000000)</f>
        <v>6136.6441914007564</v>
      </c>
      <c r="V38" s="14">
        <f>IF(V6=0,0,V6/TrAvia_act!V24*1000000)</f>
        <v>6020.63847133936</v>
      </c>
      <c r="W38" s="14">
        <f>IF(W6=0,0,W6/TrAvia_act!W24*1000000)</f>
        <v>6905.0294848728845</v>
      </c>
      <c r="X38" s="14">
        <f>IF(X6=0,0,X6/TrAvia_act!X24*1000000)</f>
        <v>5750.3027095352181</v>
      </c>
      <c r="Y38" s="14">
        <f>IF(Y6=0,0,Y6/TrAvia_act!Y24*1000000)</f>
        <v>6874.2245115154328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1657.0356854483248</v>
      </c>
      <c r="C39" s="87">
        <f>IF(C7=0,0,C7/TrAvia_act!C25*1000000)</f>
        <v>1742.9313775864453</v>
      </c>
      <c r="D39" s="87">
        <f>IF(D7=0,0,D7/TrAvia_act!D25*1000000)</f>
        <v>1672.6757297329907</v>
      </c>
      <c r="E39" s="87">
        <f>IF(E7=0,0,E7/TrAvia_act!E25*1000000)</f>
        <v>1698.0816354819158</v>
      </c>
      <c r="F39" s="87">
        <f>IF(F7=0,0,F7/TrAvia_act!F25*1000000)</f>
        <v>1843.5790608594264</v>
      </c>
      <c r="G39" s="87">
        <f>IF(G7=0,0,G7/TrAvia_act!G25*1000000)</f>
        <v>1862.6852930670923</v>
      </c>
      <c r="H39" s="87">
        <f>IF(H7=0,0,H7/TrAvia_act!H25*1000000)</f>
        <v>1893.5494454157731</v>
      </c>
      <c r="I39" s="87">
        <f>IF(I7=0,0,I7/TrAvia_act!I25*1000000)</f>
        <v>1914.9821593091115</v>
      </c>
      <c r="J39" s="87">
        <f>IF(J7=0,0,J7/TrAvia_act!J25*1000000)</f>
        <v>1808.1348849926824</v>
      </c>
      <c r="K39" s="87">
        <f>IF(K7=0,0,K7/TrAvia_act!K25*1000000)</f>
        <v>1818.4243571240706</v>
      </c>
      <c r="L39" s="87">
        <f>IF(L7=0,0,L7/TrAvia_act!L25*1000000)</f>
        <v>1775.7017477420932</v>
      </c>
      <c r="M39" s="87">
        <f>IF(M7=0,0,M7/TrAvia_act!M25*1000000)</f>
        <v>2262.1300400460559</v>
      </c>
      <c r="N39" s="87">
        <f>IF(N7=0,0,N7/TrAvia_act!N25*1000000)</f>
        <v>2109.8928048332309</v>
      </c>
      <c r="O39" s="87">
        <f>IF(O7=0,0,O7/TrAvia_act!O25*1000000)</f>
        <v>2192.9286615757642</v>
      </c>
      <c r="P39" s="87">
        <f>IF(P7=0,0,P7/TrAvia_act!P25*1000000)</f>
        <v>2264.2302606118733</v>
      </c>
      <c r="Q39" s="87">
        <f>IF(Q7=0,0,Q7/TrAvia_act!Q25*1000000)</f>
        <v>2553.0584295177005</v>
      </c>
      <c r="R39" s="87">
        <f>IF(R7=0,0,R7/TrAvia_act!R25*1000000)</f>
        <v>2832.9088336610412</v>
      </c>
      <c r="S39" s="87">
        <f>IF(S7=0,0,S7/TrAvia_act!S25*1000000)</f>
        <v>2752.247149723949</v>
      </c>
      <c r="T39" s="87">
        <f>IF(T7=0,0,T7/TrAvia_act!T25*1000000)</f>
        <v>2942.34874962086</v>
      </c>
      <c r="U39" s="87">
        <f>IF(U7=0,0,U7/TrAvia_act!U25*1000000)</f>
        <v>2610.4292872023129</v>
      </c>
      <c r="V39" s="87">
        <f>IF(V7=0,0,V7/TrAvia_act!V25*1000000)</f>
        <v>5127.707061642428</v>
      </c>
      <c r="W39" s="87">
        <f>IF(W7=0,0,W7/TrAvia_act!W25*1000000)</f>
        <v>6546.2142203498879</v>
      </c>
      <c r="X39" s="87">
        <f>IF(X7=0,0,X7/TrAvia_act!X25*1000000)</f>
        <v>4650.6696280536025</v>
      </c>
      <c r="Y39" s="87">
        <f>IF(Y7=0,0,Y7/TrAvia_act!Y25*1000000)</f>
        <v>4267.5561921690705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2991.4719095399196</v>
      </c>
      <c r="C40" s="87">
        <f>IF(C8=0,0,C8/TrAvia_act!C26*1000000)</f>
        <v>2960.5393460647915</v>
      </c>
      <c r="D40" s="87">
        <f>IF(D8=0,0,D8/TrAvia_act!D26*1000000)</f>
        <v>2786.6753092876734</v>
      </c>
      <c r="E40" s="87">
        <f>IF(E8=0,0,E8/TrAvia_act!E26*1000000)</f>
        <v>2507.3762144294446</v>
      </c>
      <c r="F40" s="87">
        <f>IF(F8=0,0,F8/TrAvia_act!F26*1000000)</f>
        <v>2516.8078541418167</v>
      </c>
      <c r="G40" s="87">
        <f>IF(G8=0,0,G8/TrAvia_act!G26*1000000)</f>
        <v>2809.1634312348356</v>
      </c>
      <c r="H40" s="87">
        <f>IF(H8=0,0,H8/TrAvia_act!H26*1000000)</f>
        <v>2988.7021202665696</v>
      </c>
      <c r="I40" s="87">
        <f>IF(I8=0,0,I8/TrAvia_act!I26*1000000)</f>
        <v>2983.2665778814921</v>
      </c>
      <c r="J40" s="87">
        <f>IF(J8=0,0,J8/TrAvia_act!J26*1000000)</f>
        <v>2838.4821891939355</v>
      </c>
      <c r="K40" s="87">
        <f>IF(K8=0,0,K8/TrAvia_act!K26*1000000)</f>
        <v>2673.4618197248378</v>
      </c>
      <c r="L40" s="87">
        <f>IF(L8=0,0,L8/TrAvia_act!L26*1000000)</f>
        <v>2866.9388184912414</v>
      </c>
      <c r="M40" s="87">
        <f>IF(M8=0,0,M8/TrAvia_act!M26*1000000)</f>
        <v>2996.0900732911114</v>
      </c>
      <c r="N40" s="87">
        <f>IF(N8=0,0,N8/TrAvia_act!N26*1000000)</f>
        <v>2982.7768027443994</v>
      </c>
      <c r="O40" s="87">
        <f>IF(O8=0,0,O8/TrAvia_act!O26*1000000)</f>
        <v>2979.2128488564604</v>
      </c>
      <c r="P40" s="87">
        <f>IF(P8=0,0,P8/TrAvia_act!P26*1000000)</f>
        <v>2952.4157619769858</v>
      </c>
      <c r="Q40" s="87">
        <f>IF(Q8=0,0,Q8/TrAvia_act!Q26*1000000)</f>
        <v>3188.1861052187983</v>
      </c>
      <c r="R40" s="87">
        <f>IF(R8=0,0,R8/TrAvia_act!R26*1000000)</f>
        <v>3599.7608755186889</v>
      </c>
      <c r="S40" s="87">
        <f>IF(S8=0,0,S8/TrAvia_act!S26*1000000)</f>
        <v>3546.9741403965913</v>
      </c>
      <c r="T40" s="87">
        <f>IF(T8=0,0,T8/TrAvia_act!T26*1000000)</f>
        <v>3751.4796151768815</v>
      </c>
      <c r="U40" s="87">
        <f>IF(U8=0,0,U8/TrAvia_act!U26*1000000)</f>
        <v>3934.3275506989426</v>
      </c>
      <c r="V40" s="87">
        <f>IF(V8=0,0,V8/TrAvia_act!V26*1000000)</f>
        <v>3141.9202147242172</v>
      </c>
      <c r="W40" s="87">
        <f>IF(W8=0,0,W8/TrAvia_act!W26*1000000)</f>
        <v>4125.854592719902</v>
      </c>
      <c r="X40" s="87">
        <f>IF(X8=0,0,X8/TrAvia_act!X26*1000000)</f>
        <v>3638.12281164364</v>
      </c>
      <c r="Y40" s="87">
        <f>IF(Y8=0,0,Y8/TrAvia_act!Y26*1000000)</f>
        <v>4301.7029405469457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16230.1178809987</v>
      </c>
      <c r="C41" s="87">
        <f>IF(C9=0,0,C9/TrAvia_act!C27*1000000)</f>
        <v>15886.06186257192</v>
      </c>
      <c r="D41" s="87">
        <f>IF(D9=0,0,D9/TrAvia_act!D27*1000000)</f>
        <v>14932.549180428839</v>
      </c>
      <c r="E41" s="87">
        <f>IF(E9=0,0,E9/TrAvia_act!E27*1000000)</f>
        <v>13316.223965560834</v>
      </c>
      <c r="F41" s="87">
        <f>IF(F9=0,0,F9/TrAvia_act!F27*1000000)</f>
        <v>13328.887110774247</v>
      </c>
      <c r="G41" s="87">
        <f>IF(G9=0,0,G9/TrAvia_act!G27*1000000)</f>
        <v>13681.409741881083</v>
      </c>
      <c r="H41" s="87">
        <f>IF(H9=0,0,H9/TrAvia_act!H27*1000000)</f>
        <v>13986.492131743629</v>
      </c>
      <c r="I41" s="87">
        <f>IF(I9=0,0,I9/TrAvia_act!I27*1000000)</f>
        <v>13828.601198499542</v>
      </c>
      <c r="J41" s="87">
        <f>IF(J9=0,0,J9/TrAvia_act!J27*1000000)</f>
        <v>13139.429328584321</v>
      </c>
      <c r="K41" s="87">
        <f>IF(K9=0,0,K9/TrAvia_act!K27*1000000)</f>
        <v>12413.340469626391</v>
      </c>
      <c r="L41" s="87">
        <f>IF(L9=0,0,L9/TrAvia_act!L27*1000000)</f>
        <v>12675.21134697448</v>
      </c>
      <c r="M41" s="87">
        <f>IF(M9=0,0,M9/TrAvia_act!M27*1000000)</f>
        <v>12962.640329625032</v>
      </c>
      <c r="N41" s="87">
        <f>IF(N9=0,0,N9/TrAvia_act!N27*1000000)</f>
        <v>12663.672937885132</v>
      </c>
      <c r="O41" s="87">
        <f>IF(O9=0,0,O9/TrAvia_act!O27*1000000)</f>
        <v>12207.795192977792</v>
      </c>
      <c r="P41" s="87">
        <f>IF(P9=0,0,P9/TrAvia_act!P27*1000000)</f>
        <v>12320.93476274111</v>
      </c>
      <c r="Q41" s="87">
        <f>IF(Q9=0,0,Q9/TrAvia_act!Q27*1000000)</f>
        <v>13568.415837605029</v>
      </c>
      <c r="R41" s="87">
        <f>IF(R9=0,0,R9/TrAvia_act!R27*1000000)</f>
        <v>15271.157631163669</v>
      </c>
      <c r="S41" s="87">
        <f>IF(S9=0,0,S9/TrAvia_act!S27*1000000)</f>
        <v>14060.735321554008</v>
      </c>
      <c r="T41" s="87">
        <f>IF(T9=0,0,T9/TrAvia_act!T27*1000000)</f>
        <v>14557.920987042065</v>
      </c>
      <c r="U41" s="87">
        <f>IF(U9=0,0,U9/TrAvia_act!U27*1000000)</f>
        <v>15361.785836741832</v>
      </c>
      <c r="V41" s="87">
        <f>IF(V9=0,0,V9/TrAvia_act!V27*1000000)</f>
        <v>18429.831942216413</v>
      </c>
      <c r="W41" s="87">
        <f>IF(W9=0,0,W9/TrAvia_act!W27*1000000)</f>
        <v>15628.691262982718</v>
      </c>
      <c r="X41" s="87">
        <f>IF(X9=0,0,X9/TrAvia_act!X27*1000000)</f>
        <v>14475.149319603868</v>
      </c>
      <c r="Y41" s="87">
        <f>IF(Y9=0,0,Y9/TrAvia_act!Y27*1000000)</f>
        <v>17464.055941610888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3483.8767764789313</v>
      </c>
      <c r="C42" s="15">
        <f>IF(C10=0,0,C10/TrAvia_act!C28*1000000)</f>
        <v>3406.6428627119426</v>
      </c>
      <c r="D42" s="15">
        <f>IF(D10=0,0,D10/TrAvia_act!D28*1000000)</f>
        <v>3172.9030680587412</v>
      </c>
      <c r="E42" s="15">
        <f>IF(E10=0,0,E10/TrAvia_act!E28*1000000)</f>
        <v>2831.5371153783199</v>
      </c>
      <c r="F42" s="15">
        <f>IF(F10=0,0,F10/TrAvia_act!F28*1000000)</f>
        <v>2866.9846706430221</v>
      </c>
      <c r="G42" s="15">
        <f>IF(G10=0,0,G10/TrAvia_act!G28*1000000)</f>
        <v>3123.6667975949267</v>
      </c>
      <c r="H42" s="15">
        <f>IF(H10=0,0,H10/TrAvia_act!H28*1000000)</f>
        <v>3064.1357834946939</v>
      </c>
      <c r="I42" s="15">
        <f>IF(I10=0,0,I10/TrAvia_act!I28*1000000)</f>
        <v>3074.319878166621</v>
      </c>
      <c r="J42" s="15">
        <f>IF(J10=0,0,J10/TrAvia_act!J28*1000000)</f>
        <v>2927.9607784860591</v>
      </c>
      <c r="K42" s="15">
        <f>IF(K10=0,0,K10/TrAvia_act!K28*1000000)</f>
        <v>2684.8905934219324</v>
      </c>
      <c r="L42" s="15">
        <f>IF(L10=0,0,L10/TrAvia_act!L28*1000000)</f>
        <v>2778.9431740146242</v>
      </c>
      <c r="M42" s="15">
        <f>IF(M10=0,0,M10/TrAvia_act!M28*1000000)</f>
        <v>3526.4646993271199</v>
      </c>
      <c r="N42" s="15">
        <f>IF(N10=0,0,N10/TrAvia_act!N28*1000000)</f>
        <v>4207.4429251108249</v>
      </c>
      <c r="O42" s="15">
        <f>IF(O10=0,0,O10/TrAvia_act!O28*1000000)</f>
        <v>4413.2515833611869</v>
      </c>
      <c r="P42" s="15">
        <f>IF(P10=0,0,P10/TrAvia_act!P28*1000000)</f>
        <v>4415.5752193624512</v>
      </c>
      <c r="Q42" s="15">
        <f>IF(Q10=0,0,Q10/TrAvia_act!Q28*1000000)</f>
        <v>5332.0858692978354</v>
      </c>
      <c r="R42" s="15">
        <f>IF(R10=0,0,R10/TrAvia_act!R28*1000000)</f>
        <v>6698.576735671676</v>
      </c>
      <c r="S42" s="15">
        <f>IF(S10=0,0,S10/TrAvia_act!S28*1000000)</f>
        <v>6467.7961116220649</v>
      </c>
      <c r="T42" s="15">
        <f>IF(T10=0,0,T10/TrAvia_act!T28*1000000)</f>
        <v>7566.0335500908823</v>
      </c>
      <c r="U42" s="15">
        <f>IF(U10=0,0,U10/TrAvia_act!U28*1000000)</f>
        <v>7603.4991153118935</v>
      </c>
      <c r="V42" s="15">
        <f>IF(V10=0,0,V10/TrAvia_act!V28*1000000)</f>
        <v>4214.1720812172798</v>
      </c>
      <c r="W42" s="15">
        <f>IF(W10=0,0,W10/TrAvia_act!W28*1000000)</f>
        <v>4204.7690862054133</v>
      </c>
      <c r="X42" s="15">
        <f>IF(X10=0,0,X10/TrAvia_act!X28*1000000)</f>
        <v>4163.0105075934016</v>
      </c>
      <c r="Y42" s="15">
        <f>IF(Y10=0,0,Y10/TrAvia_act!Y28*1000000)</f>
        <v>4784.4703210281614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1605.0358265167936</v>
      </c>
      <c r="C43" s="101">
        <f>IF(C11=0,0,C11/TrAvia_act!C29*1000000)</f>
        <v>1688.2360040602484</v>
      </c>
      <c r="D43" s="101">
        <f>IF(D11=0,0,D11/TrAvia_act!D29*1000000)</f>
        <v>1620.1850665878706</v>
      </c>
      <c r="E43" s="101">
        <f>IF(E11=0,0,E11/TrAvia_act!E29*1000000)</f>
        <v>1644.7937031369991</v>
      </c>
      <c r="F43" s="101">
        <f>IF(F11=0,0,F11/TrAvia_act!F29*1000000)</f>
        <v>1785.725236747076</v>
      </c>
      <c r="G43" s="101">
        <f>IF(G11=0,0,G11/TrAvia_act!G29*1000000)</f>
        <v>1804.2318914150214</v>
      </c>
      <c r="H43" s="101">
        <f>IF(H11=0,0,H11/TrAvia_act!H29*1000000)</f>
        <v>1840.0648891996916</v>
      </c>
      <c r="I43" s="101">
        <f>IF(I11=0,0,I11/TrAvia_act!I29*1000000)</f>
        <v>1866.8904270062283</v>
      </c>
      <c r="J43" s="101">
        <f>IF(J11=0,0,J11/TrAvia_act!J29*1000000)</f>
        <v>1768.3839460239758</v>
      </c>
      <c r="K43" s="101">
        <f>IF(K11=0,0,K11/TrAvia_act!K29*1000000)</f>
        <v>1784.1308296764844</v>
      </c>
      <c r="L43" s="101">
        <f>IF(L11=0,0,L11/TrAvia_act!L29*1000000)</f>
        <v>1747.7580892586566</v>
      </c>
      <c r="M43" s="101">
        <f>IF(M11=0,0,M11/TrAvia_act!M29*1000000)</f>
        <v>2228.411458754349</v>
      </c>
      <c r="N43" s="101">
        <f>IF(N11=0,0,N11/TrAvia_act!N29*1000000)</f>
        <v>2080.0807139591084</v>
      </c>
      <c r="O43" s="101">
        <f>IF(O11=0,0,O11/TrAvia_act!O29*1000000)</f>
        <v>2139.3838424322216</v>
      </c>
      <c r="P43" s="101">
        <f>IF(P11=0,0,P11/TrAvia_act!P29*1000000)</f>
        <v>2185.8935271202727</v>
      </c>
      <c r="Q43" s="101">
        <f>IF(Q11=0,0,Q11/TrAvia_act!Q29*1000000)</f>
        <v>2439.007683276312</v>
      </c>
      <c r="R43" s="101">
        <f>IF(R11=0,0,R11/TrAvia_act!R29*1000000)</f>
        <v>2678.1124432467186</v>
      </c>
      <c r="S43" s="101">
        <f>IF(S11=0,0,S11/TrAvia_act!S29*1000000)</f>
        <v>2574.7035252947735</v>
      </c>
      <c r="T43" s="101">
        <f>IF(T11=0,0,T11/TrAvia_act!T29*1000000)</f>
        <v>2723.8132374346028</v>
      </c>
      <c r="U43" s="101">
        <f>IF(U11=0,0,U11/TrAvia_act!U29*1000000)</f>
        <v>2467.4354488307081</v>
      </c>
      <c r="V43" s="101">
        <f>IF(V11=0,0,V11/TrAvia_act!V29*1000000)</f>
        <v>4779.5905580054832</v>
      </c>
      <c r="W43" s="101">
        <f>IF(W11=0,0,W11/TrAvia_act!W29*1000000)</f>
        <v>6159.0112539100937</v>
      </c>
      <c r="X43" s="101">
        <f>IF(X11=0,0,X11/TrAvia_act!X29*1000000)</f>
        <v>4348.8977104711857</v>
      </c>
      <c r="Y43" s="101">
        <f>IF(Y11=0,0,Y11/TrAvia_act!Y29*1000000)</f>
        <v>4316.4532978646912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3047.2754591941339</v>
      </c>
      <c r="C44" s="101">
        <f>IF(C12=0,0,C12/TrAvia_act!C30*1000000)</f>
        <v>2970.2091539388703</v>
      </c>
      <c r="D44" s="101">
        <f>IF(D12=0,0,D12/TrAvia_act!D30*1000000)</f>
        <v>2789.9640767752167</v>
      </c>
      <c r="E44" s="101">
        <f>IF(E12=0,0,E12/TrAvia_act!E30*1000000)</f>
        <v>2472.8328303711937</v>
      </c>
      <c r="F44" s="101">
        <f>IF(F12=0,0,F12/TrAvia_act!F30*1000000)</f>
        <v>2609.1208117520728</v>
      </c>
      <c r="G44" s="101">
        <f>IF(G12=0,0,G12/TrAvia_act!G30*1000000)</f>
        <v>2845.802483554331</v>
      </c>
      <c r="H44" s="101">
        <f>IF(H12=0,0,H12/TrAvia_act!H30*1000000)</f>
        <v>2756.6242620096759</v>
      </c>
      <c r="I44" s="101">
        <f>IF(I12=0,0,I12/TrAvia_act!I30*1000000)</f>
        <v>2715.7286072416632</v>
      </c>
      <c r="J44" s="101">
        <f>IF(J12=0,0,J12/TrAvia_act!J30*1000000)</f>
        <v>2561.7850698458087</v>
      </c>
      <c r="K44" s="101">
        <f>IF(K12=0,0,K12/TrAvia_act!K30*1000000)</f>
        <v>2349.7398424357148</v>
      </c>
      <c r="L44" s="101">
        <f>IF(L12=0,0,L12/TrAvia_act!L30*1000000)</f>
        <v>2425.8715554159362</v>
      </c>
      <c r="M44" s="101">
        <f>IF(M12=0,0,M12/TrAvia_act!M30*1000000)</f>
        <v>2794.6231299047727</v>
      </c>
      <c r="N44" s="101">
        <f>IF(N12=0,0,N12/TrAvia_act!N30*1000000)</f>
        <v>2943.5330010307339</v>
      </c>
      <c r="O44" s="101">
        <f>IF(O12=0,0,O12/TrAvia_act!O30*1000000)</f>
        <v>3001.7597370072581</v>
      </c>
      <c r="P44" s="101">
        <f>IF(P12=0,0,P12/TrAvia_act!P30*1000000)</f>
        <v>2896.408267386902</v>
      </c>
      <c r="Q44" s="101">
        <f>IF(Q12=0,0,Q12/TrAvia_act!Q30*1000000)</f>
        <v>2918.0149047923514</v>
      </c>
      <c r="R44" s="101">
        <f>IF(R12=0,0,R12/TrAvia_act!R30*1000000)</f>
        <v>3246.8087708592448</v>
      </c>
      <c r="S44" s="101">
        <f>IF(S12=0,0,S12/TrAvia_act!S30*1000000)</f>
        <v>3211.3447847177194</v>
      </c>
      <c r="T44" s="101">
        <f>IF(T12=0,0,T12/TrAvia_act!T30*1000000)</f>
        <v>3345.5815336121755</v>
      </c>
      <c r="U44" s="101">
        <f>IF(U12=0,0,U12/TrAvia_act!U30*1000000)</f>
        <v>3208.6507745017739</v>
      </c>
      <c r="V44" s="101">
        <f>IF(V12=0,0,V12/TrAvia_act!V30*1000000)</f>
        <v>2743.7020138171474</v>
      </c>
      <c r="W44" s="101">
        <f>IF(W12=0,0,W12/TrAvia_act!W30*1000000)</f>
        <v>3412.3961944783618</v>
      </c>
      <c r="X44" s="101">
        <f>IF(X12=0,0,X12/TrAvia_act!X30*1000000)</f>
        <v>3163.5326730199276</v>
      </c>
      <c r="Y44" s="101">
        <f>IF(Y12=0,0,Y12/TrAvia_act!Y30*1000000)</f>
        <v>3577.417575759705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4756.6952004463847</v>
      </c>
      <c r="C45" s="88">
        <f>IF(C13=0,0,C13/TrAvia_act!C31*1000000)</f>
        <v>4655.8598507875022</v>
      </c>
      <c r="D45" s="88">
        <f>IF(D13=0,0,D13/TrAvia_act!D31*1000000)</f>
        <v>4376.4059840953387</v>
      </c>
      <c r="E45" s="88">
        <f>IF(E13=0,0,E13/TrAvia_act!E31*1000000)</f>
        <v>3902.6961535016721</v>
      </c>
      <c r="F45" s="88">
        <f>IF(F13=0,0,F13/TrAvia_act!F31*1000000)</f>
        <v>3906.4074464510436</v>
      </c>
      <c r="G45" s="88">
        <f>IF(G13=0,0,G13/TrAvia_act!G31*1000000)</f>
        <v>4009.724176479092</v>
      </c>
      <c r="H45" s="88">
        <f>IF(H13=0,0,H13/TrAvia_act!H31*1000000)</f>
        <v>4230.2813483407681</v>
      </c>
      <c r="I45" s="88">
        <f>IF(I13=0,0,I13/TrAvia_act!I31*1000000)</f>
        <v>4315.3357235386929</v>
      </c>
      <c r="J45" s="88">
        <f>IF(J13=0,0,J13/TrAvia_act!J31*1000000)</f>
        <v>4229.4512397899498</v>
      </c>
      <c r="K45" s="88">
        <f>IF(K13=0,0,K13/TrAvia_act!K31*1000000)</f>
        <v>4120.5829482341323</v>
      </c>
      <c r="L45" s="88">
        <f>IF(L13=0,0,L13/TrAvia_act!L31*1000000)</f>
        <v>4337.8521876746136</v>
      </c>
      <c r="M45" s="88">
        <f>IF(M13=0,0,M13/TrAvia_act!M31*1000000)</f>
        <v>6114.9586445054401</v>
      </c>
      <c r="N45" s="88">
        <f>IF(N13=0,0,N13/TrAvia_act!N31*1000000)</f>
        <v>8086.8434045772237</v>
      </c>
      <c r="O45" s="88">
        <f>IF(O13=0,0,O13/TrAvia_act!O31*1000000)</f>
        <v>9024.2897794198743</v>
      </c>
      <c r="P45" s="88">
        <f>IF(P13=0,0,P13/TrAvia_act!P31*1000000)</f>
        <v>10520.340634801198</v>
      </c>
      <c r="Q45" s="88">
        <f>IF(Q13=0,0,Q13/TrAvia_act!Q31*1000000)</f>
        <v>13350.084454793187</v>
      </c>
      <c r="R45" s="88">
        <f>IF(R13=0,0,R13/TrAvia_act!R31*1000000)</f>
        <v>17268.047334753883</v>
      </c>
      <c r="S45" s="88">
        <f>IF(S13=0,0,S13/TrAvia_act!S31*1000000)</f>
        <v>18218.562422575953</v>
      </c>
      <c r="T45" s="88">
        <f>IF(T13=0,0,T13/TrAvia_act!T31*1000000)</f>
        <v>21543.00916988344</v>
      </c>
      <c r="U45" s="88">
        <f>IF(U13=0,0,U13/TrAvia_act!U31*1000000)</f>
        <v>24033.105192942203</v>
      </c>
      <c r="V45" s="88">
        <f>IF(V13=0,0,V13/TrAvia_act!V31*1000000)</f>
        <v>11377.776735791198</v>
      </c>
      <c r="W45" s="88">
        <f>IF(W13=0,0,W13/TrAvia_act!W31*1000000)</f>
        <v>8097.1907947114742</v>
      </c>
      <c r="X45" s="88">
        <f>IF(X13=0,0,X13/TrAvia_act!X31*1000000)</f>
        <v>9372.4042737346281</v>
      </c>
      <c r="Y45" s="88">
        <f>IF(Y13=0,0,Y13/TrAvia_act!Y31*1000000)</f>
        <v>10954.127726933661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0.98482542613073565</v>
      </c>
      <c r="C48" s="16">
        <f t="shared" si="36"/>
        <v>0.98670460490276868</v>
      </c>
      <c r="D48" s="16">
        <f t="shared" ref="D48:V48" si="37">IF(D6=0,0,D6/D$3)</f>
        <v>0.98359482545734422</v>
      </c>
      <c r="E48" s="16">
        <f t="shared" si="37"/>
        <v>0.98357156180337246</v>
      </c>
      <c r="F48" s="16">
        <f t="shared" si="37"/>
        <v>0.97918794511289631</v>
      </c>
      <c r="G48" s="16">
        <f t="shared" si="37"/>
        <v>0.97730873522639761</v>
      </c>
      <c r="H48" s="16">
        <f t="shared" si="37"/>
        <v>0.97641144897662069</v>
      </c>
      <c r="I48" s="16">
        <f t="shared" si="37"/>
        <v>0.9793008135633896</v>
      </c>
      <c r="J48" s="16">
        <f t="shared" si="37"/>
        <v>0.98083603762804095</v>
      </c>
      <c r="K48" s="16">
        <f t="shared" si="37"/>
        <v>0.98167854152620115</v>
      </c>
      <c r="L48" s="16">
        <f t="shared" si="37"/>
        <v>0.98051662283731555</v>
      </c>
      <c r="M48" s="16">
        <f t="shared" si="37"/>
        <v>0.97681399976040084</v>
      </c>
      <c r="N48" s="16">
        <f t="shared" si="37"/>
        <v>0.97559861574780105</v>
      </c>
      <c r="O48" s="16">
        <f t="shared" si="37"/>
        <v>0.9721574033566317</v>
      </c>
      <c r="P48" s="16">
        <f t="shared" si="37"/>
        <v>0.97033921780283927</v>
      </c>
      <c r="Q48" s="16">
        <f t="shared" si="37"/>
        <v>0.96727593654343957</v>
      </c>
      <c r="R48" s="16">
        <f t="shared" si="37"/>
        <v>0.96874719924576236</v>
      </c>
      <c r="S48" s="16">
        <f t="shared" si="37"/>
        <v>0.96434782376432571</v>
      </c>
      <c r="T48" s="16">
        <f t="shared" si="37"/>
        <v>0.962951189641439</v>
      </c>
      <c r="U48" s="16">
        <f t="shared" si="37"/>
        <v>0.96568153211898822</v>
      </c>
      <c r="V48" s="16">
        <f t="shared" si="37"/>
        <v>0.95024503165817897</v>
      </c>
      <c r="W48" s="16">
        <f t="shared" ref="W48:Y48" si="38">IF(W6=0,0,W6/W$3)</f>
        <v>0.95572382328800942</v>
      </c>
      <c r="X48" s="16">
        <f t="shared" si="38"/>
        <v>0.97090988660294308</v>
      </c>
      <c r="Y48" s="16">
        <f t="shared" si="38"/>
        <v>0.97609604100336167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5.9162569031410935E-2</v>
      </c>
      <c r="C49" s="103">
        <f t="shared" si="39"/>
        <v>5.7382146733385757E-2</v>
      </c>
      <c r="D49" s="103">
        <f t="shared" ref="D49:V49" si="40">IF(D7=0,0,D7/D$3)</f>
        <v>6.2906192688094095E-2</v>
      </c>
      <c r="E49" s="103">
        <f t="shared" si="40"/>
        <v>6.4474643769746404E-2</v>
      </c>
      <c r="F49" s="103">
        <f t="shared" si="40"/>
        <v>5.8052959083873062E-2</v>
      </c>
      <c r="G49" s="103">
        <f t="shared" si="40"/>
        <v>5.2129405756971482E-2</v>
      </c>
      <c r="H49" s="103">
        <f t="shared" si="40"/>
        <v>5.2366368971842374E-2</v>
      </c>
      <c r="I49" s="103">
        <f t="shared" si="40"/>
        <v>5.052691794476679E-2</v>
      </c>
      <c r="J49" s="103">
        <f t="shared" si="40"/>
        <v>4.9412568813797839E-2</v>
      </c>
      <c r="K49" s="103">
        <f t="shared" si="40"/>
        <v>5.5240729818323675E-2</v>
      </c>
      <c r="L49" s="103">
        <f t="shared" si="40"/>
        <v>5.0235622881723299E-2</v>
      </c>
      <c r="M49" s="103">
        <f t="shared" si="40"/>
        <v>4.7436130410175754E-2</v>
      </c>
      <c r="N49" s="103">
        <f t="shared" si="40"/>
        <v>4.5994033167684065E-2</v>
      </c>
      <c r="O49" s="103">
        <f t="shared" si="40"/>
        <v>4.7916493044112718E-2</v>
      </c>
      <c r="P49" s="103">
        <f t="shared" si="40"/>
        <v>4.644345728612443E-2</v>
      </c>
      <c r="Q49" s="103">
        <f t="shared" si="40"/>
        <v>4.3544929618461653E-2</v>
      </c>
      <c r="R49" s="103">
        <f t="shared" si="40"/>
        <v>3.9319969876426761E-2</v>
      </c>
      <c r="S49" s="103">
        <f t="shared" si="40"/>
        <v>3.8826400288797983E-2</v>
      </c>
      <c r="T49" s="103">
        <f t="shared" si="40"/>
        <v>3.6139202392839263E-2</v>
      </c>
      <c r="U49" s="103">
        <f t="shared" si="40"/>
        <v>2.6178248883545124E-2</v>
      </c>
      <c r="V49" s="103">
        <f t="shared" si="40"/>
        <v>4.9820105653492583E-2</v>
      </c>
      <c r="W49" s="103">
        <f t="shared" ref="W49:Y49" si="41">IF(W7=0,0,W7/W$3)</f>
        <v>3.9128803377635975E-2</v>
      </c>
      <c r="X49" s="103">
        <f t="shared" si="41"/>
        <v>2.8687472860870963E-2</v>
      </c>
      <c r="Y49" s="103">
        <f t="shared" si="41"/>
        <v>2.0925193121556912E-2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0.46882553432282126</v>
      </c>
      <c r="C50" s="103">
        <f t="shared" si="42"/>
        <v>0.46260724518100627</v>
      </c>
      <c r="D50" s="103">
        <f t="shared" ref="D50:V50" si="43">IF(D8=0,0,D8/D$3)</f>
        <v>0.46236921878342374</v>
      </c>
      <c r="E50" s="103">
        <f t="shared" si="43"/>
        <v>0.46687525966199001</v>
      </c>
      <c r="F50" s="103">
        <f t="shared" si="43"/>
        <v>0.44182233033530482</v>
      </c>
      <c r="G50" s="103">
        <f t="shared" si="43"/>
        <v>0.44306478284244216</v>
      </c>
      <c r="H50" s="103">
        <f t="shared" si="43"/>
        <v>0.44621563281542753</v>
      </c>
      <c r="I50" s="103">
        <f t="shared" si="43"/>
        <v>0.45577105210898083</v>
      </c>
      <c r="J50" s="103">
        <f t="shared" si="43"/>
        <v>0.45128070497104955</v>
      </c>
      <c r="K50" s="103">
        <f t="shared" si="43"/>
        <v>0.43844908020037565</v>
      </c>
      <c r="L50" s="103">
        <f t="shared" si="43"/>
        <v>0.43825638326354149</v>
      </c>
      <c r="M50" s="103">
        <f t="shared" si="43"/>
        <v>0.43836384529059036</v>
      </c>
      <c r="N50" s="103">
        <f t="shared" si="43"/>
        <v>0.4324333720909414</v>
      </c>
      <c r="O50" s="103">
        <f t="shared" si="43"/>
        <v>0.42728571182368219</v>
      </c>
      <c r="P50" s="103">
        <f t="shared" si="43"/>
        <v>0.43037323343881817</v>
      </c>
      <c r="Q50" s="103">
        <f t="shared" si="43"/>
        <v>0.43353697143617981</v>
      </c>
      <c r="R50" s="103">
        <f t="shared" si="43"/>
        <v>0.45346052230441808</v>
      </c>
      <c r="S50" s="103">
        <f t="shared" si="43"/>
        <v>0.45993299732466697</v>
      </c>
      <c r="T50" s="103">
        <f t="shared" si="43"/>
        <v>0.45926246615162514</v>
      </c>
      <c r="U50" s="103">
        <f t="shared" si="43"/>
        <v>0.45577507629958719</v>
      </c>
      <c r="V50" s="103">
        <f t="shared" si="43"/>
        <v>0.37595511143693566</v>
      </c>
      <c r="W50" s="103">
        <f t="shared" ref="W50:Y50" si="44">IF(W8=0,0,W8/W$3)</f>
        <v>0.41361410578436586</v>
      </c>
      <c r="X50" s="103">
        <f t="shared" si="44"/>
        <v>0.4742086428835427</v>
      </c>
      <c r="Y50" s="103">
        <f t="shared" si="44"/>
        <v>0.47028616633702153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0.45683732277650357</v>
      </c>
      <c r="C51" s="103">
        <f t="shared" si="45"/>
        <v>0.4667152129883767</v>
      </c>
      <c r="D51" s="103">
        <f t="shared" ref="D51:V51" si="46">IF(D9=0,0,D9/D$3)</f>
        <v>0.45831941398582637</v>
      </c>
      <c r="E51" s="103">
        <f t="shared" si="46"/>
        <v>0.45222165837163603</v>
      </c>
      <c r="F51" s="103">
        <f t="shared" si="46"/>
        <v>0.4793126556937185</v>
      </c>
      <c r="G51" s="103">
        <f t="shared" si="46"/>
        <v>0.48211454662698405</v>
      </c>
      <c r="H51" s="103">
        <f t="shared" si="46"/>
        <v>0.47782944718935089</v>
      </c>
      <c r="I51" s="103">
        <f t="shared" si="46"/>
        <v>0.47300284350964195</v>
      </c>
      <c r="J51" s="103">
        <f t="shared" si="46"/>
        <v>0.4801427638431936</v>
      </c>
      <c r="K51" s="103">
        <f t="shared" si="46"/>
        <v>0.48798873150750183</v>
      </c>
      <c r="L51" s="103">
        <f t="shared" si="46"/>
        <v>0.49202461669205072</v>
      </c>
      <c r="M51" s="103">
        <f t="shared" si="46"/>
        <v>0.49101402405963473</v>
      </c>
      <c r="N51" s="103">
        <f t="shared" si="46"/>
        <v>0.49717121048917556</v>
      </c>
      <c r="O51" s="103">
        <f t="shared" si="46"/>
        <v>0.49695519848883668</v>
      </c>
      <c r="P51" s="103">
        <f t="shared" si="46"/>
        <v>0.4935225270778969</v>
      </c>
      <c r="Q51" s="103">
        <f t="shared" si="46"/>
        <v>0.49019403548879809</v>
      </c>
      <c r="R51" s="103">
        <f t="shared" si="46"/>
        <v>0.47596670706491762</v>
      </c>
      <c r="S51" s="103">
        <f t="shared" si="46"/>
        <v>0.46558842615086077</v>
      </c>
      <c r="T51" s="103">
        <f t="shared" si="46"/>
        <v>0.46754952109697467</v>
      </c>
      <c r="U51" s="103">
        <f t="shared" si="46"/>
        <v>0.48372820693585578</v>
      </c>
      <c r="V51" s="103">
        <f t="shared" si="46"/>
        <v>0.52446981456775066</v>
      </c>
      <c r="W51" s="103">
        <f t="shared" ref="W51:Y51" si="47">IF(W9=0,0,W9/W$3)</f>
        <v>0.50298091412600765</v>
      </c>
      <c r="X51" s="103">
        <f t="shared" si="47"/>
        <v>0.46801377085852947</v>
      </c>
      <c r="Y51" s="103">
        <f t="shared" si="47"/>
        <v>0.48488468154478331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1.5174573869264185E-2</v>
      </c>
      <c r="C52" s="17">
        <f t="shared" si="48"/>
        <v>1.3295395097231258E-2</v>
      </c>
      <c r="D52" s="17">
        <f t="shared" ref="D52:V52" si="49">IF(D10=0,0,D10/D$3)</f>
        <v>1.6405174542655741E-2</v>
      </c>
      <c r="E52" s="17">
        <f t="shared" si="49"/>
        <v>1.6428438196627416E-2</v>
      </c>
      <c r="F52" s="17">
        <f t="shared" si="49"/>
        <v>2.0812054887103682E-2</v>
      </c>
      <c r="G52" s="17">
        <f t="shared" si="49"/>
        <v>2.269126477360231E-2</v>
      </c>
      <c r="H52" s="17">
        <f t="shared" si="49"/>
        <v>2.3588551023379079E-2</v>
      </c>
      <c r="I52" s="17">
        <f t="shared" si="49"/>
        <v>2.0699186436610464E-2</v>
      </c>
      <c r="J52" s="17">
        <f t="shared" si="49"/>
        <v>1.9163962371959071E-2</v>
      </c>
      <c r="K52" s="17">
        <f t="shared" si="49"/>
        <v>1.8321458473798825E-2</v>
      </c>
      <c r="L52" s="17">
        <f t="shared" si="49"/>
        <v>1.9483377162684511E-2</v>
      </c>
      <c r="M52" s="17">
        <f t="shared" si="49"/>
        <v>2.3186000239599176E-2</v>
      </c>
      <c r="N52" s="17">
        <f t="shared" si="49"/>
        <v>2.4401384252198968E-2</v>
      </c>
      <c r="O52" s="17">
        <f t="shared" si="49"/>
        <v>2.7842596643368422E-2</v>
      </c>
      <c r="P52" s="17">
        <f t="shared" si="49"/>
        <v>2.9660782197160639E-2</v>
      </c>
      <c r="Q52" s="17">
        <f t="shared" si="49"/>
        <v>3.2724063456560433E-2</v>
      </c>
      <c r="R52" s="17">
        <f t="shared" si="49"/>
        <v>3.1252800754237552E-2</v>
      </c>
      <c r="S52" s="17">
        <f t="shared" si="49"/>
        <v>3.5652176235674397E-2</v>
      </c>
      <c r="T52" s="17">
        <f t="shared" si="49"/>
        <v>3.7048810358560925E-2</v>
      </c>
      <c r="U52" s="17">
        <f t="shared" si="49"/>
        <v>3.4318467881011908E-2</v>
      </c>
      <c r="V52" s="17">
        <f t="shared" si="49"/>
        <v>4.975496834182111E-2</v>
      </c>
      <c r="W52" s="17">
        <f t="shared" ref="W52:Y52" si="50">IF(W10=0,0,W10/W$3)</f>
        <v>4.4276176711990349E-2</v>
      </c>
      <c r="X52" s="17">
        <f t="shared" si="50"/>
        <v>2.9090113397056881E-2</v>
      </c>
      <c r="Y52" s="17">
        <f t="shared" si="50"/>
        <v>2.3903958996638157E-2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3.2889165580253857E-4</v>
      </c>
      <c r="C53" s="104">
        <f t="shared" si="51"/>
        <v>2.2060789176338313E-4</v>
      </c>
      <c r="D53" s="104">
        <f t="shared" ref="D53:V53" si="52">IF(D11=0,0,D11/D$3)</f>
        <v>2.2510757141880686E-4</v>
      </c>
      <c r="E53" s="104">
        <f t="shared" si="52"/>
        <v>2.4147296701956396E-4</v>
      </c>
      <c r="F53" s="104">
        <f t="shared" si="52"/>
        <v>2.8780207289873483E-4</v>
      </c>
      <c r="G53" s="104">
        <f t="shared" si="52"/>
        <v>2.6617564362841354E-4</v>
      </c>
      <c r="H53" s="104">
        <f t="shared" si="52"/>
        <v>2.6457840339201512E-4</v>
      </c>
      <c r="I53" s="104">
        <f t="shared" si="52"/>
        <v>2.2099930993909445E-4</v>
      </c>
      <c r="J53" s="104">
        <f t="shared" si="52"/>
        <v>2.2073218058769477E-4</v>
      </c>
      <c r="K53" s="104">
        <f t="shared" si="52"/>
        <v>2.360605040924747E-4</v>
      </c>
      <c r="L53" s="104">
        <f t="shared" si="52"/>
        <v>1.7913982852079844E-4</v>
      </c>
      <c r="M53" s="104">
        <f t="shared" si="52"/>
        <v>1.575102912054184E-4</v>
      </c>
      <c r="N53" s="104">
        <f t="shared" si="52"/>
        <v>1.1080886170236014E-4</v>
      </c>
      <c r="O53" s="104">
        <f t="shared" si="52"/>
        <v>9.1111560875619985E-5</v>
      </c>
      <c r="P53" s="104">
        <f t="shared" si="52"/>
        <v>6.1006585157448543E-5</v>
      </c>
      <c r="Q53" s="104">
        <f t="shared" si="52"/>
        <v>6.0115146896102524E-5</v>
      </c>
      <c r="R53" s="104">
        <f t="shared" si="52"/>
        <v>3.3706419976388029E-5</v>
      </c>
      <c r="S53" s="104">
        <f t="shared" si="52"/>
        <v>2.6847833958335076E-5</v>
      </c>
      <c r="T53" s="104">
        <f t="shared" si="52"/>
        <v>2.5284878247371794E-5</v>
      </c>
      <c r="U53" s="104">
        <f t="shared" si="52"/>
        <v>5.0064257652431902E-6</v>
      </c>
      <c r="V53" s="104">
        <f t="shared" si="52"/>
        <v>1.427539285760976E-5</v>
      </c>
      <c r="W53" s="104">
        <f t="shared" ref="W53:Y53" si="53">IF(W11=0,0,W11/W$3)</f>
        <v>1.4672924734510138E-5</v>
      </c>
      <c r="X53" s="104">
        <f t="shared" si="53"/>
        <v>6.8784627294496679E-6</v>
      </c>
      <c r="Y53" s="104">
        <f t="shared" si="53"/>
        <v>4.8868509055764185E-6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8.7316199998170793E-3</v>
      </c>
      <c r="C54" s="104">
        <f t="shared" si="54"/>
        <v>7.9074601034411027E-3</v>
      </c>
      <c r="D54" s="104">
        <f t="shared" ref="D54:V54" si="55">IF(D12=0,0,D12/D$3)</f>
        <v>1.0269769419824016E-2</v>
      </c>
      <c r="E54" s="104">
        <f t="shared" si="55"/>
        <v>1.017473928961566E-2</v>
      </c>
      <c r="F54" s="104">
        <f t="shared" si="55"/>
        <v>1.4487991468340509E-2</v>
      </c>
      <c r="G54" s="104">
        <f t="shared" si="55"/>
        <v>1.4941998891217259E-2</v>
      </c>
      <c r="H54" s="104">
        <f t="shared" si="55"/>
        <v>1.6150062009606087E-2</v>
      </c>
      <c r="I54" s="104">
        <f t="shared" si="55"/>
        <v>1.3693744919812203E-2</v>
      </c>
      <c r="J54" s="104">
        <f t="shared" si="55"/>
        <v>1.2613733532105414E-2</v>
      </c>
      <c r="K54" s="104">
        <f t="shared" si="55"/>
        <v>1.2589538311522592E-2</v>
      </c>
      <c r="L54" s="104">
        <f t="shared" si="55"/>
        <v>1.3530397970039382E-2</v>
      </c>
      <c r="M54" s="104">
        <f t="shared" si="55"/>
        <v>1.4093127033791026E-2</v>
      </c>
      <c r="N54" s="104">
        <f t="shared" si="55"/>
        <v>1.2693048805408551E-2</v>
      </c>
      <c r="O54" s="104">
        <f t="shared" si="55"/>
        <v>1.4353145972703556E-2</v>
      </c>
      <c r="P54" s="104">
        <f t="shared" si="55"/>
        <v>1.5490825737954045E-2</v>
      </c>
      <c r="Q54" s="104">
        <f t="shared" si="55"/>
        <v>1.3689043503225718E-2</v>
      </c>
      <c r="R54" s="104">
        <f t="shared" si="55"/>
        <v>1.1376528569820014E-2</v>
      </c>
      <c r="S54" s="104">
        <f t="shared" si="55"/>
        <v>1.3825713345005687E-2</v>
      </c>
      <c r="T54" s="104">
        <f t="shared" si="55"/>
        <v>1.2550784610514492E-2</v>
      </c>
      <c r="U54" s="104">
        <f t="shared" si="55"/>
        <v>1.1419156412773414E-2</v>
      </c>
      <c r="V54" s="104">
        <f t="shared" si="55"/>
        <v>2.6870499087401748E-2</v>
      </c>
      <c r="W54" s="104">
        <f t="shared" ref="W54:Y54" si="56">IF(W12=0,0,W12/W$3)</f>
        <v>2.9851613750245753E-2</v>
      </c>
      <c r="X54" s="104">
        <f t="shared" si="56"/>
        <v>1.8543424261040498E-2</v>
      </c>
      <c r="Y54" s="104">
        <f t="shared" si="56"/>
        <v>1.4945073158025927E-2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6.114062213644569E-3</v>
      </c>
      <c r="C55" s="105">
        <f t="shared" si="57"/>
        <v>5.1673271020267727E-3</v>
      </c>
      <c r="D55" s="105">
        <f t="shared" ref="D55:V55" si="58">IF(D13=0,0,D13/D$3)</f>
        <v>5.9102975514129207E-3</v>
      </c>
      <c r="E55" s="105">
        <f t="shared" si="58"/>
        <v>6.0122259399921921E-3</v>
      </c>
      <c r="F55" s="105">
        <f t="shared" si="58"/>
        <v>6.0362613458644406E-3</v>
      </c>
      <c r="G55" s="105">
        <f t="shared" si="58"/>
        <v>7.4830902387566373E-3</v>
      </c>
      <c r="H55" s="105">
        <f t="shared" si="58"/>
        <v>7.1739106103809779E-3</v>
      </c>
      <c r="I55" s="105">
        <f t="shared" si="58"/>
        <v>6.7844422068591651E-3</v>
      </c>
      <c r="J55" s="105">
        <f t="shared" si="58"/>
        <v>6.3294966592659617E-3</v>
      </c>
      <c r="K55" s="105">
        <f t="shared" si="58"/>
        <v>5.4958596581837589E-3</v>
      </c>
      <c r="L55" s="105">
        <f t="shared" si="58"/>
        <v>5.7738393641243299E-3</v>
      </c>
      <c r="M55" s="105">
        <f t="shared" si="58"/>
        <v>8.9353629146027343E-3</v>
      </c>
      <c r="N55" s="105">
        <f t="shared" si="58"/>
        <v>1.1597526585088062E-2</v>
      </c>
      <c r="O55" s="105">
        <f t="shared" si="58"/>
        <v>1.3398339109789251E-2</v>
      </c>
      <c r="P55" s="105">
        <f t="shared" si="58"/>
        <v>1.4108949874049143E-2</v>
      </c>
      <c r="Q55" s="105">
        <f t="shared" si="58"/>
        <v>1.8974904806438615E-2</v>
      </c>
      <c r="R55" s="105">
        <f t="shared" si="58"/>
        <v>1.9842565764441152E-2</v>
      </c>
      <c r="S55" s="105">
        <f t="shared" si="58"/>
        <v>2.179961505671037E-2</v>
      </c>
      <c r="T55" s="105">
        <f t="shared" si="58"/>
        <v>2.4472740869799062E-2</v>
      </c>
      <c r="U55" s="105">
        <f t="shared" si="58"/>
        <v>2.2894305042473251E-2</v>
      </c>
      <c r="V55" s="105">
        <f t="shared" si="58"/>
        <v>2.2870193861561753E-2</v>
      </c>
      <c r="W55" s="105">
        <f t="shared" ref="W55:Y55" si="59">IF(W13=0,0,W13/W$3)</f>
        <v>1.4409890037010082E-2</v>
      </c>
      <c r="X55" s="105">
        <f t="shared" si="59"/>
        <v>1.0539810673286932E-2</v>
      </c>
      <c r="Y55" s="105">
        <f t="shared" si="59"/>
        <v>8.9539989877066573E-3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468.84607866426137</v>
      </c>
      <c r="C57" s="62">
        <v>470.48800434884225</v>
      </c>
      <c r="D57" s="62">
        <v>469.85616377664775</v>
      </c>
      <c r="E57" s="62">
        <v>467.97183026760968</v>
      </c>
      <c r="F57" s="62">
        <v>472.55327963897139</v>
      </c>
      <c r="G57" s="62">
        <v>483.83185884451115</v>
      </c>
      <c r="H57" s="62">
        <v>473.86365211667265</v>
      </c>
      <c r="I57" s="62">
        <v>454.14541017332419</v>
      </c>
      <c r="J57" s="62">
        <v>447.49614136090713</v>
      </c>
      <c r="K57" s="62">
        <v>442.39482572202564</v>
      </c>
      <c r="L57" s="62">
        <v>438.78027646960879</v>
      </c>
      <c r="M57" s="62">
        <v>443.04542631033598</v>
      </c>
      <c r="N57" s="62">
        <v>443.13711254281048</v>
      </c>
      <c r="O57" s="62">
        <v>445.48058053172184</v>
      </c>
      <c r="P57" s="62">
        <v>454.44848903120976</v>
      </c>
      <c r="Q57" s="62">
        <v>461.95419517799866</v>
      </c>
      <c r="R57" s="62">
        <v>461.36556777527204</v>
      </c>
      <c r="S57" s="62">
        <v>461.29432913180187</v>
      </c>
      <c r="T57" s="62">
        <v>471.13844744127664</v>
      </c>
      <c r="U57" s="62">
        <v>477.87429990203708</v>
      </c>
      <c r="V57" s="62">
        <v>453.26173555586951</v>
      </c>
      <c r="W57" s="62">
        <v>442.85779324592949</v>
      </c>
      <c r="X57" s="62">
        <v>447.44653143907505</v>
      </c>
      <c r="Y57" s="62">
        <v>461.7345174738407</v>
      </c>
      <c r="DA57" s="172" t="s">
        <v>314</v>
      </c>
    </row>
    <row r="58" spans="1:105" ht="11.45" customHeight="1" x14ac:dyDescent="0.25">
      <c r="A58" s="10" t="s">
        <v>33</v>
      </c>
      <c r="B58" s="14">
        <v>470.55303454955521</v>
      </c>
      <c r="C58" s="14">
        <v>472.05982092014892</v>
      </c>
      <c r="D58" s="14">
        <v>471.84980317402187</v>
      </c>
      <c r="E58" s="14">
        <v>469.94873562729373</v>
      </c>
      <c r="F58" s="14">
        <v>475.39722436913576</v>
      </c>
      <c r="G58" s="14">
        <v>487.15537976567691</v>
      </c>
      <c r="H58" s="14">
        <v>476.8129841102554</v>
      </c>
      <c r="I58" s="14">
        <v>456.03382565293037</v>
      </c>
      <c r="J58" s="14">
        <v>448.91241414404584</v>
      </c>
      <c r="K58" s="14">
        <v>443.41943326227937</v>
      </c>
      <c r="L58" s="14">
        <v>439.62616739922208</v>
      </c>
      <c r="M58" s="14">
        <v>443.82542505555188</v>
      </c>
      <c r="N58" s="14">
        <v>443.28112654734582</v>
      </c>
      <c r="O58" s="14">
        <v>445.7279798556001</v>
      </c>
      <c r="P58" s="14">
        <v>454.67942269996922</v>
      </c>
      <c r="Q58" s="14">
        <v>461.34685253230498</v>
      </c>
      <c r="R58" s="14">
        <v>459.8438793826719</v>
      </c>
      <c r="S58" s="14">
        <v>459.23502019415702</v>
      </c>
      <c r="T58" s="14">
        <v>467.75897023836586</v>
      </c>
      <c r="U58" s="14">
        <v>474.52317965896901</v>
      </c>
      <c r="V58" s="14">
        <v>455.57580704121619</v>
      </c>
      <c r="W58" s="14">
        <v>446.52904069390036</v>
      </c>
      <c r="X58" s="14">
        <v>449.60634427352994</v>
      </c>
      <c r="Y58" s="14">
        <v>463.3107273111072</v>
      </c>
      <c r="DA58" s="189" t="s">
        <v>315</v>
      </c>
    </row>
    <row r="59" spans="1:105" ht="11.45" customHeight="1" x14ac:dyDescent="0.25">
      <c r="A59" s="83" t="s">
        <v>27</v>
      </c>
      <c r="B59" s="87">
        <v>745.93281155275918</v>
      </c>
      <c r="C59" s="87">
        <v>745.93281155275918</v>
      </c>
      <c r="D59" s="87">
        <v>745.93281155275906</v>
      </c>
      <c r="E59" s="87">
        <v>745.93281155275918</v>
      </c>
      <c r="F59" s="87">
        <v>745.93281155275906</v>
      </c>
      <c r="G59" s="87">
        <v>739.3234020645998</v>
      </c>
      <c r="H59" s="87">
        <v>733.61823984778664</v>
      </c>
      <c r="I59" s="87">
        <v>720.00436097395038</v>
      </c>
      <c r="J59" s="87">
        <v>699.57248218663199</v>
      </c>
      <c r="K59" s="87">
        <v>684.81335885290514</v>
      </c>
      <c r="L59" s="87">
        <v>688.12442533719945</v>
      </c>
      <c r="M59" s="87">
        <v>694.49989652283716</v>
      </c>
      <c r="N59" s="87">
        <v>720.56821747288052</v>
      </c>
      <c r="O59" s="87">
        <v>727.53517698436008</v>
      </c>
      <c r="P59" s="87">
        <v>728.52679136586733</v>
      </c>
      <c r="Q59" s="87">
        <v>711.22753899943825</v>
      </c>
      <c r="R59" s="87">
        <v>689.66830404090103</v>
      </c>
      <c r="S59" s="87">
        <v>683.10650243005375</v>
      </c>
      <c r="T59" s="87">
        <v>680.20298455762349</v>
      </c>
      <c r="U59" s="87">
        <v>673.88873614737997</v>
      </c>
      <c r="V59" s="87">
        <v>684.12383163508821</v>
      </c>
      <c r="W59" s="87">
        <v>713.87598298749003</v>
      </c>
      <c r="X59" s="87">
        <v>668.58439549671766</v>
      </c>
      <c r="Y59" s="87">
        <v>671.00686921370936</v>
      </c>
      <c r="DA59" s="171" t="s">
        <v>316</v>
      </c>
    </row>
    <row r="60" spans="1:105" ht="11.45" customHeight="1" x14ac:dyDescent="0.25">
      <c r="A60" s="83" t="s">
        <v>181</v>
      </c>
      <c r="B60" s="87">
        <v>354.89191426660045</v>
      </c>
      <c r="C60" s="87">
        <v>355.43623090133485</v>
      </c>
      <c r="D60" s="87">
        <v>355.55526787381922</v>
      </c>
      <c r="E60" s="87">
        <v>356.19612350140108</v>
      </c>
      <c r="F60" s="87">
        <v>356.07157728322323</v>
      </c>
      <c r="G60" s="87">
        <v>356.81872765832622</v>
      </c>
      <c r="H60" s="87">
        <v>356.12271806430215</v>
      </c>
      <c r="I60" s="87">
        <v>356.15053233067113</v>
      </c>
      <c r="J60" s="87">
        <v>357.34308610668216</v>
      </c>
      <c r="K60" s="87">
        <v>357.67993904341654</v>
      </c>
      <c r="L60" s="87">
        <v>356.96459842605645</v>
      </c>
      <c r="M60" s="87">
        <v>358.36563574736203</v>
      </c>
      <c r="N60" s="87">
        <v>358.66274535331178</v>
      </c>
      <c r="O60" s="87">
        <v>359.95753419704215</v>
      </c>
      <c r="P60" s="87">
        <v>358.79491991443342</v>
      </c>
      <c r="Q60" s="87">
        <v>357.33629937498097</v>
      </c>
      <c r="R60" s="87">
        <v>354.57176602044814</v>
      </c>
      <c r="S60" s="87">
        <v>355.92994302952775</v>
      </c>
      <c r="T60" s="87">
        <v>353.97887396136275</v>
      </c>
      <c r="U60" s="87">
        <v>354.61147325045505</v>
      </c>
      <c r="V60" s="87">
        <v>350.00023559169983</v>
      </c>
      <c r="W60" s="87">
        <v>345.64476222295553</v>
      </c>
      <c r="X60" s="87">
        <v>348.00585860943232</v>
      </c>
      <c r="Y60" s="87">
        <v>348.54348150859983</v>
      </c>
      <c r="DA60" s="171" t="s">
        <v>317</v>
      </c>
    </row>
    <row r="61" spans="1:105" ht="11.45" customHeight="1" x14ac:dyDescent="0.25">
      <c r="A61" s="83" t="s">
        <v>182</v>
      </c>
      <c r="B61" s="87">
        <v>628.5276665909538</v>
      </c>
      <c r="C61" s="87">
        <v>628.5276665909538</v>
      </c>
      <c r="D61" s="87">
        <v>628.52766659095369</v>
      </c>
      <c r="E61" s="87">
        <v>628.52766659095369</v>
      </c>
      <c r="F61" s="87">
        <v>628.52766659095369</v>
      </c>
      <c r="G61" s="87">
        <v>640.75030478417557</v>
      </c>
      <c r="H61" s="87">
        <v>619.16720234788988</v>
      </c>
      <c r="I61" s="87">
        <v>581.71570272504869</v>
      </c>
      <c r="J61" s="87">
        <v>562.49808276661258</v>
      </c>
      <c r="K61" s="87">
        <v>545.62635808093023</v>
      </c>
      <c r="L61" s="87">
        <v>534.24450160171523</v>
      </c>
      <c r="M61" s="87">
        <v>543.81009690295673</v>
      </c>
      <c r="N61" s="87">
        <v>539.64670800232284</v>
      </c>
      <c r="O61" s="87">
        <v>538.28049540649238</v>
      </c>
      <c r="P61" s="87">
        <v>559.62344411785921</v>
      </c>
      <c r="Q61" s="87">
        <v>578.56898847521222</v>
      </c>
      <c r="R61" s="87">
        <v>589.43052183448572</v>
      </c>
      <c r="S61" s="87">
        <v>583.21324719745394</v>
      </c>
      <c r="T61" s="87">
        <v>600.22054674086064</v>
      </c>
      <c r="U61" s="87">
        <v>610.48141929890221</v>
      </c>
      <c r="V61" s="87">
        <v>601.8781724003336</v>
      </c>
      <c r="W61" s="87">
        <v>573.76007124256205</v>
      </c>
      <c r="X61" s="87">
        <v>595.88471857853062</v>
      </c>
      <c r="Y61" s="87">
        <v>614.80329655076218</v>
      </c>
      <c r="DA61" s="171" t="s">
        <v>318</v>
      </c>
    </row>
    <row r="62" spans="1:105" ht="11.45" customHeight="1" x14ac:dyDescent="0.25">
      <c r="A62" s="12" t="s">
        <v>34</v>
      </c>
      <c r="B62" s="15">
        <v>379.76693587545952</v>
      </c>
      <c r="C62" s="15">
        <v>378.06915934499921</v>
      </c>
      <c r="D62" s="15">
        <v>375.38013084334733</v>
      </c>
      <c r="E62" s="15">
        <v>375.1321887080681</v>
      </c>
      <c r="F62" s="15">
        <v>367.32893165655526</v>
      </c>
      <c r="G62" s="15">
        <v>372.17912129656162</v>
      </c>
      <c r="H62" s="15">
        <v>377.16740619201806</v>
      </c>
      <c r="I62" s="15">
        <v>381.2053687014415</v>
      </c>
      <c r="J62" s="15">
        <v>386.74349479035305</v>
      </c>
      <c r="K62" s="15">
        <v>395.37975102487763</v>
      </c>
      <c r="L62" s="15">
        <v>401.70049956418791</v>
      </c>
      <c r="M62" s="15">
        <v>413.09497173261161</v>
      </c>
      <c r="N62" s="15">
        <v>437.54712178592899</v>
      </c>
      <c r="O62" s="15">
        <v>437.09314774810872</v>
      </c>
      <c r="P62" s="15">
        <v>447.15891575861195</v>
      </c>
      <c r="Q62" s="15">
        <v>479.26804524039261</v>
      </c>
      <c r="R62" s="15">
        <v>508.67290246840798</v>
      </c>
      <c r="S62" s="15">
        <v>518.35101314566884</v>
      </c>
      <c r="T62" s="15">
        <v>564.1880468280915</v>
      </c>
      <c r="U62" s="15">
        <v>578.02702413748739</v>
      </c>
      <c r="V62" s="15">
        <v>415.68823726669001</v>
      </c>
      <c r="W62" s="15">
        <v>377.78410359984633</v>
      </c>
      <c r="X62" s="15">
        <v>387.73423827737247</v>
      </c>
      <c r="Y62" s="15">
        <v>407.25858145197896</v>
      </c>
      <c r="DA62" s="193" t="s">
        <v>319</v>
      </c>
    </row>
    <row r="63" spans="1:105" ht="11.45" customHeight="1" x14ac:dyDescent="0.25">
      <c r="A63" s="92" t="s">
        <v>27</v>
      </c>
      <c r="B63" s="101">
        <v>880.20843623780024</v>
      </c>
      <c r="C63" s="101">
        <v>880.20843623780024</v>
      </c>
      <c r="D63" s="101">
        <v>880.20843623780024</v>
      </c>
      <c r="E63" s="101">
        <v>880.20843623780024</v>
      </c>
      <c r="F63" s="101">
        <v>880.20843623780024</v>
      </c>
      <c r="G63" s="101">
        <v>870.36938141423559</v>
      </c>
      <c r="H63" s="101">
        <v>867.27087417948724</v>
      </c>
      <c r="I63" s="101">
        <v>852.22394684535038</v>
      </c>
      <c r="J63" s="101">
        <v>826.85870303001798</v>
      </c>
      <c r="K63" s="101">
        <v>809.79957278309314</v>
      </c>
      <c r="L63" s="101">
        <v>819.54092522171993</v>
      </c>
      <c r="M63" s="101">
        <v>788.82977236979582</v>
      </c>
      <c r="N63" s="101">
        <v>784.08938984265444</v>
      </c>
      <c r="O63" s="101">
        <v>834.46402263615585</v>
      </c>
      <c r="P63" s="101">
        <v>883.66493243106424</v>
      </c>
      <c r="Q63" s="101">
        <v>907.1541926663549</v>
      </c>
      <c r="R63" s="101">
        <v>921.55513020610249</v>
      </c>
      <c r="S63" s="101">
        <v>967.26197343022238</v>
      </c>
      <c r="T63" s="101">
        <v>1028.106298393712</v>
      </c>
      <c r="U63" s="101">
        <v>882.72947350937477</v>
      </c>
      <c r="V63" s="101">
        <v>977.11927037510964</v>
      </c>
      <c r="W63" s="101">
        <v>977.11927037510964</v>
      </c>
      <c r="X63" s="101">
        <v>922.14743996096149</v>
      </c>
      <c r="Y63" s="101">
        <v>641.5297464217382</v>
      </c>
      <c r="DA63" s="175" t="s">
        <v>320</v>
      </c>
    </row>
    <row r="64" spans="1:105" ht="11.45" customHeight="1" x14ac:dyDescent="0.25">
      <c r="A64" s="92" t="s">
        <v>181</v>
      </c>
      <c r="B64" s="101">
        <v>360.51075293004078</v>
      </c>
      <c r="C64" s="101">
        <v>358.98832757644033</v>
      </c>
      <c r="D64" s="101">
        <v>356.9384007689369</v>
      </c>
      <c r="E64" s="101">
        <v>356.10073099146115</v>
      </c>
      <c r="F64" s="101">
        <v>350.11602787810426</v>
      </c>
      <c r="G64" s="101">
        <v>352.38045177187468</v>
      </c>
      <c r="H64" s="101">
        <v>366.06651803604069</v>
      </c>
      <c r="I64" s="101">
        <v>373.94680207640863</v>
      </c>
      <c r="J64" s="101">
        <v>385.23695205466584</v>
      </c>
      <c r="K64" s="101">
        <v>400.4409751428492</v>
      </c>
      <c r="L64" s="101">
        <v>413.0171760175478</v>
      </c>
      <c r="M64" s="101">
        <v>402.46040253337497</v>
      </c>
      <c r="N64" s="101">
        <v>391.83740979288524</v>
      </c>
      <c r="O64" s="101">
        <v>389.84190368298897</v>
      </c>
      <c r="P64" s="101">
        <v>385.40734838001157</v>
      </c>
      <c r="Q64" s="101">
        <v>383.0212345951399</v>
      </c>
      <c r="R64" s="101">
        <v>377.8218088476857</v>
      </c>
      <c r="S64" s="101">
        <v>378.19156113362226</v>
      </c>
      <c r="T64" s="101">
        <v>371.13049293129103</v>
      </c>
      <c r="U64" s="101">
        <v>374.79683942926516</v>
      </c>
      <c r="V64" s="101">
        <v>374.8207441448057</v>
      </c>
      <c r="W64" s="101">
        <v>372.2065564928169</v>
      </c>
      <c r="X64" s="101">
        <v>351.84738056627015</v>
      </c>
      <c r="Y64" s="101">
        <v>356.5996917161911</v>
      </c>
      <c r="DA64" s="175" t="s">
        <v>321</v>
      </c>
    </row>
    <row r="65" spans="1:105" ht="11.45" customHeight="1" x14ac:dyDescent="0.25">
      <c r="A65" s="85" t="s">
        <v>182</v>
      </c>
      <c r="B65" s="88">
        <v>404.79852638792937</v>
      </c>
      <c r="C65" s="88">
        <v>404.79852638792931</v>
      </c>
      <c r="D65" s="88">
        <v>404.79852638792931</v>
      </c>
      <c r="E65" s="88">
        <v>404.79852638792926</v>
      </c>
      <c r="F65" s="88">
        <v>404.79852638792937</v>
      </c>
      <c r="G65" s="88">
        <v>404.01314570918771</v>
      </c>
      <c r="H65" s="88">
        <v>397.69793545857493</v>
      </c>
      <c r="I65" s="88">
        <v>394.41232315735965</v>
      </c>
      <c r="J65" s="88">
        <v>389.49407831867507</v>
      </c>
      <c r="K65" s="88">
        <v>384.55677640043587</v>
      </c>
      <c r="L65" s="88">
        <v>377.82293184310316</v>
      </c>
      <c r="M65" s="88">
        <v>428.78515930207652</v>
      </c>
      <c r="N65" s="88">
        <v>492.44153733937117</v>
      </c>
      <c r="O65" s="88">
        <v>489.43789591552792</v>
      </c>
      <c r="P65" s="88">
        <v>517.04637955888631</v>
      </c>
      <c r="Q65" s="88">
        <v>556.84593463795727</v>
      </c>
      <c r="R65" s="88">
        <v>597.59683078105979</v>
      </c>
      <c r="S65" s="88">
        <v>621.93736157779983</v>
      </c>
      <c r="T65" s="88">
        <v>685.27486029223428</v>
      </c>
      <c r="U65" s="88">
        <v>708.2691824189294</v>
      </c>
      <c r="V65" s="88">
        <v>478.17051876470316</v>
      </c>
      <c r="W65" s="88">
        <v>387.84995043792617</v>
      </c>
      <c r="X65" s="88">
        <v>450.09469423179451</v>
      </c>
      <c r="Y65" s="88">
        <v>492.27215673958347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0.94023822087020992</v>
      </c>
      <c r="C67" s="59">
        <f t="shared" ref="C67:W67" si="61">IF(C3=0,0,C17/C57)</f>
        <v>0.92464130582203496</v>
      </c>
      <c r="D67" s="59">
        <f t="shared" si="61"/>
        <v>0.8698865892263421</v>
      </c>
      <c r="E67" s="59">
        <f t="shared" si="61"/>
        <v>0.78345265642882944</v>
      </c>
      <c r="F67" s="59">
        <f t="shared" si="61"/>
        <v>0.78635756368781906</v>
      </c>
      <c r="G67" s="59">
        <f t="shared" si="61"/>
        <v>0.81478421541434354</v>
      </c>
      <c r="H67" s="59">
        <f t="shared" si="61"/>
        <v>0.87479281096211237</v>
      </c>
      <c r="I67" s="59">
        <f t="shared" si="61"/>
        <v>0.9339569278058828</v>
      </c>
      <c r="J67" s="59">
        <f t="shared" si="61"/>
        <v>0.92483223834875028</v>
      </c>
      <c r="K67" s="59">
        <f t="shared" si="61"/>
        <v>0.90883193306400278</v>
      </c>
      <c r="L67" s="59">
        <f t="shared" si="61"/>
        <v>0.96840069444842303</v>
      </c>
      <c r="M67" s="59">
        <f t="shared" si="61"/>
        <v>0.9941929429305173</v>
      </c>
      <c r="N67" s="59">
        <f t="shared" si="61"/>
        <v>0.99450945434784532</v>
      </c>
      <c r="O67" s="59">
        <f t="shared" si="61"/>
        <v>0.97906227557495129</v>
      </c>
      <c r="P67" s="59">
        <f t="shared" si="61"/>
        <v>0.919608720280363</v>
      </c>
      <c r="Q67" s="59">
        <f t="shared" si="61"/>
        <v>0.9520780185221116</v>
      </c>
      <c r="R67" s="59">
        <f t="shared" si="61"/>
        <v>1.0379395637201176</v>
      </c>
      <c r="S67" s="59">
        <f t="shared" si="61"/>
        <v>0.99800403143687633</v>
      </c>
      <c r="T67" s="59">
        <f t="shared" si="61"/>
        <v>0.99615147630381862</v>
      </c>
      <c r="U67" s="59">
        <f t="shared" si="61"/>
        <v>0.99351749270940337</v>
      </c>
      <c r="V67" s="59">
        <f t="shared" si="61"/>
        <v>1.06438401208015</v>
      </c>
      <c r="W67" s="59">
        <f t="shared" si="61"/>
        <v>1.1726965869801</v>
      </c>
      <c r="X67" s="59">
        <f t="shared" ref="X67:Y67" si="62">IF(X3=0,0,X17/X57)</f>
        <v>0.96766274762351623</v>
      </c>
      <c r="Y67" s="59">
        <f t="shared" si="62"/>
        <v>1.0868299169406177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0.94047888111566713</v>
      </c>
      <c r="C68" s="23">
        <f t="shared" ref="C68:W68" si="64">IF(C6=0,0,C18/C58)</f>
        <v>0.92489151197788655</v>
      </c>
      <c r="D68" s="23">
        <f t="shared" si="64"/>
        <v>0.87008920178048954</v>
      </c>
      <c r="E68" s="23">
        <f t="shared" si="64"/>
        <v>0.78377315022864991</v>
      </c>
      <c r="F68" s="23">
        <f t="shared" si="64"/>
        <v>0.78617621345863564</v>
      </c>
      <c r="G68" s="23">
        <f t="shared" si="64"/>
        <v>0.81451071844994893</v>
      </c>
      <c r="H68" s="23">
        <f t="shared" si="64"/>
        <v>0.87488380527225262</v>
      </c>
      <c r="I68" s="23">
        <f t="shared" si="64"/>
        <v>0.93452774776570047</v>
      </c>
      <c r="J68" s="23">
        <f t="shared" si="64"/>
        <v>0.92544228187233435</v>
      </c>
      <c r="K68" s="23">
        <f t="shared" si="64"/>
        <v>0.90963805300317468</v>
      </c>
      <c r="L68" s="23">
        <f t="shared" si="64"/>
        <v>0.96942964795533759</v>
      </c>
      <c r="M68" s="23">
        <f t="shared" si="64"/>
        <v>0.99476089354013475</v>
      </c>
      <c r="N68" s="23">
        <f t="shared" si="64"/>
        <v>0.99497442899207844</v>
      </c>
      <c r="O68" s="23">
        <f t="shared" si="64"/>
        <v>0.9793765615205694</v>
      </c>
      <c r="P68" s="23">
        <f t="shared" si="64"/>
        <v>0.92015762746996577</v>
      </c>
      <c r="Q68" s="23">
        <f t="shared" si="64"/>
        <v>0.9545036924739484</v>
      </c>
      <c r="R68" s="23">
        <f t="shared" si="64"/>
        <v>1.0412915615422045</v>
      </c>
      <c r="S68" s="23">
        <f t="shared" si="64"/>
        <v>1.0016401309448957</v>
      </c>
      <c r="T68" s="23">
        <f t="shared" si="64"/>
        <v>1.0012743234986454</v>
      </c>
      <c r="U68" s="23">
        <f t="shared" si="64"/>
        <v>0.99852817518723025</v>
      </c>
      <c r="V68" s="23">
        <f t="shared" si="64"/>
        <v>1.0682662938531626</v>
      </c>
      <c r="W68" s="23">
        <f t="shared" si="64"/>
        <v>1.174272785081643</v>
      </c>
      <c r="X68" s="23">
        <f t="shared" ref="X68:Y68" si="65">IF(X6=0,0,X18/X58)</f>
        <v>0.96882075157449432</v>
      </c>
      <c r="Y68" s="23">
        <f t="shared" si="65"/>
        <v>1.0878335958108529</v>
      </c>
      <c r="DA68" s="189"/>
    </row>
    <row r="69" spans="1:105" ht="11.45" customHeight="1" x14ac:dyDescent="0.25">
      <c r="A69" s="83" t="s">
        <v>27</v>
      </c>
      <c r="B69" s="91">
        <f t="shared" si="63"/>
        <v>0.82365467653309443</v>
      </c>
      <c r="C69" s="91">
        <f t="shared" ref="C69:W69" si="66">IF(C7=0,0,C19/C59)</f>
        <v>0.86635043085202956</v>
      </c>
      <c r="D69" s="91">
        <f t="shared" si="66"/>
        <v>0.83142879734978925</v>
      </c>
      <c r="E69" s="91">
        <f t="shared" si="66"/>
        <v>0.84405718747163483</v>
      </c>
      <c r="F69" s="91">
        <f t="shared" si="66"/>
        <v>0.91637888572358761</v>
      </c>
      <c r="G69" s="91">
        <f t="shared" si="66"/>
        <v>0.92412114178216864</v>
      </c>
      <c r="H69" s="91">
        <f t="shared" si="66"/>
        <v>0.93779817913867991</v>
      </c>
      <c r="I69" s="91">
        <f t="shared" si="66"/>
        <v>0.9444438907742233</v>
      </c>
      <c r="J69" s="91">
        <f t="shared" si="66"/>
        <v>0.88584823094273857</v>
      </c>
      <c r="K69" s="91">
        <f t="shared" si="66"/>
        <v>0.88633532910514967</v>
      </c>
      <c r="L69" s="91">
        <f t="shared" si="66"/>
        <v>0.86645155418769526</v>
      </c>
      <c r="M69" s="91">
        <f t="shared" si="66"/>
        <v>1.1064327335853075</v>
      </c>
      <c r="N69" s="91">
        <f t="shared" si="66"/>
        <v>1.0409210717633439</v>
      </c>
      <c r="O69" s="91">
        <f t="shared" si="66"/>
        <v>1.0841715761981652</v>
      </c>
      <c r="P69" s="91">
        <f t="shared" si="66"/>
        <v>1.1197350283037906</v>
      </c>
      <c r="Q69" s="91">
        <f t="shared" si="66"/>
        <v>1.2557884601254852</v>
      </c>
      <c r="R69" s="91">
        <f t="shared" si="66"/>
        <v>1.3834666423548068</v>
      </c>
      <c r="S69" s="91">
        <f t="shared" si="66"/>
        <v>1.3409678959556841</v>
      </c>
      <c r="T69" s="91">
        <f t="shared" si="66"/>
        <v>1.4320809842277149</v>
      </c>
      <c r="U69" s="91">
        <f t="shared" si="66"/>
        <v>1.2676798245924057</v>
      </c>
      <c r="V69" s="91">
        <f t="shared" si="66"/>
        <v>2.4956693467841835</v>
      </c>
      <c r="W69" s="91">
        <f t="shared" si="66"/>
        <v>3.2159356343059802</v>
      </c>
      <c r="X69" s="91">
        <f t="shared" ref="X69:Y69" si="67">IF(X7=0,0,X19/X59)</f>
        <v>2.2511000655209301</v>
      </c>
      <c r="Y69" s="91">
        <f t="shared" si="67"/>
        <v>2.0681483361024489</v>
      </c>
      <c r="DA69" s="171"/>
    </row>
    <row r="70" spans="1:105" ht="11.45" customHeight="1" x14ac:dyDescent="0.25">
      <c r="A70" s="83" t="s">
        <v>181</v>
      </c>
      <c r="B70" s="91">
        <f t="shared" si="63"/>
        <v>0.99621363131885188</v>
      </c>
      <c r="C70" s="91">
        <f t="shared" ref="C70:W70" si="68">IF(C8=0,0,C20/C60)</f>
        <v>0.97637340056032096</v>
      </c>
      <c r="D70" s="91">
        <f t="shared" si="68"/>
        <v>0.91660100121794208</v>
      </c>
      <c r="E70" s="91">
        <f t="shared" si="68"/>
        <v>0.81967257507572922</v>
      </c>
      <c r="F70" s="91">
        <f t="shared" si="68"/>
        <v>0.82223143495505169</v>
      </c>
      <c r="G70" s="91">
        <f t="shared" si="68"/>
        <v>0.91377555785288744</v>
      </c>
      <c r="H70" s="91">
        <f t="shared" si="68"/>
        <v>0.96396404009679504</v>
      </c>
      <c r="I70" s="91">
        <f t="shared" si="68"/>
        <v>0.96516655512314897</v>
      </c>
      <c r="J70" s="91">
        <f t="shared" si="68"/>
        <v>0.92829392985624715</v>
      </c>
      <c r="K70" s="91">
        <f t="shared" si="68"/>
        <v>0.88129457492785934</v>
      </c>
      <c r="L70" s="91">
        <f t="shared" si="68"/>
        <v>0.94364094068235116</v>
      </c>
      <c r="M70" s="91">
        <f t="shared" si="68"/>
        <v>0.9840533270715689</v>
      </c>
      <c r="N70" s="91">
        <f t="shared" si="68"/>
        <v>0.97305159121998297</v>
      </c>
      <c r="O70" s="91">
        <f t="shared" si="68"/>
        <v>0.97273813628172012</v>
      </c>
      <c r="P70" s="91">
        <f t="shared" si="68"/>
        <v>0.95210018712030708</v>
      </c>
      <c r="Q70" s="91">
        <f t="shared" si="68"/>
        <v>1.0168793076853899</v>
      </c>
      <c r="R70" s="91">
        <f t="shared" si="68"/>
        <v>1.1278847572653068</v>
      </c>
      <c r="S70" s="91">
        <f t="shared" si="68"/>
        <v>1.1118532422255196</v>
      </c>
      <c r="T70" s="91">
        <f t="shared" si="68"/>
        <v>1.1604325443142023</v>
      </c>
      <c r="U70" s="91">
        <f t="shared" si="68"/>
        <v>1.1785841296931447</v>
      </c>
      <c r="V70" s="91">
        <f t="shared" si="68"/>
        <v>0.9392421833870489</v>
      </c>
      <c r="W70" s="91">
        <f t="shared" si="68"/>
        <v>1.1651010854718484</v>
      </c>
      <c r="X70" s="91">
        <f t="shared" ref="X70:Y70" si="69">IF(X8=0,0,X20/X60)</f>
        <v>1.031566826644569</v>
      </c>
      <c r="Y70" s="91">
        <f t="shared" si="69"/>
        <v>1.2209816714915329</v>
      </c>
      <c r="DA70" s="171"/>
    </row>
    <row r="71" spans="1:105" ht="11.45" customHeight="1" x14ac:dyDescent="0.25">
      <c r="A71" s="83" t="s">
        <v>182</v>
      </c>
      <c r="B71" s="91">
        <f t="shared" si="63"/>
        <v>0.9051366915637904</v>
      </c>
      <c r="C71" s="91">
        <f t="shared" ref="C71:W71" si="70">IF(C9=0,0,C21/C61)</f>
        <v>0.88594904742498726</v>
      </c>
      <c r="D71" s="91">
        <f t="shared" si="70"/>
        <v>0.8327726428660579</v>
      </c>
      <c r="E71" s="91">
        <f t="shared" si="70"/>
        <v>0.74263187690221044</v>
      </c>
      <c r="F71" s="91">
        <f t="shared" si="70"/>
        <v>0.74333808726046535</v>
      </c>
      <c r="G71" s="91">
        <f t="shared" si="70"/>
        <v>0.73204072080460769</v>
      </c>
      <c r="H71" s="91">
        <f t="shared" si="70"/>
        <v>0.79996793671463873</v>
      </c>
      <c r="I71" s="91">
        <f t="shared" si="70"/>
        <v>0.90580496791577692</v>
      </c>
      <c r="J71" s="91">
        <f t="shared" si="70"/>
        <v>0.92702983942974659</v>
      </c>
      <c r="K71" s="91">
        <f t="shared" si="70"/>
        <v>0.93958489629632602</v>
      </c>
      <c r="L71" s="91">
        <f t="shared" si="70"/>
        <v>1.0061303112971995</v>
      </c>
      <c r="M71" s="91">
        <f t="shared" si="70"/>
        <v>0.99472475791928083</v>
      </c>
      <c r="N71" s="91">
        <f t="shared" si="70"/>
        <v>1.0106524914249777</v>
      </c>
      <c r="O71" s="91">
        <f t="shared" si="70"/>
        <v>0.97600723842254322</v>
      </c>
      <c r="P71" s="91">
        <f t="shared" si="70"/>
        <v>0.87966673288583441</v>
      </c>
      <c r="Q71" s="91">
        <f t="shared" si="70"/>
        <v>0.88744582556108909</v>
      </c>
      <c r="R71" s="91">
        <f t="shared" si="70"/>
        <v>0.95218878200462831</v>
      </c>
      <c r="S71" s="91">
        <f t="shared" si="70"/>
        <v>0.8951018475894893</v>
      </c>
      <c r="T71" s="91">
        <f t="shared" si="70"/>
        <v>0.86467658168314609</v>
      </c>
      <c r="U71" s="91">
        <f t="shared" si="70"/>
        <v>0.86420107938227531</v>
      </c>
      <c r="V71" s="91">
        <f t="shared" si="70"/>
        <v>1.1175977226130291</v>
      </c>
      <c r="W71" s="91">
        <f t="shared" si="70"/>
        <v>1.125952888714173</v>
      </c>
      <c r="X71" s="91">
        <f t="shared" ref="X71:Y71" si="71">IF(X9=0,0,X21/X61)</f>
        <v>0.88351968643971912</v>
      </c>
      <c r="Y71" s="91">
        <f t="shared" si="71"/>
        <v>0.96591352347117043</v>
      </c>
      <c r="DA71" s="171"/>
    </row>
    <row r="72" spans="1:105" ht="11.45" customHeight="1" x14ac:dyDescent="0.25">
      <c r="A72" s="12" t="s">
        <v>34</v>
      </c>
      <c r="B72" s="24">
        <f t="shared" si="63"/>
        <v>0.92716213096661204</v>
      </c>
      <c r="C72" s="24">
        <f t="shared" ref="C72:W72" si="72">IF(C10=0,0,C22/C62)</f>
        <v>0.90809818279485843</v>
      </c>
      <c r="D72" s="24">
        <f t="shared" si="72"/>
        <v>0.85921449337685707</v>
      </c>
      <c r="E72" s="24">
        <f t="shared" si="72"/>
        <v>0.76580652096934487</v>
      </c>
      <c r="F72" s="24">
        <f t="shared" si="72"/>
        <v>0.79612729574120755</v>
      </c>
      <c r="G72" s="24">
        <f t="shared" si="72"/>
        <v>0.82785502313241599</v>
      </c>
      <c r="H72" s="24">
        <f t="shared" si="72"/>
        <v>0.87205571593927689</v>
      </c>
      <c r="I72" s="24">
        <f t="shared" si="72"/>
        <v>0.90852328850597464</v>
      </c>
      <c r="J72" s="24">
        <f t="shared" si="72"/>
        <v>0.89541366440270953</v>
      </c>
      <c r="K72" s="24">
        <f t="shared" si="72"/>
        <v>0.86826966346607681</v>
      </c>
      <c r="L72" s="24">
        <f t="shared" si="72"/>
        <v>0.91970165904465517</v>
      </c>
      <c r="M72" s="24">
        <f t="shared" si="72"/>
        <v>0.97106061491439322</v>
      </c>
      <c r="N72" s="24">
        <f t="shared" si="72"/>
        <v>0.97629831805541578</v>
      </c>
      <c r="O72" s="24">
        <f t="shared" si="72"/>
        <v>0.96824212574259139</v>
      </c>
      <c r="P72" s="24">
        <f t="shared" si="72"/>
        <v>0.90201803801814562</v>
      </c>
      <c r="Q72" s="24">
        <f t="shared" si="72"/>
        <v>0.88553573240233863</v>
      </c>
      <c r="R72" s="24">
        <f t="shared" si="72"/>
        <v>0.94373267988641807</v>
      </c>
      <c r="S72" s="24">
        <f t="shared" si="72"/>
        <v>0.90874354675661684</v>
      </c>
      <c r="T72" s="24">
        <f t="shared" si="72"/>
        <v>0.87919748138908771</v>
      </c>
      <c r="U72" s="24">
        <f t="shared" si="72"/>
        <v>0.87057830737331865</v>
      </c>
      <c r="V72" s="24">
        <f t="shared" si="72"/>
        <v>0.99530688820072288</v>
      </c>
      <c r="W72" s="24">
        <f t="shared" si="72"/>
        <v>1.1396848607826695</v>
      </c>
      <c r="X72" s="24">
        <f t="shared" ref="X72:Y72" si="73">IF(X10=0,0,X22/X62)</f>
        <v>0.93054629639753939</v>
      </c>
      <c r="Y72" s="24">
        <f t="shared" si="73"/>
        <v>1.0473792961978678</v>
      </c>
      <c r="DA72" s="193"/>
    </row>
    <row r="73" spans="1:105" ht="11.45" customHeight="1" x14ac:dyDescent="0.25">
      <c r="A73" s="92" t="s">
        <v>27</v>
      </c>
      <c r="B73" s="93">
        <f t="shared" si="63"/>
        <v>0.82365467653309421</v>
      </c>
      <c r="C73" s="93">
        <f t="shared" ref="C73:W73" si="74">IF(C11=0,0,C23/C63)</f>
        <v>0.86635043085202967</v>
      </c>
      <c r="D73" s="93">
        <f t="shared" si="74"/>
        <v>0.83142879734978914</v>
      </c>
      <c r="E73" s="93">
        <f t="shared" si="74"/>
        <v>0.84405718747163472</v>
      </c>
      <c r="F73" s="93">
        <f t="shared" si="74"/>
        <v>0.91637888572358728</v>
      </c>
      <c r="G73" s="93">
        <f t="shared" si="74"/>
        <v>0.92412114178216842</v>
      </c>
      <c r="H73" s="93">
        <f t="shared" si="74"/>
        <v>0.93779817913868002</v>
      </c>
      <c r="I73" s="93">
        <f t="shared" si="74"/>
        <v>0.94444389077422342</v>
      </c>
      <c r="J73" s="93">
        <f t="shared" si="74"/>
        <v>0.88584823094273857</v>
      </c>
      <c r="K73" s="93">
        <f t="shared" si="74"/>
        <v>0.88633532910514978</v>
      </c>
      <c r="L73" s="93">
        <f t="shared" si="74"/>
        <v>0.86645155418769548</v>
      </c>
      <c r="M73" s="93">
        <f t="shared" si="74"/>
        <v>1.1064327335853077</v>
      </c>
      <c r="N73" s="93">
        <f t="shared" si="74"/>
        <v>1.0409210717633437</v>
      </c>
      <c r="O73" s="93">
        <f t="shared" si="74"/>
        <v>1.0841715761981652</v>
      </c>
      <c r="P73" s="93">
        <f t="shared" si="74"/>
        <v>1.1197350283037906</v>
      </c>
      <c r="Q73" s="93">
        <f t="shared" si="74"/>
        <v>1.2557884601254854</v>
      </c>
      <c r="R73" s="93">
        <f t="shared" si="74"/>
        <v>1.3834666423548068</v>
      </c>
      <c r="S73" s="93">
        <f t="shared" si="74"/>
        <v>1.3409678959556839</v>
      </c>
      <c r="T73" s="93">
        <f t="shared" si="74"/>
        <v>1.4320809842277149</v>
      </c>
      <c r="U73" s="93">
        <f t="shared" si="74"/>
        <v>1.2676798245924057</v>
      </c>
      <c r="V73" s="93">
        <f t="shared" si="74"/>
        <v>2.4956693467841831</v>
      </c>
      <c r="W73" s="93">
        <f t="shared" si="74"/>
        <v>3.2159356343059797</v>
      </c>
      <c r="X73" s="93">
        <f t="shared" ref="X73:Y73" si="75">IF(X11=0,0,X23/X63)</f>
        <v>2.2511000655209306</v>
      </c>
      <c r="Y73" s="93">
        <f t="shared" si="75"/>
        <v>2.0681483361024484</v>
      </c>
      <c r="DA73" s="175"/>
    </row>
    <row r="74" spans="1:105" ht="11.45" customHeight="1" x14ac:dyDescent="0.25">
      <c r="A74" s="92" t="s">
        <v>181</v>
      </c>
      <c r="B74" s="93">
        <f t="shared" si="63"/>
        <v>1.0049029258387785</v>
      </c>
      <c r="C74" s="93">
        <f t="shared" ref="C74:W74" si="76">IF(C12=0,0,C24/C64)</f>
        <v>0.98217648699840099</v>
      </c>
      <c r="D74" s="93">
        <f t="shared" si="76"/>
        <v>0.92586706108982286</v>
      </c>
      <c r="E74" s="93">
        <f t="shared" si="76"/>
        <v>0.82485625044663602</v>
      </c>
      <c r="F74" s="93">
        <f t="shared" si="76"/>
        <v>0.85284698301342843</v>
      </c>
      <c r="G74" s="93">
        <f t="shared" si="76"/>
        <v>0.93806647818460231</v>
      </c>
      <c r="H74" s="93">
        <f t="shared" si="76"/>
        <v>0.95210365647079842</v>
      </c>
      <c r="I74" s="93">
        <f t="shared" si="76"/>
        <v>0.95383693115618062</v>
      </c>
      <c r="J74" s="93">
        <f t="shared" si="76"/>
        <v>0.920746844363585</v>
      </c>
      <c r="K74" s="93">
        <f t="shared" si="76"/>
        <v>0.86992856799773677</v>
      </c>
      <c r="L74" s="93">
        <f t="shared" si="76"/>
        <v>0.92000805750123271</v>
      </c>
      <c r="M74" s="93">
        <f t="shared" si="76"/>
        <v>1.0196449239488248</v>
      </c>
      <c r="N74" s="93">
        <f t="shared" si="76"/>
        <v>1.0417752474627426</v>
      </c>
      <c r="O74" s="93">
        <f t="shared" si="76"/>
        <v>1.0664509620155644</v>
      </c>
      <c r="P74" s="93">
        <f t="shared" si="76"/>
        <v>1.0303832049477903</v>
      </c>
      <c r="Q74" s="93">
        <f t="shared" si="76"/>
        <v>1.0392940643161073</v>
      </c>
      <c r="R74" s="93">
        <f t="shared" si="76"/>
        <v>1.1435561215530261</v>
      </c>
      <c r="S74" s="93">
        <f t="shared" si="76"/>
        <v>1.1368636130115077</v>
      </c>
      <c r="T74" s="93">
        <f t="shared" si="76"/>
        <v>1.1749315919884964</v>
      </c>
      <c r="U74" s="93">
        <f t="shared" si="76"/>
        <v>1.143939150320564</v>
      </c>
      <c r="V74" s="93">
        <f t="shared" si="76"/>
        <v>0.98608465746198493</v>
      </c>
      <c r="W74" s="93">
        <f t="shared" si="76"/>
        <v>1.2121113730555442</v>
      </c>
      <c r="X74" s="93">
        <f t="shared" ref="X74:Y74" si="77">IF(X12=0,0,X24/X64)</f>
        <v>1.0298917696095353</v>
      </c>
      <c r="Y74" s="93">
        <f t="shared" si="77"/>
        <v>1.1935852842762558</v>
      </c>
      <c r="DA74" s="175"/>
    </row>
    <row r="75" spans="1:105" ht="11.45" customHeight="1" x14ac:dyDescent="0.25">
      <c r="A75" s="85" t="s">
        <v>182</v>
      </c>
      <c r="B75" s="94">
        <f t="shared" si="63"/>
        <v>0.81462302240741136</v>
      </c>
      <c r="C75" s="94">
        <f t="shared" ref="C75:W75" si="78">IF(C13=0,0,C25/C65)</f>
        <v>0.79735414268248839</v>
      </c>
      <c r="D75" s="94">
        <f t="shared" si="78"/>
        <v>0.74949537857945214</v>
      </c>
      <c r="E75" s="94">
        <f t="shared" si="78"/>
        <v>0.66836868921198944</v>
      </c>
      <c r="F75" s="94">
        <f t="shared" si="78"/>
        <v>0.66900427853441891</v>
      </c>
      <c r="G75" s="94">
        <f t="shared" si="78"/>
        <v>0.65883664872414682</v>
      </c>
      <c r="H75" s="94">
        <f t="shared" si="78"/>
        <v>0.71997114304317489</v>
      </c>
      <c r="I75" s="94">
        <f t="shared" si="78"/>
        <v>0.81522447112419927</v>
      </c>
      <c r="J75" s="94">
        <f t="shared" si="78"/>
        <v>0.83432685548677199</v>
      </c>
      <c r="K75" s="94">
        <f t="shared" si="78"/>
        <v>0.84562640666669331</v>
      </c>
      <c r="L75" s="94">
        <f t="shared" si="78"/>
        <v>0.90551728016747979</v>
      </c>
      <c r="M75" s="94">
        <f t="shared" si="78"/>
        <v>0.89525228212735297</v>
      </c>
      <c r="N75" s="94">
        <f t="shared" si="78"/>
        <v>0.90958724228248011</v>
      </c>
      <c r="O75" s="94">
        <f t="shared" si="78"/>
        <v>0.87840651458028862</v>
      </c>
      <c r="P75" s="94">
        <f t="shared" si="78"/>
        <v>0.79170005959725109</v>
      </c>
      <c r="Q75" s="94">
        <f t="shared" si="78"/>
        <v>0.79870124300498035</v>
      </c>
      <c r="R75" s="94">
        <f t="shared" si="78"/>
        <v>0.8569699038041656</v>
      </c>
      <c r="S75" s="94">
        <f t="shared" si="78"/>
        <v>0.80559166283054029</v>
      </c>
      <c r="T75" s="94">
        <f t="shared" si="78"/>
        <v>0.7782089235148314</v>
      </c>
      <c r="U75" s="94">
        <f t="shared" si="78"/>
        <v>0.77778097144404756</v>
      </c>
      <c r="V75" s="94">
        <f t="shared" si="78"/>
        <v>1.0058379503517265</v>
      </c>
      <c r="W75" s="94">
        <f t="shared" si="78"/>
        <v>1.0133575998427558</v>
      </c>
      <c r="X75" s="94">
        <f t="shared" ref="X75:Y75" si="79">IF(X13=0,0,X25/X65)</f>
        <v>0.79516771779574735</v>
      </c>
      <c r="Y75" s="94">
        <f t="shared" si="79"/>
        <v>0.86932217112405341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1777.4148290400001</v>
      </c>
      <c r="C3" s="79">
        <f t="shared" si="0"/>
        <v>1727.6023652400002</v>
      </c>
      <c r="D3" s="79">
        <f t="shared" ref="D3" si="1">SUM(D4:D5)</f>
        <v>1624.7329574399998</v>
      </c>
      <c r="E3" s="79">
        <f t="shared" ref="E3" si="2">SUM(E4:E5)</f>
        <v>1537.6927514399999</v>
      </c>
      <c r="F3" s="79">
        <f t="shared" ref="F3" si="3">SUM(F4:F5)</f>
        <v>1811.5292437199998</v>
      </c>
      <c r="G3" s="79">
        <f t="shared" ref="G3" si="4">SUM(G4:G5)</f>
        <v>2040.2675992799998</v>
      </c>
      <c r="H3" s="79">
        <f t="shared" ref="H3" si="5">SUM(H4:H5)</f>
        <v>2135.22090084</v>
      </c>
      <c r="I3" s="79">
        <f t="shared" ref="I3" si="6">SUM(I4:I5)</f>
        <v>2263.0005676800006</v>
      </c>
      <c r="J3" s="79">
        <f t="shared" ref="J3" si="7">SUM(J4:J5)</f>
        <v>2266.7535838799995</v>
      </c>
      <c r="K3" s="79">
        <f t="shared" ref="K3" si="8">SUM(K4:K5)</f>
        <v>1979.13622068</v>
      </c>
      <c r="L3" s="79">
        <f t="shared" ref="L3" si="9">SUM(L4:L5)</f>
        <v>2114.3857687200002</v>
      </c>
      <c r="M3" s="79">
        <f t="shared" ref="M3" si="10">SUM(M4:M5)</f>
        <v>2214.2725948800003</v>
      </c>
      <c r="N3" s="79">
        <f t="shared" ref="N3" si="11">SUM(N4:N5)</f>
        <v>2147.1303196800009</v>
      </c>
      <c r="O3" s="79">
        <f t="shared" ref="O3" si="12">SUM(O4:O5)</f>
        <v>2049.6750876000006</v>
      </c>
      <c r="P3" s="79">
        <f t="shared" ref="P3" si="13">SUM(P4:P5)</f>
        <v>2049.1616566800003</v>
      </c>
      <c r="Q3" s="79">
        <f t="shared" ref="Q3" si="14">SUM(Q4:Q5)</f>
        <v>2198.2164033599993</v>
      </c>
      <c r="R3" s="79">
        <f t="shared" ref="R3" si="15">SUM(R4:R5)</f>
        <v>2391.5482722000002</v>
      </c>
      <c r="S3" s="79">
        <f t="shared" ref="S3" si="16">SUM(S4:S5)</f>
        <v>2309.3124865199998</v>
      </c>
      <c r="T3" s="79">
        <f t="shared" ref="T3" si="17">SUM(T4:T5)</f>
        <v>2594.0980454399996</v>
      </c>
      <c r="U3" s="79">
        <f t="shared" ref="U3" si="18">SUM(U4:U5)</f>
        <v>2967.1060481999998</v>
      </c>
      <c r="V3" s="79">
        <f t="shared" ref="V3:W3" si="19">SUM(V4:V5)</f>
        <v>1007.7431792400001</v>
      </c>
      <c r="W3" s="79">
        <f t="shared" si="19"/>
        <v>1262.9367579599998</v>
      </c>
      <c r="X3" s="79">
        <f t="shared" ref="X3:Y3" si="20">SUM(X4:X5)</f>
        <v>1902.7184504400002</v>
      </c>
      <c r="Y3" s="79">
        <f t="shared" si="20"/>
        <v>2658.5276407200004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105.58875276000002</v>
      </c>
      <c r="C4" s="96">
        <f t="shared" si="21"/>
        <v>99.362097720000008</v>
      </c>
      <c r="D4" s="96">
        <f t="shared" ref="D4:V4" si="22">SUM(D7,D11)</f>
        <v>102.34401372000002</v>
      </c>
      <c r="E4" s="96">
        <f t="shared" si="22"/>
        <v>99.362097720000037</v>
      </c>
      <c r="F4" s="96">
        <f t="shared" si="22"/>
        <v>105.45734124000001</v>
      </c>
      <c r="G4" s="96">
        <f t="shared" si="22"/>
        <v>106.68724344</v>
      </c>
      <c r="H4" s="96">
        <f t="shared" si="22"/>
        <v>112.15878048</v>
      </c>
      <c r="I4" s="96">
        <f t="shared" si="22"/>
        <v>114.62313203999999</v>
      </c>
      <c r="J4" s="96">
        <f t="shared" si="22"/>
        <v>112.28046624</v>
      </c>
      <c r="K4" s="96">
        <f t="shared" si="22"/>
        <v>109.54628964</v>
      </c>
      <c r="L4" s="96">
        <f t="shared" si="22"/>
        <v>106.37182944</v>
      </c>
      <c r="M4" s="96">
        <f t="shared" si="22"/>
        <v>105.04626227999998</v>
      </c>
      <c r="N4" s="96">
        <f t="shared" si="22"/>
        <v>98.795061720000007</v>
      </c>
      <c r="O4" s="96">
        <f t="shared" si="22"/>
        <v>98.223382799999982</v>
      </c>
      <c r="P4" s="96">
        <f t="shared" si="22"/>
        <v>95.111715960000012</v>
      </c>
      <c r="Q4" s="96">
        <f t="shared" si="22"/>
        <v>95.647953239999978</v>
      </c>
      <c r="R4" s="96">
        <f t="shared" si="22"/>
        <v>93.861570960000009</v>
      </c>
      <c r="S4" s="96">
        <f t="shared" si="22"/>
        <v>89.538437160000015</v>
      </c>
      <c r="T4" s="96">
        <f t="shared" si="22"/>
        <v>93.634793999999999</v>
      </c>
      <c r="U4" s="96">
        <f t="shared" si="22"/>
        <v>77.515165080000003</v>
      </c>
      <c r="V4" s="96">
        <f t="shared" si="22"/>
        <v>50.079440880000007</v>
      </c>
      <c r="W4" s="96">
        <f t="shared" ref="W4:Y4" si="23">SUM(W7,W11)</f>
        <v>49.281294960000004</v>
      </c>
      <c r="X4" s="96">
        <f t="shared" si="23"/>
        <v>54.463406400000018</v>
      </c>
      <c r="Y4" s="96">
        <f t="shared" si="23"/>
        <v>55.503957239999991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1671.8260762800001</v>
      </c>
      <c r="C5" s="96">
        <f t="shared" si="24"/>
        <v>1628.2402675200001</v>
      </c>
      <c r="D5" s="96">
        <f t="shared" ref="D5:V5" si="25">SUM(D8:D9,D12:D13)</f>
        <v>1522.3889437199998</v>
      </c>
      <c r="E5" s="96">
        <f t="shared" si="25"/>
        <v>1438.3306537199999</v>
      </c>
      <c r="F5" s="96">
        <f t="shared" si="25"/>
        <v>1706.0719024799998</v>
      </c>
      <c r="G5" s="96">
        <f t="shared" si="25"/>
        <v>1933.5803558399998</v>
      </c>
      <c r="H5" s="96">
        <f t="shared" si="25"/>
        <v>2023.0621203600001</v>
      </c>
      <c r="I5" s="96">
        <f t="shared" si="25"/>
        <v>2148.3774356400004</v>
      </c>
      <c r="J5" s="96">
        <f t="shared" si="25"/>
        <v>2154.4731176399996</v>
      </c>
      <c r="K5" s="96">
        <f t="shared" si="25"/>
        <v>1869.58993104</v>
      </c>
      <c r="L5" s="96">
        <f t="shared" si="25"/>
        <v>2008.0139392800002</v>
      </c>
      <c r="M5" s="96">
        <f t="shared" si="25"/>
        <v>2109.2263326000002</v>
      </c>
      <c r="N5" s="96">
        <f t="shared" si="25"/>
        <v>2048.3352579600009</v>
      </c>
      <c r="O5" s="96">
        <f t="shared" si="25"/>
        <v>1951.4517048000005</v>
      </c>
      <c r="P5" s="96">
        <f t="shared" si="25"/>
        <v>1954.0499407200004</v>
      </c>
      <c r="Q5" s="96">
        <f t="shared" si="25"/>
        <v>2102.5684501199994</v>
      </c>
      <c r="R5" s="96">
        <f t="shared" si="25"/>
        <v>2297.6867012400003</v>
      </c>
      <c r="S5" s="96">
        <f t="shared" si="25"/>
        <v>2219.7740493599999</v>
      </c>
      <c r="T5" s="96">
        <f t="shared" si="25"/>
        <v>2500.4632514399996</v>
      </c>
      <c r="U5" s="96">
        <f t="shared" si="25"/>
        <v>2889.5908831199999</v>
      </c>
      <c r="V5" s="96">
        <f t="shared" si="25"/>
        <v>957.66373836000014</v>
      </c>
      <c r="W5" s="96">
        <f t="shared" ref="W5:Y5" si="26">SUM(W8:W9,W12:W13)</f>
        <v>1213.6554629999998</v>
      </c>
      <c r="X5" s="96">
        <f t="shared" si="26"/>
        <v>1848.2550440400003</v>
      </c>
      <c r="Y5" s="96">
        <f t="shared" si="26"/>
        <v>2603.0236834800003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1750.4417548732422</v>
      </c>
      <c r="C6" s="21">
        <f t="shared" si="27"/>
        <v>1704.6316769135301</v>
      </c>
      <c r="D6" s="21">
        <f t="shared" ref="D6:V6" si="28">SUM(D7:D9)</f>
        <v>1598.075812007914</v>
      </c>
      <c r="E6" s="21">
        <f t="shared" si="28"/>
        <v>1512.4288056601836</v>
      </c>
      <c r="F6" s="21">
        <f t="shared" si="28"/>
        <v>1773.8237419475413</v>
      </c>
      <c r="G6" s="21">
        <f t="shared" si="28"/>
        <v>1993.9673741964921</v>
      </c>
      <c r="H6" s="21">
        <f t="shared" si="28"/>
        <v>2084.8498248832311</v>
      </c>
      <c r="I6" s="21">
        <f t="shared" si="28"/>
        <v>2216.1545187896154</v>
      </c>
      <c r="J6" s="21">
        <f t="shared" si="28"/>
        <v>2223.3101038683726</v>
      </c>
      <c r="K6" s="21">
        <f t="shared" si="28"/>
        <v>1942.8718379171905</v>
      </c>
      <c r="L6" s="21">
        <f t="shared" si="28"/>
        <v>2073.1866283709678</v>
      </c>
      <c r="M6" s="21">
        <f t="shared" si="28"/>
        <v>2162.9253944384409</v>
      </c>
      <c r="N6" s="21">
        <f t="shared" si="28"/>
        <v>2094.732800611182</v>
      </c>
      <c r="O6" s="21">
        <f t="shared" si="28"/>
        <v>1992.6019977610797</v>
      </c>
      <c r="P6" s="21">
        <f t="shared" si="28"/>
        <v>1988.3764648856668</v>
      </c>
      <c r="Q6" s="21">
        <f t="shared" si="28"/>
        <v>2126.2750993244208</v>
      </c>
      <c r="R6" s="21">
        <f t="shared" si="28"/>
        <v>2316.7976331836094</v>
      </c>
      <c r="S6" s="21">
        <f t="shared" si="28"/>
        <v>2226.9737104377646</v>
      </c>
      <c r="T6" s="21">
        <f t="shared" si="28"/>
        <v>2497.9830318970862</v>
      </c>
      <c r="U6" s="21">
        <f t="shared" si="28"/>
        <v>2865.2734402577744</v>
      </c>
      <c r="V6" s="21">
        <f t="shared" si="28"/>
        <v>957.59561791401575</v>
      </c>
      <c r="W6" s="21">
        <f t="shared" ref="W6:Y6" si="29">SUM(W7:W9)</f>
        <v>1207.0116905538598</v>
      </c>
      <c r="X6" s="21">
        <f t="shared" si="29"/>
        <v>1847.3641787938166</v>
      </c>
      <c r="Y6" s="21">
        <f t="shared" si="29"/>
        <v>2594.9749386971453</v>
      </c>
      <c r="DA6" s="189" t="s">
        <v>327</v>
      </c>
    </row>
    <row r="7" spans="1:105" ht="11.45" customHeight="1" x14ac:dyDescent="0.25">
      <c r="A7" s="83" t="s">
        <v>27</v>
      </c>
      <c r="B7" s="96">
        <v>105.00501755954922</v>
      </c>
      <c r="C7" s="96">
        <v>98.981559271069202</v>
      </c>
      <c r="D7" s="96">
        <v>101.97908519353123</v>
      </c>
      <c r="E7" s="96">
        <v>98.991351424400605</v>
      </c>
      <c r="F7" s="96">
        <v>104.93710734504441</v>
      </c>
      <c r="G7" s="96">
        <v>106.14525984271029</v>
      </c>
      <c r="H7" s="96">
        <v>111.59495268388936</v>
      </c>
      <c r="I7" s="96">
        <v>114.12396607508448</v>
      </c>
      <c r="J7" s="96">
        <v>111.78112584445867</v>
      </c>
      <c r="K7" s="96">
        <v>109.08015682655514</v>
      </c>
      <c r="L7" s="96">
        <v>105.99385619841509</v>
      </c>
      <c r="M7" s="96">
        <v>104.6986135790826</v>
      </c>
      <c r="N7" s="96">
        <v>98.557616630739531</v>
      </c>
      <c r="O7" s="96">
        <v>98.036968880892218</v>
      </c>
      <c r="P7" s="96">
        <v>94.986944260335974</v>
      </c>
      <c r="Q7" s="96">
        <v>95.516090268862698</v>
      </c>
      <c r="R7" s="96">
        <v>93.781178533468051</v>
      </c>
      <c r="S7" s="96">
        <v>89.476565547975056</v>
      </c>
      <c r="T7" s="96">
        <v>93.56932799882982</v>
      </c>
      <c r="U7" s="96">
        <v>77.500343625789313</v>
      </c>
      <c r="V7" s="96">
        <v>50.065095288108608</v>
      </c>
      <c r="W7" s="96">
        <v>49.262821875847195</v>
      </c>
      <c r="X7" s="96">
        <v>54.450350711554009</v>
      </c>
      <c r="Y7" s="96">
        <v>55.490997921924844</v>
      </c>
      <c r="DA7" s="171" t="s">
        <v>328</v>
      </c>
    </row>
    <row r="8" spans="1:105" ht="11.45" customHeight="1" x14ac:dyDescent="0.25">
      <c r="A8" s="83" t="s">
        <v>181</v>
      </c>
      <c r="B8" s="96">
        <v>833.37335148440252</v>
      </c>
      <c r="C8" s="96">
        <v>799.27625886746148</v>
      </c>
      <c r="D8" s="96">
        <v>751.33878075691939</v>
      </c>
      <c r="E8" s="96">
        <v>717.98628144041948</v>
      </c>
      <c r="F8" s="96">
        <v>800.48135522917471</v>
      </c>
      <c r="G8" s="96">
        <v>904.0706687869847</v>
      </c>
      <c r="H8" s="96">
        <v>952.87252814549004</v>
      </c>
      <c r="I8" s="96">
        <v>1031.5155078059179</v>
      </c>
      <c r="J8" s="96">
        <v>1023.0494696279443</v>
      </c>
      <c r="K8" s="96">
        <v>867.86642955675575</v>
      </c>
      <c r="L8" s="96">
        <v>926.74663844115673</v>
      </c>
      <c r="M8" s="96">
        <v>970.8130953972377</v>
      </c>
      <c r="N8" s="96">
        <v>928.58058390490226</v>
      </c>
      <c r="O8" s="96">
        <v>875.87614649907459</v>
      </c>
      <c r="P8" s="96">
        <v>881.9871299062587</v>
      </c>
      <c r="Q8" s="96">
        <v>953.10117761824586</v>
      </c>
      <c r="R8" s="96">
        <v>1084.5929307461574</v>
      </c>
      <c r="S8" s="96">
        <v>1062.2179494563302</v>
      </c>
      <c r="T8" s="96">
        <v>1191.4573640542271</v>
      </c>
      <c r="U8" s="96">
        <v>1352.4141091319241</v>
      </c>
      <c r="V8" s="96">
        <v>378.92191665567867</v>
      </c>
      <c r="W8" s="96">
        <v>522.43493870165412</v>
      </c>
      <c r="X8" s="96">
        <v>902.35088957963217</v>
      </c>
      <c r="Y8" s="96">
        <v>1250.3356542236031</v>
      </c>
      <c r="DA8" s="171" t="s">
        <v>329</v>
      </c>
    </row>
    <row r="9" spans="1:105" ht="11.45" customHeight="1" x14ac:dyDescent="0.25">
      <c r="A9" s="83" t="s">
        <v>182</v>
      </c>
      <c r="B9" s="96">
        <v>812.06338582929061</v>
      </c>
      <c r="C9" s="96">
        <v>806.37385877499935</v>
      </c>
      <c r="D9" s="96">
        <v>744.75794605746341</v>
      </c>
      <c r="E9" s="96">
        <v>695.45117279536339</v>
      </c>
      <c r="F9" s="96">
        <v>868.40527937332206</v>
      </c>
      <c r="G9" s="96">
        <v>983.75144556679709</v>
      </c>
      <c r="H9" s="96">
        <v>1020.3823440538516</v>
      </c>
      <c r="I9" s="96">
        <v>1070.5150449086132</v>
      </c>
      <c r="J9" s="96">
        <v>1088.4795083959696</v>
      </c>
      <c r="K9" s="96">
        <v>965.92525153387965</v>
      </c>
      <c r="L9" s="96">
        <v>1040.4461337313962</v>
      </c>
      <c r="M9" s="96">
        <v>1087.4136854621204</v>
      </c>
      <c r="N9" s="96">
        <v>1067.59460007554</v>
      </c>
      <c r="O9" s="96">
        <v>1018.6888823811129</v>
      </c>
      <c r="P9" s="96">
        <v>1011.4023907190723</v>
      </c>
      <c r="Q9" s="96">
        <v>1077.6578314373126</v>
      </c>
      <c r="R9" s="96">
        <v>1138.423523903984</v>
      </c>
      <c r="S9" s="96">
        <v>1075.2791954334593</v>
      </c>
      <c r="T9" s="96">
        <v>1212.9563398440293</v>
      </c>
      <c r="U9" s="96">
        <v>1435.3589875000612</v>
      </c>
      <c r="V9" s="96">
        <v>528.6086059702285</v>
      </c>
      <c r="W9" s="96">
        <v>635.31392997635851</v>
      </c>
      <c r="X9" s="96">
        <v>890.56293850263035</v>
      </c>
      <c r="Y9" s="96">
        <v>1289.148286551617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26.973074166757776</v>
      </c>
      <c r="C10" s="22">
        <f t="shared" si="30"/>
        <v>22.970688326470139</v>
      </c>
      <c r="D10" s="22">
        <f t="shared" ref="D10:V10" si="31">SUM(D11:D13)</f>
        <v>26.657145432085784</v>
      </c>
      <c r="E10" s="22">
        <f t="shared" si="31"/>
        <v>25.263945779816392</v>
      </c>
      <c r="F10" s="22">
        <f t="shared" si="31"/>
        <v>37.705501772458703</v>
      </c>
      <c r="G10" s="22">
        <f t="shared" si="31"/>
        <v>46.300225083507804</v>
      </c>
      <c r="H10" s="22">
        <f t="shared" si="31"/>
        <v>50.371075956769111</v>
      </c>
      <c r="I10" s="22">
        <f t="shared" si="31"/>
        <v>46.846048890385077</v>
      </c>
      <c r="J10" s="22">
        <f t="shared" si="31"/>
        <v>43.4434800116275</v>
      </c>
      <c r="K10" s="22">
        <f t="shared" si="31"/>
        <v>36.264382762809461</v>
      </c>
      <c r="L10" s="22">
        <f t="shared" si="31"/>
        <v>41.19914034903222</v>
      </c>
      <c r="M10" s="22">
        <f t="shared" si="31"/>
        <v>51.347200441559536</v>
      </c>
      <c r="N10" s="22">
        <f t="shared" si="31"/>
        <v>52.397519068818845</v>
      </c>
      <c r="O10" s="22">
        <f t="shared" si="31"/>
        <v>57.073089838920609</v>
      </c>
      <c r="P10" s="22">
        <f t="shared" si="31"/>
        <v>60.785191794333514</v>
      </c>
      <c r="Q10" s="22">
        <f t="shared" si="31"/>
        <v>71.941304035578256</v>
      </c>
      <c r="R10" s="22">
        <f t="shared" si="31"/>
        <v>74.750639016390792</v>
      </c>
      <c r="S10" s="22">
        <f t="shared" si="31"/>
        <v>82.338776082235427</v>
      </c>
      <c r="T10" s="22">
        <f t="shared" si="31"/>
        <v>96.115013542913701</v>
      </c>
      <c r="U10" s="22">
        <f t="shared" si="31"/>
        <v>101.83260794222554</v>
      </c>
      <c r="V10" s="22">
        <f t="shared" si="31"/>
        <v>50.147561325984341</v>
      </c>
      <c r="W10" s="22">
        <f t="shared" ref="W10:Y10" si="32">SUM(W11:W13)</f>
        <v>55.925067406139995</v>
      </c>
      <c r="X10" s="22">
        <f t="shared" si="32"/>
        <v>55.354271646183584</v>
      </c>
      <c r="Y10" s="22">
        <f t="shared" si="32"/>
        <v>63.552702022854973</v>
      </c>
      <c r="DA10" s="193" t="s">
        <v>331</v>
      </c>
    </row>
    <row r="11" spans="1:105" ht="11.45" customHeight="1" x14ac:dyDescent="0.25">
      <c r="A11" s="92" t="s">
        <v>27</v>
      </c>
      <c r="B11" s="97">
        <v>0.58373520045079708</v>
      </c>
      <c r="C11" s="97">
        <v>0.38053844893081284</v>
      </c>
      <c r="D11" s="97">
        <v>0.36492852646878166</v>
      </c>
      <c r="E11" s="97">
        <v>0.37074629559943006</v>
      </c>
      <c r="F11" s="97">
        <v>0.52023389495559091</v>
      </c>
      <c r="G11" s="97">
        <v>0.54198359728971546</v>
      </c>
      <c r="H11" s="97">
        <v>0.56382779611064826</v>
      </c>
      <c r="I11" s="97">
        <v>0.4991659649155098</v>
      </c>
      <c r="J11" s="97">
        <v>0.4993403955413277</v>
      </c>
      <c r="K11" s="97">
        <v>0.46613281344486396</v>
      </c>
      <c r="L11" s="97">
        <v>0.3779732415849143</v>
      </c>
      <c r="M11" s="97">
        <v>0.34764870091737682</v>
      </c>
      <c r="N11" s="97">
        <v>0.23744508926047186</v>
      </c>
      <c r="O11" s="97">
        <v>0.18641391910775795</v>
      </c>
      <c r="P11" s="97">
        <v>0.12477169966404036</v>
      </c>
      <c r="Q11" s="97">
        <v>0.13186297113727938</v>
      </c>
      <c r="R11" s="97">
        <v>8.0392426531964586E-2</v>
      </c>
      <c r="S11" s="97">
        <v>6.1871612024955253E-2</v>
      </c>
      <c r="T11" s="97">
        <v>6.5466001170175064E-2</v>
      </c>
      <c r="U11" s="97">
        <v>1.4821454210683958E-2</v>
      </c>
      <c r="V11" s="97">
        <v>1.4345591891399662E-2</v>
      </c>
      <c r="W11" s="97">
        <v>1.8473084152811532E-2</v>
      </c>
      <c r="X11" s="97">
        <v>1.3055688446009614E-2</v>
      </c>
      <c r="Y11" s="97">
        <v>1.2959318075145252E-2</v>
      </c>
      <c r="DA11" s="175" t="s">
        <v>332</v>
      </c>
    </row>
    <row r="12" spans="1:105" ht="11.45" customHeight="1" x14ac:dyDescent="0.25">
      <c r="A12" s="92" t="s">
        <v>181</v>
      </c>
      <c r="B12" s="97">
        <v>15.521124363770786</v>
      </c>
      <c r="C12" s="97">
        <v>13.662226855416337</v>
      </c>
      <c r="D12" s="97">
        <v>16.688126547108066</v>
      </c>
      <c r="E12" s="97">
        <v>15.647269963428386</v>
      </c>
      <c r="F12" s="97">
        <v>26.248938201753027</v>
      </c>
      <c r="G12" s="97">
        <v>30.489046870152539</v>
      </c>
      <c r="H12" s="97">
        <v>34.487698962275616</v>
      </c>
      <c r="I12" s="97">
        <v>30.992118036814773</v>
      </c>
      <c r="J12" s="97">
        <v>28.595225228777515</v>
      </c>
      <c r="K12" s="97">
        <v>24.919741328219438</v>
      </c>
      <c r="L12" s="97">
        <v>28.611678721322093</v>
      </c>
      <c r="M12" s="97">
        <v>31.211041755579839</v>
      </c>
      <c r="N12" s="97">
        <v>27.256265200505787</v>
      </c>
      <c r="O12" s="97">
        <v>29.421948445348242</v>
      </c>
      <c r="P12" s="97">
        <v>31.746186498000181</v>
      </c>
      <c r="Q12" s="97">
        <v>30.094419491308511</v>
      </c>
      <c r="R12" s="97">
        <v>27.210532904946245</v>
      </c>
      <c r="S12" s="97">
        <v>31.930565896615068</v>
      </c>
      <c r="T12" s="97">
        <v>32.56030233465453</v>
      </c>
      <c r="U12" s="97">
        <v>33.883880558812926</v>
      </c>
      <c r="V12" s="97">
        <v>27.082544447333245</v>
      </c>
      <c r="W12" s="97">
        <v>37.705498390051737</v>
      </c>
      <c r="X12" s="97">
        <v>35.285471129448979</v>
      </c>
      <c r="Y12" s="97">
        <v>39.734015503804407</v>
      </c>
      <c r="DA12" s="175" t="s">
        <v>333</v>
      </c>
    </row>
    <row r="13" spans="1:105" ht="11.45" customHeight="1" x14ac:dyDescent="0.25">
      <c r="A13" s="85" t="s">
        <v>182</v>
      </c>
      <c r="B13" s="98">
        <v>10.868214602536193</v>
      </c>
      <c r="C13" s="98">
        <v>8.9279230221229895</v>
      </c>
      <c r="D13" s="98">
        <v>9.6040903585089392</v>
      </c>
      <c r="E13" s="98">
        <v>9.2459295207885752</v>
      </c>
      <c r="F13" s="98">
        <v>10.936329675750081</v>
      </c>
      <c r="G13" s="98">
        <v>15.269194616065553</v>
      </c>
      <c r="H13" s="98">
        <v>15.319549198382845</v>
      </c>
      <c r="I13" s="98">
        <v>15.354764888654799</v>
      </c>
      <c r="J13" s="98">
        <v>14.34891438730866</v>
      </c>
      <c r="K13" s="98">
        <v>10.878508621145158</v>
      </c>
      <c r="L13" s="98">
        <v>12.209488386125214</v>
      </c>
      <c r="M13" s="98">
        <v>19.788509985062323</v>
      </c>
      <c r="N13" s="98">
        <v>24.903808779052586</v>
      </c>
      <c r="O13" s="98">
        <v>27.46472747446461</v>
      </c>
      <c r="P13" s="98">
        <v>28.914233596669295</v>
      </c>
      <c r="Q13" s="98">
        <v>41.715021573132468</v>
      </c>
      <c r="R13" s="98">
        <v>47.459713684912579</v>
      </c>
      <c r="S13" s="98">
        <v>50.346338573595403</v>
      </c>
      <c r="T13" s="98">
        <v>63.489245207088999</v>
      </c>
      <c r="U13" s="98">
        <v>67.933905929201927</v>
      </c>
      <c r="V13" s="98">
        <v>23.050671286759702</v>
      </c>
      <c r="W13" s="98">
        <v>18.201095931935448</v>
      </c>
      <c r="X13" s="98">
        <v>20.055744828288596</v>
      </c>
      <c r="Y13" s="98">
        <v>23.805727200975419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3.0057010412251937</v>
      </c>
      <c r="C18" s="97">
        <f>IF(C4=0,0,C4/TrAvia_ene!C4)</f>
        <v>3.0054127346777633</v>
      </c>
      <c r="D18" s="97">
        <f>IF(D4=0,0,D4/TrAvia_ene!D4)</f>
        <v>3.0031838871948588</v>
      </c>
      <c r="E18" s="97">
        <f>IF(E4=0,0,E4/TrAvia_ene!E4)</f>
        <v>3.0054127346777642</v>
      </c>
      <c r="F18" s="97">
        <f>IF(F4=0,0,F4/TrAvia_ene!F4)</f>
        <v>3.0033937585156272</v>
      </c>
      <c r="G18" s="97">
        <f>IF(G4=0,0,G4/TrAvia_ene!G4)</f>
        <v>3.0039575282346282</v>
      </c>
      <c r="H18" s="97">
        <f>IF(H4=0,0,H4/TrAvia_ene!H4)</f>
        <v>3.0040916077068696</v>
      </c>
      <c r="I18" s="97">
        <f>IF(I4=0,0,I4/TrAvia_ene!I4)</f>
        <v>3.0042504188954018</v>
      </c>
      <c r="J18" s="97">
        <f>IF(J4=0,0,J4/TrAvia_ene!J4)</f>
        <v>3.0039471232504114</v>
      </c>
      <c r="K18" s="97">
        <f>IF(K4=0,0,K4/TrAvia_ene!K4)</f>
        <v>3.0030580388391535</v>
      </c>
      <c r="L18" s="97">
        <f>IF(L4=0,0,L4/TrAvia_ene!L4)</f>
        <v>3.003635564675176</v>
      </c>
      <c r="M18" s="97">
        <f>IF(M4=0,0,M4/TrAvia_ene!M4)</f>
        <v>3.0001425071005134</v>
      </c>
      <c r="N18" s="97">
        <f>IF(N4=0,0,N4/TrAvia_ene!N4)</f>
        <v>3.0039964019692227</v>
      </c>
      <c r="O18" s="97">
        <f>IF(O4=0,0,O4/TrAvia_ene!O4)</f>
        <v>3.0046343478137363</v>
      </c>
      <c r="P18" s="97">
        <f>IF(P4=0,0,P4/TrAvia_ene!P4)</f>
        <v>3.0042321274067962</v>
      </c>
      <c r="Q18" s="97">
        <f>IF(Q4=0,0,Q4/TrAvia_ene!Q4)</f>
        <v>3.0035660276793883</v>
      </c>
      <c r="R18" s="97">
        <f>IF(R4=0,0,R4/TrAvia_ene!R4)</f>
        <v>3.0018316346158929</v>
      </c>
      <c r="S18" s="97">
        <f>IF(S4=0,0,S4/TrAvia_ene!S4)</f>
        <v>3.0038221593820045</v>
      </c>
      <c r="T18" s="97">
        <f>IF(T4=0,0,T4/TrAvia_ene!T4)</f>
        <v>3.0043359925731172</v>
      </c>
      <c r="U18" s="97">
        <f>IF(U4=0,0,U4/TrAvia_ene!U4)</f>
        <v>3.0034127575065215</v>
      </c>
      <c r="V18" s="97">
        <f>IF(V4=0,0,V4/TrAvia_ene!V4)</f>
        <v>3.0014269459487046</v>
      </c>
      <c r="W18" s="97">
        <f>IF(W4=0,0,W4/TrAvia_ene!W4)</f>
        <v>2.9993587267897519</v>
      </c>
      <c r="X18" s="97">
        <f>IF(X4=0,0,X4/TrAvia_ene!X4)</f>
        <v>3.002068412548403</v>
      </c>
      <c r="Y18" s="97">
        <f>IF(Y4=0,0,Y4/TrAvia_ene!Y4)</f>
        <v>3.0023070286793341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3.0103092</v>
      </c>
      <c r="D19" s="98">
        <f>IF(D5=0,0,D5/TrAvia_ene!D5)</f>
        <v>3.0103092000000005</v>
      </c>
      <c r="E19" s="98">
        <f>IF(E5=0,0,E5/TrAvia_ene!E5)</f>
        <v>3.0103091999999991</v>
      </c>
      <c r="F19" s="98">
        <f>IF(F5=0,0,F5/TrAvia_ene!F5)</f>
        <v>3.0103092000000009</v>
      </c>
      <c r="G19" s="98">
        <f>IF(G5=0,0,G5/TrAvia_ene!G5)</f>
        <v>3.0103091999999996</v>
      </c>
      <c r="H19" s="98">
        <f>IF(H5=0,0,H5/TrAvia_ene!H5)</f>
        <v>3.0103092000000009</v>
      </c>
      <c r="I19" s="98">
        <f>IF(I5=0,0,I5/TrAvia_ene!I5)</f>
        <v>3.0103092000000009</v>
      </c>
      <c r="J19" s="98">
        <f>IF(J5=0,0,J5/TrAvia_ene!J5)</f>
        <v>3.0103091999999996</v>
      </c>
      <c r="K19" s="98">
        <f>IF(K5=0,0,K5/TrAvia_ene!K5)</f>
        <v>3.0103092000000014</v>
      </c>
      <c r="L19" s="98">
        <f>IF(L5=0,0,L5/TrAvia_ene!L5)</f>
        <v>3.0103092000000009</v>
      </c>
      <c r="M19" s="98">
        <f>IF(M5=0,0,M5/TrAvia_ene!M5)</f>
        <v>3.0103091999999996</v>
      </c>
      <c r="N19" s="98">
        <f>IF(N5=0,0,N5/TrAvia_ene!N5)</f>
        <v>3.0103092000000014</v>
      </c>
      <c r="O19" s="98">
        <f>IF(O5=0,0,O5/TrAvia_ene!O5)</f>
        <v>3.0103092000000005</v>
      </c>
      <c r="P19" s="98">
        <f>IF(P5=0,0,P5/TrAvia_ene!P5)</f>
        <v>3.0103092000000014</v>
      </c>
      <c r="Q19" s="98">
        <f>IF(Q5=0,0,Q5/TrAvia_ene!Q5)</f>
        <v>3.0103092</v>
      </c>
      <c r="R19" s="98">
        <f>IF(R5=0,0,R5/TrAvia_ene!R5)</f>
        <v>3.0103092000000005</v>
      </c>
      <c r="S19" s="98">
        <f>IF(S5=0,0,S5/TrAvia_ene!S5)</f>
        <v>3.0103092</v>
      </c>
      <c r="T19" s="98">
        <f>IF(T5=0,0,T5/TrAvia_ene!T5)</f>
        <v>3.0103091999999996</v>
      </c>
      <c r="U19" s="98">
        <f>IF(U5=0,0,U5/TrAvia_ene!U5)</f>
        <v>3.0103092000000005</v>
      </c>
      <c r="V19" s="98">
        <f>IF(V5=0,0,V5/TrAvia_ene!V5)</f>
        <v>3.0103092000000005</v>
      </c>
      <c r="W19" s="98">
        <f>IF(W5=0,0,W5/TrAvia_ene!W5)</f>
        <v>3.0091411809441979</v>
      </c>
      <c r="X19" s="98">
        <f>IF(X5=0,0,X5/TrAvia_ene!X5)</f>
        <v>3.0096651626912077</v>
      </c>
      <c r="Y19" s="98">
        <f>IF(Y5=0,0,Y5/TrAvia_ene!Y5)</f>
        <v>3.0099997145295805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13269.047313316094</v>
      </c>
      <c r="C21" s="54">
        <f>IF(C3=0,0,C3/TrAvia_act!C13*1000)</f>
        <v>13094.600657551888</v>
      </c>
      <c r="D21" s="54">
        <f>IF(D3=0,0,D3/TrAvia_act!D13*1000)</f>
        <v>12301.944643389319</v>
      </c>
      <c r="E21" s="54">
        <f>IF(E3=0,0,E3/TrAvia_act!E13*1000)</f>
        <v>11035.648425780797</v>
      </c>
      <c r="F21" s="54">
        <f>IF(F3=0,0,F3/TrAvia_act!F13*1000)</f>
        <v>11184.684718294522</v>
      </c>
      <c r="G21" s="54">
        <f>IF(G3=0,0,G3/TrAvia_act!G13*1000)</f>
        <v>11865.885667435312</v>
      </c>
      <c r="H21" s="54">
        <f>IF(H3=0,0,H3/TrAvia_act!H13*1000)</f>
        <v>12477.353966628911</v>
      </c>
      <c r="I21" s="54">
        <f>IF(I3=0,0,I3/TrAvia_act!I13*1000)</f>
        <v>12766.990122704085</v>
      </c>
      <c r="J21" s="54">
        <f>IF(J3=0,0,J3/TrAvia_act!J13*1000)</f>
        <v>12457.124433695188</v>
      </c>
      <c r="K21" s="54">
        <f>IF(K3=0,0,K3/TrAvia_act!K13*1000)</f>
        <v>12101.708389394471</v>
      </c>
      <c r="L21" s="54">
        <f>IF(L3=0,0,L3/TrAvia_act!L13*1000)</f>
        <v>12789.829457475329</v>
      </c>
      <c r="M21" s="54">
        <f>IF(M3=0,0,M3/TrAvia_act!M13*1000)</f>
        <v>13257.456977444004</v>
      </c>
      <c r="N21" s="54">
        <f>IF(N3=0,0,N3/TrAvia_act!N13*1000)</f>
        <v>13265.271830021054</v>
      </c>
      <c r="O21" s="54">
        <f>IF(O3=0,0,O3/TrAvia_act!O13*1000)</f>
        <v>13128.37259719746</v>
      </c>
      <c r="P21" s="54">
        <f>IF(P3=0,0,P3/TrAvia_act!P13*1000)</f>
        <v>12579.346401635701</v>
      </c>
      <c r="Q21" s="54">
        <f>IF(Q3=0,0,Q3/TrAvia_act!Q13*1000)</f>
        <v>13238.54137957949</v>
      </c>
      <c r="R21" s="54">
        <f>IF(R3=0,0,R3/TrAvia_act!R13*1000)</f>
        <v>14413.857285518501</v>
      </c>
      <c r="S21" s="54">
        <f>IF(S3=0,0,S3/TrAvia_act!S13*1000)</f>
        <v>13857.508502176534</v>
      </c>
      <c r="T21" s="54">
        <f>IF(T3=0,0,T3/TrAvia_act!T13*1000)</f>
        <v>14127.127651598747</v>
      </c>
      <c r="U21" s="54">
        <f>IF(U3=0,0,U3/TrAvia_act!U13*1000)</f>
        <v>14291.382634435229</v>
      </c>
      <c r="V21" s="54">
        <f>IF(V3=0,0,V3/TrAvia_act!V13*1000)</f>
        <v>14520.937010984013</v>
      </c>
      <c r="W21" s="54">
        <f>IF(W3=0,0,W3/TrAvia_act!W13*1000)</f>
        <v>15625.619645232198</v>
      </c>
      <c r="X21" s="54">
        <f>IF(X3=0,0,X3/TrAvia_act!X13*1000)</f>
        <v>13030.224344603319</v>
      </c>
      <c r="Y21" s="54">
        <f>IF(Y3=0,0,Y3/TrAvia_act!Y13*1000)</f>
        <v>15104.179890306876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13320.753508392889</v>
      </c>
      <c r="C22" s="11">
        <f>IF(C6=0,0,C6/TrAvia_act!C14*1000)</f>
        <v>13141.890782722898</v>
      </c>
      <c r="D22" s="11">
        <f>IF(D6=0,0,D6/TrAvia_act!D14*1000)</f>
        <v>12356.996233225784</v>
      </c>
      <c r="E22" s="11">
        <f>IF(E6=0,0,E6/TrAvia_act!E14*1000)</f>
        <v>11086.785992991481</v>
      </c>
      <c r="F22" s="11">
        <f>IF(F6=0,0,F6/TrAvia_act!F14*1000)</f>
        <v>11249.377575223622</v>
      </c>
      <c r="G22" s="11">
        <f>IF(G6=0,0,G6/TrAvia_act!G14*1000)</f>
        <v>11943.36024161645</v>
      </c>
      <c r="H22" s="11">
        <f>IF(H6=0,0,H6/TrAvia_act!H14*1000)</f>
        <v>12556.293138114615</v>
      </c>
      <c r="I22" s="11">
        <f>IF(I6=0,0,I6/TrAvia_act!I14*1000)</f>
        <v>12827.891047033594</v>
      </c>
      <c r="J22" s="11">
        <f>IF(J6=0,0,J6/TrAvia_act!J14*1000)</f>
        <v>12504.773138625545</v>
      </c>
      <c r="K22" s="11">
        <f>IF(K6=0,0,K6/TrAvia_act!K14*1000)</f>
        <v>12140.472163990635</v>
      </c>
      <c r="L22" s="11">
        <f>IF(L6=0,0,L6/TrAvia_act!L14*1000)</f>
        <v>12828.078454070861</v>
      </c>
      <c r="M22" s="11">
        <f>IF(M6=0,0,M6/TrAvia_act!M14*1000)</f>
        <v>13288.34067188741</v>
      </c>
      <c r="N22" s="11">
        <f>IF(N6=0,0,N6/TrAvia_act!N14*1000)</f>
        <v>13275.758015560363</v>
      </c>
      <c r="O22" s="11">
        <f>IF(O6=0,0,O6/TrAvia_act!O14*1000)</f>
        <v>13139.848390556508</v>
      </c>
      <c r="P22" s="11">
        <f>IF(P6=0,0,P6/TrAvia_act!P14*1000)</f>
        <v>12593.216537818307</v>
      </c>
      <c r="Q22" s="11">
        <f>IF(Q6=0,0,Q6/TrAvia_act!Q14*1000)</f>
        <v>13254.778769865554</v>
      </c>
      <c r="R22" s="11">
        <f>IF(R6=0,0,R6/TrAvia_act!R14*1000)</f>
        <v>14412.662620755726</v>
      </c>
      <c r="S22" s="11">
        <f>IF(S6=0,0,S6/TrAvia_act!S14*1000)</f>
        <v>13845.866481435698</v>
      </c>
      <c r="T22" s="11">
        <f>IF(T6=0,0,T6/TrAvia_act!T14*1000)</f>
        <v>14097.885130897705</v>
      </c>
      <c r="U22" s="11">
        <f>IF(U6=0,0,U6/TrAvia_act!U14*1000)</f>
        <v>14262.704654426332</v>
      </c>
      <c r="V22" s="11">
        <f>IF(V6=0,0,V6/TrAvia_act!V14*1000)</f>
        <v>14648.194421347258</v>
      </c>
      <c r="W22" s="11">
        <f>IF(W6=0,0,W6/TrAvia_act!W14*1000)</f>
        <v>15776.238450931029</v>
      </c>
      <c r="X22" s="11">
        <f>IF(X6=0,0,X6/TrAvia_act!X14*1000)</f>
        <v>13108.761250000583</v>
      </c>
      <c r="Y22" s="11">
        <f>IF(Y6=0,0,Y6/TrAvia_act!Y14*1000)</f>
        <v>15169.71712294081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18466.758145412721</v>
      </c>
      <c r="C23" s="84">
        <f>IF(C7=0,0,C7/TrAvia_act!C15*1000)</f>
        <v>19422.155594227748</v>
      </c>
      <c r="D23" s="84">
        <f>IF(D7=0,0,D7/TrAvia_act!D15*1000)</f>
        <v>18625.446763035448</v>
      </c>
      <c r="E23" s="84">
        <f>IF(E7=0,0,E7/TrAvia_act!E15*1000)</f>
        <v>18922.3776450113</v>
      </c>
      <c r="F23" s="84">
        <f>IF(F7=0,0,F7/TrAvia_act!F15*1000)</f>
        <v>20529.910636828125</v>
      </c>
      <c r="G23" s="84">
        <f>IF(G7=0,0,G7/TrAvia_act!G15*1000)</f>
        <v>20523.770391866565</v>
      </c>
      <c r="H23" s="84">
        <f>IF(H7=0,0,H7/TrAvia_act!H15*1000)</f>
        <v>20667.725167406148</v>
      </c>
      <c r="I23" s="84">
        <f>IF(I7=0,0,I7/TrAvia_act!I15*1000)</f>
        <v>20429.014608185938</v>
      </c>
      <c r="J23" s="84">
        <f>IF(J7=0,0,J7/TrAvia_act!J15*1000)</f>
        <v>18615.912289494994</v>
      </c>
      <c r="K23" s="84">
        <f>IF(K7=0,0,K7/TrAvia_act!K15*1000)</f>
        <v>18227.789722871086</v>
      </c>
      <c r="L23" s="84">
        <f>IF(L7=0,0,L7/TrAvia_act!L15*1000)</f>
        <v>17908.470533449166</v>
      </c>
      <c r="M23" s="84">
        <f>IF(M7=0,0,M7/TrAvia_act!M15*1000)</f>
        <v>23053.617618917917</v>
      </c>
      <c r="N23" s="84">
        <f>IF(N7=0,0,N7/TrAvia_act!N15*1000)</f>
        <v>22531.614434765776</v>
      </c>
      <c r="O23" s="84">
        <f>IF(O7=0,0,O7/TrAvia_act!O15*1000)</f>
        <v>23699.743269529554</v>
      </c>
      <c r="P23" s="84">
        <f>IF(P7=0,0,P7/TrAvia_act!P15*1000)</f>
        <v>24507.232894691948</v>
      </c>
      <c r="Q23" s="84">
        <f>IF(Q7=0,0,Q7/TrAvia_act!Q15*1000)</f>
        <v>26826.390103828846</v>
      </c>
      <c r="R23" s="84">
        <f>IF(R7=0,0,R7/TrAvia_act!R15*1000)</f>
        <v>28641.469019911779</v>
      </c>
      <c r="S23" s="84">
        <f>IF(S7=0,0,S7/TrAvia_act!S15*1000)</f>
        <v>27515.72857134368</v>
      </c>
      <c r="T23" s="84">
        <f>IF(T7=0,0,T7/TrAvia_act!T15*1000)</f>
        <v>29265.409941387876</v>
      </c>
      <c r="U23" s="84">
        <f>IF(U7=0,0,U7/TrAvia_act!U15*1000)</f>
        <v>25657.408984496211</v>
      </c>
      <c r="V23" s="84">
        <f>IF(V7=0,0,V7/TrAvia_act!V15*1000)</f>
        <v>51244.769197564638</v>
      </c>
      <c r="W23" s="84">
        <f>IF(W7=0,0,W7/TrAvia_act!W15*1000)</f>
        <v>68858.654147886307</v>
      </c>
      <c r="X23" s="84">
        <f>IF(X7=0,0,X7/TrAvia_act!X15*1000)</f>
        <v>45182.64194611548</v>
      </c>
      <c r="Y23" s="84">
        <f>IF(Y7=0,0,Y7/TrAvia_act!Y15*1000)</f>
        <v>41664.26780226807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10642.892866299459</v>
      </c>
      <c r="C24" s="84">
        <f>IF(C8=0,0,C8/TrAvia_act!C16*1000)</f>
        <v>10446.931334553776</v>
      </c>
      <c r="D24" s="84">
        <f>IF(D8=0,0,D8/TrAvia_act!D16*1000)</f>
        <v>9810.6673570523344</v>
      </c>
      <c r="E24" s="84">
        <f>IF(E8=0,0,E8/TrAvia_act!E16*1000)</f>
        <v>8789.0249861369866</v>
      </c>
      <c r="F24" s="84">
        <f>IF(F8=0,0,F8/TrAvia_act!F16*1000)</f>
        <v>8813.3798973526809</v>
      </c>
      <c r="G24" s="84">
        <f>IF(G8=0,0,G8/TrAvia_act!G16*1000)</f>
        <v>9815.1803342432613</v>
      </c>
      <c r="H24" s="84">
        <f>IF(H8=0,0,H8/TrAvia_act!H16*1000)</f>
        <v>10334.075222788735</v>
      </c>
      <c r="I24" s="84">
        <f>IF(I8=0,0,I8/TrAvia_act!I16*1000)</f>
        <v>10347.774788334344</v>
      </c>
      <c r="J24" s="84">
        <f>IF(J8=0,0,J8/TrAvia_act!J16*1000)</f>
        <v>9985.7801494783907</v>
      </c>
      <c r="K24" s="84">
        <f>IF(K8=0,0,K8/TrAvia_act!K16*1000)</f>
        <v>9489.1384987060501</v>
      </c>
      <c r="L24" s="84">
        <f>IF(L8=0,0,L8/TrAvia_act!L16*1000)</f>
        <v>10140.118453514773</v>
      </c>
      <c r="M24" s="84">
        <f>IF(M8=0,0,M8/TrAvia_act!M16*1000)</f>
        <v>10615.882371146761</v>
      </c>
      <c r="N24" s="84">
        <f>IF(N8=0,0,N8/TrAvia_act!N16*1000)</f>
        <v>10505.899487650666</v>
      </c>
      <c r="O24" s="84">
        <f>IF(O8=0,0,O8/TrAvia_act!O16*1000)</f>
        <v>10540.429717306963</v>
      </c>
      <c r="P24" s="84">
        <f>IF(P8=0,0,P8/TrAvia_act!P16*1000)</f>
        <v>10283.47843682179</v>
      </c>
      <c r="Q24" s="84">
        <f>IF(Q8=0,0,Q8/TrAvia_act!Q16*1000)</f>
        <v>10938.496983962546</v>
      </c>
      <c r="R24" s="84">
        <f>IF(R8=0,0,R8/TrAvia_act!R16*1000)</f>
        <v>12038.710857109298</v>
      </c>
      <c r="S24" s="84">
        <f>IF(S8=0,0,S8/TrAvia_act!S16*1000)</f>
        <v>11913.053654826716</v>
      </c>
      <c r="T24" s="84">
        <f>IF(T8=0,0,T8/TrAvia_act!T16*1000)</f>
        <v>12365.405117395989</v>
      </c>
      <c r="U24" s="84">
        <f>IF(U8=0,0,U8/TrAvia_act!U16*1000)</f>
        <v>12581.269851654313</v>
      </c>
      <c r="V24" s="84">
        <f>IF(V8=0,0,V8/TrAvia_act!V16*1000)</f>
        <v>9895.9395110152545</v>
      </c>
      <c r="W24" s="84">
        <f>IF(W8=0,0,W8/TrAvia_act!W16*1000)</f>
        <v>12118.145178813504</v>
      </c>
      <c r="X24" s="84">
        <f>IF(X8=0,0,X8/TrAvia_act!X16*1000)</f>
        <v>10804.436069700356</v>
      </c>
      <c r="Y24" s="84">
        <f>IF(Y8=0,0,Y8/TrAvia_act!Y16*1000)</f>
        <v>12809.511384596668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17125.752975578525</v>
      </c>
      <c r="C25" s="84">
        <f>IF(C9=0,0,C9/TrAvia_act!C17*1000)</f>
        <v>16762.710733708162</v>
      </c>
      <c r="D25" s="84">
        <f>IF(D9=0,0,D9/TrAvia_act!D17*1000)</f>
        <v>15756.57986188119</v>
      </c>
      <c r="E25" s="84">
        <f>IF(E9=0,0,E9/TrAvia_act!E17*1000)</f>
        <v>14051.060126227541</v>
      </c>
      <c r="F25" s="84">
        <f>IF(F9=0,0,F9/TrAvia_act!F17*1000)</f>
        <v>14064.422068414837</v>
      </c>
      <c r="G25" s="84">
        <f>IF(G9=0,0,G9/TrAvia_act!G17*1000)</f>
        <v>14120.015299630282</v>
      </c>
      <c r="H25" s="84">
        <f>IF(H9=0,0,H9/TrAvia_act!H17*1000)</f>
        <v>14910.480181850558</v>
      </c>
      <c r="I25" s="84">
        <f>IF(I9=0,0,I9/TrAvia_act!I17*1000)</f>
        <v>15861.950540283182</v>
      </c>
      <c r="J25" s="84">
        <f>IF(J9=0,0,J9/TrAvia_act!J17*1000)</f>
        <v>15697.332802287579</v>
      </c>
      <c r="K25" s="84">
        <f>IF(K9=0,0,K9/TrAvia_act!K17*1000)</f>
        <v>15432.719932513244</v>
      </c>
      <c r="L25" s="84">
        <f>IF(L9=0,0,L9/TrAvia_act!L17*1000)</f>
        <v>16181.001570393164</v>
      </c>
      <c r="M25" s="84">
        <f>IF(M9=0,0,M9/TrAvia_act!M17*1000)</f>
        <v>16284.007737281961</v>
      </c>
      <c r="N25" s="84">
        <f>IF(N9=0,0,N9/TrAvia_act!N17*1000)</f>
        <v>16418.084589184713</v>
      </c>
      <c r="O25" s="84">
        <f>IF(O9=0,0,O9/TrAvia_act!O17*1000)</f>
        <v>15815.130791154275</v>
      </c>
      <c r="P25" s="84">
        <f>IF(P9=0,0,P9/TrAvia_act!P17*1000)</f>
        <v>14819.214151013477</v>
      </c>
      <c r="Q25" s="84">
        <f>IF(Q9=0,0,Q9/TrAvia_act!Q17*1000)</f>
        <v>15456.391455180168</v>
      </c>
      <c r="R25" s="84">
        <f>IF(R9=0,0,R9/TrAvia_act!R17*1000)</f>
        <v>16895.334215236144</v>
      </c>
      <c r="S25" s="84">
        <f>IF(S9=0,0,S9/TrAvia_act!S17*1000)</f>
        <v>15714.875311672491</v>
      </c>
      <c r="T25" s="84">
        <f>IF(T9=0,0,T9/TrAvia_act!T17*1000)</f>
        <v>15623.40392106117</v>
      </c>
      <c r="U25" s="84">
        <f>IF(U9=0,0,U9/TrAvia_act!U17*1000)</f>
        <v>15881.75018852318</v>
      </c>
      <c r="V25" s="84">
        <f>IF(V9=0,0,V9/TrAvia_act!V17*1000)</f>
        <v>20249.075867960037</v>
      </c>
      <c r="W25" s="84">
        <f>IF(W9=0,0,W9/TrAvia_act!W17*1000)</f>
        <v>19439.858768949998</v>
      </c>
      <c r="X25" s="84">
        <f>IF(X9=0,0,X9/TrAvia_act!X17*1000)</f>
        <v>15845.161141685909</v>
      </c>
      <c r="Y25" s="84">
        <f>IF(Y9=0,0,Y9/TrAvia_act!Y17*1000)</f>
        <v>17874.787538975426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10599.113237482483</v>
      </c>
      <c r="C26" s="13">
        <f>IF(C10=0,0,C10/TrAvia_act!C18*1000)</f>
        <v>10334.832509101694</v>
      </c>
      <c r="D26" s="13">
        <f>IF(D10=0,0,D10/TrAvia_act!D18*1000)</f>
        <v>9708.8965973005506</v>
      </c>
      <c r="E26" s="13">
        <f>IF(E10=0,0,E10/TrAvia_act!E18*1000)</f>
        <v>8647.7696673535283</v>
      </c>
      <c r="F26" s="13">
        <f>IF(F10=0,0,F10/TrAvia_act!F18*1000)</f>
        <v>8803.086291450807</v>
      </c>
      <c r="G26" s="13">
        <f>IF(G10=0,0,G10/TrAvia_act!G18*1000)</f>
        <v>9274.8448007473835</v>
      </c>
      <c r="H26" s="13">
        <f>IF(H10=0,0,H10/TrAvia_act!H18*1000)</f>
        <v>9901.0084860511561</v>
      </c>
      <c r="I26" s="13">
        <f>IF(I10=0,0,I10/TrAvia_act!I18*1000)</f>
        <v>10425.498879083478</v>
      </c>
      <c r="J26" s="13">
        <f>IF(J10=0,0,J10/TrAvia_act!J18*1000)</f>
        <v>10424.308820370588</v>
      </c>
      <c r="K26" s="13">
        <f>IF(K10=0,0,K10/TrAvia_act!K18*1000)</f>
        <v>10333.957667000555</v>
      </c>
      <c r="L26" s="13">
        <f>IF(L10=0,0,L10/TrAvia_act!L18*1000)</f>
        <v>11121.19856714327</v>
      </c>
      <c r="M26" s="13">
        <f>IF(M10=0,0,M10/TrAvia_act!M18*1000)</f>
        <v>12075.285018890996</v>
      </c>
      <c r="N26" s="13">
        <f>IF(N10=0,0,N10/TrAvia_act!N18*1000)</f>
        <v>12859.211595189679</v>
      </c>
      <c r="O26" s="13">
        <f>IF(O10=0,0,O10/TrAvia_act!O18*1000)</f>
        <v>12739.911135419739</v>
      </c>
      <c r="P26" s="13">
        <f>IF(P10=0,0,P10/TrAvia_act!P18*1000)</f>
        <v>12141.893505352527</v>
      </c>
      <c r="Q26" s="13">
        <f>IF(Q10=0,0,Q10/TrAvia_act!Q18*1000)</f>
        <v>12775.969980947315</v>
      </c>
      <c r="R26" s="13">
        <f>IF(R10=0,0,R10/TrAvia_act!R18*1000)</f>
        <v>14450.982793842337</v>
      </c>
      <c r="S26" s="13">
        <f>IF(S10=0,0,S10/TrAvia_act!S18*1000)</f>
        <v>14179.982428204547</v>
      </c>
      <c r="T26" s="13">
        <f>IF(T10=0,0,T10/TrAvia_act!T18*1000)</f>
        <v>14932.098077063756</v>
      </c>
      <c r="U26" s="13">
        <f>IF(U10=0,0,U10/TrAvia_act!U18*1000)</f>
        <v>15148.406314233847</v>
      </c>
      <c r="V26" s="13">
        <f>IF(V10=0,0,V10/TrAvia_act!V18*1000)</f>
        <v>12454.763445533446</v>
      </c>
      <c r="W26" s="13">
        <f>IF(W10=0,0,W10/TrAvia_act!W18*1000)</f>
        <v>12955.988543005365</v>
      </c>
      <c r="X26" s="13">
        <f>IF(X10=0,0,X10/TrAvia_act!X18*1000)</f>
        <v>10859.005658737175</v>
      </c>
      <c r="Y26" s="13">
        <f>IF(Y10=0,0,Y10/TrAvia_act!Y18*1000)</f>
        <v>12839.273687021945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21790.965697995325</v>
      </c>
      <c r="C27" s="102">
        <f>IF(C11=0,0,C11/TrAvia_act!C19*1000)</f>
        <v>22918.344573656421</v>
      </c>
      <c r="D27" s="102">
        <f>IF(D11=0,0,D11/TrAvia_act!D19*1000)</f>
        <v>21978.219908834613</v>
      </c>
      <c r="E27" s="102">
        <f>IF(E11=0,0,E11/TrAvia_act!E19*1000)</f>
        <v>22328.601422084605</v>
      </c>
      <c r="F27" s="102">
        <f>IF(F11=0,0,F11/TrAvia_act!F19*1000)</f>
        <v>24225.506986517841</v>
      </c>
      <c r="G27" s="102">
        <f>IF(G11=0,0,G11/TrAvia_act!G19*1000)</f>
        <v>24161.633853835272</v>
      </c>
      <c r="H27" s="102">
        <f>IF(H11=0,0,H11/TrAvia_act!H19*1000)</f>
        <v>24433.029469055669</v>
      </c>
      <c r="I27" s="102">
        <f>IF(I11=0,0,I11/TrAvia_act!I19*1000)</f>
        <v>24180.541678940517</v>
      </c>
      <c r="J27" s="102">
        <f>IF(J11=0,0,J11/TrAvia_act!J19*1000)</f>
        <v>22003.051125309885</v>
      </c>
      <c r="K27" s="102">
        <f>IF(K11=0,0,K11/TrAvia_act!K19*1000)</f>
        <v>21554.568320755596</v>
      </c>
      <c r="L27" s="102">
        <f>IF(L11=0,0,L11/TrAvia_act!L19*1000)</f>
        <v>21328.591123759124</v>
      </c>
      <c r="M27" s="102">
        <f>IF(M11=0,0,M11/TrAvia_act!M19*1000)</f>
        <v>26184.856224860996</v>
      </c>
      <c r="N27" s="102">
        <f>IF(N11=0,0,N11/TrAvia_act!N19*1000)</f>
        <v>24517.872681486057</v>
      </c>
      <c r="O27" s="102">
        <f>IF(O11=0,0,O11/TrAvia_act!O19*1000)</f>
        <v>27182.992286517208</v>
      </c>
      <c r="P27" s="102">
        <f>IF(P11=0,0,P11/TrAvia_act!P19*1000)</f>
        <v>29725.992999322043</v>
      </c>
      <c r="Q27" s="102">
        <f>IF(Q11=0,0,Q11/TrAvia_act!Q19*1000)</f>
        <v>34216.436966188361</v>
      </c>
      <c r="R27" s="102">
        <f>IF(R11=0,0,R11/TrAvia_act!R19*1000)</f>
        <v>38271.575708622811</v>
      </c>
      <c r="S27" s="102">
        <f>IF(S11=0,0,S11/TrAvia_act!S19*1000)</f>
        <v>38961.593578174812</v>
      </c>
      <c r="T27" s="102">
        <f>IF(T11=0,0,T11/TrAvia_act!T19*1000)</f>
        <v>44233.784574442609</v>
      </c>
      <c r="U27" s="102">
        <f>IF(U11=0,0,U11/TrAvia_act!U19*1000)</f>
        <v>33608.739706766341</v>
      </c>
      <c r="V27" s="102">
        <f>IF(V11=0,0,V11/TrAvia_act!V19*1000)</f>
        <v>73191.795364283986</v>
      </c>
      <c r="W27" s="102">
        <f>IF(W11=0,0,W11/TrAvia_act!W19*1000)</f>
        <v>94250.429351079249</v>
      </c>
      <c r="X27" s="102">
        <f>IF(X11=0,0,X11/TrAvia_act!X19*1000)</f>
        <v>62318.32193799338</v>
      </c>
      <c r="Y27" s="102">
        <f>IF(Y11=0,0,Y11/TrAvia_act!Y19*1000)</f>
        <v>39833.969493274337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10905.697308049546</v>
      </c>
      <c r="C28" s="102">
        <f>IF(C12=0,0,C12/TrAvia_act!C20*1000)</f>
        <v>10614.046030972673</v>
      </c>
      <c r="D28" s="102">
        <f>IF(D12=0,0,D12/TrAvia_act!D20*1000)</f>
        <v>9948.3948305671911</v>
      </c>
      <c r="E28" s="102">
        <f>IF(E12=0,0,E12/TrAvia_act!E20*1000)</f>
        <v>8842.238822859681</v>
      </c>
      <c r="F28" s="102">
        <f>IF(F12=0,0,F12/TrAvia_act!F20*1000)</f>
        <v>8988.6447391935126</v>
      </c>
      <c r="G28" s="102">
        <f>IF(G12=0,0,G12/TrAvia_act!G20*1000)</f>
        <v>9950.7663902264703</v>
      </c>
      <c r="H28" s="102">
        <f>IF(H12=0,0,H12/TrAvia_act!H20*1000)</f>
        <v>10491.929101914671</v>
      </c>
      <c r="I28" s="102">
        <f>IF(I12=0,0,I12/TrAvia_act!I20*1000)</f>
        <v>10737.299398020879</v>
      </c>
      <c r="J28" s="102">
        <f>IF(J12=0,0,J12/TrAvia_act!J20*1000)</f>
        <v>10677.738558939975</v>
      </c>
      <c r="K28" s="102">
        <f>IF(K12=0,0,K12/TrAvia_act!K20*1000)</f>
        <v>10486.563940412727</v>
      </c>
      <c r="L28" s="102">
        <f>IF(L12=0,0,L12/TrAvia_act!L20*1000)</f>
        <v>11438.546703128137</v>
      </c>
      <c r="M28" s="102">
        <f>IF(M12=0,0,M12/TrAvia_act!M20*1000)</f>
        <v>12353.306720516652</v>
      </c>
      <c r="N28" s="102">
        <f>IF(N12=0,0,N12/TrAvia_act!N20*1000)</f>
        <v>12288.27826256251</v>
      </c>
      <c r="O28" s="102">
        <f>IF(O12=0,0,O12/TrAvia_act!O20*1000)</f>
        <v>12515.278414391536</v>
      </c>
      <c r="P28" s="102">
        <f>IF(P12=0,0,P12/TrAvia_act!P20*1000)</f>
        <v>11954.457377474522</v>
      </c>
      <c r="Q28" s="102">
        <f>IF(Q12=0,0,Q12/TrAvia_act!Q20*1000)</f>
        <v>11983.188875897722</v>
      </c>
      <c r="R28" s="102">
        <f>IF(R12=0,0,R12/TrAvia_act!R20*1000)</f>
        <v>13006.355246044439</v>
      </c>
      <c r="S28" s="102">
        <f>IF(S12=0,0,S12/TrAvia_act!S20*1000)</f>
        <v>12942.891372763519</v>
      </c>
      <c r="T28" s="102">
        <f>IF(T12=0,0,T12/TrAvia_act!T20*1000)</f>
        <v>13126.541796639889</v>
      </c>
      <c r="U28" s="102">
        <f>IF(U12=0,0,U12/TrAvia_act!U20*1000)</f>
        <v>12906.543497844053</v>
      </c>
      <c r="V28" s="102">
        <f>IF(V12=0,0,V12/TrAvia_act!V20*1000)</f>
        <v>11126.252870114207</v>
      </c>
      <c r="W28" s="102">
        <f>IF(W12=0,0,W12/TrAvia_act!W20*1000)</f>
        <v>13575.914975564698</v>
      </c>
      <c r="X28" s="102">
        <f>IF(X12=0,0,X12/TrAvia_act!X20*1000)</f>
        <v>10905.964781975492</v>
      </c>
      <c r="Y28" s="102">
        <f>IF(Y12=0,0,Y12/TrAvia_act!Y20*1000)</f>
        <v>12811.526331683972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9926.7414032206652</v>
      </c>
      <c r="C29" s="86">
        <f>IF(C13=0,0,C13/TrAvia_act!C21*1000)</f>
        <v>9716.3082351940247</v>
      </c>
      <c r="D29" s="86">
        <f>IF(D13=0,0,D13/TrAvia_act!D21*1000)</f>
        <v>9133.1163021639477</v>
      </c>
      <c r="E29" s="86">
        <f>IF(E13=0,0,E13/TrAvia_act!E21*1000)</f>
        <v>8144.5318353632319</v>
      </c>
      <c r="F29" s="86">
        <f>IF(F13=0,0,F13/TrAvia_act!F21*1000)</f>
        <v>8152.2769280857101</v>
      </c>
      <c r="G29" s="86">
        <f>IF(G13=0,0,G13/TrAvia_act!G21*1000)</f>
        <v>8012.8008999204421</v>
      </c>
      <c r="H29" s="86">
        <f>IF(H13=0,0,H13/TrAvia_act!H21*1000)</f>
        <v>8619.4495546253893</v>
      </c>
      <c r="I29" s="86">
        <f>IF(I13=0,0,I13/TrAvia_act!I21*1000)</f>
        <v>9679.184969193635</v>
      </c>
      <c r="J29" s="86">
        <f>IF(J13=0,0,J13/TrAvia_act!J21*1000)</f>
        <v>9782.4624177123787</v>
      </c>
      <c r="K29" s="86">
        <f>IF(K13=0,0,K13/TrAvia_act!K21*1000)</f>
        <v>9789.2655778040553</v>
      </c>
      <c r="L29" s="86">
        <f>IF(L13=0,0,L13/TrAvia_act!L21*1000)</f>
        <v>10299.026179285542</v>
      </c>
      <c r="M29" s="86">
        <f>IF(M13=0,0,M13/TrAvia_act!M21*1000)</f>
        <v>11555.700790265813</v>
      </c>
      <c r="N29" s="86">
        <f>IF(N13=0,0,N13/TrAvia_act!N21*1000)</f>
        <v>13483.733016134775</v>
      </c>
      <c r="O29" s="86">
        <f>IF(O13=0,0,O13/TrAvia_act!O21*1000)</f>
        <v>12942.084960714439</v>
      </c>
      <c r="P29" s="86">
        <f>IF(P13=0,0,P13/TrAvia_act!P21*1000)</f>
        <v>12322.56974703882</v>
      </c>
      <c r="Q29" s="86">
        <f>IF(Q13=0,0,Q13/TrAvia_act!Q21*1000)</f>
        <v>13388.456736690121</v>
      </c>
      <c r="R29" s="86">
        <f>IF(R13=0,0,R13/TrAvia_act!R21*1000)</f>
        <v>15416.470690268019</v>
      </c>
      <c r="S29" s="86">
        <f>IF(S13=0,0,S13/TrAvia_act!S21*1000)</f>
        <v>15082.478531220726</v>
      </c>
      <c r="T29" s="86">
        <f>IF(T13=0,0,T13/TrAvia_act!T21*1000)</f>
        <v>16053.587964766926</v>
      </c>
      <c r="U29" s="86">
        <f>IF(U13=0,0,U13/TrAvia_act!U21*1000)</f>
        <v>16583.139927326032</v>
      </c>
      <c r="V29" s="86">
        <f>IF(V13=0,0,V13/TrAvia_act!V21*1000)</f>
        <v>14478.444975511171</v>
      </c>
      <c r="W29" s="86">
        <f>IF(W13=0,0,W13/TrAvia_act!W21*1000)</f>
        <v>11826.848493232015</v>
      </c>
      <c r="X29" s="86">
        <f>IF(X13=0,0,X13/TrAvia_act!X21*1000)</f>
        <v>10771.61481589944</v>
      </c>
      <c r="Y29" s="86">
        <f>IF(Y13=0,0,Y13/TrAvia_act!Y21*1000)</f>
        <v>12881.086090780365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129.11721730420177</v>
      </c>
      <c r="C32" s="14">
        <f>IF(C6=0,0,C6/TrAvia_act!C4*1000)</f>
        <v>125.66497201315113</v>
      </c>
      <c r="D32" s="14">
        <f>IF(D6=0,0,D6/TrAvia_act!D4*1000)</f>
        <v>112.87961207548344</v>
      </c>
      <c r="E32" s="14">
        <f>IF(E6=0,0,E6/TrAvia_act!E4*1000)</f>
        <v>103.96855762087567</v>
      </c>
      <c r="F32" s="14">
        <f>IF(F6=0,0,F6/TrAvia_act!F4*1000)</f>
        <v>103.2887612747931</v>
      </c>
      <c r="G32" s="14">
        <f>IF(G6=0,0,G6/TrAvia_act!G4*1000)</f>
        <v>106.56919559772651</v>
      </c>
      <c r="H32" s="14">
        <f>IF(H6=0,0,H6/TrAvia_act!H4*1000)</f>
        <v>113.27358014672451</v>
      </c>
      <c r="I32" s="14">
        <f>IF(I6=0,0,I6/TrAvia_act!I4*1000)</f>
        <v>117.77928656200054</v>
      </c>
      <c r="J32" s="14">
        <f>IF(J6=0,0,J6/TrAvia_act!J4*1000)</f>
        <v>118.26927243819763</v>
      </c>
      <c r="K32" s="14">
        <f>IF(K6=0,0,K6/TrAvia_act!K4*1000)</f>
        <v>116.34931963122634</v>
      </c>
      <c r="L32" s="14">
        <f>IF(L6=0,0,L6/TrAvia_act!L4*1000)</f>
        <v>115.78407760079388</v>
      </c>
      <c r="M32" s="14">
        <f>IF(M6=0,0,M6/TrAvia_act!M4*1000)</f>
        <v>115.90431671283659</v>
      </c>
      <c r="N32" s="14">
        <f>IF(N6=0,0,N6/TrAvia_act!N4*1000)</f>
        <v>110.15590090723836</v>
      </c>
      <c r="O32" s="14">
        <f>IF(O6=0,0,O6/TrAvia_act!O4*1000)</f>
        <v>104.42314869925973</v>
      </c>
      <c r="P32" s="14">
        <f>IF(P6=0,0,P6/TrAvia_act!P4*1000)</f>
        <v>97.277637783415258</v>
      </c>
      <c r="Q32" s="14">
        <f>IF(Q6=0,0,Q6/TrAvia_act!Q4*1000)</f>
        <v>101.41508497134791</v>
      </c>
      <c r="R32" s="14">
        <f>IF(R6=0,0,R6/TrAvia_act!R4*1000)</f>
        <v>110.38862749335206</v>
      </c>
      <c r="S32" s="14">
        <f>IF(S6=0,0,S6/TrAvia_act!S4*1000)</f>
        <v>102.10394071252283</v>
      </c>
      <c r="T32" s="14">
        <f>IF(T6=0,0,T6/TrAvia_act!T4*1000)</f>
        <v>98.554799687050306</v>
      </c>
      <c r="U32" s="14">
        <f>IF(U6=0,0,U6/TrAvia_act!U4*1000)</f>
        <v>95.054185092381132</v>
      </c>
      <c r="V32" s="14">
        <f>IF(V6=0,0,V6/TrAvia_act!V4*1000)</f>
        <v>128.6582248638492</v>
      </c>
      <c r="W32" s="14">
        <f>IF(W6=0,0,W6/TrAvia_act!W4*1000)</f>
        <v>136.0400475372528</v>
      </c>
      <c r="X32" s="14">
        <f>IF(X6=0,0,X6/TrAvia_act!X4*1000)</f>
        <v>86.419221870488556</v>
      </c>
      <c r="Y32" s="14">
        <f>IF(Y6=0,0,Y6/TrAvia_act!Y4*1000)</f>
        <v>91.155570301621509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665.72588902714313</v>
      </c>
      <c r="C33" s="87">
        <f>IF(C7=0,0,C7/TrAvia_act!C5*1000)</f>
        <v>612.24189909309575</v>
      </c>
      <c r="D33" s="87">
        <f>IF(D7=0,0,D7/TrAvia_act!D5*1000)</f>
        <v>618.88430406486452</v>
      </c>
      <c r="E33" s="87">
        <f>IF(E7=0,0,E7/TrAvia_act!E5*1000)</f>
        <v>583.76864696906955</v>
      </c>
      <c r="F33" s="87">
        <f>IF(F7=0,0,F7/TrAvia_act!F5*1000)</f>
        <v>593.13118564354841</v>
      </c>
      <c r="G33" s="87">
        <f>IF(G7=0,0,G7/TrAvia_act!G5*1000)</f>
        <v>600.49454081854844</v>
      </c>
      <c r="H33" s="87">
        <f>IF(H7=0,0,H7/TrAvia_act!H5*1000)</f>
        <v>502.17445798483817</v>
      </c>
      <c r="I33" s="87">
        <f>IF(I7=0,0,I7/TrAvia_act!I5*1000)</f>
        <v>476.96336116284232</v>
      </c>
      <c r="J33" s="87">
        <f>IF(J7=0,0,J7/TrAvia_act!J5*1000)</f>
        <v>438.51170155469299</v>
      </c>
      <c r="K33" s="87">
        <f>IF(K7=0,0,K7/TrAvia_act!K5*1000)</f>
        <v>430.81114348261036</v>
      </c>
      <c r="L33" s="87">
        <f>IF(L7=0,0,L7/TrAvia_act!L5*1000)</f>
        <v>386.96092706484779</v>
      </c>
      <c r="M33" s="87">
        <f>IF(M7=0,0,M7/TrAvia_act!M5*1000)</f>
        <v>488.43252460422923</v>
      </c>
      <c r="N33" s="87">
        <f>IF(N7=0,0,N7/TrAvia_act!N5*1000)</f>
        <v>495.16908263663845</v>
      </c>
      <c r="O33" s="87">
        <f>IF(O7=0,0,O7/TrAvia_act!O5*1000)</f>
        <v>515.54132136845817</v>
      </c>
      <c r="P33" s="87">
        <f>IF(P7=0,0,P7/TrAvia_act!P5*1000)</f>
        <v>531.99304941276239</v>
      </c>
      <c r="Q33" s="87">
        <f>IF(Q7=0,0,Q7/TrAvia_act!Q5*1000)</f>
        <v>586.19255444917258</v>
      </c>
      <c r="R33" s="87">
        <f>IF(R7=0,0,R7/TrAvia_act!R5*1000)</f>
        <v>599.50671959518866</v>
      </c>
      <c r="S33" s="87">
        <f>IF(S7=0,0,S7/TrAvia_act!S5*1000)</f>
        <v>532.83075628148765</v>
      </c>
      <c r="T33" s="87">
        <f>IF(T7=0,0,T7/TrAvia_act!T5*1000)</f>
        <v>508.39635209481315</v>
      </c>
      <c r="U33" s="87">
        <f>IF(U7=0,0,U7/TrAvia_act!U5*1000)</f>
        <v>442.99832193231089</v>
      </c>
      <c r="V33" s="87">
        <f>IF(V7=0,0,V7/TrAvia_act!V5*1000)</f>
        <v>1113.1630557079329</v>
      </c>
      <c r="W33" s="87">
        <f>IF(W7=0,0,W7/TrAvia_act!W5*1000)</f>
        <v>1507.1554947185814</v>
      </c>
      <c r="X33" s="87">
        <f>IF(X7=0,0,X7/TrAvia_act!X5*1000)</f>
        <v>753.9173257793534</v>
      </c>
      <c r="Y33" s="87">
        <f>IF(Y7=0,0,Y7/TrAvia_act!Y5*1000)</f>
        <v>681.32770129058895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135.45726632763271</v>
      </c>
      <c r="C34" s="87">
        <f>IF(C8=0,0,C8/TrAvia_act!C6*1000)</f>
        <v>130.00688067981483</v>
      </c>
      <c r="D34" s="87">
        <f>IF(D8=0,0,D8/TrAvia_act!D6*1000)</f>
        <v>119.4722701375951</v>
      </c>
      <c r="E34" s="87">
        <f>IF(E8=0,0,E8/TrAvia_act!E6*1000)</f>
        <v>107.57654963096154</v>
      </c>
      <c r="F34" s="87">
        <f>IF(F8=0,0,F8/TrAvia_act!F6*1000)</f>
        <v>108.24627999880516</v>
      </c>
      <c r="G34" s="87">
        <f>IF(G8=0,0,G8/TrAvia_act!G6*1000)</f>
        <v>116.63952297969405</v>
      </c>
      <c r="H34" s="87">
        <f>IF(H8=0,0,H8/TrAvia_act!H6*1000)</f>
        <v>118.90016447722961</v>
      </c>
      <c r="I34" s="87">
        <f>IF(I8=0,0,I8/TrAvia_act!I6*1000)</f>
        <v>122.55923387008822</v>
      </c>
      <c r="J34" s="87">
        <f>IF(J8=0,0,J8/TrAvia_act!J6*1000)</f>
        <v>122.53798600329237</v>
      </c>
      <c r="K34" s="87">
        <f>IF(K8=0,0,K8/TrAvia_act!K6*1000)</f>
        <v>114.41496791685283</v>
      </c>
      <c r="L34" s="87">
        <f>IF(L8=0,0,L8/TrAvia_act!L6*1000)</f>
        <v>115.07774689588554</v>
      </c>
      <c r="M34" s="87">
        <f>IF(M8=0,0,M8/TrAvia_act!M6*1000)</f>
        <v>111.71499857812242</v>
      </c>
      <c r="N34" s="87">
        <f>IF(N8=0,0,N8/TrAvia_act!N6*1000)</f>
        <v>104.59462378647204</v>
      </c>
      <c r="O34" s="87">
        <f>IF(O8=0,0,O8/TrAvia_act!O6*1000)</f>
        <v>100.10462825417034</v>
      </c>
      <c r="P34" s="87">
        <f>IF(P8=0,0,P8/TrAvia_act!P6*1000)</f>
        <v>96.902273369707004</v>
      </c>
      <c r="Q34" s="87">
        <f>IF(Q8=0,0,Q8/TrAvia_act!Q6*1000)</f>
        <v>102.11803485974943</v>
      </c>
      <c r="R34" s="87">
        <f>IF(R8=0,0,R8/TrAvia_act!R6*1000)</f>
        <v>110.20945489234619</v>
      </c>
      <c r="S34" s="87">
        <f>IF(S8=0,0,S8/TrAvia_act!S6*1000)</f>
        <v>105.18044752921317</v>
      </c>
      <c r="T34" s="87">
        <f>IF(T8=0,0,T8/TrAvia_act!T6*1000)</f>
        <v>106.86580557400787</v>
      </c>
      <c r="U34" s="87">
        <f>IF(U8=0,0,U8/TrAvia_act!U6*1000)</f>
        <v>103.2111064689979</v>
      </c>
      <c r="V34" s="87">
        <f>IF(V8=0,0,V8/TrAvia_act!V6*1000)</f>
        <v>102.36513032977909</v>
      </c>
      <c r="W34" s="87">
        <f>IF(W8=0,0,W8/TrAvia_act!W6*1000)</f>
        <v>117.7446922516681</v>
      </c>
      <c r="X34" s="87">
        <f>IF(X8=0,0,X8/TrAvia_act!X6*1000)</f>
        <v>85.535391655306398</v>
      </c>
      <c r="Y34" s="87">
        <f>IF(Y8=0,0,Y8/TrAvia_act!Y6*1000)</f>
        <v>96.177417557634215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112.05557489224354</v>
      </c>
      <c r="C35" s="87">
        <f>IF(C9=0,0,C9/TrAvia_act!C7*1000)</f>
        <v>111.14323617927997</v>
      </c>
      <c r="D35" s="87">
        <f>IF(D9=0,0,D9/TrAvia_act!D7*1000)</f>
        <v>96.674669951699684</v>
      </c>
      <c r="E35" s="87">
        <f>IF(E9=0,0,E9/TrAvia_act!E7*1000)</f>
        <v>90.280577855522239</v>
      </c>
      <c r="F35" s="87">
        <f>IF(F9=0,0,F9/TrAvia_act!F7*1000)</f>
        <v>90.444541969201779</v>
      </c>
      <c r="G35" s="87">
        <f>IF(G9=0,0,G9/TrAvia_act!G7*1000)</f>
        <v>91.233410641974601</v>
      </c>
      <c r="H35" s="87">
        <f>IF(H9=0,0,H9/TrAvia_act!H7*1000)</f>
        <v>100.3408815559436</v>
      </c>
      <c r="I35" s="87">
        <f>IF(I9=0,0,I9/TrAvia_act!I7*1000)</f>
        <v>105.36121322680233</v>
      </c>
      <c r="J35" s="87">
        <f>IF(J9=0,0,J9/TrAvia_act!J7*1000)</f>
        <v>106.76635544788469</v>
      </c>
      <c r="K35" s="87">
        <f>IF(K9=0,0,K9/TrAvia_act!K7*1000)</f>
        <v>109.01894453294598</v>
      </c>
      <c r="L35" s="87">
        <f>IF(L9=0,0,L9/TrAvia_act!L7*1000)</f>
        <v>108.62316099546801</v>
      </c>
      <c r="M35" s="87">
        <f>IF(M9=0,0,M9/TrAvia_act!M7*1000)</f>
        <v>111.45121841404264</v>
      </c>
      <c r="N35" s="87">
        <f>IF(N9=0,0,N9/TrAvia_act!N7*1000)</f>
        <v>107.41321674197816</v>
      </c>
      <c r="O35" s="87">
        <f>IF(O9=0,0,O9/TrAvia_act!O7*1000)</f>
        <v>100.44037602077557</v>
      </c>
      <c r="P35" s="87">
        <f>IF(P9=0,0,P9/TrAvia_act!P7*1000)</f>
        <v>90.628660560714493</v>
      </c>
      <c r="Q35" s="87">
        <f>IF(Q9=0,0,Q9/TrAvia_act!Q7*1000)</f>
        <v>93.956182712402864</v>
      </c>
      <c r="R35" s="87">
        <f>IF(R9=0,0,R9/TrAvia_act!R7*1000)</f>
        <v>103.58702507498064</v>
      </c>
      <c r="S35" s="87">
        <f>IF(S9=0,0,S9/TrAvia_act!S7*1000)</f>
        <v>93.146821913058787</v>
      </c>
      <c r="T35" s="87">
        <f>IF(T9=0,0,T9/TrAvia_act!T7*1000)</f>
        <v>86.559445505135912</v>
      </c>
      <c r="U35" s="87">
        <f>IF(U9=0,0,U9/TrAvia_act!U7*1000)</f>
        <v>85.107446280639266</v>
      </c>
      <c r="V35" s="87">
        <f>IF(V9=0,0,V9/TrAvia_act!V7*1000)</f>
        <v>143.01035801083142</v>
      </c>
      <c r="W35" s="87">
        <f>IF(W9=0,0,W9/TrAvia_act!W7*1000)</f>
        <v>144.29860244917916</v>
      </c>
      <c r="X35" s="87">
        <f>IF(X9=0,0,X9/TrAvia_act!X7*1000)</f>
        <v>82.803733889928893</v>
      </c>
      <c r="Y35" s="87">
        <f>IF(Y9=0,0,Y9/TrAvia_act!Y7*1000)</f>
        <v>83.788231704741406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196.79759783354666</v>
      </c>
      <c r="C36" s="15">
        <f>IF(C10=0,0,C10/TrAvia_act!C8*1000)</f>
        <v>186.74951615201567</v>
      </c>
      <c r="D36" s="15">
        <f>IF(D10=0,0,D10/TrAvia_act!D8*1000)</f>
        <v>192.97343932761001</v>
      </c>
      <c r="E36" s="15">
        <f>IF(E10=0,0,E10/TrAvia_act!E8*1000)</f>
        <v>180.29900651680381</v>
      </c>
      <c r="F36" s="15">
        <f>IF(F10=0,0,F10/TrAvia_act!F8*1000)</f>
        <v>216.38685923405527</v>
      </c>
      <c r="G36" s="15">
        <f>IF(G10=0,0,G10/TrAvia_act!G8*1000)</f>
        <v>217.16387276806242</v>
      </c>
      <c r="H36" s="15">
        <f>IF(H10=0,0,H10/TrAvia_act!H8*1000)</f>
        <v>257.3194624423279</v>
      </c>
      <c r="I36" s="15">
        <f>IF(I10=0,0,I10/TrAvia_act!I8*1000)</f>
        <v>276.71671910063787</v>
      </c>
      <c r="J36" s="15">
        <f>IF(J10=0,0,J10/TrAvia_act!J8*1000)</f>
        <v>283.90420095997035</v>
      </c>
      <c r="K36" s="15">
        <f>IF(K10=0,0,K10/TrAvia_act!K8*1000)</f>
        <v>271.43935231168342</v>
      </c>
      <c r="L36" s="15">
        <f>IF(L10=0,0,L10/TrAvia_act!L8*1000)</f>
        <v>286.68255875942737</v>
      </c>
      <c r="M36" s="15">
        <f>IF(M10=0,0,M10/TrAvia_act!M8*1000)</f>
        <v>276.61308680498308</v>
      </c>
      <c r="N36" s="15">
        <f>IF(N10=0,0,N10/TrAvia_act!N8*1000)</f>
        <v>254.47685256505252</v>
      </c>
      <c r="O36" s="15">
        <f>IF(O10=0,0,O10/TrAvia_act!O8*1000)</f>
        <v>242.74769142847043</v>
      </c>
      <c r="P36" s="15">
        <f>IF(P10=0,0,P10/TrAvia_act!P8*1000)</f>
        <v>200.37715577507311</v>
      </c>
      <c r="Q36" s="15">
        <f>IF(Q10=0,0,Q10/TrAvia_act!Q8*1000)</f>
        <v>194.2181856240534</v>
      </c>
      <c r="R36" s="15">
        <f>IF(R10=0,0,R10/TrAvia_act!R8*1000)</f>
        <v>194.56153448400025</v>
      </c>
      <c r="S36" s="15">
        <f>IF(S10=0,0,S10/TrAvia_act!S8*1000)</f>
        <v>199.43150902074754</v>
      </c>
      <c r="T36" s="15">
        <f>IF(T10=0,0,T10/TrAvia_act!T8*1000)</f>
        <v>194.65752972432347</v>
      </c>
      <c r="U36" s="15">
        <f>IF(U10=0,0,U10/TrAvia_act!U8*1000)</f>
        <v>193.22628538896831</v>
      </c>
      <c r="V36" s="15">
        <f>IF(V10=0,0,V10/TrAvia_act!V8*1000)</f>
        <v>283.56966802135298</v>
      </c>
      <c r="W36" s="15">
        <f>IF(W10=0,0,W10/TrAvia_act!W8*1000)</f>
        <v>324.34820573536342</v>
      </c>
      <c r="X36" s="15">
        <f>IF(X10=0,0,X10/TrAvia_act!X8*1000)</f>
        <v>246.26420541565747</v>
      </c>
      <c r="Y36" s="15">
        <f>IF(Y10=0,0,Y10/TrAvia_act!Y8*1000)</f>
        <v>274.8117346547026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2026.7687481860089</v>
      </c>
      <c r="C37" s="101">
        <f>IF(C11=0,0,C11/TrAvia_act!C9*1000)</f>
        <v>2148.0070459201083</v>
      </c>
      <c r="D37" s="101">
        <f>IF(D11=0,0,D11/TrAvia_act!D9*1000)</f>
        <v>2003.1492188486873</v>
      </c>
      <c r="E37" s="101">
        <f>IF(E11=0,0,E11/TrAvia_act!E9*1000)</f>
        <v>1913.2247982649976</v>
      </c>
      <c r="F37" s="101">
        <f>IF(F11=0,0,F11/TrAvia_act!F9*1000)</f>
        <v>2204.3794290568771</v>
      </c>
      <c r="G37" s="101">
        <f>IF(G11=0,0,G11/TrAvia_act!G9*1000)</f>
        <v>2246.5683510342437</v>
      </c>
      <c r="H37" s="101">
        <f>IF(H11=0,0,H11/TrAvia_act!H9*1000)</f>
        <v>2361.8080083277437</v>
      </c>
      <c r="I37" s="101">
        <f>IF(I11=0,0,I11/TrAvia_act!I9*1000)</f>
        <v>2346.1124332617378</v>
      </c>
      <c r="J37" s="101">
        <f>IF(J11=0,0,J11/TrAvia_act!J9*1000)</f>
        <v>2218.9566137619549</v>
      </c>
      <c r="K37" s="101">
        <f>IF(K11=0,0,K11/TrAvia_act!K9*1000)</f>
        <v>2155.1137451416744</v>
      </c>
      <c r="L37" s="101">
        <f>IF(L11=0,0,L11/TrAvia_act!L9*1000)</f>
        <v>1993.8270795023111</v>
      </c>
      <c r="M37" s="101">
        <f>IF(M11=0,0,M11/TrAvia_act!M9*1000)</f>
        <v>2396.7649928029173</v>
      </c>
      <c r="N37" s="101">
        <f>IF(N11=0,0,N11/TrAvia_act!N9*1000)</f>
        <v>2133.6983053078698</v>
      </c>
      <c r="O37" s="101">
        <f>IF(O11=0,0,O11/TrAvia_act!O9*1000)</f>
        <v>2252.2825831800442</v>
      </c>
      <c r="P37" s="101">
        <f>IF(P11=0,0,P11/TrAvia_act!P9*1000)</f>
        <v>2202.757620339702</v>
      </c>
      <c r="Q37" s="101">
        <f>IF(Q11=0,0,Q11/TrAvia_act!Q9*1000)</f>
        <v>2560.2338320677286</v>
      </c>
      <c r="R37" s="101">
        <f>IF(R11=0,0,R11/TrAvia_act!R9*1000)</f>
        <v>2482.9843959524374</v>
      </c>
      <c r="S37" s="101">
        <f>IF(S11=0,0,S11/TrAvia_act!S9*1000)</f>
        <v>2742.0797553928319</v>
      </c>
      <c r="T37" s="101">
        <f>IF(T11=0,0,T11/TrAvia_act!T9*1000)</f>
        <v>3064.4342569395349</v>
      </c>
      <c r="U37" s="101">
        <f>IF(U11=0,0,U11/TrAvia_act!U9*1000)</f>
        <v>2088.6995262652085</v>
      </c>
      <c r="V37" s="101">
        <f>IF(V11=0,0,V11/TrAvia_act!V9*1000)</f>
        <v>4922.4570607409578</v>
      </c>
      <c r="W37" s="101">
        <f>IF(W11=0,0,W11/TrAvia_act!W9*1000)</f>
        <v>6495.2995469198086</v>
      </c>
      <c r="X37" s="101">
        <f>IF(X11=0,0,X11/TrAvia_act!X9*1000)</f>
        <v>4175.2437938985631</v>
      </c>
      <c r="Y37" s="101">
        <f>IF(Y11=0,0,Y11/TrAvia_act!Y9*1000)</f>
        <v>2644.9683040739678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435.87875572944148</v>
      </c>
      <c r="C38" s="101">
        <f>IF(C12=0,0,C12/TrAvia_act!C10*1000)</f>
        <v>403.55687669273948</v>
      </c>
      <c r="D38" s="101">
        <f>IF(D12=0,0,D12/TrAvia_act!D10*1000)</f>
        <v>399.04915146152302</v>
      </c>
      <c r="E38" s="101">
        <f>IF(E12=0,0,E12/TrAvia_act!E10*1000)</f>
        <v>342.94537404033201</v>
      </c>
      <c r="F38" s="101">
        <f>IF(F12=0,0,F12/TrAvia_act!F10*1000)</f>
        <v>398.58344710445738</v>
      </c>
      <c r="G38" s="101">
        <f>IF(G12=0,0,G12/TrAvia_act!G10*1000)</f>
        <v>445.24419484488504</v>
      </c>
      <c r="H38" s="101">
        <f>IF(H12=0,0,H12/TrAvia_act!H10*1000)</f>
        <v>528.61903175003226</v>
      </c>
      <c r="I38" s="101">
        <f>IF(I12=0,0,I12/TrAvia_act!I10*1000)</f>
        <v>566.14255334774066</v>
      </c>
      <c r="J38" s="101">
        <f>IF(J12=0,0,J12/TrAvia_act!J10*1000)</f>
        <v>581.1151855391123</v>
      </c>
      <c r="K38" s="101">
        <f>IF(K12=0,0,K12/TrAvia_act!K10*1000)</f>
        <v>555.33340041771828</v>
      </c>
      <c r="L38" s="101">
        <f>IF(L12=0,0,L12/TrAvia_act!L10*1000)</f>
        <v>601.95232230018132</v>
      </c>
      <c r="M38" s="101">
        <f>IF(M12=0,0,M12/TrAvia_act!M10*1000)</f>
        <v>631.87670410093835</v>
      </c>
      <c r="N38" s="101">
        <f>IF(N12=0,0,N12/TrAvia_act!N10*1000)</f>
        <v>587.42648595105743</v>
      </c>
      <c r="O38" s="101">
        <f>IF(O12=0,0,O12/TrAvia_act!O10*1000)</f>
        <v>590.34777190812065</v>
      </c>
      <c r="P38" s="101">
        <f>IF(P12=0,0,P12/TrAvia_act!P10*1000)</f>
        <v>486.42303969222695</v>
      </c>
      <c r="Q38" s="101">
        <f>IF(Q12=0,0,Q12/TrAvia_act!Q10*1000)</f>
        <v>486.11883112380372</v>
      </c>
      <c r="R38" s="101">
        <f>IF(R12=0,0,R12/TrAvia_act!R10*1000)</f>
        <v>486.51637036754261</v>
      </c>
      <c r="S38" s="101">
        <f>IF(S12=0,0,S12/TrAvia_act!S10*1000)</f>
        <v>522.9731722104932</v>
      </c>
      <c r="T38" s="101">
        <f>IF(T12=0,0,T12/TrAvia_act!T10*1000)</f>
        <v>517.89548384214265</v>
      </c>
      <c r="U38" s="101">
        <f>IF(U12=0,0,U12/TrAvia_act!U10*1000)</f>
        <v>474.05911286929268</v>
      </c>
      <c r="V38" s="101">
        <f>IF(V12=0,0,V12/TrAvia_act!V10*1000)</f>
        <v>484.81015499811224</v>
      </c>
      <c r="W38" s="101">
        <f>IF(W12=0,0,W12/TrAvia_act!W10*1000)</f>
        <v>607.8232202219624</v>
      </c>
      <c r="X38" s="101">
        <f>IF(X12=0,0,X12/TrAvia_act!X10*1000)</f>
        <v>491.23997229611018</v>
      </c>
      <c r="Y38" s="101">
        <f>IF(Y12=0,0,Y12/TrAvia_act!Y10*1000)</f>
        <v>569.51865400460849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107.43254159057018</v>
      </c>
      <c r="C39" s="88">
        <f>IF(C13=0,0,C13/TrAvia_act!C11*1000)</f>
        <v>100.34646066537844</v>
      </c>
      <c r="D39" s="88">
        <f>IF(D13=0,0,D13/TrAvia_act!D11*1000)</f>
        <v>99.90001013821535</v>
      </c>
      <c r="E39" s="88">
        <f>IF(E13=0,0,E13/TrAvia_act!E11*1000)</f>
        <v>98.045350472215219</v>
      </c>
      <c r="F39" s="88">
        <f>IF(F13=0,0,F13/TrAvia_act!F11*1000)</f>
        <v>101.11358337735813</v>
      </c>
      <c r="G39" s="88">
        <f>IF(G13=0,0,G13/TrAvia_act!G11*1000)</f>
        <v>105.67962388129932</v>
      </c>
      <c r="H39" s="88">
        <f>IF(H13=0,0,H13/TrAvia_act!H11*1000)</f>
        <v>117.59553189966826</v>
      </c>
      <c r="I39" s="88">
        <f>IF(I13=0,0,I13/TrAvia_act!I11*1000)</f>
        <v>134.29384217155152</v>
      </c>
      <c r="J39" s="88">
        <f>IF(J13=0,0,J13/TrAvia_act!J11*1000)</f>
        <v>138.517629835837</v>
      </c>
      <c r="K39" s="88">
        <f>IF(K13=0,0,K13/TrAvia_act!K11*1000)</f>
        <v>122.90635766451236</v>
      </c>
      <c r="L39" s="88">
        <f>IF(L13=0,0,L13/TrAvia_act!L11*1000)</f>
        <v>127.19684755734353</v>
      </c>
      <c r="M39" s="88">
        <f>IF(M13=0,0,M13/TrAvia_act!M11*1000)</f>
        <v>145.40859835250527</v>
      </c>
      <c r="N39" s="88">
        <f>IF(N13=0,0,N13/TrAvia_act!N11*1000)</f>
        <v>156.24237300936016</v>
      </c>
      <c r="O39" s="88">
        <f>IF(O13=0,0,O13/TrAvia_act!O11*1000)</f>
        <v>148.30430884569185</v>
      </c>
      <c r="P39" s="88">
        <f>IF(P13=0,0,P13/TrAvia_act!P11*1000)</f>
        <v>121.47168917528212</v>
      </c>
      <c r="Q39" s="88">
        <f>IF(Q13=0,0,Q13/TrAvia_act!Q11*1000)</f>
        <v>135.23823393630173</v>
      </c>
      <c r="R39" s="88">
        <f>IF(R13=0,0,R13/TrAvia_act!R11*1000)</f>
        <v>144.58898245678751</v>
      </c>
      <c r="S39" s="88">
        <f>IF(S13=0,0,S13/TrAvia_act!S11*1000)</f>
        <v>143.11514467215829</v>
      </c>
      <c r="T39" s="88">
        <f>IF(T13=0,0,T13/TrAvia_act!T11*1000)</f>
        <v>147.35028347576358</v>
      </c>
      <c r="U39" s="88">
        <f>IF(U13=0,0,U13/TrAvia_act!U11*1000)</f>
        <v>149.1318921655263</v>
      </c>
      <c r="V39" s="88">
        <f>IF(V13=0,0,V13/TrAvia_act!V11*1000)</f>
        <v>190.53479063264038</v>
      </c>
      <c r="W39" s="88">
        <f>IF(W13=0,0,W13/TrAvia_act!W11*1000)</f>
        <v>164.88527376279029</v>
      </c>
      <c r="X39" s="88">
        <f>IF(X13=0,0,X13/TrAvia_act!X11*1000)</f>
        <v>131.13178440297003</v>
      </c>
      <c r="Y39" s="88">
        <f>IF(Y13=0,0,Y13/TrAvia_act!Y11*1000)</f>
        <v>147.41626143629827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13382.233182300724</v>
      </c>
      <c r="C41" s="54">
        <f>IF(C3=0,0,C3/TrAvia_act!C23*1000000)</f>
        <v>13530.508335082472</v>
      </c>
      <c r="D41" s="54">
        <f>IF(D3=0,0,D3/TrAvia_act!D23*1000000)</f>
        <v>12572.899651305861</v>
      </c>
      <c r="E41" s="54">
        <f>IF(E3=0,0,E3/TrAvia_act!E23*1000000)</f>
        <v>11404.424372668411</v>
      </c>
      <c r="F41" s="54">
        <f>IF(F3=0,0,F3/TrAvia_act!F23*1000000)</f>
        <v>12027.229258725658</v>
      </c>
      <c r="G41" s="54">
        <f>IF(G3=0,0,G3/TrAvia_act!G23*1000000)</f>
        <v>13189.480824622306</v>
      </c>
      <c r="H41" s="54">
        <f>IF(H3=0,0,H3/TrAvia_act!H23*1000000)</f>
        <v>13755.650834852633</v>
      </c>
      <c r="I41" s="54">
        <f>IF(I3=0,0,I3/TrAvia_act!I23*1000000)</f>
        <v>13675.702625637559</v>
      </c>
      <c r="J41" s="54">
        <f>IF(J3=0,0,J3/TrAvia_act!J23*1000000)</f>
        <v>13121.052020352283</v>
      </c>
      <c r="K41" s="54">
        <f>IF(K3=0,0,K3/TrAvia_act!K23*1000000)</f>
        <v>12514.456209879354</v>
      </c>
      <c r="L41" s="54">
        <f>IF(L3=0,0,L3/TrAvia_act!L23*1000000)</f>
        <v>13260.660332647636</v>
      </c>
      <c r="M41" s="54">
        <f>IF(M3=0,0,M3/TrAvia_act!M23*1000000)</f>
        <v>14215.013127559865</v>
      </c>
      <c r="N41" s="54">
        <f>IF(N3=0,0,N3/TrAvia_act!N23*1000000)</f>
        <v>14209.243188183291</v>
      </c>
      <c r="O41" s="54">
        <f>IF(O3=0,0,O3/TrAvia_act!O23*1000000)</f>
        <v>14178.911492964766</v>
      </c>
      <c r="P41" s="54">
        <f>IF(P3=0,0,P3/TrAvia_act!P23*1000000)</f>
        <v>14127.959685610476</v>
      </c>
      <c r="Q41" s="54">
        <f>IF(Q3=0,0,Q3/TrAvia_act!Q23*1000000)</f>
        <v>15412.019935216989</v>
      </c>
      <c r="R41" s="54">
        <f>IF(R3=0,0,R3/TrAvia_act!R23*1000000)</f>
        <v>17133.030097358638</v>
      </c>
      <c r="S41" s="54">
        <f>IF(S3=0,0,S3/TrAvia_act!S23*1000000)</f>
        <v>16502.397393988766</v>
      </c>
      <c r="T41" s="54">
        <f>IF(T3=0,0,T3/TrAvia_act!T23*1000000)</f>
        <v>17529.3476777533</v>
      </c>
      <c r="U41" s="54">
        <f>IF(U3=0,0,U3/TrAvia_act!U23*1000000)</f>
        <v>18595.200943827829</v>
      </c>
      <c r="V41" s="54">
        <f>IF(V3=0,0,V3/TrAvia_act!V23*1000000)</f>
        <v>17742.894505695727</v>
      </c>
      <c r="W41" s="54">
        <f>IF(W3=0,0,W3/TrAvia_act!W23*1000000)</f>
        <v>20201.170190345179</v>
      </c>
      <c r="X41" s="54">
        <f>IF(X3=0,0,X3/TrAvia_act!X23*1000000)</f>
        <v>17115.394894665831</v>
      </c>
      <c r="Y41" s="54">
        <f>IF(Y3=0,0,Y3/TrAvia_act!Y23*1000000)</f>
        <v>20476.517069774251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13439.401712693898</v>
      </c>
      <c r="C42" s="11">
        <f>IF(C6=0,0,C6/TrAvia_act!C24*1000000)</f>
        <v>13589.002701754836</v>
      </c>
      <c r="D42" s="11">
        <f>IF(D6=0,0,D6/TrAvia_act!D24*1000000)</f>
        <v>12639.604948098724</v>
      </c>
      <c r="E42" s="11">
        <f>IF(E6=0,0,E6/TrAvia_act!E24*1000000)</f>
        <v>11469.176270845943</v>
      </c>
      <c r="F42" s="11">
        <f>IF(F6=0,0,F6/TrAvia_act!F24*1000000)</f>
        <v>12128.709346649854</v>
      </c>
      <c r="G42" s="11">
        <f>IF(G6=0,0,G6/TrAvia_act!G24*1000000)</f>
        <v>13313.974387850914</v>
      </c>
      <c r="H42" s="11">
        <f>IF(H6=0,0,H6/TrAvia_act!H24*1000000)</f>
        <v>13920.901050207201</v>
      </c>
      <c r="I42" s="11">
        <f>IF(I6=0,0,I6/TrAvia_act!I24*1000000)</f>
        <v>13815.218863625465</v>
      </c>
      <c r="J42" s="11">
        <f>IF(J6=0,0,J6/TrAvia_act!J24*1000000)</f>
        <v>13247.551683082518</v>
      </c>
      <c r="K42" s="11">
        <f>IF(K6=0,0,K6/TrAvia_act!K24*1000000)</f>
        <v>12643.883860688076</v>
      </c>
      <c r="L42" s="11">
        <f>IF(L6=0,0,L6/TrAvia_act!L24*1000000)</f>
        <v>13416.686372714534</v>
      </c>
      <c r="M42" s="11">
        <f>IF(M6=0,0,M6/TrAvia_act!M24*1000000)</f>
        <v>14330.367742232918</v>
      </c>
      <c r="N42" s="11">
        <f>IF(N6=0,0,N6/TrAvia_act!N24*1000000)</f>
        <v>14252.694753462805</v>
      </c>
      <c r="O42" s="11">
        <f>IF(O6=0,0,O6/TrAvia_act!O24*1000000)</f>
        <v>14206.285364254607</v>
      </c>
      <c r="P42" s="11">
        <f>IF(P6=0,0,P6/TrAvia_act!P24*1000000)</f>
        <v>14155.168113374149</v>
      </c>
      <c r="Q42" s="11">
        <f>IF(Q6=0,0,Q6/TrAvia_act!Q24*1000000)</f>
        <v>15391.28398040088</v>
      </c>
      <c r="R42" s="11">
        <f>IF(R6=0,0,R6/TrAvia_act!R24*1000000)</f>
        <v>17050.321115569688</v>
      </c>
      <c r="S42" s="11">
        <f>IF(S6=0,0,S6/TrAvia_act!S24*1000000)</f>
        <v>16409.91909481143</v>
      </c>
      <c r="T42" s="11">
        <f>IF(T6=0,0,T6/TrAvia_act!T24*1000000)</f>
        <v>17375.33931456037</v>
      </c>
      <c r="U42" s="11">
        <f>IF(U6=0,0,U6/TrAvia_act!U24*1000000)</f>
        <v>18472.049204183855</v>
      </c>
      <c r="V42" s="11">
        <f>IF(V6=0,0,V6/TrAvia_act!V24*1000000)</f>
        <v>18121.179659261517</v>
      </c>
      <c r="W42" s="11">
        <f>IF(W6=0,0,W6/TrAvia_act!W24*1000000)</f>
        <v>20775.443054044197</v>
      </c>
      <c r="X42" s="11">
        <f>IF(X6=0,0,X6/TrAvia_act!X24*1000000)</f>
        <v>17305.195020175892</v>
      </c>
      <c r="Y42" s="11">
        <f>IF(Y6=0,0,Y6/TrAvia_act!Y24*1000000)</f>
        <v>20690.280168211972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4980.5538850993316</v>
      </c>
      <c r="C43" s="84">
        <f>IF(C7=0,0,C7/TrAvia_act!C25*1000000)</f>
        <v>5238.2281578677603</v>
      </c>
      <c r="D43" s="84">
        <f>IF(D7=0,0,D7/TrAvia_act!D25*1000000)</f>
        <v>5023.3528000360193</v>
      </c>
      <c r="E43" s="84">
        <f>IF(E7=0,0,E7/TrAvia_act!E25*1000000)</f>
        <v>5103.4361717997945</v>
      </c>
      <c r="F43" s="84">
        <f>IF(F7=0,0,F7/TrAvia_act!F25*1000000)</f>
        <v>5536.9938447153027</v>
      </c>
      <c r="G43" s="84">
        <f>IF(G7=0,0,G7/TrAvia_act!G25*1000000)</f>
        <v>5595.4275088408167</v>
      </c>
      <c r="H43" s="84">
        <f>IF(H7=0,0,H7/TrAvia_act!H25*1000000)</f>
        <v>5688.3959977515215</v>
      </c>
      <c r="I43" s="84">
        <f>IF(I7=0,0,I7/TrAvia_act!I25*1000000)</f>
        <v>5753.0859542816197</v>
      </c>
      <c r="J43" s="84">
        <f>IF(J7=0,0,J7/TrAvia_act!J25*1000000)</f>
        <v>5431.5415862224818</v>
      </c>
      <c r="K43" s="84">
        <f>IF(K7=0,0,K7/TrAvia_act!K25*1000000)</f>
        <v>5460.8338836823596</v>
      </c>
      <c r="L43" s="84">
        <f>IF(L7=0,0,L7/TrAvia_act!L25*1000000)</f>
        <v>5333.5609217740193</v>
      </c>
      <c r="M43" s="84">
        <f>IF(M7=0,0,M7/TrAvia_act!M25*1000000)</f>
        <v>6786.7124897311596</v>
      </c>
      <c r="N43" s="84">
        <f>IF(N7=0,0,N7/TrAvia_act!N25*1000000)</f>
        <v>6338.1103942597765</v>
      </c>
      <c r="O43" s="84">
        <f>IF(O7=0,0,O7/TrAvia_act!O25*1000000)</f>
        <v>6588.948778875746</v>
      </c>
      <c r="P43" s="84">
        <f>IF(P7=0,0,P7/TrAvia_act!P25*1000000)</f>
        <v>6802.2732927768529</v>
      </c>
      <c r="Q43" s="84">
        <f>IF(Q7=0,0,Q7/TrAvia_act!Q25*1000000)</f>
        <v>7668.2795655798573</v>
      </c>
      <c r="R43" s="84">
        <f>IF(R7=0,0,R7/TrAvia_act!R25*1000000)</f>
        <v>8503.9153548665254</v>
      </c>
      <c r="S43" s="84">
        <f>IF(S7=0,0,S7/TrAvia_act!S25*1000000)</f>
        <v>8267.2609764367589</v>
      </c>
      <c r="T43" s="84">
        <f>IF(T7=0,0,T7/TrAvia_act!T25*1000000)</f>
        <v>8839.8042511884578</v>
      </c>
      <c r="U43" s="84">
        <f>IF(U7=0,0,U7/TrAvia_act!U25*1000000)</f>
        <v>7840.1966237520801</v>
      </c>
      <c r="V43" s="84">
        <f>IF(V7=0,0,V7/TrAvia_act!V25*1000000)</f>
        <v>15390.438145745038</v>
      </c>
      <c r="W43" s="84">
        <f>IF(W7=0,0,W7/TrAvia_act!W25*1000000)</f>
        <v>19634.444749241607</v>
      </c>
      <c r="X43" s="84">
        <f>IF(X7=0,0,X7/TrAvia_act!X25*1000000)</f>
        <v>13961.62838757795</v>
      </c>
      <c r="Y43" s="84">
        <f>IF(Y7=0,0,Y7/TrAvia_act!Y25*1000000)</f>
        <v>12812.513951033214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9005.2554108295881</v>
      </c>
      <c r="C44" s="84">
        <f>IF(C8=0,0,C8/TrAvia_act!C26*1000000)</f>
        <v>8912.1388304208267</v>
      </c>
      <c r="D44" s="84">
        <f>IF(D8=0,0,D8/TrAvia_act!D26*1000000)</f>
        <v>8388.7543209615305</v>
      </c>
      <c r="E44" s="84">
        <f>IF(E8=0,0,E8/TrAvia_act!E26*1000000)</f>
        <v>7547.9776861581267</v>
      </c>
      <c r="F44" s="84">
        <f>IF(F8=0,0,F8/TrAvia_act!F26*1000000)</f>
        <v>7576.3698379553716</v>
      </c>
      <c r="G44" s="84">
        <f>IF(G8=0,0,G8/TrAvia_act!G26*1000000)</f>
        <v>8456.4505213497905</v>
      </c>
      <c r="H44" s="84">
        <f>IF(H8=0,0,H8/TrAvia_act!H26*1000000)</f>
        <v>8996.9174886979636</v>
      </c>
      <c r="I44" s="84">
        <f>IF(I8=0,0,I8/TrAvia_act!I26*1000000)</f>
        <v>8980.5548254491769</v>
      </c>
      <c r="J44" s="84">
        <f>IF(J8=0,0,J8/TrAvia_act!J26*1000000)</f>
        <v>8544.7090481666455</v>
      </c>
      <c r="K44" s="84">
        <f>IF(K8=0,0,K8/TrAvia_act!K26*1000000)</f>
        <v>8047.9467117664217</v>
      </c>
      <c r="L44" s="84">
        <f>IF(L8=0,0,L8/TrAvia_act!L26*1000000)</f>
        <v>8630.3723011413149</v>
      </c>
      <c r="M44" s="84">
        <f>IF(M8=0,0,M8/TrAvia_act!M26*1000000)</f>
        <v>9019.1575116569056</v>
      </c>
      <c r="N44" s="84">
        <f>IF(N8=0,0,N8/TrAvia_act!N26*1000000)</f>
        <v>8979.0804508480542</v>
      </c>
      <c r="O44" s="84">
        <f>IF(O8=0,0,O8/TrAvia_act!O26*1000000)</f>
        <v>8968.3518476708123</v>
      </c>
      <c r="P44" s="84">
        <f>IF(P8=0,0,P8/TrAvia_act!P26*1000000)</f>
        <v>8887.6843305043349</v>
      </c>
      <c r="Q44" s="84">
        <f>IF(Q8=0,0,Q8/TrAvia_act!Q26*1000000)</f>
        <v>9597.4259638523163</v>
      </c>
      <c r="R44" s="84">
        <f>IF(R8=0,0,R8/TrAvia_act!R26*1000000)</f>
        <v>10836.393281373965</v>
      </c>
      <c r="S44" s="84">
        <f>IF(S8=0,0,S8/TrAvia_act!S26*1000000)</f>
        <v>10677.488886997951</v>
      </c>
      <c r="T44" s="84">
        <f>IF(T8=0,0,T8/TrAvia_act!T26*1000000)</f>
        <v>11293.113599179427</v>
      </c>
      <c r="U44" s="84">
        <f>IF(U8=0,0,U8/TrAvia_act!U26*1000000)</f>
        <v>11843.542421682494</v>
      </c>
      <c r="V44" s="84">
        <f>IF(V8=0,0,V8/TrAvia_act!V26*1000000)</f>
        <v>9458.1513280502877</v>
      </c>
      <c r="W44" s="84">
        <f>IF(W8=0,0,W8/TrAvia_act!W26*1000000)</f>
        <v>12415.278961541209</v>
      </c>
      <c r="X44" s="84">
        <f>IF(X8=0,0,X8/TrAvia_act!X26*1000000)</f>
        <v>10949.531483796047</v>
      </c>
      <c r="Y44" s="84">
        <f>IF(Y8=0,0,Y8/TrAvia_act!Y26*1000000)</f>
        <v>12948.124623037365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48857.673174254895</v>
      </c>
      <c r="C45" s="84">
        <f>IF(C9=0,0,C9/TrAvia_act!C27*1000000)</f>
        <v>47821.958176669395</v>
      </c>
      <c r="D45" s="84">
        <f>IF(D9=0,0,D9/TrAvia_act!D27*1000000)</f>
        <v>44951.590177297403</v>
      </c>
      <c r="E45" s="84">
        <f>IF(E9=0,0,E9/TrAvia_act!E27*1000000)</f>
        <v>40085.951512788248</v>
      </c>
      <c r="F45" s="84">
        <f>IF(F9=0,0,F9/TrAvia_act!F27*1000000)</f>
        <v>40124.071495325137</v>
      </c>
      <c r="G45" s="84">
        <f>IF(G9=0,0,G9/TrAvia_act!G27*1000000)</f>
        <v>41185.27361495424</v>
      </c>
      <c r="H45" s="84">
        <f>IF(H9=0,0,H9/TrAvia_act!H27*1000000)</f>
        <v>42103.665939915474</v>
      </c>
      <c r="I45" s="84">
        <f>IF(I9=0,0,I9/TrAvia_act!I27*1000000)</f>
        <v>41628.365410974227</v>
      </c>
      <c r="J45" s="84">
        <f>IF(J9=0,0,J9/TrAvia_act!J27*1000000)</f>
        <v>39553.744990587213</v>
      </c>
      <c r="K45" s="84">
        <f>IF(K9=0,0,K9/TrAvia_act!K27*1000000)</f>
        <v>37367.993018448666</v>
      </c>
      <c r="L45" s="84">
        <f>IF(L9=0,0,L9/TrAvia_act!L27*1000000)</f>
        <v>38156.305329741685</v>
      </c>
      <c r="M45" s="84">
        <f>IF(M9=0,0,M9/TrAvia_act!M27*1000000)</f>
        <v>39021.555440561257</v>
      </c>
      <c r="N45" s="84">
        <f>IF(N9=0,0,N9/TrAvia_act!N27*1000000)</f>
        <v>38121.571150706659</v>
      </c>
      <c r="O45" s="84">
        <f>IF(O9=0,0,O9/TrAvia_act!O27*1000000)</f>
        <v>36749.238181136832</v>
      </c>
      <c r="P45" s="84">
        <f>IF(P9=0,0,P9/TrAvia_act!P27*1000000)</f>
        <v>37089.823268879401</v>
      </c>
      <c r="Q45" s="84">
        <f>IF(Q9=0,0,Q9/TrAvia_act!Q27*1000000)</f>
        <v>40845.127025368129</v>
      </c>
      <c r="R45" s="84">
        <f>IF(R9=0,0,R9/TrAvia_act!R27*1000000)</f>
        <v>45970.906311742205</v>
      </c>
      <c r="S45" s="84">
        <f>IF(S9=0,0,S9/TrAvia_act!S27*1000000)</f>
        <v>42327.160897238995</v>
      </c>
      <c r="T45" s="84">
        <f>IF(T9=0,0,T9/TrAvia_act!T27*1000000)</f>
        <v>43823.843480165808</v>
      </c>
      <c r="U45" s="84">
        <f>IF(U9=0,0,U9/TrAvia_act!U27*1000000)</f>
        <v>46243.72523277365</v>
      </c>
      <c r="V45" s="84">
        <f>IF(V9=0,0,V9/TrAvia_act!V27*1000000)</f>
        <v>55479.492650107946</v>
      </c>
      <c r="W45" s="84">
        <f>IF(W9=0,0,W9/TrAvia_act!W27*1000000)</f>
        <v>47028.938483704093</v>
      </c>
      <c r="X45" s="84">
        <f>IF(X9=0,0,X9/TrAvia_act!X27*1000000)</f>
        <v>43565.352631965085</v>
      </c>
      <c r="Y45" s="84">
        <f>IF(Y9=0,0,Y9/TrAvia_act!Y27*1000000)</f>
        <v>52566.803398777403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10487.198354104888</v>
      </c>
      <c r="C46" s="13">
        <f>IF(C10=0,0,C10/TrAvia_act!C28*1000000)</f>
        <v>10254.771574317025</v>
      </c>
      <c r="D46" s="13">
        <f>IF(D10=0,0,D10/TrAvia_act!D28*1000000)</f>
        <v>9551.1090763474695</v>
      </c>
      <c r="E46" s="13">
        <f>IF(E10=0,0,E10/TrAvia_act!E28*1000000)</f>
        <v>8523.5984412336002</v>
      </c>
      <c r="F46" s="13">
        <f>IF(F10=0,0,F10/TrAvia_act!F28*1000000)</f>
        <v>8630.236157578096</v>
      </c>
      <c r="G46" s="13">
        <f>IF(G10=0,0,G10/TrAvia_act!G28*1000000)</f>
        <v>9402.9701631819262</v>
      </c>
      <c r="H46" s="13">
        <f>IF(H10=0,0,H10/TrAvia_act!H28*1000000)</f>
        <v>9223.7824495090845</v>
      </c>
      <c r="I46" s="13">
        <f>IF(I10=0,0,I10/TrAvia_act!I28*1000000)</f>
        <v>9254.4545417592017</v>
      </c>
      <c r="J46" s="13">
        <f>IF(J10=0,0,J10/TrAvia_act!J28*1000000)</f>
        <v>8813.852710819132</v>
      </c>
      <c r="K46" s="13">
        <f>IF(K10=0,0,K10/TrAvia_act!K28*1000000)</f>
        <v>8082.1000139980979</v>
      </c>
      <c r="L46" s="13">
        <f>IF(L10=0,0,L10/TrAvia_act!L28*1000000)</f>
        <v>8365.3076850826837</v>
      </c>
      <c r="M46" s="13">
        <f>IF(M10=0,0,M10/TrAvia_act!M28*1000000)</f>
        <v>10615.505569890332</v>
      </c>
      <c r="N46" s="13">
        <f>IF(N10=0,0,N10/TrAvia_act!N28*1000000)</f>
        <v>12665.583531259088</v>
      </c>
      <c r="O46" s="13">
        <f>IF(O10=0,0,O10/TrAvia_act!O28*1000000)</f>
        <v>13285.169888016901</v>
      </c>
      <c r="P46" s="13">
        <f>IF(P10=0,0,P10/TrAvia_act!P28*1000000)</f>
        <v>13292.191514177457</v>
      </c>
      <c r="Q46" s="13">
        <f>IF(Q10=0,0,Q10/TrAvia_act!Q28*1000000)</f>
        <v>16051.161096737675</v>
      </c>
      <c r="R46" s="13">
        <f>IF(R10=0,0,R10/TrAvia_act!R28*1000000)</f>
        <v>20164.725928349286</v>
      </c>
      <c r="S46" s="13">
        <f>IF(S10=0,0,S10/TrAvia_act!S28*1000000)</f>
        <v>19470.034542973619</v>
      </c>
      <c r="T46" s="13">
        <f>IF(T10=0,0,T10/TrAvia_act!T28*1000000)</f>
        <v>22776.069559932155</v>
      </c>
      <c r="U46" s="13">
        <f>IF(U10=0,0,U10/TrAvia_act!U28*1000000)</f>
        <v>22888.875689419092</v>
      </c>
      <c r="V46" s="13">
        <f>IF(V10=0,0,V10/TrAvia_act!V28*1000000)</f>
        <v>12685.950246897128</v>
      </c>
      <c r="W46" s="13">
        <f>IF(W10=0,0,W10/TrAvia_act!W28*1000000)</f>
        <v>12652.730182384614</v>
      </c>
      <c r="X46" s="13">
        <f>IF(X10=0,0,X10/TrAvia_act!X28*1000000)</f>
        <v>12529.260218692527</v>
      </c>
      <c r="Y46" s="13">
        <f>IF(Y10=0,0,Y10/TrAvia_act!Y28*1000000)</f>
        <v>14401.246776083157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4824.2578549652653</v>
      </c>
      <c r="C47" s="102">
        <f>IF(C11=0,0,C11/TrAvia_act!C29*1000000)</f>
        <v>5073.8459857441712</v>
      </c>
      <c r="D47" s="102">
        <f>IF(D11=0,0,D11/TrAvia_act!D29*1000000)</f>
        <v>4865.7136862504221</v>
      </c>
      <c r="E47" s="102">
        <f>IF(E11=0,0,E11/TrAvia_act!E29*1000000)</f>
        <v>4943.2839413257343</v>
      </c>
      <c r="F47" s="102">
        <f>IF(F11=0,0,F11/TrAvia_act!F29*1000000)</f>
        <v>5363.2360304700096</v>
      </c>
      <c r="G47" s="102">
        <f>IF(G11=0,0,G11/TrAvia_act!G29*1000000)</f>
        <v>5419.8359728971545</v>
      </c>
      <c r="H47" s="102">
        <f>IF(H11=0,0,H11/TrAvia_act!H29*1000000)</f>
        <v>5527.7234912808653</v>
      </c>
      <c r="I47" s="102">
        <f>IF(I11=0,0,I11/TrAvia_act!I29*1000000)</f>
        <v>5608.6063473652785</v>
      </c>
      <c r="J47" s="102">
        <f>IF(J11=0,0,J11/TrAvia_act!J29*1000000)</f>
        <v>5312.1318674609329</v>
      </c>
      <c r="K47" s="102">
        <f>IF(K11=0,0,K11/TrAvia_act!K29*1000000)</f>
        <v>5357.8484304007352</v>
      </c>
      <c r="L47" s="102">
        <f>IF(L11=0,0,L11/TrAvia_act!L29*1000000)</f>
        <v>5249.6283553460325</v>
      </c>
      <c r="M47" s="102">
        <f>IF(M11=0,0,M11/TrAvia_act!M29*1000000)</f>
        <v>6685.5519407187849</v>
      </c>
      <c r="N47" s="102">
        <f>IF(N11=0,0,N11/TrAvia_act!N29*1000000)</f>
        <v>6248.5549805387336</v>
      </c>
      <c r="O47" s="102">
        <f>IF(O11=0,0,O11/TrAvia_act!O29*1000000)</f>
        <v>6428.0661761295842</v>
      </c>
      <c r="P47" s="102">
        <f>IF(P11=0,0,P11/TrAvia_act!P29*1000000)</f>
        <v>6566.9315612652827</v>
      </c>
      <c r="Q47" s="102">
        <f>IF(Q11=0,0,Q11/TrAvia_act!Q29*1000000)</f>
        <v>7325.7206187377433</v>
      </c>
      <c r="R47" s="102">
        <f>IF(R11=0,0,R11/TrAvia_act!R29*1000000)</f>
        <v>8039.2426531964593</v>
      </c>
      <c r="S47" s="102">
        <f>IF(S11=0,0,S11/TrAvia_act!S29*1000000)</f>
        <v>7733.9515031194069</v>
      </c>
      <c r="T47" s="102">
        <f>IF(T11=0,0,T11/TrAvia_act!T29*1000000)</f>
        <v>8183.2501462718828</v>
      </c>
      <c r="U47" s="102">
        <f>IF(U11=0,0,U11/TrAvia_act!U29*1000000)</f>
        <v>7410.727105341979</v>
      </c>
      <c r="V47" s="102">
        <f>IF(V11=0,0,V11/TrAvia_act!V29*1000000)</f>
        <v>14345.591891399661</v>
      </c>
      <c r="W47" s="102">
        <f>IF(W11=0,0,W11/TrAvia_act!W29*1000000)</f>
        <v>18473.084152811531</v>
      </c>
      <c r="X47" s="102">
        <f>IF(X11=0,0,X11/TrAvia_act!X29*1000000)</f>
        <v>13055.688446009613</v>
      </c>
      <c r="Y47" s="102">
        <f>IF(Y11=0,0,Y11/TrAvia_act!Y29*1000000)</f>
        <v>12959.318075145253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9173.2413497463276</v>
      </c>
      <c r="C48" s="102">
        <f>IF(C12=0,0,C12/TrAvia_act!C30*1000000)</f>
        <v>8941.247942026399</v>
      </c>
      <c r="D48" s="102">
        <f>IF(D12=0,0,D12/TrAvia_act!D30*1000000)</f>
        <v>8398.654527985942</v>
      </c>
      <c r="E48" s="102">
        <f>IF(E12=0,0,E12/TrAvia_act!E30*1000000)</f>
        <v>7443.9914193284421</v>
      </c>
      <c r="F48" s="102">
        <f>IF(F12=0,0,F12/TrAvia_act!F30*1000000)</f>
        <v>7854.2603835287327</v>
      </c>
      <c r="G48" s="102">
        <f>IF(G12=0,0,G12/TrAvia_act!G30*1000000)</f>
        <v>8566.7453976264514</v>
      </c>
      <c r="H48" s="102">
        <f>IF(H12=0,0,H12/TrAvia_act!H30*1000000)</f>
        <v>8298.2913768709368</v>
      </c>
      <c r="I48" s="102">
        <f>IF(I12=0,0,I12/TrAvia_act!I30*1000000)</f>
        <v>8175.1828110827682</v>
      </c>
      <c r="J48" s="102">
        <f>IF(J12=0,0,J12/TrAvia_act!J30*1000000)</f>
        <v>7711.765164179481</v>
      </c>
      <c r="K48" s="102">
        <f>IF(K12=0,0,K12/TrAvia_act!K30*1000000)</f>
        <v>7073.4434652907858</v>
      </c>
      <c r="L48" s="102">
        <f>IF(L12=0,0,L12/TrAvia_act!L30*1000000)</f>
        <v>7302.6234612869048</v>
      </c>
      <c r="M48" s="102">
        <f>IF(M12=0,0,M12/TrAvia_act!M30*1000000)</f>
        <v>8412.6797184851312</v>
      </c>
      <c r="N48" s="102">
        <f>IF(N12=0,0,N12/TrAvia_act!N30*1000000)</f>
        <v>8860.9444735064335</v>
      </c>
      <c r="O48" s="102">
        <f>IF(O12=0,0,O12/TrAvia_act!O30*1000000)</f>
        <v>9036.2249525025309</v>
      </c>
      <c r="P48" s="102">
        <f>IF(P12=0,0,P12/TrAvia_act!P30*1000000)</f>
        <v>8719.0844542708546</v>
      </c>
      <c r="Q48" s="102">
        <f>IF(Q12=0,0,Q12/TrAvia_act!Q30*1000000)</f>
        <v>8784.1271136335417</v>
      </c>
      <c r="R48" s="102">
        <f>IF(R12=0,0,R12/TrAvia_act!R30*1000000)</f>
        <v>9773.8983135582785</v>
      </c>
      <c r="S48" s="102">
        <f>IF(S12=0,0,S12/TrAvia_act!S30*1000000)</f>
        <v>9667.1407498077715</v>
      </c>
      <c r="T48" s="102">
        <f>IF(T12=0,0,T12/TrAvia_act!T30*1000000)</f>
        <v>10071.234869982844</v>
      </c>
      <c r="U48" s="102">
        <f>IF(U12=0,0,U12/TrAvia_act!U30*1000000)</f>
        <v>9659.030946069819</v>
      </c>
      <c r="V48" s="102">
        <f>IF(V12=0,0,V12/TrAvia_act!V30*1000000)</f>
        <v>8259.3914142522844</v>
      </c>
      <c r="W48" s="102">
        <f>IF(W12=0,0,W12/TrAvia_act!W30*1000000)</f>
        <v>10268.381914502108</v>
      </c>
      <c r="X48" s="102">
        <f>IF(X12=0,0,X12/TrAvia_act!X30*1000000)</f>
        <v>9521.1740770234701</v>
      </c>
      <c r="Y48" s="102">
        <f>IF(Y12=0,0,Y12/TrAvia_act!Y30*1000000)</f>
        <v>10768.025881789812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14319.123323499596</v>
      </c>
      <c r="C49" s="86">
        <f>IF(C13=0,0,C13/TrAvia_act!C31*1000000)</f>
        <v>14015.577742736246</v>
      </c>
      <c r="D49" s="86">
        <f>IF(D13=0,0,D13/TrAvia_act!D31*1000000)</f>
        <v>13174.335196857255</v>
      </c>
      <c r="E49" s="86">
        <f>IF(E13=0,0,E13/TrAvia_act!E31*1000000)</f>
        <v>11748.322135690692</v>
      </c>
      <c r="F49" s="86">
        <f>IF(F13=0,0,F13/TrAvia_act!F31*1000000)</f>
        <v>11759.494275000086</v>
      </c>
      <c r="G49" s="86">
        <f>IF(G13=0,0,G13/TrAvia_act!G31*1000000)</f>
        <v>12070.509577917433</v>
      </c>
      <c r="H49" s="86">
        <f>IF(H13=0,0,H13/TrAvia_act!H31*1000000)</f>
        <v>12734.454861498623</v>
      </c>
      <c r="I49" s="86">
        <f>IF(I13=0,0,I13/TrAvia_act!I31*1000000)</f>
        <v>12990.494829657191</v>
      </c>
      <c r="J49" s="86">
        <f>IF(J13=0,0,J13/TrAvia_act!J31*1000000)</f>
        <v>12731.955978091091</v>
      </c>
      <c r="K49" s="86">
        <f>IF(K13=0,0,K13/TrAvia_act!K31*1000000)</f>
        <v>12404.228758432337</v>
      </c>
      <c r="L49" s="86">
        <f>IF(L13=0,0,L13/TrAvia_act!L31*1000000)</f>
        <v>13058.276348797021</v>
      </c>
      <c r="M49" s="86">
        <f>IF(M13=0,0,M13/TrAvia_act!M31*1000000)</f>
        <v>18407.916265174255</v>
      </c>
      <c r="N49" s="86">
        <f>IF(N13=0,0,N13/TrAvia_act!N31*1000000)</f>
        <v>24343.89909975815</v>
      </c>
      <c r="O49" s="86">
        <f>IF(O13=0,0,O13/TrAvia_act!O31*1000000)</f>
        <v>27165.902546453621</v>
      </c>
      <c r="P49" s="86">
        <f>IF(P13=0,0,P13/TrAvia_act!P31*1000000)</f>
        <v>31669.478200075901</v>
      </c>
      <c r="Q49" s="86">
        <f>IF(Q13=0,0,Q13/TrAvia_act!Q31*1000000)</f>
        <v>40187.882055040907</v>
      </c>
      <c r="R49" s="86">
        <f>IF(R13=0,0,R13/TrAvia_act!R31*1000000)</f>
        <v>51982.161757845104</v>
      </c>
      <c r="S49" s="86">
        <f>IF(S13=0,0,S13/TrAvia_act!S31*1000000)</f>
        <v>54843.506071454693</v>
      </c>
      <c r="T49" s="86">
        <f>IF(T13=0,0,T13/TrAvia_act!T31*1000000)</f>
        <v>64851.118699784478</v>
      </c>
      <c r="U49" s="86">
        <f>IF(U13=0,0,U13/TrAvia_act!U31*1000000)</f>
        <v>72347.077666881713</v>
      </c>
      <c r="V49" s="86">
        <f>IF(V13=0,0,V13/TrAvia_act!V31*1000000)</f>
        <v>34250.625983298218</v>
      </c>
      <c r="W49" s="86">
        <f>IF(W13=0,0,W13/TrAvia_act!W31*1000000)</f>
        <v>24365.590270328579</v>
      </c>
      <c r="X49" s="86">
        <f>IF(X13=0,0,X13/TrAvia_act!X31*1000000)</f>
        <v>28207.798633317292</v>
      </c>
      <c r="Y49" s="86">
        <f>IF(Y13=0,0,Y13/TrAvia_act!Y31*1000000)</f>
        <v>32971.921330990881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0.98482454758109206</v>
      </c>
      <c r="C52" s="16">
        <f t="shared" si="36"/>
        <v>0.98670371794537404</v>
      </c>
      <c r="D52" s="16">
        <f t="shared" ref="D52:V52" si="37">IF(D6=0,0,D6/D$3)</f>
        <v>0.9835929065696507</v>
      </c>
      <c r="E52" s="16">
        <f t="shared" si="37"/>
        <v>0.98357022509460523</v>
      </c>
      <c r="F52" s="16">
        <f t="shared" si="37"/>
        <v>0.97918581667772042</v>
      </c>
      <c r="G52" s="16">
        <f t="shared" si="37"/>
        <v>0.97730678804101634</v>
      </c>
      <c r="H52" s="16">
        <f t="shared" si="37"/>
        <v>0.97640943101626965</v>
      </c>
      <c r="I52" s="16">
        <f t="shared" si="37"/>
        <v>0.97929914399517315</v>
      </c>
      <c r="J52" s="16">
        <f t="shared" si="37"/>
        <v>0.98083449373563369</v>
      </c>
      <c r="K52" s="16">
        <f t="shared" si="37"/>
        <v>0.98167666157393174</v>
      </c>
      <c r="L52" s="16">
        <f t="shared" si="37"/>
        <v>0.98051484220215246</v>
      </c>
      <c r="M52" s="16">
        <f t="shared" si="37"/>
        <v>0.97681080434256917</v>
      </c>
      <c r="N52" s="16">
        <f t="shared" si="37"/>
        <v>0.9755964886767432</v>
      </c>
      <c r="O52" s="16">
        <f t="shared" si="37"/>
        <v>0.97215505511863898</v>
      </c>
      <c r="P52" s="16">
        <f t="shared" si="37"/>
        <v>0.97033655612470504</v>
      </c>
      <c r="Q52" s="16">
        <f t="shared" si="37"/>
        <v>0.96727287453336475</v>
      </c>
      <c r="R52" s="16">
        <f t="shared" si="37"/>
        <v>0.96874383014329579</v>
      </c>
      <c r="S52" s="16">
        <f t="shared" si="37"/>
        <v>0.96434489634345022</v>
      </c>
      <c r="T52" s="16">
        <f t="shared" si="37"/>
        <v>0.96294858102535186</v>
      </c>
      <c r="U52" s="16">
        <f t="shared" si="37"/>
        <v>0.96567948489606481</v>
      </c>
      <c r="V52" s="16">
        <f t="shared" si="37"/>
        <v>0.95023775664370791</v>
      </c>
      <c r="W52" s="16">
        <f t="shared" ref="W52:Y52" si="38">IF(W6=0,0,W6/W$3)</f>
        <v>0.95571823604495065</v>
      </c>
      <c r="X52" s="16">
        <f t="shared" si="38"/>
        <v>0.97090779687694573</v>
      </c>
      <c r="Y52" s="16">
        <f t="shared" si="38"/>
        <v>0.97609477477328643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5.9077383537001038E-2</v>
      </c>
      <c r="C53" s="103">
        <f t="shared" si="39"/>
        <v>5.7294179067252315E-2</v>
      </c>
      <c r="D53" s="103">
        <f t="shared" ref="D53:V53" si="40">IF(D7=0,0,D7/D$3)</f>
        <v>6.2766674810495582E-2</v>
      </c>
      <c r="E53" s="103">
        <f t="shared" si="40"/>
        <v>6.4376548131412067E-2</v>
      </c>
      <c r="F53" s="103">
        <f t="shared" si="40"/>
        <v>5.7927360382852358E-2</v>
      </c>
      <c r="G53" s="103">
        <f t="shared" si="40"/>
        <v>5.2025165659724447E-2</v>
      </c>
      <c r="H53" s="103">
        <f t="shared" si="40"/>
        <v>5.2263891122453741E-2</v>
      </c>
      <c r="I53" s="103">
        <f t="shared" si="40"/>
        <v>5.0430374479350185E-2</v>
      </c>
      <c r="J53" s="103">
        <f t="shared" si="40"/>
        <v>4.9313311618602605E-2</v>
      </c>
      <c r="K53" s="103">
        <f t="shared" si="40"/>
        <v>5.5115032349353353E-2</v>
      </c>
      <c r="L53" s="103">
        <f t="shared" si="40"/>
        <v>5.0129856985644247E-2</v>
      </c>
      <c r="M53" s="103">
        <f t="shared" si="40"/>
        <v>4.7283524991987999E-2</v>
      </c>
      <c r="N53" s="103">
        <f t="shared" si="40"/>
        <v>4.5902018954037282E-2</v>
      </c>
      <c r="O53" s="103">
        <f t="shared" si="40"/>
        <v>4.7830492488292561E-2</v>
      </c>
      <c r="P53" s="103">
        <f t="shared" si="40"/>
        <v>4.6354051155842631E-2</v>
      </c>
      <c r="Q53" s="103">
        <f t="shared" si="40"/>
        <v>4.3451632024429102E-2</v>
      </c>
      <c r="R53" s="103">
        <f t="shared" si="40"/>
        <v>3.9213583779012816E-2</v>
      </c>
      <c r="S53" s="103">
        <f t="shared" si="40"/>
        <v>3.8745975726659262E-2</v>
      </c>
      <c r="T53" s="103">
        <f t="shared" si="40"/>
        <v>3.6070081531154694E-2</v>
      </c>
      <c r="U53" s="103">
        <f t="shared" si="40"/>
        <v>2.6119842825572424E-2</v>
      </c>
      <c r="V53" s="103">
        <f t="shared" si="40"/>
        <v>4.9680410961318255E-2</v>
      </c>
      <c r="W53" s="103">
        <f t="shared" ref="W53:Y53" si="41">IF(W7=0,0,W7/W$3)</f>
        <v>3.9006562731945971E-2</v>
      </c>
      <c r="X53" s="103">
        <f t="shared" si="41"/>
        <v>2.8617134972839763E-2</v>
      </c>
      <c r="Y53" s="103">
        <f t="shared" si="41"/>
        <v>2.0872830912864383E-2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0.46886823372263414</v>
      </c>
      <c r="C54" s="103">
        <f t="shared" si="42"/>
        <v>0.46265059307002354</v>
      </c>
      <c r="D54" s="103">
        <f t="shared" ref="D54:V54" si="43">IF(D8=0,0,D8/D$3)</f>
        <v>0.46243832090460057</v>
      </c>
      <c r="E54" s="103">
        <f t="shared" si="43"/>
        <v>0.46692441046369526</v>
      </c>
      <c r="F54" s="103">
        <f t="shared" si="43"/>
        <v>0.44188155283950892</v>
      </c>
      <c r="G54" s="103">
        <f t="shared" si="43"/>
        <v>0.44311377052011547</v>
      </c>
      <c r="H54" s="103">
        <f t="shared" si="43"/>
        <v>0.44626414427220534</v>
      </c>
      <c r="I54" s="103">
        <f t="shared" si="43"/>
        <v>0.4558176089471398</v>
      </c>
      <c r="J54" s="103">
        <f t="shared" si="43"/>
        <v>0.45132804769929674</v>
      </c>
      <c r="K54" s="103">
        <f t="shared" si="43"/>
        <v>0.43850767849550576</v>
      </c>
      <c r="L54" s="103">
        <f t="shared" si="43"/>
        <v>0.43830537083220511</v>
      </c>
      <c r="M54" s="103">
        <f t="shared" si="43"/>
        <v>0.4384343181783586</v>
      </c>
      <c r="N54" s="103">
        <f t="shared" si="43"/>
        <v>0.43247518578345723</v>
      </c>
      <c r="O54" s="103">
        <f t="shared" si="43"/>
        <v>0.4273243851173763</v>
      </c>
      <c r="P54" s="103">
        <f t="shared" si="43"/>
        <v>0.43041364112543073</v>
      </c>
      <c r="Q54" s="103">
        <f t="shared" si="43"/>
        <v>0.43357932192727688</v>
      </c>
      <c r="R54" s="103">
        <f t="shared" si="43"/>
        <v>0.45351078351783952</v>
      </c>
      <c r="S54" s="103">
        <f t="shared" si="43"/>
        <v>0.45997150912089474</v>
      </c>
      <c r="T54" s="103">
        <f t="shared" si="43"/>
        <v>0.45929542491603753</v>
      </c>
      <c r="U54" s="103">
        <f t="shared" si="43"/>
        <v>0.45580241729221932</v>
      </c>
      <c r="V54" s="103">
        <f t="shared" si="43"/>
        <v>0.37601040072674718</v>
      </c>
      <c r="W54" s="103">
        <f t="shared" ref="W54:Y54" si="44">IF(W8=0,0,W8/W$3)</f>
        <v>0.41366674570905226</v>
      </c>
      <c r="X54" s="103">
        <f t="shared" si="44"/>
        <v>0.47424299132168773</v>
      </c>
      <c r="Y54" s="103">
        <f t="shared" si="44"/>
        <v>0.4703113238593144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0.45687893032145699</v>
      </c>
      <c r="C55" s="103">
        <f t="shared" si="45"/>
        <v>0.46675894580809812</v>
      </c>
      <c r="D55" s="103">
        <f t="shared" ref="D55:V55" si="46">IF(D9=0,0,D9/D$3)</f>
        <v>0.45838791085455455</v>
      </c>
      <c r="E55" s="103">
        <f t="shared" si="46"/>
        <v>0.45226926649949784</v>
      </c>
      <c r="F55" s="103">
        <f t="shared" si="46"/>
        <v>0.4793769034553591</v>
      </c>
      <c r="G55" s="103">
        <f t="shared" si="46"/>
        <v>0.48216785186117644</v>
      </c>
      <c r="H55" s="103">
        <f t="shared" si="46"/>
        <v>0.47788139562161053</v>
      </c>
      <c r="I55" s="103">
        <f t="shared" si="46"/>
        <v>0.47305116056868318</v>
      </c>
      <c r="J55" s="103">
        <f t="shared" si="46"/>
        <v>0.48019313441773431</v>
      </c>
      <c r="K55" s="103">
        <f t="shared" si="46"/>
        <v>0.48805395072907259</v>
      </c>
      <c r="L55" s="103">
        <f t="shared" si="46"/>
        <v>0.4920796143843032</v>
      </c>
      <c r="M55" s="103">
        <f t="shared" si="46"/>
        <v>0.49109296117222251</v>
      </c>
      <c r="N55" s="103">
        <f t="shared" si="46"/>
        <v>0.49721928393924864</v>
      </c>
      <c r="O55" s="103">
        <f t="shared" si="46"/>
        <v>0.49700017751297015</v>
      </c>
      <c r="P55" s="103">
        <f t="shared" si="46"/>
        <v>0.49356886384343185</v>
      </c>
      <c r="Q55" s="103">
        <f t="shared" si="46"/>
        <v>0.49024192058165889</v>
      </c>
      <c r="R55" s="103">
        <f t="shared" si="46"/>
        <v>0.47601946284644348</v>
      </c>
      <c r="S55" s="103">
        <f t="shared" si="46"/>
        <v>0.46562741149589626</v>
      </c>
      <c r="T55" s="103">
        <f t="shared" si="46"/>
        <v>0.46758307457815956</v>
      </c>
      <c r="U55" s="103">
        <f t="shared" si="46"/>
        <v>0.48375722477827321</v>
      </c>
      <c r="V55" s="103">
        <f t="shared" si="46"/>
        <v>0.52454694495564247</v>
      </c>
      <c r="W55" s="103">
        <f t="shared" ref="W55:Y55" si="47">IF(W9=0,0,W9/W$3)</f>
        <v>0.50304492760395247</v>
      </c>
      <c r="X55" s="103">
        <f t="shared" si="47"/>
        <v>0.46804767058241814</v>
      </c>
      <c r="Y55" s="103">
        <f t="shared" si="47"/>
        <v>0.48491062000110752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1.5175452418907864E-2</v>
      </c>
      <c r="C56" s="17">
        <f t="shared" si="48"/>
        <v>1.3296282054626053E-2</v>
      </c>
      <c r="D56" s="17">
        <f t="shared" ref="D56:V56" si="49">IF(D10=0,0,D10/D$3)</f>
        <v>1.6407093430349285E-2</v>
      </c>
      <c r="E56" s="17">
        <f t="shared" si="49"/>
        <v>1.6429774905394798E-2</v>
      </c>
      <c r="F56" s="17">
        <f t="shared" si="49"/>
        <v>2.0814183322279658E-2</v>
      </c>
      <c r="G56" s="17">
        <f t="shared" si="49"/>
        <v>2.2693211958983675E-2</v>
      </c>
      <c r="H56" s="17">
        <f t="shared" si="49"/>
        <v>2.3590568983730457E-2</v>
      </c>
      <c r="I56" s="17">
        <f t="shared" si="49"/>
        <v>2.0700856004826837E-2</v>
      </c>
      <c r="J56" s="17">
        <f t="shared" si="49"/>
        <v>1.9165506264366569E-2</v>
      </c>
      <c r="K56" s="17">
        <f t="shared" si="49"/>
        <v>1.8323338426068314E-2</v>
      </c>
      <c r="L56" s="17">
        <f t="shared" si="49"/>
        <v>1.9485157797847465E-2</v>
      </c>
      <c r="M56" s="17">
        <f t="shared" si="49"/>
        <v>2.3189195657430894E-2</v>
      </c>
      <c r="N56" s="17">
        <f t="shared" si="49"/>
        <v>2.4403511323256778E-2</v>
      </c>
      <c r="O56" s="17">
        <f t="shared" si="49"/>
        <v>2.7844944881360908E-2</v>
      </c>
      <c r="P56" s="17">
        <f t="shared" si="49"/>
        <v>2.9663443875294904E-2</v>
      </c>
      <c r="Q56" s="17">
        <f t="shared" si="49"/>
        <v>3.2727125466635192E-2</v>
      </c>
      <c r="R56" s="17">
        <f t="shared" si="49"/>
        <v>3.1256169856704256E-2</v>
      </c>
      <c r="S56" s="17">
        <f t="shared" si="49"/>
        <v>3.5655103656549829E-2</v>
      </c>
      <c r="T56" s="17">
        <f t="shared" si="49"/>
        <v>3.7051418974648309E-2</v>
      </c>
      <c r="U56" s="17">
        <f t="shared" si="49"/>
        <v>3.432051510393519E-2</v>
      </c>
      <c r="V56" s="17">
        <f t="shared" si="49"/>
        <v>4.9762243356292063E-2</v>
      </c>
      <c r="W56" s="17">
        <f t="shared" ref="W56:Y56" si="50">IF(W10=0,0,W10/W$3)</f>
        <v>4.428176395504934E-2</v>
      </c>
      <c r="X56" s="17">
        <f t="shared" si="50"/>
        <v>2.9092203123054286E-2</v>
      </c>
      <c r="Y56" s="17">
        <f t="shared" si="50"/>
        <v>2.3905225226713536E-2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3.2841809965436064E-4</v>
      </c>
      <c r="C57" s="104">
        <f t="shared" si="51"/>
        <v>2.2026969665438499E-4</v>
      </c>
      <c r="D57" s="104">
        <f t="shared" ref="D57:V57" si="52">IF(D11=0,0,D11/D$3)</f>
        <v>2.2460831165989207E-4</v>
      </c>
      <c r="E57" s="104">
        <f t="shared" si="52"/>
        <v>2.411055753837937E-4</v>
      </c>
      <c r="F57" s="104">
        <f t="shared" si="52"/>
        <v>2.8717940754148887E-4</v>
      </c>
      <c r="G57" s="104">
        <f t="shared" si="52"/>
        <v>2.6564338789724387E-4</v>
      </c>
      <c r="H57" s="104">
        <f t="shared" si="52"/>
        <v>2.6406063929443427E-4</v>
      </c>
      <c r="I57" s="104">
        <f t="shared" si="52"/>
        <v>2.2057703919502257E-4</v>
      </c>
      <c r="J57" s="104">
        <f t="shared" si="52"/>
        <v>2.2028878617084055E-4</v>
      </c>
      <c r="K57" s="104">
        <f t="shared" si="52"/>
        <v>2.3552336043079848E-4</v>
      </c>
      <c r="L57" s="104">
        <f t="shared" si="52"/>
        <v>1.7876266818317194E-4</v>
      </c>
      <c r="M57" s="104">
        <f t="shared" si="52"/>
        <v>1.5700356935331044E-4</v>
      </c>
      <c r="N57" s="104">
        <f t="shared" si="52"/>
        <v>1.1058718098483173E-4</v>
      </c>
      <c r="O57" s="104">
        <f t="shared" si="52"/>
        <v>9.0948033781311743E-5</v>
      </c>
      <c r="P57" s="104">
        <f t="shared" si="52"/>
        <v>6.0889144229934649E-5</v>
      </c>
      <c r="Q57" s="104">
        <f t="shared" si="52"/>
        <v>5.9986346628896638E-5</v>
      </c>
      <c r="R57" s="104">
        <f t="shared" si="52"/>
        <v>3.3615222183247463E-5</v>
      </c>
      <c r="S57" s="104">
        <f t="shared" si="52"/>
        <v>2.6792221661691264E-5</v>
      </c>
      <c r="T57" s="104">
        <f t="shared" si="52"/>
        <v>2.5236517673359956E-5</v>
      </c>
      <c r="U57" s="104">
        <f t="shared" si="52"/>
        <v>4.9952559732994445E-6</v>
      </c>
      <c r="V57" s="104">
        <f t="shared" si="52"/>
        <v>1.4235364909359682E-5</v>
      </c>
      <c r="W57" s="104">
        <f t="shared" ref="W57:Y57" si="53">IF(W11=0,0,W11/W$3)</f>
        <v>1.4627085668684463E-5</v>
      </c>
      <c r="X57" s="104">
        <f t="shared" si="53"/>
        <v>6.8615976488746983E-6</v>
      </c>
      <c r="Y57" s="104">
        <f t="shared" si="53"/>
        <v>4.8746222821424278E-6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8.7324152528613173E-3</v>
      </c>
      <c r="C58" s="104">
        <f t="shared" si="54"/>
        <v>7.9082010596335153E-3</v>
      </c>
      <c r="D58" s="104">
        <f t="shared" ref="D58:V58" si="55">IF(D12=0,0,D12/D$3)</f>
        <v>1.0271304259995197E-2</v>
      </c>
      <c r="E58" s="104">
        <f t="shared" si="55"/>
        <v>1.017581044638158E-2</v>
      </c>
      <c r="F58" s="104">
        <f t="shared" si="55"/>
        <v>1.448993345967216E-2</v>
      </c>
      <c r="G58" s="104">
        <f t="shared" si="55"/>
        <v>1.4943650960742585E-2</v>
      </c>
      <c r="H58" s="104">
        <f t="shared" si="55"/>
        <v>1.6151817804288114E-2</v>
      </c>
      <c r="I58" s="104">
        <f t="shared" si="55"/>
        <v>1.3695143730603434E-2</v>
      </c>
      <c r="J58" s="104">
        <f t="shared" si="55"/>
        <v>1.2615056807291377E-2</v>
      </c>
      <c r="K58" s="104">
        <f t="shared" si="55"/>
        <v>1.2591220891130682E-2</v>
      </c>
      <c r="L58" s="104">
        <f t="shared" si="55"/>
        <v>1.35319103753914E-2</v>
      </c>
      <c r="M58" s="104">
        <f t="shared" si="55"/>
        <v>1.409539269363142E-2</v>
      </c>
      <c r="N58" s="104">
        <f t="shared" si="55"/>
        <v>1.2694276146483715E-2</v>
      </c>
      <c r="O58" s="104">
        <f t="shared" si="55"/>
        <v>1.4354445064656029E-2</v>
      </c>
      <c r="P58" s="104">
        <f t="shared" si="55"/>
        <v>1.5492280169557022E-2</v>
      </c>
      <c r="Q58" s="104">
        <f t="shared" si="55"/>
        <v>1.3690380731082181E-2</v>
      </c>
      <c r="R58" s="104">
        <f t="shared" si="55"/>
        <v>1.1377789535443959E-2</v>
      </c>
      <c r="S58" s="104">
        <f t="shared" si="55"/>
        <v>1.3826871020271744E-2</v>
      </c>
      <c r="T58" s="104">
        <f t="shared" si="55"/>
        <v>1.2551685311929602E-2</v>
      </c>
      <c r="U58" s="104">
        <f t="shared" si="55"/>
        <v>1.1419841424059865E-2</v>
      </c>
      <c r="V58" s="104">
        <f t="shared" si="55"/>
        <v>2.6874450758136437E-2</v>
      </c>
      <c r="W58" s="104">
        <f t="shared" ref="W58:Y58" si="56">IF(W12=0,0,W12/W$3)</f>
        <v>2.985541291153548E-2</v>
      </c>
      <c r="X58" s="104">
        <f t="shared" si="56"/>
        <v>1.8544767420155765E-2</v>
      </c>
      <c r="Y58" s="104">
        <f t="shared" si="56"/>
        <v>1.4945872630853434E-2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6.1146190663921868E-3</v>
      </c>
      <c r="C59" s="105">
        <f t="shared" si="57"/>
        <v>5.1678112983381532E-3</v>
      </c>
      <c r="D59" s="105">
        <f t="shared" ref="D59:V59" si="58">IF(D13=0,0,D13/D$3)</f>
        <v>5.9111808586941959E-3</v>
      </c>
      <c r="E59" s="105">
        <f t="shared" si="58"/>
        <v>6.0128588836294242E-3</v>
      </c>
      <c r="F59" s="105">
        <f t="shared" si="58"/>
        <v>6.0370704550660077E-3</v>
      </c>
      <c r="G59" s="105">
        <f t="shared" si="58"/>
        <v>7.4839176103438463E-3</v>
      </c>
      <c r="H59" s="105">
        <f t="shared" si="58"/>
        <v>7.1746905401479091E-3</v>
      </c>
      <c r="I59" s="105">
        <f t="shared" si="58"/>
        <v>6.7851352350283807E-3</v>
      </c>
      <c r="J59" s="105">
        <f t="shared" si="58"/>
        <v>6.3301606709043516E-3</v>
      </c>
      <c r="K59" s="105">
        <f t="shared" si="58"/>
        <v>5.4965941745068331E-3</v>
      </c>
      <c r="L59" s="105">
        <f t="shared" si="58"/>
        <v>5.774484754272894E-3</v>
      </c>
      <c r="M59" s="105">
        <f t="shared" si="58"/>
        <v>8.9367993944461637E-3</v>
      </c>
      <c r="N59" s="105">
        <f t="shared" si="58"/>
        <v>1.1598647995788232E-2</v>
      </c>
      <c r="O59" s="105">
        <f t="shared" si="58"/>
        <v>1.3399551782923569E-2</v>
      </c>
      <c r="P59" s="105">
        <f t="shared" si="58"/>
        <v>1.411027456150795E-2</v>
      </c>
      <c r="Q59" s="105">
        <f t="shared" si="58"/>
        <v>1.8976758388924118E-2</v>
      </c>
      <c r="R59" s="105">
        <f t="shared" si="58"/>
        <v>1.9844765099077049E-2</v>
      </c>
      <c r="S59" s="105">
        <f t="shared" si="58"/>
        <v>2.1801440414616395E-2</v>
      </c>
      <c r="T59" s="105">
        <f t="shared" si="58"/>
        <v>2.4474497145045352E-2</v>
      </c>
      <c r="U59" s="105">
        <f t="shared" si="58"/>
        <v>2.289567842390202E-2</v>
      </c>
      <c r="V59" s="105">
        <f t="shared" si="58"/>
        <v>2.2873557233246276E-2</v>
      </c>
      <c r="W59" s="105">
        <f t="shared" ref="W59:Y59" si="59">IF(W13=0,0,W13/W$3)</f>
        <v>1.4411723957845179E-2</v>
      </c>
      <c r="X59" s="105">
        <f t="shared" si="59"/>
        <v>1.0540574105249645E-2</v>
      </c>
      <c r="Y59" s="105">
        <f t="shared" si="59"/>
        <v>8.9544779735779585E-3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12543667</v>
      </c>
      <c r="C4" s="11">
        <f t="shared" si="0"/>
        <v>12231157</v>
      </c>
      <c r="D4" s="11">
        <f t="shared" ref="D4" si="1">SUM(D5:D7)</f>
        <v>12033857</v>
      </c>
      <c r="E4" s="11">
        <f t="shared" ref="E4" si="2">SUM(E5:E7)</f>
        <v>12703678</v>
      </c>
      <c r="F4" s="11">
        <f t="shared" ref="F4" si="3">SUM(F5:F7)</f>
        <v>14772165</v>
      </c>
      <c r="G4" s="11">
        <f t="shared" ref="G4" si="4">SUM(G5:G7)</f>
        <v>15377473</v>
      </c>
      <c r="H4" s="11">
        <f t="shared" ref="H4" si="5">SUM(H5:H7)</f>
        <v>15679592</v>
      </c>
      <c r="I4" s="11">
        <f t="shared" ref="I4" si="6">SUM(I5:I7)</f>
        <v>17196913</v>
      </c>
      <c r="J4" s="11">
        <f t="shared" ref="J4" si="7">SUM(J5:J7)</f>
        <v>17941698</v>
      </c>
      <c r="K4" s="11">
        <f t="shared" ref="K4" si="8">SUM(K5:K7)</f>
        <v>16466239</v>
      </c>
      <c r="L4" s="11">
        <f t="shared" ref="L4" si="9">SUM(L5:L7)</f>
        <v>17733202</v>
      </c>
      <c r="M4" s="11">
        <f t="shared" ref="M4" si="10">SUM(M5:M7)</f>
        <v>18506712</v>
      </c>
      <c r="N4" s="11">
        <f t="shared" ref="N4" si="11">SUM(N5:N7)</f>
        <v>18189610</v>
      </c>
      <c r="O4" s="11">
        <f t="shared" ref="O4" si="12">SUM(O5:O7)</f>
        <v>17592386</v>
      </c>
      <c r="P4" s="11">
        <f t="shared" ref="P4" si="13">SUM(P5:P7)</f>
        <v>18050465</v>
      </c>
      <c r="Q4" s="11">
        <f t="shared" ref="Q4" si="14">SUM(Q5:Q7)</f>
        <v>18445847</v>
      </c>
      <c r="R4" s="11">
        <f t="shared" ref="R4" si="15">SUM(R5:R7)</f>
        <v>18862882</v>
      </c>
      <c r="S4" s="11">
        <f t="shared" ref="S4" si="16">SUM(S5:S7)</f>
        <v>19402305</v>
      </c>
      <c r="T4" s="11">
        <f t="shared" ref="T4" si="17">SUM(T5:T7)</f>
        <v>20861207</v>
      </c>
      <c r="U4" s="11">
        <f t="shared" ref="U4" si="18">SUM(U5:U7)</f>
        <v>23415201</v>
      </c>
      <c r="V4" s="11">
        <f t="shared" ref="V4:W4" si="19">SUM(V5:V7)</f>
        <v>7825938</v>
      </c>
      <c r="W4" s="11">
        <f t="shared" si="19"/>
        <v>8996480</v>
      </c>
      <c r="X4" s="11">
        <f t="shared" ref="X4:Y4" si="20">SUM(X5:X7)</f>
        <v>17434670</v>
      </c>
      <c r="Y4" s="11">
        <f t="shared" si="20"/>
        <v>20867973</v>
      </c>
      <c r="DA4" s="189" t="s">
        <v>362</v>
      </c>
    </row>
    <row r="5" spans="1:105" ht="11.45" customHeight="1" x14ac:dyDescent="0.25">
      <c r="A5" s="83" t="s">
        <v>27</v>
      </c>
      <c r="B5" s="84">
        <v>992904</v>
      </c>
      <c r="C5" s="84">
        <v>1011278</v>
      </c>
      <c r="D5" s="84">
        <v>1023510</v>
      </c>
      <c r="E5" s="84">
        <v>1049368</v>
      </c>
      <c r="F5" s="84">
        <v>1065078</v>
      </c>
      <c r="G5" s="84">
        <v>1089750</v>
      </c>
      <c r="H5" s="84">
        <v>1251730</v>
      </c>
      <c r="I5" s="84">
        <v>1296184</v>
      </c>
      <c r="J5" s="84">
        <v>1387450</v>
      </c>
      <c r="K5" s="84">
        <v>1384182</v>
      </c>
      <c r="L5" s="84">
        <v>1461793</v>
      </c>
      <c r="M5" s="84">
        <v>1216415</v>
      </c>
      <c r="N5" s="84">
        <v>1128667</v>
      </c>
      <c r="O5" s="84">
        <v>1059139</v>
      </c>
      <c r="P5" s="84">
        <v>996939</v>
      </c>
      <c r="Q5" s="84">
        <v>957711</v>
      </c>
      <c r="R5" s="84">
        <v>881479</v>
      </c>
      <c r="S5" s="84">
        <v>910048</v>
      </c>
      <c r="T5" s="84">
        <v>895232</v>
      </c>
      <c r="U5" s="84">
        <v>839514</v>
      </c>
      <c r="V5" s="84">
        <v>272965</v>
      </c>
      <c r="W5" s="84">
        <v>276316</v>
      </c>
      <c r="X5" s="84">
        <v>460599</v>
      </c>
      <c r="Y5" s="84">
        <v>508480</v>
      </c>
      <c r="DA5" s="171" t="s">
        <v>363</v>
      </c>
    </row>
    <row r="6" spans="1:105" ht="11.45" customHeight="1" x14ac:dyDescent="0.25">
      <c r="A6" s="83" t="s">
        <v>181</v>
      </c>
      <c r="B6" s="84">
        <v>9091499</v>
      </c>
      <c r="C6" s="84">
        <v>8798609</v>
      </c>
      <c r="D6" s="84">
        <v>8620671</v>
      </c>
      <c r="E6" s="84">
        <v>9235049</v>
      </c>
      <c r="F6" s="84">
        <v>10519405</v>
      </c>
      <c r="G6" s="84">
        <v>10768940</v>
      </c>
      <c r="H6" s="84">
        <v>10857053</v>
      </c>
      <c r="I6" s="84">
        <v>12203903</v>
      </c>
      <c r="J6" s="84">
        <v>12746678</v>
      </c>
      <c r="K6" s="84">
        <v>11507529</v>
      </c>
      <c r="L6" s="84">
        <v>12320996</v>
      </c>
      <c r="M6" s="84">
        <v>13093444</v>
      </c>
      <c r="N6" s="84">
        <v>12863286</v>
      </c>
      <c r="O6" s="84">
        <v>12333847</v>
      </c>
      <c r="P6" s="84">
        <v>12773435</v>
      </c>
      <c r="Q6" s="84">
        <v>13160030</v>
      </c>
      <c r="R6" s="84">
        <v>13829380</v>
      </c>
      <c r="S6" s="84">
        <v>14128951</v>
      </c>
      <c r="T6" s="84">
        <v>15097532</v>
      </c>
      <c r="U6" s="84">
        <v>16983358</v>
      </c>
      <c r="V6" s="84">
        <v>5885583</v>
      </c>
      <c r="W6" s="84">
        <v>6321653</v>
      </c>
      <c r="X6" s="84">
        <v>12963354</v>
      </c>
      <c r="Y6" s="84">
        <v>15347367</v>
      </c>
      <c r="DA6" s="171" t="s">
        <v>364</v>
      </c>
    </row>
    <row r="7" spans="1:105" ht="11.45" customHeight="1" x14ac:dyDescent="0.25">
      <c r="A7" s="85" t="s">
        <v>182</v>
      </c>
      <c r="B7" s="86">
        <v>2459264</v>
      </c>
      <c r="C7" s="86">
        <v>2421270</v>
      </c>
      <c r="D7" s="86">
        <v>2389676</v>
      </c>
      <c r="E7" s="86">
        <v>2419261</v>
      </c>
      <c r="F7" s="86">
        <v>3187682</v>
      </c>
      <c r="G7" s="86">
        <v>3518783</v>
      </c>
      <c r="H7" s="86">
        <v>3570809</v>
      </c>
      <c r="I7" s="86">
        <v>3696826</v>
      </c>
      <c r="J7" s="86">
        <v>3807570</v>
      </c>
      <c r="K7" s="86">
        <v>3574528</v>
      </c>
      <c r="L7" s="86">
        <v>3950413</v>
      </c>
      <c r="M7" s="86">
        <v>4196853</v>
      </c>
      <c r="N7" s="86">
        <v>4197657</v>
      </c>
      <c r="O7" s="86">
        <v>4199400</v>
      </c>
      <c r="P7" s="86">
        <v>4280091</v>
      </c>
      <c r="Q7" s="86">
        <v>4328106</v>
      </c>
      <c r="R7" s="86">
        <v>4152023</v>
      </c>
      <c r="S7" s="86">
        <v>4363306</v>
      </c>
      <c r="T7" s="86">
        <v>4868443</v>
      </c>
      <c r="U7" s="86">
        <v>5592329</v>
      </c>
      <c r="V7" s="86">
        <v>1667390</v>
      </c>
      <c r="W7" s="86">
        <v>2398511</v>
      </c>
      <c r="X7" s="86">
        <v>4010717</v>
      </c>
      <c r="Y7" s="86">
        <v>5012126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96.306763303569369</v>
      </c>
      <c r="C12" s="14">
        <f>IF(C4=0,0,C4/TrAvia_act!C24)</f>
        <v>97.504480158160746</v>
      </c>
      <c r="D12" s="14">
        <f>IF(D4=0,0,D4/TrAvia_act!D24)</f>
        <v>95.178962937184622</v>
      </c>
      <c r="E12" s="14">
        <f>IF(E4=0,0,E4/TrAvia_act!E24)</f>
        <v>96.335590624028399</v>
      </c>
      <c r="F12" s="14">
        <f>IF(F4=0,0,F4/TrAvia_act!F24)</f>
        <v>101.00625641025641</v>
      </c>
      <c r="G12" s="14">
        <f>IF(G4=0,0,G4/TrAvia_act!G24)</f>
        <v>102.6773478449571</v>
      </c>
      <c r="H12" s="14">
        <f>IF(H4=0,0,H4/TrAvia_act!H24)</f>
        <v>104.69533399214765</v>
      </c>
      <c r="I12" s="14">
        <f>IF(I4=0,0,I4/TrAvia_act!I24)</f>
        <v>107.20331766554041</v>
      </c>
      <c r="J12" s="14">
        <f>IF(J4=0,0,J4/TrAvia_act!J24)</f>
        <v>106.90527206425627</v>
      </c>
      <c r="K12" s="14">
        <f>IF(K4=0,0,K4/TrAvia_act!K24)</f>
        <v>107.15951998229869</v>
      </c>
      <c r="L12" s="14">
        <f>IF(L4=0,0,L4/TrAvia_act!L24)</f>
        <v>114.76092232224329</v>
      </c>
      <c r="M12" s="14">
        <f>IF(M4=0,0,M4/TrAvia_act!M24)</f>
        <v>122.6154121365109</v>
      </c>
      <c r="N12" s="14">
        <f>IF(N4=0,0,N4/TrAvia_act!N24)</f>
        <v>123.76325941852474</v>
      </c>
      <c r="O12" s="14">
        <f>IF(O4=0,0,O4/TrAvia_act!O24)</f>
        <v>125.42517574253897</v>
      </c>
      <c r="P12" s="14">
        <f>IF(P4=0,0,P4/TrAvia_act!P24)</f>
        <v>128.50049832704491</v>
      </c>
      <c r="Q12" s="14">
        <f>IF(Q4=0,0,Q4/TrAvia_act!Q24)</f>
        <v>133.52236007759794</v>
      </c>
      <c r="R12" s="14">
        <f>IF(R4=0,0,R4/TrAvia_act!R24)</f>
        <v>138.82015013246982</v>
      </c>
      <c r="S12" s="14">
        <f>IF(S4=0,0,S4/TrAvia_act!S24)</f>
        <v>142.96992093376269</v>
      </c>
      <c r="T12" s="14">
        <f>IF(T4=0,0,T4/TrAvia_act!T24)</f>
        <v>145.10528915042499</v>
      </c>
      <c r="U12" s="14">
        <f>IF(U4=0,0,U4/TrAvia_act!U24)</f>
        <v>150.95478809133928</v>
      </c>
      <c r="V12" s="14">
        <f>IF(V4=0,0,V4/TrAvia_act!V24)</f>
        <v>148.09511013549314</v>
      </c>
      <c r="W12" s="14">
        <f>IF(W4=0,0,W4/TrAvia_act!W24)</f>
        <v>154.85008089779339</v>
      </c>
      <c r="X12" s="14">
        <f>IF(X4=0,0,X4/TrAvia_act!X24)</f>
        <v>163.31937574940048</v>
      </c>
      <c r="Y12" s="14">
        <f>IF(Y4=0,0,Y4/TrAvia_act!Y24)</f>
        <v>166.38473130282253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47.095005454631696</v>
      </c>
      <c r="C13" s="87">
        <f>IF(C5=0,0,C5/TrAvia_act!C25)</f>
        <v>53.518099068585947</v>
      </c>
      <c r="D13" s="87">
        <f>IF(D5=0,0,D5/TrAvia_act!D25)</f>
        <v>50.416728239988181</v>
      </c>
      <c r="E13" s="87">
        <f>IF(E5=0,0,E5/TrAvia_act!E25)</f>
        <v>54.099499922668457</v>
      </c>
      <c r="F13" s="87">
        <f>IF(F5=0,0,F5/TrAvia_act!F25)</f>
        <v>56.198712536935417</v>
      </c>
      <c r="G13" s="87">
        <f>IF(G5=0,0,G5/TrAvia_act!G25)</f>
        <v>57.445967316816024</v>
      </c>
      <c r="H13" s="87">
        <f>IF(H5=0,0,H5/TrAvia_act!H25)</f>
        <v>63.805178917320831</v>
      </c>
      <c r="I13" s="87">
        <f>IF(I5=0,0,I5/TrAvia_act!I25)</f>
        <v>65.341735141402424</v>
      </c>
      <c r="J13" s="87">
        <f>IF(J5=0,0,J5/TrAvia_act!J25)</f>
        <v>67.41739552964043</v>
      </c>
      <c r="K13" s="87">
        <f>IF(K5=0,0,K5/TrAvia_act!K25)</f>
        <v>69.295719649561946</v>
      </c>
      <c r="L13" s="87">
        <f>IF(L5=0,0,L5/TrAvia_act!L25)</f>
        <v>73.55673526895788</v>
      </c>
      <c r="M13" s="87">
        <f>IF(M5=0,0,M5/TrAvia_act!M25)</f>
        <v>78.849743955402872</v>
      </c>
      <c r="N13" s="87">
        <f>IF(N5=0,0,N5/TrAvia_act!N25)</f>
        <v>72.583086816720254</v>
      </c>
      <c r="O13" s="87">
        <f>IF(O5=0,0,O5/TrAvia_act!O25)</f>
        <v>71.183480072585525</v>
      </c>
      <c r="P13" s="87">
        <f>IF(P5=0,0,P5/TrAvia_act!P25)</f>
        <v>71.393511887711256</v>
      </c>
      <c r="Q13" s="87">
        <f>IF(Q5=0,0,Q5/TrAvia_act!Q25)</f>
        <v>76.88752408477842</v>
      </c>
      <c r="R13" s="87">
        <f>IF(R5=0,0,R5/TrAvia_act!R25)</f>
        <v>79.930993833877409</v>
      </c>
      <c r="S13" s="87">
        <f>IF(S5=0,0,S5/TrAvia_act!S25)</f>
        <v>84.084634574517239</v>
      </c>
      <c r="T13" s="87">
        <f>IF(T5=0,0,T5/TrAvia_act!T25)</f>
        <v>84.575531412376009</v>
      </c>
      <c r="U13" s="87">
        <f>IF(U5=0,0,U5/TrAvia_act!U25)</f>
        <v>84.928072837632783</v>
      </c>
      <c r="V13" s="87">
        <f>IF(V5=0,0,V5/TrAvia_act!V25)</f>
        <v>83.911773747310178</v>
      </c>
      <c r="W13" s="87">
        <f>IF(W5=0,0,W5/TrAvia_act!W25)</f>
        <v>110.12993224392189</v>
      </c>
      <c r="X13" s="87">
        <f>IF(X5=0,0,X5/TrAvia_act!X25)</f>
        <v>118.10230769230769</v>
      </c>
      <c r="Y13" s="87">
        <f>IF(Y5=0,0,Y5/TrAvia_act!Y25)</f>
        <v>117.40475640729623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98.240806976216462</v>
      </c>
      <c r="C14" s="87">
        <f>IF(C6=0,0,C6/TrAvia_act!C26)</f>
        <v>98.106786048793538</v>
      </c>
      <c r="D14" s="87">
        <f>IF(D6=0,0,D6/TrAvia_act!D26)</f>
        <v>96.250443811756824</v>
      </c>
      <c r="E14" s="87">
        <f>IF(E6=0,0,E6/TrAvia_act!E26)</f>
        <v>97.085342135971317</v>
      </c>
      <c r="F14" s="87">
        <f>IF(F6=0,0,F6/TrAvia_act!F26)</f>
        <v>99.563721546542993</v>
      </c>
      <c r="G14" s="87">
        <f>IF(G6=0,0,G6/TrAvia_act!G26)</f>
        <v>100.72996660711446</v>
      </c>
      <c r="H14" s="87">
        <f>IF(H6=0,0,H6/TrAvia_act!H26)</f>
        <v>102.51109894156414</v>
      </c>
      <c r="I14" s="87">
        <f>IF(I6=0,0,I6/TrAvia_act!I26)</f>
        <v>106.24931874178354</v>
      </c>
      <c r="J14" s="87">
        <f>IF(J6=0,0,J6/TrAvia_act!J26)</f>
        <v>106.4627450325318</v>
      </c>
      <c r="K14" s="87">
        <f>IF(K6=0,0,K6/TrAvia_act!K26)</f>
        <v>106.71225089718742</v>
      </c>
      <c r="L14" s="87">
        <f>IF(L6=0,0,L6/TrAvia_act!L26)</f>
        <v>114.73986329179937</v>
      </c>
      <c r="M14" s="87">
        <f>IF(M6=0,0,M6/TrAvia_act!M26)</f>
        <v>121.64219288547831</v>
      </c>
      <c r="N14" s="87">
        <f>IF(N6=0,0,N6/TrAvia_act!N26)</f>
        <v>124.38390577860292</v>
      </c>
      <c r="O14" s="87">
        <f>IF(O6=0,0,O6/TrAvia_act!O26)</f>
        <v>126.2898641245917</v>
      </c>
      <c r="P14" s="87">
        <f>IF(P6=0,0,P6/TrAvia_act!P26)</f>
        <v>128.71645656358012</v>
      </c>
      <c r="Q14" s="87">
        <f>IF(Q6=0,0,Q6/TrAvia_act!Q26)</f>
        <v>132.51731985338543</v>
      </c>
      <c r="R14" s="87">
        <f>IF(R6=0,0,R6/TrAvia_act!R26)</f>
        <v>138.17220845655822</v>
      </c>
      <c r="S14" s="87">
        <f>IF(S6=0,0,S6/TrAvia_act!S26)</f>
        <v>142.02520053879093</v>
      </c>
      <c r="T14" s="87">
        <f>IF(T6=0,0,T6/TrAvia_act!T26)</f>
        <v>143.10049951186221</v>
      </c>
      <c r="U14" s="87">
        <f>IF(U6=0,0,U6/TrAvia_act!U26)</f>
        <v>148.72894298975393</v>
      </c>
      <c r="V14" s="87">
        <f>IF(V6=0,0,V6/TrAvia_act!V26)</f>
        <v>146.90819459351522</v>
      </c>
      <c r="W14" s="87">
        <f>IF(W6=0,0,W6/TrAvia_act!W26)</f>
        <v>150.22939638783271</v>
      </c>
      <c r="X14" s="87">
        <f>IF(X6=0,0,X6/TrAvia_act!X26)</f>
        <v>157.30316709137242</v>
      </c>
      <c r="Y14" s="87">
        <f>IF(Y6=0,0,Y6/TrAvia_act!Y26)</f>
        <v>158.93301920985866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147.9612538355093</v>
      </c>
      <c r="C15" s="88">
        <f>IF(C7=0,0,C7/TrAvia_act!C27)</f>
        <v>143.59328668010912</v>
      </c>
      <c r="D15" s="88">
        <f>IF(D7=0,0,D7/TrAvia_act!D27)</f>
        <v>144.23442781265089</v>
      </c>
      <c r="E15" s="88">
        <f>IF(E7=0,0,E7/TrAvia_act!E27)</f>
        <v>139.44671162603032</v>
      </c>
      <c r="F15" s="88">
        <f>IF(F7=0,0,F7/TrAvia_act!F27)</f>
        <v>147.28466478769118</v>
      </c>
      <c r="G15" s="88">
        <f>IF(G7=0,0,G7/TrAvia_act!G27)</f>
        <v>147.3157079460772</v>
      </c>
      <c r="H15" s="88">
        <f>IF(H7=0,0,H7/TrAvia_act!H27)</f>
        <v>147.34099442954405</v>
      </c>
      <c r="I15" s="88">
        <f>IF(I7=0,0,I7/TrAvia_act!I27)</f>
        <v>143.75587183076684</v>
      </c>
      <c r="J15" s="88">
        <f>IF(J7=0,0,J7/TrAvia_act!J27)</f>
        <v>138.36149569388422</v>
      </c>
      <c r="K15" s="88">
        <f>IF(K7=0,0,K7/TrAvia_act!K27)</f>
        <v>138.28496266780147</v>
      </c>
      <c r="L15" s="88">
        <f>IF(L7=0,0,L7/TrAvia_act!L27)</f>
        <v>144.87358808860202</v>
      </c>
      <c r="M15" s="88">
        <f>IF(M7=0,0,M7/TrAvia_act!M27)</f>
        <v>150.60297125632468</v>
      </c>
      <c r="N15" s="88">
        <f>IF(N7=0,0,N7/TrAvia_act!N27)</f>
        <v>149.88955543652918</v>
      </c>
      <c r="O15" s="88">
        <f>IF(O7=0,0,O7/TrAvia_act!O27)</f>
        <v>151.49350649350649</v>
      </c>
      <c r="P15" s="88">
        <f>IF(P7=0,0,P7/TrAvia_act!P27)</f>
        <v>156.95812094319558</v>
      </c>
      <c r="Q15" s="88">
        <f>IF(Q7=0,0,Q7/TrAvia_act!Q27)</f>
        <v>164.04282898726501</v>
      </c>
      <c r="R15" s="88">
        <f>IF(R7=0,0,R7/TrAvia_act!R27)</f>
        <v>167.66366499757711</v>
      </c>
      <c r="S15" s="88">
        <f>IF(S7=0,0,S7/TrAvia_act!S27)</f>
        <v>171.75665249566998</v>
      </c>
      <c r="T15" s="88">
        <f>IF(T7=0,0,T7/TrAvia_act!T27)</f>
        <v>175.89576558999929</v>
      </c>
      <c r="U15" s="88">
        <f>IF(U7=0,0,U7/TrAvia_act!U27)</f>
        <v>180.17104288153612</v>
      </c>
      <c r="V15" s="88">
        <f>IF(V7=0,0,V7/TrAvia_act!V27)</f>
        <v>174.9989504617968</v>
      </c>
      <c r="W15" s="88">
        <f>IF(W7=0,0,W7/TrAvia_act!W27)</f>
        <v>177.54911540454512</v>
      </c>
      <c r="X15" s="88">
        <f>IF(X7=0,0,X7/TrAvia_act!X27)</f>
        <v>196.19983367576557</v>
      </c>
      <c r="Y15" s="88">
        <f>IF(Y7=0,0,Y7/TrAvia_act!Y27)</f>
        <v>204.37636600880771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0.61202756737722719</v>
      </c>
      <c r="C18" s="25">
        <f>IF(TrAvia_act!C34=0,0,(TrAvia_act!C34/TrAvia_act!C24)/TrAvia_png!C12)</f>
        <v>0.6246664972087268</v>
      </c>
      <c r="D18" s="25">
        <f>IF(TrAvia_act!D34=0,0,(TrAvia_act!D34/TrAvia_act!D24)/TrAvia_png!D12)</f>
        <v>0.65654976621377503</v>
      </c>
      <c r="E18" s="25">
        <f>IF(TrAvia_act!E34=0,0,(TrAvia_act!E34/TrAvia_act!E24)/TrAvia_png!E12)</f>
        <v>0.65673964658109241</v>
      </c>
      <c r="F18" s="25">
        <f>IF(TrAvia_act!F34=0,0,(TrAvia_act!F34/TrAvia_act!F24)/TrAvia_png!F12)</f>
        <v>0.65185834303908741</v>
      </c>
      <c r="G18" s="25">
        <f>IF(TrAvia_act!G34=0,0,(TrAvia_act!G34/TrAvia_act!G24)/TrAvia_png!G12)</f>
        <v>0.66900868562734606</v>
      </c>
      <c r="H18" s="25">
        <f>IF(TrAvia_act!H34=0,0,(TrAvia_act!H34/TrAvia_act!H24)/TrAvia_png!H12)</f>
        <v>0.69415855973803398</v>
      </c>
      <c r="I18" s="25">
        <f>IF(TrAvia_act!I34=0,0,(TrAvia_act!I34/TrAvia_act!I24)/TrAvia_png!I12)</f>
        <v>0.6950295672252339</v>
      </c>
      <c r="J18" s="25">
        <f>IF(TrAvia_act!J34=0,0,(TrAvia_act!J34/TrAvia_act!J24)/TrAvia_png!J12)</f>
        <v>0.69526674677056766</v>
      </c>
      <c r="K18" s="25">
        <f>IF(TrAvia_act!K34=0,0,(TrAvia_act!K34/TrAvia_act!K24)/TrAvia_png!K12)</f>
        <v>0.6931151673433138</v>
      </c>
      <c r="L18" s="25">
        <f>IF(TrAvia_act!L34=0,0,(TrAvia_act!L34/TrAvia_act!L24)/TrAvia_png!L12)</f>
        <v>0.69237247734503893</v>
      </c>
      <c r="M18" s="25">
        <f>IF(TrAvia_act!M34=0,0,(TrAvia_act!M34/TrAvia_act!M24)/TrAvia_png!M12)</f>
        <v>0.70437039275264024</v>
      </c>
      <c r="N18" s="25">
        <f>IF(TrAvia_act!N34=0,0,(TrAvia_act!N34/TrAvia_act!N24)/TrAvia_png!N12)</f>
        <v>0.73720860425264756</v>
      </c>
      <c r="O18" s="25">
        <f>IF(TrAvia_act!O34=0,0,(TrAvia_act!O34/TrAvia_act!O24)/TrAvia_png!O12)</f>
        <v>0.75461600262750028</v>
      </c>
      <c r="P18" s="25">
        <f>IF(TrAvia_act!P34=0,0,(TrAvia_act!P34/TrAvia_act!P24)/TrAvia_png!P12)</f>
        <v>0.75552796008302281</v>
      </c>
      <c r="Q18" s="25">
        <f>IF(TrAvia_act!Q34=0,0,(TrAvia_act!Q34/TrAvia_act!Q24)/TrAvia_png!Q12)</f>
        <v>0.74970956877176742</v>
      </c>
      <c r="R18" s="25">
        <f>IF(TrAvia_act!R34=0,0,(TrAvia_act!R34/TrAvia_act!R24)/TrAvia_png!R12)</f>
        <v>0.74223371592951704</v>
      </c>
      <c r="S18" s="25">
        <f>IF(TrAvia_act!S34=0,0,(TrAvia_act!S34/TrAvia_act!S24)/TrAvia_png!S12)</f>
        <v>0.75219377285327693</v>
      </c>
      <c r="T18" s="25">
        <f>IF(TrAvia_act!T34=0,0,(TrAvia_act!T34/TrAvia_act!T24)/TrAvia_png!T12)</f>
        <v>0.76843506706011788</v>
      </c>
      <c r="U18" s="25">
        <f>IF(TrAvia_act!U34=0,0,(TrAvia_act!U34/TrAvia_act!U24)/TrAvia_png!U12)</f>
        <v>0.77857298769290939</v>
      </c>
      <c r="V18" s="25">
        <f>IF(TrAvia_act!V34=0,0,(TrAvia_act!V34/TrAvia_act!V24)/TrAvia_png!V12)</f>
        <v>0.59798058711939706</v>
      </c>
      <c r="W18" s="25">
        <f>IF(TrAvia_act!W34=0,0,(TrAvia_act!W34/TrAvia_act!W24)/TrAvia_png!W12)</f>
        <v>0.62776285836238177</v>
      </c>
      <c r="X18" s="25">
        <f>IF(TrAvia_act!X34=0,0,(TrAvia_act!X34/TrAvia_act!X24)/TrAvia_png!X12)</f>
        <v>0.7657968863190413</v>
      </c>
      <c r="Y18" s="25">
        <f>IF(TrAvia_act!Y34=0,0,(TrAvia_act!Y34/TrAvia_act!Y24)/TrAvia_png!Y12)</f>
        <v>0.80153510836917419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0.54910847372958516</v>
      </c>
      <c r="C19" s="89">
        <f>IF(TrAvia_act!C35=0,0,(TrAvia_act!C35/TrAvia_act!C25)/TrAvia_png!C13)</f>
        <v>0.55260076853249052</v>
      </c>
      <c r="D19" s="89">
        <f>IF(TrAvia_act!D35=0,0,(TrAvia_act!D35/TrAvia_act!D25)/TrAvia_png!D13)</f>
        <v>0.55649383005539754</v>
      </c>
      <c r="E19" s="89">
        <f>IF(TrAvia_act!E35=0,0,(TrAvia_act!E35/TrAvia_act!E25)/TrAvia_png!E13)</f>
        <v>0.55857239786233237</v>
      </c>
      <c r="F19" s="89">
        <f>IF(TrAvia_act!F35=0,0,(TrAvia_act!F35/TrAvia_act!F25)/TrAvia_png!F13)</f>
        <v>0.57417954365783541</v>
      </c>
      <c r="G19" s="89">
        <f>IF(TrAvia_act!G35=0,0,(TrAvia_act!G35/TrAvia_act!G25)/TrAvia_png!G13)</f>
        <v>0.55465932553337927</v>
      </c>
      <c r="H19" s="89">
        <f>IF(TrAvia_act!H35=0,0,(TrAvia_act!H35/TrAvia_act!H25)/TrAvia_png!H13)</f>
        <v>0.60133974579182414</v>
      </c>
      <c r="I19" s="89">
        <f>IF(TrAvia_act!I35=0,0,(TrAvia_act!I35/TrAvia_act!I25)/TrAvia_png!I13)</f>
        <v>0.61109610981157003</v>
      </c>
      <c r="J19" s="89">
        <f>IF(TrAvia_act!J35=0,0,(TrAvia_act!J35/TrAvia_act!J25)/TrAvia_png!J13)</f>
        <v>0.58704169519622318</v>
      </c>
      <c r="K19" s="89">
        <f>IF(TrAvia_act!K35=0,0,(TrAvia_act!K35/TrAvia_act!K25)/TrAvia_png!K13)</f>
        <v>0.5692177762750853</v>
      </c>
      <c r="L19" s="89">
        <f>IF(TrAvia_act!L35=0,0,(TrAvia_act!L35/TrAvia_act!L25)/TrAvia_png!L13)</f>
        <v>0.58655226834442364</v>
      </c>
      <c r="M19" s="89">
        <f>IF(TrAvia_act!M35=0,0,(TrAvia_act!M35/TrAvia_act!M25)/TrAvia_png!M13)</f>
        <v>0.59697225042440283</v>
      </c>
      <c r="N19" s="89">
        <f>IF(TrAvia_act!N35=0,0,(TrAvia_act!N35/TrAvia_act!N25)/TrAvia_png!N13)</f>
        <v>0.6105698137714668</v>
      </c>
      <c r="O19" s="89">
        <f>IF(TrAvia_act!O35=0,0,(TrAvia_act!O35/TrAvia_act!O25)/TrAvia_png!O13)</f>
        <v>0.6138873179063371</v>
      </c>
      <c r="P19" s="89">
        <f>IF(TrAvia_act!P35=0,0,(TrAvia_act!P35/TrAvia_act!P25)/TrAvia_png!P13)</f>
        <v>0.61523423198410343</v>
      </c>
      <c r="Q19" s="89">
        <f>IF(TrAvia_act!Q35=0,0,(TrAvia_act!Q35/TrAvia_act!Q25)/TrAvia_png!Q13)</f>
        <v>0.58966953496409669</v>
      </c>
      <c r="R19" s="89">
        <f>IF(TrAvia_act!R35=0,0,(TrAvia_act!R35/TrAvia_act!R25)/TrAvia_png!R13)</f>
        <v>0.59179742228686094</v>
      </c>
      <c r="S19" s="89">
        <f>IF(TrAvia_act!S35=0,0,(TrAvia_act!S35/TrAvia_act!S25)/TrAvia_png!S13)</f>
        <v>0.60674382010619221</v>
      </c>
      <c r="T19" s="89">
        <f>IF(TrAvia_act!T35=0,0,(TrAvia_act!T35/TrAvia_act!T25)/TrAvia_png!T13)</f>
        <v>0.67370245925078642</v>
      </c>
      <c r="U19" s="89">
        <f>IF(TrAvia_act!U35=0,0,(TrAvia_act!U35/TrAvia_act!U25)/TrAvia_png!U13)</f>
        <v>0.66978275526078179</v>
      </c>
      <c r="V19" s="89">
        <f>IF(TrAvia_act!V35=0,0,(TrAvia_act!V35/TrAvia_act!V25)/TrAvia_png!V13)</f>
        <v>0.53742054842195885</v>
      </c>
      <c r="W19" s="89">
        <f>IF(TrAvia_act!W35=0,0,(TrAvia_act!W35/TrAvia_act!W25)/TrAvia_png!W13)</f>
        <v>0.42123872667525586</v>
      </c>
      <c r="X19" s="89">
        <f>IF(TrAvia_act!X35=0,0,(TrAvia_act!X35/TrAvia_act!X25)/TrAvia_png!X13)</f>
        <v>0.50667934580839302</v>
      </c>
      <c r="Y19" s="89">
        <f>IF(TrAvia_act!Y35=0,0,(TrAvia_act!Y35/TrAvia_act!Y25)/TrAvia_png!Y13)</f>
        <v>0.51155994336060417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0.58760244047763732</v>
      </c>
      <c r="C20" s="89">
        <f>IF(TrAvia_act!C36=0,0,(TrAvia_act!C36/TrAvia_act!C26)/TrAvia_png!C14)</f>
        <v>0.6012133281522114</v>
      </c>
      <c r="D20" s="89">
        <f>IF(TrAvia_act!D36=0,0,(TrAvia_act!D36/TrAvia_act!D26)/TrAvia_png!D14)</f>
        <v>0.62973903075526261</v>
      </c>
      <c r="E20" s="89">
        <f>IF(TrAvia_act!E36=0,0,(TrAvia_act!E36/TrAvia_act!E26)/TrAvia_png!E14)</f>
        <v>0.63394541815641692</v>
      </c>
      <c r="F20" s="89">
        <f>IF(TrAvia_act!F36=0,0,(TrAvia_act!F36/TrAvia_act!F26)/TrAvia_png!F14)</f>
        <v>0.63184894963165694</v>
      </c>
      <c r="G20" s="89">
        <f>IF(TrAvia_act!G36=0,0,(TrAvia_act!G36/TrAvia_act!G26)/TrAvia_png!G14)</f>
        <v>0.65732764784649189</v>
      </c>
      <c r="H20" s="89">
        <f>IF(TrAvia_act!H36=0,0,(TrAvia_act!H36/TrAvia_act!H26)/TrAvia_png!H14)</f>
        <v>0.69947130220327747</v>
      </c>
      <c r="I20" s="89">
        <f>IF(TrAvia_act!I36=0,0,(TrAvia_act!I36/TrAvia_act!I26)/TrAvia_png!I14)</f>
        <v>0.69098222101568663</v>
      </c>
      <c r="J20" s="89">
        <f>IF(TrAvia_act!J36=0,0,(TrAvia_act!J36/TrAvia_act!J26)/TrAvia_png!J14)</f>
        <v>0.69110210519164283</v>
      </c>
      <c r="K20" s="89">
        <f>IF(TrAvia_act!K36=0,0,(TrAvia_act!K36/TrAvia_act!K26)/TrAvia_png!K14)</f>
        <v>0.69928930876472273</v>
      </c>
      <c r="L20" s="89">
        <f>IF(TrAvia_act!L36=0,0,(TrAvia_act!L36/TrAvia_act!L26)/TrAvia_png!L14)</f>
        <v>0.69465033508654661</v>
      </c>
      <c r="M20" s="89">
        <f>IF(TrAvia_act!M36=0,0,(TrAvia_act!M36/TrAvia_act!M26)/TrAvia_png!M14)</f>
        <v>0.70734391959823562</v>
      </c>
      <c r="N20" s="89">
        <f>IF(TrAvia_act!N36=0,0,(TrAvia_act!N36/TrAvia_act!N26)/TrAvia_png!N14)</f>
        <v>0.73876900505827214</v>
      </c>
      <c r="O20" s="89">
        <f>IF(TrAvia_act!O36=0,0,(TrAvia_act!O36/TrAvia_act!O26)/TrAvia_png!O14)</f>
        <v>0.75816782873988964</v>
      </c>
      <c r="P20" s="89">
        <f>IF(TrAvia_act!P36=0,0,(TrAvia_act!P36/TrAvia_act!P26)/TrAvia_png!P14)</f>
        <v>0.76086080212566154</v>
      </c>
      <c r="Q20" s="89">
        <f>IF(TrAvia_act!Q36=0,0,(TrAvia_act!Q36/TrAvia_act!Q26)/TrAvia_png!Q14)</f>
        <v>0.75792555184144716</v>
      </c>
      <c r="R20" s="89">
        <f>IF(TrAvia_act!R36=0,0,(TrAvia_act!R36/TrAvia_act!R26)/TrAvia_png!R14)</f>
        <v>0.7509422692846679</v>
      </c>
      <c r="S20" s="89">
        <f>IF(TrAvia_act!S36=0,0,(TrAvia_act!S36/TrAvia_act!S26)/TrAvia_png!S14)</f>
        <v>0.75997927942421206</v>
      </c>
      <c r="T20" s="89">
        <f>IF(TrAvia_act!T36=0,0,(TrAvia_act!T36/TrAvia_act!T26)/TrAvia_png!T14)</f>
        <v>0.77060151288303291</v>
      </c>
      <c r="U20" s="89">
        <f>IF(TrAvia_act!U36=0,0,(TrAvia_act!U36/TrAvia_act!U26)/TrAvia_png!U14)</f>
        <v>0.77574805877612663</v>
      </c>
      <c r="V20" s="89">
        <f>IF(TrAvia_act!V36=0,0,(TrAvia_act!V36/TrAvia_act!V26)/TrAvia_png!V14)</f>
        <v>0.59977167937313947</v>
      </c>
      <c r="W20" s="89">
        <f>IF(TrAvia_act!W36=0,0,(TrAvia_act!W36/TrAvia_act!W26)/TrAvia_png!W14)</f>
        <v>0.63992961967384154</v>
      </c>
      <c r="X20" s="89">
        <f>IF(TrAvia_act!X36=0,0,(TrAvia_act!X36/TrAvia_act!X26)/TrAvia_png!X14)</f>
        <v>0.77186320762358263</v>
      </c>
      <c r="Y20" s="89">
        <f>IF(TrAvia_act!Y36=0,0,(TrAvia_act!Y36/TrAvia_act!Y26)/TrAvia_png!Y14)</f>
        <v>0.80845509200372934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0.72772626281684283</v>
      </c>
      <c r="C21" s="90">
        <f>IF(TrAvia_act!C37=0,0,(TrAvia_act!C37/TrAvia_act!C27)/TrAvia_png!C15)</f>
        <v>0.73999182247333017</v>
      </c>
      <c r="D21" s="90">
        <f>IF(TrAvia_act!D37=0,0,(TrAvia_act!D37/TrAvia_act!D27)/TrAvia_png!D15)</f>
        <v>0.79612298905793089</v>
      </c>
      <c r="E21" s="90">
        <f>IF(TrAvia_act!E37=0,0,(TrAvia_act!E37/TrAvia_act!E27)/TrAvia_png!E15)</f>
        <v>0.78633268589044336</v>
      </c>
      <c r="F21" s="90">
        <f>IF(TrAvia_act!F37=0,0,(TrAvia_act!F37/TrAvia_act!F27)/TrAvia_png!F15)</f>
        <v>0.74384395934098813</v>
      </c>
      <c r="G21" s="90">
        <f>IF(TrAvia_act!G37=0,0,(TrAvia_act!G37/TrAvia_act!G27)/TrAvia_png!G15)</f>
        <v>0.74017096251743864</v>
      </c>
      <c r="H21" s="90">
        <f>IF(TrAvia_act!H37=0,0,(TrAvia_act!H37/TrAvia_act!H27)/TrAvia_png!H15)</f>
        <v>0.71054234488599077</v>
      </c>
      <c r="I21" s="90">
        <f>IF(TrAvia_act!I37=0,0,(TrAvia_act!I37/TrAvia_act!I27)/TrAvia_png!I15)</f>
        <v>0.73781941589893607</v>
      </c>
      <c r="J21" s="90">
        <f>IF(TrAvia_act!J37=0,0,(TrAvia_act!J37/TrAvia_act!J27)/TrAvia_png!J15)</f>
        <v>0.74864519890638914</v>
      </c>
      <c r="K21" s="90">
        <f>IF(TrAvia_act!K37=0,0,(TrAvia_act!K37/TrAvia_act!K27)/TrAvia_png!K15)</f>
        <v>0.72121605985461568</v>
      </c>
      <c r="L21" s="90">
        <f>IF(TrAvia_act!L37=0,0,(TrAvia_act!L37/TrAvia_act!L27)/TrAvia_png!L15)</f>
        <v>0.72442526895289172</v>
      </c>
      <c r="M21" s="90">
        <f>IF(TrAvia_act!M37=0,0,(TrAvia_act!M37/TrAvia_act!M27)/TrAvia_png!M15)</f>
        <v>0.72622176664276783</v>
      </c>
      <c r="N21" s="90">
        <f>IF(TrAvia_act!N37=0,0,(TrAvia_act!N37/TrAvia_act!N27)/TrAvia_png!N15)</f>
        <v>0.76647758499562979</v>
      </c>
      <c r="O21" s="90">
        <f>IF(TrAvia_act!O37=0,0,(TrAvia_act!O37/TrAvia_act!O27)/TrAvia_png!O15)</f>
        <v>0.77967757298661711</v>
      </c>
      <c r="P21" s="90">
        <f>IF(TrAvia_act!P37=0,0,(TrAvia_act!P37/TrAvia_act!P27)/TrAvia_png!P15)</f>
        <v>0.77229058914868853</v>
      </c>
      <c r="Q21" s="90">
        <f>IF(TrAvia_act!Q37=0,0,(TrAvia_act!Q37/TrAvia_act!Q27)/TrAvia_png!Q15)</f>
        <v>0.76014127195590864</v>
      </c>
      <c r="R21" s="90">
        <f>IF(TrAvia_act!R37=0,0,(TrAvia_act!R37/TrAvia_act!R27)/TrAvia_png!R15)</f>
        <v>0.74516542899690108</v>
      </c>
      <c r="S21" s="90">
        <f>IF(TrAvia_act!S37=0,0,(TrAvia_act!S37/TrAvia_act!S27)/TrAvia_png!S15)</f>
        <v>0.75731956456870075</v>
      </c>
      <c r="T21" s="90">
        <f>IF(TrAvia_act!T37=0,0,(TrAvia_act!T37/TrAvia_act!T27)/TrAvia_png!T15)</f>
        <v>0.77913657405457959</v>
      </c>
      <c r="U21" s="90">
        <f>IF(TrAvia_act!U37=0,0,(TrAvia_act!U37/TrAvia_act!U27)/TrAvia_png!U15)</f>
        <v>0.80348348603953745</v>
      </c>
      <c r="V21" s="90">
        <f>IF(TrAvia_act!V37=0,0,(TrAvia_act!V37/TrAvia_act!V27)/TrAvia_png!V15)</f>
        <v>0.60157251752739316</v>
      </c>
      <c r="W21" s="90">
        <f>IF(TrAvia_act!W37=0,0,(TrAvia_act!W37/TrAvia_act!W27)/TrAvia_png!W15)</f>
        <v>0.61948767381096026</v>
      </c>
      <c r="X21" s="90">
        <f>IF(TrAvia_act!X37=0,0,(TrAvia_act!X37/TrAvia_act!X27)/TrAvia_png!X15)</f>
        <v>0.77594704388267732</v>
      </c>
      <c r="Y21" s="90">
        <f>IF(TrAvia_act!Y37=0,0,(TrAvia_act!Y37/TrAvia_act!Y27)/TrAvia_png!Y15)</f>
        <v>0.80976376092699975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4.5951621283730315E-2</v>
      </c>
      <c r="C24" s="23">
        <f>IF(TrAvia_ene!C6=0,0,TrAvia_ene!C6/(C12*TrAvia_act!C14))</f>
        <v>4.4777852341414168E-2</v>
      </c>
      <c r="D24" s="23">
        <f>IF(TrAvia_ene!D6=0,0,TrAvia_ene!D6/(D12*TrAvia_act!D14))</f>
        <v>4.3134680809131944E-2</v>
      </c>
      <c r="E24" s="23">
        <f>IF(TrAvia_ene!E6=0,0,TrAvia_ene!E6/(E12*TrAvia_act!E14))</f>
        <v>3.8234384466077458E-2</v>
      </c>
      <c r="F24" s="23">
        <f>IF(TrAvia_ene!F6=0,0,TrAvia_ene!F6/(F12*TrAvia_act!F14))</f>
        <v>3.7002261347577427E-2</v>
      </c>
      <c r="G24" s="23">
        <f>IF(TrAvia_ene!G6=0,0,TrAvia_ene!G6/(G12*TrAvia_act!G14))</f>
        <v>3.8644675451576474E-2</v>
      </c>
      <c r="H24" s="23">
        <f>IF(TrAvia_ene!H6=0,0,TrAvia_ene!H6/(H12*TrAvia_act!H14))</f>
        <v>3.9844751626933614E-2</v>
      </c>
      <c r="I24" s="23">
        <f>IF(TrAvia_ene!I6=0,0,TrAvia_ene!I6/(I12*TrAvia_act!I14))</f>
        <v>3.9754018184588312E-2</v>
      </c>
      <c r="J24" s="23">
        <f>IF(TrAvia_ene!J6=0,0,TrAvia_ene!J6/(J12*TrAvia_act!J14))</f>
        <v>3.8860808347840795E-2</v>
      </c>
      <c r="K24" s="23">
        <f>IF(TrAvia_ene!K6=0,0,TrAvia_ene!K6/(K12*TrAvia_act!K14))</f>
        <v>3.7640257254147748E-2</v>
      </c>
      <c r="L24" s="23">
        <f>IF(TrAvia_ene!L6=0,0,TrAvia_ene!L6/(L12*TrAvia_act!L14))</f>
        <v>3.7136913164314771E-2</v>
      </c>
      <c r="M24" s="23">
        <f>IF(TrAvia_ene!M6=0,0,TrAvia_ene!M6/(M12*TrAvia_act!M14))</f>
        <v>3.60069071832958E-2</v>
      </c>
      <c r="N24" s="23">
        <f>IF(TrAvia_ene!N6=0,0,TrAvia_ene!N6/(N12*TrAvia_act!N14))</f>
        <v>3.5636859261917141E-2</v>
      </c>
      <c r="O24" s="23">
        <f>IF(TrAvia_ene!O6=0,0,TrAvia_ene!O6/(O12*TrAvia_act!O14))</f>
        <v>3.4804458809813948E-2</v>
      </c>
      <c r="P24" s="23">
        <f>IF(TrAvia_ene!P6=0,0,TrAvia_ene!P6/(P12*TrAvia_act!P14))</f>
        <v>3.2558374815497781E-2</v>
      </c>
      <c r="Q24" s="23">
        <f>IF(TrAvia_ene!Q6=0,0,TrAvia_ene!Q6/(Q12*TrAvia_act!Q14))</f>
        <v>3.2980039747455107E-2</v>
      </c>
      <c r="R24" s="23">
        <f>IF(TrAvia_ene!R6=0,0,TrAvia_ene!R6/(R12*TrAvia_act!R14))</f>
        <v>3.4492942902819235E-2</v>
      </c>
      <c r="S24" s="23">
        <f>IF(TrAvia_ene!S6=0,0,TrAvia_ene!S6/(S12*TrAvia_act!S14))</f>
        <v>3.217377632704068E-2</v>
      </c>
      <c r="T24" s="23">
        <f>IF(TrAvia_ene!T6=0,0,TrAvia_ene!T6/(T12*TrAvia_act!T14))</f>
        <v>3.2276910733441105E-2</v>
      </c>
      <c r="U24" s="23">
        <f>IF(TrAvia_ene!U6=0,0,TrAvia_ene!U6/(U12*TrAvia_act!U14))</f>
        <v>3.1388521732892111E-2</v>
      </c>
      <c r="V24" s="23">
        <f>IF(TrAvia_ene!V6=0,0,TrAvia_ene!V6/(V12*TrAvia_act!V14))</f>
        <v>3.286241379015286E-2</v>
      </c>
      <c r="W24" s="23">
        <f>IF(TrAvia_ene!W6=0,0,TrAvia_ene!W6/(W12*TrAvia_act!W14))</f>
        <v>3.3861583874893061E-2</v>
      </c>
      <c r="X24" s="23">
        <f>IF(TrAvia_ene!X6=0,0,TrAvia_ene!X6/(X12*TrAvia_act!X14))</f>
        <v>2.6670929543602607E-2</v>
      </c>
      <c r="Y24" s="23">
        <f>IF(TrAvia_ene!Y6=0,0,TrAvia_ene!Y6/(Y12*TrAvia_act!Y14))</f>
        <v>3.0291540006233336E-2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0.13045779328060053</v>
      </c>
      <c r="C25" s="91">
        <f>IF(TrAvia_ene!C7=0,0,TrAvia_ene!C7/(C13*TrAvia_act!C15))</f>
        <v>0.1207515259178419</v>
      </c>
      <c r="D25" s="91">
        <f>IF(TrAvia_ene!D7=0,0,TrAvia_ene!D7/(D13*TrAvia_act!D15))</f>
        <v>0.12301274637673767</v>
      </c>
      <c r="E25" s="91">
        <f>IF(TrAvia_ene!E7=0,0,TrAvia_ene!E7/(E13*TrAvia_act!E15))</f>
        <v>0.11637999461400109</v>
      </c>
      <c r="F25" s="91">
        <f>IF(TrAvia_ene!F7=0,0,TrAvia_ene!F7/(F13*TrAvia_act!F15))</f>
        <v>0.12163215985172735</v>
      </c>
      <c r="G25" s="91">
        <f>IF(TrAvia_ene!G7=0,0,TrAvia_ene!G7/(G13*TrAvia_act!G15))</f>
        <v>0.11893339400035076</v>
      </c>
      <c r="H25" s="91">
        <f>IF(TrAvia_ene!H7=0,0,TrAvia_ene!H7/(H13*TrAvia_act!H15))</f>
        <v>0.10782601995422256</v>
      </c>
      <c r="I25" s="91">
        <f>IF(TrAvia_ene!I7=0,0,TrAvia_ene!I7/(I13*TrAvia_act!I15))</f>
        <v>0.10406881889210438</v>
      </c>
      <c r="J25" s="91">
        <f>IF(TrAvia_ene!J7=0,0,TrAvia_ene!J7/(J13*TrAvia_act!J15))</f>
        <v>9.1922127945270049E-2</v>
      </c>
      <c r="K25" s="91">
        <f>IF(TrAvia_ene!K7=0,0,TrAvia_ene!K7/(K13*TrAvia_act!K15))</f>
        <v>8.7591885453249599E-2</v>
      </c>
      <c r="L25" s="91">
        <f>IF(TrAvia_ene!L7=0,0,TrAvia_ene!L7/(L13*TrAvia_act!L15))</f>
        <v>8.1056680347196999E-2</v>
      </c>
      <c r="M25" s="91">
        <f>IF(TrAvia_ene!M7=0,0,TrAvia_ene!M7/(M13*TrAvia_act!M15))</f>
        <v>9.7453381639272044E-2</v>
      </c>
      <c r="N25" s="91">
        <f>IF(TrAvia_ene!N7=0,0,TrAvia_ene!N7/(N13*TrAvia_act!N15))</f>
        <v>0.1033373853476965</v>
      </c>
      <c r="O25" s="91">
        <f>IF(TrAvia_ene!O7=0,0,TrAvia_ene!O7/(O13*TrAvia_act!O15))</f>
        <v>0.1108084289734691</v>
      </c>
      <c r="P25" s="91">
        <f>IF(TrAvia_ene!P7=0,0,TrAvia_ene!P7/(P13*TrAvia_act!P15))</f>
        <v>0.11426205908362702</v>
      </c>
      <c r="Q25" s="91">
        <f>IF(TrAvia_ene!Q7=0,0,TrAvia_ene!Q7/(Q13*TrAvia_act!Q15))</f>
        <v>0.11616336286419218</v>
      </c>
      <c r="R25" s="91">
        <f>IF(TrAvia_ene!R7=0,0,TrAvia_ene!R7/(R13*TrAvia_act!R15))</f>
        <v>0.11936960209865502</v>
      </c>
      <c r="S25" s="91">
        <f>IF(TrAvia_ene!S7=0,0,TrAvia_ene!S7/(S13*TrAvia_act!S15))</f>
        <v>0.10894069932188138</v>
      </c>
      <c r="T25" s="91">
        <f>IF(TrAvia_ene!T7=0,0,TrAvia_ene!T7/(T13*TrAvia_act!T15))</f>
        <v>0.11517583671456172</v>
      </c>
      <c r="U25" s="91">
        <f>IF(TrAvia_ene!U7=0,0,TrAvia_ene!U7/(U13*TrAvia_act!U15))</f>
        <v>0.10058807721533131</v>
      </c>
      <c r="V25" s="91">
        <f>IF(TrAvia_ene!V7=0,0,TrAvia_ene!V7/(V13*TrAvia_act!V15))</f>
        <v>0.20346928681995149</v>
      </c>
      <c r="W25" s="91">
        <f>IF(TrAvia_ene!W7=0,0,TrAvia_ene!W7/(W13*TrAvia_act!W15))</f>
        <v>0.20846096654993485</v>
      </c>
      <c r="X25" s="91">
        <f>IF(TrAvia_ene!X7=0,0,TrAvia_ene!X7/(X13*TrAvia_act!X15))</f>
        <v>0.12743615310464934</v>
      </c>
      <c r="Y25" s="91">
        <f>IF(TrAvia_ene!Y7=0,0,TrAvia_ene!Y7/(Y13*TrAvia_act!Y15))</f>
        <v>0.11820149221751666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3.5987913120748359E-2</v>
      </c>
      <c r="C26" s="93">
        <f>IF(TrAvia_ene!C8=0,0,TrAvia_ene!C8/(C14*TrAvia_act!C16))</f>
        <v>3.5373545034375065E-2</v>
      </c>
      <c r="D26" s="93">
        <f>IF(TrAvia_ene!D8=0,0,TrAvia_ene!D8/(D14*TrAvia_act!D16))</f>
        <v>3.385982460079294E-2</v>
      </c>
      <c r="E26" s="93">
        <f>IF(TrAvia_ene!E8=0,0,TrAvia_ene!E8/(E14*TrAvia_act!E16))</f>
        <v>3.0072942769618111E-2</v>
      </c>
      <c r="F26" s="93">
        <f>IF(TrAvia_ene!F8=0,0,TrAvia_ene!F8/(F14*TrAvia_act!F16))</f>
        <v>2.9405614754911574E-2</v>
      </c>
      <c r="G26" s="93">
        <f>IF(TrAvia_ene!G8=0,0,TrAvia_ene!G8/(G14*TrAvia_act!G16))</f>
        <v>3.2368940733403934E-2</v>
      </c>
      <c r="H26" s="93">
        <f>IF(TrAvia_ene!H8=0,0,TrAvia_ene!H8/(H14*TrAvia_act!H16))</f>
        <v>3.3488031795582136E-2</v>
      </c>
      <c r="I26" s="93">
        <f>IF(TrAvia_ene!I8=0,0,TrAvia_ene!I8/(I14*TrAvia_act!I16))</f>
        <v>3.2352638724232004E-2</v>
      </c>
      <c r="J26" s="93">
        <f>IF(TrAvia_ene!J8=0,0,TrAvia_ene!J8/(J14*TrAvia_act!J16))</f>
        <v>3.1158262696266936E-2</v>
      </c>
      <c r="K26" s="93">
        <f>IF(TrAvia_ene!K8=0,0,TrAvia_ene!K8/(K14*TrAvia_act!K16))</f>
        <v>2.9539381578895987E-2</v>
      </c>
      <c r="L26" s="93">
        <f>IF(TrAvia_ene!L8=0,0,TrAvia_ene!L8/(L14*TrAvia_act!L16))</f>
        <v>2.9357400277915145E-2</v>
      </c>
      <c r="M26" s="93">
        <f>IF(TrAvia_ene!M8=0,0,TrAvia_ene!M8/(M14*TrAvia_act!M16))</f>
        <v>2.8990836797665887E-2</v>
      </c>
      <c r="N26" s="93">
        <f>IF(TrAvia_ene!N8=0,0,TrAvia_ene!N8/(N14*TrAvia_act!N16))</f>
        <v>2.8058079772680981E-2</v>
      </c>
      <c r="O26" s="93">
        <f>IF(TrAvia_ene!O8=0,0,TrAvia_ene!O8/(O14*TrAvia_act!O16))</f>
        <v>2.7725457096854433E-2</v>
      </c>
      <c r="P26" s="93">
        <f>IF(TrAvia_ene!P8=0,0,TrAvia_ene!P8/(P14*TrAvia_act!P16))</f>
        <v>2.6539629780719484E-2</v>
      </c>
      <c r="Q26" s="93">
        <f>IF(TrAvia_ene!Q8=0,0,TrAvia_ene!Q8/(Q14*TrAvia_act!Q16))</f>
        <v>2.742040731893107E-2</v>
      </c>
      <c r="R26" s="93">
        <f>IF(TrAvia_ene!R8=0,0,TrAvia_ene!R8/(R14*TrAvia_act!R16))</f>
        <v>2.8943308840347525E-2</v>
      </c>
      <c r="S26" s="93">
        <f>IF(TrAvia_ene!S8=0,0,TrAvia_ene!S8/(S14*TrAvia_act!S16))</f>
        <v>2.7864200132175634E-2</v>
      </c>
      <c r="T26" s="93">
        <f>IF(TrAvia_ene!T8=0,0,TrAvia_ene!T8/(T14*TrAvia_act!T16))</f>
        <v>2.8704903668796078E-2</v>
      </c>
      <c r="U26" s="93">
        <f>IF(TrAvia_ene!U8=0,0,TrAvia_ene!U8/(U14*TrAvia_act!U16))</f>
        <v>2.8100747990179937E-2</v>
      </c>
      <c r="V26" s="93">
        <f>IF(TrAvia_ene!V8=0,0,TrAvia_ene!V8/(V14*TrAvia_act!V16))</f>
        <v>2.2376899149344018E-2</v>
      </c>
      <c r="W26" s="93">
        <f>IF(TrAvia_ene!W8=0,0,TrAvia_ene!W8/(W14*TrAvia_act!W16))</f>
        <v>2.6806410551899196E-2</v>
      </c>
      <c r="X26" s="93">
        <f>IF(TrAvia_ene!X8=0,0,TrAvia_ene!X8/(X14*TrAvia_act!X16))</f>
        <v>2.2821619288245103E-2</v>
      </c>
      <c r="Y26" s="93">
        <f>IF(TrAvia_ene!Y8=0,0,TrAvia_ene!Y8/(Y14*TrAvia_act!Y16))</f>
        <v>2.6776386980852777E-2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3.8449488494258319E-2</v>
      </c>
      <c r="C27" s="94">
        <f>IF(TrAvia_ene!C9=0,0,TrAvia_ene!C9/(C15*TrAvia_act!C17))</f>
        <v>3.8779214569899585E-2</v>
      </c>
      <c r="D27" s="94">
        <f>IF(TrAvia_ene!D9=0,0,TrAvia_ene!D9/(D15*TrAvia_act!D17))</f>
        <v>3.6289577596637812E-2</v>
      </c>
      <c r="E27" s="94">
        <f>IF(TrAvia_ene!E9=0,0,TrAvia_ene!E9/(E15*TrAvia_act!E17))</f>
        <v>3.3472620134433945E-2</v>
      </c>
      <c r="F27" s="94">
        <f>IF(TrAvia_ene!F9=0,0,TrAvia_ene!F9/(F15*TrAvia_act!F17))</f>
        <v>3.172146632831583E-2</v>
      </c>
      <c r="G27" s="94">
        <f>IF(TrAvia_ene!G9=0,0,TrAvia_ene!G9/(G15*TrAvia_act!G17))</f>
        <v>3.184014261002438E-2</v>
      </c>
      <c r="H27" s="94">
        <f>IF(TrAvia_ene!H9=0,0,TrAvia_ene!H9/(H15*TrAvia_act!H17))</f>
        <v>3.3616843110181899E-2</v>
      </c>
      <c r="I27" s="94">
        <f>IF(TrAvia_ene!I9=0,0,TrAvia_ene!I9/(I15*TrAvia_act!I17))</f>
        <v>3.6653874845771268E-2</v>
      </c>
      <c r="J27" s="94">
        <f>IF(TrAvia_ene!J9=0,0,TrAvia_ene!J9/(J15*TrAvia_act!J17))</f>
        <v>3.7687689391588598E-2</v>
      </c>
      <c r="K27" s="94">
        <f>IF(TrAvia_ene!K9=0,0,TrAvia_ene!K9/(K15*TrAvia_act!K17))</f>
        <v>3.7072887404653587E-2</v>
      </c>
      <c r="L27" s="94">
        <f>IF(TrAvia_ene!L9=0,0,TrAvia_ene!L9/(L15*TrAvia_act!L17))</f>
        <v>3.7102662659022012E-2</v>
      </c>
      <c r="M27" s="94">
        <f>IF(TrAvia_ene!M9=0,0,TrAvia_ene!M9/(M15*TrAvia_act!M17))</f>
        <v>3.591837282381221E-2</v>
      </c>
      <c r="N27" s="94">
        <f>IF(TrAvia_ene!N9=0,0,TrAvia_ene!N9/(N15*TrAvia_act!N17))</f>
        <v>3.6386477252765156E-2</v>
      </c>
      <c r="O27" s="94">
        <f>IF(TrAvia_ene!O9=0,0,TrAvia_ene!O9/(O15*TrAvia_act!O17))</f>
        <v>3.467908770340121E-2</v>
      </c>
      <c r="P27" s="94">
        <f>IF(TrAvia_ene!P9=0,0,TrAvia_ene!P9/(P15*TrAvia_act!P17))</f>
        <v>3.1363915659492154E-2</v>
      </c>
      <c r="Q27" s="94">
        <f>IF(TrAvia_ene!Q9=0,0,TrAvia_ene!Q9/(Q15*TrAvia_act!Q17))</f>
        <v>3.1299669530893609E-2</v>
      </c>
      <c r="R27" s="94">
        <f>IF(TrAvia_ene!R9=0,0,TrAvia_ene!R9/(R15*TrAvia_act!R17))</f>
        <v>3.3474702504567223E-2</v>
      </c>
      <c r="S27" s="94">
        <f>IF(TrAvia_ene!S9=0,0,TrAvia_ene!S9/(S15*TrAvia_act!S17))</f>
        <v>3.0393888534726021E-2</v>
      </c>
      <c r="T27" s="94">
        <f>IF(TrAvia_ene!T9=0,0,TrAvia_ene!T9/(T15*TrAvia_act!T17))</f>
        <v>2.9505920672452186E-2</v>
      </c>
      <c r="U27" s="94">
        <f>IF(TrAvia_ene!U9=0,0,TrAvia_ene!U9/(U15*TrAvia_act!U17))</f>
        <v>2.9282102887522376E-2</v>
      </c>
      <c r="V27" s="94">
        <f>IF(TrAvia_ene!V9=0,0,TrAvia_ene!V9/(V15*TrAvia_act!V17))</f>
        <v>3.843781194058931E-2</v>
      </c>
      <c r="W27" s="94">
        <f>IF(TrAvia_ene!W9=0,0,TrAvia_ene!W9/(W15*TrAvia_act!W17))</f>
        <v>3.6385808409827462E-2</v>
      </c>
      <c r="X27" s="94">
        <f>IF(TrAvia_ene!X9=0,0,TrAvia_ene!X9/(X15*TrAvia_act!X17))</f>
        <v>2.6833655760522365E-2</v>
      </c>
      <c r="Y27" s="94">
        <f>IF(TrAvia_ene!Y9=0,0,TrAvia_ene!Y9/(Y15*TrAvia_act!Y17))</f>
        <v>2.9056530850903053E-2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2444</v>
      </c>
      <c r="C3" s="54">
        <f t="shared" si="0"/>
        <v>2557</v>
      </c>
      <c r="D3" s="54">
        <f t="shared" si="0"/>
        <v>2846</v>
      </c>
      <c r="E3" s="54">
        <f t="shared" si="0"/>
        <v>2276</v>
      </c>
      <c r="F3" s="54">
        <f t="shared" si="0"/>
        <v>1747</v>
      </c>
      <c r="G3" s="54">
        <f t="shared" si="0"/>
        <v>1753</v>
      </c>
      <c r="H3" s="54">
        <f t="shared" si="0"/>
        <v>1837</v>
      </c>
      <c r="I3" s="54">
        <f t="shared" si="0"/>
        <v>2597</v>
      </c>
      <c r="J3" s="54">
        <f t="shared" si="0"/>
        <v>2359</v>
      </c>
      <c r="K3" s="54">
        <f t="shared" si="0"/>
        <v>2003</v>
      </c>
      <c r="L3" s="54">
        <f t="shared" si="0"/>
        <v>2375</v>
      </c>
      <c r="M3" s="54">
        <f t="shared" si="0"/>
        <v>2123</v>
      </c>
      <c r="N3" s="54">
        <f t="shared" si="0"/>
        <v>2191</v>
      </c>
      <c r="O3" s="54">
        <f t="shared" si="0"/>
        <v>2353</v>
      </c>
      <c r="P3" s="54">
        <f t="shared" si="0"/>
        <v>2177</v>
      </c>
      <c r="Q3" s="54">
        <f t="shared" si="0"/>
        <v>1806</v>
      </c>
      <c r="R3" s="54">
        <f t="shared" ref="R3:V3" si="1">SUM(R4:R5)</f>
        <v>1962</v>
      </c>
      <c r="S3" s="54">
        <f t="shared" si="1"/>
        <v>2021.9999999999998</v>
      </c>
      <c r="T3" s="54">
        <f t="shared" si="1"/>
        <v>1489</v>
      </c>
      <c r="U3" s="54">
        <f t="shared" si="1"/>
        <v>1715</v>
      </c>
      <c r="V3" s="54">
        <f t="shared" si="1"/>
        <v>1606</v>
      </c>
      <c r="W3" s="54">
        <f t="shared" ref="W3:Y3" si="2">SUM(W4:W5)</f>
        <v>1506</v>
      </c>
      <c r="X3" s="54">
        <f t="shared" si="2"/>
        <v>1233</v>
      </c>
      <c r="Y3" s="54">
        <f t="shared" si="2"/>
        <v>1187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2444</v>
      </c>
      <c r="C5" s="58">
        <v>2557</v>
      </c>
      <c r="D5" s="58">
        <v>2846</v>
      </c>
      <c r="E5" s="58">
        <v>2276</v>
      </c>
      <c r="F5" s="58">
        <v>1747</v>
      </c>
      <c r="G5" s="58">
        <v>1753</v>
      </c>
      <c r="H5" s="58">
        <v>1837</v>
      </c>
      <c r="I5" s="58">
        <v>2597</v>
      </c>
      <c r="J5" s="58">
        <v>2359</v>
      </c>
      <c r="K5" s="58">
        <v>2003</v>
      </c>
      <c r="L5" s="58">
        <v>2375</v>
      </c>
      <c r="M5" s="58">
        <v>2123</v>
      </c>
      <c r="N5" s="58">
        <v>2191</v>
      </c>
      <c r="O5" s="58">
        <v>2353</v>
      </c>
      <c r="P5" s="58">
        <v>2177</v>
      </c>
      <c r="Q5" s="58">
        <v>1806</v>
      </c>
      <c r="R5" s="58">
        <v>1962</v>
      </c>
      <c r="S5" s="58">
        <v>2021.9999999999998</v>
      </c>
      <c r="T5" s="58">
        <v>1489</v>
      </c>
      <c r="U5" s="58">
        <v>1715</v>
      </c>
      <c r="V5" s="58">
        <v>1606</v>
      </c>
      <c r="W5" s="58">
        <v>1506</v>
      </c>
      <c r="X5" s="58">
        <v>1233</v>
      </c>
      <c r="Y5" s="58">
        <v>1187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1.919</v>
      </c>
      <c r="C7" s="59">
        <f t="shared" si="3"/>
        <v>2.02</v>
      </c>
      <c r="D7" s="59">
        <f t="shared" si="3"/>
        <v>2.1890000000000001</v>
      </c>
      <c r="E7" s="59">
        <f t="shared" si="3"/>
        <v>1.8520000000000001</v>
      </c>
      <c r="F7" s="59">
        <f t="shared" si="3"/>
        <v>1.782</v>
      </c>
      <c r="G7" s="59">
        <f t="shared" si="3"/>
        <v>1.7769999999999999</v>
      </c>
      <c r="H7" s="59">
        <f t="shared" si="3"/>
        <v>1.772</v>
      </c>
      <c r="I7" s="59">
        <f t="shared" si="3"/>
        <v>2.137</v>
      </c>
      <c r="J7" s="59">
        <f t="shared" si="3"/>
        <v>1.982</v>
      </c>
      <c r="K7" s="59">
        <f t="shared" si="3"/>
        <v>1.7629999999999999</v>
      </c>
      <c r="L7" s="59">
        <f t="shared" si="3"/>
        <v>2.0190000000000001</v>
      </c>
      <c r="M7" s="59">
        <f t="shared" si="3"/>
        <v>1.8740000000000001</v>
      </c>
      <c r="N7" s="59">
        <f t="shared" si="3"/>
        <v>1.8720000000000001</v>
      </c>
      <c r="O7" s="59">
        <f t="shared" si="3"/>
        <v>2.0009999999999999</v>
      </c>
      <c r="P7" s="59">
        <f t="shared" si="3"/>
        <v>1.94</v>
      </c>
      <c r="Q7" s="59">
        <f t="shared" si="3"/>
        <v>1.704</v>
      </c>
      <c r="R7" s="59">
        <f t="shared" ref="R7:V7" si="4">SUM(R8:R9)</f>
        <v>1.827</v>
      </c>
      <c r="S7" s="59">
        <f t="shared" si="4"/>
        <v>1.877</v>
      </c>
      <c r="T7" s="59">
        <f t="shared" si="4"/>
        <v>1.5760000000000001</v>
      </c>
      <c r="U7" s="59">
        <f t="shared" si="4"/>
        <v>1.631</v>
      </c>
      <c r="V7" s="59">
        <f t="shared" si="4"/>
        <v>1.5720000000000001</v>
      </c>
      <c r="W7" s="59">
        <f t="shared" ref="W7:Y7" si="5">SUM(W8:W9)</f>
        <v>1.454</v>
      </c>
      <c r="X7" s="59">
        <f t="shared" si="5"/>
        <v>1.238</v>
      </c>
      <c r="Y7" s="59">
        <f t="shared" si="5"/>
        <v>1.155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1.919</v>
      </c>
      <c r="C9" s="61">
        <v>2.02</v>
      </c>
      <c r="D9" s="61">
        <v>2.1890000000000001</v>
      </c>
      <c r="E9" s="61">
        <v>1.8520000000000001</v>
      </c>
      <c r="F9" s="61">
        <v>1.782</v>
      </c>
      <c r="G9" s="61">
        <v>1.7769999999999999</v>
      </c>
      <c r="H9" s="61">
        <v>1.772</v>
      </c>
      <c r="I9" s="61">
        <v>2.137</v>
      </c>
      <c r="J9" s="61">
        <v>1.982</v>
      </c>
      <c r="K9" s="61">
        <v>1.7629999999999999</v>
      </c>
      <c r="L9" s="61">
        <v>2.0190000000000001</v>
      </c>
      <c r="M9" s="61">
        <v>1.8740000000000001</v>
      </c>
      <c r="N9" s="61">
        <v>1.8720000000000001</v>
      </c>
      <c r="O9" s="61">
        <v>2.0009999999999999</v>
      </c>
      <c r="P9" s="61">
        <v>1.94</v>
      </c>
      <c r="Q9" s="61">
        <v>1.704</v>
      </c>
      <c r="R9" s="61">
        <v>1.827</v>
      </c>
      <c r="S9" s="61">
        <v>1.877</v>
      </c>
      <c r="T9" s="61">
        <v>1.5760000000000001</v>
      </c>
      <c r="U9" s="61">
        <v>1.631</v>
      </c>
      <c r="V9" s="61">
        <v>1.5720000000000001</v>
      </c>
      <c r="W9" s="61">
        <v>1.454</v>
      </c>
      <c r="X9" s="61">
        <v>1.238</v>
      </c>
      <c r="Y9" s="61">
        <v>1.155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1273.5799895779051</v>
      </c>
      <c r="C13" s="62">
        <f t="shared" si="6"/>
        <v>1265.8415841584158</v>
      </c>
      <c r="D13" s="62">
        <f t="shared" si="6"/>
        <v>1300.1370488807675</v>
      </c>
      <c r="E13" s="62">
        <f t="shared" si="6"/>
        <v>1228.9416846652268</v>
      </c>
      <c r="F13" s="62">
        <f t="shared" ref="F13:V13" si="7">IF(F3=0,0,F3/F7)</f>
        <v>980.35914702581363</v>
      </c>
      <c r="G13" s="62">
        <f t="shared" si="7"/>
        <v>986.49409116488471</v>
      </c>
      <c r="H13" s="62">
        <f t="shared" si="7"/>
        <v>1036.6817155756207</v>
      </c>
      <c r="I13" s="62">
        <f t="shared" si="7"/>
        <v>1215.2550304164718</v>
      </c>
      <c r="J13" s="62">
        <f t="shared" si="7"/>
        <v>1190.2119071644804</v>
      </c>
      <c r="K13" s="62">
        <f t="shared" si="7"/>
        <v>1136.1315938740784</v>
      </c>
      <c r="L13" s="62">
        <f t="shared" si="7"/>
        <v>1176.3249133234274</v>
      </c>
      <c r="M13" s="62">
        <f t="shared" si="7"/>
        <v>1132.8708644610458</v>
      </c>
      <c r="N13" s="62">
        <f t="shared" si="7"/>
        <v>1170.4059829059829</v>
      </c>
      <c r="O13" s="62">
        <f t="shared" si="7"/>
        <v>1175.9120439780111</v>
      </c>
      <c r="P13" s="62">
        <f t="shared" si="7"/>
        <v>1122.1649484536083</v>
      </c>
      <c r="Q13" s="62">
        <f t="shared" si="7"/>
        <v>1059.8591549295775</v>
      </c>
      <c r="R13" s="62">
        <f t="shared" si="7"/>
        <v>1073.8916256157636</v>
      </c>
      <c r="S13" s="62">
        <f t="shared" si="7"/>
        <v>1077.2509323388385</v>
      </c>
      <c r="T13" s="62">
        <f t="shared" si="7"/>
        <v>944.79695431472078</v>
      </c>
      <c r="U13" s="62">
        <f t="shared" si="7"/>
        <v>1051.5021459227469</v>
      </c>
      <c r="V13" s="62">
        <f t="shared" si="7"/>
        <v>1021.6284987277353</v>
      </c>
      <c r="W13" s="62">
        <f t="shared" ref="W13:Y13" si="8">IF(W3=0,0,W3/W7)</f>
        <v>1035.7634112792298</v>
      </c>
      <c r="X13" s="62">
        <f t="shared" si="8"/>
        <v>995.96122778675283</v>
      </c>
      <c r="Y13" s="62">
        <f t="shared" si="8"/>
        <v>1027.7056277056276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:Y14" si="10">IF(W4=0,0,W4/W8)</f>
        <v>0</v>
      </c>
      <c r="X14" s="63">
        <f t="shared" si="10"/>
        <v>0</v>
      </c>
      <c r="Y14" s="63">
        <f t="shared" si="10"/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1273.5799895779051</v>
      </c>
      <c r="C15" s="64">
        <f t="shared" si="6"/>
        <v>1265.8415841584158</v>
      </c>
      <c r="D15" s="64">
        <f t="shared" si="6"/>
        <v>1300.1370488807675</v>
      </c>
      <c r="E15" s="64">
        <f t="shared" si="6"/>
        <v>1228.9416846652268</v>
      </c>
      <c r="F15" s="64">
        <f t="shared" ref="F15:V15" si="11">IF(F5=0,0,F5/F9)</f>
        <v>980.35914702581363</v>
      </c>
      <c r="G15" s="64">
        <f t="shared" si="11"/>
        <v>986.49409116488471</v>
      </c>
      <c r="H15" s="64">
        <f t="shared" si="11"/>
        <v>1036.6817155756207</v>
      </c>
      <c r="I15" s="64">
        <f t="shared" si="11"/>
        <v>1215.2550304164718</v>
      </c>
      <c r="J15" s="64">
        <f t="shared" si="11"/>
        <v>1190.2119071644804</v>
      </c>
      <c r="K15" s="64">
        <f t="shared" si="11"/>
        <v>1136.1315938740784</v>
      </c>
      <c r="L15" s="64">
        <f t="shared" si="11"/>
        <v>1176.3249133234274</v>
      </c>
      <c r="M15" s="64">
        <f t="shared" si="11"/>
        <v>1132.8708644610458</v>
      </c>
      <c r="N15" s="64">
        <f t="shared" si="11"/>
        <v>1170.4059829059829</v>
      </c>
      <c r="O15" s="64">
        <f t="shared" si="11"/>
        <v>1175.9120439780111</v>
      </c>
      <c r="P15" s="64">
        <f t="shared" si="11"/>
        <v>1122.1649484536083</v>
      </c>
      <c r="Q15" s="64">
        <f t="shared" si="11"/>
        <v>1059.8591549295775</v>
      </c>
      <c r="R15" s="64">
        <f t="shared" si="11"/>
        <v>1073.8916256157636</v>
      </c>
      <c r="S15" s="64">
        <f t="shared" si="11"/>
        <v>1077.2509323388385</v>
      </c>
      <c r="T15" s="64">
        <f t="shared" si="11"/>
        <v>944.79695431472078</v>
      </c>
      <c r="U15" s="64">
        <f t="shared" si="11"/>
        <v>1051.5021459227469</v>
      </c>
      <c r="V15" s="64">
        <f t="shared" si="11"/>
        <v>1021.6284987277353</v>
      </c>
      <c r="W15" s="64">
        <f t="shared" ref="W15:Y15" si="12">IF(W5=0,0,W5/W9)</f>
        <v>1035.7634112792298</v>
      </c>
      <c r="X15" s="64">
        <f t="shared" si="12"/>
        <v>995.96122778675283</v>
      </c>
      <c r="Y15" s="64">
        <f t="shared" si="12"/>
        <v>1027.7056277056276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:Y18" si="18">IF(W4=0,0,W4/W$3)</f>
        <v>0</v>
      </c>
      <c r="X18" s="66">
        <f t="shared" si="18"/>
        <v>0</v>
      </c>
      <c r="Y18" s="66">
        <f t="shared" si="18"/>
        <v>0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:Y19" si="21">IF(W5=0,0,W5/W$3)</f>
        <v>1</v>
      </c>
      <c r="X19" s="67">
        <f t="shared" si="21"/>
        <v>1</v>
      </c>
      <c r="Y19" s="67">
        <f t="shared" si="21"/>
        <v>1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:Y22" si="27">IF(W8=0,0,W8/W$7)</f>
        <v>0</v>
      </c>
      <c r="X22" s="66">
        <f t="shared" si="27"/>
        <v>0</v>
      </c>
      <c r="Y22" s="66">
        <f t="shared" si="27"/>
        <v>0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:Y23" si="30">IF(W9=0,0,W9/W$7)</f>
        <v>1</v>
      </c>
      <c r="X23" s="67">
        <f t="shared" si="30"/>
        <v>1</v>
      </c>
      <c r="Y23" s="67">
        <f t="shared" si="30"/>
        <v>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34.742562338779024</v>
      </c>
      <c r="C3" s="62">
        <f t="shared" ref="C3:V3" si="0">SUM(C4,C10)</f>
        <v>36.787016337059327</v>
      </c>
      <c r="D3" s="62">
        <f t="shared" si="0"/>
        <v>38.831556319862415</v>
      </c>
      <c r="E3" s="62">
        <f t="shared" si="0"/>
        <v>34.742562338779024</v>
      </c>
      <c r="F3" s="62">
        <f t="shared" si="0"/>
        <v>41.898280309544276</v>
      </c>
      <c r="G3" s="62">
        <f t="shared" si="0"/>
        <v>41.542562338779014</v>
      </c>
      <c r="H3" s="62">
        <f t="shared" si="0"/>
        <v>39.420120378331895</v>
      </c>
      <c r="I3" s="62">
        <f t="shared" si="0"/>
        <v>40.563456577815991</v>
      </c>
      <c r="J3" s="62">
        <f t="shared" si="0"/>
        <v>38.399312123817722</v>
      </c>
      <c r="K3" s="62">
        <f t="shared" si="0"/>
        <v>35.774032674118658</v>
      </c>
      <c r="L3" s="62">
        <f t="shared" si="0"/>
        <v>39.564316423043849</v>
      </c>
      <c r="M3" s="62">
        <f t="shared" si="0"/>
        <v>38.16827171109199</v>
      </c>
      <c r="N3" s="62">
        <f t="shared" si="0"/>
        <v>36.883662940670668</v>
      </c>
      <c r="O3" s="62">
        <f t="shared" si="0"/>
        <v>39.246259673258812</v>
      </c>
      <c r="P3" s="62">
        <f t="shared" si="0"/>
        <v>39.864230438521062</v>
      </c>
      <c r="Q3" s="62">
        <f t="shared" si="0"/>
        <v>37.091401547721411</v>
      </c>
      <c r="R3" s="62">
        <f t="shared" si="0"/>
        <v>39.246689595872738</v>
      </c>
      <c r="S3" s="62">
        <f t="shared" si="0"/>
        <v>40.912553740326736</v>
      </c>
      <c r="T3" s="62">
        <f t="shared" si="0"/>
        <v>38.284608770421322</v>
      </c>
      <c r="U3" s="62">
        <f t="shared" si="0"/>
        <v>43.131900257953561</v>
      </c>
      <c r="V3" s="62">
        <f t="shared" si="0"/>
        <v>21.580997420464314</v>
      </c>
      <c r="W3" s="62">
        <f t="shared" ref="W3:Y3" si="1">SUM(W4,W10)</f>
        <v>31.722785898538262</v>
      </c>
      <c r="X3" s="62">
        <f t="shared" si="1"/>
        <v>33.893809114359414</v>
      </c>
      <c r="Y3" s="62">
        <f t="shared" si="1"/>
        <v>34.063628546861558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:Y4" si="3">SUM(W5:W9)</f>
        <v>0</v>
      </c>
      <c r="X4" s="71">
        <f t="shared" si="3"/>
        <v>0</v>
      </c>
      <c r="Y4" s="71">
        <f t="shared" si="3"/>
        <v>0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34.742562338779024</v>
      </c>
      <c r="C10" s="71">
        <f t="shared" ref="C10:V10" si="4">SUM(C11:C15)</f>
        <v>36.787016337059327</v>
      </c>
      <c r="D10" s="71">
        <f t="shared" si="4"/>
        <v>38.831556319862415</v>
      </c>
      <c r="E10" s="71">
        <f t="shared" si="4"/>
        <v>34.742562338779024</v>
      </c>
      <c r="F10" s="71">
        <f t="shared" si="4"/>
        <v>41.898280309544276</v>
      </c>
      <c r="G10" s="71">
        <f t="shared" si="4"/>
        <v>41.542562338779014</v>
      </c>
      <c r="H10" s="71">
        <f t="shared" si="4"/>
        <v>39.420120378331895</v>
      </c>
      <c r="I10" s="71">
        <f t="shared" si="4"/>
        <v>40.563456577815991</v>
      </c>
      <c r="J10" s="71">
        <f t="shared" si="4"/>
        <v>38.399312123817722</v>
      </c>
      <c r="K10" s="71">
        <f t="shared" si="4"/>
        <v>35.774032674118658</v>
      </c>
      <c r="L10" s="71">
        <f t="shared" si="4"/>
        <v>39.564316423043849</v>
      </c>
      <c r="M10" s="71">
        <f t="shared" si="4"/>
        <v>38.16827171109199</v>
      </c>
      <c r="N10" s="71">
        <f t="shared" si="4"/>
        <v>36.883662940670668</v>
      </c>
      <c r="O10" s="71">
        <f t="shared" si="4"/>
        <v>39.246259673258812</v>
      </c>
      <c r="P10" s="71">
        <f t="shared" si="4"/>
        <v>39.864230438521062</v>
      </c>
      <c r="Q10" s="71">
        <f t="shared" si="4"/>
        <v>37.091401547721411</v>
      </c>
      <c r="R10" s="71">
        <f t="shared" si="4"/>
        <v>39.246689595872738</v>
      </c>
      <c r="S10" s="71">
        <f t="shared" si="4"/>
        <v>40.912553740326736</v>
      </c>
      <c r="T10" s="71">
        <f t="shared" si="4"/>
        <v>38.284608770421322</v>
      </c>
      <c r="U10" s="71">
        <f t="shared" si="4"/>
        <v>43.131900257953561</v>
      </c>
      <c r="V10" s="71">
        <f t="shared" si="4"/>
        <v>21.580997420464314</v>
      </c>
      <c r="W10" s="71">
        <f t="shared" ref="W10:Y10" si="5">SUM(W11:W15)</f>
        <v>31.722785898538262</v>
      </c>
      <c r="X10" s="71">
        <f t="shared" si="5"/>
        <v>33.893809114359414</v>
      </c>
      <c r="Y10" s="71">
        <f t="shared" si="5"/>
        <v>34.063628546861558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31.690111779879622</v>
      </c>
      <c r="C11" s="73">
        <v>33.734565778159933</v>
      </c>
      <c r="D11" s="73">
        <v>35.77910576096302</v>
      </c>
      <c r="E11" s="73">
        <v>31.690111779879622</v>
      </c>
      <c r="F11" s="73">
        <v>38.845829750644882</v>
      </c>
      <c r="G11" s="73">
        <v>38.807308684436798</v>
      </c>
      <c r="H11" s="73">
        <v>36.679707652622525</v>
      </c>
      <c r="I11" s="73">
        <v>37.86448839208942</v>
      </c>
      <c r="J11" s="73">
        <v>35.745399828030962</v>
      </c>
      <c r="K11" s="73">
        <v>33.224505588993978</v>
      </c>
      <c r="L11" s="73">
        <v>37.040584694754941</v>
      </c>
      <c r="M11" s="73">
        <v>35.682201203783308</v>
      </c>
      <c r="N11" s="73">
        <v>34.492433361994827</v>
      </c>
      <c r="O11" s="73">
        <v>36.886328460877039</v>
      </c>
      <c r="P11" s="73">
        <v>37.520034393809112</v>
      </c>
      <c r="Q11" s="73">
        <v>34.77506448839209</v>
      </c>
      <c r="R11" s="73">
        <v>36.98314703353396</v>
      </c>
      <c r="S11" s="73">
        <v>38.671625107480651</v>
      </c>
      <c r="T11" s="73">
        <v>35.99810834049871</v>
      </c>
      <c r="U11" s="73">
        <v>40.866294067067919</v>
      </c>
      <c r="V11" s="73">
        <v>19.335339638865001</v>
      </c>
      <c r="W11" s="73">
        <v>29.497076526225278</v>
      </c>
      <c r="X11" s="73">
        <v>31.699742046431641</v>
      </c>
      <c r="Y11" s="73">
        <v>31.887446259673254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3.0524505588994018</v>
      </c>
      <c r="C12" s="73">
        <v>3.0524505588993947</v>
      </c>
      <c r="D12" s="73">
        <v>3.0524505588993947</v>
      </c>
      <c r="E12" s="73">
        <v>3.0524505588994018</v>
      </c>
      <c r="F12" s="73">
        <v>3.0524505588993947</v>
      </c>
      <c r="G12" s="73">
        <v>2.7352536543422161</v>
      </c>
      <c r="H12" s="73">
        <v>2.7404127257093691</v>
      </c>
      <c r="I12" s="73">
        <v>2.6989681857265708</v>
      </c>
      <c r="J12" s="73">
        <v>2.6539122957867605</v>
      </c>
      <c r="K12" s="73">
        <v>2.5495270851246801</v>
      </c>
      <c r="L12" s="73">
        <v>2.523731728288908</v>
      </c>
      <c r="M12" s="73">
        <v>2.486070507308682</v>
      </c>
      <c r="N12" s="73">
        <v>2.3912295786758406</v>
      </c>
      <c r="O12" s="73">
        <v>2.3599312123817739</v>
      </c>
      <c r="P12" s="73">
        <v>2.3441960447119499</v>
      </c>
      <c r="Q12" s="73">
        <v>2.3163370593293209</v>
      </c>
      <c r="R12" s="73">
        <v>2.2635425623387775</v>
      </c>
      <c r="S12" s="73">
        <v>2.2409286328460851</v>
      </c>
      <c r="T12" s="73">
        <v>2.2865004299226115</v>
      </c>
      <c r="U12" s="73">
        <v>2.2656061908856415</v>
      </c>
      <c r="V12" s="73">
        <v>2.2456577815993128</v>
      </c>
      <c r="W12" s="73">
        <v>2.2257093723129842</v>
      </c>
      <c r="X12" s="73">
        <v>2.1940670679277723</v>
      </c>
      <c r="Y12" s="73">
        <v>2.1761822871883041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1810.4513985815022</v>
      </c>
      <c r="C19" s="62">
        <f>IF(C3=0,0,C3/TrNavi_act!C7*100)</f>
        <v>1821.1394226266993</v>
      </c>
      <c r="D19" s="62">
        <f>IF(D3=0,0,D3/TrNavi_act!D7*100)</f>
        <v>1773.9404440320882</v>
      </c>
      <c r="E19" s="62">
        <f>IF(E3=0,0,E3/TrNavi_act!E7*100)</f>
        <v>1875.9482904308329</v>
      </c>
      <c r="F19" s="62">
        <f>IF(F3=0,0,F3/TrNavi_act!F7*100)</f>
        <v>2351.1941812314408</v>
      </c>
      <c r="G19" s="62">
        <f>IF(G3=0,0,G3/TrNavi_act!G7*100)</f>
        <v>2337.7919155193595</v>
      </c>
      <c r="H19" s="62">
        <f>IF(H3=0,0,H3/TrNavi_act!H7*100)</f>
        <v>2224.6117594995426</v>
      </c>
      <c r="I19" s="62">
        <f>IF(I3=0,0,I3/TrNavi_act!I7*100)</f>
        <v>1898.1495824902192</v>
      </c>
      <c r="J19" s="62">
        <f>IF(J3=0,0,J3/TrNavi_act!J7*100)</f>
        <v>1937.4022262269286</v>
      </c>
      <c r="K19" s="62">
        <f>IF(K3=0,0,K3/TrNavi_act!K7*100)</f>
        <v>2029.15670301297</v>
      </c>
      <c r="L19" s="62">
        <f>IF(L3=0,0,L3/TrNavi_act!L7*100)</f>
        <v>1959.5996247173773</v>
      </c>
      <c r="M19" s="62">
        <f>IF(M3=0,0,M3/TrNavi_act!M7*100)</f>
        <v>2036.7274125449298</v>
      </c>
      <c r="N19" s="62">
        <f>IF(N3=0,0,N3/TrNavi_act!N7*100)</f>
        <v>1970.2811399930913</v>
      </c>
      <c r="O19" s="62">
        <f>IF(O3=0,0,O3/TrNavi_act!O7*100)</f>
        <v>1961.3323175041887</v>
      </c>
      <c r="P19" s="62">
        <f>IF(P3=0,0,P3/TrNavi_act!P7*100)</f>
        <v>2054.8572390990239</v>
      </c>
      <c r="Q19" s="62">
        <f>IF(Q3=0,0,Q3/TrNavi_act!Q7*100)</f>
        <v>2176.7254429413974</v>
      </c>
      <c r="R19" s="62">
        <f>IF(R3=0,0,R3/TrNavi_act!R7*100)</f>
        <v>2148.1494031676375</v>
      </c>
      <c r="S19" s="62">
        <f>IF(S3=0,0,S3/TrNavi_act!S7*100)</f>
        <v>2179.6778764159158</v>
      </c>
      <c r="T19" s="62">
        <f>IF(T3=0,0,T3/TrNavi_act!T7*100)</f>
        <v>2429.2264448236879</v>
      </c>
      <c r="U19" s="62">
        <f>IF(U3=0,0,U3/TrNavi_act!U7*100)</f>
        <v>2644.5064535839092</v>
      </c>
      <c r="V19" s="62">
        <f>IF(V3=0,0,V3/TrNavi_act!V7*100)</f>
        <v>1372.8369860346256</v>
      </c>
      <c r="W19" s="62">
        <f>IF(W3=0,0,W3/TrNavi_act!W7*100)</f>
        <v>2181.7596904084089</v>
      </c>
      <c r="X19" s="62">
        <f>IF(X3=0,0,X3/TrNavi_act!X7*100)</f>
        <v>2737.7874890435714</v>
      </c>
      <c r="Y19" s="62">
        <f>IF(Y3=0,0,Y3/TrNavi_act!Y7*100)</f>
        <v>2949.2319088191825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>
        <f>IF(X4=0,0,X4/TrNavi_act!X8*100)</f>
        <v>0</v>
      </c>
      <c r="Y20" s="63">
        <f>IF(Y4=0,0,Y4/TrNavi_act!Y8*100)</f>
        <v>0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1810.4513985815022</v>
      </c>
      <c r="C21" s="64">
        <f>IF(C10=0,0,C10/TrNavi_act!C9*100)</f>
        <v>1821.1394226266993</v>
      </c>
      <c r="D21" s="64">
        <f>IF(D10=0,0,D10/TrNavi_act!D9*100)</f>
        <v>1773.9404440320882</v>
      </c>
      <c r="E21" s="64">
        <f>IF(E10=0,0,E10/TrNavi_act!E9*100)</f>
        <v>1875.9482904308329</v>
      </c>
      <c r="F21" s="64">
        <f>IF(F10=0,0,F10/TrNavi_act!F9*100)</f>
        <v>2351.1941812314408</v>
      </c>
      <c r="G21" s="64">
        <f>IF(G10=0,0,G10/TrNavi_act!G9*100)</f>
        <v>2337.7919155193595</v>
      </c>
      <c r="H21" s="64">
        <f>IF(H10=0,0,H10/TrNavi_act!H9*100)</f>
        <v>2224.6117594995426</v>
      </c>
      <c r="I21" s="64">
        <f>IF(I10=0,0,I10/TrNavi_act!I9*100)</f>
        <v>1898.1495824902192</v>
      </c>
      <c r="J21" s="64">
        <f>IF(J10=0,0,J10/TrNavi_act!J9*100)</f>
        <v>1937.4022262269286</v>
      </c>
      <c r="K21" s="64">
        <f>IF(K10=0,0,K10/TrNavi_act!K9*100)</f>
        <v>2029.15670301297</v>
      </c>
      <c r="L21" s="64">
        <f>IF(L10=0,0,L10/TrNavi_act!L9*100)</f>
        <v>1959.5996247173773</v>
      </c>
      <c r="M21" s="64">
        <f>IF(M10=0,0,M10/TrNavi_act!M9*100)</f>
        <v>2036.7274125449298</v>
      </c>
      <c r="N21" s="64">
        <f>IF(N10=0,0,N10/TrNavi_act!N9*100)</f>
        <v>1970.2811399930913</v>
      </c>
      <c r="O21" s="64">
        <f>IF(O10=0,0,O10/TrNavi_act!O9*100)</f>
        <v>1961.3323175041887</v>
      </c>
      <c r="P21" s="64">
        <f>IF(P10=0,0,P10/TrNavi_act!P9*100)</f>
        <v>2054.8572390990239</v>
      </c>
      <c r="Q21" s="64">
        <f>IF(Q10=0,0,Q10/TrNavi_act!Q9*100)</f>
        <v>2176.7254429413974</v>
      </c>
      <c r="R21" s="64">
        <f>IF(R10=0,0,R10/TrNavi_act!R9*100)</f>
        <v>2148.1494031676375</v>
      </c>
      <c r="S21" s="64">
        <f>IF(S10=0,0,S10/TrNavi_act!S9*100)</f>
        <v>2179.6778764159158</v>
      </c>
      <c r="T21" s="64">
        <f>IF(T10=0,0,T10/TrNavi_act!T9*100)</f>
        <v>2429.2264448236879</v>
      </c>
      <c r="U21" s="64">
        <f>IF(U10=0,0,U10/TrNavi_act!U9*100)</f>
        <v>2644.5064535839092</v>
      </c>
      <c r="V21" s="64">
        <f>IF(V10=0,0,V10/TrNavi_act!V9*100)</f>
        <v>1372.8369860346256</v>
      </c>
      <c r="W21" s="64">
        <f>IF(W10=0,0,W10/TrNavi_act!W9*100)</f>
        <v>2181.7596904084089</v>
      </c>
      <c r="X21" s="64">
        <f>IF(X10=0,0,X10/TrNavi_act!X9*100)</f>
        <v>2737.7874890435714</v>
      </c>
      <c r="Y21" s="64">
        <f>IF(Y10=0,0,Y10/TrNavi_act!Y9*100)</f>
        <v>2949.2319088191825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14.215451038780289</v>
      </c>
      <c r="C23" s="62">
        <f>IF(C3=0,0,C3/TrNavi_act!C3*1000)</f>
        <v>14.38678777358597</v>
      </c>
      <c r="D23" s="62">
        <f>IF(D3=0,0,D3/TrNavi_act!D3*1000)</f>
        <v>13.644257315482225</v>
      </c>
      <c r="E23" s="62">
        <f>IF(E3=0,0,E3/TrNavi_act!E3*1000)</f>
        <v>15.26474619454263</v>
      </c>
      <c r="F23" s="62">
        <f>IF(F3=0,0,F3/TrNavi_act!F3*1000)</f>
        <v>23.982988156579438</v>
      </c>
      <c r="G23" s="62">
        <f>IF(G3=0,0,G3/TrNavi_act!G3*1000)</f>
        <v>23.697981938835717</v>
      </c>
      <c r="H23" s="62">
        <f>IF(H3=0,0,H3/TrNavi_act!H3*1000)</f>
        <v>21.458965910904677</v>
      </c>
      <c r="I23" s="62">
        <f>IF(I3=0,0,I3/TrNavi_act!I3*1000)</f>
        <v>15.619351781985364</v>
      </c>
      <c r="J23" s="62">
        <f>IF(J3=0,0,J3/TrNavi_act!J3*1000)</f>
        <v>16.277792337353844</v>
      </c>
      <c r="K23" s="62">
        <f>IF(K3=0,0,K3/TrNavi_act!K3*1000)</f>
        <v>17.860225998062234</v>
      </c>
      <c r="L23" s="62">
        <f>IF(L3=0,0,L3/TrNavi_act!L3*1000)</f>
        <v>16.658659546544776</v>
      </c>
      <c r="M23" s="62">
        <f>IF(M3=0,0,M3/TrNavi_act!M3*1000)</f>
        <v>17.978460532780023</v>
      </c>
      <c r="N23" s="62">
        <f>IF(N3=0,0,N3/TrNavi_act!N3*1000)</f>
        <v>16.834168389169633</v>
      </c>
      <c r="O23" s="62">
        <f>IF(O3=0,0,O3/TrNavi_act!O3*1000)</f>
        <v>16.679243380050494</v>
      </c>
      <c r="P23" s="62">
        <f>IF(P3=0,0,P3/TrNavi_act!P3*1000)</f>
        <v>18.31154360979378</v>
      </c>
      <c r="Q23" s="62">
        <f>IF(Q3=0,0,Q3/TrNavi_act!Q3*1000)</f>
        <v>20.537874611141422</v>
      </c>
      <c r="R23" s="62">
        <f>IF(R3=0,0,R3/TrNavi_act!R3*1000)</f>
        <v>20.003409579955523</v>
      </c>
      <c r="S23" s="62">
        <f>IF(S3=0,0,S3/TrNavi_act!S3*1000)</f>
        <v>20.233706103030041</v>
      </c>
      <c r="T23" s="62">
        <f>IF(T3=0,0,T3/TrNavi_act!T3*1000)</f>
        <v>25.711624426072074</v>
      </c>
      <c r="U23" s="62">
        <f>IF(U3=0,0,U3/TrNavi_act!U3*1000)</f>
        <v>25.149796068777587</v>
      </c>
      <c r="V23" s="62">
        <f>IF(V3=0,0,V3/TrNavi_act!V3*1000)</f>
        <v>13.437731893190731</v>
      </c>
      <c r="W23" s="62">
        <f>IF(W3=0,0,W3/TrNavi_act!W3*1000)</f>
        <v>21.064266864899245</v>
      </c>
      <c r="X23" s="62">
        <f>IF(X3=0,0,X3/TrNavi_act!X3*1000)</f>
        <v>27.488896280907881</v>
      </c>
      <c r="Y23" s="62">
        <f>IF(Y3=0,0,Y3/TrNavi_act!Y3*1000)</f>
        <v>28.69724393164411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>
        <f>IF(X4=0,0,X4/TrNavi_act!X4*1000)</f>
        <v>0</v>
      </c>
      <c r="Y24" s="63">
        <f>IF(Y4=0,0,Y4/TrNavi_act!Y4*1000)</f>
        <v>0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14.215451038780289</v>
      </c>
      <c r="C25" s="64">
        <f>IF(C10=0,0,C10/TrNavi_act!C5*1000)</f>
        <v>14.38678777358597</v>
      </c>
      <c r="D25" s="64">
        <f>IF(D10=0,0,D10/TrNavi_act!D5*1000)</f>
        <v>13.644257315482225</v>
      </c>
      <c r="E25" s="64">
        <f>IF(E10=0,0,E10/TrNavi_act!E5*1000)</f>
        <v>15.26474619454263</v>
      </c>
      <c r="F25" s="64">
        <f>IF(F10=0,0,F10/TrNavi_act!F5*1000)</f>
        <v>23.982988156579438</v>
      </c>
      <c r="G25" s="64">
        <f>IF(G10=0,0,G10/TrNavi_act!G5*1000)</f>
        <v>23.697981938835717</v>
      </c>
      <c r="H25" s="64">
        <f>IF(H10=0,0,H10/TrNavi_act!H5*1000)</f>
        <v>21.458965910904677</v>
      </c>
      <c r="I25" s="64">
        <f>IF(I10=0,0,I10/TrNavi_act!I5*1000)</f>
        <v>15.619351781985364</v>
      </c>
      <c r="J25" s="64">
        <f>IF(J10=0,0,J10/TrNavi_act!J5*1000)</f>
        <v>16.277792337353844</v>
      </c>
      <c r="K25" s="64">
        <f>IF(K10=0,0,K10/TrNavi_act!K5*1000)</f>
        <v>17.860225998062234</v>
      </c>
      <c r="L25" s="64">
        <f>IF(L10=0,0,L10/TrNavi_act!L5*1000)</f>
        <v>16.658659546544776</v>
      </c>
      <c r="M25" s="64">
        <f>IF(M10=0,0,M10/TrNavi_act!M5*1000)</f>
        <v>17.978460532780023</v>
      </c>
      <c r="N25" s="64">
        <f>IF(N10=0,0,N10/TrNavi_act!N5*1000)</f>
        <v>16.834168389169633</v>
      </c>
      <c r="O25" s="64">
        <f>IF(O10=0,0,O10/TrNavi_act!O5*1000)</f>
        <v>16.679243380050494</v>
      </c>
      <c r="P25" s="64">
        <f>IF(P10=0,0,P10/TrNavi_act!P5*1000)</f>
        <v>18.31154360979378</v>
      </c>
      <c r="Q25" s="64">
        <f>IF(Q10=0,0,Q10/TrNavi_act!Q5*1000)</f>
        <v>20.537874611141422</v>
      </c>
      <c r="R25" s="64">
        <f>IF(R10=0,0,R10/TrNavi_act!R5*1000)</f>
        <v>20.003409579955523</v>
      </c>
      <c r="S25" s="64">
        <f>IF(S10=0,0,S10/TrNavi_act!S5*1000)</f>
        <v>20.233706103030041</v>
      </c>
      <c r="T25" s="64">
        <f>IF(T10=0,0,T10/TrNavi_act!T5*1000)</f>
        <v>25.711624426072074</v>
      </c>
      <c r="U25" s="64">
        <f>IF(U10=0,0,U10/TrNavi_act!U5*1000)</f>
        <v>25.149796068777587</v>
      </c>
      <c r="V25" s="64">
        <f>IF(V10=0,0,V10/TrNavi_act!V5*1000)</f>
        <v>13.437731893190731</v>
      </c>
      <c r="W25" s="64">
        <f>IF(W10=0,0,W10/TrNavi_act!W5*1000)</f>
        <v>21.064266864899245</v>
      </c>
      <c r="X25" s="64">
        <f>IF(X10=0,0,X10/TrNavi_act!X5*1000)</f>
        <v>27.488896280907881</v>
      </c>
      <c r="Y25" s="64">
        <f>IF(Y10=0,0,Y10/TrNavi_act!Y5*1000)</f>
        <v>28.69724393164411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0</v>
      </c>
      <c r="J28" s="77">
        <f t="shared" si="9"/>
        <v>0</v>
      </c>
      <c r="K28" s="77">
        <f t="shared" si="9"/>
        <v>0</v>
      </c>
      <c r="L28" s="77">
        <f t="shared" si="9"/>
        <v>0</v>
      </c>
      <c r="M28" s="77">
        <f t="shared" si="9"/>
        <v>0</v>
      </c>
      <c r="N28" s="77">
        <f t="shared" si="9"/>
        <v>0</v>
      </c>
      <c r="O28" s="77">
        <f t="shared" si="9"/>
        <v>0</v>
      </c>
      <c r="P28" s="77">
        <f t="shared" si="9"/>
        <v>0</v>
      </c>
      <c r="Q28" s="77">
        <f t="shared" si="9"/>
        <v>0</v>
      </c>
      <c r="R28" s="77">
        <f t="shared" si="9"/>
        <v>0</v>
      </c>
      <c r="S28" s="77">
        <f t="shared" si="9"/>
        <v>0</v>
      </c>
      <c r="T28" s="77">
        <f t="shared" si="9"/>
        <v>0</v>
      </c>
      <c r="U28" s="77">
        <f t="shared" si="9"/>
        <v>0</v>
      </c>
      <c r="V28" s="77">
        <f t="shared" ref="V28:W28" si="10">IF(V4=0,0,V4/V$3)</f>
        <v>0</v>
      </c>
      <c r="W28" s="77">
        <f t="shared" si="10"/>
        <v>0</v>
      </c>
      <c r="X28" s="77">
        <f t="shared" ref="X28:Y28" si="11">IF(X4=0,0,X4/X$3)</f>
        <v>0</v>
      </c>
      <c r="Y28" s="77">
        <f t="shared" si="11"/>
        <v>0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1</v>
      </c>
      <c r="C29" s="78">
        <f t="shared" si="12"/>
        <v>1</v>
      </c>
      <c r="D29" s="78">
        <f t="shared" si="12"/>
        <v>1</v>
      </c>
      <c r="E29" s="78">
        <f t="shared" si="12"/>
        <v>1</v>
      </c>
      <c r="F29" s="78">
        <f t="shared" si="12"/>
        <v>1</v>
      </c>
      <c r="G29" s="78">
        <f t="shared" si="12"/>
        <v>1</v>
      </c>
      <c r="H29" s="78">
        <f t="shared" si="12"/>
        <v>1</v>
      </c>
      <c r="I29" s="78">
        <f t="shared" si="12"/>
        <v>1</v>
      </c>
      <c r="J29" s="78">
        <f t="shared" si="12"/>
        <v>1</v>
      </c>
      <c r="K29" s="78">
        <f t="shared" si="12"/>
        <v>1</v>
      </c>
      <c r="L29" s="78">
        <f t="shared" si="12"/>
        <v>1</v>
      </c>
      <c r="M29" s="78">
        <f t="shared" si="12"/>
        <v>1</v>
      </c>
      <c r="N29" s="78">
        <f t="shared" si="12"/>
        <v>1</v>
      </c>
      <c r="O29" s="78">
        <f t="shared" si="12"/>
        <v>1</v>
      </c>
      <c r="P29" s="78">
        <f t="shared" si="12"/>
        <v>1</v>
      </c>
      <c r="Q29" s="78">
        <f t="shared" si="12"/>
        <v>1</v>
      </c>
      <c r="R29" s="78">
        <f t="shared" si="12"/>
        <v>1</v>
      </c>
      <c r="S29" s="78">
        <f t="shared" si="12"/>
        <v>1</v>
      </c>
      <c r="T29" s="78">
        <f t="shared" si="12"/>
        <v>1</v>
      </c>
      <c r="U29" s="78">
        <f t="shared" si="12"/>
        <v>1</v>
      </c>
      <c r="V29" s="78">
        <f t="shared" ref="V29:W29" si="13">IF(V10=0,0,V10/V$3)</f>
        <v>1</v>
      </c>
      <c r="W29" s="78">
        <f t="shared" si="13"/>
        <v>1</v>
      </c>
      <c r="X29" s="78">
        <f t="shared" ref="X29:Y29" si="14">IF(X10=0,0,X10/X$3)</f>
        <v>1</v>
      </c>
      <c r="Y29" s="78">
        <f t="shared" si="14"/>
        <v>1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107.17253856000001</v>
      </c>
      <c r="C3" s="54">
        <f t="shared" ref="C3:V3" si="1">SUM(C4:C5)</f>
        <v>113.51529108</v>
      </c>
      <c r="D3" s="54">
        <f t="shared" si="1"/>
        <v>119.85831035999998</v>
      </c>
      <c r="E3" s="54">
        <f t="shared" si="1"/>
        <v>107.17253856000001</v>
      </c>
      <c r="F3" s="54">
        <f t="shared" si="1"/>
        <v>129.37257252000001</v>
      </c>
      <c r="G3" s="54">
        <f t="shared" si="1"/>
        <v>128.33273231999999</v>
      </c>
      <c r="H3" s="54">
        <f t="shared" si="1"/>
        <v>121.74699167999999</v>
      </c>
      <c r="I3" s="54">
        <f t="shared" si="1"/>
        <v>125.30242835999999</v>
      </c>
      <c r="J3" s="54">
        <f t="shared" si="1"/>
        <v>118.59740064000002</v>
      </c>
      <c r="K3" s="54">
        <f t="shared" si="1"/>
        <v>110.47366223999998</v>
      </c>
      <c r="L3" s="54">
        <f t="shared" si="1"/>
        <v>122.23789379999999</v>
      </c>
      <c r="M3" s="54">
        <f t="shared" si="1"/>
        <v>117.91434707999997</v>
      </c>
      <c r="N3" s="54">
        <f t="shared" si="1"/>
        <v>113.94801251999996</v>
      </c>
      <c r="O3" s="54">
        <f t="shared" si="1"/>
        <v>121.28406696</v>
      </c>
      <c r="P3" s="54">
        <f t="shared" si="1"/>
        <v>123.20443331999998</v>
      </c>
      <c r="Q3" s="54">
        <f t="shared" si="1"/>
        <v>114.60755555999998</v>
      </c>
      <c r="R3" s="54">
        <f t="shared" si="1"/>
        <v>121.30477164</v>
      </c>
      <c r="S3" s="54">
        <f t="shared" si="1"/>
        <v>126.47752451999999</v>
      </c>
      <c r="T3" s="54">
        <f t="shared" si="1"/>
        <v>118.31538024000001</v>
      </c>
      <c r="U3" s="54">
        <f t="shared" si="1"/>
        <v>133.35790751999997</v>
      </c>
      <c r="V3" s="54">
        <f t="shared" si="1"/>
        <v>66.501990359999994</v>
      </c>
      <c r="W3" s="54">
        <f t="shared" ref="W3:Y3" si="2">SUM(W4:W5)</f>
        <v>97.97007456</v>
      </c>
      <c r="X3" s="54">
        <f t="shared" si="2"/>
        <v>104.71185684000001</v>
      </c>
      <c r="Y3" s="54">
        <f t="shared" si="2"/>
        <v>105.24230207999999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107.17253856000001</v>
      </c>
      <c r="C5" s="58">
        <v>113.51529108</v>
      </c>
      <c r="D5" s="58">
        <v>119.85831035999998</v>
      </c>
      <c r="E5" s="58">
        <v>107.17253856000001</v>
      </c>
      <c r="F5" s="58">
        <v>129.37257252000001</v>
      </c>
      <c r="G5" s="58">
        <v>128.33273231999999</v>
      </c>
      <c r="H5" s="58">
        <v>121.74699167999999</v>
      </c>
      <c r="I5" s="58">
        <v>125.30242835999999</v>
      </c>
      <c r="J5" s="58">
        <v>118.59740064000002</v>
      </c>
      <c r="K5" s="58">
        <v>110.47366223999998</v>
      </c>
      <c r="L5" s="58">
        <v>122.23789379999999</v>
      </c>
      <c r="M5" s="58">
        <v>117.91434707999997</v>
      </c>
      <c r="N5" s="58">
        <v>113.94801251999996</v>
      </c>
      <c r="O5" s="58">
        <v>121.28406696</v>
      </c>
      <c r="P5" s="58">
        <v>123.20443331999998</v>
      </c>
      <c r="Q5" s="58">
        <v>114.60755555999998</v>
      </c>
      <c r="R5" s="58">
        <v>121.30477164</v>
      </c>
      <c r="S5" s="58">
        <v>126.47752451999999</v>
      </c>
      <c r="T5" s="58">
        <v>118.31538024000001</v>
      </c>
      <c r="U5" s="58">
        <v>133.35790751999997</v>
      </c>
      <c r="V5" s="58">
        <v>66.501990359999994</v>
      </c>
      <c r="W5" s="58">
        <v>97.97007456</v>
      </c>
      <c r="X5" s="58">
        <v>104.71185684000001</v>
      </c>
      <c r="Y5" s="58">
        <v>105.24230207999999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3.0847620712297306</v>
      </c>
      <c r="C9" s="79">
        <f>IF(C3=0,0,C3/TrNavi_ene!C3)</f>
        <v>3.085743351402066</v>
      </c>
      <c r="D9" s="79">
        <f>IF(D3=0,0,D3/TrNavi_ene!D3)</f>
        <v>3.0866213389107</v>
      </c>
      <c r="E9" s="79">
        <f>IF(E3=0,0,E3/TrNavi_ene!E3)</f>
        <v>3.0847620712297306</v>
      </c>
      <c r="F9" s="79">
        <f>IF(F3=0,0,F3/TrNavi_ene!F3)</f>
        <v>3.0877776262938745</v>
      </c>
      <c r="G9" s="79">
        <f>IF(G3=0,0,G3/TrNavi_ene!G3)</f>
        <v>3.0891867303092275</v>
      </c>
      <c r="H9" s="79">
        <f>IF(H3=0,0,H3/TrNavi_ene!H3)</f>
        <v>3.0884479933481077</v>
      </c>
      <c r="I9" s="79">
        <f>IF(I3=0,0,I3/TrNavi_ene!I3)</f>
        <v>3.0890471111509625</v>
      </c>
      <c r="J9" s="79">
        <f>IF(J3=0,0,J3/TrNavi_ene!J3)</f>
        <v>3.0885293011912651</v>
      </c>
      <c r="K9" s="79">
        <f>IF(K3=0,0,K3/TrNavi_ene!K3)</f>
        <v>3.0880964202820795</v>
      </c>
      <c r="L9" s="79">
        <f>IF(L3=0,0,L3/TrNavi_ene!L3)</f>
        <v>3.0895995394679368</v>
      </c>
      <c r="M9" s="79">
        <f>IF(M3=0,0,M3/TrNavi_ene!M3)</f>
        <v>3.089328958160114</v>
      </c>
      <c r="N9" s="79">
        <f>IF(N3=0,0,N3/TrNavi_ene!N3)</f>
        <v>3.0893898120501588</v>
      </c>
      <c r="O9" s="79">
        <f>IF(O3=0,0,O3/TrNavi_ene!O3)</f>
        <v>3.0903344158077619</v>
      </c>
      <c r="P9" s="79">
        <f>IF(P3=0,0,P3/TrNavi_ene!P3)</f>
        <v>3.0906010718056343</v>
      </c>
      <c r="Q9" s="79">
        <f>IF(Q3=0,0,Q3/TrNavi_ene!Q3)</f>
        <v>3.089868561923903</v>
      </c>
      <c r="R9" s="79">
        <f>IF(R3=0,0,R3/TrNavi_ene!R3)</f>
        <v>3.0908281154178328</v>
      </c>
      <c r="S9" s="79">
        <f>IF(S3=0,0,S3/TrNavi_ene!S3)</f>
        <v>3.0914111429649886</v>
      </c>
      <c r="T9" s="79">
        <f>IF(T3=0,0,T3/TrNavi_ene!T3)</f>
        <v>3.0904163328269516</v>
      </c>
      <c r="U9" s="79">
        <f>IF(U3=0,0,U3/TrNavi_ene!U3)</f>
        <v>3.0918625593225202</v>
      </c>
      <c r="V9" s="79">
        <f>IF(V3=0,0,V3/TrNavi_ene!V3)</f>
        <v>3.0815068026901793</v>
      </c>
      <c r="W9" s="79">
        <f>IF(W3=0,0,W3/TrNavi_ene!W3)</f>
        <v>3.0883187521217774</v>
      </c>
      <c r="X9" s="79">
        <f>IF(X3=0,0,X3/TrNavi_ene!X3)</f>
        <v>3.0894095286456871</v>
      </c>
      <c r="Y9" s="79">
        <f>IF(Y3=0,0,Y3/TrNavi_ene!Y3)</f>
        <v>3.0895799000161555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>
        <f>IF(X4=0,0,X4/TrNavi_ene!X4)</f>
        <v>0</v>
      </c>
      <c r="Y10" s="80">
        <f>IF(Y4=0,0,Y4/TrNavi_ene!Y4)</f>
        <v>0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3.0847620712297306</v>
      </c>
      <c r="C11" s="81">
        <f>IF(C5=0,0,C5/TrNavi_ene!C10)</f>
        <v>3.085743351402066</v>
      </c>
      <c r="D11" s="81">
        <f>IF(D5=0,0,D5/TrNavi_ene!D10)</f>
        <v>3.0866213389107</v>
      </c>
      <c r="E11" s="81">
        <f>IF(E5=0,0,E5/TrNavi_ene!E10)</f>
        <v>3.0847620712297306</v>
      </c>
      <c r="F11" s="81">
        <f>IF(F5=0,0,F5/TrNavi_ene!F10)</f>
        <v>3.0877776262938745</v>
      </c>
      <c r="G11" s="81">
        <f>IF(G5=0,0,G5/TrNavi_ene!G10)</f>
        <v>3.0891867303092275</v>
      </c>
      <c r="H11" s="81">
        <f>IF(H5=0,0,H5/TrNavi_ene!H10)</f>
        <v>3.0884479933481077</v>
      </c>
      <c r="I11" s="81">
        <f>IF(I5=0,0,I5/TrNavi_ene!I10)</f>
        <v>3.0890471111509625</v>
      </c>
      <c r="J11" s="81">
        <f>IF(J5=0,0,J5/TrNavi_ene!J10)</f>
        <v>3.0885293011912651</v>
      </c>
      <c r="K11" s="81">
        <f>IF(K5=0,0,K5/TrNavi_ene!K10)</f>
        <v>3.0880964202820795</v>
      </c>
      <c r="L11" s="81">
        <f>IF(L5=0,0,L5/TrNavi_ene!L10)</f>
        <v>3.0895995394679368</v>
      </c>
      <c r="M11" s="81">
        <f>IF(M5=0,0,M5/TrNavi_ene!M10)</f>
        <v>3.089328958160114</v>
      </c>
      <c r="N11" s="81">
        <f>IF(N5=0,0,N5/TrNavi_ene!N10)</f>
        <v>3.0893898120501588</v>
      </c>
      <c r="O11" s="81">
        <f>IF(O5=0,0,O5/TrNavi_ene!O10)</f>
        <v>3.0903344158077619</v>
      </c>
      <c r="P11" s="81">
        <f>IF(P5=0,0,P5/TrNavi_ene!P10)</f>
        <v>3.0906010718056343</v>
      </c>
      <c r="Q11" s="81">
        <f>IF(Q5=0,0,Q5/TrNavi_ene!Q10)</f>
        <v>3.089868561923903</v>
      </c>
      <c r="R11" s="81">
        <f>IF(R5=0,0,R5/TrNavi_ene!R10)</f>
        <v>3.0908281154178328</v>
      </c>
      <c r="S11" s="81">
        <f>IF(S5=0,0,S5/TrNavi_ene!S10)</f>
        <v>3.0914111429649886</v>
      </c>
      <c r="T11" s="81">
        <f>IF(T5=0,0,T5/TrNavi_ene!T10)</f>
        <v>3.0904163328269516</v>
      </c>
      <c r="U11" s="81">
        <f>IF(U5=0,0,U5/TrNavi_ene!U10)</f>
        <v>3.0918625593225202</v>
      </c>
      <c r="V11" s="81">
        <f>IF(V5=0,0,V5/TrNavi_ene!V10)</f>
        <v>3.0815068026901793</v>
      </c>
      <c r="W11" s="81">
        <f>IF(W5=0,0,W5/TrNavi_ene!W10)</f>
        <v>3.0883187521217774</v>
      </c>
      <c r="X11" s="81">
        <f>IF(X5=0,0,X5/TrNavi_ene!X10)</f>
        <v>3.0894095286456871</v>
      </c>
      <c r="Y11" s="81">
        <f>IF(Y5=0,0,Y5/TrNavi_ene!Y10)</f>
        <v>3.0895799000161555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55848.118061490364</v>
      </c>
      <c r="C13" s="54">
        <f>IF(C3=0,0,C3/TrNavi_act!C7*1000)</f>
        <v>56195.688653465346</v>
      </c>
      <c r="D13" s="54">
        <f>IF(D3=0,0,D3/TrNavi_act!D7*1000)</f>
        <v>54754.824285061659</v>
      </c>
      <c r="E13" s="54">
        <f>IF(E3=0,0,E3/TrNavi_act!E7*1000)</f>
        <v>57868.541339092873</v>
      </c>
      <c r="F13" s="54">
        <f>IF(F3=0,0,F3/TrNavi_act!F7*1000)</f>
        <v>72599.647878787873</v>
      </c>
      <c r="G13" s="54">
        <f>IF(G3=0,0,G3/TrNavi_act!G7*1000)</f>
        <v>72218.757636465947</v>
      </c>
      <c r="H13" s="54">
        <f>IF(H3=0,0,H3/TrNavi_act!H7*1000)</f>
        <v>68705.977246049661</v>
      </c>
      <c r="I13" s="54">
        <f>IF(I3=0,0,I3/TrNavi_act!I7*1000)</f>
        <v>58634.734843238177</v>
      </c>
      <c r="J13" s="54">
        <f>IF(J3=0,0,J3/TrNavi_act!J7*1000)</f>
        <v>59837.235438950564</v>
      </c>
      <c r="K13" s="54">
        <f>IF(K3=0,0,K3/TrNavi_act!K7*1000)</f>
        <v>62662.315507657397</v>
      </c>
      <c r="L13" s="54">
        <f>IF(L3=0,0,L3/TrNavi_act!L7*1000)</f>
        <v>60543.780980683499</v>
      </c>
      <c r="M13" s="54">
        <f>IF(M3=0,0,M3/TrNavi_act!M7*1000)</f>
        <v>62921.209754535732</v>
      </c>
      <c r="N13" s="54">
        <f>IF(N3=0,0,N3/TrNavi_act!N7*1000)</f>
        <v>60869.664807692279</v>
      </c>
      <c r="O13" s="54">
        <f>IF(O3=0,0,O3/TrNavi_act!O7*1000)</f>
        <v>60611.727616191907</v>
      </c>
      <c r="P13" s="54">
        <f>IF(P3=0,0,P3/TrNavi_act!P7*1000)</f>
        <v>63507.439855670091</v>
      </c>
      <c r="Q13" s="54">
        <f>IF(Q3=0,0,Q3/TrNavi_act!Q7*1000)</f>
        <v>67257.95514084505</v>
      </c>
      <c r="R13" s="54">
        <f>IF(R3=0,0,R3/TrNavi_act!R7*1000)</f>
        <v>66395.605714285717</v>
      </c>
      <c r="S13" s="54">
        <f>IF(S3=0,0,S3/TrNavi_act!S7*1000)</f>
        <v>67382.804752264245</v>
      </c>
      <c r="T13" s="54">
        <f>IF(T3=0,0,T3/TrNavi_act!T7*1000)</f>
        <v>75073.210812182748</v>
      </c>
      <c r="U13" s="54">
        <f>IF(U3=0,0,U3/TrNavi_act!U7*1000)</f>
        <v>81764.504917228682</v>
      </c>
      <c r="V13" s="54">
        <f>IF(V3=0,0,V3/TrNavi_act!V7*1000)</f>
        <v>42304.065114503814</v>
      </c>
      <c r="W13" s="54">
        <f>IF(W3=0,0,W3/TrNavi_act!W7*1000)</f>
        <v>67379.693645116917</v>
      </c>
      <c r="X13" s="54">
        <f>IF(X3=0,0,X3/TrNavi_act!X7*1000)</f>
        <v>84581.467560581586</v>
      </c>
      <c r="Y13" s="54">
        <f>IF(Y3=0,0,Y3/TrNavi_act!Y7*1000)</f>
        <v>91118.876259740253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56">
        <f>IF(X4=0,0,X4/TrNavi_act!X8*1000)</f>
        <v>0</v>
      </c>
      <c r="Y14" s="56">
        <f>IF(Y4=0,0,Y4/TrNavi_act!Y8*1000)</f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55848.118061490364</v>
      </c>
      <c r="C15" s="58">
        <f>IF(C5=0,0,C5/TrNavi_act!C9*1000)</f>
        <v>56195.688653465346</v>
      </c>
      <c r="D15" s="58">
        <f>IF(D5=0,0,D5/TrNavi_act!D9*1000)</f>
        <v>54754.824285061659</v>
      </c>
      <c r="E15" s="58">
        <f>IF(E5=0,0,E5/TrNavi_act!E9*1000)</f>
        <v>57868.541339092873</v>
      </c>
      <c r="F15" s="58">
        <f>IF(F5=0,0,F5/TrNavi_act!F9*1000)</f>
        <v>72599.647878787873</v>
      </c>
      <c r="G15" s="58">
        <f>IF(G5=0,0,G5/TrNavi_act!G9*1000)</f>
        <v>72218.757636465947</v>
      </c>
      <c r="H15" s="58">
        <f>IF(H5=0,0,H5/TrNavi_act!H9*1000)</f>
        <v>68705.977246049661</v>
      </c>
      <c r="I15" s="58">
        <f>IF(I5=0,0,I5/TrNavi_act!I9*1000)</f>
        <v>58634.734843238177</v>
      </c>
      <c r="J15" s="58">
        <f>IF(J5=0,0,J5/TrNavi_act!J9*1000)</f>
        <v>59837.235438950564</v>
      </c>
      <c r="K15" s="58">
        <f>IF(K5=0,0,K5/TrNavi_act!K9*1000)</f>
        <v>62662.315507657397</v>
      </c>
      <c r="L15" s="58">
        <f>IF(L5=0,0,L5/TrNavi_act!L9*1000)</f>
        <v>60543.780980683499</v>
      </c>
      <c r="M15" s="58">
        <f>IF(M5=0,0,M5/TrNavi_act!M9*1000)</f>
        <v>62921.209754535732</v>
      </c>
      <c r="N15" s="58">
        <f>IF(N5=0,0,N5/TrNavi_act!N9*1000)</f>
        <v>60869.664807692279</v>
      </c>
      <c r="O15" s="58">
        <f>IF(O5=0,0,O5/TrNavi_act!O9*1000)</f>
        <v>60611.727616191907</v>
      </c>
      <c r="P15" s="58">
        <f>IF(P5=0,0,P5/TrNavi_act!P9*1000)</f>
        <v>63507.439855670091</v>
      </c>
      <c r="Q15" s="58">
        <f>IF(Q5=0,0,Q5/TrNavi_act!Q9*1000)</f>
        <v>67257.95514084505</v>
      </c>
      <c r="R15" s="58">
        <f>IF(R5=0,0,R5/TrNavi_act!R9*1000)</f>
        <v>66395.605714285717</v>
      </c>
      <c r="S15" s="58">
        <f>IF(S5=0,0,S5/TrNavi_act!S9*1000)</f>
        <v>67382.804752264245</v>
      </c>
      <c r="T15" s="58">
        <f>IF(T5=0,0,T5/TrNavi_act!T9*1000)</f>
        <v>75073.210812182748</v>
      </c>
      <c r="U15" s="58">
        <f>IF(U5=0,0,U5/TrNavi_act!U9*1000)</f>
        <v>81764.504917228682</v>
      </c>
      <c r="V15" s="58">
        <f>IF(V5=0,0,V5/TrNavi_act!V9*1000)</f>
        <v>42304.065114503814</v>
      </c>
      <c r="W15" s="58">
        <f>IF(W5=0,0,W5/TrNavi_act!W9*1000)</f>
        <v>67379.693645116917</v>
      </c>
      <c r="X15" s="58">
        <f>IF(X5=0,0,X5/TrNavi_act!X9*1000)</f>
        <v>84581.467560581586</v>
      </c>
      <c r="Y15" s="58">
        <f>IF(Y5=0,0,Y5/TrNavi_act!Y9*1000)</f>
        <v>91118.876259740253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43.851284189852699</v>
      </c>
      <c r="C17" s="62">
        <f>IF(C3=0,0,C3/TrNavi_act!C3*1000)</f>
        <v>44.393934720375434</v>
      </c>
      <c r="D17" s="62">
        <f>IF(D3=0,0,D3/TrNavi_act!D3*1000)</f>
        <v>42.114655783555861</v>
      </c>
      <c r="E17" s="62">
        <f>IF(E3=0,0,E3/TrNavi_act!E3*1000)</f>
        <v>47.088110087873467</v>
      </c>
      <c r="F17" s="62">
        <f>IF(F3=0,0,F3/TrNavi_act!F3*1000)</f>
        <v>74.054134241556966</v>
      </c>
      <c r="G17" s="62">
        <f>IF(G3=0,0,G3/TrNavi_act!G3*1000)</f>
        <v>73.207491340559045</v>
      </c>
      <c r="H17" s="62">
        <f>IF(H3=0,0,H3/TrNavi_act!H3*1000)</f>
        <v>66.274900206859002</v>
      </c>
      <c r="I17" s="62">
        <f>IF(I3=0,0,I3/TrNavi_act!I3*1000)</f>
        <v>48.248913500192529</v>
      </c>
      <c r="J17" s="62">
        <f>IF(J3=0,0,J3/TrNavi_act!J3*1000)</f>
        <v>50.274438592624001</v>
      </c>
      <c r="K17" s="62">
        <f>IF(K3=0,0,K3/TrNavi_act!K3*1000)</f>
        <v>55.154099970044925</v>
      </c>
      <c r="L17" s="62">
        <f>IF(L3=0,0,L3/TrNavi_act!L3*1000)</f>
        <v>51.468586863157888</v>
      </c>
      <c r="M17" s="62">
        <f>IF(M3=0,0,M3/TrNavi_act!M3*1000)</f>
        <v>55.541378747056037</v>
      </c>
      <c r="N17" s="62">
        <f>IF(N3=0,0,N3/TrNavi_act!N3*1000)</f>
        <v>52.007308315837498</v>
      </c>
      <c r="O17" s="62">
        <f>IF(O3=0,0,O3/TrNavi_act!O3*1000)</f>
        <v>51.544439847003822</v>
      </c>
      <c r="P17" s="62">
        <f>IF(P3=0,0,P3/TrNavi_act!P3*1000)</f>
        <v>56.593676306844266</v>
      </c>
      <c r="Q17" s="62">
        <f>IF(Q3=0,0,Q3/TrNavi_act!Q3*1000)</f>
        <v>63.459333089700991</v>
      </c>
      <c r="R17" s="62">
        <f>IF(R3=0,0,R3/TrNavi_act!R3*1000)</f>
        <v>61.82710073394496</v>
      </c>
      <c r="S17" s="62">
        <f>IF(S3=0,0,S3/TrNavi_act!S3*1000)</f>
        <v>62.550704510385764</v>
      </c>
      <c r="T17" s="62">
        <f>IF(T3=0,0,T3/TrNavi_act!T3*1000)</f>
        <v>79.459624069845532</v>
      </c>
      <c r="U17" s="62">
        <f>IF(U3=0,0,U3/TrNavi_act!U3*1000)</f>
        <v>77.75971283965012</v>
      </c>
      <c r="V17" s="62">
        <f>IF(V3=0,0,V3/TrNavi_act!V3*1000)</f>
        <v>41.408462241594016</v>
      </c>
      <c r="W17" s="62">
        <f>IF(W3=0,0,W3/TrNavi_act!W3*1000)</f>
        <v>65.053170358565737</v>
      </c>
      <c r="X17" s="62">
        <f>IF(X3=0,0,X3/TrNavi_act!X3*1000)</f>
        <v>84.924458102189789</v>
      </c>
      <c r="Y17" s="62">
        <f>IF(Y3=0,0,Y3/TrNavi_act!Y3*1000)</f>
        <v>88.662428037068224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>
        <f>IF(X4=0,0,X4/TrNavi_act!X4*1000)</f>
        <v>0</v>
      </c>
      <c r="Y18" s="63">
        <f>IF(Y4=0,0,Y4/TrNavi_act!Y4*1000)</f>
        <v>0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43.851284189852699</v>
      </c>
      <c r="C19" s="64">
        <f>IF(C5=0,0,C5/TrNavi_act!C5*1000)</f>
        <v>44.393934720375434</v>
      </c>
      <c r="D19" s="64">
        <f>IF(D5=0,0,D5/TrNavi_act!D5*1000)</f>
        <v>42.114655783555861</v>
      </c>
      <c r="E19" s="64">
        <f>IF(E5=0,0,E5/TrNavi_act!E5*1000)</f>
        <v>47.088110087873467</v>
      </c>
      <c r="F19" s="64">
        <f>IF(F5=0,0,F5/TrNavi_act!F5*1000)</f>
        <v>74.054134241556966</v>
      </c>
      <c r="G19" s="64">
        <f>IF(G5=0,0,G5/TrNavi_act!G5*1000)</f>
        <v>73.207491340559045</v>
      </c>
      <c r="H19" s="64">
        <f>IF(H5=0,0,H5/TrNavi_act!H5*1000)</f>
        <v>66.274900206859002</v>
      </c>
      <c r="I19" s="64">
        <f>IF(I5=0,0,I5/TrNavi_act!I5*1000)</f>
        <v>48.248913500192529</v>
      </c>
      <c r="J19" s="64">
        <f>IF(J5=0,0,J5/TrNavi_act!J5*1000)</f>
        <v>50.274438592624001</v>
      </c>
      <c r="K19" s="64">
        <f>IF(K5=0,0,K5/TrNavi_act!K5*1000)</f>
        <v>55.154099970044925</v>
      </c>
      <c r="L19" s="64">
        <f>IF(L5=0,0,L5/TrNavi_act!L5*1000)</f>
        <v>51.468586863157888</v>
      </c>
      <c r="M19" s="64">
        <f>IF(M5=0,0,M5/TrNavi_act!M5*1000)</f>
        <v>55.541378747056037</v>
      </c>
      <c r="N19" s="64">
        <f>IF(N5=0,0,N5/TrNavi_act!N5*1000)</f>
        <v>52.007308315837498</v>
      </c>
      <c r="O19" s="64">
        <f>IF(O5=0,0,O5/TrNavi_act!O5*1000)</f>
        <v>51.544439847003822</v>
      </c>
      <c r="P19" s="64">
        <f>IF(P5=0,0,P5/TrNavi_act!P5*1000)</f>
        <v>56.593676306844266</v>
      </c>
      <c r="Q19" s="64">
        <f>IF(Q5=0,0,Q5/TrNavi_act!Q5*1000)</f>
        <v>63.459333089700991</v>
      </c>
      <c r="R19" s="64">
        <f>IF(R5=0,0,R5/TrNavi_act!R5*1000)</f>
        <v>61.82710073394496</v>
      </c>
      <c r="S19" s="64">
        <f>IF(S5=0,0,S5/TrNavi_act!S5*1000)</f>
        <v>62.550704510385764</v>
      </c>
      <c r="T19" s="64">
        <f>IF(T5=0,0,T5/TrNavi_act!T5*1000)</f>
        <v>79.459624069845532</v>
      </c>
      <c r="U19" s="64">
        <f>IF(U5=0,0,U5/TrNavi_act!U5*1000)</f>
        <v>77.75971283965012</v>
      </c>
      <c r="V19" s="64">
        <f>IF(V5=0,0,V5/TrNavi_act!V5*1000)</f>
        <v>41.408462241594016</v>
      </c>
      <c r="W19" s="64">
        <f>IF(W5=0,0,W5/TrNavi_act!W5*1000)</f>
        <v>65.053170358565737</v>
      </c>
      <c r="X19" s="64">
        <f>IF(X5=0,0,X5/TrNavi_act!X5*1000)</f>
        <v>84.924458102189789</v>
      </c>
      <c r="Y19" s="64">
        <f>IF(Y5=0,0,Y5/TrNavi_act!Y5*1000)</f>
        <v>88.662428037068224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6"/>
        <v>0</v>
      </c>
      <c r="N22" s="77">
        <f t="shared" si="6"/>
        <v>0</v>
      </c>
      <c r="O22" s="77">
        <f t="shared" si="6"/>
        <v>0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0</v>
      </c>
      <c r="T22" s="77">
        <f t="shared" si="6"/>
        <v>0</v>
      </c>
      <c r="U22" s="77">
        <f t="shared" si="6"/>
        <v>0</v>
      </c>
      <c r="V22" s="77">
        <f t="shared" ref="V22:W22" si="7">IF(V4=0,0,V4/V$3)</f>
        <v>0</v>
      </c>
      <c r="W22" s="77">
        <f t="shared" si="7"/>
        <v>0</v>
      </c>
      <c r="X22" s="77">
        <f t="shared" ref="X22:Y22" si="8">IF(X4=0,0,X4/X$3)</f>
        <v>0</v>
      </c>
      <c r="Y22" s="77">
        <f t="shared" si="8"/>
        <v>0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1</v>
      </c>
      <c r="C23" s="78">
        <f t="shared" si="9"/>
        <v>1</v>
      </c>
      <c r="D23" s="78">
        <f t="shared" si="9"/>
        <v>1</v>
      </c>
      <c r="E23" s="78">
        <f t="shared" si="9"/>
        <v>1</v>
      </c>
      <c r="F23" s="78">
        <f t="shared" si="9"/>
        <v>1</v>
      </c>
      <c r="G23" s="78">
        <f t="shared" si="9"/>
        <v>1</v>
      </c>
      <c r="H23" s="78">
        <f t="shared" si="9"/>
        <v>1</v>
      </c>
      <c r="I23" s="78">
        <f t="shared" si="9"/>
        <v>1</v>
      </c>
      <c r="J23" s="78">
        <f t="shared" si="9"/>
        <v>1</v>
      </c>
      <c r="K23" s="78">
        <f t="shared" si="9"/>
        <v>1</v>
      </c>
      <c r="L23" s="78">
        <f t="shared" si="9"/>
        <v>1</v>
      </c>
      <c r="M23" s="78">
        <f t="shared" si="9"/>
        <v>1</v>
      </c>
      <c r="N23" s="78">
        <f t="shared" si="9"/>
        <v>1</v>
      </c>
      <c r="O23" s="78">
        <f t="shared" si="9"/>
        <v>1</v>
      </c>
      <c r="P23" s="78">
        <f t="shared" si="9"/>
        <v>1</v>
      </c>
      <c r="Q23" s="78">
        <f t="shared" si="9"/>
        <v>1</v>
      </c>
      <c r="R23" s="78">
        <f t="shared" si="9"/>
        <v>1</v>
      </c>
      <c r="S23" s="78">
        <f t="shared" si="9"/>
        <v>1</v>
      </c>
      <c r="T23" s="78">
        <f t="shared" si="9"/>
        <v>1</v>
      </c>
      <c r="U23" s="78">
        <f t="shared" si="9"/>
        <v>1</v>
      </c>
      <c r="V23" s="78">
        <f t="shared" ref="V23:W23" si="10">IF(V5=0,0,V5/V$3)</f>
        <v>1</v>
      </c>
      <c r="W23" s="78">
        <f t="shared" si="10"/>
        <v>1</v>
      </c>
      <c r="X23" s="78">
        <f t="shared" ref="X23:Y23" si="11">IF(X5=0,0,X5/X$3)</f>
        <v>1</v>
      </c>
      <c r="Y23" s="78">
        <f t="shared" si="11"/>
        <v>1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X3" s="54">
        <f t="shared" ref="X3:Y3" si="2">SUM(X4:X5)</f>
        <v>0</v>
      </c>
      <c r="Y3" s="54">
        <f t="shared" si="2"/>
        <v>0</v>
      </c>
      <c r="DA3" s="172" t="s">
        <v>388</v>
      </c>
    </row>
    <row r="4" spans="1:105" ht="11.45" customHeight="1" x14ac:dyDescent="0.25">
      <c r="A4" s="55" t="s">
        <v>166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DA4" s="181" t="s">
        <v>389</v>
      </c>
    </row>
    <row r="5" spans="1:105" ht="11.45" customHeight="1" x14ac:dyDescent="0.25">
      <c r="A5" s="57" t="s">
        <v>167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si="3"/>
        <v>0</v>
      </c>
      <c r="S7" s="59">
        <f t="shared" si="3"/>
        <v>0</v>
      </c>
      <c r="T7" s="59">
        <f t="shared" si="3"/>
        <v>0</v>
      </c>
      <c r="U7" s="59">
        <f t="shared" si="3"/>
        <v>0</v>
      </c>
      <c r="V7" s="59">
        <f t="shared" si="3"/>
        <v>0</v>
      </c>
      <c r="W7" s="59">
        <f t="shared" si="3"/>
        <v>0</v>
      </c>
      <c r="X7" s="59">
        <f t="shared" ref="X7:Y7" si="4">SUM(X8:X9)</f>
        <v>0</v>
      </c>
      <c r="Y7" s="59">
        <f t="shared" si="4"/>
        <v>0</v>
      </c>
      <c r="DA7" s="172" t="s">
        <v>963</v>
      </c>
    </row>
    <row r="8" spans="1:105" ht="11.45" customHeight="1" x14ac:dyDescent="0.25">
      <c r="A8" s="55" t="s">
        <v>166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DA8" s="181" t="s">
        <v>964</v>
      </c>
    </row>
    <row r="9" spans="1:105" ht="11.45" customHeight="1" x14ac:dyDescent="0.25">
      <c r="A9" s="57" t="s">
        <v>167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0</v>
      </c>
      <c r="C13" s="62">
        <f t="shared" si="5"/>
        <v>0</v>
      </c>
      <c r="D13" s="62">
        <f t="shared" si="5"/>
        <v>0</v>
      </c>
      <c r="E13" s="62">
        <f t="shared" si="5"/>
        <v>0</v>
      </c>
      <c r="F13" s="62">
        <f t="shared" si="5"/>
        <v>0</v>
      </c>
      <c r="G13" s="62">
        <f t="shared" si="5"/>
        <v>0</v>
      </c>
      <c r="H13" s="62">
        <f t="shared" si="5"/>
        <v>0</v>
      </c>
      <c r="I13" s="62">
        <f t="shared" si="5"/>
        <v>0</v>
      </c>
      <c r="J13" s="62">
        <f t="shared" si="5"/>
        <v>0</v>
      </c>
      <c r="K13" s="62">
        <f t="shared" si="5"/>
        <v>0</v>
      </c>
      <c r="L13" s="62">
        <f t="shared" si="5"/>
        <v>0</v>
      </c>
      <c r="M13" s="62">
        <f t="shared" si="5"/>
        <v>0</v>
      </c>
      <c r="N13" s="62">
        <f t="shared" si="5"/>
        <v>0</v>
      </c>
      <c r="O13" s="62">
        <f t="shared" si="5"/>
        <v>0</v>
      </c>
      <c r="P13" s="62">
        <f t="shared" si="5"/>
        <v>0</v>
      </c>
      <c r="Q13" s="62">
        <f t="shared" si="5"/>
        <v>0</v>
      </c>
      <c r="R13" s="62">
        <f t="shared" si="5"/>
        <v>0</v>
      </c>
      <c r="S13" s="62">
        <f t="shared" si="5"/>
        <v>0</v>
      </c>
      <c r="T13" s="62">
        <f t="shared" si="5"/>
        <v>0</v>
      </c>
      <c r="U13" s="62">
        <f t="shared" si="5"/>
        <v>0</v>
      </c>
      <c r="V13" s="62">
        <f t="shared" si="5"/>
        <v>0</v>
      </c>
      <c r="W13" s="62">
        <f t="shared" si="5"/>
        <v>0</v>
      </c>
      <c r="X13" s="62">
        <f t="shared" ref="X13:Y13" si="6">IF(X3=0,0,X3/X7)</f>
        <v>0</v>
      </c>
      <c r="Y13" s="62">
        <f t="shared" si="6"/>
        <v>0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0</v>
      </c>
      <c r="C14" s="63">
        <f t="shared" si="5"/>
        <v>0</v>
      </c>
      <c r="D14" s="63">
        <f t="shared" si="5"/>
        <v>0</v>
      </c>
      <c r="E14" s="63">
        <f t="shared" si="5"/>
        <v>0</v>
      </c>
      <c r="F14" s="63">
        <f t="shared" si="5"/>
        <v>0</v>
      </c>
      <c r="G14" s="63">
        <f t="shared" si="5"/>
        <v>0</v>
      </c>
      <c r="H14" s="63">
        <f t="shared" si="5"/>
        <v>0</v>
      </c>
      <c r="I14" s="63">
        <f t="shared" si="5"/>
        <v>0</v>
      </c>
      <c r="J14" s="63">
        <f t="shared" si="5"/>
        <v>0</v>
      </c>
      <c r="K14" s="63">
        <f t="shared" si="5"/>
        <v>0</v>
      </c>
      <c r="L14" s="63">
        <f t="shared" si="5"/>
        <v>0</v>
      </c>
      <c r="M14" s="63">
        <f t="shared" si="5"/>
        <v>0</v>
      </c>
      <c r="N14" s="63">
        <f t="shared" si="5"/>
        <v>0</v>
      </c>
      <c r="O14" s="63">
        <f t="shared" si="5"/>
        <v>0</v>
      </c>
      <c r="P14" s="63">
        <f t="shared" si="5"/>
        <v>0</v>
      </c>
      <c r="Q14" s="63">
        <f t="shared" si="5"/>
        <v>0</v>
      </c>
      <c r="R14" s="63">
        <f t="shared" si="5"/>
        <v>0</v>
      </c>
      <c r="S14" s="63">
        <f t="shared" si="5"/>
        <v>0</v>
      </c>
      <c r="T14" s="63">
        <f t="shared" si="5"/>
        <v>0</v>
      </c>
      <c r="U14" s="63">
        <f t="shared" si="5"/>
        <v>0</v>
      </c>
      <c r="V14" s="63">
        <f t="shared" si="5"/>
        <v>0</v>
      </c>
      <c r="W14" s="63">
        <f t="shared" si="5"/>
        <v>0</v>
      </c>
      <c r="X14" s="63">
        <f t="shared" ref="X14:Y14" si="7">IF(X4=0,0,X4/X8)</f>
        <v>0</v>
      </c>
      <c r="Y14" s="63">
        <f t="shared" si="7"/>
        <v>0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0</v>
      </c>
      <c r="C15" s="64">
        <f t="shared" si="5"/>
        <v>0</v>
      </c>
      <c r="D15" s="64">
        <f t="shared" si="5"/>
        <v>0</v>
      </c>
      <c r="E15" s="64">
        <f t="shared" si="5"/>
        <v>0</v>
      </c>
      <c r="F15" s="64">
        <f t="shared" si="5"/>
        <v>0</v>
      </c>
      <c r="G15" s="64">
        <f t="shared" si="5"/>
        <v>0</v>
      </c>
      <c r="H15" s="64">
        <f t="shared" si="5"/>
        <v>0</v>
      </c>
      <c r="I15" s="64">
        <f t="shared" si="5"/>
        <v>0</v>
      </c>
      <c r="J15" s="64">
        <f t="shared" si="5"/>
        <v>0</v>
      </c>
      <c r="K15" s="64">
        <f t="shared" si="5"/>
        <v>0</v>
      </c>
      <c r="L15" s="64">
        <f t="shared" si="5"/>
        <v>0</v>
      </c>
      <c r="M15" s="64">
        <f t="shared" si="5"/>
        <v>0</v>
      </c>
      <c r="N15" s="64">
        <f t="shared" si="5"/>
        <v>0</v>
      </c>
      <c r="O15" s="64">
        <f t="shared" si="5"/>
        <v>0</v>
      </c>
      <c r="P15" s="64">
        <f t="shared" si="5"/>
        <v>0</v>
      </c>
      <c r="Q15" s="64">
        <f t="shared" si="5"/>
        <v>0</v>
      </c>
      <c r="R15" s="64">
        <f t="shared" si="5"/>
        <v>0</v>
      </c>
      <c r="S15" s="64">
        <f t="shared" si="5"/>
        <v>0</v>
      </c>
      <c r="T15" s="64">
        <f t="shared" si="5"/>
        <v>0</v>
      </c>
      <c r="U15" s="64">
        <f t="shared" si="5"/>
        <v>0</v>
      </c>
      <c r="V15" s="64">
        <f t="shared" si="5"/>
        <v>0</v>
      </c>
      <c r="W15" s="64">
        <f t="shared" si="5"/>
        <v>0</v>
      </c>
      <c r="X15" s="64">
        <f t="shared" ref="X15:Y15" si="8">IF(X5=0,0,X5/X9)</f>
        <v>0</v>
      </c>
      <c r="Y15" s="64">
        <f t="shared" si="8"/>
        <v>0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0</v>
      </c>
      <c r="C17" s="65">
        <f t="shared" si="9"/>
        <v>0</v>
      </c>
      <c r="D17" s="65">
        <f t="shared" si="9"/>
        <v>0</v>
      </c>
      <c r="E17" s="65">
        <f t="shared" si="9"/>
        <v>0</v>
      </c>
      <c r="F17" s="65">
        <f t="shared" si="9"/>
        <v>0</v>
      </c>
      <c r="G17" s="65">
        <f t="shared" si="9"/>
        <v>0</v>
      </c>
      <c r="H17" s="65">
        <f t="shared" si="9"/>
        <v>0</v>
      </c>
      <c r="I17" s="65">
        <f t="shared" si="9"/>
        <v>0</v>
      </c>
      <c r="J17" s="65">
        <f t="shared" si="9"/>
        <v>0</v>
      </c>
      <c r="K17" s="65">
        <f t="shared" si="9"/>
        <v>0</v>
      </c>
      <c r="L17" s="65">
        <f t="shared" si="9"/>
        <v>0</v>
      </c>
      <c r="M17" s="65">
        <f t="shared" si="9"/>
        <v>0</v>
      </c>
      <c r="N17" s="65">
        <f t="shared" si="9"/>
        <v>0</v>
      </c>
      <c r="O17" s="65">
        <f t="shared" si="9"/>
        <v>0</v>
      </c>
      <c r="P17" s="65">
        <f t="shared" si="9"/>
        <v>0</v>
      </c>
      <c r="Q17" s="65">
        <f t="shared" si="9"/>
        <v>0</v>
      </c>
      <c r="R17" s="65">
        <f t="shared" si="9"/>
        <v>0</v>
      </c>
      <c r="S17" s="65">
        <f t="shared" si="9"/>
        <v>0</v>
      </c>
      <c r="T17" s="65">
        <f t="shared" si="9"/>
        <v>0</v>
      </c>
      <c r="U17" s="65">
        <f t="shared" si="9"/>
        <v>0</v>
      </c>
      <c r="V17" s="65">
        <f t="shared" si="9"/>
        <v>0</v>
      </c>
      <c r="W17" s="65">
        <f t="shared" si="9"/>
        <v>0</v>
      </c>
      <c r="X17" s="65">
        <f t="shared" ref="X17:Y17" si="10">IF(X3=0,0,X3/X$3)</f>
        <v>0</v>
      </c>
      <c r="Y17" s="65">
        <f t="shared" si="10"/>
        <v>0</v>
      </c>
      <c r="DA17" s="172"/>
    </row>
    <row r="18" spans="1:105" ht="11.45" customHeight="1" x14ac:dyDescent="0.25">
      <c r="A18" s="55" t="s">
        <v>166</v>
      </c>
      <c r="B18" s="66">
        <f t="shared" si="9"/>
        <v>0</v>
      </c>
      <c r="C18" s="66">
        <f t="shared" si="9"/>
        <v>0</v>
      </c>
      <c r="D18" s="66">
        <f t="shared" si="9"/>
        <v>0</v>
      </c>
      <c r="E18" s="66">
        <f t="shared" si="9"/>
        <v>0</v>
      </c>
      <c r="F18" s="66">
        <f t="shared" si="9"/>
        <v>0</v>
      </c>
      <c r="G18" s="66">
        <f t="shared" si="9"/>
        <v>0</v>
      </c>
      <c r="H18" s="66">
        <f t="shared" si="9"/>
        <v>0</v>
      </c>
      <c r="I18" s="66">
        <f t="shared" si="9"/>
        <v>0</v>
      </c>
      <c r="J18" s="66">
        <f t="shared" si="9"/>
        <v>0</v>
      </c>
      <c r="K18" s="66">
        <f t="shared" si="9"/>
        <v>0</v>
      </c>
      <c r="L18" s="66">
        <f t="shared" si="9"/>
        <v>0</v>
      </c>
      <c r="M18" s="66">
        <f t="shared" si="9"/>
        <v>0</v>
      </c>
      <c r="N18" s="66">
        <f t="shared" si="9"/>
        <v>0</v>
      </c>
      <c r="O18" s="66">
        <f t="shared" si="9"/>
        <v>0</v>
      </c>
      <c r="P18" s="66">
        <f t="shared" si="9"/>
        <v>0</v>
      </c>
      <c r="Q18" s="66">
        <f t="shared" si="9"/>
        <v>0</v>
      </c>
      <c r="R18" s="66">
        <f t="shared" si="9"/>
        <v>0</v>
      </c>
      <c r="S18" s="66">
        <f t="shared" si="9"/>
        <v>0</v>
      </c>
      <c r="T18" s="66">
        <f t="shared" si="9"/>
        <v>0</v>
      </c>
      <c r="U18" s="66">
        <f t="shared" si="9"/>
        <v>0</v>
      </c>
      <c r="V18" s="66">
        <f t="shared" si="9"/>
        <v>0</v>
      </c>
      <c r="W18" s="66">
        <f t="shared" si="9"/>
        <v>0</v>
      </c>
      <c r="X18" s="66">
        <f t="shared" ref="X18:Y18" si="11">IF(X4=0,0,X4/X$3)</f>
        <v>0</v>
      </c>
      <c r="Y18" s="66">
        <f t="shared" si="11"/>
        <v>0</v>
      </c>
      <c r="DA18" s="181"/>
    </row>
    <row r="19" spans="1:105" ht="11.45" customHeight="1" x14ac:dyDescent="0.25">
      <c r="A19" s="57" t="s">
        <v>167</v>
      </c>
      <c r="B19" s="67">
        <f t="shared" si="9"/>
        <v>0</v>
      </c>
      <c r="C19" s="67">
        <f t="shared" si="9"/>
        <v>0</v>
      </c>
      <c r="D19" s="67">
        <f t="shared" si="9"/>
        <v>0</v>
      </c>
      <c r="E19" s="67">
        <f t="shared" si="9"/>
        <v>0</v>
      </c>
      <c r="F19" s="67">
        <f t="shared" si="9"/>
        <v>0</v>
      </c>
      <c r="G19" s="67">
        <f t="shared" si="9"/>
        <v>0</v>
      </c>
      <c r="H19" s="67">
        <f t="shared" si="9"/>
        <v>0</v>
      </c>
      <c r="I19" s="67">
        <f t="shared" si="9"/>
        <v>0</v>
      </c>
      <c r="J19" s="67">
        <f t="shared" si="9"/>
        <v>0</v>
      </c>
      <c r="K19" s="67">
        <f t="shared" si="9"/>
        <v>0</v>
      </c>
      <c r="L19" s="67">
        <f t="shared" si="9"/>
        <v>0</v>
      </c>
      <c r="M19" s="67">
        <f t="shared" si="9"/>
        <v>0</v>
      </c>
      <c r="N19" s="67">
        <f t="shared" si="9"/>
        <v>0</v>
      </c>
      <c r="O19" s="67">
        <f t="shared" si="9"/>
        <v>0</v>
      </c>
      <c r="P19" s="67">
        <f t="shared" si="9"/>
        <v>0</v>
      </c>
      <c r="Q19" s="67">
        <f t="shared" si="9"/>
        <v>0</v>
      </c>
      <c r="R19" s="67">
        <f t="shared" si="9"/>
        <v>0</v>
      </c>
      <c r="S19" s="67">
        <f t="shared" si="9"/>
        <v>0</v>
      </c>
      <c r="T19" s="67">
        <f t="shared" si="9"/>
        <v>0</v>
      </c>
      <c r="U19" s="67">
        <f t="shared" si="9"/>
        <v>0</v>
      </c>
      <c r="V19" s="67">
        <f t="shared" si="9"/>
        <v>0</v>
      </c>
      <c r="W19" s="67">
        <f t="shared" si="9"/>
        <v>0</v>
      </c>
      <c r="X19" s="67">
        <f t="shared" ref="X19:Y19" si="12">IF(X5=0,0,X5/X$3)</f>
        <v>0</v>
      </c>
      <c r="Y19" s="67">
        <f t="shared" si="12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0</v>
      </c>
      <c r="C21" s="65">
        <f t="shared" si="13"/>
        <v>0</v>
      </c>
      <c r="D21" s="65">
        <f t="shared" si="13"/>
        <v>0</v>
      </c>
      <c r="E21" s="65">
        <f t="shared" si="13"/>
        <v>0</v>
      </c>
      <c r="F21" s="65">
        <f t="shared" si="13"/>
        <v>0</v>
      </c>
      <c r="G21" s="65">
        <f t="shared" si="13"/>
        <v>0</v>
      </c>
      <c r="H21" s="65">
        <f t="shared" si="13"/>
        <v>0</v>
      </c>
      <c r="I21" s="65">
        <f t="shared" si="13"/>
        <v>0</v>
      </c>
      <c r="J21" s="65">
        <f t="shared" si="13"/>
        <v>0</v>
      </c>
      <c r="K21" s="65">
        <f t="shared" si="13"/>
        <v>0</v>
      </c>
      <c r="L21" s="65">
        <f t="shared" si="13"/>
        <v>0</v>
      </c>
      <c r="M21" s="65">
        <f t="shared" si="13"/>
        <v>0</v>
      </c>
      <c r="N21" s="65">
        <f t="shared" si="13"/>
        <v>0</v>
      </c>
      <c r="O21" s="65">
        <f t="shared" si="13"/>
        <v>0</v>
      </c>
      <c r="P21" s="65">
        <f t="shared" si="13"/>
        <v>0</v>
      </c>
      <c r="Q21" s="65">
        <f t="shared" si="13"/>
        <v>0</v>
      </c>
      <c r="R21" s="65">
        <f t="shared" si="13"/>
        <v>0</v>
      </c>
      <c r="S21" s="65">
        <f t="shared" si="13"/>
        <v>0</v>
      </c>
      <c r="T21" s="65">
        <f t="shared" si="13"/>
        <v>0</v>
      </c>
      <c r="U21" s="65">
        <f t="shared" si="13"/>
        <v>0</v>
      </c>
      <c r="V21" s="65">
        <f t="shared" si="13"/>
        <v>0</v>
      </c>
      <c r="W21" s="65">
        <f t="shared" si="13"/>
        <v>0</v>
      </c>
      <c r="X21" s="65">
        <f t="shared" ref="X21:Y21" si="14">IF(X7=0,0,X7/X$7)</f>
        <v>0</v>
      </c>
      <c r="Y21" s="65">
        <f t="shared" si="14"/>
        <v>0</v>
      </c>
      <c r="DA21" s="172"/>
    </row>
    <row r="22" spans="1:105" ht="11.45" customHeight="1" x14ac:dyDescent="0.25">
      <c r="A22" s="55" t="s">
        <v>166</v>
      </c>
      <c r="B22" s="66">
        <f t="shared" si="13"/>
        <v>0</v>
      </c>
      <c r="C22" s="66">
        <f t="shared" si="13"/>
        <v>0</v>
      </c>
      <c r="D22" s="66">
        <f t="shared" si="13"/>
        <v>0</v>
      </c>
      <c r="E22" s="66">
        <f t="shared" si="13"/>
        <v>0</v>
      </c>
      <c r="F22" s="66">
        <f t="shared" si="13"/>
        <v>0</v>
      </c>
      <c r="G22" s="66">
        <f t="shared" si="13"/>
        <v>0</v>
      </c>
      <c r="H22" s="66">
        <f t="shared" si="13"/>
        <v>0</v>
      </c>
      <c r="I22" s="66">
        <f t="shared" si="13"/>
        <v>0</v>
      </c>
      <c r="J22" s="66">
        <f t="shared" si="13"/>
        <v>0</v>
      </c>
      <c r="K22" s="66">
        <f t="shared" si="13"/>
        <v>0</v>
      </c>
      <c r="L22" s="66">
        <f t="shared" si="13"/>
        <v>0</v>
      </c>
      <c r="M22" s="66">
        <f t="shared" si="13"/>
        <v>0</v>
      </c>
      <c r="N22" s="66">
        <f t="shared" si="13"/>
        <v>0</v>
      </c>
      <c r="O22" s="66">
        <f t="shared" si="13"/>
        <v>0</v>
      </c>
      <c r="P22" s="66">
        <f t="shared" si="13"/>
        <v>0</v>
      </c>
      <c r="Q22" s="66">
        <f t="shared" si="13"/>
        <v>0</v>
      </c>
      <c r="R22" s="66">
        <f t="shared" si="13"/>
        <v>0</v>
      </c>
      <c r="S22" s="66">
        <f t="shared" si="13"/>
        <v>0</v>
      </c>
      <c r="T22" s="66">
        <f t="shared" si="13"/>
        <v>0</v>
      </c>
      <c r="U22" s="66">
        <f t="shared" si="13"/>
        <v>0</v>
      </c>
      <c r="V22" s="66">
        <f t="shared" si="13"/>
        <v>0</v>
      </c>
      <c r="W22" s="66">
        <f t="shared" si="13"/>
        <v>0</v>
      </c>
      <c r="X22" s="66">
        <f t="shared" ref="X22:Y22" si="15">IF(X8=0,0,X8/X$7)</f>
        <v>0</v>
      </c>
      <c r="Y22" s="66">
        <f t="shared" si="15"/>
        <v>0</v>
      </c>
      <c r="DA22" s="181"/>
    </row>
    <row r="23" spans="1:105" ht="11.45" customHeight="1" x14ac:dyDescent="0.25">
      <c r="A23" s="57" t="s">
        <v>167</v>
      </c>
      <c r="B23" s="67">
        <f t="shared" si="13"/>
        <v>0</v>
      </c>
      <c r="C23" s="67">
        <f t="shared" si="13"/>
        <v>0</v>
      </c>
      <c r="D23" s="67">
        <f t="shared" si="13"/>
        <v>0</v>
      </c>
      <c r="E23" s="67">
        <f t="shared" si="13"/>
        <v>0</v>
      </c>
      <c r="F23" s="67">
        <f t="shared" si="13"/>
        <v>0</v>
      </c>
      <c r="G23" s="67">
        <f t="shared" si="13"/>
        <v>0</v>
      </c>
      <c r="H23" s="67">
        <f t="shared" si="13"/>
        <v>0</v>
      </c>
      <c r="I23" s="67">
        <f t="shared" si="13"/>
        <v>0</v>
      </c>
      <c r="J23" s="67">
        <f t="shared" si="13"/>
        <v>0</v>
      </c>
      <c r="K23" s="67">
        <f t="shared" si="13"/>
        <v>0</v>
      </c>
      <c r="L23" s="67">
        <f t="shared" si="13"/>
        <v>0</v>
      </c>
      <c r="M23" s="67">
        <f t="shared" si="13"/>
        <v>0</v>
      </c>
      <c r="N23" s="67">
        <f t="shared" si="13"/>
        <v>0</v>
      </c>
      <c r="O23" s="67">
        <f t="shared" si="13"/>
        <v>0</v>
      </c>
      <c r="P23" s="67">
        <f t="shared" si="13"/>
        <v>0</v>
      </c>
      <c r="Q23" s="67">
        <f t="shared" si="13"/>
        <v>0</v>
      </c>
      <c r="R23" s="67">
        <f t="shared" si="13"/>
        <v>0</v>
      </c>
      <c r="S23" s="67">
        <f t="shared" si="13"/>
        <v>0</v>
      </c>
      <c r="T23" s="67">
        <f t="shared" si="13"/>
        <v>0</v>
      </c>
      <c r="U23" s="67">
        <f t="shared" si="13"/>
        <v>0</v>
      </c>
      <c r="V23" s="67">
        <f t="shared" si="13"/>
        <v>0</v>
      </c>
      <c r="W23" s="67">
        <f t="shared" si="13"/>
        <v>0</v>
      </c>
      <c r="X23" s="67">
        <f t="shared" ref="X23:Y23" si="16">IF(X9=0,0,X9/X$7)</f>
        <v>0</v>
      </c>
      <c r="Y23" s="67">
        <f t="shared" si="16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X3" s="62">
        <f t="shared" ref="X3:Y3" si="1">SUM(X4,X10)</f>
        <v>0</v>
      </c>
      <c r="Y3" s="62">
        <f t="shared" si="1"/>
        <v>0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0</v>
      </c>
      <c r="C4" s="71">
        <f t="shared" ref="C4:W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si="2"/>
        <v>0</v>
      </c>
      <c r="X4" s="71">
        <f t="shared" ref="X4:Y4" si="3">SUM(X5:X9)</f>
        <v>0</v>
      </c>
      <c r="Y4" s="71">
        <f t="shared" si="3"/>
        <v>0</v>
      </c>
      <c r="DA4" s="186" t="s">
        <v>971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0</v>
      </c>
      <c r="C10" s="71">
        <f t="shared" ref="C10:W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si="4"/>
        <v>0</v>
      </c>
      <c r="X10" s="71">
        <f t="shared" ref="X10:Y10" si="5">SUM(X11:X15)</f>
        <v>0</v>
      </c>
      <c r="Y10" s="71">
        <f t="shared" si="5"/>
        <v>0</v>
      </c>
      <c r="DA10" s="186" t="s">
        <v>977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DA11" s="187" t="s">
        <v>978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X19" s="62">
        <f>IF(X3=0,0,X3/MBunk_act!X7*100)</f>
        <v>0</v>
      </c>
      <c r="Y19" s="62">
        <f>IF(Y3=0,0,Y3/MBunk_act!Y7*100)</f>
        <v>0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X20" s="63">
        <f>IF(X4=0,0,X4/MBunk_act!X8*100)</f>
        <v>0</v>
      </c>
      <c r="Y20" s="63">
        <f>IF(Y4=0,0,Y4/MBunk_act!Y8*100)</f>
        <v>0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X21" s="64">
        <f>IF(X10=0,0,X10/MBunk_act!X9*100)</f>
        <v>0</v>
      </c>
      <c r="Y21" s="64">
        <f>IF(Y10=0,0,Y10/MBunk_act!Y9*100)</f>
        <v>0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X23" s="62">
        <f>IF(X3=0,0,X3/MBunk_act!X3*1000)</f>
        <v>0</v>
      </c>
      <c r="Y23" s="62">
        <f>IF(Y3=0,0,Y3/MBunk_act!Y3*1000)</f>
        <v>0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X24" s="63">
        <f>IF(X4=0,0,X4/MBunk_act!X4*1000)</f>
        <v>0</v>
      </c>
      <c r="Y24" s="63">
        <f>IF(Y4=0,0,Y4/MBunk_act!Y4*1000)</f>
        <v>0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X25" s="64">
        <f>IF(X10=0,0,X10/MBunk_act!X5*1000)</f>
        <v>0</v>
      </c>
      <c r="Y25" s="64">
        <f>IF(Y10=0,0,Y10/MBunk_act!Y5*1000)</f>
        <v>0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6">IF(C3=0,0,C3/C$3)</f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0</v>
      </c>
      <c r="T27" s="76">
        <f t="shared" si="6"/>
        <v>0</v>
      </c>
      <c r="U27" s="76">
        <f t="shared" si="6"/>
        <v>0</v>
      </c>
      <c r="V27" s="76">
        <f t="shared" si="6"/>
        <v>0</v>
      </c>
      <c r="W27" s="76">
        <f t="shared" si="6"/>
        <v>0</v>
      </c>
      <c r="X27" s="76">
        <f t="shared" ref="X27:Y27" si="7">IF(X3=0,0,X3/X$3)</f>
        <v>0</v>
      </c>
      <c r="Y27" s="76">
        <f t="shared" si="7"/>
        <v>0</v>
      </c>
      <c r="DA27" s="183"/>
    </row>
    <row r="28" spans="1:105" ht="11.45" customHeight="1" x14ac:dyDescent="0.25">
      <c r="A28" s="55" t="s">
        <v>166</v>
      </c>
      <c r="B28" s="77">
        <f>IF(B4=0,0,B4/B$3)</f>
        <v>0</v>
      </c>
      <c r="C28" s="77">
        <f t="shared" si="6"/>
        <v>0</v>
      </c>
      <c r="D28" s="77">
        <f t="shared" si="6"/>
        <v>0</v>
      </c>
      <c r="E28" s="77">
        <f t="shared" si="6"/>
        <v>0</v>
      </c>
      <c r="F28" s="77">
        <f t="shared" si="6"/>
        <v>0</v>
      </c>
      <c r="G28" s="77">
        <f t="shared" si="6"/>
        <v>0</v>
      </c>
      <c r="H28" s="77">
        <f t="shared" si="6"/>
        <v>0</v>
      </c>
      <c r="I28" s="77">
        <f t="shared" si="6"/>
        <v>0</v>
      </c>
      <c r="J28" s="77">
        <f t="shared" si="6"/>
        <v>0</v>
      </c>
      <c r="K28" s="77">
        <f t="shared" si="6"/>
        <v>0</v>
      </c>
      <c r="L28" s="77">
        <f t="shared" si="6"/>
        <v>0</v>
      </c>
      <c r="M28" s="77">
        <f t="shared" si="6"/>
        <v>0</v>
      </c>
      <c r="N28" s="77">
        <f t="shared" si="6"/>
        <v>0</v>
      </c>
      <c r="O28" s="77">
        <f t="shared" si="6"/>
        <v>0</v>
      </c>
      <c r="P28" s="77">
        <f t="shared" si="6"/>
        <v>0</v>
      </c>
      <c r="Q28" s="77">
        <f t="shared" si="6"/>
        <v>0</v>
      </c>
      <c r="R28" s="77">
        <f t="shared" si="6"/>
        <v>0</v>
      </c>
      <c r="S28" s="77">
        <f t="shared" si="6"/>
        <v>0</v>
      </c>
      <c r="T28" s="77">
        <f t="shared" si="6"/>
        <v>0</v>
      </c>
      <c r="U28" s="77">
        <f t="shared" si="6"/>
        <v>0</v>
      </c>
      <c r="V28" s="77">
        <f t="shared" si="6"/>
        <v>0</v>
      </c>
      <c r="W28" s="77">
        <f t="shared" si="6"/>
        <v>0</v>
      </c>
      <c r="X28" s="77">
        <f t="shared" ref="X28:Y28" si="8">IF(X4=0,0,X4/X$3)</f>
        <v>0</v>
      </c>
      <c r="Y28" s="77">
        <f t="shared" si="8"/>
        <v>0</v>
      </c>
      <c r="DA28" s="184"/>
    </row>
    <row r="29" spans="1:105" ht="11.45" customHeight="1" x14ac:dyDescent="0.25">
      <c r="A29" s="57" t="s">
        <v>167</v>
      </c>
      <c r="B29" s="78">
        <f>IF(B10=0,0,B10/B$3)</f>
        <v>0</v>
      </c>
      <c r="C29" s="78">
        <f t="shared" ref="C29:W29" si="9">IF(C10=0,0,C10/C$3)</f>
        <v>0</v>
      </c>
      <c r="D29" s="78">
        <f t="shared" si="9"/>
        <v>0</v>
      </c>
      <c r="E29" s="78">
        <f t="shared" si="9"/>
        <v>0</v>
      </c>
      <c r="F29" s="78">
        <f t="shared" si="9"/>
        <v>0</v>
      </c>
      <c r="G29" s="78">
        <f t="shared" si="9"/>
        <v>0</v>
      </c>
      <c r="H29" s="78">
        <f t="shared" si="9"/>
        <v>0</v>
      </c>
      <c r="I29" s="78">
        <f t="shared" si="9"/>
        <v>0</v>
      </c>
      <c r="J29" s="78">
        <f t="shared" si="9"/>
        <v>0</v>
      </c>
      <c r="K29" s="78">
        <f t="shared" si="9"/>
        <v>0</v>
      </c>
      <c r="L29" s="78">
        <f t="shared" si="9"/>
        <v>0</v>
      </c>
      <c r="M29" s="78">
        <f t="shared" si="9"/>
        <v>0</v>
      </c>
      <c r="N29" s="78">
        <f t="shared" si="9"/>
        <v>0</v>
      </c>
      <c r="O29" s="78">
        <f t="shared" si="9"/>
        <v>0</v>
      </c>
      <c r="P29" s="78">
        <f t="shared" si="9"/>
        <v>0</v>
      </c>
      <c r="Q29" s="78">
        <f t="shared" si="9"/>
        <v>0</v>
      </c>
      <c r="R29" s="78">
        <f t="shared" si="9"/>
        <v>0</v>
      </c>
      <c r="S29" s="78">
        <f t="shared" si="9"/>
        <v>0</v>
      </c>
      <c r="T29" s="78">
        <f t="shared" si="9"/>
        <v>0</v>
      </c>
      <c r="U29" s="78">
        <f t="shared" si="9"/>
        <v>0</v>
      </c>
      <c r="V29" s="78">
        <f t="shared" si="9"/>
        <v>0</v>
      </c>
      <c r="W29" s="78">
        <f t="shared" si="9"/>
        <v>0</v>
      </c>
      <c r="X29" s="78">
        <f t="shared" ref="X29:Y29" si="10">IF(X10=0,0,X10/X$3)</f>
        <v>0</v>
      </c>
      <c r="Y29" s="78">
        <f t="shared" si="10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X3" s="62">
        <f t="shared" ref="X3:Y3" si="2">SUM(X4:X5)</f>
        <v>0</v>
      </c>
      <c r="Y3" s="62">
        <f t="shared" si="2"/>
        <v>0</v>
      </c>
      <c r="DA3" s="172" t="s">
        <v>987</v>
      </c>
    </row>
    <row r="4" spans="1:105" ht="11.45" customHeight="1" x14ac:dyDescent="0.25">
      <c r="A4" s="55" t="s">
        <v>166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DA4" s="181" t="s">
        <v>988</v>
      </c>
    </row>
    <row r="5" spans="1:105" ht="11.45" customHeight="1" x14ac:dyDescent="0.25">
      <c r="A5" s="57" t="s">
        <v>167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X9" s="79">
        <f>IF(X3=0,0,X3/MBunk_ene!X3)</f>
        <v>0</v>
      </c>
      <c r="Y9" s="79">
        <f>IF(Y3=0,0,Y3/MBunk_ene!Y3)</f>
        <v>0</v>
      </c>
      <c r="DA9" s="172"/>
    </row>
    <row r="10" spans="1:105" ht="11.45" customHeight="1" x14ac:dyDescent="0.25">
      <c r="A10" s="55" t="s">
        <v>166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X10" s="80">
        <f>IF(X4=0,0,X4/MBunk_ene!X4)</f>
        <v>0</v>
      </c>
      <c r="Y10" s="80">
        <f>IF(Y4=0,0,Y4/MBunk_ene!Y4)</f>
        <v>0</v>
      </c>
      <c r="DA10" s="181"/>
    </row>
    <row r="11" spans="1:105" ht="11.45" customHeight="1" x14ac:dyDescent="0.25">
      <c r="A11" s="57" t="s">
        <v>167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X11" s="81">
        <f>IF(X5=0,0,X5/MBunk_ene!X10)</f>
        <v>0</v>
      </c>
      <c r="Y11" s="81">
        <f>IF(Y5=0,0,Y5/MBunk_ene!Y10)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X13" s="62">
        <f>IF(X3=0,0,X3/MBunk_act!X7*100)</f>
        <v>0</v>
      </c>
      <c r="Y13" s="62">
        <f>IF(Y3=0,0,Y3/MBunk_act!Y7*100)</f>
        <v>0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X14" s="63">
        <f>IF(X4=0,0,X4/MBunk_act!X8*100)</f>
        <v>0</v>
      </c>
      <c r="Y14" s="63">
        <f>IF(Y4=0,0,Y4/MBunk_act!Y8*100)</f>
        <v>0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X15" s="64">
        <f>IF(X5=0,0,X5/MBunk_act!X9*100)</f>
        <v>0</v>
      </c>
      <c r="Y15" s="64">
        <f>IF(Y5=0,0,Y5/MBunk_act!Y9*100)</f>
        <v>0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X17" s="62">
        <f>IF(X3=0,0,X3/MBunk_act!X3*1000)</f>
        <v>0</v>
      </c>
      <c r="Y17" s="62">
        <f>IF(Y3=0,0,Y3/MBunk_act!Y3*1000)</f>
        <v>0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X18" s="63">
        <f>IF(X4=0,0,X4/MBunk_act!X4*1000)</f>
        <v>0</v>
      </c>
      <c r="Y18" s="63">
        <f>IF(Y4=0,0,Y4/MBunk_act!Y4*1000)</f>
        <v>0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X19" s="64">
        <f>IF(X5=0,0,X5/MBunk_act!X5*1000)</f>
        <v>0</v>
      </c>
      <c r="Y19" s="64">
        <f>IF(Y5=0,0,Y5/MBunk_act!Y5*1000)</f>
        <v>0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0</v>
      </c>
      <c r="T21" s="76">
        <f t="shared" si="3"/>
        <v>0</v>
      </c>
      <c r="U21" s="76">
        <f t="shared" si="3"/>
        <v>0</v>
      </c>
      <c r="V21" s="76">
        <f t="shared" si="3"/>
        <v>0</v>
      </c>
      <c r="W21" s="76">
        <f t="shared" si="3"/>
        <v>0</v>
      </c>
      <c r="X21" s="76">
        <f t="shared" ref="X21:Y21" si="4">IF(X3=0,0,X3/X$3)</f>
        <v>0</v>
      </c>
      <c r="Y21" s="76">
        <f t="shared" si="4"/>
        <v>0</v>
      </c>
      <c r="DA21" s="183"/>
    </row>
    <row r="22" spans="1:105" ht="11.45" customHeight="1" x14ac:dyDescent="0.25">
      <c r="A22" s="55" t="s">
        <v>166</v>
      </c>
      <c r="B22" s="77">
        <f t="shared" si="3"/>
        <v>0</v>
      </c>
      <c r="C22" s="77">
        <f t="shared" si="3"/>
        <v>0</v>
      </c>
      <c r="D22" s="77">
        <f t="shared" si="3"/>
        <v>0</v>
      </c>
      <c r="E22" s="77">
        <f t="shared" si="3"/>
        <v>0</v>
      </c>
      <c r="F22" s="77">
        <f t="shared" si="3"/>
        <v>0</v>
      </c>
      <c r="G22" s="77">
        <f t="shared" si="3"/>
        <v>0</v>
      </c>
      <c r="H22" s="77">
        <f t="shared" si="3"/>
        <v>0</v>
      </c>
      <c r="I22" s="77">
        <f t="shared" si="3"/>
        <v>0</v>
      </c>
      <c r="J22" s="77">
        <f t="shared" si="3"/>
        <v>0</v>
      </c>
      <c r="K22" s="77">
        <f t="shared" si="3"/>
        <v>0</v>
      </c>
      <c r="L22" s="77">
        <f t="shared" si="3"/>
        <v>0</v>
      </c>
      <c r="M22" s="77">
        <f t="shared" si="3"/>
        <v>0</v>
      </c>
      <c r="N22" s="77">
        <f t="shared" si="3"/>
        <v>0</v>
      </c>
      <c r="O22" s="77">
        <f t="shared" si="3"/>
        <v>0</v>
      </c>
      <c r="P22" s="77">
        <f t="shared" si="3"/>
        <v>0</v>
      </c>
      <c r="Q22" s="77">
        <f t="shared" si="3"/>
        <v>0</v>
      </c>
      <c r="R22" s="77">
        <f t="shared" si="3"/>
        <v>0</v>
      </c>
      <c r="S22" s="77">
        <f t="shared" si="3"/>
        <v>0</v>
      </c>
      <c r="T22" s="77">
        <f t="shared" si="3"/>
        <v>0</v>
      </c>
      <c r="U22" s="77">
        <f t="shared" si="3"/>
        <v>0</v>
      </c>
      <c r="V22" s="77">
        <f t="shared" si="3"/>
        <v>0</v>
      </c>
      <c r="W22" s="77">
        <f t="shared" si="3"/>
        <v>0</v>
      </c>
      <c r="X22" s="77">
        <f t="shared" ref="X22:Y22" si="5">IF(X4=0,0,X4/X$3)</f>
        <v>0</v>
      </c>
      <c r="Y22" s="77">
        <f t="shared" si="5"/>
        <v>0</v>
      </c>
      <c r="DA22" s="184"/>
    </row>
    <row r="23" spans="1:105" ht="11.45" customHeight="1" x14ac:dyDescent="0.25">
      <c r="A23" s="57" t="s">
        <v>167</v>
      </c>
      <c r="B23" s="78">
        <f t="shared" si="3"/>
        <v>0</v>
      </c>
      <c r="C23" s="78">
        <f t="shared" si="3"/>
        <v>0</v>
      </c>
      <c r="D23" s="78">
        <f t="shared" si="3"/>
        <v>0</v>
      </c>
      <c r="E23" s="78">
        <f t="shared" si="3"/>
        <v>0</v>
      </c>
      <c r="F23" s="78">
        <f t="shared" si="3"/>
        <v>0</v>
      </c>
      <c r="G23" s="78">
        <f t="shared" si="3"/>
        <v>0</v>
      </c>
      <c r="H23" s="78">
        <f t="shared" si="3"/>
        <v>0</v>
      </c>
      <c r="I23" s="78">
        <f t="shared" si="3"/>
        <v>0</v>
      </c>
      <c r="J23" s="78">
        <f t="shared" si="3"/>
        <v>0</v>
      </c>
      <c r="K23" s="78">
        <f t="shared" si="3"/>
        <v>0</v>
      </c>
      <c r="L23" s="78">
        <f t="shared" si="3"/>
        <v>0</v>
      </c>
      <c r="M23" s="78">
        <f t="shared" si="3"/>
        <v>0</v>
      </c>
      <c r="N23" s="78">
        <f t="shared" si="3"/>
        <v>0</v>
      </c>
      <c r="O23" s="78">
        <f t="shared" si="3"/>
        <v>0</v>
      </c>
      <c r="P23" s="78">
        <f t="shared" si="3"/>
        <v>0</v>
      </c>
      <c r="Q23" s="78">
        <f t="shared" si="3"/>
        <v>0</v>
      </c>
      <c r="R23" s="78">
        <f t="shared" si="3"/>
        <v>0</v>
      </c>
      <c r="S23" s="78">
        <f t="shared" si="3"/>
        <v>0</v>
      </c>
      <c r="T23" s="78">
        <f t="shared" si="3"/>
        <v>0</v>
      </c>
      <c r="U23" s="78">
        <f t="shared" si="3"/>
        <v>0</v>
      </c>
      <c r="V23" s="78">
        <f t="shared" si="3"/>
        <v>0</v>
      </c>
      <c r="W23" s="78">
        <f t="shared" si="3"/>
        <v>0</v>
      </c>
      <c r="X23" s="78">
        <f t="shared" ref="X23:Y23" si="6">IF(X5=0,0,X5/X$3)</f>
        <v>0</v>
      </c>
      <c r="Y23" s="78">
        <f t="shared" si="6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2025-11-06T10:18:54Z</dcterms:created>
  <dcterms:modified xsi:type="dcterms:W3CDTF">2025-11-06T10:18:54Z</dcterms:modified>
</cp:coreProperties>
</file>