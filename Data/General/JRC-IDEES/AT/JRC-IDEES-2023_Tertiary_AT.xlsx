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AT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27" i="6"/>
  <c r="Y119" i="6"/>
  <c r="Y173" i="6" s="1"/>
  <c r="X119" i="6"/>
  <c r="X173" i="6" s="1"/>
  <c r="Y31" i="12"/>
  <c r="X31" i="12"/>
  <c r="X26" i="12"/>
  <c r="X24" i="12"/>
  <c r="Y16" i="7"/>
  <c r="X16" i="7"/>
  <c r="Y14" i="13"/>
  <c r="X13" i="12"/>
  <c r="X23" i="12"/>
  <c r="Y22" i="12"/>
  <c r="X21" i="12"/>
  <c r="X20" i="12"/>
  <c r="X16" i="8"/>
  <c r="Y6" i="12"/>
  <c r="Y33" i="10"/>
  <c r="Y22" i="13"/>
  <c r="X22" i="13"/>
  <c r="Y21" i="13"/>
  <c r="X21" i="13"/>
  <c r="Y20" i="13"/>
  <c r="Y18" i="13"/>
  <c r="X18" i="10"/>
  <c r="Y17" i="13"/>
  <c r="X17" i="10"/>
  <c r="Y6" i="13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X17" i="12"/>
  <c r="X14" i="12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14" i="24"/>
  <c r="X13" i="23"/>
  <c r="X9" i="23"/>
  <c r="Y8" i="23"/>
  <c r="Y20" i="23"/>
  <c r="Y20" i="26" s="1"/>
  <c r="Y18" i="21"/>
  <c r="X5" i="21"/>
  <c r="X20" i="21"/>
  <c r="Y18" i="24"/>
  <c r="Y20" i="21"/>
  <c r="Y33" i="25"/>
  <c r="Y33" i="28" s="1"/>
  <c r="X33" i="25"/>
  <c r="X33" i="28" s="1"/>
  <c r="Y26" i="25"/>
  <c r="Y26" i="28" s="1"/>
  <c r="X26" i="25"/>
  <c r="X26" i="28" s="1"/>
  <c r="Y25" i="25"/>
  <c r="Y25" i="28" s="1"/>
  <c r="X25" i="25"/>
  <c r="X25" i="28" s="1"/>
  <c r="X24" i="25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1" i="28" s="1"/>
  <c r="Y33" i="23"/>
  <c r="Y21" i="24"/>
  <c r="X21" i="24"/>
  <c r="Y20" i="24"/>
  <c r="Y20" i="27" s="1"/>
  <c r="X20" i="24"/>
  <c r="X20" i="27" s="1"/>
  <c r="Y28" i="25"/>
  <c r="Y28" i="28" s="1"/>
  <c r="X28" i="25"/>
  <c r="X28" i="28" s="1"/>
  <c r="Y27" i="25"/>
  <c r="Y27" i="28" s="1"/>
  <c r="X27" i="25"/>
  <c r="X27" i="28" s="1"/>
  <c r="Y15" i="25"/>
  <c r="Y15" i="28" s="1"/>
  <c r="X15" i="25"/>
  <c r="X15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Y10" i="34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X8" i="30"/>
  <c r="Y10" i="30"/>
  <c r="X14" i="32"/>
  <c r="Y53" i="38"/>
  <c r="Y52" i="38"/>
  <c r="Y49" i="38"/>
  <c r="X49" i="38"/>
  <c r="Y40" i="39"/>
  <c r="X40" i="39"/>
  <c r="Y52" i="39"/>
  <c r="X52" i="39"/>
  <c r="Y47" i="39"/>
  <c r="X47" i="39"/>
  <c r="Y46" i="39"/>
  <c r="X46" i="39"/>
  <c r="Y32" i="39"/>
  <c r="X32" i="39"/>
  <c r="Y14" i="36"/>
  <c r="X9" i="36"/>
  <c r="Y7" i="25" l="1"/>
  <c r="Y24" i="25"/>
  <c r="Y17" i="24"/>
  <c r="X12" i="29"/>
  <c r="X5" i="30" s="1"/>
  <c r="Y22" i="23"/>
  <c r="Y26" i="23"/>
  <c r="X23" i="23"/>
  <c r="X28" i="23"/>
  <c r="Y23" i="23"/>
  <c r="Y10" i="24"/>
  <c r="X24" i="23"/>
  <c r="X18" i="24"/>
  <c r="Y29" i="18"/>
  <c r="Y33" i="24"/>
  <c r="Y22" i="24"/>
  <c r="Y22" i="27" s="1"/>
  <c r="Y33" i="13"/>
  <c r="Y5" i="10"/>
  <c r="Y17" i="10"/>
  <c r="X25" i="23"/>
  <c r="Y24" i="12"/>
  <c r="X25" i="12"/>
  <c r="Y23" i="10"/>
  <c r="Y10" i="12"/>
  <c r="X8" i="24"/>
  <c r="X8" i="13"/>
  <c r="X11" i="12"/>
  <c r="Y8" i="13"/>
  <c r="X7" i="12"/>
  <c r="X5" i="10"/>
  <c r="X9" i="21"/>
  <c r="X25" i="24"/>
  <c r="X17" i="24"/>
  <c r="X25" i="13"/>
  <c r="X12" i="12"/>
  <c r="Y25" i="13"/>
  <c r="X31" i="23"/>
  <c r="X26" i="13"/>
  <c r="Y18" i="10"/>
  <c r="Y31" i="23"/>
  <c r="Y31" i="26" s="1"/>
  <c r="Y10" i="13"/>
  <c r="Y26" i="13"/>
  <c r="X11" i="13"/>
  <c r="Y14" i="12"/>
  <c r="X8" i="12"/>
  <c r="X23" i="21"/>
  <c r="X12" i="24"/>
  <c r="X12" i="13"/>
  <c r="X30" i="13"/>
  <c r="X32" i="23"/>
  <c r="Y8" i="25"/>
  <c r="Y8" i="28" s="1"/>
  <c r="Y9" i="25"/>
  <c r="Y9" i="28" s="1"/>
  <c r="Y12" i="24"/>
  <c r="Y12" i="27" s="1"/>
  <c r="Y21" i="25"/>
  <c r="Y21" i="28" s="1"/>
  <c r="X10" i="14"/>
  <c r="X30" i="14"/>
  <c r="Y12" i="13"/>
  <c r="X10" i="25"/>
  <c r="X13" i="21"/>
  <c r="X31" i="24"/>
  <c r="X17" i="23"/>
  <c r="X22" i="24"/>
  <c r="Y10" i="14"/>
  <c r="X31" i="13"/>
  <c r="Y33" i="12"/>
  <c r="X21" i="21"/>
  <c r="X7" i="21"/>
  <c r="Y8" i="24"/>
  <c r="Y8" i="27" s="1"/>
  <c r="X7" i="14"/>
  <c r="Y26" i="24"/>
  <c r="Y17" i="23"/>
  <c r="Y17" i="26" s="1"/>
  <c r="X31" i="14"/>
  <c r="Y31" i="13"/>
  <c r="Y19" i="22"/>
  <c r="X8" i="25"/>
  <c r="Y31" i="14"/>
  <c r="X32" i="10"/>
  <c r="Y24" i="23"/>
  <c r="Y24" i="26" s="1"/>
  <c r="Y7" i="24"/>
  <c r="Y7" i="27" s="1"/>
  <c r="Y11" i="24"/>
  <c r="Y11" i="27" s="1"/>
  <c r="Y14" i="21"/>
  <c r="Y32" i="21"/>
  <c r="X17" i="13"/>
  <c r="X27" i="21"/>
  <c r="X15" i="21"/>
  <c r="X33" i="21"/>
  <c r="X33" i="10"/>
  <c r="Y45" i="37"/>
  <c r="X45" i="38"/>
  <c r="Y9" i="36"/>
  <c r="Y45" i="38"/>
  <c r="X13" i="29"/>
  <c r="Y13" i="29"/>
  <c r="X14" i="30"/>
  <c r="X14" i="29"/>
  <c r="Y33" i="27"/>
  <c r="Y23" i="28"/>
  <c r="Y7" i="28"/>
  <c r="Y24" i="28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17" i="25"/>
  <c r="Y31" i="21"/>
  <c r="Y6" i="23"/>
  <c r="Y6" i="26" s="1"/>
  <c r="Y10" i="23"/>
  <c r="Y10" i="26" s="1"/>
  <c r="Y14" i="23"/>
  <c r="Y14" i="26" s="1"/>
  <c r="Y19" i="19"/>
  <c r="Y5" i="23"/>
  <c r="Y5" i="26" s="1"/>
  <c r="X14" i="36"/>
  <c r="X12" i="36" s="1"/>
  <c r="X22" i="25"/>
  <c r="X17" i="21"/>
  <c r="X32" i="21"/>
  <c r="X7" i="23"/>
  <c r="X11" i="23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25" i="27" s="1"/>
  <c r="Y8" i="14"/>
  <c r="Y12" i="12"/>
  <c r="Y18" i="12"/>
  <c r="Y28" i="12"/>
  <c r="X82" i="6"/>
  <c r="X81" i="6" s="1"/>
  <c r="X93" i="6" s="1"/>
  <c r="X107" i="6"/>
  <c r="X9" i="25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3"/>
  <c r="X30" i="23"/>
  <c r="X18" i="13"/>
  <c r="X20" i="10"/>
  <c r="X10" i="13"/>
  <c r="X14" i="10"/>
  <c r="X19" i="9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Y29" i="22"/>
  <c r="Y5" i="21"/>
  <c r="Y23" i="24"/>
  <c r="Y28" i="24"/>
  <c r="Y28" i="27" s="1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28" i="13"/>
  <c r="Y9" i="13"/>
  <c r="Y16" i="9"/>
  <c r="Y16" i="13" s="1"/>
  <c r="Y9" i="39"/>
  <c r="Y17" i="38"/>
  <c r="Y46" i="37"/>
  <c r="Y17" i="27"/>
  <c r="X6" i="25"/>
  <c r="Y15" i="21"/>
  <c r="X51" i="39"/>
  <c r="Y32" i="24"/>
  <c r="Y32" i="27" s="1"/>
  <c r="Y16" i="22"/>
  <c r="X6" i="24"/>
  <c r="X24" i="24"/>
  <c r="X30" i="24"/>
  <c r="X6" i="13"/>
  <c r="Y11" i="10"/>
  <c r="Y15" i="10"/>
  <c r="X8" i="14"/>
  <c r="Y22" i="26"/>
  <c r="X13" i="13"/>
  <c r="X9" i="39"/>
  <c r="X46" i="37"/>
  <c r="X17" i="27"/>
  <c r="X21" i="23"/>
  <c r="Y13" i="13"/>
  <c r="X19" i="7"/>
  <c r="X27" i="12" s="1"/>
  <c r="X29" i="7"/>
  <c r="Y19" i="18"/>
  <c r="Y31" i="25"/>
  <c r="Y31" i="28" s="1"/>
  <c r="Y9" i="38"/>
  <c r="Y52" i="37"/>
  <c r="X32" i="24"/>
  <c r="Y51" i="39"/>
  <c r="Y6" i="24"/>
  <c r="Y6" i="27" s="1"/>
  <c r="Y24" i="24"/>
  <c r="Y24" i="27" s="1"/>
  <c r="Y18" i="23"/>
  <c r="Y18" i="26" s="1"/>
  <c r="X16" i="9"/>
  <c r="X16" i="13" s="1"/>
  <c r="X19" i="8"/>
  <c r="Y33" i="6"/>
  <c r="X3" i="8"/>
  <c r="X16" i="10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22" i="10"/>
  <c r="Y72" i="29"/>
  <c r="Y6" i="34" s="1"/>
  <c r="Y22" i="10"/>
  <c r="Y25" i="12"/>
  <c r="X29" i="18"/>
  <c r="X29" i="23" s="1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16" i="19"/>
  <c r="X7" i="10"/>
  <c r="Y25" i="10"/>
  <c r="Y19" i="9"/>
  <c r="X12" i="23"/>
  <c r="Y22" i="21"/>
  <c r="Y13" i="21"/>
  <c r="Y16" i="19"/>
  <c r="X8" i="10"/>
  <c r="X26" i="10"/>
  <c r="X30" i="25"/>
  <c r="Y23" i="21"/>
  <c r="X14" i="21"/>
  <c r="X33" i="23"/>
  <c r="X4" i="11"/>
  <c r="X4" i="14" s="1"/>
  <c r="Y8" i="10"/>
  <c r="Y26" i="10"/>
  <c r="X15" i="7"/>
  <c r="X15" i="13" s="1"/>
  <c r="Y19" i="7"/>
  <c r="Y27" i="12" s="1"/>
  <c r="Y17" i="37"/>
  <c r="X31" i="25"/>
  <c r="Y24" i="21"/>
  <c r="X7" i="13"/>
  <c r="X9" i="10"/>
  <c r="X115" i="6"/>
  <c r="X23" i="24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5" i="39" s="1"/>
  <c r="Y37" i="39" s="1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4" i="19"/>
  <c r="X26" i="23"/>
  <c r="Y9" i="14"/>
  <c r="Y25" i="6"/>
  <c r="Y49" i="37"/>
  <c r="X16" i="29"/>
  <c r="Y9" i="23"/>
  <c r="Y9" i="26" s="1"/>
  <c r="X26" i="6"/>
  <c r="X33" i="39"/>
  <c r="Y51" i="38"/>
  <c r="X9" i="38"/>
  <c r="X52" i="38"/>
  <c r="X68" i="29"/>
  <c r="X6" i="30" s="1"/>
  <c r="X10" i="23"/>
  <c r="X6" i="29"/>
  <c r="X5" i="32"/>
  <c r="Y5" i="29"/>
  <c r="Y5" i="31"/>
  <c r="X5" i="31"/>
  <c r="X5" i="29"/>
  <c r="Y12" i="29"/>
  <c r="Y16" i="29"/>
  <c r="X8" i="23"/>
  <c r="Y30" i="23"/>
  <c r="Y30" i="26" s="1"/>
  <c r="X24" i="21"/>
  <c r="X29" i="20"/>
  <c r="X31" i="21"/>
  <c r="X4" i="18"/>
  <c r="X3" i="18" s="1"/>
  <c r="X15" i="18"/>
  <c r="X6" i="23"/>
  <c r="Y32" i="14"/>
  <c r="Y29" i="11"/>
  <c r="Y29" i="8"/>
  <c r="Y30" i="12"/>
  <c r="X69" i="29"/>
  <c r="X6" i="31" s="1"/>
  <c r="Y22" i="28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23" i="27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32" i="26" s="1"/>
  <c r="Y29" i="19"/>
  <c r="Y4" i="11"/>
  <c r="Y5" i="14"/>
  <c r="Y4" i="8"/>
  <c r="Y5" i="12"/>
  <c r="Y149" i="6"/>
  <c r="X14" i="24"/>
  <c r="Y10" i="27"/>
  <c r="Y14" i="27"/>
  <c r="Y18" i="27"/>
  <c r="Y26" i="27"/>
  <c r="Y33" i="26"/>
  <c r="X16" i="22"/>
  <c r="Y7" i="21"/>
  <c r="X16" i="20"/>
  <c r="X18" i="21"/>
  <c r="Y28" i="23"/>
  <c r="Y28" i="26" s="1"/>
  <c r="X16" i="18"/>
  <c r="X18" i="23"/>
  <c r="Y7" i="13"/>
  <c r="Y11" i="13"/>
  <c r="Y23" i="13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Y31" i="6" l="1"/>
  <c r="X4" i="13"/>
  <c r="X90" i="6"/>
  <c r="X4" i="12"/>
  <c r="X113" i="6"/>
  <c r="Y29" i="23"/>
  <c r="Y29" i="26" s="1"/>
  <c r="X94" i="6"/>
  <c r="Y15" i="13"/>
  <c r="X5" i="39"/>
  <c r="X163" i="6"/>
  <c r="Y29" i="14"/>
  <c r="Y19" i="23"/>
  <c r="Y19" i="26" s="1"/>
  <c r="Y29" i="12"/>
  <c r="Y16" i="23"/>
  <c r="Y16" i="26" s="1"/>
  <c r="X31" i="6"/>
  <c r="X29" i="10"/>
  <c r="Y29" i="25"/>
  <c r="Y29" i="28" s="1"/>
  <c r="X3" i="19"/>
  <c r="Y27" i="24"/>
  <c r="Y27" i="27" s="1"/>
  <c r="X19" i="10"/>
  <c r="Y24" i="15"/>
  <c r="X29" i="13"/>
  <c r="X29" i="16" s="1"/>
  <c r="X27" i="13"/>
  <c r="X27" i="16" s="1"/>
  <c r="X15" i="12"/>
  <c r="X15" i="15" s="1"/>
  <c r="X91" i="6"/>
  <c r="X92" i="6"/>
  <c r="X114" i="6"/>
  <c r="X144" i="6" s="1"/>
  <c r="X89" i="6"/>
  <c r="X22" i="15"/>
  <c r="X4" i="23"/>
  <c r="X4" i="26" s="1"/>
  <c r="Y16" i="25"/>
  <c r="Y16" i="28" s="1"/>
  <c r="Y5" i="37"/>
  <c r="X11" i="26"/>
  <c r="X14" i="26"/>
  <c r="X5" i="28"/>
  <c r="X12" i="26"/>
  <c r="X9" i="28"/>
  <c r="X23" i="27"/>
  <c r="X28" i="27"/>
  <c r="X10" i="28"/>
  <c r="Y28" i="16"/>
  <c r="X9" i="29"/>
  <c r="X3" i="35" s="1"/>
  <c r="X30" i="26"/>
  <c r="X26" i="26"/>
  <c r="X21" i="26"/>
  <c r="X24" i="28"/>
  <c r="X13" i="26"/>
  <c r="X8" i="26"/>
  <c r="X23" i="26"/>
  <c r="X25" i="26"/>
  <c r="X17" i="28"/>
  <c r="X10" i="26"/>
  <c r="X28" i="26"/>
  <c r="X33" i="27"/>
  <c r="X9" i="27"/>
  <c r="X13" i="27"/>
  <c r="X5" i="26"/>
  <c r="X11" i="27"/>
  <c r="Y10" i="16"/>
  <c r="X6" i="27"/>
  <c r="X14" i="27"/>
  <c r="Y139" i="6"/>
  <c r="X26" i="27"/>
  <c r="X21" i="28"/>
  <c r="X22" i="26"/>
  <c r="X7" i="27"/>
  <c r="X30" i="27"/>
  <c r="X17" i="26"/>
  <c r="X24" i="27"/>
  <c r="X31" i="28"/>
  <c r="Y30" i="15"/>
  <c r="X8" i="27"/>
  <c r="X8" i="28"/>
  <c r="X33" i="26"/>
  <c r="X32" i="26"/>
  <c r="X7" i="28"/>
  <c r="Y10" i="17"/>
  <c r="X5" i="27"/>
  <c r="X18" i="26"/>
  <c r="X6" i="26"/>
  <c r="X23" i="28"/>
  <c r="X22" i="27"/>
  <c r="X22" i="28"/>
  <c r="X7" i="26"/>
  <c r="X32" i="27"/>
  <c r="X30" i="28"/>
  <c r="X18" i="27"/>
  <c r="X31" i="26"/>
  <c r="X29" i="26"/>
  <c r="X6" i="28"/>
  <c r="X10" i="27"/>
  <c r="X21" i="27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9" i="6" s="1"/>
  <c r="X12" i="27"/>
  <c r="X24" i="26"/>
  <c r="X58" i="6"/>
  <c r="Y50" i="39"/>
  <c r="Y48" i="38"/>
  <c r="X19" i="14"/>
  <c r="X19" i="17" s="1"/>
  <c r="X31" i="27"/>
  <c r="X16" i="23"/>
  <c r="X16" i="26" s="1"/>
  <c r="X5" i="37"/>
  <c r="X33" i="37" s="1"/>
  <c r="X48" i="39"/>
  <c r="Y27" i="23"/>
  <c r="Y27" i="26" s="1"/>
  <c r="X55" i="6"/>
  <c r="X32" i="28"/>
  <c r="X161" i="6"/>
  <c r="Y5" i="16"/>
  <c r="X4" i="15"/>
  <c r="X169" i="6"/>
  <c r="X159" i="6"/>
  <c r="X155" i="6"/>
  <c r="X171" i="6"/>
  <c r="X131" i="6"/>
  <c r="X165" i="6"/>
  <c r="Y14" i="15"/>
  <c r="Y9" i="17"/>
  <c r="Y23" i="16"/>
  <c r="X156" i="6"/>
  <c r="X11" i="29"/>
  <c r="Y147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15" i="16"/>
  <c r="Y9" i="16"/>
  <c r="Y18" i="15"/>
  <c r="Y14" i="16"/>
  <c r="Y5" i="15"/>
  <c r="Y32" i="15"/>
  <c r="Y29" i="15"/>
  <c r="Y20" i="15"/>
  <c r="Y25" i="15"/>
  <c r="Y11" i="16"/>
  <c r="Y17" i="16"/>
  <c r="Y22" i="15"/>
  <c r="Y18" i="16"/>
  <c r="Y17" i="15"/>
  <c r="Y29" i="17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8" i="16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4" i="17"/>
  <c r="X140" i="6"/>
  <c r="X16" i="15"/>
  <c r="X20" i="17"/>
  <c r="X32" i="16"/>
  <c r="X8" i="15"/>
  <c r="X23" i="15"/>
  <c r="Y31" i="36"/>
  <c r="Y34" i="36"/>
  <c r="Y32" i="36"/>
  <c r="X8" i="36"/>
  <c r="X3" i="23"/>
  <c r="X3" i="11"/>
  <c r="Y159" i="6"/>
  <c r="Y135" i="6"/>
  <c r="Y34" i="37"/>
  <c r="X5" i="38"/>
  <c r="X38" i="38" s="1"/>
  <c r="X44" i="37"/>
  <c r="X3" i="31"/>
  <c r="Y163" i="6"/>
  <c r="Y165" i="6"/>
  <c r="Y3" i="31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X16" i="16"/>
  <c r="Y169" i="6"/>
  <c r="X16" i="25"/>
  <c r="X16" i="28" s="1"/>
  <c r="X30" i="16"/>
  <c r="X9" i="17"/>
  <c r="X31" i="17"/>
  <c r="X147" i="6"/>
  <c r="X26" i="15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36" i="39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X143" i="6"/>
  <c r="X167" i="6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X3" i="12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Y38" i="39"/>
  <c r="Y35" i="39"/>
  <c r="X31" i="36"/>
  <c r="X34" i="36"/>
  <c r="X32" i="36"/>
  <c r="X44" i="39"/>
  <c r="Y39" i="37"/>
  <c r="Y40" i="37"/>
  <c r="Y32" i="37"/>
  <c r="X37" i="39"/>
  <c r="X38" i="39" l="1"/>
  <c r="X3" i="10"/>
  <c r="X3" i="29"/>
  <c r="Y39" i="38"/>
  <c r="X35" i="39"/>
  <c r="X36" i="39"/>
  <c r="X31" i="39" s="1"/>
  <c r="X168" i="6"/>
  <c r="Y44" i="38"/>
  <c r="X39" i="37"/>
  <c r="X36" i="37"/>
  <c r="X37" i="37"/>
  <c r="Y44" i="39"/>
  <c r="Y36" i="37"/>
  <c r="X40" i="37"/>
  <c r="Y35" i="37"/>
  <c r="Y33" i="37"/>
  <c r="X32" i="37"/>
  <c r="Y37" i="37"/>
  <c r="X38" i="37"/>
  <c r="X34" i="37"/>
  <c r="Y38" i="37"/>
  <c r="Y31" i="37" s="1"/>
  <c r="X35" i="37"/>
  <c r="X31" i="37" s="1"/>
  <c r="X3" i="13"/>
  <c r="X3" i="16" s="1"/>
  <c r="X3" i="14"/>
  <c r="X153" i="6"/>
  <c r="X154" i="6"/>
  <c r="X121" i="6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Y3" i="34"/>
  <c r="Y3" i="25"/>
  <c r="X3" i="1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X3" i="17" l="1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M37" i="6"/>
  <c r="U37" i="6"/>
  <c r="H37" i="6"/>
  <c r="P37" i="6"/>
  <c r="D67" i="6"/>
  <c r="L67" i="6"/>
  <c r="T67" i="6"/>
  <c r="E31" i="6" l="1"/>
  <c r="H31" i="6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K5" i="29" s="1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R7" i="29"/>
  <c r="T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8" i="32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U3" i="34"/>
  <c r="S8" i="34"/>
  <c r="W3" i="33"/>
  <c r="W8" i="32"/>
  <c r="S3" i="31"/>
  <c r="S8" i="30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S3" i="35" l="1"/>
  <c r="R3" i="35"/>
  <c r="N3" i="29"/>
  <c r="W3" i="31"/>
  <c r="T3" i="35"/>
  <c r="U3" i="32"/>
  <c r="G3" i="29"/>
  <c r="S3" i="33"/>
  <c r="T3" i="31"/>
  <c r="U19" i="23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2" l="1"/>
  <c r="T3" i="14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W90" i="6" l="1"/>
  <c r="T56" i="6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E4" i="24" l="1"/>
  <c r="F29" i="23"/>
  <c r="K29" i="13"/>
  <c r="K29" i="12"/>
  <c r="C4" i="24"/>
  <c r="F4" i="24"/>
  <c r="E19" i="14"/>
  <c r="G16" i="12"/>
  <c r="K16" i="24"/>
  <c r="O4" i="24"/>
  <c r="C4" i="13"/>
  <c r="O4" i="23"/>
  <c r="O4" i="12"/>
  <c r="N19" i="24"/>
  <c r="C16" i="13"/>
  <c r="J29" i="13"/>
  <c r="C4" i="12"/>
  <c r="E4" i="23"/>
  <c r="H4" i="12"/>
  <c r="N19" i="23"/>
  <c r="G19" i="24"/>
  <c r="P29" i="12"/>
  <c r="H29" i="23"/>
  <c r="O29" i="13"/>
  <c r="P19" i="24"/>
  <c r="P19" i="27" s="1"/>
  <c r="J19" i="23"/>
  <c r="P29" i="13"/>
  <c r="P29" i="16" s="1"/>
  <c r="H29" i="24"/>
  <c r="H29" i="27" s="1"/>
  <c r="G19" i="23"/>
  <c r="G19" i="26" s="1"/>
  <c r="O29" i="23"/>
  <c r="O29" i="26" s="1"/>
  <c r="O29" i="12"/>
  <c r="C17" i="16"/>
  <c r="E4" i="13"/>
  <c r="P4" i="12"/>
  <c r="O4" i="13"/>
  <c r="O4" i="16" s="1"/>
  <c r="K4" i="24"/>
  <c r="D16" i="13"/>
  <c r="O16" i="24"/>
  <c r="B16" i="13"/>
  <c r="M29" i="24"/>
  <c r="L19" i="24"/>
  <c r="N29" i="13"/>
  <c r="K19" i="12"/>
  <c r="K19" i="15" s="1"/>
  <c r="H29" i="12"/>
  <c r="D16" i="25"/>
  <c r="D16" i="28" s="1"/>
  <c r="O29" i="24"/>
  <c r="J4" i="12"/>
  <c r="H4" i="23"/>
  <c r="Q16" i="13"/>
  <c r="Q16" i="16" s="1"/>
  <c r="O16" i="12"/>
  <c r="O16" i="15" s="1"/>
  <c r="N4" i="12"/>
  <c r="N4" i="15" s="1"/>
  <c r="L4" i="23"/>
  <c r="N29" i="24"/>
  <c r="D16" i="14"/>
  <c r="D16" i="17" s="1"/>
  <c r="K16" i="12"/>
  <c r="K16" i="15" s="1"/>
  <c r="I29" i="23"/>
  <c r="I29" i="26" s="1"/>
  <c r="C19" i="23"/>
  <c r="C19" i="26" s="1"/>
  <c r="F4" i="12"/>
  <c r="F4" i="15" s="1"/>
  <c r="E19" i="24"/>
  <c r="E19" i="27" s="1"/>
  <c r="P16" i="25"/>
  <c r="G29" i="12"/>
  <c r="G29" i="13"/>
  <c r="I4" i="23"/>
  <c r="I4" i="26" s="1"/>
  <c r="G16" i="13"/>
  <c r="G16" i="16" s="1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O16" i="13"/>
  <c r="O16" i="23"/>
  <c r="O16" i="26" s="1"/>
  <c r="F19" i="12"/>
  <c r="M16" i="24"/>
  <c r="J4" i="23"/>
  <c r="J4" i="26" s="1"/>
  <c r="P19" i="12"/>
  <c r="P19" i="15" s="1"/>
  <c r="H4" i="24"/>
  <c r="H4" i="27" s="1"/>
  <c r="M4" i="12"/>
  <c r="O19" i="24"/>
  <c r="O19" i="27" s="1"/>
  <c r="P16" i="24"/>
  <c r="P16" i="27" s="1"/>
  <c r="L19" i="13"/>
  <c r="L19" i="16" s="1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D4" i="13"/>
  <c r="N16" i="12"/>
  <c r="N16" i="15" s="1"/>
  <c r="E16" i="12"/>
  <c r="E16" i="15" s="1"/>
  <c r="I16" i="14"/>
  <c r="I16" i="17" s="1"/>
  <c r="Q4" i="23"/>
  <c r="Q4" i="26" s="1"/>
  <c r="J29" i="24"/>
  <c r="J29" i="27" s="1"/>
  <c r="P16" i="13"/>
  <c r="P16" i="16" s="1"/>
  <c r="C29" i="12"/>
  <c r="G16" i="24"/>
  <c r="I4" i="12"/>
  <c r="L16" i="13"/>
  <c r="L16" i="16" s="1"/>
  <c r="B29" i="13"/>
  <c r="B29" i="16" s="1"/>
  <c r="L4" i="24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B4" i="15" s="1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E29" i="12"/>
  <c r="E29" i="15" s="1"/>
  <c r="P27" i="13"/>
  <c r="P27" i="12"/>
  <c r="P27" i="15" s="1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N15" i="26"/>
  <c r="L17" i="26"/>
  <c r="L11" i="26"/>
  <c r="L7" i="27"/>
  <c r="L24" i="26"/>
  <c r="L6" i="27"/>
  <c r="L28" i="26"/>
  <c r="L14" i="27"/>
  <c r="L14" i="26"/>
  <c r="L10" i="28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L27" i="26"/>
  <c r="O8" i="17"/>
  <c r="P29" i="15"/>
  <c r="O31" i="15"/>
  <c r="O16" i="17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6"/>
  <c r="G29" i="10"/>
  <c r="F3" i="8"/>
  <c r="F16" i="15"/>
  <c r="F19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4" i="16"/>
  <c r="D3" i="9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1"/>
  <c r="N29" i="27"/>
  <c r="N29" i="21"/>
  <c r="D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B154" i="6" l="1"/>
  <c r="G3" i="13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25" i="4"/>
  <c r="B42" i="4"/>
  <c r="B21" i="4"/>
  <c r="B39" i="4"/>
  <c r="B17" i="4"/>
  <c r="B26" i="4"/>
  <c r="B22" i="4"/>
  <c r="B44" i="4"/>
  <c r="B10" i="4"/>
  <c r="B9" i="4"/>
  <c r="B13" i="4"/>
  <c r="B45" i="4"/>
  <c r="B27" i="4"/>
  <c r="B20" i="4"/>
  <c r="B35" i="4"/>
  <c r="B38" i="4"/>
  <c r="B4" i="4"/>
  <c r="B8" i="4"/>
  <c r="B43" i="4"/>
  <c r="B30" i="4"/>
  <c r="B15" i="4"/>
  <c r="B7" i="4"/>
  <c r="B36" i="4"/>
  <c r="B28" i="4"/>
  <c r="B24" i="4"/>
  <c r="B33" i="4"/>
  <c r="B37" i="4"/>
  <c r="B12" i="4"/>
  <c r="B16" i="4"/>
  <c r="B23" i="4"/>
  <c r="B11" i="4"/>
  <c r="B34" i="4"/>
  <c r="B29" i="4"/>
  <c r="B14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<sst xmlns="http://schemas.openxmlformats.org/spreadsheetml/2006/main" count="2101" uniqueCount="1057">
  <si>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</si>
  <si>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</si>
  <si>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</si>
  <si>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</si>
  <si>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</si>
  <si>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</si>
  <si>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</si>
  <si>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</si>
  <si>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</si>
  <si>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</si>
  <si>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</si>
  <si>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</si>
  <si>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</si>
  <si>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</si>
  <si>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</si>
  <si>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</si>
  <si>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</si>
  <si>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</si>
  <si>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</si>
  <si>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</si>
  <si>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</si>
  <si>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</si>
  <si>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</si>
  <si>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</si>
  <si>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</si>
  <si>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</si>
  <si>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</si>
  <si>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</si>
  <si>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</si>
  <si>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</si>
  <si>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</si>
  <si>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</si>
  <si>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</si>
  <si>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</si>
  <si>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</si>
  <si>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</si>
  <si>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</si>
  <si>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</si>
  <si>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</si>
  <si>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</si>
  <si>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</si>
  <si>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</si>
  <si>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</si>
  <si>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</si>
  <si>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</si>
  <si>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</si>
  <si>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</si>
  <si>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</si>
  <si>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</si>
  <si>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</si>
  <si>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</si>
  <si>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</si>
  <si>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</si>
  <si>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</si>
  <si>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</si>
  <si>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</si>
  <si>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</si>
  <si>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</si>
  <si>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</si>
  <si>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</si>
  <si>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</si>
  <si>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</si>
  <si>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</si>
  <si>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</si>
  <si>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</si>
  <si>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</si>
  <si>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</si>
  <si>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</si>
  <si>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</si>
  <si>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</si>
  <si>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</si>
  <si>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</si>
  <si>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</si>
  <si>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</si>
  <si>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</si>
  <si>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</si>
  <si>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</si>
  <si>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</si>
  <si>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</si>
  <si>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</si>
  <si>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</si>
  <si>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</si>
  <si>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</si>
  <si>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</si>
  <si>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</si>
  <si>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</si>
  <si>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</si>
  <si>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</si>
  <si>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</si>
  <si>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</si>
  <si>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</si>
  <si>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</si>
  <si>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</si>
  <si>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</si>
  <si>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</si>
  <si>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</si>
  <si>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</si>
  <si>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</si>
  <si>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</si>
  <si>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</si>
  <si>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</si>
  <si>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</si>
  <si>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</si>
  <si>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</si>
  <si>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</si>
  <si>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</si>
  <si>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</si>
  <si>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</si>
  <si>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</si>
  <si>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</si>
  <si>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</si>
  <si>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</si>
  <si>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</si>
  <si>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</si>
  <si>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</si>
  <si>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</si>
  <si>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</si>
  <si>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</si>
  <si>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</si>
  <si>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</si>
  <si>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</si>
  <si>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</si>
  <si>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</si>
  <si>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</si>
  <si>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</si>
  <si>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</si>
  <si>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</si>
  <si>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</si>
  <si>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</si>
  <si>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</si>
  <si>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</si>
  <si>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</si>
  <si>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</si>
  <si>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</si>
  <si>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</si>
  <si>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</si>
  <si>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</si>
  <si>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</si>
  <si>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</si>
  <si>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</si>
  <si>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</si>
  <si>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</si>
  <si>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</si>
  <si>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</si>
  <si>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</si>
  <si>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</si>
  <si>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</si>
  <si>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</si>
  <si>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</si>
  <si>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</si>
  <si>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</si>
  <si>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</si>
  <si>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</si>
  <si>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</si>
  <si>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</si>
  <si>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</si>
  <si>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</si>
  <si>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</si>
  <si>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</si>
  <si>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</si>
  <si>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</si>
  <si>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</si>
  <si>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</si>
  <si>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</si>
  <si>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</si>
  <si>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</si>
  <si>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</si>
  <si>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</si>
  <si>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</si>
  <si>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</si>
  <si>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</si>
  <si>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</si>
  <si>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</si>
  <si>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</si>
  <si>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</si>
  <si>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</si>
  <si>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</si>
  <si>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</si>
  <si>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</si>
  <si>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</si>
  <si>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</si>
  <si>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</si>
  <si>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</si>
  <si>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</si>
  <si>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</si>
  <si>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AT</t>
  </si>
  <si>
    <t>Austria</t>
  </si>
  <si>
    <t>AT - Services sector summary</t>
  </si>
  <si>
    <t>Macro.number.AT.Population</t>
  </si>
  <si>
    <t>Macro.Meuro2015.AT.GDP</t>
  </si>
  <si>
    <t>Macro.Meuro2015.AT.VA</t>
  </si>
  <si>
    <t>Macro.number.AT.Employees</t>
  </si>
  <si>
    <t>NUM.number.AT.Ser.Bld</t>
  </si>
  <si>
    <t>SurfaceArea.ksqm.AT.Ser.Bld</t>
  </si>
  <si>
    <t>NUM.number.AT.Ser.BldNew</t>
  </si>
  <si>
    <t>SurfaceArea.ksqm.AT.Ser.BldNew</t>
  </si>
  <si>
    <t>HDD.Celsius.AT.Actual</t>
  </si>
  <si>
    <t>HDD.Celsius.AT.Mean</t>
  </si>
  <si>
    <t>HDD.ratio.AT.Relative</t>
  </si>
  <si>
    <t>FEC.ktoe.AT.ES.Ser</t>
  </si>
  <si>
    <t>FEC.ktoe.AT.ES.Ser.Solids</t>
  </si>
  <si>
    <t>FEC.ktoe.AT.ES.Ser.LPG</t>
  </si>
  <si>
    <t>FEC.ktoe.AT.ES.Ser.Oil</t>
  </si>
  <si>
    <t>FEC.ktoe.AT.ES.Ser.NG</t>
  </si>
  <si>
    <t>FEC.ktoe.AT.ES.Ser.Biomass_Waste</t>
  </si>
  <si>
    <t>FEC.ktoe.AT.ES.Ser.Biogas</t>
  </si>
  <si>
    <t>FEC.ktoe.AT.ES.Ser.LiqBio</t>
  </si>
  <si>
    <t>FEC.ktoe.AT.ES.Ser.Solar</t>
  </si>
  <si>
    <t>FEC.ktoe.AT.ES.Ser.Geo</t>
  </si>
  <si>
    <t>FEC.ktoe.AT.ES.Ser.Ambient</t>
  </si>
  <si>
    <t>FEC.ktoe.AT.ES.Ser.Steam_Distr</t>
  </si>
  <si>
    <t>FEC.ktoe.AT.ES.Ser.Elec</t>
  </si>
  <si>
    <t>FEC.ktoe.AT.Ser</t>
  </si>
  <si>
    <t>FEC.ktoe.AT.Ser.Bld.Thermal</t>
  </si>
  <si>
    <t>FEC.ktoe.AT.Ser.Bld.Thermal.SH</t>
  </si>
  <si>
    <t>FEC.ktoe.AT.Ser.Bld.Thermal.SC</t>
  </si>
  <si>
    <t>FEC.ktoe.AT.Ser.Bld.Thermal.HW</t>
  </si>
  <si>
    <t>FEC.ktoe.AT.Ser.Bld.Thermal.CA</t>
  </si>
  <si>
    <t>FEC.ktoe.AT.Ser.SEU</t>
  </si>
  <si>
    <t>EMI.ktCO2.AT.ES.Ser</t>
  </si>
  <si>
    <t>EMI.ktCO2.AT.ES.Ser.Solids</t>
  </si>
  <si>
    <t>EMI.ktCO2.AT.ES.Ser.LPG</t>
  </si>
  <si>
    <t>EMI.ktCO2.AT.ES.Ser.Oil</t>
  </si>
  <si>
    <t>EMI.ktCO2.AT.ES.Ser.NG</t>
  </si>
  <si>
    <t>EMI.ktCO2.AT.ES.Ser.Biomass_Waste</t>
  </si>
  <si>
    <t>EMI.ktCO2.AT.ES.Ser.Biogas</t>
  </si>
  <si>
    <t>EMI.ktCO2.AT.ES.Ser.LiqBio</t>
  </si>
  <si>
    <t>EMI.ktCO2.AT.ES.Ser.Solar</t>
  </si>
  <si>
    <t>EMI.ktCO2.AT.ES.Ser.Geo</t>
  </si>
  <si>
    <t>EMI.ktCO2.AT.ES.Ser.Ambient</t>
  </si>
  <si>
    <t>EMI.ktCO2.AT.ES.Ser.Steam_Distr</t>
  </si>
  <si>
    <t>EMI.ktCO2.AT.ES.Ser.Elec</t>
  </si>
  <si>
    <t>EMI.ktCO2.AT.Ser</t>
  </si>
  <si>
    <t>EMI.ktCO2.AT.Ser.Bld.Thermal</t>
  </si>
  <si>
    <t>EMI.ktCO2.AT.Ser.Bld.Thermal.SH</t>
  </si>
  <si>
    <t>EMI.ktCO2.AT.Ser.Bld.Thermal.SC</t>
  </si>
  <si>
    <t>EMI.ktCO2.AT.Ser.Bld.Thermal.HW</t>
  </si>
  <si>
    <t>EMI.ktCO2.AT.Ser.Bld.Thermal.CA</t>
  </si>
  <si>
    <t>EMI.ktCO2.AT.Ser.SEU</t>
  </si>
  <si>
    <t>Eff.ratio.AT.Ser.Bld.Thermal</t>
  </si>
  <si>
    <t>Eff.ratio.AT.Ser.Bld.Thermal.SH</t>
  </si>
  <si>
    <t>Eff.ratio.AT.Ser.Bld.Thermal.SC</t>
  </si>
  <si>
    <t>Eff.ratio.AT.Ser.Bld.Thermal.HW</t>
  </si>
  <si>
    <t>Eff.ratio.AT.Ser.Bld.Thermal.CA</t>
  </si>
  <si>
    <t>AT - Number of buildings</t>
  </si>
  <si>
    <t>NUM.number.AT.Ser.Bld.Thermal</t>
  </si>
  <si>
    <t>NUM.number.AT.Ser.Bld.Thermal.SH</t>
  </si>
  <si>
    <t>NUM.number.AT.Ser.Bld.Thermal.SH.Solids</t>
  </si>
  <si>
    <t>NUM.number.AT.Ser.Bld.Thermal.SH.LPG</t>
  </si>
  <si>
    <t>NUM.number.AT.Ser.Bld.Thermal.SH.Oil</t>
  </si>
  <si>
    <t>NUM.number.AT.Ser.Bld.Thermal.SH.GasHP</t>
  </si>
  <si>
    <t>NUM.number.AT.Ser.Bld.Thermal.SH.GasTH</t>
  </si>
  <si>
    <t>NUM.number.AT.Ser.Bld.Thermal.SH.Biomass</t>
  </si>
  <si>
    <t>NUM.number.AT.Ser.Bld.Thermal.SH.Geo</t>
  </si>
  <si>
    <t>NUM.number.AT.Ser.Bld.Thermal.SH.DistrHeat</t>
  </si>
  <si>
    <t>NUM.number.AT.Ser.Bld.Thermal.SH.AdvElc</t>
  </si>
  <si>
    <t>NUM.number.AT.Ser.Bld.Thermal.SH.ConvElc</t>
  </si>
  <si>
    <t>NUM.number.AT.Ser.Bld.Thermal.SC</t>
  </si>
  <si>
    <t>NUM.number.AT.Ser.Bld.Thermal.SC.GasHP</t>
  </si>
  <si>
    <t>NUM.number.AT.Ser.Bld.Thermal.SC.AC</t>
  </si>
  <si>
    <t>NUM.number.AT.Ser.Bld.Thermal.HW</t>
  </si>
  <si>
    <t>NUM.number.AT.Ser.Bld.Thermal.HW.Solids</t>
  </si>
  <si>
    <t>NUM.number.AT.Ser.Bld.Thermal.HW.LPG</t>
  </si>
  <si>
    <t>NUM.number.AT.Ser.Bld.Thermal.HW.Oil</t>
  </si>
  <si>
    <t>NUM.number.AT.Ser.Bld.Thermal.HW.Gas</t>
  </si>
  <si>
    <t>NUM.number.AT.Ser.Bld.Thermal.HW.Biomass</t>
  </si>
  <si>
    <t>NUM.number.AT.Ser.Bld.Thermal.HW.DistrHeat</t>
  </si>
  <si>
    <t>NUM.number.AT.Ser.Bld.Thermal.HW.Elc</t>
  </si>
  <si>
    <t>NUM.number.AT.Ser.Bld.Thermal.HW.Solar</t>
  </si>
  <si>
    <t>NUM.number.AT.Ser.Bld.Thermal.CA</t>
  </si>
  <si>
    <t>NUM.number.AT.Ser.Bld.Thermal.CA.LPG</t>
  </si>
  <si>
    <t>NUM.number.AT.Ser.Bld.Thermal.CA.Gas</t>
  </si>
  <si>
    <t>NUM.number.AT.Ser.Bld.Thermal.CA.Biomass</t>
  </si>
  <si>
    <t>NUM.number.AT.Ser.Bld.Thermal.CA.Elc</t>
  </si>
  <si>
    <t>AT - Final energy consumption</t>
  </si>
  <si>
    <t>FEC.ktoe.AT.Ser.Bld.Thermal.SH.Solids.Solids</t>
  </si>
  <si>
    <t>FEC.ktoe.AT.Ser.Bld.Thermal.SH.LPG.LPG</t>
  </si>
  <si>
    <t>FEC.ktoe.AT.Ser.Bld.Thermal.SH.Oil.Oil_LiqBio</t>
  </si>
  <si>
    <t>FEC.ktoe.AT.Ser.Bld.Thermal.SH.GasHP.NG_Biogas</t>
  </si>
  <si>
    <t>FEC.ktoe.AT.Ser.Bld.Thermal.SH.GasTH.NG_Biogas</t>
  </si>
  <si>
    <t>FEC.ktoe.AT.Ser.Bld.Thermal.SH.Biomass.Biomass_Waste</t>
  </si>
  <si>
    <t>FEC.ktoe.AT.Ser.Bld.Thermal.SH.Geo.Geo</t>
  </si>
  <si>
    <t>FEC.ktoe.AT.Ser.Bld.Thermal.SH.DistrHeat.Steam_Distr</t>
  </si>
  <si>
    <t>FEC.ktoe.AT.Ser.Bld.Thermal.SH.AdvElc.Elec</t>
  </si>
  <si>
    <t>FEC.ktoe.AT.Ser.Bld.Thermal.SH.ConvElc.Elec</t>
  </si>
  <si>
    <t>FEC.ktoe.AT.Ser.Bld.Thermal.SH.TotalCirculation.Elec</t>
  </si>
  <si>
    <t>FEC.ktoe.AT.Ser.Bld.Thermal.SC.GasHP.NG_Biogas</t>
  </si>
  <si>
    <t>FEC.ktoe.AT.Ser.Bld.Thermal.SC.AC.Elec</t>
  </si>
  <si>
    <t>FEC.ktoe.AT.Ser.Bld.Thermal.HW.Solids.Solids</t>
  </si>
  <si>
    <t>FEC.ktoe.AT.Ser.Bld.Thermal.HW.LPG.LPG</t>
  </si>
  <si>
    <t>FEC.ktoe.AT.Ser.Bld.Thermal.HW.Oil.Oil_LiqBio</t>
  </si>
  <si>
    <t>FEC.ktoe.AT.Ser.Bld.Thermal.HW.Gas.NG_Biogas</t>
  </si>
  <si>
    <t>FEC.ktoe.AT.Ser.Bld.Thermal.HW.Biomass.Biomass_Waste</t>
  </si>
  <si>
    <t>FEC.ktoe.AT.Ser.Bld.Thermal.HW.DistrHeat.Steam_Distr</t>
  </si>
  <si>
    <t>FEC.ktoe.AT.Ser.Bld.Thermal.HW.Elc.Elec</t>
  </si>
  <si>
    <t>FEC.ktoe.AT.Ser.Bld.Thermal.HW.TotalSolar.Solar</t>
  </si>
  <si>
    <t>FEC.ktoe.AT.Ser.Bld.Thermal.CA.LPG</t>
  </si>
  <si>
    <t>FEC.ktoe.AT.Ser.Bld.Thermal.CA.Gas.NG_Biogas</t>
  </si>
  <si>
    <t>FEC.ktoe.AT.Ser.Bld.Thermal.CA.Biomass.Biomass_Waste</t>
  </si>
  <si>
    <t>FEC.ktoe.AT.Ser.Bld.Thermal.CA.Elc.Elec</t>
  </si>
  <si>
    <t>AT - Thermal energy service</t>
  </si>
  <si>
    <t>TES.ktoe.AT.Ser.Bld.Thermal</t>
  </si>
  <si>
    <t>TES.ktoe.AT.Ser.Bld.Thermal.SH</t>
  </si>
  <si>
    <t>TES.ktoe.AT.Ser.Bld.Thermal.SH.Solids.Solids</t>
  </si>
  <si>
    <t>TES.ktoe.AT.Ser.Bld.Thermal.SH.LPG.LPG</t>
  </si>
  <si>
    <t>TES.ktoe.AT.Ser.Bld.Thermal.SH.Oil.Oil_LiqBio</t>
  </si>
  <si>
    <t>TES.ktoe.AT.Ser.Bld.Thermal.SH.GasHP.NG_Biogas</t>
  </si>
  <si>
    <t>TES.ktoe.AT.Ser.Bld.Thermal.SH.GasTH.NG_Biogas</t>
  </si>
  <si>
    <t>TES.ktoe.AT.Ser.Bld.Thermal.SH.Biomass.Biomass_Waste</t>
  </si>
  <si>
    <t>TES.ktoe.AT.Ser.Bld.Thermal.SH.Geo.Geo</t>
  </si>
  <si>
    <t>TES.ktoe.AT.Ser.Bld.Thermal.SH.DistrHeat.Steam_Distr</t>
  </si>
  <si>
    <t>TES.ktoe.AT.Ser.Bld.Thermal.SH.AdvElc.Elec</t>
  </si>
  <si>
    <t>TES.ktoe.AT.Ser.Bld.Thermal.SH.ConvElc.Elec</t>
  </si>
  <si>
    <t>TES.ktoe.AT.Ser.Bld.Thermal.SH.TotalCirculation.Elec</t>
  </si>
  <si>
    <t>TES.ktoe.AT.Ser.Bld.Thermal.SC</t>
  </si>
  <si>
    <t>TES.ktoe.AT.Ser.Bld.Thermal.SC.GasHP.NG_Biogas</t>
  </si>
  <si>
    <t>TES.ktoe.AT.Ser.Bld.Thermal.SC.AC.Elec</t>
  </si>
  <si>
    <t>TES.ktoe.AT.Ser.Bld.Thermal.HW</t>
  </si>
  <si>
    <t>TES.ktoe.AT.Ser.Bld.Thermal.HW.Solids.Solids</t>
  </si>
  <si>
    <t>TES.ktoe.AT.Ser.Bld.Thermal.HW.LPG.LPG</t>
  </si>
  <si>
    <t>TES.ktoe.AT.Ser.Bld.Thermal.HW.Oil.Oil_LiqBio</t>
  </si>
  <si>
    <t>TES.ktoe.AT.Ser.Bld.Thermal.HW.Gas.NG_Biogas</t>
  </si>
  <si>
    <t>TES.ktoe.AT.Ser.Bld.Thermal.HW.Biomass.Biomass_Waste</t>
  </si>
  <si>
    <t>TES.ktoe.AT.Ser.Bld.Thermal.HW.DistrHeat.Steam_Distr</t>
  </si>
  <si>
    <t>TES.ktoe.AT.Ser.Bld.Thermal.HW.Elc.Elec</t>
  </si>
  <si>
    <t>TES.ktoe.AT.Ser.Bld.Thermal.HW.TotalSolar.Solar</t>
  </si>
  <si>
    <t>TES.ktoe.AT.Ser.Bld.Thermal.CA</t>
  </si>
  <si>
    <t>TES.ktoe.AT.Ser.Bld.Thermal.CA.LPG</t>
  </si>
  <si>
    <t>TES.ktoe.AT.Ser.Bld.Thermal.CA.Gas.NG_Biogas</t>
  </si>
  <si>
    <t>TES.ktoe.AT.Ser.Bld.Thermal.CA.Biomass.Biomass_Waste</t>
  </si>
  <si>
    <t>TES.ktoe.AT.Ser.Bld.Thermal.CA.Elc.Elec</t>
  </si>
  <si>
    <t>AT - System efficiency indicator of total stock</t>
  </si>
  <si>
    <t>Eff.ratio.AT.Ser.Bld.Thermal.SH.Solids.Solids</t>
  </si>
  <si>
    <t>Eff.ratio.AT.Ser.Bld.Thermal.SH.LPG.LPG</t>
  </si>
  <si>
    <t>Eff.ratio.AT.Ser.Bld.Thermal.SH.Oil.Oil_LiqBio</t>
  </si>
  <si>
    <t>Eff.ratio.AT.Ser.Bld.Thermal.SH.GasHP.NG_Biogas</t>
  </si>
  <si>
    <t>Eff.ratio.AT.Ser.Bld.Thermal.SH.GasTH.NG_Biogas</t>
  </si>
  <si>
    <t>Eff.ratio.AT.Ser.Bld.Thermal.SH.Biomass.Biomass_Waste</t>
  </si>
  <si>
    <t>Eff.ratio.AT.Ser.Bld.Thermal.SH.Geo.Geo</t>
  </si>
  <si>
    <t>Eff.ratio.AT.Ser.Bld.Thermal.SH.DistrHeat.Steam_Distr</t>
  </si>
  <si>
    <t>Eff.ratio.AT.Ser.Bld.Thermal.SH.AdvElc.Elec</t>
  </si>
  <si>
    <t>Eff.ratio.AT.Ser.Bld.Thermal.SH.ConvElc.Elec</t>
  </si>
  <si>
    <t>Eff.ratio.AT.Ser.Bld.Thermal.SH.TotalCirculation.Elec</t>
  </si>
  <si>
    <t>Eff.ratio.AT.Ser.Bld.Thermal.SC.GasHP.NG_Biogas</t>
  </si>
  <si>
    <t>Eff.ratio.AT.Ser.Bld.Thermal.SC.AC.Elec</t>
  </si>
  <si>
    <t>Eff.ratio.AT.Ser.Bld.Thermal.HW.Solids.Solids</t>
  </si>
  <si>
    <t>Eff.ratio.AT.Ser.Bld.Thermal.HW.LPG.LPG</t>
  </si>
  <si>
    <t>Eff.ratio.AT.Ser.Bld.Thermal.HW.Oil.Oil_LiqBio</t>
  </si>
  <si>
    <t>Eff.ratio.AT.Ser.Bld.Thermal.HW.Gas.NG_Biogas</t>
  </si>
  <si>
    <t>Eff.ratio.AT.Ser.Bld.Thermal.HW.Biomass.Biomass_Waste</t>
  </si>
  <si>
    <t>Eff.ratio.AT.Ser.Bld.Thermal.HW.DistrHeat.Steam_Distr</t>
  </si>
  <si>
    <t>Eff.ratio.AT.Ser.Bld.Thermal.HW.Elc.Elec</t>
  </si>
  <si>
    <t>Eff.ratio.AT.Ser.Bld.Thermal.HW.TotalSolar.Solar</t>
  </si>
  <si>
    <t>Eff.ratio.AT.Ser.Bld.Thermal.CA.LPG</t>
  </si>
  <si>
    <t>Eff.ratio.AT.Ser.Bld.Thermal.CA.Gas.NG_Biogas</t>
  </si>
  <si>
    <t>Eff.ratio.AT.Ser.Bld.Thermal.CA.Biomass.Biomass_Waste</t>
  </si>
  <si>
    <t>Eff.ratio.AT.Ser.Bld.Thermal.CA.Elc.Elec</t>
  </si>
  <si>
    <t>AT - CO2 emissions</t>
  </si>
  <si>
    <t>EMI.ktCO2.AT.Ser.Bld.Thermal.SH.Solids.Solids</t>
  </si>
  <si>
    <t>EMI.ktCO2.AT.Ser.Bld.Thermal.SH.LPG.LPG</t>
  </si>
  <si>
    <t>EMI.ktCO2.AT.Ser.Bld.Thermal.SH.Oil.Oil_LiqBio</t>
  </si>
  <si>
    <t>EMI.ktCO2.AT.Ser.Bld.Thermal.SH.GasHP.NG_Biogas</t>
  </si>
  <si>
    <t>EMI.ktCO2.AT.Ser.Bld.Thermal.SH.GasTH.NG_Biogas</t>
  </si>
  <si>
    <t>EMI.ktCO2.AT.Ser.Bld.Thermal.SH.Biomass.Biomass_Waste</t>
  </si>
  <si>
    <t>EMI.ktCO2.AT.Ser.Bld.Thermal.SH.Geo.Geo</t>
  </si>
  <si>
    <t>EMI.ktCO2.AT.Ser.Bld.Thermal.SH.DistrHeat.Steam_Distr</t>
  </si>
  <si>
    <t>EMI.ktCO2.AT.Ser.Bld.Thermal.SH.AdvElc.Elec</t>
  </si>
  <si>
    <t>EMI.ktCO2.AT.Ser.Bld.Thermal.SH.ConvElc.Elec</t>
  </si>
  <si>
    <t>EMI.ktCO2.AT.Ser.Bld.Thermal.SH.TotalCirculation.Elec</t>
  </si>
  <si>
    <t>EMI.ktCO2.AT.Ser.Bld.Thermal.SC.GasHP.NG_Biogas</t>
  </si>
  <si>
    <t>EMI.ktCO2.AT.Ser.Bld.Thermal.SC.AC.Elec</t>
  </si>
  <si>
    <t>EMI.ktCO2.AT.Ser.Bld.Thermal.HW.Solids.Solids</t>
  </si>
  <si>
    <t>EMI.ktCO2.AT.Ser.Bld.Thermal.HW.LPG.LPG</t>
  </si>
  <si>
    <t>EMI.ktCO2.AT.Ser.Bld.Thermal.HW.Oil.Oil_LiqBio</t>
  </si>
  <si>
    <t>EMI.ktCO2.AT.Ser.Bld.Thermal.HW.Gas.NG_Biogas</t>
  </si>
  <si>
    <t>EMI.ktCO2.AT.Ser.Bld.Thermal.HW.Biomass.Biomass_Waste</t>
  </si>
  <si>
    <t>EMI.ktCO2.AT.Ser.Bld.Thermal.HW.DistrHeat.Steam_Distr</t>
  </si>
  <si>
    <t>EMI.ktCO2.AT.Ser.Bld.Thermal.HW.Elc.Elec</t>
  </si>
  <si>
    <t>EMI.ktCO2.AT.Ser.Bld.Thermal.HW.TotalSolar.Solar</t>
  </si>
  <si>
    <t>EMI.ktCO2.AT.Ser.Bld.Thermal.CA.LPG</t>
  </si>
  <si>
    <t>EMI.ktCO2.AT.Ser.Bld.Thermal.CA.Gas.NG_Biogas</t>
  </si>
  <si>
    <t>EMI.ktCO2.AT.Ser.Bld.Thermal.CA.Biomass.Biomass_Waste</t>
  </si>
  <si>
    <t>EMI.ktCO2.AT.Ser.Bld.Thermal.CA.Elc.Elec</t>
  </si>
  <si>
    <t>AT - Final energy consumption per building</t>
  </si>
  <si>
    <t>FEC_per_building.kWh.AT.Ser.Bld.Thermal</t>
  </si>
  <si>
    <t>FEC_per_building.kWh.AT.Ser.Bld.Thermal.SH</t>
  </si>
  <si>
    <t>FEC_per_building.kWh.AT.Ser.Bld.Thermal.SH.Solids.Solids</t>
  </si>
  <si>
    <t>FEC_per_building.kWh.AT.Ser.Bld.Thermal.SH.LPG.LPG</t>
  </si>
  <si>
    <t>FEC_per_building.kWh.AT.Ser.Bld.Thermal.SH.Oil.Oil_LiqBio</t>
  </si>
  <si>
    <t>FEC_per_building.kWh.AT.Ser.Bld.Thermal.SH.GasHP.NG_Biogas</t>
  </si>
  <si>
    <t>FEC_per_building.kWh.AT.Ser.Bld.Thermal.SH.GasTH.NG_Biogas</t>
  </si>
  <si>
    <t>FEC_per_building.kWh.AT.Ser.Bld.Thermal.SH.Biomass.Biomass_Waste</t>
  </si>
  <si>
    <t>FEC_per_building.kWh.AT.Ser.Bld.Thermal.SH.Geo.Geo</t>
  </si>
  <si>
    <t>FEC_per_building.kWh.AT.Ser.Bld.Thermal.SH.DistrHeat.Steam_Distr</t>
  </si>
  <si>
    <t>FEC_per_building.kWh.AT.Ser.Bld.Thermal.SH.AdvElc.Elec</t>
  </si>
  <si>
    <t>FEC_per_building.kWh.AT.Ser.Bld.Thermal.SH.ConvElc.Elec</t>
  </si>
  <si>
    <t>FEC_per_building.kWh.AT.Ser.Bld.Thermal.SH.TotalCirculation.Elec</t>
  </si>
  <si>
    <t>FEC_per_building.kWh.AT.Ser.Bld.Thermal.SC</t>
  </si>
  <si>
    <t>FEC_per_building.kWh.AT.Ser.Bld.Thermal.SC.GasHP.NG_Biogas</t>
  </si>
  <si>
    <t>FEC_per_building.kWh.AT.Ser.Bld.Thermal.SC.AC.Elec</t>
  </si>
  <si>
    <t>FEC_per_building.kWh.AT.Ser.Bld.Thermal.HW</t>
  </si>
  <si>
    <t>FEC_per_building.kWh.AT.Ser.Bld.Thermal.HW.Solids.Solids</t>
  </si>
  <si>
    <t>FEC_per_building.kWh.AT.Ser.Bld.Thermal.HW.LPG.LPG</t>
  </si>
  <si>
    <t>FEC_per_building.kWh.AT.Ser.Bld.Thermal.HW.Oil.Oil_LiqBio</t>
  </si>
  <si>
    <t>FEC_per_building.kWh.AT.Ser.Bld.Thermal.HW.Gas.NG_Biogas</t>
  </si>
  <si>
    <t>FEC_per_building.kWh.AT.Ser.Bld.Thermal.HW.Biomass.Biomass_Waste</t>
  </si>
  <si>
    <t>FEC_per_building.kWh.AT.Ser.Bld.Thermal.HW.DistrHeat.Steam_Distr</t>
  </si>
  <si>
    <t>FEC_per_building.kWh.AT.Ser.Bld.Thermal.HW.Elc.Elec</t>
  </si>
  <si>
    <t>FEC_per_building.kWh.AT.Ser.Bld.Thermal.HW.TotalSolar.Solar</t>
  </si>
  <si>
    <t>FEC_per_building.kWh.AT.Ser.Bld.Thermal.CA</t>
  </si>
  <si>
    <t>FEC_per_building.kWh.AT.Ser.Bld.Thermal.CA.LPG</t>
  </si>
  <si>
    <t>FEC_per_building.kWh.AT.Ser.Bld.Thermal.CA.Gas.NG_Biogas</t>
  </si>
  <si>
    <t>FEC_per_building.kWh.AT.Ser.Bld.Thermal.CA.Biomass.Biomass_Waste</t>
  </si>
  <si>
    <t>FEC_per_building.kWh.AT.Ser.Bld.Thermal.CA.Elc.Elec</t>
  </si>
  <si>
    <t>AT - Thermal energy service per building</t>
  </si>
  <si>
    <t>TES_per_building.kWh.AT.Ser.Bld.Thermal</t>
  </si>
  <si>
    <t>TES_per_building.kWh.AT.Ser.Bld.Thermal.SH</t>
  </si>
  <si>
    <t>TES_per_building.kWh.AT.Ser.Bld.Thermal.SH.Solids.Solids</t>
  </si>
  <si>
    <t>TES_per_building.kWh.AT.Ser.Bld.Thermal.SH.LPG.LPG</t>
  </si>
  <si>
    <t>TES_per_building.kWh.AT.Ser.Bld.Thermal.SH.Oil.Oil_LiqBio</t>
  </si>
  <si>
    <t>TES_per_building.kWh.AT.Ser.Bld.Thermal.SH.GasHP.NG_Biogas</t>
  </si>
  <si>
    <t>TES_per_building.kWh.AT.Ser.Bld.Thermal.SH.GasTH.NG_Biogas</t>
  </si>
  <si>
    <t>TES_per_building.kWh.AT.Ser.Bld.Thermal.SH.Biomass.Biomass_Waste</t>
  </si>
  <si>
    <t>TES_per_building.kWh.AT.Ser.Bld.Thermal.SH.Geo.Geo</t>
  </si>
  <si>
    <t>TES_per_building.kWh.AT.Ser.Bld.Thermal.SH.DistrHeat.Steam_Distr</t>
  </si>
  <si>
    <t>TES_per_building.kWh.AT.Ser.Bld.Thermal.SH.AdvElc.Elec</t>
  </si>
  <si>
    <t>TES_per_building.kWh.AT.Ser.Bld.Thermal.SH.ConvElc.Elec</t>
  </si>
  <si>
    <t>TES_per_building.kWh.AT.Ser.Bld.Thermal.SH.TotalCirculation.Elec</t>
  </si>
  <si>
    <t>TES_per_building.kWh.AT.Ser.Bld.Thermal.SC</t>
  </si>
  <si>
    <t>TES_per_building.kWh.AT.Ser.Bld.Thermal.SC.GasHP.NG_Biogas</t>
  </si>
  <si>
    <t>TES_per_building.kWh.AT.Ser.Bld.Thermal.SC.AC.Elec</t>
  </si>
  <si>
    <t>TES_per_building.kWh.AT.Ser.Bld.Thermal.HW</t>
  </si>
  <si>
    <t>TES_per_building.kWh.AT.Ser.Bld.Thermal.HW.Solids.Solids</t>
  </si>
  <si>
    <t>TES_per_building.kWh.AT.Ser.Bld.Thermal.HW.LPG.LPG</t>
  </si>
  <si>
    <t>TES_per_building.kWh.AT.Ser.Bld.Thermal.HW.Oil.Oil_LiqBio</t>
  </si>
  <si>
    <t>TES_per_building.kWh.AT.Ser.Bld.Thermal.HW.Gas.NG_Biogas</t>
  </si>
  <si>
    <t>TES_per_building.kWh.AT.Ser.Bld.Thermal.HW.Biomass.Biomass_Waste</t>
  </si>
  <si>
    <t>TES_per_building.kWh.AT.Ser.Bld.Thermal.HW.DistrHeat.Steam_Distr</t>
  </si>
  <si>
    <t>TES_per_building.kWh.AT.Ser.Bld.Thermal.HW.Elc.Elec</t>
  </si>
  <si>
    <t>TES_per_building.kWh.AT.Ser.Bld.Thermal.HW.TotalSolar.Solar</t>
  </si>
  <si>
    <t>TES_per_building.kWh.AT.Ser.Bld.Thermal.CA</t>
  </si>
  <si>
    <t>TES_per_building.kWh.AT.Ser.Bld.Thermal.CA.LPG</t>
  </si>
  <si>
    <t>TES_per_building.kWh.AT.Ser.Bld.Thermal.CA.Gas.NG_Biogas</t>
  </si>
  <si>
    <t>TES_per_building.kWh.AT.Ser.Bld.Thermal.CA.Biomass.Biomass_Waste</t>
  </si>
  <si>
    <t>TES_per_building.kWh.AT.Ser.Bld.Thermal.CA.Elc.Elec</t>
  </si>
  <si>
    <t>AT - CO2 emissions per building</t>
  </si>
  <si>
    <t>EMI_per_building.kgCO2.AT.Ser.Bld.Thermal</t>
  </si>
  <si>
    <t>EMI_per_building.kgCO2.AT.Ser.Bld.Thermal.SH</t>
  </si>
  <si>
    <t>EMI_per_building.kgCO2.AT.Ser.Bld.Thermal.SH.Solids.Solids</t>
  </si>
  <si>
    <t>EMI_per_building.kgCO2.AT.Ser.Bld.Thermal.SH.LPG.LPG</t>
  </si>
  <si>
    <t>EMI_per_building.kgCO2.AT.Ser.Bld.Thermal.SH.Oil.Oil_LiqBio</t>
  </si>
  <si>
    <t>EMI_per_building.kgCO2.AT.Ser.Bld.Thermal.SH.GasHP.NG_Biogas</t>
  </si>
  <si>
    <t>EMI_per_building.kgCO2.AT.Ser.Bld.Thermal.SH.GasTH.NG_Biogas</t>
  </si>
  <si>
    <t>EMI_per_building.kgCO2.AT.Ser.Bld.Thermal.SH.Biomass.Biomass_Waste</t>
  </si>
  <si>
    <t>EMI_per_building.kgCO2.AT.Ser.Bld.Thermal.SH.Geo.Geo</t>
  </si>
  <si>
    <t>EMI_per_building.kgCO2.AT.Ser.Bld.Thermal.SH.DistrHeat.Steam_Distr</t>
  </si>
  <si>
    <t>EMI_per_building.kgCO2.AT.Ser.Bld.Thermal.SH.AdvElc.Elec</t>
  </si>
  <si>
    <t>EMI_per_building.kgCO2.AT.Ser.Bld.Thermal.SH.ConvElc.Elec</t>
  </si>
  <si>
    <t>EMI_per_building.kgCO2.AT.Ser.Bld.Thermal.SH.TotalCirculation.Elec</t>
  </si>
  <si>
    <t>EMI_per_building.kgCO2.AT.Ser.Bld.Thermal.SC</t>
  </si>
  <si>
    <t>EMI_per_building.kgCO2.AT.Ser.Bld.Thermal.SC.GasHP.NG_Biogas</t>
  </si>
  <si>
    <t>EMI_per_building.kgCO2.AT.Ser.Bld.Thermal.SC.AC.Elec</t>
  </si>
  <si>
    <t>EMI_per_building.kgCO2.AT.Ser.Bld.Thermal.HW</t>
  </si>
  <si>
    <t>EMI_per_building.kgCO2.AT.Ser.Bld.Thermal.HW.Solids.Solids</t>
  </si>
  <si>
    <t>EMI_per_building.kgCO2.AT.Ser.Bld.Thermal.HW.LPG.LPG</t>
  </si>
  <si>
    <t>EMI_per_building.kgCO2.AT.Ser.Bld.Thermal.HW.Oil.Oil_LiqBio</t>
  </si>
  <si>
    <t>EMI_per_building.kgCO2.AT.Ser.Bld.Thermal.HW.Gas.NG_Biogas</t>
  </si>
  <si>
    <t>EMI_per_building.kgCO2.AT.Ser.Bld.Thermal.HW.Biomass.Biomass_Waste</t>
  </si>
  <si>
    <t>EMI_per_building.kgCO2.AT.Ser.Bld.Thermal.HW.DistrHeat.Steam_Distr</t>
  </si>
  <si>
    <t>EMI_per_building.kgCO2.AT.Ser.Bld.Thermal.HW.Elc.Elec</t>
  </si>
  <si>
    <t>EMI_per_building.kgCO2.AT.Ser.Bld.Thermal.HW.TotalSolar.Solar</t>
  </si>
  <si>
    <t>EMI_per_building.kgCO2.AT.Ser.Bld.Thermal.CA</t>
  </si>
  <si>
    <t>EMI_per_building.kgCO2.AT.Ser.Bld.Thermal.CA.LPG</t>
  </si>
  <si>
    <t>EMI_per_building.kgCO2.AT.Ser.Bld.Thermal.CA.Gas.NG_Biogas</t>
  </si>
  <si>
    <t>EMI_per_building.kgCO2.AT.Ser.Bld.Thermal.CA.Biomass.Biomass_Waste</t>
  </si>
  <si>
    <t>EMI_per_building.kgCO2.AT.Ser.Bld.Thermal.CA.Elc.Elec</t>
  </si>
  <si>
    <t>AT - Final energy consumption per useful surface area</t>
  </si>
  <si>
    <t>FEC_per_sqm.kWh.AT.Ser.Bld.Thermal</t>
  </si>
  <si>
    <t>FEC_per_sqm.kWh.AT.Ser.Bld.Thermal.SH</t>
  </si>
  <si>
    <t>FEC_per_sqm.kWh.AT.Ser.Bld.Thermal.SH.Solids.Solids</t>
  </si>
  <si>
    <t>FEC_per_sqm.kWh.AT.Ser.Bld.Thermal.SH.LPG.LPG</t>
  </si>
  <si>
    <t>FEC_per_sqm.kWh.AT.Ser.Bld.Thermal.SH.Oil.Oil_LiqBio</t>
  </si>
  <si>
    <t>FEC_per_sqm.kWh.AT.Ser.Bld.Thermal.SH.GasHP.NG_Biogas</t>
  </si>
  <si>
    <t>FEC_per_sqm.kWh.AT.Ser.Bld.Thermal.SH.GasTH.NG_Biogas</t>
  </si>
  <si>
    <t>FEC_per_sqm.kWh.AT.Ser.Bld.Thermal.SH.Biomass.Biomass_Waste</t>
  </si>
  <si>
    <t>FEC_per_sqm.kWh.AT.Ser.Bld.Thermal.SH.Geo.Geo</t>
  </si>
  <si>
    <t>FEC_per_sqm.kWh.AT.Ser.Bld.Thermal.SH.DistrHeat.Steam_Distr</t>
  </si>
  <si>
    <t>FEC_per_sqm.kWh.AT.Ser.Bld.Thermal.SH.AdvElc.Elec</t>
  </si>
  <si>
    <t>FEC_per_sqm.kWh.AT.Ser.Bld.Thermal.SH.ConvElc.Elec</t>
  </si>
  <si>
    <t>FEC_per_sqm.kWh.AT.Ser.Bld.Thermal.SH.TotalCirculation.Elec</t>
  </si>
  <si>
    <t>FEC_per_sqm.kWh.AT.Ser.Bld.Thermal.SC</t>
  </si>
  <si>
    <t>FEC_per_sqm.kWh.AT.Ser.Bld.Thermal.SC.GasHP.NG_Biogas</t>
  </si>
  <si>
    <t>FEC_per_sqm.kWh.AT.Ser.Bld.Thermal.SC.AC.Elec</t>
  </si>
  <si>
    <t>FEC_per_sqm.kWh.AT.Ser.Bld.Thermal.HW</t>
  </si>
  <si>
    <t>FEC_per_sqm.kWh.AT.Ser.Bld.Thermal.HW.Solids.Solids</t>
  </si>
  <si>
    <t>FEC_per_sqm.kWh.AT.Ser.Bld.Thermal.HW.LPG.LPG</t>
  </si>
  <si>
    <t>FEC_per_sqm.kWh.AT.Ser.Bld.Thermal.HW.Oil.Oil_LiqBio</t>
  </si>
  <si>
    <t>FEC_per_sqm.kWh.AT.Ser.Bld.Thermal.HW.Gas.NG_Biogas</t>
  </si>
  <si>
    <t>FEC_per_sqm.kWh.AT.Ser.Bld.Thermal.HW.Biomass.Biomass_Waste</t>
  </si>
  <si>
    <t>FEC_per_sqm.kWh.AT.Ser.Bld.Thermal.HW.DistrHeat.Steam_Distr</t>
  </si>
  <si>
    <t>FEC_per_sqm.kWh.AT.Ser.Bld.Thermal.HW.Elc.Elec</t>
  </si>
  <si>
    <t>FEC_per_sqm.kWh.AT.Ser.Bld.Thermal.HW.TotalSolar.Solar</t>
  </si>
  <si>
    <t>FEC_per_sqm.kWh.AT.Ser.Bld.Thermal.CA</t>
  </si>
  <si>
    <t>FEC_per_sqm.kWh.AT.Ser.Bld.Thermal.CA.LPG</t>
  </si>
  <si>
    <t>FEC_per_sqm.kWh.AT.Ser.Bld.Thermal.CA.Gas.NG_Biogas</t>
  </si>
  <si>
    <t>FEC_per_sqm.kWh.AT.Ser.Bld.Thermal.CA.Biomass.Biomass_Waste</t>
  </si>
  <si>
    <t>FEC_per_sqm.kWh.AT.Ser.Bld.Thermal.CA.Elc.Elec</t>
  </si>
  <si>
    <t>AT - Thermal energy service per useful surface area</t>
  </si>
  <si>
    <t>TES_per_sqm.kWh.AT.Ser.Bld.Thermal</t>
  </si>
  <si>
    <t>TES_per_sqm.kWh.AT.Ser.Bld.Thermal.SH</t>
  </si>
  <si>
    <t>TES_per_sqm.kWh.AT.Ser.Bld.Thermal.SH.Solids.Solids</t>
  </si>
  <si>
    <t>TES_per_sqm.kWh.AT.Ser.Bld.Thermal.SH.LPG.LPG</t>
  </si>
  <si>
    <t>TES_per_sqm.kWh.AT.Ser.Bld.Thermal.SH.Oil.Oil_LiqBio</t>
  </si>
  <si>
    <t>TES_per_sqm.kWh.AT.Ser.Bld.Thermal.SH.GasHP.NG_Biogas</t>
  </si>
  <si>
    <t>TES_per_sqm.kWh.AT.Ser.Bld.Thermal.SH.GasTH.NG_Biogas</t>
  </si>
  <si>
    <t>TES_per_sqm.kWh.AT.Ser.Bld.Thermal.SH.Biomass.Biomass_Waste</t>
  </si>
  <si>
    <t>TES_per_sqm.kWh.AT.Ser.Bld.Thermal.SH.Geo.Geo</t>
  </si>
  <si>
    <t>TES_per_sqm.kWh.AT.Ser.Bld.Thermal.SH.DistrHeat.Steam_Distr</t>
  </si>
  <si>
    <t>TES_per_sqm.kWh.AT.Ser.Bld.Thermal.SH.AdvElc.Elec</t>
  </si>
  <si>
    <t>TES_per_sqm.kWh.AT.Ser.Bld.Thermal.SH.ConvElc.Elec</t>
  </si>
  <si>
    <t>TES_per_sqm.kWh.AT.Ser.Bld.Thermal.SH.TotalCirculation.Elec</t>
  </si>
  <si>
    <t>TES_per_sqm.kWh.AT.Ser.Bld.Thermal.SC</t>
  </si>
  <si>
    <t>TES_per_sqm.kWh.AT.Ser.Bld.Thermal.SC.GasHP.NG_Biogas</t>
  </si>
  <si>
    <t>TES_per_sqm.kWh.AT.Ser.Bld.Thermal.SC.AC.Elec</t>
  </si>
  <si>
    <t>TES_per_sqm.kWh.AT.Ser.Bld.Thermal.HW</t>
  </si>
  <si>
    <t>TES_per_sqm.kWh.AT.Ser.Bld.Thermal.HW.Solids.Solids</t>
  </si>
  <si>
    <t>TES_per_sqm.kWh.AT.Ser.Bld.Thermal.HW.LPG.LPG</t>
  </si>
  <si>
    <t>TES_per_sqm.kWh.AT.Ser.Bld.Thermal.HW.Oil.Oil_LiqBio</t>
  </si>
  <si>
    <t>TES_per_sqm.kWh.AT.Ser.Bld.Thermal.HW.Gas.NG_Biogas</t>
  </si>
  <si>
    <t>TES_per_sqm.kWh.AT.Ser.Bld.Thermal.HW.Biomass.Biomass_Waste</t>
  </si>
  <si>
    <t>TES_per_sqm.kWh.AT.Ser.Bld.Thermal.HW.DistrHeat.Steam_Distr</t>
  </si>
  <si>
    <t>TES_per_sqm.kWh.AT.Ser.Bld.Thermal.HW.Elc.Elec</t>
  </si>
  <si>
    <t>TES_per_sqm.kWh.AT.Ser.Bld.Thermal.HW.TotalSolar.Solar</t>
  </si>
  <si>
    <t>TES_per_sqm.kWh.AT.Ser.Bld.Thermal.CA</t>
  </si>
  <si>
    <t>TES_per_sqm.kWh.AT.Ser.Bld.Thermal.CA.LPG</t>
  </si>
  <si>
    <t>TES_per_sqm.kWh.AT.Ser.Bld.Thermal.CA.Gas.NG_Biogas</t>
  </si>
  <si>
    <t>TES_per_sqm.kWh.AT.Ser.Bld.Thermal.CA.Biomass.Biomass_Waste</t>
  </si>
  <si>
    <t>TES_per_sqm.kWh.AT.Ser.Bld.Thermal.CA.Elc.Elec</t>
  </si>
  <si>
    <t>AT - CO2 emissions per useful surface area</t>
  </si>
  <si>
    <t>EMI_per_sqm.kgCO2.AT.Ser.Bld.Thermal</t>
  </si>
  <si>
    <t>EMI_per_sqm.kgCO2.AT.Ser.Bld.Thermal.SH</t>
  </si>
  <si>
    <t>EMI_per_sqm.kgCO2.AT.Ser.Bld.Thermal.SH.Solids.Solids</t>
  </si>
  <si>
    <t>EMI_per_sqm.kgCO2.AT.Ser.Bld.Thermal.SH.LPG.LPG</t>
  </si>
  <si>
    <t>EMI_per_sqm.kgCO2.AT.Ser.Bld.Thermal.SH.Oil.Oil_LiqBio</t>
  </si>
  <si>
    <t>EMI_per_sqm.kgCO2.AT.Ser.Bld.Thermal.SH.GasHP.NG_Biogas</t>
  </si>
  <si>
    <t>EMI_per_sqm.kgCO2.AT.Ser.Bld.Thermal.SH.GasTH.NG_Biogas</t>
  </si>
  <si>
    <t>EMI_per_sqm.kgCO2.AT.Ser.Bld.Thermal.SH.Biomass.Biomass_Waste</t>
  </si>
  <si>
    <t>EMI_per_sqm.kgCO2.AT.Ser.Bld.Thermal.SH.Geo.Geo</t>
  </si>
  <si>
    <t>EMI_per_sqm.kgCO2.AT.Ser.Bld.Thermal.SH.DistrHeat.Steam_Distr</t>
  </si>
  <si>
    <t>EMI_per_sqm.kgCO2.AT.Ser.Bld.Thermal.SH.AdvElc.Elec</t>
  </si>
  <si>
    <t>EMI_per_sqm.kgCO2.AT.Ser.Bld.Thermal.SH.ConvElc.Elec</t>
  </si>
  <si>
    <t>EMI_per_sqm.kgCO2.AT.Ser.Bld.Thermal.SH.TotalCirculation.Elec</t>
  </si>
  <si>
    <t>EMI_per_sqm.kgCO2.AT.Ser.Bld.Thermal.SC</t>
  </si>
  <si>
    <t>EMI_per_sqm.kgCO2.AT.Ser.Bld.Thermal.SC.GasHP.NG_Biogas</t>
  </si>
  <si>
    <t>EMI_per_sqm.kgCO2.AT.Ser.Bld.Thermal.SC.AC.Elec</t>
  </si>
  <si>
    <t>EMI_per_sqm.kgCO2.AT.Ser.Bld.Thermal.HW</t>
  </si>
  <si>
    <t>EMI_per_sqm.kgCO2.AT.Ser.Bld.Thermal.HW.Solids.Solids</t>
  </si>
  <si>
    <t>EMI_per_sqm.kgCO2.AT.Ser.Bld.Thermal.HW.LPG.LPG</t>
  </si>
  <si>
    <t>EMI_per_sqm.kgCO2.AT.Ser.Bld.Thermal.HW.Oil.Oil_LiqBio</t>
  </si>
  <si>
    <t>EMI_per_sqm.kgCO2.AT.Ser.Bld.Thermal.HW.Gas.NG_Biogas</t>
  </si>
  <si>
    <t>EMI_per_sqm.kgCO2.AT.Ser.Bld.Thermal.HW.Biomass.Biomass_Waste</t>
  </si>
  <si>
    <t>EMI_per_sqm.kgCO2.AT.Ser.Bld.Thermal.HW.DistrHeat.Steam_Distr</t>
  </si>
  <si>
    <t>EMI_per_sqm.kgCO2.AT.Ser.Bld.Thermal.HW.Elc.Elec</t>
  </si>
  <si>
    <t>EMI_per_sqm.kgCO2.AT.Ser.Bld.Thermal.HW.TotalSolar.Solar</t>
  </si>
  <si>
    <t>EMI_per_sqm.kgCO2.AT.Ser.Bld.Thermal.CA</t>
  </si>
  <si>
    <t>EMI_per_sqm.kgCO2.AT.Ser.Bld.Thermal.CA.LPG</t>
  </si>
  <si>
    <t>EMI_per_sqm.kgCO2.AT.Ser.Bld.Thermal.CA.Gas.NG_Biogas</t>
  </si>
  <si>
    <t>EMI_per_sqm.kgCO2.AT.Ser.Bld.Thermal.CA.Biomass.Biomass_Waste</t>
  </si>
  <si>
    <t>EMI_per_sqm.kgCO2.AT.Ser.Bld.Thermal.CA.Elc.Elec</t>
  </si>
  <si>
    <t>AT - Number of new and renovated buildings</t>
  </si>
  <si>
    <t>NUM.number.AT.Ser.BldNew.Thermal</t>
  </si>
  <si>
    <t>NUM.number.AT.Ser.BldNew.Thermal.SH</t>
  </si>
  <si>
    <t>NUM.number.AT.Ser.BldNew.Thermal.SH.Solids</t>
  </si>
  <si>
    <t>NUM.number.AT.Ser.BldNew.Thermal.SH.LPG</t>
  </si>
  <si>
    <t>NUM.number.AT.Ser.BldNew.Thermal.SH.Oil</t>
  </si>
  <si>
    <t>NUM.number.AT.Ser.BldNew.Thermal.SH.GasHP</t>
  </si>
  <si>
    <t>NUM.number.AT.Ser.BldNew.Thermal.SH.GasTH</t>
  </si>
  <si>
    <t>NUM.number.AT.Ser.BldNew.Thermal.SH.Biomass</t>
  </si>
  <si>
    <t>NUM.number.AT.Ser.BldNew.Thermal.SH.Geo</t>
  </si>
  <si>
    <t>NUM.number.AT.Ser.BldNew.Thermal.SH.DistrHeat</t>
  </si>
  <si>
    <t>NUM.number.AT.Ser.BldNew.Thermal.SH.AdvElc</t>
  </si>
  <si>
    <t>NUM.number.AT.Ser.BldNew.Thermal.SH.ConvElc</t>
  </si>
  <si>
    <t>NUM.number.AT.Ser.BldNew.Thermal.SC</t>
  </si>
  <si>
    <t>NUM.number.AT.Ser.BldNew.Thermal.SC.GasHP</t>
  </si>
  <si>
    <t>NUM.number.AT.Ser.BldNew.Thermal.SC.AC</t>
  </si>
  <si>
    <t>NUM.number.AT.Ser.BldNew.Thermal.HW</t>
  </si>
  <si>
    <t>NUM.number.AT.Ser.BldNew.Thermal.HW.Solids</t>
  </si>
  <si>
    <t>NUM.number.AT.Ser.BldNew.Thermal.HW.LPG</t>
  </si>
  <si>
    <t>NUM.number.AT.Ser.BldNew.Thermal.HW.Oil</t>
  </si>
  <si>
    <t>NUM.number.AT.Ser.BldNew.Thermal.HW.Gas</t>
  </si>
  <si>
    <t>NUM.number.AT.Ser.BldNew.Thermal.HW.Biomass</t>
  </si>
  <si>
    <t>NUM.number.AT.Ser.BldNew.Thermal.HW.DistrHeat</t>
  </si>
  <si>
    <t>NUM.number.AT.Ser.BldNew.Thermal.HW.Elc</t>
  </si>
  <si>
    <t>NUM.number.AT.Ser.BldNew.Thermal.HW.Solar</t>
  </si>
  <si>
    <t>NUM.number.AT.Ser.BldNew.Thermal.CA</t>
  </si>
  <si>
    <t>NUM.number.AT.Ser.BldNew.Thermal.CA.LPG</t>
  </si>
  <si>
    <t>NUM.number.AT.Ser.BldNew.Thermal.CA.Gas</t>
  </si>
  <si>
    <t>NUM.number.AT.Ser.BldNew.Thermal.CA.Biomass</t>
  </si>
  <si>
    <t>NUM.number.AT.Ser.BldNew.Thermal.CA.Elc</t>
  </si>
  <si>
    <t>AT - Final energy consumption in new and renovated buildings</t>
  </si>
  <si>
    <t>FEC.ktoe.AT.Ser.BldNew.Thermal</t>
  </si>
  <si>
    <t>FEC.ktoe.AT.Ser.BldNew.Thermal.SH</t>
  </si>
  <si>
    <t>FEC.ktoe.AT.Ser.BldNew.Thermal.SH.Solids.Solids</t>
  </si>
  <si>
    <t>FEC.ktoe.AT.Ser.BldNew.Thermal.SH.LPG.LPG</t>
  </si>
  <si>
    <t>FEC.ktoe.AT.Ser.BldNew.Thermal.SH.Oil.Oil_LiqBio</t>
  </si>
  <si>
    <t>FEC.ktoe.AT.Ser.BldNew.Thermal.SH.GasHP.NG_Biogas</t>
  </si>
  <si>
    <t>FEC.ktoe.AT.Ser.BldNew.Thermal.SH.GasTH.NG_Biogas</t>
  </si>
  <si>
    <t>FEC.ktoe.AT.Ser.BldNew.Thermal.SH.Biomass.Biomass_Waste</t>
  </si>
  <si>
    <t>FEC.ktoe.AT.Ser.BldNew.Thermal.SH.Geo.Geo</t>
  </si>
  <si>
    <t>FEC.ktoe.AT.Ser.BldNew.Thermal.SH.DistrHeat.Steam_Distr</t>
  </si>
  <si>
    <t>FEC.ktoe.AT.Ser.BldNew.Thermal.SH.AdvElc.Elec</t>
  </si>
  <si>
    <t>FEC.ktoe.AT.Ser.BldNew.Thermal.SH.ConvElc.Elec</t>
  </si>
  <si>
    <t>FEC.ktoe.AT.Ser.BldNew.Thermal.SH.TotalCirculation.Elec</t>
  </si>
  <si>
    <t>FEC.ktoe.AT.Ser.BldNew.Thermal.SC</t>
  </si>
  <si>
    <t>FEC.ktoe.AT.Ser.BldNew.Thermal.SC.GasHP.NG_Biogas</t>
  </si>
  <si>
    <t>FEC.ktoe.AT.Ser.BldNew.Thermal.SC.AC.Elec</t>
  </si>
  <si>
    <t>FEC.ktoe.AT.Ser.BldNew.Thermal.HW</t>
  </si>
  <si>
    <t>FEC.ktoe.AT.Ser.BldNew.Thermal.HW.Solids.Solids</t>
  </si>
  <si>
    <t>FEC.ktoe.AT.Ser.BldNew.Thermal.HW.LPG.LPG</t>
  </si>
  <si>
    <t>FEC.ktoe.AT.Ser.BldNew.Thermal.HW.Oil.Oil_LiqBio</t>
  </si>
  <si>
    <t>FEC.ktoe.AT.Ser.BldNew.Thermal.HW.Gas.NG_Biogas</t>
  </si>
  <si>
    <t>FEC.ktoe.AT.Ser.BldNew.Thermal.HW.Biomass.Biomass_Waste</t>
  </si>
  <si>
    <t>FEC.ktoe.AT.Ser.BldNew.Thermal.HW.DistrHeat.Steam_Distr</t>
  </si>
  <si>
    <t>FEC.ktoe.AT.Ser.BldNew.Thermal.HW.Elc.Elec</t>
  </si>
  <si>
    <t>FEC.ktoe.AT.Ser.BldNew.Thermal.HW.TotalSolar.Solar</t>
  </si>
  <si>
    <t>FEC.ktoe.AT.Ser.BldNew.Thermal.CA</t>
  </si>
  <si>
    <t>FEC.ktoe.AT.Ser.BldNew.Thermal.CA.LPG</t>
  </si>
  <si>
    <t>FEC.ktoe.AT.Ser.BldNew.Thermal.CA.Gas.NG_Biogas</t>
  </si>
  <si>
    <t>FEC.ktoe.AT.Ser.BldNew.Thermal.CA.Biomass.Biomass_Waste</t>
  </si>
  <si>
    <t>FEC.ktoe.AT.Ser.BldNew.Thermal.CA.Elc.Elec</t>
  </si>
  <si>
    <t>AT - Thermal energy service in new and renovated buildings</t>
  </si>
  <si>
    <t>TES.ktoe.AT.Ser.BldNew.Thermal</t>
  </si>
  <si>
    <t>TES.ktoe.AT.Ser.BldNew.Thermal.SH</t>
  </si>
  <si>
    <t>TES.ktoe.AT.Ser.BldNew.Thermal.SH.Solids.Solids</t>
  </si>
  <si>
    <t>TES.ktoe.AT.Ser.BldNew.Thermal.SH.LPG.LPG</t>
  </si>
  <si>
    <t>TES.ktoe.AT.Ser.BldNew.Thermal.SH.Oil.Oil_LiqBio</t>
  </si>
  <si>
    <t>TES.ktoe.AT.Ser.BldNew.Thermal.SH.GasHP.NG_Biogas</t>
  </si>
  <si>
    <t>TES.ktoe.AT.Ser.BldNew.Thermal.SH.GasTH.NG_Biogas</t>
  </si>
  <si>
    <t>TES.ktoe.AT.Ser.BldNew.Thermal.SH.Biomass.Biomass_Waste</t>
  </si>
  <si>
    <t>TES.ktoe.AT.Ser.BldNew.Thermal.SH.Geo.Geo</t>
  </si>
  <si>
    <t>TES.ktoe.AT.Ser.BldNew.Thermal.SH.DistrHeat.Steam_Distr</t>
  </si>
  <si>
    <t>TES.ktoe.AT.Ser.BldNew.Thermal.SH.AdvElc.Elec</t>
  </si>
  <si>
    <t>TES.ktoe.AT.Ser.BldNew.Thermal.SH.ConvElc.Elec</t>
  </si>
  <si>
    <t>TES.ktoe.AT.Ser.BldNew.Thermal.SH.TotalCirculation.Elec</t>
  </si>
  <si>
    <t>TES.ktoe.AT.Ser.BldNew.Thermal.SC</t>
  </si>
  <si>
    <t>TES.ktoe.AT.Ser.BldNew.Thermal.SC.GasHP.NG_Biogas</t>
  </si>
  <si>
    <t>TES.ktoe.AT.Ser.BldNew.Thermal.SC.AC.Elec</t>
  </si>
  <si>
    <t>TES.ktoe.AT.Ser.BldNew.Thermal.HW</t>
  </si>
  <si>
    <t>TES.ktoe.AT.Ser.BldNew.Thermal.HW.Solids.Solids</t>
  </si>
  <si>
    <t>TES.ktoe.AT.Ser.BldNew.Thermal.HW.LPG.LPG</t>
  </si>
  <si>
    <t>TES.ktoe.AT.Ser.BldNew.Thermal.HW.Oil.Oil_LiqBio</t>
  </si>
  <si>
    <t>TES.ktoe.AT.Ser.BldNew.Thermal.HW.Gas.NG_Biogas</t>
  </si>
  <si>
    <t>TES.ktoe.AT.Ser.BldNew.Thermal.HW.Biomass.Biomass_Waste</t>
  </si>
  <si>
    <t>TES.ktoe.AT.Ser.BldNew.Thermal.HW.DistrHeat.Steam_Distr</t>
  </si>
  <si>
    <t>TES.ktoe.AT.Ser.BldNew.Thermal.HW.Elc.Elec</t>
  </si>
  <si>
    <t>TES.ktoe.AT.Ser.BldNew.Thermal.HW.TotalSolar.Solar</t>
  </si>
  <si>
    <t>TES.ktoe.AT.Ser.BldNew.Thermal.CA</t>
  </si>
  <si>
    <t>TES.ktoe.AT.Ser.BldNew.Thermal.CA.LPG</t>
  </si>
  <si>
    <t>TES.ktoe.AT.Ser.BldNew.Thermal.CA.Gas.NG_Biogas</t>
  </si>
  <si>
    <t>TES.ktoe.AT.Ser.BldNew.Thermal.CA.Biomass.Biomass_Waste</t>
  </si>
  <si>
    <t>TES.ktoe.AT.Ser.BldNew.Thermal.CA.Elc.Elec</t>
  </si>
  <si>
    <t>AT - System efficiency indicator of new and renovated buildings</t>
  </si>
  <si>
    <t>Eff.ratio.AT.Ser.BldNew.Thermal</t>
  </si>
  <si>
    <t>Eff.ratio.AT.Ser.BldNew.Thermal.SH</t>
  </si>
  <si>
    <t>Eff.ratio.AT.Ser.BldNew.Thermal.SH.Solids.Solids</t>
  </si>
  <si>
    <t>Eff.ratio.AT.Ser.BldNew.Thermal.SH.LPG.LPG</t>
  </si>
  <si>
    <t>Eff.ratio.AT.Ser.BldNew.Thermal.SH.Oil.Oil_LiqBio</t>
  </si>
  <si>
    <t>Eff.ratio.AT.Ser.BldNew.Thermal.SH.GasHP.NG_Biogas</t>
  </si>
  <si>
    <t>Eff.ratio.AT.Ser.BldNew.Thermal.SH.GasTH.NG_Biogas</t>
  </si>
  <si>
    <t>Eff.ratio.AT.Ser.BldNew.Thermal.SH.Biomass.Biomass_Waste</t>
  </si>
  <si>
    <t>Eff.ratio.AT.Ser.BldNew.Thermal.SH.Geo.Geo</t>
  </si>
  <si>
    <t>Eff.ratio.AT.Ser.BldNew.Thermal.SH.DistrHeat.Steam_Distr</t>
  </si>
  <si>
    <t>Eff.ratio.AT.Ser.BldNew.Thermal.SH.AdvElc.Elec</t>
  </si>
  <si>
    <t>Eff.ratio.AT.Ser.BldNew.Thermal.SH.ConvElc.Elec</t>
  </si>
  <si>
    <t>Eff.ratio.AT.Ser.BldNew.Thermal.SH.TotalCirculation.Elec</t>
  </si>
  <si>
    <t>Eff.ratio.AT.Ser.BldNew.Thermal.SC</t>
  </si>
  <si>
    <t>Eff.ratio.AT.Ser.BldNew.Thermal.SC.GasHP.NG_Biogas</t>
  </si>
  <si>
    <t>Eff.ratio.AT.Ser.BldNew.Thermal.SC.AC.Elec</t>
  </si>
  <si>
    <t>Eff.ratio.AT.Ser.BldNew.Thermal.HW</t>
  </si>
  <si>
    <t>Eff.ratio.AT.Ser.BldNew.Thermal.HW.Solids.Solids</t>
  </si>
  <si>
    <t>Eff.ratio.AT.Ser.BldNew.Thermal.HW.LPG.LPG</t>
  </si>
  <si>
    <t>Eff.ratio.AT.Ser.BldNew.Thermal.HW.Oil.Oil_LiqBio</t>
  </si>
  <si>
    <t>Eff.ratio.AT.Ser.BldNew.Thermal.HW.Gas.NG_Biogas</t>
  </si>
  <si>
    <t>Eff.ratio.AT.Ser.BldNew.Thermal.HW.Biomass.Biomass_Waste</t>
  </si>
  <si>
    <t>Eff.ratio.AT.Ser.BldNew.Thermal.HW.DistrHeat.Steam_Distr</t>
  </si>
  <si>
    <t>Eff.ratio.AT.Ser.BldNew.Thermal.HW.Elc.Elec</t>
  </si>
  <si>
    <t>Eff.ratio.AT.Ser.BldNew.Thermal.HW.TotalSolar.Solar</t>
  </si>
  <si>
    <t>Eff.ratio.AT.Ser.BldNew.Thermal.CA</t>
  </si>
  <si>
    <t>Eff.ratio.AT.Ser.BldNew.Thermal.CA.LPG</t>
  </si>
  <si>
    <t>Eff.ratio.AT.Ser.BldNew.Thermal.CA.Gas.NG_Biogas</t>
  </si>
  <si>
    <t>Eff.ratio.AT.Ser.BldNew.Thermal.CA.Biomass.Biomass_Waste</t>
  </si>
  <si>
    <t>Eff.ratio.AT.Ser.BldNew.Thermal.CA.Elc.Elec</t>
  </si>
  <si>
    <t>AT - CO2 emissions in new and renovated buildings</t>
  </si>
  <si>
    <t>EMI.ktCO2.AT.Ser.BldNew.Thermal</t>
  </si>
  <si>
    <t>EMI.ktCO2.AT.Ser.BldNew.Thermal.SH</t>
  </si>
  <si>
    <t>EMI.ktCO2.AT.Ser.BldNew.Thermal.SH.Solids.Solids</t>
  </si>
  <si>
    <t>EMI.ktCO2.AT.Ser.BldNew.Thermal.SH.LPG.LPG</t>
  </si>
  <si>
    <t>EMI.ktCO2.AT.Ser.BldNew.Thermal.SH.Oil.Oil_LiqBio</t>
  </si>
  <si>
    <t>EMI.ktCO2.AT.Ser.BldNew.Thermal.SH.GasHP.NG_Biogas</t>
  </si>
  <si>
    <t>EMI.ktCO2.AT.Ser.BldNew.Thermal.SH.GasTH.NG_Biogas</t>
  </si>
  <si>
    <t>EMI.ktCO2.AT.Ser.BldNew.Thermal.SH.Biomass.Biomass_Waste</t>
  </si>
  <si>
    <t>EMI.ktCO2.AT.Ser.BldNew.Thermal.SH.Geo.Geo</t>
  </si>
  <si>
    <t>EMI.ktCO2.AT.Ser.BldNew.Thermal.SH.DistrHeat.Steam_Distr</t>
  </si>
  <si>
    <t>EMI.ktCO2.AT.Ser.BldNew.Thermal.SH.AdvElc.Elec</t>
  </si>
  <si>
    <t>EMI.ktCO2.AT.Ser.BldNew.Thermal.SH.ConvElc.Elec</t>
  </si>
  <si>
    <t>EMI.ktCO2.AT.Ser.BldNew.Thermal.SH.TotalCirculation.Elec</t>
  </si>
  <si>
    <t>EMI.ktCO2.AT.Ser.BldNew.Thermal.SC</t>
  </si>
  <si>
    <t>EMI.ktCO2.AT.Ser.BldNew.Thermal.SC.GasHP.NG_Biogas</t>
  </si>
  <si>
    <t>EMI.ktCO2.AT.Ser.BldNew.Thermal.SC.AC.Elec</t>
  </si>
  <si>
    <t>EMI.ktCO2.AT.Ser.BldNew.Thermal.HW</t>
  </si>
  <si>
    <t>EMI.ktCO2.AT.Ser.BldNew.Thermal.HW.Solids.Solids</t>
  </si>
  <si>
    <t>EMI.ktCO2.AT.Ser.BldNew.Thermal.HW.LPG.LPG</t>
  </si>
  <si>
    <t>EMI.ktCO2.AT.Ser.BldNew.Thermal.HW.Oil.Oil_LiqBio</t>
  </si>
  <si>
    <t>EMI.ktCO2.AT.Ser.BldNew.Thermal.HW.Gas.NG_Biogas</t>
  </si>
  <si>
    <t>EMI.ktCO2.AT.Ser.BldNew.Thermal.HW.Biomass.Biomass_Waste</t>
  </si>
  <si>
    <t>EMI.ktCO2.AT.Ser.BldNew.Thermal.HW.DistrHeat.Steam_Distr</t>
  </si>
  <si>
    <t>EMI.ktCO2.AT.Ser.BldNew.Thermal.HW.Elc.Elec</t>
  </si>
  <si>
    <t>EMI.ktCO2.AT.Ser.BldNew.Thermal.HW.TotalSolar.Solar</t>
  </si>
  <si>
    <t>EMI.ktCO2.AT.Ser.BldNew.Thermal.CA</t>
  </si>
  <si>
    <t>EMI.ktCO2.AT.Ser.BldNew.Thermal.CA.LPG</t>
  </si>
  <si>
    <t>EMI.ktCO2.AT.Ser.BldNew.Thermal.CA.Gas.NG_Biogas</t>
  </si>
  <si>
    <t>EMI.ktCO2.AT.Ser.BldNew.Thermal.CA.Biomass.Biomass_Waste</t>
  </si>
  <si>
    <t>EMI.ktCO2.AT.Ser.BldNew.Thermal.CA.Elc.Elec</t>
  </si>
  <si>
    <t>AT - Final energy consumption of new and renovated buildings (per building)</t>
  </si>
  <si>
    <t>FEC_per_building.kWh.AT.Ser.BldNew.Thermal</t>
  </si>
  <si>
    <t>FEC_per_building.kWh.AT.Ser.BldNew.Thermal.SH</t>
  </si>
  <si>
    <t>FEC_per_building.kWh.AT.Ser.BldNew.Thermal.SH.Solids.Solids</t>
  </si>
  <si>
    <t>FEC_per_building.kWh.AT.Ser.BldNew.Thermal.SH.LPG.LPG</t>
  </si>
  <si>
    <t>FEC_per_building.kWh.AT.Ser.BldNew.Thermal.SH.Oil.Oil_LiqBio</t>
  </si>
  <si>
    <t>FEC_per_building.kWh.AT.Ser.BldNew.Thermal.SH.GasHP.NG_Biogas</t>
  </si>
  <si>
    <t>FEC_per_building.kWh.AT.Ser.BldNew.Thermal.SH.GasTH.NG_Biogas</t>
  </si>
  <si>
    <t>FEC_per_building.kWh.AT.Ser.BldNew.Thermal.SH.Biomass.Biomass_Waste</t>
  </si>
  <si>
    <t>FEC_per_building.kWh.AT.Ser.BldNew.Thermal.SH.Geo.Geo</t>
  </si>
  <si>
    <t>FEC_per_building.kWh.AT.Ser.BldNew.Thermal.SH.DistrHeat.Steam_Distr</t>
  </si>
  <si>
    <t>FEC_per_building.kWh.AT.Ser.BldNew.Thermal.SH.AdvElc.Elec</t>
  </si>
  <si>
    <t>FEC_per_building.kWh.AT.Ser.BldNew.Thermal.SH.ConvElc.Elec</t>
  </si>
  <si>
    <t>FEC_per_building.kWh.AT.Ser.BldNew.Thermal.SH.TotalCirculation.Elec</t>
  </si>
  <si>
    <t>FEC_per_building.kWh.AT.Ser.BldNew.Thermal.SC</t>
  </si>
  <si>
    <t>FEC_per_building.kWh.AT.Ser.BldNew.Thermal.SC.GasHP.NG_Biogas</t>
  </si>
  <si>
    <t>FEC_per_building.kWh.AT.Ser.BldNew.Thermal.SC.AC.Elec</t>
  </si>
  <si>
    <t>FEC_per_building.kWh.AT.Ser.BldNew.Thermal.HW</t>
  </si>
  <si>
    <t>FEC_per_building.kWh.AT.Ser.BldNew.Thermal.HW.Solids.Solids</t>
  </si>
  <si>
    <t>FEC_per_building.kWh.AT.Ser.BldNew.Thermal.HW.LPG.LPG</t>
  </si>
  <si>
    <t>FEC_per_building.kWh.AT.Ser.BldNew.Thermal.HW.Oil.Oil_LiqBio</t>
  </si>
  <si>
    <t>FEC_per_building.kWh.AT.Ser.BldNew.Thermal.HW.Gas.NG_Biogas</t>
  </si>
  <si>
    <t>FEC_per_building.kWh.AT.Ser.BldNew.Thermal.HW.Biomass.Biomass_Waste</t>
  </si>
  <si>
    <t>FEC_per_building.kWh.AT.Ser.BldNew.Thermal.HW.DistrHeat.Steam_Distr</t>
  </si>
  <si>
    <t>FEC_per_building.kWh.AT.Ser.BldNew.Thermal.HW.Elc.Elec</t>
  </si>
  <si>
    <t>FEC_per_building.kWh.AT.Ser.BldNew.Thermal.HW.TotalSolar.Solar</t>
  </si>
  <si>
    <t>FEC_per_building.kWh.AT.Ser.BldNew.Thermal.CA</t>
  </si>
  <si>
    <t>FEC_per_building.kWh.AT.Ser.BldNew.Thermal.CA.LPG</t>
  </si>
  <si>
    <t>FEC_per_building.kWh.AT.Ser.BldNew.Thermal.CA.Gas.NG_Biogas</t>
  </si>
  <si>
    <t>FEC_per_building.kWh.AT.Ser.BldNew.Thermal.CA.Biomass.Biomass_Waste</t>
  </si>
  <si>
    <t>FEC_per_building.kWh.AT.Ser.BldNew.Thermal.CA.Elc.Elec</t>
  </si>
  <si>
    <t>AT - Thermal energy service of new and renovated buildings (per building)</t>
  </si>
  <si>
    <t>TES_per_building.kWh.AT.Ser.BldNew.Thermal</t>
  </si>
  <si>
    <t>TES_per_building.kWh.AT.Ser.BldNew.Thermal.SH</t>
  </si>
  <si>
    <t>TES_per_building.kWh.AT.Ser.BldNew.Thermal.SH.Solids.Solids</t>
  </si>
  <si>
    <t>TES_per_building.kWh.AT.Ser.BldNew.Thermal.SH.LPG.LPG</t>
  </si>
  <si>
    <t>TES_per_building.kWh.AT.Ser.BldNew.Thermal.SH.Oil.Oil_LiqBio</t>
  </si>
  <si>
    <t>TES_per_building.kWh.AT.Ser.BldNew.Thermal.SH.GasHP.NG_Biogas</t>
  </si>
  <si>
    <t>TES_per_building.kWh.AT.Ser.BldNew.Thermal.SH.GasTH.NG_Biogas</t>
  </si>
  <si>
    <t>TES_per_building.kWh.AT.Ser.BldNew.Thermal.SH.Biomass.Biomass_Waste</t>
  </si>
  <si>
    <t>TES_per_building.kWh.AT.Ser.BldNew.Thermal.SH.Geo.Geo</t>
  </si>
  <si>
    <t>TES_per_building.kWh.AT.Ser.BldNew.Thermal.SH.DistrHeat.Steam_Distr</t>
  </si>
  <si>
    <t>TES_per_building.kWh.AT.Ser.BldNew.Thermal.SH.AdvElc.Elec</t>
  </si>
  <si>
    <t>TES_per_building.kWh.AT.Ser.BldNew.Thermal.SH.ConvElc.Elec</t>
  </si>
  <si>
    <t>TES_per_building.kWh.AT.Ser.BldNew.Thermal.SH.TotalCirculation.Elec</t>
  </si>
  <si>
    <t>TES_per_building.kWh.AT.Ser.BldNew.Thermal.SC</t>
  </si>
  <si>
    <t>TES_per_building.kWh.AT.Ser.BldNew.Thermal.SC.GasHP.NG_Biogas</t>
  </si>
  <si>
    <t>TES_per_building.kWh.AT.Ser.BldNew.Thermal.SC.AC.Elec</t>
  </si>
  <si>
    <t>TES_per_building.kWh.AT.Ser.BldNew.Thermal.HW</t>
  </si>
  <si>
    <t>TES_per_building.kWh.AT.Ser.BldNew.Thermal.HW.Solids.Solids</t>
  </si>
  <si>
    <t>TES_per_building.kWh.AT.Ser.BldNew.Thermal.HW.LPG.LPG</t>
  </si>
  <si>
    <t>TES_per_building.kWh.AT.Ser.BldNew.Thermal.HW.Oil.Oil_LiqBio</t>
  </si>
  <si>
    <t>TES_per_building.kWh.AT.Ser.BldNew.Thermal.HW.Gas.NG_Biogas</t>
  </si>
  <si>
    <t>TES_per_building.kWh.AT.Ser.BldNew.Thermal.HW.Biomass.Biomass_Waste</t>
  </si>
  <si>
    <t>TES_per_building.kWh.AT.Ser.BldNew.Thermal.HW.DistrHeat.Steam_Distr</t>
  </si>
  <si>
    <t>TES_per_building.kWh.AT.Ser.BldNew.Thermal.HW.Elc.Elec</t>
  </si>
  <si>
    <t>TES_per_building.kWh.AT.Ser.BldNew.Thermal.HW.TotalSolar.Solar</t>
  </si>
  <si>
    <t>TES_per_building.kWh.AT.Ser.BldNew.Thermal.CA</t>
  </si>
  <si>
    <t>TES_per_building.kWh.AT.Ser.BldNew.Thermal.CA.LPG</t>
  </si>
  <si>
    <t>TES_per_building.kWh.AT.Ser.BldNew.Thermal.CA.Gas.NG_Biogas</t>
  </si>
  <si>
    <t>TES_per_building.kWh.AT.Ser.BldNew.Thermal.CA.Biomass.Biomass_Waste</t>
  </si>
  <si>
    <t>TES_per_building.kWh.AT.Ser.BldNew.Thermal.CA.Elc.Elec</t>
  </si>
  <si>
    <t>AT - CO2 emissions in new and renovated buildings (per building)</t>
  </si>
  <si>
    <t>EMI_per_building.kgCO2.AT.Ser.BldNew.Thermal</t>
  </si>
  <si>
    <t>EMI_per_building.kgCO2.AT.Ser.BldNew.Thermal.SH</t>
  </si>
  <si>
    <t>EMI_per_building.kgCO2.AT.Ser.BldNew.Thermal.SH.Solids.Solids</t>
  </si>
  <si>
    <t>EMI_per_building.kgCO2.AT.Ser.BldNew.Thermal.SH.LPG.LPG</t>
  </si>
  <si>
    <t>EMI_per_building.kgCO2.AT.Ser.BldNew.Thermal.SH.Oil.Oil_LiqBio</t>
  </si>
  <si>
    <t>EMI_per_building.kgCO2.AT.Ser.BldNew.Thermal.SH.GasHP.NG_Biogas</t>
  </si>
  <si>
    <t>EMI_per_building.kgCO2.AT.Ser.BldNew.Thermal.SH.GasTH.NG_Biogas</t>
  </si>
  <si>
    <t>EMI_per_building.kgCO2.AT.Ser.BldNew.Thermal.SH.Biomass.Biomass_Waste</t>
  </si>
  <si>
    <t>EMI_per_building.kgCO2.AT.Ser.BldNew.Thermal.SH.Geo.Geo</t>
  </si>
  <si>
    <t>EMI_per_building.kgCO2.AT.Ser.BldNew.Thermal.SH.DistrHeat.Steam_Distr</t>
  </si>
  <si>
    <t>EMI_per_building.kgCO2.AT.Ser.BldNew.Thermal.SH.AdvElc.Elec</t>
  </si>
  <si>
    <t>EMI_per_building.kgCO2.AT.Ser.BldNew.Thermal.SH.ConvElc.Elec</t>
  </si>
  <si>
    <t>EMI_per_building.kgCO2.AT.Ser.BldNew.Thermal.SH.TotalCirculation.Elec</t>
  </si>
  <si>
    <t>EMI_per_building.kgCO2.AT.Ser.BldNew.Thermal.SC</t>
  </si>
  <si>
    <t>EMI_per_building.kgCO2.AT.Ser.BldNew.Thermal.SC.GasHP.NG_Biogas</t>
  </si>
  <si>
    <t>EMI_per_building.kgCO2.AT.Ser.BldNew.Thermal.SC.AC.Elec</t>
  </si>
  <si>
    <t>EMI_per_building.kgCO2.AT.Ser.BldNew.Thermal.HW</t>
  </si>
  <si>
    <t>EMI_per_building.kgCO2.AT.Ser.BldNew.Thermal.HW.Solids.Solids</t>
  </si>
  <si>
    <t>EMI_per_building.kgCO2.AT.Ser.BldNew.Thermal.HW.LPG.LPG</t>
  </si>
  <si>
    <t>EMI_per_building.kgCO2.AT.Ser.BldNew.Thermal.HW.Oil.Oil_LiqBio</t>
  </si>
  <si>
    <t>EMI_per_building.kgCO2.AT.Ser.BldNew.Thermal.HW.Gas.NG_Biogas</t>
  </si>
  <si>
    <t>EMI_per_building.kgCO2.AT.Ser.BldNew.Thermal.HW.Biomass.Biomass_Waste</t>
  </si>
  <si>
    <t>EMI_per_building.kgCO2.AT.Ser.BldNew.Thermal.HW.DistrHeat.Steam_Distr</t>
  </si>
  <si>
    <t>EMI_per_building.kgCO2.AT.Ser.BldNew.Thermal.HW.Elc.Elec</t>
  </si>
  <si>
    <t>EMI_per_building.kgCO2.AT.Ser.BldNew.Thermal.HW.TotalSolar.Solar</t>
  </si>
  <si>
    <t>EMI_per_building.kgCO2.AT.Ser.BldNew.Thermal.CA</t>
  </si>
  <si>
    <t>EMI_per_building.kgCO2.AT.Ser.BldNew.Thermal.CA.LPG</t>
  </si>
  <si>
    <t>EMI_per_building.kgCO2.AT.Ser.BldNew.Thermal.CA.Gas.NG_Biogas</t>
  </si>
  <si>
    <t>EMI_per_building.kgCO2.AT.Ser.BldNew.Thermal.CA.Biomass.Biomass_Waste</t>
  </si>
  <si>
    <t>EMI_per_building.kgCO2.AT.Ser.BldNew.Thermal.CA.Elc.Elec</t>
  </si>
  <si>
    <t>AT - Final energy consumption in new and renovated buildings per surface area</t>
  </si>
  <si>
    <t>FEC_per_sqm.kWh.AT.Ser.BldNew.Thermal</t>
  </si>
  <si>
    <t>FEC_per_sqm.kWh.AT.Ser.BldNew.Thermal.SH</t>
  </si>
  <si>
    <t>FEC_per_sqm.kWh.AT.Ser.BldNew.Thermal.SH.Solids.Solids</t>
  </si>
  <si>
    <t>FEC_per_sqm.kWh.AT.Ser.BldNew.Thermal.SH.LPG.LPG</t>
  </si>
  <si>
    <t>FEC_per_sqm.kWh.AT.Ser.BldNew.Thermal.SH.Oil.Oil_LiqBio</t>
  </si>
  <si>
    <t>FEC_per_sqm.kWh.AT.Ser.BldNew.Thermal.SH.GasHP.NG_Biogas</t>
  </si>
  <si>
    <t>FEC_per_sqm.kWh.AT.Ser.BldNew.Thermal.SH.GasTH.NG_Biogas</t>
  </si>
  <si>
    <t>FEC_per_sqm.kWh.AT.Ser.BldNew.Thermal.SH.Biomass.Biomass_Waste</t>
  </si>
  <si>
    <t>FEC_per_sqm.kWh.AT.Ser.BldNew.Thermal.SH.Geo.Geo</t>
  </si>
  <si>
    <t>FEC_per_sqm.kWh.AT.Ser.BldNew.Thermal.SH.DistrHeat.Steam_Distr</t>
  </si>
  <si>
    <t>FEC_per_sqm.kWh.AT.Ser.BldNew.Thermal.SH.AdvElc.Elec</t>
  </si>
  <si>
    <t>FEC_per_sqm.kWh.AT.Ser.BldNew.Thermal.SH.ConvElc.Elec</t>
  </si>
  <si>
    <t>FEC_per_sqm.kWh.AT.Ser.BldNew.Thermal.SH.TotalCirculation.Elec</t>
  </si>
  <si>
    <t>FEC_per_sqm.kWh.AT.Ser.BldNew.Thermal.SC</t>
  </si>
  <si>
    <t>FEC_per_sqm.kWh.AT.Ser.BldNew.Thermal.SC.GasHP.NG_Biogas</t>
  </si>
  <si>
    <t>FEC_per_sqm.kWh.AT.Ser.BldNew.Thermal.SC.AC.Elec</t>
  </si>
  <si>
    <t>FEC_per_sqm.kWh.AT.Ser.BldNew.Thermal.HW</t>
  </si>
  <si>
    <t>FEC_per_sqm.kWh.AT.Ser.BldNew.Thermal.HW.Solids.Solids</t>
  </si>
  <si>
    <t>FEC_per_sqm.kWh.AT.Ser.BldNew.Thermal.HW.LPG.LPG</t>
  </si>
  <si>
    <t>FEC_per_sqm.kWh.AT.Ser.BldNew.Thermal.HW.Oil.Oil_LiqBio</t>
  </si>
  <si>
    <t>FEC_per_sqm.kWh.AT.Ser.BldNew.Thermal.HW.Gas.NG_Biogas</t>
  </si>
  <si>
    <t>FEC_per_sqm.kWh.AT.Ser.BldNew.Thermal.HW.Biomass.Biomass_Waste</t>
  </si>
  <si>
    <t>FEC_per_sqm.kWh.AT.Ser.BldNew.Thermal.HW.DistrHeat.Steam_Distr</t>
  </si>
  <si>
    <t>FEC_per_sqm.kWh.AT.Ser.BldNew.Thermal.HW.Elc.Elec</t>
  </si>
  <si>
    <t>FEC_per_sqm.kWh.AT.Ser.BldNew.Thermal.HW.TotalSolar.Solar</t>
  </si>
  <si>
    <t>FEC_per_sqm.kWh.AT.Ser.BldNew.Thermal.CA</t>
  </si>
  <si>
    <t>FEC_per_sqm.kWh.AT.Ser.BldNew.Thermal.CA.LPG</t>
  </si>
  <si>
    <t>FEC_per_sqm.kWh.AT.Ser.BldNew.Thermal.CA.Gas.NG_Biogas</t>
  </si>
  <si>
    <t>FEC_per_sqm.kWh.AT.Ser.BldNew.Thermal.CA.Biomass.Biomass_Waste</t>
  </si>
  <si>
    <t>FEC_per_sqm.kWh.AT.Ser.BldNew.Thermal.CA.Elc.Elec</t>
  </si>
  <si>
    <t>AT - Thermal energy service in new and renovated buildings per surface area</t>
  </si>
  <si>
    <t>TES_per_sqm.kWh.AT.Ser.BldNew.Thermal</t>
  </si>
  <si>
    <t>TES_per_sqm.kWh.AT.Ser.BldNew.Thermal.SH</t>
  </si>
  <si>
    <t>TES_per_sqm.kWh.AT.Ser.BldNew.Thermal.SH.Solids.Solids</t>
  </si>
  <si>
    <t>TES_per_sqm.kWh.AT.Ser.BldNew.Thermal.SH.LPG.LPG</t>
  </si>
  <si>
    <t>TES_per_sqm.kWh.AT.Ser.BldNew.Thermal.SH.Oil.Oil_LiqBio</t>
  </si>
  <si>
    <t>TES_per_sqm.kWh.AT.Ser.BldNew.Thermal.SH.GasHP.NG_Biogas</t>
  </si>
  <si>
    <t>TES_per_sqm.kWh.AT.Ser.BldNew.Thermal.SH.GasTH.NG_Biogas</t>
  </si>
  <si>
    <t>TES_per_sqm.kWh.AT.Ser.BldNew.Thermal.SH.Biomass.Biomass_Waste</t>
  </si>
  <si>
    <t>TES_per_sqm.kWh.AT.Ser.BldNew.Thermal.SH.Geo.Geo</t>
  </si>
  <si>
    <t>TES_per_sqm.kWh.AT.Ser.BldNew.Thermal.SH.DistrHeat.Steam_Distr</t>
  </si>
  <si>
    <t>TES_per_sqm.kWh.AT.Ser.BldNew.Thermal.SH.AdvElc.Elec</t>
  </si>
  <si>
    <t>TES_per_sqm.kWh.AT.Ser.BldNew.Thermal.SH.ConvElc.Elec</t>
  </si>
  <si>
    <t>TES_per_sqm.kWh.AT.Ser.BldNew.Thermal.SH.TotalCirculation.Elec</t>
  </si>
  <si>
    <t>TES_per_sqm.kWh.AT.Ser.BldNew.Thermal.SC</t>
  </si>
  <si>
    <t>TES_per_sqm.kWh.AT.Ser.BldNew.Thermal.SC.GasHP.NG_Biogas</t>
  </si>
  <si>
    <t>TES_per_sqm.kWh.AT.Ser.BldNew.Thermal.SC.AC.Elec</t>
  </si>
  <si>
    <t>TES_per_sqm.kWh.AT.Ser.BldNew.Thermal.HW</t>
  </si>
  <si>
    <t>TES_per_sqm.kWh.AT.Ser.BldNew.Thermal.HW.Solids.Solids</t>
  </si>
  <si>
    <t>TES_per_sqm.kWh.AT.Ser.BldNew.Thermal.HW.LPG.LPG</t>
  </si>
  <si>
    <t>TES_per_sqm.kWh.AT.Ser.BldNew.Thermal.HW.Oil.Oil_LiqBio</t>
  </si>
  <si>
    <t>TES_per_sqm.kWh.AT.Ser.BldNew.Thermal.HW.Gas.NG_Biogas</t>
  </si>
  <si>
    <t>TES_per_sqm.kWh.AT.Ser.BldNew.Thermal.HW.Biomass.Biomass_Waste</t>
  </si>
  <si>
    <t>TES_per_sqm.kWh.AT.Ser.BldNew.Thermal.HW.DistrHeat.Steam_Distr</t>
  </si>
  <si>
    <t>TES_per_sqm.kWh.AT.Ser.BldNew.Thermal.HW.Elc.Elec</t>
  </si>
  <si>
    <t>TES_per_sqm.kWh.AT.Ser.BldNew.Thermal.HW.TotalSolar.Solar</t>
  </si>
  <si>
    <t>TES_per_sqm.kWh.AT.Ser.BldNew.Thermal.CA</t>
  </si>
  <si>
    <t>TES_per_sqm.kWh.AT.Ser.BldNew.Thermal.CA.LPG</t>
  </si>
  <si>
    <t>TES_per_sqm.kWh.AT.Ser.BldNew.Thermal.CA.Gas.NG_Biogas</t>
  </si>
  <si>
    <t>TES_per_sqm.kWh.AT.Ser.BldNew.Thermal.CA.Biomass.Biomass_Waste</t>
  </si>
  <si>
    <t>TES_per_sqm.kWh.AT.Ser.BldNew.Thermal.CA.Elc.Elec</t>
  </si>
  <si>
    <t>AT - CO2 emissions in new and renovated buildings per surface area</t>
  </si>
  <si>
    <t>EMI_per_sqm.kgCO2.AT.Ser.BldNew.Thermal</t>
  </si>
  <si>
    <t>EMI_per_sqm.kgCO2.AT.Ser.BldNew.Thermal.SH</t>
  </si>
  <si>
    <t>EMI_per_sqm.kgCO2.AT.Ser.BldNew.Thermal.SH.Solids.Solids</t>
  </si>
  <si>
    <t>EMI_per_sqm.kgCO2.AT.Ser.BldNew.Thermal.SH.LPG.LPG</t>
  </si>
  <si>
    <t>EMI_per_sqm.kgCO2.AT.Ser.BldNew.Thermal.SH.Oil.Oil_LiqBio</t>
  </si>
  <si>
    <t>EMI_per_sqm.kgCO2.AT.Ser.BldNew.Thermal.SH.GasHP.NG_Biogas</t>
  </si>
  <si>
    <t>EMI_per_sqm.kgCO2.AT.Ser.BldNew.Thermal.SH.GasTH.NG_Biogas</t>
  </si>
  <si>
    <t>EMI_per_sqm.kgCO2.AT.Ser.BldNew.Thermal.SH.Biomass.Biomass_Waste</t>
  </si>
  <si>
    <t>EMI_per_sqm.kgCO2.AT.Ser.BldNew.Thermal.SH.Geo.Geo</t>
  </si>
  <si>
    <t>EMI_per_sqm.kgCO2.AT.Ser.BldNew.Thermal.SH.DistrHeat.Steam_Distr</t>
  </si>
  <si>
    <t>EMI_per_sqm.kgCO2.AT.Ser.BldNew.Thermal.SH.AdvElc.Elec</t>
  </si>
  <si>
    <t>EMI_per_sqm.kgCO2.AT.Ser.BldNew.Thermal.SH.ConvElc.Elec</t>
  </si>
  <si>
    <t>EMI_per_sqm.kgCO2.AT.Ser.BldNew.Thermal.SH.TotalCirculation.Elec</t>
  </si>
  <si>
    <t>EMI_per_sqm.kgCO2.AT.Ser.BldNew.Thermal.SC</t>
  </si>
  <si>
    <t>EMI_per_sqm.kgCO2.AT.Ser.BldNew.Thermal.SC.GasHP.NG_Biogas</t>
  </si>
  <si>
    <t>EMI_per_sqm.kgCO2.AT.Ser.BldNew.Thermal.SC.AC.Elec</t>
  </si>
  <si>
    <t>EMI_per_sqm.kgCO2.AT.Ser.BldNew.Thermal.HW</t>
  </si>
  <si>
    <t>EMI_per_sqm.kgCO2.AT.Ser.BldNew.Thermal.HW.Solids.Solids</t>
  </si>
  <si>
    <t>EMI_per_sqm.kgCO2.AT.Ser.BldNew.Thermal.HW.LPG.LPG</t>
  </si>
  <si>
    <t>EMI_per_sqm.kgCO2.AT.Ser.BldNew.Thermal.HW.Oil.Oil_LiqBio</t>
  </si>
  <si>
    <t>EMI_per_sqm.kgCO2.AT.Ser.BldNew.Thermal.HW.Gas.NG_Biogas</t>
  </si>
  <si>
    <t>EMI_per_sqm.kgCO2.AT.Ser.BldNew.Thermal.HW.Biomass.Biomass_Waste</t>
  </si>
  <si>
    <t>EMI_per_sqm.kgCO2.AT.Ser.BldNew.Thermal.HW.DistrHeat.Steam_Distr</t>
  </si>
  <si>
    <t>EMI_per_sqm.kgCO2.AT.Ser.BldNew.Thermal.HW.Elc.Elec</t>
  </si>
  <si>
    <t>EMI_per_sqm.kgCO2.AT.Ser.BldNew.Thermal.HW.TotalSolar.Solar</t>
  </si>
  <si>
    <t>EMI_per_sqm.kgCO2.AT.Ser.BldNew.Thermal.CA</t>
  </si>
  <si>
    <t>EMI_per_sqm.kgCO2.AT.Ser.BldNew.Thermal.CA.LPG</t>
  </si>
  <si>
    <t>EMI_per_sqm.kgCO2.AT.Ser.BldNew.Thermal.CA.Gas.NG_Biogas</t>
  </si>
  <si>
    <t>EMI_per_sqm.kgCO2.AT.Ser.BldNew.Thermal.CA.Biomass.Biomass_Waste</t>
  </si>
  <si>
    <t>EMI_per_sqm.kgCO2.AT.Ser.BldNew.Thermal.CA.Elc.Elec</t>
  </si>
  <si>
    <t>FEC.ktoe.AT.Ser.SEU.VE</t>
  </si>
  <si>
    <t>FEC.ktoe.AT.Ser.SEU.SL</t>
  </si>
  <si>
    <t>FEC.ktoe.AT.Ser.SEU.BL</t>
  </si>
  <si>
    <t>FEC.ktoe.AT.Ser.SEU.CR</t>
  </si>
  <si>
    <t>FEC.ktoe.AT.Ser.SEU.BT</t>
  </si>
  <si>
    <t>FEC.ktoe.AT.Ser.SEU.IT</t>
  </si>
  <si>
    <t>Size.MW.AT.Ser.SEU</t>
  </si>
  <si>
    <t>Size.MW.AT.Ser.SEU.VE</t>
  </si>
  <si>
    <t>Size.MW.AT.Ser.SEU.SL</t>
  </si>
  <si>
    <t>Size.MW.AT.Ser.SEU.BL</t>
  </si>
  <si>
    <t>Size.MW.AT.Ser.SEU.CR</t>
  </si>
  <si>
    <t>Size.MW.AT.Ser.SEU.BT</t>
  </si>
  <si>
    <t>Size.MW.AT.Ser.SEU.IT</t>
  </si>
  <si>
    <t>NUM.Msqm.AT.Ser.SEU.VE</t>
  </si>
  <si>
    <t>NUM.k.AT.Ser.SEU.SL</t>
  </si>
  <si>
    <t>NUM.M.AT.Ser.SEU.BL</t>
  </si>
  <si>
    <t>NUM.k.AT.Ser.SEU.CR</t>
  </si>
  <si>
    <t>NUM.Msqm.AT.Ser.SEU.BT</t>
  </si>
  <si>
    <t>NUM.k.AT.Ser.SEU.IT</t>
  </si>
  <si>
    <t>NUM.Msqm.AT.Ser.SEUnew.VE</t>
  </si>
  <si>
    <t>NUM.k.AT.Ser.SEUnew.SL</t>
  </si>
  <si>
    <t>NUM.M.AT.Ser.SEUnew.BL</t>
  </si>
  <si>
    <t>NUM.k.AT.Ser.SEUnew.CR</t>
  </si>
  <si>
    <t>NUM.Msqm.AT.Ser.SEUnew.BT</t>
  </si>
  <si>
    <t>NUM.k.AT.Ser.SEUnew.IT</t>
  </si>
  <si>
    <t>NUM.Msqm.AT.Ser.SEUrepl.VE</t>
  </si>
  <si>
    <t>NUM.k.AT.Ser.SEUrepl.SL</t>
  </si>
  <si>
    <t>NUM.M.AT.Ser.SEUrepl.BL</t>
  </si>
  <si>
    <t>NUM.k.AT.Ser.SEUrepl.CR</t>
  </si>
  <si>
    <t>NUM.Msqm.AT.Ser.SEUrepl.BT</t>
  </si>
  <si>
    <t>NUM.k.AT.Ser.SEUrepl.IT</t>
  </si>
  <si>
    <t>Op.hours.AT.Ser.SEU.VE</t>
  </si>
  <si>
    <t>Op.hours.AT.Ser.SEU.SL</t>
  </si>
  <si>
    <t>Op.hours.AT.Ser.SEU.BL</t>
  </si>
  <si>
    <t>Op.hours.AT.Ser.SEU.CR</t>
  </si>
  <si>
    <t>Op.hours.AT.Ser.SEU.BT</t>
  </si>
  <si>
    <t>Op.hours.AT.Ser.SEU.IT</t>
  </si>
  <si>
    <t>Size_per_appl.W.AT.Ser.SEU.VE</t>
  </si>
  <si>
    <t>Size_per_appl.W.AT.Ser.SEU.SL</t>
  </si>
  <si>
    <t>Size_per_appl.W.AT.Ser.SEU.BL</t>
  </si>
  <si>
    <t>Size_per_appl.W.AT.Ser.SEU.CR</t>
  </si>
  <si>
    <t>Size_per_appl.W.AT.Ser.SEU.BT</t>
  </si>
  <si>
    <t>Size_per_appl.W.AT.Ser.SEU.IT</t>
  </si>
  <si>
    <t>Size_per_appl.W.AT.Ser.SEUnew.VE</t>
  </si>
  <si>
    <t>Size_per_appl.W.AT.Ser.SEUnew.SL</t>
  </si>
  <si>
    <t>Size_per_appl.W.AT.Ser.SEUnew.BL</t>
  </si>
  <si>
    <t>Size_per_appl.W.AT.Ser.SEUnew.CR</t>
  </si>
  <si>
    <t>Size_per_appl.W.AT.Ser.SEUnew.BT</t>
  </si>
  <si>
    <t>Size_per_appl.W.AT.Ser.SEUnew.IT</t>
  </si>
  <si>
    <t>NUM.sqm_per_building.AT.Ser.SEU.VE</t>
  </si>
  <si>
    <t>NUM.number_per_capita.AT.Ser.SEU.SL</t>
  </si>
  <si>
    <t>NUM.number_per_building.AT.Ser.SEU.BL</t>
  </si>
  <si>
    <t>NUM.number_per_capita.AT.Ser.SEU.CR</t>
  </si>
  <si>
    <t>NUM.sqm_per_building.AT.Ser.SEU.BT</t>
  </si>
  <si>
    <t>NUM.number_per_capita.AT.Ser.SEU.IT</t>
  </si>
  <si>
    <t>Lumens_per_sqm.lumen.AT.Ser.SEU.BL</t>
  </si>
  <si>
    <t>FEC.ktoe.AT.Ser.SEU.IT.DataCenters</t>
  </si>
  <si>
    <t>AT - Services / specific electric uses</t>
  </si>
  <si>
    <t>AT - Ventilation and others</t>
  </si>
  <si>
    <t>AT - Street lighting</t>
  </si>
  <si>
    <t>AT - Building lighting</t>
  </si>
  <si>
    <t>AT - Commercial refrigeration</t>
  </si>
  <si>
    <t>AT - Miscellaneous building technologies</t>
  </si>
  <si>
    <t>AT - ICT and multimedia</t>
  </si>
  <si>
    <t>AT - Agriculture, forestry and fishing</t>
  </si>
  <si>
    <t>VA.Meuro2015.Meuro2023.AT.AGR.AGR</t>
  </si>
  <si>
    <t>OUTPUT.index.index.AT.AGR.AGR</t>
  </si>
  <si>
    <t>CAP.index.index.AT.AGR.AGR</t>
  </si>
  <si>
    <t>NEWCAP.index.index.AT.AGR.AGR</t>
  </si>
  <si>
    <t>CAPOUT.index.AT.AGR.AGR</t>
  </si>
  <si>
    <t>CAPIDLE.index.AT.AGR.AGR</t>
  </si>
  <si>
    <t>FEC.ktoe.AT.ES.AGR</t>
  </si>
  <si>
    <t>FEC.ktoe.AT.ES.AGR.Solids</t>
  </si>
  <si>
    <t>FEC.ktoe.AT.ES.AGR.LPG</t>
  </si>
  <si>
    <t>FEC.ktoe.AT.ES.AGR.Diesel</t>
  </si>
  <si>
    <t>FEC.ktoe.AT.ES.AGR.RFO</t>
  </si>
  <si>
    <t>FEC.ktoe.AT.ES.AGR.NG</t>
  </si>
  <si>
    <t>FEC.ktoe.AT.ES.AGR.Biomass_Waste</t>
  </si>
  <si>
    <t>FEC.ktoe.AT.ES.AGR.Biogas</t>
  </si>
  <si>
    <t>FEC.ktoe.AT.ES.AGR.LiqBio</t>
  </si>
  <si>
    <t>FEC.ktoe.AT.ES.AGR.Solar</t>
  </si>
  <si>
    <t>FEC.ktoe.AT.ES.AGR.Geo</t>
  </si>
  <si>
    <t>FEC.ktoe.AT.ES.AGR.Ambient</t>
  </si>
  <si>
    <t>FEC.ktoe.AT.ES.AGR.Steam_Distr</t>
  </si>
  <si>
    <t>FEC.ktoe.AT.ES.AGR.Elec</t>
  </si>
  <si>
    <t>AT - Agriculture, forestry and fishing / final energy consumption</t>
  </si>
  <si>
    <t>FEC.ktoe.ktoe.AT.AGR.AGR.LIGHT.GENERIC.ELEC</t>
  </si>
  <si>
    <t>FEC.ktoe.ktoe.AT.AGR.AGR.FANS.GENERIC.ELEC</t>
  </si>
  <si>
    <t>FEC.ktoe.ktoe.AT.AGR.AGR.MOTOR.GENERIC.ELEC</t>
  </si>
  <si>
    <t>FEC.ktoe.ktoe.AT.AGR.AGR.LOW_ENTH.THERM.DIESEL_LIQBIO</t>
  </si>
  <si>
    <t>FEC.ktoe.ktoe.AT.AGR.AGR.LOW_ENTH.THERM.NG_BIOGAS</t>
  </si>
  <si>
    <t>FEC.ktoe.ktoe.AT.AGR.AGR.LOW_ENTH.THERM.SOLAR_GEO</t>
  </si>
  <si>
    <t>FEC.ktoe.ktoe.AT.AGR.AGR.LOW_ENTH.HP.AMBIENT</t>
  </si>
  <si>
    <t>FEC.ktoe.ktoe.AT.AGR.AGR.LOW_ENTH.THERM.STEAM_DISTR</t>
  </si>
  <si>
    <t>FEC.ktoe.ktoe.AT.AGR.AGR.LOW_ENTH.THERM.ELEC</t>
  </si>
  <si>
    <t>FEC.ktoe.ktoe.AT.AGR.AGR.FARM_DRIVES.MECH.DIESEL_LIQBIO</t>
  </si>
  <si>
    <t>FEC.ktoe.ktoe.AT.AGR.AGR.HEAT_USE.THERM.SOLIDS</t>
  </si>
  <si>
    <t>FEC.ktoe.ktoe.AT.AGR.AGR.HEAT_USE.THERM.LPG</t>
  </si>
  <si>
    <t>FEC.ktoe.ktoe.AT.AGR.AGR.HEAT_USE.THERM.DIESEL_LIQBIO</t>
  </si>
  <si>
    <t>FEC.ktoe.ktoe.AT.AGR.AGR.HEAT_USE.THERM.RFO</t>
  </si>
  <si>
    <t>FEC.ktoe.ktoe.AT.AGR.AGR.HEAT_USE.THERM.NG_BIOGAS</t>
  </si>
  <si>
    <t>FEC.ktoe.ktoe.AT.AGR.AGR.HEAT_USE.THERM.BIOMASS_WASTE</t>
  </si>
  <si>
    <t>FEC.ktoe.ktoe.AT.AGR.AGR.HEAT_USE.THERM.SOLAR_GEO</t>
  </si>
  <si>
    <t>FEC.ktoe.ktoe.AT.AGR.AGR.FARM_PUMP.MECH.DIESEL_LIQBIO</t>
  </si>
  <si>
    <t>FEC.ktoe.ktoe.AT.AGR.AGR.FARM_PUMP_ELEC.MECH.ELEC</t>
  </si>
  <si>
    <t>FEC.ktoe.ktoe.AT.AGR.AGR.GENERIC.MECH.ELEC</t>
  </si>
  <si>
    <t>AT - Agriculture, forestry and fishing / useful energy demand</t>
  </si>
  <si>
    <t>UED.ktoe.ktoe.AT.AGR.AGR.LIGHT.GENERIC.ELEC</t>
  </si>
  <si>
    <t>UED.ktoe.ktoe.AT.AGR.AGR.FANS.GENERIC.ELEC</t>
  </si>
  <si>
    <t>UED.ktoe.ktoe.AT.AGR.AGR.MOTOR.GENERIC.ELEC</t>
  </si>
  <si>
    <t>UED.ktoe.ktoe.AT.AGR.AGR.LOW_ENTH.THERM.DIESEL_LIQBIO</t>
  </si>
  <si>
    <t>UED.ktoe.ktoe.AT.AGR.AGR.LOW_ENTH.THERM.NG_BIOGAS</t>
  </si>
  <si>
    <t>UED.ktoe.ktoe.AT.AGR.AGR.LOW_ENTH.THERM.SOLAR_GEO</t>
  </si>
  <si>
    <t>UED.ktoe.ktoe.AT.AGR.AGR.LOW_ENTH.HP.AMBIENT</t>
  </si>
  <si>
    <t>UED.ktoe.ktoe.AT.AGR.AGR.LOW_ENTH.THERM.STEAM_DISTR</t>
  </si>
  <si>
    <t>UED.ktoe.ktoe.AT.AGR.AGR.LOW_ENTH.THERM.ELEC</t>
  </si>
  <si>
    <t>UED.ktoe.ktoe.AT.AGR.AGR.FARM_DRIVES.MECH.DIESEL_LIQBIO</t>
  </si>
  <si>
    <t>UED.ktoe.ktoe.AT.AGR.AGR.HEAT_USE.THERM.SOLIDS</t>
  </si>
  <si>
    <t>UED.ktoe.ktoe.AT.AGR.AGR.HEAT_USE.THERM.LPG</t>
  </si>
  <si>
    <t>UED.ktoe.ktoe.AT.AGR.AGR.HEAT_USE.THERM.DIESEL_LIQBIO</t>
  </si>
  <si>
    <t>UED.ktoe.ktoe.AT.AGR.AGR.HEAT_USE.THERM.RFO</t>
  </si>
  <si>
    <t>UED.ktoe.ktoe.AT.AGR.AGR.HEAT_USE.THERM.NG_BIOGAS</t>
  </si>
  <si>
    <t>UED.ktoe.ktoe.AT.AGR.AGR.HEAT_USE.THERM.BIOMASS_WASTE</t>
  </si>
  <si>
    <t>UED.ktoe.ktoe.AT.AGR.AGR.HEAT_USE.THERM.SOLAR_GEO</t>
  </si>
  <si>
    <t>UED.ktoe.ktoe.AT.AGR.AGR.FARM_PUMP.MECH.DIESEL_LIQBIO</t>
  </si>
  <si>
    <t>UED.ktoe.ktoe.AT.AGR.AGR.FARM_PUMP_ELEC.MECH.ELEC</t>
  </si>
  <si>
    <t>UED.ktoe.ktoe.AT.AGR.AGR.GENERIC.MECH.ELEC</t>
  </si>
  <si>
    <t>AT - Agriculture, forestry and fishing / CO2 emissions</t>
  </si>
  <si>
    <t>FUEL_EMI.ktCO2.ktCO2.AT.AGR.AGR.LIGHT.GENERIC.ELEC</t>
  </si>
  <si>
    <t>FUEL_EMI.ktCO2.ktCO2.AT.AGR.AGR.FANS.GENERIC.ELEC</t>
  </si>
  <si>
    <t>FUEL_EMI.ktCO2.ktCO2.AT.AGR.AGR.MOTOR.GENERIC.ELEC</t>
  </si>
  <si>
    <t>FUEL_EMI.ktCO2.ktCO2.AT.AGR.AGR.LOW_ENTH.THERM.DIESEL_LIQBIO</t>
  </si>
  <si>
    <t>FUEL_EMI.ktCO2.ktCO2.AT.AGR.AGR.LOW_ENTH.THERM.NG_BIOGAS</t>
  </si>
  <si>
    <t>FUEL_EMI.ktCO2.ktCO2.AT.AGR.AGR.LOW_ENTH.THERM.SOLAR_GEO</t>
  </si>
  <si>
    <t>FUEL_EMI.ktCO2.ktCO2.AT.AGR.AGR.LOW_ENTH.HP.AMBIENT</t>
  </si>
  <si>
    <t>FUEL_EMI.ktCO2.ktCO2.AT.AGR.AGR.LOW_ENTH.THERM.STEAM_DISTR</t>
  </si>
  <si>
    <t>FUEL_EMI.ktCO2.ktCO2.AT.AGR.AGR.LOW_ENTH.THERM.ELEC</t>
  </si>
  <si>
    <t>FUEL_EMI.ktCO2.ktCO2.AT.AGR.AGR.FARM_DRIVES.MECH.DIESEL_LIQBIO</t>
  </si>
  <si>
    <t>FUEL_EMI.ktCO2.ktCO2.AT.AGR.AGR.HEAT_USE.THERM.SOLIDS</t>
  </si>
  <si>
    <t>FUEL_EMI.ktCO2.ktCO2.AT.AGR.AGR.HEAT_USE.THERM.LPG</t>
  </si>
  <si>
    <t>FUEL_EMI.ktCO2.ktCO2.AT.AGR.AGR.HEAT_USE.THERM.DIESEL_LIQBIO</t>
  </si>
  <si>
    <t>FUEL_EMI.ktCO2.ktCO2.AT.AGR.AGR.HEAT_USE.THERM.RFO</t>
  </si>
  <si>
    <t>FUEL_EMI.ktCO2.ktCO2.AT.AGR.AGR.HEAT_USE.THERM.NG_BIOGAS</t>
  </si>
  <si>
    <t>FUEL_EMI.ktCO2.ktCO2.AT.AGR.AGR.HEAT_USE.THERM.BIOMASS_WASTE</t>
  </si>
  <si>
    <t>FUEL_EMI.ktCO2.ktCO2.AT.AGR.AGR.HEAT_USE.THERM.SOLAR_GEO</t>
  </si>
  <si>
    <t>FUEL_EMI.ktCO2.ktCO2.AT.AGR.AGR.FARM_PUMP.MECH.DIESEL_LIQBIO</t>
  </si>
  <si>
    <t>FUEL_EMI.ktCO2.ktCO2.AT.AGR.AGR.FARM_PUMP_ELEC.MECH.ELEC</t>
  </si>
  <si>
    <t>FUEL_EMI.ktCO2.ktCO2.AT.AGR.AGR.GENERIC.MECH.ELEC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</si>
</sst>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45967.471435185187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8002186</v>
      </c>
      <c r="C3" s="34">
        <v>8020946</v>
      </c>
      <c r="D3" s="34">
        <v>8063640</v>
      </c>
      <c r="E3" s="34">
        <v>8100273</v>
      </c>
      <c r="F3" s="34">
        <v>8142573</v>
      </c>
      <c r="G3" s="34">
        <v>8201359</v>
      </c>
      <c r="H3" s="34">
        <v>8254298</v>
      </c>
      <c r="I3" s="34">
        <v>8282984</v>
      </c>
      <c r="J3" s="34">
        <v>8307989</v>
      </c>
      <c r="K3" s="34">
        <v>8335003</v>
      </c>
      <c r="L3" s="34">
        <v>8351643</v>
      </c>
      <c r="M3" s="34">
        <v>8375164</v>
      </c>
      <c r="N3" s="34">
        <v>8408121</v>
      </c>
      <c r="O3" s="34">
        <v>8451860</v>
      </c>
      <c r="P3" s="34">
        <v>8507786</v>
      </c>
      <c r="Q3" s="34">
        <v>8584926</v>
      </c>
      <c r="R3" s="34">
        <v>8700471</v>
      </c>
      <c r="S3" s="34">
        <v>8772865</v>
      </c>
      <c r="T3" s="34">
        <v>8822267</v>
      </c>
      <c r="U3" s="34">
        <v>8858775</v>
      </c>
      <c r="V3" s="34">
        <v>8901064</v>
      </c>
      <c r="W3" s="34">
        <v>8932664</v>
      </c>
      <c r="X3" s="34">
        <v>8978929</v>
      </c>
      <c r="Y3" s="34">
        <v>9104772</v>
      </c>
      <c r="DA3" s="88" t="s">
        <v>188</v>
      </c>
    </row>
    <row r="4" spans="1:105" ht="12" customHeight="1" x14ac:dyDescent="0.25">
      <c r="A4" s="35" t="s">
        <v>178</v>
      </c>
      <c r="B4" s="36">
        <v>347754.02611979441</v>
      </c>
      <c r="C4" s="36">
        <v>352331.43266188155</v>
      </c>
      <c r="D4" s="36">
        <v>357563.29763358779</v>
      </c>
      <c r="E4" s="36">
        <v>361644.57553143369</v>
      </c>
      <c r="F4" s="36">
        <v>370923.37580121279</v>
      </c>
      <c r="G4" s="36">
        <v>379526.30403989297</v>
      </c>
      <c r="H4" s="36">
        <v>391936.65862439363</v>
      </c>
      <c r="I4" s="36">
        <v>406733.18310574495</v>
      </c>
      <c r="J4" s="36">
        <v>412645.70063867373</v>
      </c>
      <c r="K4" s="36">
        <v>397842.77506817289</v>
      </c>
      <c r="L4" s="36">
        <v>405043.38811848417</v>
      </c>
      <c r="M4" s="36">
        <v>416899.41621973022</v>
      </c>
      <c r="N4" s="36">
        <v>419516.40188483009</v>
      </c>
      <c r="O4" s="36">
        <v>418464.8322342335</v>
      </c>
      <c r="P4" s="36">
        <v>421628.40873986029</v>
      </c>
      <c r="Q4" s="36">
        <v>427125.45809999999</v>
      </c>
      <c r="R4" s="36">
        <v>436167.62575259048</v>
      </c>
      <c r="S4" s="36">
        <v>446078.52709905838</v>
      </c>
      <c r="T4" s="36">
        <v>457161.47759126389</v>
      </c>
      <c r="U4" s="36">
        <v>465182.38097390125</v>
      </c>
      <c r="V4" s="36">
        <v>435791.83409503888</v>
      </c>
      <c r="W4" s="36">
        <v>457248.01530708832</v>
      </c>
      <c r="X4" s="36">
        <v>481621.4441983829</v>
      </c>
      <c r="Y4" s="36">
        <v>477837.3</v>
      </c>
      <c r="DA4" s="89" t="s">
        <v>189</v>
      </c>
    </row>
    <row r="5" spans="1:105" ht="12" customHeight="1" x14ac:dyDescent="0.25">
      <c r="A5" s="35" t="s">
        <v>179</v>
      </c>
      <c r="B5" s="36">
        <v>207189.28493780768</v>
      </c>
      <c r="C5" s="36">
        <v>211001.23227380749</v>
      </c>
      <c r="D5" s="36">
        <v>216825.84950583562</v>
      </c>
      <c r="E5" s="36">
        <v>220294.57949645203</v>
      </c>
      <c r="F5" s="36">
        <v>226334.25886307319</v>
      </c>
      <c r="G5" s="36">
        <v>233078.34445418723</v>
      </c>
      <c r="H5" s="36">
        <v>240820.04362751436</v>
      </c>
      <c r="I5" s="36">
        <v>249239.5143505141</v>
      </c>
      <c r="J5" s="36">
        <v>255379.38234362629</v>
      </c>
      <c r="K5" s="36">
        <v>250248.5515408362</v>
      </c>
      <c r="L5" s="36">
        <v>255878.00785493158</v>
      </c>
      <c r="M5" s="36">
        <v>264107.33975659229</v>
      </c>
      <c r="N5" s="36">
        <v>264955.08912133006</v>
      </c>
      <c r="O5" s="36">
        <v>265347.08663710614</v>
      </c>
      <c r="P5" s="36">
        <v>268178.68790011166</v>
      </c>
      <c r="Q5" s="36">
        <v>272485.55765500007</v>
      </c>
      <c r="R5" s="36">
        <v>276538.9449516965</v>
      </c>
      <c r="S5" s="36">
        <v>283385.37010695966</v>
      </c>
      <c r="T5" s="36">
        <v>292169.12728899985</v>
      </c>
      <c r="U5" s="36">
        <v>298715.62386414356</v>
      </c>
      <c r="V5" s="36">
        <v>280343.88077578653</v>
      </c>
      <c r="W5" s="36">
        <v>291380.43346949009</v>
      </c>
      <c r="X5" s="36">
        <v>312273.35299520282</v>
      </c>
      <c r="Y5" s="36">
        <v>307437.14401867299</v>
      </c>
      <c r="DA5" s="89" t="s">
        <v>190</v>
      </c>
    </row>
    <row r="6" spans="1:105" ht="12" customHeight="1" x14ac:dyDescent="0.25">
      <c r="A6" s="37" t="s">
        <v>70</v>
      </c>
      <c r="B6" s="38">
        <v>2570550</v>
      </c>
      <c r="C6" s="38">
        <v>2609880</v>
      </c>
      <c r="D6" s="38">
        <v>2633290</v>
      </c>
      <c r="E6" s="38">
        <v>2665240</v>
      </c>
      <c r="F6" s="38">
        <v>2697739.9999999995</v>
      </c>
      <c r="G6" s="38">
        <v>2751880</v>
      </c>
      <c r="H6" s="38">
        <v>2820460</v>
      </c>
      <c r="I6" s="38">
        <v>2875720</v>
      </c>
      <c r="J6" s="38">
        <v>2941480</v>
      </c>
      <c r="K6" s="38">
        <v>2948379.9999999995</v>
      </c>
      <c r="L6" s="38">
        <v>2995230</v>
      </c>
      <c r="M6" s="38">
        <v>3049340</v>
      </c>
      <c r="N6" s="38">
        <v>3093860</v>
      </c>
      <c r="O6" s="38">
        <v>3118100</v>
      </c>
      <c r="P6" s="38">
        <v>3149380</v>
      </c>
      <c r="Q6" s="38">
        <v>3186049.9999999995</v>
      </c>
      <c r="R6" s="38">
        <v>3237710</v>
      </c>
      <c r="S6" s="38">
        <v>3302320</v>
      </c>
      <c r="T6" s="38">
        <v>3369270</v>
      </c>
      <c r="U6" s="38">
        <v>3406779.9999999995</v>
      </c>
      <c r="V6" s="38">
        <v>3333790</v>
      </c>
      <c r="W6" s="38">
        <v>3402850.0000000005</v>
      </c>
      <c r="X6" s="38">
        <v>3505960</v>
      </c>
      <c r="Y6" s="38">
        <v>3554440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149147.3155689839</v>
      </c>
      <c r="C8" s="34">
        <v>150261.16334450181</v>
      </c>
      <c r="D8" s="34">
        <v>151907.70073731837</v>
      </c>
      <c r="E8" s="34">
        <v>153093.98810793067</v>
      </c>
      <c r="F8" s="34">
        <v>155579.83653696431</v>
      </c>
      <c r="G8" s="34">
        <v>158263.50939708049</v>
      </c>
      <c r="H8" s="34">
        <v>161920.53510000004</v>
      </c>
      <c r="I8" s="34">
        <v>165550.84057811293</v>
      </c>
      <c r="J8" s="34">
        <v>167503.82728505548</v>
      </c>
      <c r="K8" s="34">
        <v>164440.58190503105</v>
      </c>
      <c r="L8" s="34">
        <v>166453.29305734168</v>
      </c>
      <c r="M8" s="34">
        <v>167927.9243021211</v>
      </c>
      <c r="N8" s="34">
        <v>168502.1392194673</v>
      </c>
      <c r="O8" s="34">
        <v>169219.05927293067</v>
      </c>
      <c r="P8" s="34">
        <v>170206.37438892707</v>
      </c>
      <c r="Q8" s="34">
        <v>171531.14438979677</v>
      </c>
      <c r="R8" s="34">
        <v>173933.82271248204</v>
      </c>
      <c r="S8" s="34">
        <v>176510.50732311525</v>
      </c>
      <c r="T8" s="34">
        <v>179060.47440056605</v>
      </c>
      <c r="U8" s="34">
        <v>181300.55305789507</v>
      </c>
      <c r="V8" s="34">
        <v>183453.24333333332</v>
      </c>
      <c r="W8" s="34">
        <v>185509.74085919355</v>
      </c>
      <c r="X8" s="34">
        <v>187525.45096526534</v>
      </c>
      <c r="Y8" s="34">
        <v>189505.91159397361</v>
      </c>
      <c r="DA8" s="88" t="s">
        <v>192</v>
      </c>
    </row>
    <row r="9" spans="1:105" ht="12" customHeight="1" x14ac:dyDescent="0.25">
      <c r="A9" s="39" t="s">
        <v>68</v>
      </c>
      <c r="B9" s="40">
        <v>134232.58401208551</v>
      </c>
      <c r="C9" s="40">
        <v>135235.04701005161</v>
      </c>
      <c r="D9" s="40">
        <v>136716.93066358654</v>
      </c>
      <c r="E9" s="40">
        <v>137784.5892971376</v>
      </c>
      <c r="F9" s="40">
        <v>140021.85288326789</v>
      </c>
      <c r="G9" s="40">
        <v>142437.15845737245</v>
      </c>
      <c r="H9" s="40">
        <v>145728.48159000004</v>
      </c>
      <c r="I9" s="40">
        <v>148995.75652030166</v>
      </c>
      <c r="J9" s="40">
        <v>150753.44455654992</v>
      </c>
      <c r="K9" s="40">
        <v>147996.52371452795</v>
      </c>
      <c r="L9" s="40">
        <v>149807.96375160752</v>
      </c>
      <c r="M9" s="40">
        <v>151135.13187190899</v>
      </c>
      <c r="N9" s="40">
        <v>151651.92529752056</v>
      </c>
      <c r="O9" s="40">
        <v>152297.15334563761</v>
      </c>
      <c r="P9" s="40">
        <v>153185.73695003436</v>
      </c>
      <c r="Q9" s="40">
        <v>154378.02995081709</v>
      </c>
      <c r="R9" s="40">
        <v>156540.44044123383</v>
      </c>
      <c r="S9" s="40">
        <v>158859.45659080372</v>
      </c>
      <c r="T9" s="40">
        <v>161154.42696050945</v>
      </c>
      <c r="U9" s="40">
        <v>163170.49775210556</v>
      </c>
      <c r="V9" s="40">
        <v>165107.91899999999</v>
      </c>
      <c r="W9" s="40">
        <v>166958.7667732742</v>
      </c>
      <c r="X9" s="40">
        <v>168772.9058687388</v>
      </c>
      <c r="Y9" s="40">
        <v>170555.32043457625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1710.5999254616538</v>
      </c>
      <c r="D10" s="41">
        <v>2247.5588347711187</v>
      </c>
      <c r="E10" s="41">
        <v>1793.9499334723828</v>
      </c>
      <c r="F10" s="41">
        <v>3098.2546496834671</v>
      </c>
      <c r="G10" s="41">
        <v>3306.040762124363</v>
      </c>
      <c r="H10" s="41">
        <v>4290.3040178439987</v>
      </c>
      <c r="I10" s="41">
        <v>4277.8147664064354</v>
      </c>
      <c r="J10" s="41">
        <v>2615.2013343841027</v>
      </c>
      <c r="K10" s="41">
        <v>669.80447990512414</v>
      </c>
      <c r="L10" s="41">
        <v>2670.6564877414862</v>
      </c>
      <c r="M10" s="41">
        <v>2140.6407984527791</v>
      </c>
      <c r="N10" s="41">
        <v>1245.9168603672074</v>
      </c>
      <c r="O10" s="41">
        <v>1390.9938253792486</v>
      </c>
      <c r="P10" s="41">
        <v>1664.2350825860692</v>
      </c>
      <c r="Q10" s="41">
        <v>2005.4848936911064</v>
      </c>
      <c r="R10" s="41">
        <v>3282.3252169919192</v>
      </c>
      <c r="S10" s="41">
        <v>3468.6529322356882</v>
      </c>
      <c r="T10" s="41">
        <v>3455.1491662872477</v>
      </c>
      <c r="U10" s="41">
        <v>3158.3375004088807</v>
      </c>
      <c r="V10" s="41">
        <v>3082.4367013761698</v>
      </c>
      <c r="W10" s="41">
        <v>2997.2833891080672</v>
      </c>
      <c r="X10" s="41">
        <v>2967.0421104779484</v>
      </c>
      <c r="Y10" s="41">
        <v>2942.1296080173097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1539.5399329154884</v>
      </c>
      <c r="D11" s="42">
        <v>2022.8029512940068</v>
      </c>
      <c r="E11" s="42">
        <v>1614.5549401251444</v>
      </c>
      <c r="F11" s="42">
        <v>2788.4291847151203</v>
      </c>
      <c r="G11" s="42">
        <v>2975.4366859119268</v>
      </c>
      <c r="H11" s="42">
        <v>3861.2736160595991</v>
      </c>
      <c r="I11" s="42">
        <v>3850.0332897657922</v>
      </c>
      <c r="J11" s="42">
        <v>2353.6812009456921</v>
      </c>
      <c r="K11" s="42">
        <v>602.82403191461174</v>
      </c>
      <c r="L11" s="42">
        <v>2403.5908389673373</v>
      </c>
      <c r="M11" s="42">
        <v>1926.5767186075011</v>
      </c>
      <c r="N11" s="42">
        <v>1121.3251743304868</v>
      </c>
      <c r="O11" s="42">
        <v>1251.8944428413238</v>
      </c>
      <c r="P11" s="42">
        <v>1497.8115743274623</v>
      </c>
      <c r="Q11" s="42">
        <v>1804.936404321996</v>
      </c>
      <c r="R11" s="42">
        <v>2954.0926952927275</v>
      </c>
      <c r="S11" s="42">
        <v>3121.7876390121196</v>
      </c>
      <c r="T11" s="42">
        <v>3109.634249658523</v>
      </c>
      <c r="U11" s="42">
        <v>2842.5037503679923</v>
      </c>
      <c r="V11" s="42">
        <v>2774.193031238553</v>
      </c>
      <c r="W11" s="42">
        <v>2697.5550501972602</v>
      </c>
      <c r="X11" s="42">
        <v>2670.3378994301534</v>
      </c>
      <c r="Y11" s="42">
        <v>2647.9166472155789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3408.97</v>
      </c>
      <c r="C13" s="43">
        <v>3747.09</v>
      </c>
      <c r="D13" s="43">
        <v>3480.79</v>
      </c>
      <c r="E13" s="43">
        <v>3703.61</v>
      </c>
      <c r="F13" s="43">
        <v>3737.74</v>
      </c>
      <c r="G13" s="43">
        <v>3853.61</v>
      </c>
      <c r="H13" s="43">
        <v>3649.35</v>
      </c>
      <c r="I13" s="43">
        <v>3363.28</v>
      </c>
      <c r="J13" s="43">
        <v>3444.43</v>
      </c>
      <c r="K13" s="43">
        <v>3504.84</v>
      </c>
      <c r="L13" s="43">
        <v>3905.88</v>
      </c>
      <c r="M13" s="43">
        <v>3409.28</v>
      </c>
      <c r="N13" s="43">
        <v>3552.85</v>
      </c>
      <c r="O13" s="43">
        <v>3635.43</v>
      </c>
      <c r="P13" s="43">
        <v>3126.98</v>
      </c>
      <c r="Q13" s="43">
        <v>3316.42</v>
      </c>
      <c r="R13" s="43">
        <v>3419.3</v>
      </c>
      <c r="S13" s="43">
        <v>3498.07</v>
      </c>
      <c r="T13" s="43">
        <v>3193.65</v>
      </c>
      <c r="U13" s="43">
        <v>3279.5</v>
      </c>
      <c r="V13" s="43">
        <v>3322.37</v>
      </c>
      <c r="W13" s="43">
        <v>3633.44</v>
      </c>
      <c r="X13" s="43">
        <v>3228.73</v>
      </c>
      <c r="Y13" s="43">
        <v>3147.64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3502.5447619047613</v>
      </c>
      <c r="C14" s="44">
        <f t="shared" ref="C14:Y14" si="0">AVERAGE($B$13:$V$13)</f>
        <v>3502.5447619047613</v>
      </c>
      <c r="D14" s="44">
        <f t="shared" si="0"/>
        <v>3502.5447619047613</v>
      </c>
      <c r="E14" s="44">
        <f t="shared" si="0"/>
        <v>3502.5447619047613</v>
      </c>
      <c r="F14" s="44">
        <f t="shared" si="0"/>
        <v>3502.5447619047613</v>
      </c>
      <c r="G14" s="44">
        <f t="shared" si="0"/>
        <v>3502.5447619047613</v>
      </c>
      <c r="H14" s="44">
        <f t="shared" si="0"/>
        <v>3502.5447619047613</v>
      </c>
      <c r="I14" s="44">
        <f t="shared" si="0"/>
        <v>3502.5447619047613</v>
      </c>
      <c r="J14" s="44">
        <f t="shared" si="0"/>
        <v>3502.5447619047613</v>
      </c>
      <c r="K14" s="44">
        <f t="shared" si="0"/>
        <v>3502.5447619047613</v>
      </c>
      <c r="L14" s="44">
        <f t="shared" si="0"/>
        <v>3502.5447619047613</v>
      </c>
      <c r="M14" s="44">
        <f t="shared" si="0"/>
        <v>3502.5447619047613</v>
      </c>
      <c r="N14" s="44">
        <f t="shared" si="0"/>
        <v>3502.5447619047613</v>
      </c>
      <c r="O14" s="44">
        <f t="shared" si="0"/>
        <v>3502.5447619047613</v>
      </c>
      <c r="P14" s="44">
        <f t="shared" si="0"/>
        <v>3502.5447619047613</v>
      </c>
      <c r="Q14" s="44">
        <f t="shared" si="0"/>
        <v>3502.5447619047613</v>
      </c>
      <c r="R14" s="44">
        <f t="shared" si="0"/>
        <v>3502.5447619047613</v>
      </c>
      <c r="S14" s="44">
        <f t="shared" si="0"/>
        <v>3502.5447619047613</v>
      </c>
      <c r="T14" s="44">
        <f t="shared" si="0"/>
        <v>3502.5447619047613</v>
      </c>
      <c r="U14" s="44">
        <f t="shared" si="0"/>
        <v>3502.5447619047613</v>
      </c>
      <c r="V14" s="44">
        <f t="shared" si="0"/>
        <v>3502.5447619047613</v>
      </c>
      <c r="W14" s="44">
        <f t="shared" si="0"/>
        <v>3502.5447619047613</v>
      </c>
      <c r="X14" s="44">
        <f t="shared" si="0"/>
        <v>3502.5447619047613</v>
      </c>
      <c r="Y14" s="44">
        <f t="shared" si="0"/>
        <v>3502.5447619047613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0.97328377843374836</v>
      </c>
      <c r="C15" s="46">
        <f t="shared" ref="C15:W15" si="1">C13/C14</f>
        <v>1.0698193041685069</v>
      </c>
      <c r="D15" s="46">
        <f t="shared" si="1"/>
        <v>0.99378886969800473</v>
      </c>
      <c r="E15" s="46">
        <f t="shared" si="1"/>
        <v>1.0574054728099735</v>
      </c>
      <c r="F15" s="46">
        <f t="shared" si="1"/>
        <v>1.0671498165143602</v>
      </c>
      <c r="G15" s="46">
        <f t="shared" si="1"/>
        <v>1.1002314779567075</v>
      </c>
      <c r="H15" s="46">
        <f t="shared" si="1"/>
        <v>1.0419138792148948</v>
      </c>
      <c r="I15" s="46">
        <f t="shared" si="1"/>
        <v>0.96023897726605334</v>
      </c>
      <c r="J15" s="46">
        <f t="shared" si="1"/>
        <v>0.98340784605043641</v>
      </c>
      <c r="K15" s="46">
        <f t="shared" si="1"/>
        <v>1.0006553058565313</v>
      </c>
      <c r="L15" s="46">
        <f t="shared" si="1"/>
        <v>1.1151549132168395</v>
      </c>
      <c r="M15" s="46">
        <f t="shared" si="1"/>
        <v>0.97337228551105182</v>
      </c>
      <c r="N15" s="46">
        <f t="shared" si="1"/>
        <v>1.0143624825704958</v>
      </c>
      <c r="O15" s="46">
        <f t="shared" si="1"/>
        <v>1.0379396259372777</v>
      </c>
      <c r="P15" s="46">
        <f t="shared" si="1"/>
        <v>0.89277374382489805</v>
      </c>
      <c r="Q15" s="46">
        <f t="shared" si="1"/>
        <v>0.9468601332582135</v>
      </c>
      <c r="R15" s="46">
        <f t="shared" si="1"/>
        <v>0.97623306265485366</v>
      </c>
      <c r="S15" s="46">
        <f t="shared" si="1"/>
        <v>0.99872242549090862</v>
      </c>
      <c r="T15" s="46">
        <f t="shared" si="1"/>
        <v>0.91180847557911648</v>
      </c>
      <c r="U15" s="46">
        <f t="shared" si="1"/>
        <v>0.93631922585809735</v>
      </c>
      <c r="V15" s="46">
        <f t="shared" si="1"/>
        <v>0.94855889812903393</v>
      </c>
      <c r="W15" s="46">
        <f t="shared" si="1"/>
        <v>1.0373714676023311</v>
      </c>
      <c r="X15" s="46">
        <f t="shared" ref="X15:Y15" si="2">X13/X14</f>
        <v>0.92182405064943274</v>
      </c>
      <c r="Y15" s="46">
        <f t="shared" si="2"/>
        <v>0.8986723122671082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43457.378536289267</v>
      </c>
      <c r="C19" s="34">
        <f t="shared" si="3"/>
        <v>43926.418736877364</v>
      </c>
      <c r="D19" s="34">
        <f t="shared" ref="D19:W19" si="4">D4*1000000/D3</f>
        <v>44342.666293831047</v>
      </c>
      <c r="E19" s="34">
        <f t="shared" si="4"/>
        <v>44645.973726000804</v>
      </c>
      <c r="F19" s="34">
        <f t="shared" si="4"/>
        <v>45553.583099741663</v>
      </c>
      <c r="G19" s="34">
        <f t="shared" si="4"/>
        <v>46276.026209789496</v>
      </c>
      <c r="H19" s="34">
        <f t="shared" si="4"/>
        <v>47482.736705700911</v>
      </c>
      <c r="I19" s="34">
        <f t="shared" si="4"/>
        <v>49104.668451097445</v>
      </c>
      <c r="J19" s="34">
        <f t="shared" si="4"/>
        <v>49668.542006817021</v>
      </c>
      <c r="K19" s="34">
        <f t="shared" si="4"/>
        <v>47731.569510913541</v>
      </c>
      <c r="L19" s="34">
        <f t="shared" si="4"/>
        <v>48498.647286346437</v>
      </c>
      <c r="M19" s="34">
        <f t="shared" si="4"/>
        <v>49778.060014076167</v>
      </c>
      <c r="N19" s="34">
        <f t="shared" si="4"/>
        <v>49894.191803951217</v>
      </c>
      <c r="O19" s="34">
        <f t="shared" si="4"/>
        <v>49511.566949077896</v>
      </c>
      <c r="P19" s="34">
        <f t="shared" si="4"/>
        <v>49557.947125122831</v>
      </c>
      <c r="Q19" s="34">
        <f t="shared" si="4"/>
        <v>49752.957462883198</v>
      </c>
      <c r="R19" s="34">
        <f t="shared" si="4"/>
        <v>50131.495841155091</v>
      </c>
      <c r="S19" s="34">
        <f t="shared" si="4"/>
        <v>50847.5312339878</v>
      </c>
      <c r="T19" s="34">
        <f t="shared" si="4"/>
        <v>51819.048050944722</v>
      </c>
      <c r="U19" s="34">
        <f t="shared" si="4"/>
        <v>52510.914993766208</v>
      </c>
      <c r="V19" s="34">
        <f t="shared" si="4"/>
        <v>48959.521479121919</v>
      </c>
      <c r="W19" s="34">
        <f t="shared" si="4"/>
        <v>51188.314628994027</v>
      </c>
      <c r="X19" s="34">
        <f t="shared" ref="X19:Y19" si="5">X4*1000000/X3</f>
        <v>53639.074793706786</v>
      </c>
      <c r="Y19" s="34">
        <f t="shared" si="5"/>
        <v>52482.072038706734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80601.149535238641</v>
      </c>
      <c r="C20" s="36">
        <f t="shared" si="6"/>
        <v>80847.101121050582</v>
      </c>
      <c r="D20" s="36">
        <f t="shared" ref="D20:W20" si="7">D5*1000000/D6</f>
        <v>82340.285158807281</v>
      </c>
      <c r="E20" s="36">
        <f t="shared" si="7"/>
        <v>82654.687569018934</v>
      </c>
      <c r="F20" s="36">
        <f t="shared" si="7"/>
        <v>83897.728788939348</v>
      </c>
      <c r="G20" s="36">
        <f t="shared" si="7"/>
        <v>84697.859083312942</v>
      </c>
      <c r="H20" s="36">
        <f t="shared" si="7"/>
        <v>85383.250826997843</v>
      </c>
      <c r="I20" s="36">
        <f t="shared" si="7"/>
        <v>86670.299733810694</v>
      </c>
      <c r="J20" s="36">
        <f t="shared" si="7"/>
        <v>86820.030169719423</v>
      </c>
      <c r="K20" s="36">
        <f t="shared" si="7"/>
        <v>84876.627687352462</v>
      </c>
      <c r="L20" s="36">
        <f t="shared" si="7"/>
        <v>85428.500600932675</v>
      </c>
      <c r="M20" s="36">
        <f t="shared" si="7"/>
        <v>86611.312532086376</v>
      </c>
      <c r="N20" s="36">
        <f t="shared" si="7"/>
        <v>85639.004066547961</v>
      </c>
      <c r="O20" s="36">
        <f t="shared" si="7"/>
        <v>85098.966241334827</v>
      </c>
      <c r="P20" s="36">
        <f t="shared" si="7"/>
        <v>85152.851640675843</v>
      </c>
      <c r="Q20" s="36">
        <f t="shared" si="7"/>
        <v>85524.570441455755</v>
      </c>
      <c r="R20" s="36">
        <f t="shared" si="7"/>
        <v>85411.89450311994</v>
      </c>
      <c r="S20" s="36">
        <f t="shared" si="7"/>
        <v>85814.024718064771</v>
      </c>
      <c r="T20" s="36">
        <f t="shared" si="7"/>
        <v>86715.854558702587</v>
      </c>
      <c r="U20" s="36">
        <f t="shared" si="7"/>
        <v>87682.686837466346</v>
      </c>
      <c r="V20" s="36">
        <f t="shared" si="7"/>
        <v>84091.643677552129</v>
      </c>
      <c r="W20" s="36">
        <f t="shared" si="7"/>
        <v>85628.350785221235</v>
      </c>
      <c r="X20" s="36">
        <f t="shared" ref="X20:Y20" si="8">X5*1000000/X6</f>
        <v>89069.285729216193</v>
      </c>
      <c r="Y20" s="36">
        <f t="shared" si="8"/>
        <v>86493.834195730684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25891.585741422117</v>
      </c>
      <c r="C21" s="36">
        <f t="shared" si="9"/>
        <v>26306.277622839938</v>
      </c>
      <c r="D21" s="36">
        <f t="shared" ref="D21:W21" si="10">D5*1000000/D3</f>
        <v>26889.326595164915</v>
      </c>
      <c r="E21" s="36">
        <f t="shared" si="10"/>
        <v>27195.945062154329</v>
      </c>
      <c r="F21" s="36">
        <f t="shared" si="10"/>
        <v>27796.405247220158</v>
      </c>
      <c r="G21" s="36">
        <f t="shared" si="10"/>
        <v>28419.478339405363</v>
      </c>
      <c r="H21" s="36">
        <f t="shared" si="10"/>
        <v>29175.108970807007</v>
      </c>
      <c r="I21" s="36">
        <f t="shared" si="10"/>
        <v>30090.54639614348</v>
      </c>
      <c r="J21" s="36">
        <f t="shared" si="10"/>
        <v>30739.013056423915</v>
      </c>
      <c r="K21" s="36">
        <f t="shared" si="10"/>
        <v>30023.810614205682</v>
      </c>
      <c r="L21" s="36">
        <f t="shared" si="10"/>
        <v>30638.044257271482</v>
      </c>
      <c r="M21" s="36">
        <f t="shared" si="10"/>
        <v>31534.587233944589</v>
      </c>
      <c r="N21" s="36">
        <f t="shared" si="10"/>
        <v>31511.807349267463</v>
      </c>
      <c r="O21" s="36">
        <f t="shared" si="10"/>
        <v>31395.111447315281</v>
      </c>
      <c r="P21" s="36">
        <f t="shared" si="10"/>
        <v>31521.560121530052</v>
      </c>
      <c r="Q21" s="36">
        <f t="shared" si="10"/>
        <v>31740.000747239996</v>
      </c>
      <c r="R21" s="36">
        <f t="shared" si="10"/>
        <v>31784.364886877556</v>
      </c>
      <c r="S21" s="36">
        <f t="shared" si="10"/>
        <v>32302.488423902527</v>
      </c>
      <c r="T21" s="36">
        <f t="shared" si="10"/>
        <v>33117.239286568845</v>
      </c>
      <c r="U21" s="36">
        <f t="shared" si="10"/>
        <v>33719.743854443033</v>
      </c>
      <c r="V21" s="36">
        <f t="shared" si="10"/>
        <v>31495.547136363304</v>
      </c>
      <c r="W21" s="36">
        <f t="shared" si="10"/>
        <v>32619.656741761486</v>
      </c>
      <c r="X21" s="36">
        <f t="shared" ref="X21:Y21" si="11">X5*1000000/X3</f>
        <v>34778.463332898929</v>
      </c>
      <c r="Y21" s="36">
        <f t="shared" si="11"/>
        <v>33766.594486789232</v>
      </c>
      <c r="DA21" s="89"/>
    </row>
    <row r="22" spans="1:105" ht="12" customHeight="1" x14ac:dyDescent="0.25">
      <c r="A22" s="51" t="s">
        <v>148</v>
      </c>
      <c r="B22" s="52">
        <v>1.4126930448366417</v>
      </c>
      <c r="C22" s="52">
        <v>1.3995246639172736</v>
      </c>
      <c r="D22" s="52">
        <v>1.4022495753194648</v>
      </c>
      <c r="E22" s="52">
        <v>1.4027409610416017</v>
      </c>
      <c r="F22" s="52">
        <v>1.401204510638647</v>
      </c>
      <c r="G22" s="52">
        <v>1.4023552695031154</v>
      </c>
      <c r="H22" s="52">
        <v>1.3968577993073141</v>
      </c>
      <c r="I22" s="52">
        <v>1.3978574726408348</v>
      </c>
      <c r="J22" s="52">
        <v>1.4090060273878311</v>
      </c>
      <c r="K22" s="52">
        <v>1.4080704679957941</v>
      </c>
      <c r="L22" s="52">
        <v>1.4155822342363562</v>
      </c>
      <c r="M22" s="52">
        <v>1.4283057851913272</v>
      </c>
      <c r="N22" s="52">
        <v>1.431812548127656</v>
      </c>
      <c r="O22" s="52">
        <v>1.4183012933739427</v>
      </c>
      <c r="P22" s="52">
        <v>1.4008574790152584</v>
      </c>
      <c r="Q22" s="52">
        <v>1.3875056069212031</v>
      </c>
      <c r="R22" s="52">
        <v>1.3664476538618162</v>
      </c>
      <c r="S22" s="52">
        <v>1.3523730062575126</v>
      </c>
      <c r="T22" s="52">
        <v>1.3572128391668872</v>
      </c>
      <c r="U22" s="52">
        <v>1.3561996831060963</v>
      </c>
      <c r="V22" s="52">
        <v>1.338407082583428</v>
      </c>
      <c r="W22" s="52">
        <v>1.3061556812928321</v>
      </c>
      <c r="X22" s="52">
        <v>1.3505625098499305</v>
      </c>
      <c r="Y22" s="52">
        <v>1.3082171277874208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17.234973289285012</v>
      </c>
      <c r="C23" s="53">
        <f t="shared" si="12"/>
        <v>17.368959097011395</v>
      </c>
      <c r="D23" s="53">
        <f t="shared" ref="D23:W23" si="13">D6/D8</f>
        <v>17.334802562468735</v>
      </c>
      <c r="E23" s="53">
        <f t="shared" si="13"/>
        <v>17.409174801305824</v>
      </c>
      <c r="F23" s="53">
        <f t="shared" si="13"/>
        <v>17.339907664442375</v>
      </c>
      <c r="G23" s="53">
        <f t="shared" si="13"/>
        <v>17.38796271157857</v>
      </c>
      <c r="H23" s="53">
        <f t="shared" si="13"/>
        <v>17.418791250029653</v>
      </c>
      <c r="I23" s="53">
        <f t="shared" si="13"/>
        <v>17.370615515800601</v>
      </c>
      <c r="J23" s="53">
        <f t="shared" si="13"/>
        <v>17.560673374908824</v>
      </c>
      <c r="K23" s="53">
        <f t="shared" si="13"/>
        <v>17.929758979463902</v>
      </c>
      <c r="L23" s="53">
        <f t="shared" si="13"/>
        <v>17.994417202477152</v>
      </c>
      <c r="M23" s="53">
        <f t="shared" si="13"/>
        <v>18.15862378262889</v>
      </c>
      <c r="N23" s="53">
        <f t="shared" si="13"/>
        <v>18.36095383911044</v>
      </c>
      <c r="O23" s="53">
        <f t="shared" si="13"/>
        <v>18.426411382956971</v>
      </c>
      <c r="P23" s="53">
        <f t="shared" si="13"/>
        <v>18.503302307606674</v>
      </c>
      <c r="Q23" s="53">
        <f t="shared" si="13"/>
        <v>18.574177950797349</v>
      </c>
      <c r="R23" s="53">
        <f t="shared" si="13"/>
        <v>18.614608415477846</v>
      </c>
      <c r="S23" s="53">
        <f t="shared" si="13"/>
        <v>18.70891455744821</v>
      </c>
      <c r="T23" s="53">
        <f t="shared" si="13"/>
        <v>18.816380394831285</v>
      </c>
      <c r="U23" s="53">
        <f t="shared" si="13"/>
        <v>18.790786583602454</v>
      </c>
      <c r="V23" s="53">
        <f t="shared" si="13"/>
        <v>18.172423334825027</v>
      </c>
      <c r="W23" s="53">
        <f t="shared" si="13"/>
        <v>18.34324162299837</v>
      </c>
      <c r="X23" s="53">
        <f t="shared" ref="X23:Y23" si="14">X6/X8</f>
        <v>18.695915578144092</v>
      </c>
      <c r="Y23" s="53">
        <f t="shared" si="14"/>
        <v>18.756354195512248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16.774489372289711</v>
      </c>
      <c r="C24" s="54">
        <f t="shared" si="15"/>
        <v>16.860236561878313</v>
      </c>
      <c r="D24" s="54">
        <f t="shared" ref="D24:W24" si="16">D9*1000/D3</f>
        <v>16.954741365386663</v>
      </c>
      <c r="E24" s="54">
        <f t="shared" si="16"/>
        <v>17.0098698274907</v>
      </c>
      <c r="F24" s="54">
        <f t="shared" si="16"/>
        <v>17.196266202743026</v>
      </c>
      <c r="G24" s="54">
        <f t="shared" si="16"/>
        <v>17.367506831169379</v>
      </c>
      <c r="H24" s="54">
        <f t="shared" si="16"/>
        <v>17.654860727102417</v>
      </c>
      <c r="I24" s="54">
        <f t="shared" si="16"/>
        <v>17.988173890025823</v>
      </c>
      <c r="J24" s="54">
        <f t="shared" si="16"/>
        <v>18.145599922743024</v>
      </c>
      <c r="K24" s="54">
        <f t="shared" si="16"/>
        <v>17.756025248524562</v>
      </c>
      <c r="L24" s="54">
        <f t="shared" si="16"/>
        <v>17.937543996026591</v>
      </c>
      <c r="M24" s="54">
        <f t="shared" si="16"/>
        <v>18.045632523961203</v>
      </c>
      <c r="N24" s="54">
        <f t="shared" si="16"/>
        <v>18.036363332249923</v>
      </c>
      <c r="O24" s="54">
        <f t="shared" si="16"/>
        <v>18.019365364030833</v>
      </c>
      <c r="P24" s="54">
        <f t="shared" si="16"/>
        <v>18.00535849750268</v>
      </c>
      <c r="Q24" s="54">
        <f t="shared" si="16"/>
        <v>17.982453191887394</v>
      </c>
      <c r="R24" s="54">
        <f t="shared" si="16"/>
        <v>17.992180014304264</v>
      </c>
      <c r="S24" s="54">
        <f t="shared" si="16"/>
        <v>18.108047552402063</v>
      </c>
      <c r="T24" s="54">
        <f t="shared" si="16"/>
        <v>18.266781878230329</v>
      </c>
      <c r="U24" s="54">
        <f t="shared" si="16"/>
        <v>18.419081391287797</v>
      </c>
      <c r="V24" s="54">
        <f t="shared" si="16"/>
        <v>18.549234001687889</v>
      </c>
      <c r="W24" s="54">
        <f t="shared" si="16"/>
        <v>18.69081460729679</v>
      </c>
      <c r="X24" s="54">
        <f t="shared" ref="X24:Y24" si="17">X9*1000/X3</f>
        <v>18.796552001774241</v>
      </c>
      <c r="Y24" s="54">
        <f t="shared" si="17"/>
        <v>18.732519653932712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52.219402078187755</v>
      </c>
      <c r="C25" s="54">
        <f t="shared" si="18"/>
        <v>51.816576628063977</v>
      </c>
      <c r="D25" s="54">
        <f t="shared" ref="D25:W25" si="19">D9*1000/D6</f>
        <v>51.918676128943844</v>
      </c>
      <c r="E25" s="54">
        <f t="shared" si="19"/>
        <v>51.696878816593475</v>
      </c>
      <c r="F25" s="54">
        <f t="shared" si="19"/>
        <v>51.903390572578495</v>
      </c>
      <c r="G25" s="54">
        <f t="shared" si="19"/>
        <v>51.759945367302521</v>
      </c>
      <c r="H25" s="54">
        <f t="shared" si="19"/>
        <v>51.668338352609162</v>
      </c>
      <c r="I25" s="54">
        <f t="shared" si="19"/>
        <v>51.811635527903157</v>
      </c>
      <c r="J25" s="54">
        <f t="shared" si="19"/>
        <v>51.250882058198563</v>
      </c>
      <c r="K25" s="54">
        <f t="shared" si="19"/>
        <v>50.195878317763651</v>
      </c>
      <c r="L25" s="54">
        <f t="shared" si="19"/>
        <v>50.015512582208217</v>
      </c>
      <c r="M25" s="54">
        <f t="shared" si="19"/>
        <v>49.563227410491777</v>
      </c>
      <c r="N25" s="54">
        <f t="shared" si="19"/>
        <v>49.017061307725804</v>
      </c>
      <c r="O25" s="54">
        <f t="shared" si="19"/>
        <v>48.84293426947103</v>
      </c>
      <c r="P25" s="54">
        <f t="shared" si="19"/>
        <v>48.639966263211917</v>
      </c>
      <c r="Q25" s="54">
        <f t="shared" si="19"/>
        <v>48.454365107520943</v>
      </c>
      <c r="R25" s="54">
        <f t="shared" si="19"/>
        <v>48.349123436389867</v>
      </c>
      <c r="S25" s="54">
        <f t="shared" si="19"/>
        <v>48.105409709175284</v>
      </c>
      <c r="T25" s="54">
        <f t="shared" si="19"/>
        <v>47.830665681441218</v>
      </c>
      <c r="U25" s="54">
        <f t="shared" si="19"/>
        <v>47.895812982377961</v>
      </c>
      <c r="V25" s="54">
        <f t="shared" si="19"/>
        <v>49.525590694074914</v>
      </c>
      <c r="W25" s="54">
        <f t="shared" si="19"/>
        <v>49.064392134027109</v>
      </c>
      <c r="X25" s="54">
        <f t="shared" ref="X25:Y25" si="20">X9*1000/X6</f>
        <v>48.138856652311723</v>
      </c>
      <c r="Y25" s="54">
        <f t="shared" si="20"/>
        <v>47.983738770263741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900.00000000000011</v>
      </c>
      <c r="C26" s="55">
        <f t="shared" si="21"/>
        <v>899.99999999999989</v>
      </c>
      <c r="D26" s="55">
        <f t="shared" ref="D26:W26" si="22">D9*1000/D8</f>
        <v>899.99999999999989</v>
      </c>
      <c r="E26" s="55">
        <f t="shared" si="22"/>
        <v>899.99999999999989</v>
      </c>
      <c r="F26" s="55">
        <f t="shared" si="22"/>
        <v>900</v>
      </c>
      <c r="G26" s="55">
        <f t="shared" si="22"/>
        <v>900.00000000000011</v>
      </c>
      <c r="H26" s="55">
        <f t="shared" si="22"/>
        <v>900</v>
      </c>
      <c r="I26" s="55">
        <f t="shared" si="22"/>
        <v>900.00000000000023</v>
      </c>
      <c r="J26" s="55">
        <f t="shared" si="22"/>
        <v>899.99999999999989</v>
      </c>
      <c r="K26" s="55">
        <f t="shared" si="22"/>
        <v>900.00000000000011</v>
      </c>
      <c r="L26" s="55">
        <f t="shared" si="22"/>
        <v>900</v>
      </c>
      <c r="M26" s="55">
        <f t="shared" si="22"/>
        <v>900</v>
      </c>
      <c r="N26" s="55">
        <f t="shared" si="22"/>
        <v>899.99999999999989</v>
      </c>
      <c r="O26" s="55">
        <f t="shared" si="22"/>
        <v>900.00000000000011</v>
      </c>
      <c r="P26" s="55">
        <f t="shared" si="22"/>
        <v>899.99999999999989</v>
      </c>
      <c r="Q26" s="55">
        <f t="shared" si="22"/>
        <v>899.99999999999989</v>
      </c>
      <c r="R26" s="55">
        <f t="shared" si="22"/>
        <v>900</v>
      </c>
      <c r="S26" s="55">
        <f t="shared" si="22"/>
        <v>899.99999999999989</v>
      </c>
      <c r="T26" s="55">
        <f t="shared" si="22"/>
        <v>900</v>
      </c>
      <c r="U26" s="55">
        <f t="shared" si="22"/>
        <v>900</v>
      </c>
      <c r="V26" s="55">
        <f t="shared" si="22"/>
        <v>900.00000000000011</v>
      </c>
      <c r="W26" s="55">
        <f t="shared" si="22"/>
        <v>899.99999999999989</v>
      </c>
      <c r="X26" s="55">
        <f t="shared" ref="X26:Y26" si="23">X9*1000/X8</f>
        <v>900</v>
      </c>
      <c r="Y26" s="55">
        <f t="shared" si="23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900</v>
      </c>
      <c r="D27" s="57">
        <f t="shared" ref="D27:W27" si="25">IF(SUM(D11)=0,"",D11*1000/D10)</f>
        <v>900</v>
      </c>
      <c r="E27" s="57">
        <f t="shared" si="25"/>
        <v>899.99999999999989</v>
      </c>
      <c r="F27" s="57">
        <f t="shared" si="25"/>
        <v>899.99999999999989</v>
      </c>
      <c r="G27" s="57">
        <f t="shared" si="25"/>
        <v>900</v>
      </c>
      <c r="H27" s="57">
        <f t="shared" si="25"/>
        <v>900</v>
      </c>
      <c r="I27" s="57">
        <f t="shared" si="25"/>
        <v>900.00000000000011</v>
      </c>
      <c r="J27" s="57">
        <f t="shared" si="25"/>
        <v>899.99999999999989</v>
      </c>
      <c r="K27" s="57">
        <f t="shared" si="25"/>
        <v>900</v>
      </c>
      <c r="L27" s="57">
        <f t="shared" si="25"/>
        <v>899.99999999999989</v>
      </c>
      <c r="M27" s="57">
        <f t="shared" si="25"/>
        <v>900</v>
      </c>
      <c r="N27" s="57">
        <f t="shared" si="25"/>
        <v>900</v>
      </c>
      <c r="O27" s="57">
        <f t="shared" si="25"/>
        <v>900</v>
      </c>
      <c r="P27" s="57">
        <f t="shared" si="25"/>
        <v>900</v>
      </c>
      <c r="Q27" s="57">
        <f t="shared" si="25"/>
        <v>900.00000000000011</v>
      </c>
      <c r="R27" s="57">
        <f t="shared" si="25"/>
        <v>900.00000000000011</v>
      </c>
      <c r="S27" s="57">
        <f t="shared" si="25"/>
        <v>900.00000000000011</v>
      </c>
      <c r="T27" s="57">
        <f t="shared" si="25"/>
        <v>900.00000000000011</v>
      </c>
      <c r="U27" s="57">
        <f t="shared" si="25"/>
        <v>900</v>
      </c>
      <c r="V27" s="57">
        <f t="shared" si="25"/>
        <v>900.00000000000011</v>
      </c>
      <c r="W27" s="57">
        <f t="shared" si="25"/>
        <v>900</v>
      </c>
      <c r="X27" s="57">
        <f t="shared" ref="X27:Y27" si="26">IF(SUM(X11)=0,"",X11*1000/X10)</f>
        <v>900</v>
      </c>
      <c r="Y27" s="57">
        <f t="shared" si="26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2612.5495260178532</v>
      </c>
      <c r="C31" s="80">
        <f t="shared" ref="C31:W31" si="27">SUM(C32:C33,C36:C37,C44:C45)</f>
        <v>3014.6128613610281</v>
      </c>
      <c r="D31" s="80">
        <f t="shared" si="27"/>
        <v>2952.6128095436034</v>
      </c>
      <c r="E31" s="80">
        <f t="shared" si="27"/>
        <v>3284.9533856830203</v>
      </c>
      <c r="F31" s="80">
        <f t="shared" si="27"/>
        <v>3239.8816769526188</v>
      </c>
      <c r="G31" s="80">
        <f t="shared" si="27"/>
        <v>3073.747242194811</v>
      </c>
      <c r="H31" s="80">
        <f t="shared" si="27"/>
        <v>3171.3178305393803</v>
      </c>
      <c r="I31" s="80">
        <f t="shared" si="27"/>
        <v>2777.4957104173673</v>
      </c>
      <c r="J31" s="80">
        <f t="shared" si="27"/>
        <v>3000.628037785792</v>
      </c>
      <c r="K31" s="80">
        <f t="shared" si="27"/>
        <v>2674.0282408860389</v>
      </c>
      <c r="L31" s="80">
        <f t="shared" si="27"/>
        <v>2638.622589550776</v>
      </c>
      <c r="M31" s="80">
        <f t="shared" si="27"/>
        <v>2542.4789078542217</v>
      </c>
      <c r="N31" s="80">
        <f t="shared" si="27"/>
        <v>2531.0539223724818</v>
      </c>
      <c r="O31" s="80">
        <f t="shared" si="27"/>
        <v>2516.5144465441363</v>
      </c>
      <c r="P31" s="80">
        <f t="shared" si="27"/>
        <v>2373.0150142221764</v>
      </c>
      <c r="Q31" s="80">
        <f t="shared" si="27"/>
        <v>2443.0844628414634</v>
      </c>
      <c r="R31" s="80">
        <f t="shared" si="27"/>
        <v>2379.9874019935255</v>
      </c>
      <c r="S31" s="80">
        <f t="shared" si="27"/>
        <v>2572.4900330335254</v>
      </c>
      <c r="T31" s="80">
        <f t="shared" si="27"/>
        <v>2505.2371039411173</v>
      </c>
      <c r="U31" s="80">
        <f t="shared" si="27"/>
        <v>2534.1968122620292</v>
      </c>
      <c r="V31" s="80">
        <f t="shared" si="27"/>
        <v>2378.6276858160045</v>
      </c>
      <c r="W31" s="80">
        <f t="shared" si="27"/>
        <v>2564.14207543255</v>
      </c>
      <c r="X31" s="80">
        <f t="shared" ref="X31:Y31" si="28">SUM(X32:X33,X36:X37,X44:X45)</f>
        <v>2399.9034289092006</v>
      </c>
      <c r="Y31" s="80">
        <f t="shared" si="28"/>
        <v>2260.0203687386838</v>
      </c>
      <c r="DA31" s="103" t="s">
        <v>199</v>
      </c>
    </row>
    <row r="32" spans="1:105" ht="12" customHeight="1" x14ac:dyDescent="0.25">
      <c r="A32" s="58" t="s">
        <v>29</v>
      </c>
      <c r="B32" s="59">
        <v>27.257437661220976</v>
      </c>
      <c r="C32" s="59">
        <v>29.08211521926053</v>
      </c>
      <c r="D32" s="59">
        <v>20.26930352536543</v>
      </c>
      <c r="E32" s="59">
        <v>28.267583834909711</v>
      </c>
      <c r="F32" s="59">
        <v>20.337231298366294</v>
      </c>
      <c r="G32" s="59">
        <v>16.956061908856405</v>
      </c>
      <c r="H32" s="59">
        <v>12.320894239036971</v>
      </c>
      <c r="I32" s="59">
        <v>9.754772141014616</v>
      </c>
      <c r="J32" s="59">
        <v>5.9950128976784178</v>
      </c>
      <c r="K32" s="59">
        <v>4.5351676698194314</v>
      </c>
      <c r="L32" s="59">
        <v>5.0715391229578675</v>
      </c>
      <c r="M32" s="59">
        <v>3.5312983662940658</v>
      </c>
      <c r="N32" s="59">
        <v>6.4488392089423904E-2</v>
      </c>
      <c r="O32" s="59">
        <v>0.18667239896818574</v>
      </c>
      <c r="P32" s="59">
        <v>2.0120378331900259E-2</v>
      </c>
      <c r="Q32" s="59">
        <v>1.3757523645743759E-2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X32" s="59">
        <v>0</v>
      </c>
      <c r="Y32" s="59">
        <v>0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439.82682717110913</v>
      </c>
      <c r="C33" s="55">
        <f t="shared" ref="C33:W33" si="29">SUM(C34:C35)</f>
        <v>577.04617368873608</v>
      </c>
      <c r="D33" s="55">
        <f t="shared" si="29"/>
        <v>607.39604471195184</v>
      </c>
      <c r="E33" s="55">
        <f t="shared" si="29"/>
        <v>737.2917454858125</v>
      </c>
      <c r="F33" s="55">
        <f t="shared" si="29"/>
        <v>583.13637145313839</v>
      </c>
      <c r="G33" s="55">
        <f t="shared" si="29"/>
        <v>678.53671539122945</v>
      </c>
      <c r="H33" s="55">
        <f t="shared" si="29"/>
        <v>678.19656061908847</v>
      </c>
      <c r="I33" s="55">
        <f t="shared" si="29"/>
        <v>483.83886500429924</v>
      </c>
      <c r="J33" s="55">
        <f t="shared" si="29"/>
        <v>532.25262252794482</v>
      </c>
      <c r="K33" s="55">
        <f t="shared" si="29"/>
        <v>435.0535683576955</v>
      </c>
      <c r="L33" s="55">
        <f t="shared" si="29"/>
        <v>259.04273430782462</v>
      </c>
      <c r="M33" s="55">
        <f t="shared" si="29"/>
        <v>240.76027515047292</v>
      </c>
      <c r="N33" s="55">
        <f t="shared" si="29"/>
        <v>159.29458297506449</v>
      </c>
      <c r="O33" s="55">
        <f t="shared" si="29"/>
        <v>156.77411865864147</v>
      </c>
      <c r="P33" s="55">
        <f t="shared" si="29"/>
        <v>166.37093723129837</v>
      </c>
      <c r="Q33" s="55">
        <f t="shared" si="29"/>
        <v>171.62141014617367</v>
      </c>
      <c r="R33" s="55">
        <f t="shared" si="29"/>
        <v>157.50739466895956</v>
      </c>
      <c r="S33" s="55">
        <f t="shared" si="29"/>
        <v>212.01289767841791</v>
      </c>
      <c r="T33" s="55">
        <f t="shared" si="29"/>
        <v>187.72846087704207</v>
      </c>
      <c r="U33" s="55">
        <f t="shared" si="29"/>
        <v>176.48237317282889</v>
      </c>
      <c r="V33" s="55">
        <f t="shared" si="29"/>
        <v>170.90017196904554</v>
      </c>
      <c r="W33" s="55">
        <f t="shared" si="29"/>
        <v>213.64694754944111</v>
      </c>
      <c r="X33" s="55">
        <f t="shared" ref="X33:Y33" si="30">SUM(X34:X35)</f>
        <v>183.29681857265695</v>
      </c>
      <c r="Y33" s="55">
        <f t="shared" si="30"/>
        <v>108.137747205503</v>
      </c>
      <c r="DA33" s="101"/>
    </row>
    <row r="34" spans="1:105" ht="12" customHeight="1" x14ac:dyDescent="0.25">
      <c r="A34" s="61" t="s">
        <v>52</v>
      </c>
      <c r="B34" s="55">
        <v>26.368615649183141</v>
      </c>
      <c r="C34" s="55">
        <v>36.256835769561476</v>
      </c>
      <c r="D34" s="55">
        <v>68.118830610490107</v>
      </c>
      <c r="E34" s="55">
        <v>81.303181427343077</v>
      </c>
      <c r="F34" s="55">
        <v>95.58615649183146</v>
      </c>
      <c r="G34" s="55">
        <v>76.005245055889944</v>
      </c>
      <c r="H34" s="55">
        <v>75.747033533963886</v>
      </c>
      <c r="I34" s="55">
        <v>57.219862424763541</v>
      </c>
      <c r="J34" s="55">
        <v>46.494411006018908</v>
      </c>
      <c r="K34" s="55">
        <v>51.086930352536527</v>
      </c>
      <c r="L34" s="55">
        <v>66.221410146173682</v>
      </c>
      <c r="M34" s="55">
        <v>54.579707652622517</v>
      </c>
      <c r="N34" s="55">
        <v>4.1341358555460017</v>
      </c>
      <c r="O34" s="55">
        <v>3.9882201203783318</v>
      </c>
      <c r="P34" s="55">
        <v>3.197850386930353</v>
      </c>
      <c r="Q34" s="55">
        <v>3.4368873602751502</v>
      </c>
      <c r="R34" s="55">
        <v>2.9609630266552021</v>
      </c>
      <c r="S34" s="55">
        <v>7.5875322441960433</v>
      </c>
      <c r="T34" s="55">
        <v>6.8902837489251931</v>
      </c>
      <c r="U34" s="55">
        <v>7.5941530524505581</v>
      </c>
      <c r="V34" s="55">
        <v>7.3958727429062758</v>
      </c>
      <c r="W34" s="55">
        <v>8.5139294926913145</v>
      </c>
      <c r="X34" s="55">
        <v>6.6346517626827168</v>
      </c>
      <c r="Y34" s="55">
        <v>2.647033533963886</v>
      </c>
      <c r="DA34" s="101" t="s">
        <v>201</v>
      </c>
    </row>
    <row r="35" spans="1:105" ht="12" customHeight="1" x14ac:dyDescent="0.25">
      <c r="A35" s="61" t="s">
        <v>163</v>
      </c>
      <c r="B35" s="55">
        <v>413.45821152192599</v>
      </c>
      <c r="C35" s="55">
        <v>540.78933791917461</v>
      </c>
      <c r="D35" s="55">
        <v>539.27721410146171</v>
      </c>
      <c r="E35" s="55">
        <v>655.98856405846936</v>
      </c>
      <c r="F35" s="55">
        <v>487.55021496130695</v>
      </c>
      <c r="G35" s="55">
        <v>602.53147033533946</v>
      </c>
      <c r="H35" s="55">
        <v>602.4495270851246</v>
      </c>
      <c r="I35" s="55">
        <v>426.61900257953567</v>
      </c>
      <c r="J35" s="55">
        <v>485.75821152192589</v>
      </c>
      <c r="K35" s="55">
        <v>383.96663800515898</v>
      </c>
      <c r="L35" s="55">
        <v>192.82132416165092</v>
      </c>
      <c r="M35" s="55">
        <v>186.1805674978504</v>
      </c>
      <c r="N35" s="55">
        <v>155.16044711951849</v>
      </c>
      <c r="O35" s="55">
        <v>152.78589853826313</v>
      </c>
      <c r="P35" s="55">
        <v>163.17308684436802</v>
      </c>
      <c r="Q35" s="55">
        <v>168.18452278589854</v>
      </c>
      <c r="R35" s="55">
        <v>154.54643164230436</v>
      </c>
      <c r="S35" s="55">
        <v>204.42536543422187</v>
      </c>
      <c r="T35" s="55">
        <v>180.83817712811688</v>
      </c>
      <c r="U35" s="55">
        <v>168.88822012037832</v>
      </c>
      <c r="V35" s="55">
        <v>163.50429922613927</v>
      </c>
      <c r="W35" s="55">
        <v>205.13301805674979</v>
      </c>
      <c r="X35" s="55">
        <v>176.66216680997422</v>
      </c>
      <c r="Y35" s="55">
        <v>105.49071367153911</v>
      </c>
      <c r="DA35" s="101" t="s">
        <v>202</v>
      </c>
    </row>
    <row r="36" spans="1:105" ht="12" customHeight="1" x14ac:dyDescent="0.25">
      <c r="A36" s="60" t="s">
        <v>149</v>
      </c>
      <c r="B36" s="55">
        <v>596.96904557179698</v>
      </c>
      <c r="C36" s="55">
        <v>832.52364574376611</v>
      </c>
      <c r="D36" s="55">
        <v>756.42734307824583</v>
      </c>
      <c r="E36" s="55">
        <v>855.07308684436794</v>
      </c>
      <c r="F36" s="55">
        <v>1021.410146173689</v>
      </c>
      <c r="G36" s="55">
        <v>553.24058469475494</v>
      </c>
      <c r="H36" s="55">
        <v>591.27343078245917</v>
      </c>
      <c r="I36" s="55">
        <v>461.14961306964739</v>
      </c>
      <c r="J36" s="55">
        <v>499.95408426483232</v>
      </c>
      <c r="K36" s="55">
        <v>389.20791057609631</v>
      </c>
      <c r="L36" s="55">
        <v>410.05288048151328</v>
      </c>
      <c r="M36" s="55">
        <v>355.85202063628549</v>
      </c>
      <c r="N36" s="55">
        <v>401.06268271711087</v>
      </c>
      <c r="O36" s="55">
        <v>404.40601891659497</v>
      </c>
      <c r="P36" s="55">
        <v>338.33731728288899</v>
      </c>
      <c r="Q36" s="55">
        <v>362.3551160791057</v>
      </c>
      <c r="R36" s="55">
        <v>340.94866723989679</v>
      </c>
      <c r="S36" s="55">
        <v>358.63680137575233</v>
      </c>
      <c r="T36" s="55">
        <v>339.40275150472911</v>
      </c>
      <c r="U36" s="55">
        <v>362.4562332239945</v>
      </c>
      <c r="V36" s="55">
        <v>347.3428656933221</v>
      </c>
      <c r="W36" s="55">
        <v>396.6250219559484</v>
      </c>
      <c r="X36" s="55">
        <v>303.62402794290216</v>
      </c>
      <c r="Y36" s="55">
        <v>338.33529072667716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109.53465176268271</v>
      </c>
      <c r="C37" s="55">
        <f t="shared" ref="C37:W37" si="31">SUM(C38:C42)</f>
        <v>114.40705073086843</v>
      </c>
      <c r="D37" s="55">
        <f t="shared" si="31"/>
        <v>117.2017196904557</v>
      </c>
      <c r="E37" s="55">
        <f t="shared" si="31"/>
        <v>133.46715391229577</v>
      </c>
      <c r="F37" s="55">
        <f t="shared" si="31"/>
        <v>141.85064488392089</v>
      </c>
      <c r="G37" s="55">
        <f t="shared" si="31"/>
        <v>121.68572656921754</v>
      </c>
      <c r="H37" s="55">
        <f t="shared" si="31"/>
        <v>120.0809974204643</v>
      </c>
      <c r="I37" s="55">
        <f t="shared" si="31"/>
        <v>118.15184866723995</v>
      </c>
      <c r="J37" s="55">
        <f t="shared" si="31"/>
        <v>113.7558039552881</v>
      </c>
      <c r="K37" s="55">
        <f t="shared" si="31"/>
        <v>96.881857265692133</v>
      </c>
      <c r="L37" s="55">
        <f t="shared" si="31"/>
        <v>140.88512467755805</v>
      </c>
      <c r="M37" s="55">
        <f t="shared" si="31"/>
        <v>131.5999140154772</v>
      </c>
      <c r="N37" s="55">
        <f t="shared" si="31"/>
        <v>115.1537403267412</v>
      </c>
      <c r="O37" s="55">
        <f t="shared" si="31"/>
        <v>115.89372312983663</v>
      </c>
      <c r="P37" s="55">
        <f t="shared" si="31"/>
        <v>113.01074806534824</v>
      </c>
      <c r="Q37" s="55">
        <f t="shared" si="31"/>
        <v>120.12390369733446</v>
      </c>
      <c r="R37" s="55">
        <f t="shared" si="31"/>
        <v>102.58331900257954</v>
      </c>
      <c r="S37" s="55">
        <f t="shared" si="31"/>
        <v>145.69948409286332</v>
      </c>
      <c r="T37" s="55">
        <f t="shared" si="31"/>
        <v>157.03078245915731</v>
      </c>
      <c r="U37" s="55">
        <f t="shared" si="31"/>
        <v>161.81427408468994</v>
      </c>
      <c r="V37" s="55">
        <f t="shared" si="31"/>
        <v>165.5591119507018</v>
      </c>
      <c r="W37" s="55">
        <f t="shared" si="31"/>
        <v>159.1779015178262</v>
      </c>
      <c r="X37" s="55">
        <f t="shared" ref="X37:Y37" si="32">SUM(X38:X42)</f>
        <v>144.25138048358102</v>
      </c>
      <c r="Y37" s="55">
        <f t="shared" si="32"/>
        <v>114.29549173248026</v>
      </c>
      <c r="DA37" s="101"/>
    </row>
    <row r="38" spans="1:105" ht="12" customHeight="1" x14ac:dyDescent="0.25">
      <c r="A38" s="61" t="s">
        <v>164</v>
      </c>
      <c r="B38" s="55">
        <v>78.699656061908854</v>
      </c>
      <c r="C38" s="55">
        <v>82.831642304385198</v>
      </c>
      <c r="D38" s="55">
        <v>82.330266552020632</v>
      </c>
      <c r="E38" s="55">
        <v>94.726311263972477</v>
      </c>
      <c r="F38" s="55">
        <v>101.62897678417885</v>
      </c>
      <c r="G38" s="55">
        <v>83.013671539122953</v>
      </c>
      <c r="H38" s="55">
        <v>88.328546861564902</v>
      </c>
      <c r="I38" s="55">
        <v>81.980825451418781</v>
      </c>
      <c r="J38" s="55">
        <v>67.33310404127262</v>
      </c>
      <c r="K38" s="55">
        <v>66.189165950128938</v>
      </c>
      <c r="L38" s="55">
        <v>80.242906276870158</v>
      </c>
      <c r="M38" s="55">
        <v>63.88280309544281</v>
      </c>
      <c r="N38" s="55">
        <v>43.05270851246776</v>
      </c>
      <c r="O38" s="55">
        <v>53.545829750644899</v>
      </c>
      <c r="P38" s="55">
        <v>45.006792777300078</v>
      </c>
      <c r="Q38" s="55">
        <v>59.167841788478043</v>
      </c>
      <c r="R38" s="55">
        <v>45.519346517626829</v>
      </c>
      <c r="S38" s="55">
        <v>74.939294926913163</v>
      </c>
      <c r="T38" s="55">
        <v>77.792089423903633</v>
      </c>
      <c r="U38" s="55">
        <v>86.218744625967332</v>
      </c>
      <c r="V38" s="55">
        <v>83.646689595872687</v>
      </c>
      <c r="W38" s="55">
        <v>94.512897678417914</v>
      </c>
      <c r="X38" s="55">
        <v>74.116766981943186</v>
      </c>
      <c r="Y38" s="55">
        <v>47.836371453138497</v>
      </c>
      <c r="DA38" s="101" t="s">
        <v>204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6.4488392089423904E-2</v>
      </c>
      <c r="K39" s="55">
        <v>0.26732588134135848</v>
      </c>
      <c r="L39" s="55">
        <v>0.38538263112639731</v>
      </c>
      <c r="M39" s="55">
        <v>0.87162510748065347</v>
      </c>
      <c r="N39" s="55">
        <v>1.855460017196904</v>
      </c>
      <c r="O39" s="55">
        <v>0.30980223559759251</v>
      </c>
      <c r="P39" s="55">
        <v>0.42708512467755799</v>
      </c>
      <c r="Q39" s="55">
        <v>0.56706792777300075</v>
      </c>
      <c r="R39" s="55">
        <v>0.66087704213241616</v>
      </c>
      <c r="S39" s="55">
        <v>0.45563198624247642</v>
      </c>
      <c r="T39" s="55">
        <v>0.55993121238177124</v>
      </c>
      <c r="U39" s="55">
        <v>0.64187511650419316</v>
      </c>
      <c r="V39" s="55">
        <v>0.59281788363393317</v>
      </c>
      <c r="W39" s="55">
        <v>0.62278543872044678</v>
      </c>
      <c r="X39" s="55">
        <v>0.5462214122139073</v>
      </c>
      <c r="Y39" s="55">
        <v>0.68723721829275997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0.26749785038693041</v>
      </c>
      <c r="H40" s="55">
        <v>1.0638865004299221</v>
      </c>
      <c r="I40" s="55">
        <v>1.2203783319002579</v>
      </c>
      <c r="J40" s="55">
        <v>1.199398108340499</v>
      </c>
      <c r="K40" s="55">
        <v>1.9931212381771279</v>
      </c>
      <c r="L40" s="55">
        <v>2.1006878761822869</v>
      </c>
      <c r="M40" s="55">
        <v>2.0744625967325878</v>
      </c>
      <c r="N40" s="55">
        <v>0.42837489251934652</v>
      </c>
      <c r="O40" s="55">
        <v>0.50894239036973343</v>
      </c>
      <c r="P40" s="55">
        <v>0.95631986242476352</v>
      </c>
      <c r="Q40" s="55">
        <v>1.3765262252794499</v>
      </c>
      <c r="R40" s="55">
        <v>0.98056749785038688</v>
      </c>
      <c r="S40" s="55">
        <v>1.1924333619948411</v>
      </c>
      <c r="T40" s="55">
        <v>1.1353396388650041</v>
      </c>
      <c r="U40" s="55">
        <v>1.1226139294926909</v>
      </c>
      <c r="V40" s="55">
        <v>1.125795356835769</v>
      </c>
      <c r="W40" s="55">
        <v>1.155030094582975</v>
      </c>
      <c r="X40" s="55">
        <v>1.1519346517626829</v>
      </c>
      <c r="Y40" s="55">
        <v>2.072312983662941</v>
      </c>
      <c r="DA40" s="101" t="s">
        <v>206</v>
      </c>
    </row>
    <row r="41" spans="1:105" ht="12" customHeight="1" x14ac:dyDescent="0.25">
      <c r="A41" s="61" t="s">
        <v>26</v>
      </c>
      <c r="B41" s="55">
        <v>25.914789337919171</v>
      </c>
      <c r="C41" s="55">
        <v>27.037317282889081</v>
      </c>
      <c r="D41" s="55">
        <v>27.467239896818569</v>
      </c>
      <c r="E41" s="55">
        <v>33.0085124677558</v>
      </c>
      <c r="F41" s="55">
        <v>34.489337919174552</v>
      </c>
      <c r="G41" s="55">
        <v>31.959759243336201</v>
      </c>
      <c r="H41" s="55">
        <v>24.41134995700774</v>
      </c>
      <c r="I41" s="55">
        <v>29.295012897678419</v>
      </c>
      <c r="J41" s="55">
        <v>39.083748925193461</v>
      </c>
      <c r="K41" s="55">
        <v>21.728374892519341</v>
      </c>
      <c r="L41" s="55">
        <v>50.497506448839196</v>
      </c>
      <c r="M41" s="55">
        <v>58.123301805674977</v>
      </c>
      <c r="N41" s="55">
        <v>61.56061908856406</v>
      </c>
      <c r="O41" s="55">
        <v>53.663198624247627</v>
      </c>
      <c r="P41" s="55">
        <v>60.241960447119517</v>
      </c>
      <c r="Q41" s="55">
        <v>51.827085124677559</v>
      </c>
      <c r="R41" s="55">
        <v>48.256835769561476</v>
      </c>
      <c r="S41" s="55">
        <v>56.82605331040412</v>
      </c>
      <c r="T41" s="55">
        <v>66.251590713671533</v>
      </c>
      <c r="U41" s="55">
        <v>62.465176268271712</v>
      </c>
      <c r="V41" s="55">
        <v>68.4231298366294</v>
      </c>
      <c r="W41" s="55">
        <v>52.643594153052447</v>
      </c>
      <c r="X41" s="55">
        <v>59.847635425623388</v>
      </c>
      <c r="Y41" s="55">
        <v>55.96345657781599</v>
      </c>
      <c r="DA41" s="101" t="s">
        <v>207</v>
      </c>
    </row>
    <row r="42" spans="1:105" ht="12" customHeight="1" x14ac:dyDescent="0.25">
      <c r="A42" s="61" t="s">
        <v>25</v>
      </c>
      <c r="B42" s="55">
        <v>4.9202063628546862</v>
      </c>
      <c r="C42" s="55">
        <v>4.5380911435941522</v>
      </c>
      <c r="D42" s="55">
        <v>7.4042132416165094</v>
      </c>
      <c r="E42" s="55">
        <v>5.732330180567498</v>
      </c>
      <c r="F42" s="55">
        <v>5.732330180567498</v>
      </c>
      <c r="G42" s="55">
        <v>6.4447979363714527</v>
      </c>
      <c r="H42" s="55">
        <v>6.2772141014617366</v>
      </c>
      <c r="I42" s="55">
        <v>5.6556319862424766</v>
      </c>
      <c r="J42" s="55">
        <v>6.0750644883920897</v>
      </c>
      <c r="K42" s="55">
        <v>6.703869303525364</v>
      </c>
      <c r="L42" s="55">
        <v>7.658641444539982</v>
      </c>
      <c r="M42" s="55">
        <v>6.6477214101461737</v>
      </c>
      <c r="N42" s="55">
        <v>8.2565778159931202</v>
      </c>
      <c r="O42" s="55">
        <v>7.8659501289767828</v>
      </c>
      <c r="P42" s="55">
        <v>6.3785898538263117</v>
      </c>
      <c r="Q42" s="55">
        <v>7.1853826311263971</v>
      </c>
      <c r="R42" s="55">
        <v>7.1656921754084264</v>
      </c>
      <c r="S42" s="55">
        <v>12.286070507308681</v>
      </c>
      <c r="T42" s="55">
        <v>11.291831470335341</v>
      </c>
      <c r="U42" s="55">
        <v>11.365864144453999</v>
      </c>
      <c r="V42" s="55">
        <v>11.770679277730011</v>
      </c>
      <c r="W42" s="55">
        <v>10.243594153052451</v>
      </c>
      <c r="X42" s="55">
        <v>8.5888220120378325</v>
      </c>
      <c r="Y42" s="55">
        <v>7.7361134995700773</v>
      </c>
      <c r="DA42" s="101" t="s">
        <v>208</v>
      </c>
    </row>
    <row r="43" spans="1:105" ht="12" customHeight="1" x14ac:dyDescent="0.25">
      <c r="A43" s="61" t="s">
        <v>151</v>
      </c>
      <c r="B43" s="309">
        <v>2.6337930967539522</v>
      </c>
      <c r="C43" s="309">
        <v>4.9034810764794043</v>
      </c>
      <c r="D43" s="55">
        <v>10.091080811570773</v>
      </c>
      <c r="E43" s="55">
        <v>17.459319206863398</v>
      </c>
      <c r="F43" s="55">
        <v>26.361962798935476</v>
      </c>
      <c r="G43" s="55">
        <v>33.756749785038686</v>
      </c>
      <c r="H43" s="55">
        <v>44.46491831470334</v>
      </c>
      <c r="I43" s="55">
        <v>48.358985382631111</v>
      </c>
      <c r="J43" s="55">
        <v>66.423559759243346</v>
      </c>
      <c r="K43" s="55">
        <v>60.168013757523596</v>
      </c>
      <c r="L43" s="55">
        <v>68.538521066208119</v>
      </c>
      <c r="M43" s="55">
        <v>82.333877901977672</v>
      </c>
      <c r="N43" s="55">
        <v>94.354858125537305</v>
      </c>
      <c r="O43" s="55">
        <v>108.48194325021497</v>
      </c>
      <c r="P43" s="55">
        <v>122.90885640584693</v>
      </c>
      <c r="Q43" s="55">
        <v>113.7360275150474</v>
      </c>
      <c r="R43" s="55">
        <v>126.71659501289756</v>
      </c>
      <c r="S43" s="55">
        <v>148.82906276870165</v>
      </c>
      <c r="T43" s="55">
        <v>156.03190025795368</v>
      </c>
      <c r="U43" s="55">
        <v>185.73671539122961</v>
      </c>
      <c r="V43" s="55">
        <v>131.10257953568367</v>
      </c>
      <c r="W43" s="55">
        <v>128.71857265692162</v>
      </c>
      <c r="X43" s="55">
        <v>183.41857265692161</v>
      </c>
      <c r="Y43" s="55">
        <v>246.085554600172</v>
      </c>
      <c r="DA43" s="101" t="s">
        <v>209</v>
      </c>
    </row>
    <row r="44" spans="1:105" ht="12" customHeight="1" x14ac:dyDescent="0.25">
      <c r="A44" s="60" t="s">
        <v>162</v>
      </c>
      <c r="B44" s="55">
        <v>382.48779019776441</v>
      </c>
      <c r="C44" s="55">
        <v>397.86947549441089</v>
      </c>
      <c r="D44" s="55">
        <v>413.2272570937231</v>
      </c>
      <c r="E44" s="55">
        <v>440.28856405846938</v>
      </c>
      <c r="F44" s="55">
        <v>463.59991401547722</v>
      </c>
      <c r="G44" s="55">
        <v>549.65881341358556</v>
      </c>
      <c r="H44" s="55">
        <v>599.23430782459161</v>
      </c>
      <c r="I44" s="55">
        <v>554.76698194325013</v>
      </c>
      <c r="J44" s="55">
        <v>639.67979363714528</v>
      </c>
      <c r="K44" s="55">
        <v>675.34101461736884</v>
      </c>
      <c r="L44" s="55">
        <v>737.2513327601032</v>
      </c>
      <c r="M44" s="55">
        <v>734.1221840068788</v>
      </c>
      <c r="N44" s="55">
        <v>737.12785898538266</v>
      </c>
      <c r="O44" s="55">
        <v>705.67119518486663</v>
      </c>
      <c r="P44" s="55">
        <v>628.94505588993979</v>
      </c>
      <c r="Q44" s="55">
        <v>650.25451418744626</v>
      </c>
      <c r="R44" s="55">
        <v>688.55975924333609</v>
      </c>
      <c r="S44" s="55">
        <v>713.68426483233009</v>
      </c>
      <c r="T44" s="55">
        <v>659.54875322441956</v>
      </c>
      <c r="U44" s="55">
        <v>681.19475494411006</v>
      </c>
      <c r="V44" s="55">
        <v>635.73018056749788</v>
      </c>
      <c r="W44" s="55">
        <v>725.5</v>
      </c>
      <c r="X44" s="55">
        <v>659.71401547721405</v>
      </c>
      <c r="Y44" s="55">
        <v>643.09759243336202</v>
      </c>
      <c r="DA44" s="101" t="s">
        <v>210</v>
      </c>
    </row>
    <row r="45" spans="1:105" ht="12" customHeight="1" x14ac:dyDescent="0.25">
      <c r="A45" s="62" t="s">
        <v>24</v>
      </c>
      <c r="B45" s="63">
        <v>1056.4737736532791</v>
      </c>
      <c r="C45" s="63">
        <v>1063.6844004839859</v>
      </c>
      <c r="D45" s="63">
        <v>1038.0911414438615</v>
      </c>
      <c r="E45" s="63">
        <v>1090.5652515471652</v>
      </c>
      <c r="F45" s="63">
        <v>1009.5473691280271</v>
      </c>
      <c r="G45" s="63">
        <v>1153.6693402171672</v>
      </c>
      <c r="H45" s="63">
        <v>1170.2116396537401</v>
      </c>
      <c r="I45" s="63">
        <v>1149.8336295919157</v>
      </c>
      <c r="J45" s="63">
        <v>1208.9907205029031</v>
      </c>
      <c r="K45" s="63">
        <v>1073.0087223993669</v>
      </c>
      <c r="L45" s="63">
        <v>1086.3189782008187</v>
      </c>
      <c r="M45" s="63">
        <v>1076.6132156788133</v>
      </c>
      <c r="N45" s="63">
        <v>1118.350568976093</v>
      </c>
      <c r="O45" s="63">
        <v>1133.5827182552287</v>
      </c>
      <c r="P45" s="63">
        <v>1126.3308353743694</v>
      </c>
      <c r="Q45" s="63">
        <v>1138.7157612077576</v>
      </c>
      <c r="R45" s="63">
        <v>1090.3882618387536</v>
      </c>
      <c r="S45" s="63">
        <v>1142.4565850541617</v>
      </c>
      <c r="T45" s="63">
        <v>1161.5263558757692</v>
      </c>
      <c r="U45" s="63">
        <v>1152.2491768364057</v>
      </c>
      <c r="V45" s="63">
        <v>1059.0953556354368</v>
      </c>
      <c r="W45" s="63">
        <v>1069.1922044093344</v>
      </c>
      <c r="X45" s="63">
        <v>1109.0171864328465</v>
      </c>
      <c r="Y45" s="63">
        <v>1056.1542466406613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2612.5495260178532</v>
      </c>
      <c r="C47" s="82">
        <f t="shared" ref="C47:W47" si="34">SUM(C48,C53)</f>
        <v>3014.6128613610276</v>
      </c>
      <c r="D47" s="82">
        <f t="shared" si="34"/>
        <v>2952.6128095436034</v>
      </c>
      <c r="E47" s="82">
        <f t="shared" si="34"/>
        <v>3284.9533856830203</v>
      </c>
      <c r="F47" s="82">
        <f t="shared" si="34"/>
        <v>3239.8816769526184</v>
      </c>
      <c r="G47" s="82">
        <f t="shared" si="34"/>
        <v>3073.747242194811</v>
      </c>
      <c r="H47" s="82">
        <f t="shared" si="34"/>
        <v>3171.3178305393808</v>
      </c>
      <c r="I47" s="82">
        <f t="shared" si="34"/>
        <v>2777.4957104173673</v>
      </c>
      <c r="J47" s="82">
        <f t="shared" si="34"/>
        <v>3000.6280377857915</v>
      </c>
      <c r="K47" s="82">
        <f t="shared" si="34"/>
        <v>2674.0282408860394</v>
      </c>
      <c r="L47" s="82">
        <f t="shared" si="34"/>
        <v>2638.622589550776</v>
      </c>
      <c r="M47" s="82">
        <f t="shared" si="34"/>
        <v>2542.4789078542212</v>
      </c>
      <c r="N47" s="82">
        <f t="shared" si="34"/>
        <v>2531.0539223724809</v>
      </c>
      <c r="O47" s="82">
        <f t="shared" si="34"/>
        <v>2516.5144465441367</v>
      </c>
      <c r="P47" s="82">
        <f t="shared" si="34"/>
        <v>2373.015014222176</v>
      </c>
      <c r="Q47" s="82">
        <f t="shared" si="34"/>
        <v>2443.0844628414638</v>
      </c>
      <c r="R47" s="82">
        <f t="shared" si="34"/>
        <v>2379.987401993526</v>
      </c>
      <c r="S47" s="82">
        <f t="shared" si="34"/>
        <v>2572.4900330335258</v>
      </c>
      <c r="T47" s="82">
        <f t="shared" si="34"/>
        <v>2505.2371039411178</v>
      </c>
      <c r="U47" s="82">
        <f t="shared" si="34"/>
        <v>2534.1968122620292</v>
      </c>
      <c r="V47" s="82">
        <f t="shared" si="34"/>
        <v>2378.627685816004</v>
      </c>
      <c r="W47" s="82">
        <f t="shared" si="34"/>
        <v>2564.1420754325491</v>
      </c>
      <c r="X47" s="82">
        <f t="shared" ref="X47:Y47" si="35">SUM(X48,X53)</f>
        <v>2399.9034289092006</v>
      </c>
      <c r="Y47" s="82">
        <f t="shared" si="35"/>
        <v>2260.0203687386838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2098.0118960030113</v>
      </c>
      <c r="C48" s="64">
        <f t="shared" ref="C48:W48" si="37">SUM(C49:C52)</f>
        <v>2488.4433545051261</v>
      </c>
      <c r="D48" s="64">
        <f t="shared" si="37"/>
        <v>2414.702190420704</v>
      </c>
      <c r="E48" s="64">
        <f t="shared" si="37"/>
        <v>2735.481849803567</v>
      </c>
      <c r="F48" s="64">
        <f t="shared" si="37"/>
        <v>2675.3522134822042</v>
      </c>
      <c r="G48" s="64">
        <f t="shared" si="37"/>
        <v>2494.7188357391747</v>
      </c>
      <c r="H48" s="64">
        <f t="shared" si="37"/>
        <v>2575.8058724246084</v>
      </c>
      <c r="I48" s="64">
        <f t="shared" si="37"/>
        <v>2165.888318675276</v>
      </c>
      <c r="J48" s="64">
        <f t="shared" si="37"/>
        <v>2375.4942155913777</v>
      </c>
      <c r="K48" s="64">
        <f t="shared" si="37"/>
        <v>2046.9191004372167</v>
      </c>
      <c r="L48" s="64">
        <f t="shared" si="37"/>
        <v>2001.5658786205699</v>
      </c>
      <c r="M48" s="64">
        <f t="shared" si="37"/>
        <v>1896.6809179624991</v>
      </c>
      <c r="N48" s="64">
        <f t="shared" si="37"/>
        <v>1880.1083347975161</v>
      </c>
      <c r="O48" s="64">
        <f t="shared" si="37"/>
        <v>1859.135773733705</v>
      </c>
      <c r="P48" s="64">
        <f t="shared" si="37"/>
        <v>1704.9644628405952</v>
      </c>
      <c r="Q48" s="64">
        <f t="shared" si="37"/>
        <v>1758.1587807712558</v>
      </c>
      <c r="R48" s="64">
        <f t="shared" si="37"/>
        <v>1697.1724706518935</v>
      </c>
      <c r="S48" s="64">
        <f t="shared" si="37"/>
        <v>1877.2972003478294</v>
      </c>
      <c r="T48" s="64">
        <f t="shared" si="37"/>
        <v>1808.3526708421368</v>
      </c>
      <c r="U48" s="64">
        <f t="shared" si="37"/>
        <v>1838.0435976309434</v>
      </c>
      <c r="V48" s="64">
        <f t="shared" si="37"/>
        <v>1714.837882259757</v>
      </c>
      <c r="W48" s="64">
        <f t="shared" si="37"/>
        <v>1900.9352955855702</v>
      </c>
      <c r="X48" s="64">
        <f t="shared" ref="X48:Y48" si="38">SUM(X49:X52)</f>
        <v>1731.6187090608855</v>
      </c>
      <c r="Y48" s="64">
        <f t="shared" si="38"/>
        <v>1592.2224363188041</v>
      </c>
      <c r="DA48" s="108" t="s">
        <v>213</v>
      </c>
    </row>
    <row r="49" spans="1:105" ht="12" customHeight="1" x14ac:dyDescent="0.25">
      <c r="A49" s="61" t="s">
        <v>32</v>
      </c>
      <c r="B49" s="65">
        <v>1630.0471719266784</v>
      </c>
      <c r="C49" s="65">
        <v>2006.8864371519173</v>
      </c>
      <c r="D49" s="65">
        <v>1912.7360870562552</v>
      </c>
      <c r="E49" s="65">
        <v>2217.0143999387024</v>
      </c>
      <c r="F49" s="65">
        <v>2148.3036064897069</v>
      </c>
      <c r="G49" s="65">
        <v>1959.1365541227838</v>
      </c>
      <c r="H49" s="65">
        <v>2032.8157962609787</v>
      </c>
      <c r="I49" s="65">
        <v>1620.3095787681893</v>
      </c>
      <c r="J49" s="65">
        <v>1834.2335637666899</v>
      </c>
      <c r="K49" s="65">
        <v>1491.6762897317751</v>
      </c>
      <c r="L49" s="65">
        <v>1448.5829868413819</v>
      </c>
      <c r="M49" s="65">
        <v>1341.9604282311298</v>
      </c>
      <c r="N49" s="65">
        <v>1337.7433458166231</v>
      </c>
      <c r="O49" s="65">
        <v>1312.6970662107301</v>
      </c>
      <c r="P49" s="65">
        <v>1152.7504338373831</v>
      </c>
      <c r="Q49" s="65">
        <v>1202.0987946849475</v>
      </c>
      <c r="R49" s="65">
        <v>1139.0258118246152</v>
      </c>
      <c r="S49" s="65">
        <v>1316.0219875483979</v>
      </c>
      <c r="T49" s="65">
        <v>1249.6760948123172</v>
      </c>
      <c r="U49" s="65">
        <v>1281.3005059402976</v>
      </c>
      <c r="V49" s="65">
        <v>1180.5199893817444</v>
      </c>
      <c r="W49" s="65">
        <v>1357.0221179410953</v>
      </c>
      <c r="X49" s="65">
        <v>1181.1490073985196</v>
      </c>
      <c r="Y49" s="65">
        <v>1031.1641115125653</v>
      </c>
      <c r="DA49" s="109" t="s">
        <v>214</v>
      </c>
    </row>
    <row r="50" spans="1:105" ht="12" customHeight="1" x14ac:dyDescent="0.25">
      <c r="A50" s="61" t="s">
        <v>31</v>
      </c>
      <c r="B50" s="65">
        <v>19.313892570814339</v>
      </c>
      <c r="C50" s="65">
        <v>19.331977655593839</v>
      </c>
      <c r="D50" s="65">
        <v>19.844759113604699</v>
      </c>
      <c r="E50" s="65">
        <v>22.030195772048422</v>
      </c>
      <c r="F50" s="65">
        <v>19.646609299685345</v>
      </c>
      <c r="G50" s="65">
        <v>20.092688711071851</v>
      </c>
      <c r="H50" s="65">
        <v>21.179008132552404</v>
      </c>
      <c r="I50" s="65">
        <v>21.410456413881739</v>
      </c>
      <c r="J50" s="65">
        <v>20.430017722208575</v>
      </c>
      <c r="K50" s="65">
        <v>20.933494385290917</v>
      </c>
      <c r="L50" s="65">
        <v>22.197545452534538</v>
      </c>
      <c r="M50" s="65">
        <v>21.67999114241854</v>
      </c>
      <c r="N50" s="65">
        <v>22.381506685112395</v>
      </c>
      <c r="O50" s="65">
        <v>23.588352071324479</v>
      </c>
      <c r="P50" s="65">
        <v>20.396800039091318</v>
      </c>
      <c r="Q50" s="65">
        <v>23.546050957914325</v>
      </c>
      <c r="R50" s="65">
        <v>20.339159904181198</v>
      </c>
      <c r="S50" s="65">
        <v>21.462903850098311</v>
      </c>
      <c r="T50" s="65">
        <v>21.03585240318797</v>
      </c>
      <c r="U50" s="65">
        <v>21.641543454909481</v>
      </c>
      <c r="V50" s="65">
        <v>19.779792228480137</v>
      </c>
      <c r="W50" s="65">
        <v>20.390780546829493</v>
      </c>
      <c r="X50" s="65">
        <v>20.931563684502365</v>
      </c>
      <c r="Y50" s="65">
        <v>22.422964679005112</v>
      </c>
      <c r="DA50" s="109" t="s">
        <v>215</v>
      </c>
    </row>
    <row r="51" spans="1:105" ht="12" customHeight="1" x14ac:dyDescent="0.25">
      <c r="A51" s="61" t="s">
        <v>35</v>
      </c>
      <c r="B51" s="65">
        <v>251.62917709938154</v>
      </c>
      <c r="C51" s="65">
        <v>255.4868310379415</v>
      </c>
      <c r="D51" s="65">
        <v>256.87338711635488</v>
      </c>
      <c r="E51" s="65">
        <v>259.35442166970444</v>
      </c>
      <c r="F51" s="65">
        <v>261.68954998375699</v>
      </c>
      <c r="G51" s="65">
        <v>271.07121090255782</v>
      </c>
      <c r="H51" s="65">
        <v>275.04514092122645</v>
      </c>
      <c r="I51" s="65">
        <v>280.02899751201119</v>
      </c>
      <c r="J51" s="65">
        <v>277.42385830598772</v>
      </c>
      <c r="K51" s="65">
        <v>285.57389246881951</v>
      </c>
      <c r="L51" s="65">
        <v>274.26957197979766</v>
      </c>
      <c r="M51" s="65">
        <v>276.07875605018512</v>
      </c>
      <c r="N51" s="65">
        <v>269.86659906182661</v>
      </c>
      <c r="O51" s="65">
        <v>272.62201590702688</v>
      </c>
      <c r="P51" s="65">
        <v>278.77544020528188</v>
      </c>
      <c r="Q51" s="65">
        <v>277.97957396444855</v>
      </c>
      <c r="R51" s="65">
        <v>280.12490612515143</v>
      </c>
      <c r="S51" s="65">
        <v>279.69283221546357</v>
      </c>
      <c r="T51" s="65">
        <v>276.45288791400588</v>
      </c>
      <c r="U51" s="65">
        <v>271.86734996930073</v>
      </c>
      <c r="V51" s="65">
        <v>261.96986038815163</v>
      </c>
      <c r="W51" s="65">
        <v>258.87262631952967</v>
      </c>
      <c r="X51" s="65">
        <v>265.3749357451706</v>
      </c>
      <c r="Y51" s="65">
        <v>270.31617530198753</v>
      </c>
      <c r="DA51" s="109" t="s">
        <v>216</v>
      </c>
    </row>
    <row r="52" spans="1:105" ht="12" customHeight="1" x14ac:dyDescent="0.25">
      <c r="A52" s="66" t="s">
        <v>34</v>
      </c>
      <c r="B52" s="67">
        <v>197.02165440613737</v>
      </c>
      <c r="C52" s="67">
        <v>206.73810865967317</v>
      </c>
      <c r="D52" s="67">
        <v>225.24795713448918</v>
      </c>
      <c r="E52" s="67">
        <v>237.08283242311154</v>
      </c>
      <c r="F52" s="67">
        <v>245.7124477090552</v>
      </c>
      <c r="G52" s="67">
        <v>244.41838200276138</v>
      </c>
      <c r="H52" s="67">
        <v>246.76592710985085</v>
      </c>
      <c r="I52" s="67">
        <v>244.13928598119355</v>
      </c>
      <c r="J52" s="67">
        <v>243.40677579649179</v>
      </c>
      <c r="K52" s="67">
        <v>248.73542385133095</v>
      </c>
      <c r="L52" s="67">
        <v>256.51577434685566</v>
      </c>
      <c r="M52" s="67">
        <v>256.96174253876569</v>
      </c>
      <c r="N52" s="67">
        <v>250.11688323395421</v>
      </c>
      <c r="O52" s="67">
        <v>250.22833954462362</v>
      </c>
      <c r="P52" s="67">
        <v>253.04178875883903</v>
      </c>
      <c r="Q52" s="67">
        <v>254.53436116394562</v>
      </c>
      <c r="R52" s="67">
        <v>257.68259279794563</v>
      </c>
      <c r="S52" s="67">
        <v>260.11947673386965</v>
      </c>
      <c r="T52" s="67">
        <v>261.18783571262554</v>
      </c>
      <c r="U52" s="67">
        <v>263.23419826643567</v>
      </c>
      <c r="V52" s="67">
        <v>252.56824026138094</v>
      </c>
      <c r="W52" s="67">
        <v>264.64977077811579</v>
      </c>
      <c r="X52" s="67">
        <v>264.1632022326927</v>
      </c>
      <c r="Y52" s="67">
        <v>268.31918482524617</v>
      </c>
      <c r="DA52" s="110" t="s">
        <v>217</v>
      </c>
    </row>
    <row r="53" spans="1:105" ht="12" customHeight="1" x14ac:dyDescent="0.25">
      <c r="A53" s="78" t="s">
        <v>33</v>
      </c>
      <c r="B53" s="68">
        <v>514.53763001484174</v>
      </c>
      <c r="C53" s="68">
        <v>526.16950685590166</v>
      </c>
      <c r="D53" s="68">
        <v>537.91061912289911</v>
      </c>
      <c r="E53" s="68">
        <v>549.47153587945354</v>
      </c>
      <c r="F53" s="68">
        <v>564.52946347041438</v>
      </c>
      <c r="G53" s="68">
        <v>579.0284064556364</v>
      </c>
      <c r="H53" s="68">
        <v>595.51195811477237</v>
      </c>
      <c r="I53" s="68">
        <v>611.60739174209129</v>
      </c>
      <c r="J53" s="68">
        <v>625.13382219441394</v>
      </c>
      <c r="K53" s="68">
        <v>627.10914044882247</v>
      </c>
      <c r="L53" s="68">
        <v>637.05671093020578</v>
      </c>
      <c r="M53" s="68">
        <v>645.79798989172207</v>
      </c>
      <c r="N53" s="68">
        <v>650.94558757496463</v>
      </c>
      <c r="O53" s="68">
        <v>657.37867281043168</v>
      </c>
      <c r="P53" s="68">
        <v>668.05055138158082</v>
      </c>
      <c r="Q53" s="68">
        <v>684.92568207020804</v>
      </c>
      <c r="R53" s="68">
        <v>682.81493134163247</v>
      </c>
      <c r="S53" s="68">
        <v>695.1928326856962</v>
      </c>
      <c r="T53" s="68">
        <v>696.88443309898082</v>
      </c>
      <c r="U53" s="68">
        <v>696.15321463108569</v>
      </c>
      <c r="V53" s="68">
        <v>663.78980355624708</v>
      </c>
      <c r="W53" s="68">
        <v>663.20677984697886</v>
      </c>
      <c r="X53" s="68">
        <v>668.28471984831526</v>
      </c>
      <c r="Y53" s="68">
        <v>667.79793241987954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0.80305153074011981</v>
      </c>
      <c r="C56" s="70">
        <f t="shared" ref="C56:W56" si="43">IF(C48=0,0,C48/C$47)</f>
        <v>0.82546033900407756</v>
      </c>
      <c r="D56" s="70">
        <f t="shared" si="43"/>
        <v>0.81781877482064902</v>
      </c>
      <c r="E56" s="70">
        <f t="shared" si="43"/>
        <v>0.83273079664562577</v>
      </c>
      <c r="F56" s="70">
        <f t="shared" si="43"/>
        <v>0.82575614798334185</v>
      </c>
      <c r="G56" s="70">
        <f t="shared" si="43"/>
        <v>0.81162133356086208</v>
      </c>
      <c r="H56" s="70">
        <f t="shared" si="43"/>
        <v>0.81221940217405231</v>
      </c>
      <c r="I56" s="70">
        <f t="shared" si="43"/>
        <v>0.77979897882535831</v>
      </c>
      <c r="J56" s="70">
        <f t="shared" si="43"/>
        <v>0.79166567321162895</v>
      </c>
      <c r="K56" s="70">
        <f t="shared" si="43"/>
        <v>0.76548148188553533</v>
      </c>
      <c r="L56" s="70">
        <f t="shared" si="43"/>
        <v>0.75856467179011589</v>
      </c>
      <c r="M56" s="70">
        <f t="shared" si="43"/>
        <v>0.74599671686686397</v>
      </c>
      <c r="N56" s="70">
        <f t="shared" si="43"/>
        <v>0.74281638892750201</v>
      </c>
      <c r="O56" s="70">
        <f t="shared" si="43"/>
        <v>0.73877413113475565</v>
      </c>
      <c r="P56" s="70">
        <f t="shared" si="43"/>
        <v>0.71848026777000662</v>
      </c>
      <c r="Q56" s="70">
        <f t="shared" si="43"/>
        <v>0.71964715404329671</v>
      </c>
      <c r="R56" s="70">
        <f t="shared" si="43"/>
        <v>0.7131014513901659</v>
      </c>
      <c r="S56" s="70">
        <f t="shared" si="43"/>
        <v>0.72975878477324452</v>
      </c>
      <c r="T56" s="70">
        <f t="shared" si="43"/>
        <v>0.7218289510391348</v>
      </c>
      <c r="U56" s="70">
        <f t="shared" si="43"/>
        <v>0.72529631034864339</v>
      </c>
      <c r="V56" s="70">
        <f t="shared" si="43"/>
        <v>0.72093581205898993</v>
      </c>
      <c r="W56" s="70">
        <f t="shared" si="43"/>
        <v>0.74135334145433363</v>
      </c>
      <c r="X56" s="70">
        <f t="shared" ref="X56:Y56" si="44">IF(X48=0,0,X48/X$47)</f>
        <v>0.72153682860811508</v>
      </c>
      <c r="Y56" s="70">
        <f t="shared" si="44"/>
        <v>0.70451685230050498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0.62392967317685954</v>
      </c>
      <c r="C57" s="71">
        <f t="shared" ref="C57:W57" si="46">IF(C49=0,0,C49/C$47)</f>
        <v>0.66571945700711133</v>
      </c>
      <c r="D57" s="71">
        <f t="shared" si="46"/>
        <v>0.64781134894280779</v>
      </c>
      <c r="E57" s="71">
        <f t="shared" si="46"/>
        <v>0.67489980515438341</v>
      </c>
      <c r="F57" s="71">
        <f t="shared" si="46"/>
        <v>0.66308088402486587</v>
      </c>
      <c r="G57" s="71">
        <f t="shared" si="46"/>
        <v>0.63737724664825113</v>
      </c>
      <c r="H57" s="71">
        <f t="shared" si="46"/>
        <v>0.6410003364170016</v>
      </c>
      <c r="I57" s="71">
        <f t="shared" si="46"/>
        <v>0.58337068629521283</v>
      </c>
      <c r="J57" s="71">
        <f t="shared" si="46"/>
        <v>0.61128321826926557</v>
      </c>
      <c r="K57" s="71">
        <f t="shared" si="46"/>
        <v>0.55783864467994848</v>
      </c>
      <c r="L57" s="71">
        <f t="shared" si="46"/>
        <v>0.54899211148192373</v>
      </c>
      <c r="M57" s="71">
        <f t="shared" si="46"/>
        <v>0.52781575653805746</v>
      </c>
      <c r="N57" s="71">
        <f t="shared" si="46"/>
        <v>0.52853213990901093</v>
      </c>
      <c r="O57" s="71">
        <f t="shared" si="46"/>
        <v>0.5216330341411004</v>
      </c>
      <c r="P57" s="71">
        <f t="shared" si="46"/>
        <v>0.4857746061144203</v>
      </c>
      <c r="Q57" s="71">
        <f t="shared" si="46"/>
        <v>0.49204143899586245</v>
      </c>
      <c r="R57" s="71">
        <f t="shared" si="46"/>
        <v>0.47858480715929164</v>
      </c>
      <c r="S57" s="71">
        <f t="shared" si="46"/>
        <v>0.51157515506348583</v>
      </c>
      <c r="T57" s="71">
        <f t="shared" si="46"/>
        <v>0.49882547757511142</v>
      </c>
      <c r="U57" s="71">
        <f t="shared" si="46"/>
        <v>0.5056041818617103</v>
      </c>
      <c r="V57" s="71">
        <f t="shared" si="46"/>
        <v>0.49630297184435535</v>
      </c>
      <c r="W57" s="71">
        <f t="shared" si="46"/>
        <v>0.52923047086311592</v>
      </c>
      <c r="X57" s="71">
        <f t="shared" ref="X57:Y57" si="47">IF(X49=0,0,X49/X$47)</f>
        <v>0.49216522347125158</v>
      </c>
      <c r="Y57" s="71">
        <f t="shared" si="47"/>
        <v>0.45626319380831842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7.3927373925244989E-3</v>
      </c>
      <c r="C58" s="72">
        <f t="shared" ref="C58:W58" si="49">IF(C50=0,0,C50/C$47)</f>
        <v>6.4127563122204356E-3</v>
      </c>
      <c r="D58" s="72">
        <f t="shared" si="49"/>
        <v>6.7210841358749576E-3</v>
      </c>
      <c r="E58" s="72">
        <f t="shared" si="49"/>
        <v>6.7063952469047956E-3</v>
      </c>
      <c r="F58" s="72">
        <f t="shared" si="49"/>
        <v>6.0639897559977051E-3</v>
      </c>
      <c r="G58" s="72">
        <f t="shared" si="49"/>
        <v>6.5368708380604042E-3</v>
      </c>
      <c r="H58" s="72">
        <f t="shared" si="49"/>
        <v>6.6782988222124232E-3</v>
      </c>
      <c r="I58" s="72">
        <f t="shared" si="49"/>
        <v>7.7085470676260537E-3</v>
      </c>
      <c r="J58" s="72">
        <f t="shared" si="49"/>
        <v>6.808580558783351E-3</v>
      </c>
      <c r="K58" s="72">
        <f t="shared" si="49"/>
        <v>7.8284492531591979E-3</v>
      </c>
      <c r="L58" s="72">
        <f t="shared" si="49"/>
        <v>8.4125503739864733E-3</v>
      </c>
      <c r="M58" s="72">
        <f t="shared" si="49"/>
        <v>8.5271075702711835E-3</v>
      </c>
      <c r="N58" s="72">
        <f t="shared" si="49"/>
        <v>8.8427616998902631E-3</v>
      </c>
      <c r="O58" s="72">
        <f t="shared" si="49"/>
        <v>9.3734220773966717E-3</v>
      </c>
      <c r="P58" s="72">
        <f t="shared" si="49"/>
        <v>8.595310150524671E-3</v>
      </c>
      <c r="Q58" s="72">
        <f t="shared" si="49"/>
        <v>9.6378374616360001E-3</v>
      </c>
      <c r="R58" s="72">
        <f t="shared" si="49"/>
        <v>8.5459107418571646E-3</v>
      </c>
      <c r="S58" s="72">
        <f t="shared" si="49"/>
        <v>8.3432408190086838E-3</v>
      </c>
      <c r="T58" s="72">
        <f t="shared" si="49"/>
        <v>8.3967510979680859E-3</v>
      </c>
      <c r="U58" s="72">
        <f t="shared" si="49"/>
        <v>8.5398037556491894E-3</v>
      </c>
      <c r="V58" s="72">
        <f t="shared" si="49"/>
        <v>8.3156318857419455E-3</v>
      </c>
      <c r="W58" s="72">
        <f t="shared" si="49"/>
        <v>7.9522818732225449E-3</v>
      </c>
      <c r="X58" s="72">
        <f t="shared" ref="X58:Y58" si="50">IF(X50=0,0,X50/X$47)</f>
        <v>8.7218358173754267E-3</v>
      </c>
      <c r="Y58" s="72">
        <f t="shared" si="50"/>
        <v>9.9215763668180374E-3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9.6315562477747266E-2</v>
      </c>
      <c r="C59" s="72">
        <f t="shared" ref="C59:W59" si="52">IF(C51=0,0,C51/C$47)</f>
        <v>8.4749466278928806E-2</v>
      </c>
      <c r="D59" s="72">
        <f t="shared" si="52"/>
        <v>8.6998669885219648E-2</v>
      </c>
      <c r="E59" s="72">
        <f t="shared" si="52"/>
        <v>7.8952238043943648E-2</v>
      </c>
      <c r="F59" s="72">
        <f t="shared" si="52"/>
        <v>8.0771329349872453E-2</v>
      </c>
      <c r="G59" s="72">
        <f t="shared" si="52"/>
        <v>8.8189167665262955E-2</v>
      </c>
      <c r="H59" s="72">
        <f t="shared" si="52"/>
        <v>8.6728973763707085E-2</v>
      </c>
      <c r="I59" s="72">
        <f t="shared" si="52"/>
        <v>0.10082067686431528</v>
      </c>
      <c r="J59" s="72">
        <f t="shared" si="52"/>
        <v>9.2455264302170201E-2</v>
      </c>
      <c r="K59" s="72">
        <f t="shared" si="52"/>
        <v>0.10679539135091355</v>
      </c>
      <c r="L59" s="72">
        <f t="shared" si="52"/>
        <v>0.1039442219080266</v>
      </c>
      <c r="M59" s="72">
        <f t="shared" si="52"/>
        <v>0.10858644891696963</v>
      </c>
      <c r="N59" s="72">
        <f t="shared" si="52"/>
        <v>0.10662222431392035</v>
      </c>
      <c r="O59" s="72">
        <f t="shared" si="52"/>
        <v>0.10833318134986729</v>
      </c>
      <c r="P59" s="72">
        <f t="shared" si="52"/>
        <v>0.11747731832057479</v>
      </c>
      <c r="Q59" s="72">
        <f t="shared" si="52"/>
        <v>0.11378222005519223</v>
      </c>
      <c r="R59" s="72">
        <f t="shared" si="52"/>
        <v>0.11770016340864371</v>
      </c>
      <c r="S59" s="72">
        <f t="shared" si="52"/>
        <v>0.10872455427383904</v>
      </c>
      <c r="T59" s="72">
        <f t="shared" si="52"/>
        <v>0.11034998941980524</v>
      </c>
      <c r="U59" s="72">
        <f t="shared" si="52"/>
        <v>0.10727949331079435</v>
      </c>
      <c r="V59" s="72">
        <f t="shared" si="52"/>
        <v>0.11013487396548197</v>
      </c>
      <c r="W59" s="72">
        <f t="shared" si="52"/>
        <v>0.10095876854868116</v>
      </c>
      <c r="X59" s="72">
        <f t="shared" ref="X59:Y59" si="53">IF(X51=0,0,X51/X$47)</f>
        <v>0.11057733929976854</v>
      </c>
      <c r="Y59" s="72">
        <f t="shared" si="53"/>
        <v>0.11960784913316991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7.5413557692988589E-2</v>
      </c>
      <c r="C60" s="73">
        <f t="shared" ref="C60:W60" si="55">IF(C52=0,0,C52/C$47)</f>
        <v>6.857865940581695E-2</v>
      </c>
      <c r="D60" s="73">
        <f t="shared" si="55"/>
        <v>7.6287671856746647E-2</v>
      </c>
      <c r="E60" s="73">
        <f t="shared" si="55"/>
        <v>7.2172358200393874E-2</v>
      </c>
      <c r="F60" s="73">
        <f t="shared" si="55"/>
        <v>7.5839944852605992E-2</v>
      </c>
      <c r="G60" s="73">
        <f t="shared" si="55"/>
        <v>7.9518048409287639E-2</v>
      </c>
      <c r="H60" s="73">
        <f t="shared" si="55"/>
        <v>7.7811793171131211E-2</v>
      </c>
      <c r="I60" s="73">
        <f t="shared" si="55"/>
        <v>8.7899068598204011E-2</v>
      </c>
      <c r="J60" s="73">
        <f t="shared" si="55"/>
        <v>8.1118610081409928E-2</v>
      </c>
      <c r="K60" s="73">
        <f t="shared" si="55"/>
        <v>9.3018996601513998E-2</v>
      </c>
      <c r="L60" s="73">
        <f t="shared" si="55"/>
        <v>9.7215788026178973E-2</v>
      </c>
      <c r="M60" s="73">
        <f t="shared" si="55"/>
        <v>0.10106740384156578</v>
      </c>
      <c r="N60" s="73">
        <f t="shared" si="55"/>
        <v>9.8819263004680441E-2</v>
      </c>
      <c r="O60" s="73">
        <f t="shared" si="55"/>
        <v>9.9434493566391266E-2</v>
      </c>
      <c r="P60" s="73">
        <f t="shared" si="55"/>
        <v>0.10663303318448694</v>
      </c>
      <c r="Q60" s="73">
        <f t="shared" si="55"/>
        <v>0.10418565753060614</v>
      </c>
      <c r="R60" s="73">
        <f t="shared" si="55"/>
        <v>0.1082705700803733</v>
      </c>
      <c r="S60" s="73">
        <f t="shared" si="55"/>
        <v>0.1011158346169109</v>
      </c>
      <c r="T60" s="73">
        <f t="shared" si="55"/>
        <v>0.10425673294624987</v>
      </c>
      <c r="U60" s="73">
        <f t="shared" si="55"/>
        <v>0.10387283142048952</v>
      </c>
      <c r="V60" s="73">
        <f t="shared" si="55"/>
        <v>0.10618233436341078</v>
      </c>
      <c r="W60" s="73">
        <f t="shared" si="55"/>
        <v>0.10321182016931399</v>
      </c>
      <c r="X60" s="73">
        <f t="shared" ref="X60:Y60" si="56">IF(X52=0,0,X52/X$47)</f>
        <v>0.11007243001971943</v>
      </c>
      <c r="Y60" s="73">
        <f t="shared" si="56"/>
        <v>0.11872423299219863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0.19694846925988019</v>
      </c>
      <c r="C61" s="70">
        <f t="shared" ref="C61:W61" si="58">IF(C53=0,0,C53/C$47)</f>
        <v>0.1745396609959225</v>
      </c>
      <c r="D61" s="70">
        <f t="shared" si="58"/>
        <v>0.1821812251793509</v>
      </c>
      <c r="E61" s="70">
        <f t="shared" si="58"/>
        <v>0.16726920335437431</v>
      </c>
      <c r="F61" s="70">
        <f t="shared" si="58"/>
        <v>0.17424385201665818</v>
      </c>
      <c r="G61" s="70">
        <f t="shared" si="58"/>
        <v>0.18837866643913792</v>
      </c>
      <c r="H61" s="70">
        <f t="shared" si="58"/>
        <v>0.18778059782594769</v>
      </c>
      <c r="I61" s="70">
        <f t="shared" si="58"/>
        <v>0.22020102117464174</v>
      </c>
      <c r="J61" s="70">
        <f t="shared" si="58"/>
        <v>0.20833432678837113</v>
      </c>
      <c r="K61" s="70">
        <f t="shared" si="58"/>
        <v>0.23451851811446459</v>
      </c>
      <c r="L61" s="70">
        <f t="shared" si="58"/>
        <v>0.24143532820988406</v>
      </c>
      <c r="M61" s="70">
        <f t="shared" si="58"/>
        <v>0.25400328313313597</v>
      </c>
      <c r="N61" s="70">
        <f t="shared" si="58"/>
        <v>0.25718361107249799</v>
      </c>
      <c r="O61" s="70">
        <f t="shared" si="58"/>
        <v>0.26122586886524435</v>
      </c>
      <c r="P61" s="70">
        <f t="shared" si="58"/>
        <v>0.28151973222999332</v>
      </c>
      <c r="Q61" s="70">
        <f t="shared" si="58"/>
        <v>0.28035284595670323</v>
      </c>
      <c r="R61" s="70">
        <f t="shared" si="58"/>
        <v>0.28689854860983416</v>
      </c>
      <c r="S61" s="70">
        <f t="shared" si="58"/>
        <v>0.27024121522675543</v>
      </c>
      <c r="T61" s="70">
        <f t="shared" si="58"/>
        <v>0.2781710489608652</v>
      </c>
      <c r="U61" s="70">
        <f t="shared" si="58"/>
        <v>0.27470368965135661</v>
      </c>
      <c r="V61" s="70">
        <f t="shared" si="58"/>
        <v>0.27906418794101001</v>
      </c>
      <c r="W61" s="70">
        <f t="shared" si="58"/>
        <v>0.25864665854566637</v>
      </c>
      <c r="X61" s="70">
        <f t="shared" ref="X61:Y61" si="59">IF(X53=0,0,X53/X$47)</f>
        <v>0.27846317139188503</v>
      </c>
      <c r="Y61" s="70">
        <f t="shared" si="59"/>
        <v>0.29548314769949496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2958.9846021202111</v>
      </c>
      <c r="C65" s="80">
        <v>3964.3284480581292</v>
      </c>
      <c r="D65" s="80">
        <v>3828.1061311640683</v>
      </c>
      <c r="E65" s="80">
        <v>4490.2416591065339</v>
      </c>
      <c r="F65" s="80">
        <v>4332.3450981125216</v>
      </c>
      <c r="G65" s="80">
        <v>3602.833029926669</v>
      </c>
      <c r="H65" s="80">
        <v>3628.1954025034925</v>
      </c>
      <c r="I65" s="80">
        <v>2650.5417977914785</v>
      </c>
      <c r="J65" s="80">
        <v>2841.3335942386207</v>
      </c>
      <c r="K65" s="80">
        <v>2272.3018284222053</v>
      </c>
      <c r="L65" s="80">
        <v>1765.8278098876924</v>
      </c>
      <c r="M65" s="80">
        <v>1581.3454966463894</v>
      </c>
      <c r="N65" s="80">
        <v>1435.9855202092954</v>
      </c>
      <c r="O65" s="80">
        <v>1436.7450878015638</v>
      </c>
      <c r="P65" s="80">
        <v>1311.4538559823143</v>
      </c>
      <c r="Q65" s="80">
        <v>1383.7824532074042</v>
      </c>
      <c r="R65" s="80">
        <v>1291.8092374800001</v>
      </c>
      <c r="S65" s="80">
        <v>1498.5978030000001</v>
      </c>
      <c r="T65" s="80">
        <v>1377.5239666799998</v>
      </c>
      <c r="U65" s="80">
        <v>1395.4205465041055</v>
      </c>
      <c r="V65" s="80">
        <v>1342.6574775175734</v>
      </c>
      <c r="W65" s="80">
        <v>1590.5030007600176</v>
      </c>
      <c r="X65" s="80">
        <v>1278.7645181873436</v>
      </c>
      <c r="Y65" s="80">
        <v>1128.9323605953077</v>
      </c>
      <c r="DA65" s="103" t="s">
        <v>219</v>
      </c>
    </row>
    <row r="66" spans="1:105" ht="12" customHeight="1" x14ac:dyDescent="0.25">
      <c r="A66" s="58" t="s">
        <v>29</v>
      </c>
      <c r="B66" s="59">
        <v>108.63683516021109</v>
      </c>
      <c r="C66" s="59">
        <v>115.70874365812817</v>
      </c>
      <c r="D66" s="59">
        <v>81.513682964068138</v>
      </c>
      <c r="E66" s="59">
        <v>112.22350542653277</v>
      </c>
      <c r="F66" s="59">
        <v>81.045471672520065</v>
      </c>
      <c r="G66" s="59">
        <v>67.264527806668895</v>
      </c>
      <c r="H66" s="59">
        <v>49.080088263491618</v>
      </c>
      <c r="I66" s="59">
        <v>38.685383991478012</v>
      </c>
      <c r="J66" s="59">
        <v>23.820653278620302</v>
      </c>
      <c r="K66" s="59">
        <v>18.147125302205318</v>
      </c>
      <c r="L66" s="59">
        <v>20.302414447691973</v>
      </c>
      <c r="M66" s="59">
        <v>14.245010486388994</v>
      </c>
      <c r="N66" s="59">
        <v>0.28763324929536299</v>
      </c>
      <c r="O66" s="59">
        <v>0.72282824156378578</v>
      </c>
      <c r="P66" s="59">
        <v>9.0955702314335113E-2</v>
      </c>
      <c r="Q66" s="59">
        <v>6.2605007404109375E-2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1367.9671485599999</v>
      </c>
      <c r="C67" s="55">
        <f t="shared" ref="C67:W67" si="60">SUM(C68:C69)</f>
        <v>1803.3887232000004</v>
      </c>
      <c r="D67" s="55">
        <f t="shared" si="60"/>
        <v>1881.5256666</v>
      </c>
      <c r="E67" s="55">
        <f t="shared" si="60"/>
        <v>2276.6767048800002</v>
      </c>
      <c r="F67" s="55">
        <f t="shared" si="60"/>
        <v>1777.28455764</v>
      </c>
      <c r="G67" s="55">
        <f t="shared" si="60"/>
        <v>2082.5169584400001</v>
      </c>
      <c r="H67" s="55">
        <f t="shared" si="60"/>
        <v>2087.2404770400003</v>
      </c>
      <c r="I67" s="55">
        <f t="shared" si="60"/>
        <v>1481.8174686000002</v>
      </c>
      <c r="J67" s="55">
        <f t="shared" si="60"/>
        <v>1635.5533824000001</v>
      </c>
      <c r="K67" s="55">
        <f t="shared" si="60"/>
        <v>1332.2688494399999</v>
      </c>
      <c r="L67" s="55">
        <f t="shared" si="60"/>
        <v>773.85890844000028</v>
      </c>
      <c r="M67" s="55">
        <f t="shared" si="60"/>
        <v>724.1800777200001</v>
      </c>
      <c r="N67" s="55">
        <f t="shared" si="60"/>
        <v>493.68394332000003</v>
      </c>
      <c r="O67" s="55">
        <f t="shared" si="60"/>
        <v>486.15550524000008</v>
      </c>
      <c r="P67" s="55">
        <f t="shared" si="60"/>
        <v>516.67796880000003</v>
      </c>
      <c r="Q67" s="55">
        <f t="shared" si="60"/>
        <v>532.62203580000005</v>
      </c>
      <c r="R67" s="55">
        <f t="shared" si="60"/>
        <v>490.99078080000004</v>
      </c>
      <c r="S67" s="55">
        <f t="shared" si="60"/>
        <v>656.23354884000014</v>
      </c>
      <c r="T67" s="55">
        <f t="shared" si="60"/>
        <v>580.33654883999998</v>
      </c>
      <c r="U67" s="55">
        <f t="shared" si="60"/>
        <v>544.08523068</v>
      </c>
      <c r="V67" s="55">
        <f t="shared" si="60"/>
        <v>526.82036075999997</v>
      </c>
      <c r="W67" s="55">
        <f t="shared" si="60"/>
        <v>658.91221164000012</v>
      </c>
      <c r="X67" s="55">
        <f t="shared" ref="X67:Y67" si="61">SUM(X68:X69)</f>
        <v>565.61398020000013</v>
      </c>
      <c r="Y67" s="55">
        <f t="shared" si="61"/>
        <v>334.25218907999999</v>
      </c>
      <c r="DA67" s="101"/>
    </row>
    <row r="68" spans="1:105" ht="12" customHeight="1" x14ac:dyDescent="0.25">
      <c r="A68" s="61" t="s">
        <v>52</v>
      </c>
      <c r="B68" s="55">
        <v>69.662475719999989</v>
      </c>
      <c r="C68" s="55">
        <v>95.785875720000007</v>
      </c>
      <c r="D68" s="55">
        <v>179.96114952000002</v>
      </c>
      <c r="E68" s="55">
        <v>214.79250096000004</v>
      </c>
      <c r="F68" s="55">
        <v>252.52627572</v>
      </c>
      <c r="G68" s="55">
        <v>200.79603756000003</v>
      </c>
      <c r="H68" s="55">
        <v>200.11387608000004</v>
      </c>
      <c r="I68" s="55">
        <v>151.16748372000001</v>
      </c>
      <c r="J68" s="55">
        <v>122.8322268</v>
      </c>
      <c r="K68" s="55">
        <v>134.96506955999999</v>
      </c>
      <c r="L68" s="55">
        <v>174.94840980000001</v>
      </c>
      <c r="M68" s="55">
        <v>144.19253591999998</v>
      </c>
      <c r="N68" s="55">
        <v>10.921852800000002</v>
      </c>
      <c r="O68" s="55">
        <v>10.536362280000002</v>
      </c>
      <c r="P68" s="55">
        <v>8.4483075600000017</v>
      </c>
      <c r="Q68" s="55">
        <v>9.07981236</v>
      </c>
      <c r="R68" s="55">
        <v>7.8224817600000014</v>
      </c>
      <c r="S68" s="55">
        <v>20.045279879999999</v>
      </c>
      <c r="T68" s="55">
        <v>18.203239440000001</v>
      </c>
      <c r="U68" s="55">
        <v>20.0627712</v>
      </c>
      <c r="V68" s="55">
        <v>19.538940239999999</v>
      </c>
      <c r="W68" s="55">
        <v>22.492701719999999</v>
      </c>
      <c r="X68" s="55">
        <v>17.52789276</v>
      </c>
      <c r="Y68" s="55">
        <v>6.9931205999999992</v>
      </c>
      <c r="DA68" s="101" t="s">
        <v>221</v>
      </c>
    </row>
    <row r="69" spans="1:105" ht="12" customHeight="1" x14ac:dyDescent="0.25">
      <c r="A69" s="61" t="s">
        <v>163</v>
      </c>
      <c r="B69" s="55">
        <v>1298.30467284</v>
      </c>
      <c r="C69" s="55">
        <v>1707.6028474800005</v>
      </c>
      <c r="D69" s="55">
        <v>1701.5645170800001</v>
      </c>
      <c r="E69" s="55">
        <v>2061.8842039200003</v>
      </c>
      <c r="F69" s="55">
        <v>1524.7582819199999</v>
      </c>
      <c r="G69" s="55">
        <v>1881.72092088</v>
      </c>
      <c r="H69" s="55">
        <v>1887.1266009600004</v>
      </c>
      <c r="I69" s="55">
        <v>1330.6499848800001</v>
      </c>
      <c r="J69" s="55">
        <v>1512.7211556000002</v>
      </c>
      <c r="K69" s="55">
        <v>1197.3037798799999</v>
      </c>
      <c r="L69" s="55">
        <v>598.91049864000024</v>
      </c>
      <c r="M69" s="55">
        <v>579.98754180000014</v>
      </c>
      <c r="N69" s="55">
        <v>482.76209052000002</v>
      </c>
      <c r="O69" s="55">
        <v>475.61914296000009</v>
      </c>
      <c r="P69" s="55">
        <v>508.22966124000004</v>
      </c>
      <c r="Q69" s="55">
        <v>523.54222344000004</v>
      </c>
      <c r="R69" s="55">
        <v>483.16829904000002</v>
      </c>
      <c r="S69" s="55">
        <v>636.18826896000019</v>
      </c>
      <c r="T69" s="55">
        <v>562.13330940000003</v>
      </c>
      <c r="U69" s="55">
        <v>524.02245947999995</v>
      </c>
      <c r="V69" s="55">
        <v>507.28142051999998</v>
      </c>
      <c r="W69" s="55">
        <v>636.41950992000011</v>
      </c>
      <c r="X69" s="55">
        <v>548.08608744000014</v>
      </c>
      <c r="Y69" s="55">
        <v>327.25906848</v>
      </c>
      <c r="DA69" s="101" t="s">
        <v>222</v>
      </c>
    </row>
    <row r="70" spans="1:105" ht="12" customHeight="1" x14ac:dyDescent="0.25">
      <c r="A70" s="60" t="s">
        <v>149</v>
      </c>
      <c r="B70" s="55">
        <v>1402.15779</v>
      </c>
      <c r="C70" s="55">
        <v>1955.4272100000003</v>
      </c>
      <c r="D70" s="55">
        <v>1776.6926100000001</v>
      </c>
      <c r="E70" s="55">
        <v>2008.39122</v>
      </c>
      <c r="F70" s="55">
        <v>2399.0828400000009</v>
      </c>
      <c r="G70" s="55">
        <v>1299.4486084800001</v>
      </c>
      <c r="H70" s="55">
        <v>1388.7799596000002</v>
      </c>
      <c r="I70" s="55">
        <v>1083.1458132</v>
      </c>
      <c r="J70" s="55">
        <v>1174.2895533600001</v>
      </c>
      <c r="K70" s="55">
        <v>914.16951648000008</v>
      </c>
      <c r="L70" s="55">
        <v>963.13007340000001</v>
      </c>
      <c r="M70" s="55">
        <v>835.82337564000011</v>
      </c>
      <c r="N70" s="55">
        <v>942.01394363999998</v>
      </c>
      <c r="O70" s="55">
        <v>949.86675432000004</v>
      </c>
      <c r="P70" s="55">
        <v>794.68493147999993</v>
      </c>
      <c r="Q70" s="55">
        <v>851.09781239999995</v>
      </c>
      <c r="R70" s="55">
        <v>800.81845668000005</v>
      </c>
      <c r="S70" s="55">
        <v>842.36425415999997</v>
      </c>
      <c r="T70" s="55">
        <v>797.18741783999997</v>
      </c>
      <c r="U70" s="55">
        <v>851.33531582410558</v>
      </c>
      <c r="V70" s="55">
        <v>815.83711675757343</v>
      </c>
      <c r="W70" s="55">
        <v>931.59078912001758</v>
      </c>
      <c r="X70" s="55">
        <v>713.15053798734334</v>
      </c>
      <c r="Y70" s="55">
        <v>794.68017151530762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80.222828400000026</v>
      </c>
      <c r="C71" s="55">
        <f t="shared" ref="C71:W71" si="62">SUM(C72:C76)</f>
        <v>89.803771199999986</v>
      </c>
      <c r="D71" s="55">
        <f t="shared" si="62"/>
        <v>88.374171599999983</v>
      </c>
      <c r="E71" s="55">
        <f t="shared" si="62"/>
        <v>92.950228800000033</v>
      </c>
      <c r="F71" s="55">
        <f t="shared" si="62"/>
        <v>74.932228800000019</v>
      </c>
      <c r="G71" s="55">
        <f t="shared" si="62"/>
        <v>153.60293519999999</v>
      </c>
      <c r="H71" s="55">
        <f t="shared" si="62"/>
        <v>103.09487759999998</v>
      </c>
      <c r="I71" s="55">
        <f t="shared" si="62"/>
        <v>46.893132000000001</v>
      </c>
      <c r="J71" s="55">
        <f t="shared" si="62"/>
        <v>7.6700051999999994</v>
      </c>
      <c r="K71" s="55">
        <f t="shared" si="62"/>
        <v>7.7163371999999999</v>
      </c>
      <c r="L71" s="55">
        <f t="shared" si="62"/>
        <v>8.536413600000003</v>
      </c>
      <c r="M71" s="55">
        <f t="shared" si="62"/>
        <v>7.0970328</v>
      </c>
      <c r="N71" s="55">
        <f t="shared" si="62"/>
        <v>0</v>
      </c>
      <c r="O71" s="55">
        <f t="shared" si="62"/>
        <v>0</v>
      </c>
      <c r="P71" s="55">
        <f t="shared" si="62"/>
        <v>0</v>
      </c>
      <c r="Q71" s="55">
        <f t="shared" si="62"/>
        <v>0</v>
      </c>
      <c r="R71" s="55">
        <f t="shared" si="62"/>
        <v>0</v>
      </c>
      <c r="S71" s="55">
        <f t="shared" si="62"/>
        <v>0</v>
      </c>
      <c r="T71" s="55">
        <f t="shared" si="62"/>
        <v>0</v>
      </c>
      <c r="U71" s="55">
        <f t="shared" si="62"/>
        <v>0</v>
      </c>
      <c r="V71" s="55">
        <f t="shared" si="62"/>
        <v>0</v>
      </c>
      <c r="W71" s="55">
        <f t="shared" si="62"/>
        <v>0</v>
      </c>
      <c r="X71" s="55">
        <f t="shared" ref="X71:Y71" si="63">SUM(X72:X76)</f>
        <v>0</v>
      </c>
      <c r="Y71" s="55">
        <f t="shared" si="63"/>
        <v>0</v>
      </c>
      <c r="DA71" s="101"/>
    </row>
    <row r="72" spans="1:105" ht="12" customHeight="1" x14ac:dyDescent="0.25">
      <c r="A72" s="61" t="s">
        <v>164</v>
      </c>
      <c r="B72" s="55">
        <v>80.222828400000026</v>
      </c>
      <c r="C72" s="55">
        <v>89.803771199999986</v>
      </c>
      <c r="D72" s="55">
        <v>88.374171599999983</v>
      </c>
      <c r="E72" s="55">
        <v>92.950228800000033</v>
      </c>
      <c r="F72" s="55">
        <v>74.932228800000019</v>
      </c>
      <c r="G72" s="55">
        <v>153.60293519999999</v>
      </c>
      <c r="H72" s="55">
        <v>103.09487759999998</v>
      </c>
      <c r="I72" s="55">
        <v>46.893132000000001</v>
      </c>
      <c r="J72" s="55">
        <v>7.6700051999999994</v>
      </c>
      <c r="K72" s="55">
        <v>7.7163371999999999</v>
      </c>
      <c r="L72" s="55">
        <v>8.536413600000003</v>
      </c>
      <c r="M72" s="55">
        <v>7.0970328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2958.9846021202115</v>
      </c>
      <c r="C81" s="82">
        <f t="shared" ref="C81:W81" si="65">C82+C87</f>
        <v>3964.3284480581283</v>
      </c>
      <c r="D81" s="82">
        <f t="shared" si="65"/>
        <v>3828.1061311640683</v>
      </c>
      <c r="E81" s="82">
        <f t="shared" si="65"/>
        <v>4490.2416591065348</v>
      </c>
      <c r="F81" s="82">
        <f t="shared" si="65"/>
        <v>4332.3450981125206</v>
      </c>
      <c r="G81" s="82">
        <f t="shared" si="65"/>
        <v>3602.8330299266681</v>
      </c>
      <c r="H81" s="82">
        <f t="shared" si="65"/>
        <v>3628.1954025034929</v>
      </c>
      <c r="I81" s="82">
        <f t="shared" si="65"/>
        <v>2650.5417977914776</v>
      </c>
      <c r="J81" s="82">
        <f t="shared" si="65"/>
        <v>2841.3335942386202</v>
      </c>
      <c r="K81" s="82">
        <f t="shared" si="65"/>
        <v>2272.3018284222048</v>
      </c>
      <c r="L81" s="82">
        <f t="shared" si="65"/>
        <v>1765.8278098876922</v>
      </c>
      <c r="M81" s="82">
        <f t="shared" si="65"/>
        <v>1581.3454966463896</v>
      </c>
      <c r="N81" s="82">
        <f t="shared" si="65"/>
        <v>1435.9855202092947</v>
      </c>
      <c r="O81" s="82">
        <f t="shared" si="65"/>
        <v>1436.7450878015629</v>
      </c>
      <c r="P81" s="82">
        <f t="shared" si="65"/>
        <v>1311.4538559823141</v>
      </c>
      <c r="Q81" s="82">
        <f t="shared" si="65"/>
        <v>1383.7824532074046</v>
      </c>
      <c r="R81" s="82">
        <f t="shared" si="65"/>
        <v>1291.8092374800001</v>
      </c>
      <c r="S81" s="82">
        <f t="shared" si="65"/>
        <v>1498.5978030000006</v>
      </c>
      <c r="T81" s="82">
        <f t="shared" si="65"/>
        <v>1377.5239666799987</v>
      </c>
      <c r="U81" s="82">
        <f t="shared" si="65"/>
        <v>1395.4205465041055</v>
      </c>
      <c r="V81" s="82">
        <f t="shared" si="65"/>
        <v>1342.6574775175739</v>
      </c>
      <c r="W81" s="82">
        <f t="shared" si="65"/>
        <v>1590.5030007600176</v>
      </c>
      <c r="X81" s="82">
        <f t="shared" ref="X81:Y81" si="66">X82+X87</f>
        <v>1278.7645181873434</v>
      </c>
      <c r="Y81" s="82">
        <f t="shared" si="66"/>
        <v>1128.9323605953077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2958.9846021202115</v>
      </c>
      <c r="C82" s="64">
        <f t="shared" ref="C82:W82" si="68">SUM(C83:C86)</f>
        <v>3964.3284480581283</v>
      </c>
      <c r="D82" s="64">
        <f t="shared" si="68"/>
        <v>3828.1061311640683</v>
      </c>
      <c r="E82" s="64">
        <f t="shared" si="68"/>
        <v>4490.2416591065348</v>
      </c>
      <c r="F82" s="64">
        <f t="shared" si="68"/>
        <v>4332.3450981125206</v>
      </c>
      <c r="G82" s="64">
        <f t="shared" si="68"/>
        <v>3602.8330299266681</v>
      </c>
      <c r="H82" s="64">
        <f t="shared" si="68"/>
        <v>3628.1954025034929</v>
      </c>
      <c r="I82" s="64">
        <f t="shared" si="68"/>
        <v>2650.5417977914776</v>
      </c>
      <c r="J82" s="64">
        <f t="shared" si="68"/>
        <v>2841.3335942386202</v>
      </c>
      <c r="K82" s="64">
        <f t="shared" si="68"/>
        <v>2272.3018284222048</v>
      </c>
      <c r="L82" s="64">
        <f t="shared" si="68"/>
        <v>1765.8278098876922</v>
      </c>
      <c r="M82" s="64">
        <f t="shared" si="68"/>
        <v>1581.3454966463896</v>
      </c>
      <c r="N82" s="64">
        <f t="shared" si="68"/>
        <v>1435.9855202092947</v>
      </c>
      <c r="O82" s="64">
        <f t="shared" si="68"/>
        <v>1436.7450878015629</v>
      </c>
      <c r="P82" s="64">
        <f t="shared" si="68"/>
        <v>1311.4538559823141</v>
      </c>
      <c r="Q82" s="64">
        <f t="shared" si="68"/>
        <v>1383.7824532074046</v>
      </c>
      <c r="R82" s="64">
        <f t="shared" si="68"/>
        <v>1291.8092374800001</v>
      </c>
      <c r="S82" s="64">
        <f t="shared" si="68"/>
        <v>1498.5978030000006</v>
      </c>
      <c r="T82" s="64">
        <f t="shared" si="68"/>
        <v>1377.5239666799987</v>
      </c>
      <c r="U82" s="64">
        <f t="shared" si="68"/>
        <v>1395.4205465041055</v>
      </c>
      <c r="V82" s="64">
        <f t="shared" si="68"/>
        <v>1342.6574775175739</v>
      </c>
      <c r="W82" s="64">
        <f t="shared" si="68"/>
        <v>1590.5030007600176</v>
      </c>
      <c r="X82" s="64">
        <f t="shared" ref="X82:Y82" si="69">SUM(X83:X86)</f>
        <v>1278.7645181873434</v>
      </c>
      <c r="Y82" s="64">
        <f t="shared" si="69"/>
        <v>1128.9323605953077</v>
      </c>
      <c r="DA82" s="108" t="s">
        <v>233</v>
      </c>
    </row>
    <row r="83" spans="1:105" ht="12" customHeight="1" x14ac:dyDescent="0.25">
      <c r="A83" s="61" t="s">
        <v>32</v>
      </c>
      <c r="B83" s="65">
        <v>2477.8261612112692</v>
      </c>
      <c r="C83" s="65">
        <v>3440.9366136944773</v>
      </c>
      <c r="D83" s="65">
        <v>3208.1376720367984</v>
      </c>
      <c r="E83" s="65">
        <v>3828.1469452042038</v>
      </c>
      <c r="F83" s="65">
        <v>3625.2032302116522</v>
      </c>
      <c r="G83" s="65">
        <v>2940.1147547166597</v>
      </c>
      <c r="H83" s="65">
        <v>2981.9080725150948</v>
      </c>
      <c r="I83" s="65">
        <v>2065.4170811836439</v>
      </c>
      <c r="J83" s="65">
        <v>2300.8516566439539</v>
      </c>
      <c r="K83" s="65">
        <v>1716.8991133212965</v>
      </c>
      <c r="L83" s="65">
        <v>1187.9942246366616</v>
      </c>
      <c r="M83" s="65">
        <v>1039.2558357106639</v>
      </c>
      <c r="N83" s="65">
        <v>1044.196472257411</v>
      </c>
      <c r="O83" s="65">
        <v>1045.2570813616317</v>
      </c>
      <c r="P83" s="65">
        <v>924.14443301698725</v>
      </c>
      <c r="Q83" s="65">
        <v>997.16878705061492</v>
      </c>
      <c r="R83" s="65">
        <v>907.91858436182883</v>
      </c>
      <c r="S83" s="65">
        <v>1102.1451528622711</v>
      </c>
      <c r="T83" s="65">
        <v>984.80752023282355</v>
      </c>
      <c r="U83" s="65">
        <v>998.01353244558595</v>
      </c>
      <c r="V83" s="65">
        <v>974.9400464438944</v>
      </c>
      <c r="W83" s="65">
        <v>1200.0053133478414</v>
      </c>
      <c r="X83" s="65">
        <v>880.18048464583558</v>
      </c>
      <c r="Y83" s="65">
        <v>707.06359914459244</v>
      </c>
      <c r="DA83" s="109" t="s">
        <v>234</v>
      </c>
    </row>
    <row r="84" spans="1:105" ht="12" customHeight="1" x14ac:dyDescent="0.25">
      <c r="A84" s="61" t="s">
        <v>31</v>
      </c>
      <c r="B84" s="65">
        <v>9.1592199936101029E-2</v>
      </c>
      <c r="C84" s="65">
        <v>9.8737193669760651E-2</v>
      </c>
      <c r="D84" s="65">
        <v>0.11865895179222749</v>
      </c>
      <c r="E84" s="65">
        <v>0.13643098188183198</v>
      </c>
      <c r="F84" s="65">
        <v>0.15646359647247934</v>
      </c>
      <c r="G84" s="65">
        <v>0.18295176303785432</v>
      </c>
      <c r="H84" s="65">
        <v>0.21439011040192282</v>
      </c>
      <c r="I84" s="65">
        <v>0.26629055421130038</v>
      </c>
      <c r="J84" s="65">
        <v>0.30159804998504186</v>
      </c>
      <c r="K84" s="65">
        <v>0.36177964884406999</v>
      </c>
      <c r="L84" s="65">
        <v>0.40885384886849391</v>
      </c>
      <c r="M84" s="65">
        <v>0.46689021870678249</v>
      </c>
      <c r="N84" s="65">
        <v>0.51141731829564419</v>
      </c>
      <c r="O84" s="65">
        <v>0.61024454346331636</v>
      </c>
      <c r="P84" s="65">
        <v>0.60039475523992036</v>
      </c>
      <c r="Q84" s="65">
        <v>0.82506148777543986</v>
      </c>
      <c r="R84" s="65">
        <v>0.73696546267913277</v>
      </c>
      <c r="S84" s="65">
        <v>0.8753845565530689</v>
      </c>
      <c r="T84" s="65">
        <v>0.91952361254854542</v>
      </c>
      <c r="U84" s="65">
        <v>1.049661857608063</v>
      </c>
      <c r="V84" s="65">
        <v>0.98128313192566785</v>
      </c>
      <c r="W84" s="65">
        <v>1.0522650699086018</v>
      </c>
      <c r="X84" s="65">
        <v>1.1195438104000053</v>
      </c>
      <c r="Y84" s="65">
        <v>1.2354859329598702</v>
      </c>
      <c r="DA84" s="109" t="s">
        <v>235</v>
      </c>
    </row>
    <row r="85" spans="1:105" ht="12" customHeight="1" x14ac:dyDescent="0.25">
      <c r="A85" s="61" t="s">
        <v>35</v>
      </c>
      <c r="B85" s="65">
        <v>316.08948394252212</v>
      </c>
      <c r="C85" s="65">
        <v>321.40900924139464</v>
      </c>
      <c r="D85" s="65">
        <v>321.16790351134199</v>
      </c>
      <c r="E85" s="65">
        <v>322.85927960343417</v>
      </c>
      <c r="F85" s="65">
        <v>320.29467624481487</v>
      </c>
      <c r="G85" s="65">
        <v>317.5998490268837</v>
      </c>
      <c r="H85" s="65">
        <v>301.43988213724685</v>
      </c>
      <c r="I85" s="65">
        <v>288.30800497180098</v>
      </c>
      <c r="J85" s="65">
        <v>265.80664969063639</v>
      </c>
      <c r="K85" s="65">
        <v>254.57222244756355</v>
      </c>
      <c r="L85" s="65">
        <v>217.36594315005311</v>
      </c>
      <c r="M85" s="65">
        <v>200.53305410690169</v>
      </c>
      <c r="N85" s="65">
        <v>159.33074648480402</v>
      </c>
      <c r="O85" s="65">
        <v>156.69614640842337</v>
      </c>
      <c r="P85" s="65">
        <v>151.01049682721111</v>
      </c>
      <c r="Q85" s="65">
        <v>147.45878328844111</v>
      </c>
      <c r="R85" s="65">
        <v>145.44386324937821</v>
      </c>
      <c r="S85" s="65">
        <v>144.19031804713103</v>
      </c>
      <c r="T85" s="65">
        <v>140.08003128151159</v>
      </c>
      <c r="U85" s="65">
        <v>134.97688359218037</v>
      </c>
      <c r="V85" s="65">
        <v>123.11337065984472</v>
      </c>
      <c r="W85" s="65">
        <v>131.8941575463366</v>
      </c>
      <c r="X85" s="65">
        <v>144.62616928565365</v>
      </c>
      <c r="Y85" s="65">
        <v>151.48121190008794</v>
      </c>
      <c r="DA85" s="109" t="s">
        <v>236</v>
      </c>
    </row>
    <row r="86" spans="1:105" ht="12" customHeight="1" x14ac:dyDescent="0.25">
      <c r="A86" s="66" t="s">
        <v>34</v>
      </c>
      <c r="B86" s="67">
        <v>164.97736476648359</v>
      </c>
      <c r="C86" s="67">
        <v>201.88408792858672</v>
      </c>
      <c r="D86" s="67">
        <v>298.68189666413525</v>
      </c>
      <c r="E86" s="67">
        <v>339.09900331701454</v>
      </c>
      <c r="F86" s="67">
        <v>386.6907280595812</v>
      </c>
      <c r="G86" s="67">
        <v>344.93547442008719</v>
      </c>
      <c r="H86" s="67">
        <v>344.63305774074911</v>
      </c>
      <c r="I86" s="67">
        <v>296.55042108182175</v>
      </c>
      <c r="J86" s="67">
        <v>274.37368985404532</v>
      </c>
      <c r="K86" s="67">
        <v>300.46871300450078</v>
      </c>
      <c r="L86" s="67">
        <v>360.05878825210903</v>
      </c>
      <c r="M86" s="67">
        <v>341.08971661011719</v>
      </c>
      <c r="N86" s="67">
        <v>231.94688414878425</v>
      </c>
      <c r="O86" s="67">
        <v>234.18161548804468</v>
      </c>
      <c r="P86" s="67">
        <v>235.69853138287601</v>
      </c>
      <c r="Q86" s="67">
        <v>238.32982138057321</v>
      </c>
      <c r="R86" s="67">
        <v>237.70982440611394</v>
      </c>
      <c r="S86" s="67">
        <v>251.38694753404513</v>
      </c>
      <c r="T86" s="67">
        <v>251.71689155311483</v>
      </c>
      <c r="U86" s="67">
        <v>261.38046860873112</v>
      </c>
      <c r="V86" s="67">
        <v>243.62277728190909</v>
      </c>
      <c r="W86" s="67">
        <v>257.55126479593099</v>
      </c>
      <c r="X86" s="67">
        <v>252.8383204454542</v>
      </c>
      <c r="Y86" s="67">
        <v>269.15206361766758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0.83739069119718423</v>
      </c>
      <c r="C91" s="71">
        <f t="shared" ref="C91:W91" si="77">IF(C83=0,0,C83/C$81)</f>
        <v>0.86797465416367625</v>
      </c>
      <c r="D91" s="71">
        <f t="shared" si="77"/>
        <v>0.83804825731444732</v>
      </c>
      <c r="E91" s="71">
        <f t="shared" si="77"/>
        <v>0.85254808890751899</v>
      </c>
      <c r="F91" s="71">
        <f t="shared" si="77"/>
        <v>0.83677619121132574</v>
      </c>
      <c r="G91" s="71">
        <f t="shared" si="77"/>
        <v>0.81605634518580583</v>
      </c>
      <c r="H91" s="71">
        <f t="shared" si="77"/>
        <v>0.82187085912118929</v>
      </c>
      <c r="I91" s="71">
        <f t="shared" si="77"/>
        <v>0.77924335428500702</v>
      </c>
      <c r="J91" s="71">
        <f t="shared" si="77"/>
        <v>0.80977878180492324</v>
      </c>
      <c r="K91" s="71">
        <f t="shared" si="77"/>
        <v>0.75557705048076396</v>
      </c>
      <c r="L91" s="71">
        <f t="shared" si="77"/>
        <v>0.67276900838492215</v>
      </c>
      <c r="M91" s="71">
        <f t="shared" si="77"/>
        <v>0.65719720194900311</v>
      </c>
      <c r="N91" s="71">
        <f t="shared" si="77"/>
        <v>0.72716365002428396</v>
      </c>
      <c r="O91" s="71">
        <f t="shared" si="77"/>
        <v>0.72751742131308272</v>
      </c>
      <c r="P91" s="71">
        <f t="shared" si="77"/>
        <v>0.70467171132359696</v>
      </c>
      <c r="Q91" s="71">
        <f t="shared" si="77"/>
        <v>0.72061094917002599</v>
      </c>
      <c r="R91" s="71">
        <f t="shared" si="77"/>
        <v>0.70282713423922649</v>
      </c>
      <c r="S91" s="71">
        <f t="shared" si="77"/>
        <v>0.73545093330306355</v>
      </c>
      <c r="T91" s="71">
        <f t="shared" si="77"/>
        <v>0.71491135112975945</v>
      </c>
      <c r="U91" s="71">
        <f t="shared" si="77"/>
        <v>0.71520627594732766</v>
      </c>
      <c r="V91" s="71">
        <f t="shared" si="77"/>
        <v>0.72612714915679866</v>
      </c>
      <c r="W91" s="71">
        <f t="shared" si="77"/>
        <v>0.75448164057183298</v>
      </c>
      <c r="X91" s="71">
        <f t="shared" ref="X91:Y91" si="78">IF(X83=0,0,X83/X$81)</f>
        <v>0.68830536985300228</v>
      </c>
      <c r="Y91" s="71">
        <f t="shared" si="78"/>
        <v>0.62631174711985771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3.095392921966277E-5</v>
      </c>
      <c r="C92" s="72">
        <f t="shared" ref="C92:W92" si="80">IF(C84=0,0,C84/C$81)</f>
        <v>2.4906411000865911E-5</v>
      </c>
      <c r="D92" s="72">
        <f t="shared" si="80"/>
        <v>3.0996776924819773E-5</v>
      </c>
      <c r="E92" s="72">
        <f t="shared" si="80"/>
        <v>3.0383884039991494E-5</v>
      </c>
      <c r="F92" s="72">
        <f t="shared" si="80"/>
        <v>3.611522003190514E-5</v>
      </c>
      <c r="G92" s="72">
        <f t="shared" si="80"/>
        <v>5.0779972737614798E-5</v>
      </c>
      <c r="H92" s="72">
        <f t="shared" si="80"/>
        <v>5.9090012145980726E-5</v>
      </c>
      <c r="I92" s="72">
        <f t="shared" si="80"/>
        <v>1.0046646102060447E-4</v>
      </c>
      <c r="J92" s="72">
        <f t="shared" si="80"/>
        <v>1.0614665261291143E-4</v>
      </c>
      <c r="K92" s="72">
        <f t="shared" si="80"/>
        <v>1.592128494194256E-4</v>
      </c>
      <c r="L92" s="72">
        <f t="shared" si="80"/>
        <v>2.3153664620023019E-4</v>
      </c>
      <c r="M92" s="72">
        <f t="shared" si="80"/>
        <v>2.9524871047910254E-4</v>
      </c>
      <c r="N92" s="72">
        <f t="shared" si="80"/>
        <v>3.5614378494645626E-4</v>
      </c>
      <c r="O92" s="72">
        <f t="shared" si="80"/>
        <v>4.2474099869524017E-4</v>
      </c>
      <c r="P92" s="72">
        <f t="shared" si="80"/>
        <v>4.5780852486815759E-4</v>
      </c>
      <c r="Q92" s="72">
        <f t="shared" si="80"/>
        <v>5.9623641408594857E-4</v>
      </c>
      <c r="R92" s="72">
        <f t="shared" si="80"/>
        <v>5.7049093728170721E-4</v>
      </c>
      <c r="S92" s="72">
        <f t="shared" si="80"/>
        <v>5.8413575330262812E-4</v>
      </c>
      <c r="T92" s="72">
        <f t="shared" si="80"/>
        <v>6.6751913926021186E-4</v>
      </c>
      <c r="U92" s="72">
        <f t="shared" si="80"/>
        <v>7.5221900683470754E-4</v>
      </c>
      <c r="V92" s="72">
        <f t="shared" si="80"/>
        <v>7.3085142589005838E-4</v>
      </c>
      <c r="W92" s="72">
        <f t="shared" si="80"/>
        <v>6.6159263415773481E-4</v>
      </c>
      <c r="X92" s="72">
        <f t="shared" ref="X92:Y92" si="81">IF(X84=0,0,X84/X$81)</f>
        <v>8.7548864116668301E-4</v>
      </c>
      <c r="Y92" s="72">
        <f t="shared" si="81"/>
        <v>1.0943843724245577E-3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0.10682363257856543</v>
      </c>
      <c r="C93" s="72">
        <f t="shared" ref="C93:W93" si="83">IF(C85=0,0,C85/C$81)</f>
        <v>8.1075272508974991E-2</v>
      </c>
      <c r="D93" s="72">
        <f t="shared" si="83"/>
        <v>8.3897335263711653E-2</v>
      </c>
      <c r="E93" s="72">
        <f t="shared" si="83"/>
        <v>7.1902428446952785E-2</v>
      </c>
      <c r="F93" s="72">
        <f t="shared" si="83"/>
        <v>7.3931016341324735E-2</v>
      </c>
      <c r="G93" s="72">
        <f t="shared" si="83"/>
        <v>8.8152808189767298E-2</v>
      </c>
      <c r="H93" s="72">
        <f t="shared" si="83"/>
        <v>8.3082593051424458E-2</v>
      </c>
      <c r="I93" s="72">
        <f t="shared" si="83"/>
        <v>0.10877323466923974</v>
      </c>
      <c r="J93" s="72">
        <f t="shared" si="83"/>
        <v>9.3549961971946288E-2</v>
      </c>
      <c r="K93" s="72">
        <f t="shared" si="83"/>
        <v>0.11203274990291597</v>
      </c>
      <c r="L93" s="72">
        <f t="shared" si="83"/>
        <v>0.12309577521257734</v>
      </c>
      <c r="M93" s="72">
        <f t="shared" si="83"/>
        <v>0.12681166420126316</v>
      </c>
      <c r="N93" s="72">
        <f t="shared" si="83"/>
        <v>0.11095567764609604</v>
      </c>
      <c r="O93" s="72">
        <f t="shared" si="83"/>
        <v>0.10906329016805072</v>
      </c>
      <c r="P93" s="72">
        <f t="shared" si="83"/>
        <v>0.1151473962567293</v>
      </c>
      <c r="Q93" s="72">
        <f t="shared" si="83"/>
        <v>0.10656211382551736</v>
      </c>
      <c r="R93" s="72">
        <f t="shared" si="83"/>
        <v>0.11258927326847668</v>
      </c>
      <c r="S93" s="72">
        <f t="shared" si="83"/>
        <v>9.6216821990850715E-2</v>
      </c>
      <c r="T93" s="72">
        <f t="shared" si="83"/>
        <v>0.10168972349651499</v>
      </c>
      <c r="U93" s="72">
        <f t="shared" si="83"/>
        <v>9.6728462204697274E-2</v>
      </c>
      <c r="V93" s="72">
        <f t="shared" si="83"/>
        <v>9.1693803312716662E-2</v>
      </c>
      <c r="W93" s="72">
        <f t="shared" si="83"/>
        <v>8.2926066460303025E-2</v>
      </c>
      <c r="X93" s="72">
        <f t="shared" ref="X93:Y93" si="84">IF(X85=0,0,X85/X$81)</f>
        <v>0.11309835957183277</v>
      </c>
      <c r="Y93" s="72">
        <f t="shared" si="84"/>
        <v>0.13418094580990572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5.5754722295030458E-2</v>
      </c>
      <c r="C94" s="73">
        <f t="shared" ref="C94:W94" si="86">IF(C86=0,0,C86/C$81)</f>
        <v>5.0925166916347929E-2</v>
      </c>
      <c r="D94" s="73">
        <f t="shared" si="86"/>
        <v>7.8023410644916122E-2</v>
      </c>
      <c r="E94" s="73">
        <f t="shared" si="86"/>
        <v>7.5519098761488088E-2</v>
      </c>
      <c r="F94" s="73">
        <f t="shared" si="86"/>
        <v>8.9256677227317685E-2</v>
      </c>
      <c r="G94" s="73">
        <f t="shared" si="86"/>
        <v>9.5740066651689382E-2</v>
      </c>
      <c r="H94" s="73">
        <f t="shared" si="86"/>
        <v>9.4987457815240234E-2</v>
      </c>
      <c r="I94" s="73">
        <f t="shared" si="86"/>
        <v>0.11188294458473273</v>
      </c>
      <c r="J94" s="73">
        <f t="shared" si="86"/>
        <v>9.6565109570517726E-2</v>
      </c>
      <c r="K94" s="73">
        <f t="shared" si="86"/>
        <v>0.13223098676690068</v>
      </c>
      <c r="L94" s="73">
        <f t="shared" si="86"/>
        <v>0.20390367975630025</v>
      </c>
      <c r="M94" s="73">
        <f t="shared" si="86"/>
        <v>0.21569588513925461</v>
      </c>
      <c r="N94" s="73">
        <f t="shared" si="86"/>
        <v>0.16152452854467364</v>
      </c>
      <c r="O94" s="73">
        <f t="shared" si="86"/>
        <v>0.1629945475201714</v>
      </c>
      <c r="P94" s="73">
        <f t="shared" si="86"/>
        <v>0.17972308389480582</v>
      </c>
      <c r="Q94" s="73">
        <f t="shared" si="86"/>
        <v>0.17223070059037074</v>
      </c>
      <c r="R94" s="73">
        <f t="shared" si="86"/>
        <v>0.18401310155501516</v>
      </c>
      <c r="S94" s="73">
        <f t="shared" si="86"/>
        <v>0.16774810895278286</v>
      </c>
      <c r="T94" s="73">
        <f t="shared" si="86"/>
        <v>0.18273140623446527</v>
      </c>
      <c r="U94" s="73">
        <f t="shared" si="86"/>
        <v>0.18731304284114045</v>
      </c>
      <c r="V94" s="73">
        <f t="shared" si="86"/>
        <v>0.18144819610459462</v>
      </c>
      <c r="W94" s="73">
        <f t="shared" si="86"/>
        <v>0.16193070033370627</v>
      </c>
      <c r="X94" s="73">
        <f t="shared" ref="X94:Y94" si="87">IF(X86=0,0,X86/X$81)</f>
        <v>0.19772078193399836</v>
      </c>
      <c r="Y94" s="73">
        <f t="shared" si="87"/>
        <v>0.23841292269781206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203717.71943514724</v>
      </c>
      <c r="C99" s="82">
        <f t="shared" ref="C99:W99" si="92">C47*11630*1000/C$8</f>
        <v>233326.74123683755</v>
      </c>
      <c r="D99" s="82">
        <f t="shared" si="92"/>
        <v>226050.99549476788</v>
      </c>
      <c r="E99" s="82">
        <f t="shared" si="92"/>
        <v>249546.10136983206</v>
      </c>
      <c r="F99" s="82">
        <f t="shared" si="92"/>
        <v>242189.63550592613</v>
      </c>
      <c r="G99" s="82">
        <f t="shared" si="92"/>
        <v>225874.43285511454</v>
      </c>
      <c r="H99" s="82">
        <f t="shared" si="92"/>
        <v>227781.03065429523</v>
      </c>
      <c r="I99" s="82">
        <f t="shared" si="92"/>
        <v>195119.9703930986</v>
      </c>
      <c r="J99" s="82">
        <f t="shared" si="92"/>
        <v>208337.35351050246</v>
      </c>
      <c r="K99" s="82">
        <f t="shared" si="92"/>
        <v>189119.66913048955</v>
      </c>
      <c r="L99" s="82">
        <f t="shared" si="92"/>
        <v>184359.10850922044</v>
      </c>
      <c r="M99" s="82">
        <f t="shared" si="92"/>
        <v>176081.67206989712</v>
      </c>
      <c r="N99" s="82">
        <f t="shared" si="92"/>
        <v>174693.07661935696</v>
      </c>
      <c r="O99" s="82">
        <f t="shared" si="92"/>
        <v>172953.70355477475</v>
      </c>
      <c r="P99" s="82">
        <f t="shared" si="92"/>
        <v>162145.30574713499</v>
      </c>
      <c r="Q99" s="82">
        <f t="shared" si="92"/>
        <v>165643.8100726408</v>
      </c>
      <c r="R99" s="82">
        <f t="shared" si="92"/>
        <v>159136.69379266945</v>
      </c>
      <c r="S99" s="82">
        <f t="shared" si="92"/>
        <v>169497.32646460948</v>
      </c>
      <c r="T99" s="82">
        <f t="shared" si="92"/>
        <v>162715.46032910037</v>
      </c>
      <c r="U99" s="82">
        <f t="shared" si="92"/>
        <v>162562.7083288368</v>
      </c>
      <c r="V99" s="82">
        <f t="shared" si="92"/>
        <v>150792.86407477595</v>
      </c>
      <c r="W99" s="82">
        <f t="shared" si="92"/>
        <v>160751.51740907985</v>
      </c>
      <c r="X99" s="82">
        <f t="shared" ref="X99:Y99" si="93">X47*11630*1000/X$8</f>
        <v>148837.80699924211</v>
      </c>
      <c r="Y99" s="82">
        <f t="shared" si="93"/>
        <v>138697.71484884241</v>
      </c>
      <c r="DA99" s="107"/>
    </row>
    <row r="100" spans="1:105" ht="12" customHeight="1" x14ac:dyDescent="0.25">
      <c r="A100" s="77" t="s">
        <v>36</v>
      </c>
      <c r="B100" s="64">
        <f t="shared" si="91"/>
        <v>163595.82643128125</v>
      </c>
      <c r="C100" s="64">
        <f t="shared" ref="C100:W100" si="94">C48*11630*1000/C$8</f>
        <v>192601.97092007659</v>
      </c>
      <c r="D100" s="64">
        <f t="shared" si="94"/>
        <v>184868.74818251914</v>
      </c>
      <c r="E100" s="64">
        <f t="shared" si="94"/>
        <v>207804.72379351032</v>
      </c>
      <c r="F100" s="64">
        <f t="shared" si="94"/>
        <v>199989.58049686314</v>
      </c>
      <c r="G100" s="64">
        <f t="shared" si="94"/>
        <v>183324.5084111715</v>
      </c>
      <c r="H100" s="64">
        <f t="shared" si="94"/>
        <v>185008.17254462116</v>
      </c>
      <c r="I100" s="64">
        <f t="shared" si="94"/>
        <v>152154.35366097241</v>
      </c>
      <c r="J100" s="64">
        <f t="shared" si="94"/>
        <v>164933.53122202109</v>
      </c>
      <c r="K100" s="64">
        <f t="shared" si="94"/>
        <v>144767.60457970924</v>
      </c>
      <c r="L100" s="64">
        <f t="shared" si="94"/>
        <v>139848.30663781514</v>
      </c>
      <c r="M100" s="64">
        <f t="shared" si="94"/>
        <v>131356.34926457101</v>
      </c>
      <c r="N100" s="64">
        <f t="shared" si="94"/>
        <v>129764.88034502615</v>
      </c>
      <c r="O100" s="64">
        <f t="shared" si="94"/>
        <v>127773.72207021683</v>
      </c>
      <c r="P100" s="64">
        <f t="shared" si="94"/>
        <v>116498.20269085115</v>
      </c>
      <c r="Q100" s="64">
        <f t="shared" si="94"/>
        <v>119205.09650366433</v>
      </c>
      <c r="R100" s="64">
        <f t="shared" si="94"/>
        <v>113480.60731298495</v>
      </c>
      <c r="S100" s="64">
        <f t="shared" si="94"/>
        <v>123692.1629831273</v>
      </c>
      <c r="T100" s="64">
        <f t="shared" si="94"/>
        <v>117452.73004720447</v>
      </c>
      <c r="U100" s="64">
        <f t="shared" si="94"/>
        <v>117906.13255118801</v>
      </c>
      <c r="V100" s="64">
        <f t="shared" si="94"/>
        <v>108711.97591444949</v>
      </c>
      <c r="W100" s="64">
        <f t="shared" si="94"/>
        <v>119173.67457507583</v>
      </c>
      <c r="X100" s="64">
        <f t="shared" ref="X100:Y100" si="95">X48*11630*1000/X$8</f>
        <v>107391.95923921985</v>
      </c>
      <c r="Y100" s="64">
        <f t="shared" si="95"/>
        <v>97714.877486579469</v>
      </c>
      <c r="DA100" s="108"/>
    </row>
    <row r="101" spans="1:105" ht="12" customHeight="1" x14ac:dyDescent="0.25">
      <c r="A101" s="61" t="s">
        <v>32</v>
      </c>
      <c r="B101" s="65">
        <f t="shared" si="91"/>
        <v>127105.53010750659</v>
      </c>
      <c r="C101" s="65">
        <f t="shared" ref="C101:W101" si="96">C49*11630*1000/C$8</f>
        <v>155330.15148142623</v>
      </c>
      <c r="D101" s="65">
        <f t="shared" si="96"/>
        <v>146438.40032133015</v>
      </c>
      <c r="E101" s="65">
        <f t="shared" si="96"/>
        <v>168418.61519153565</v>
      </c>
      <c r="F101" s="65">
        <f t="shared" si="96"/>
        <v>160591.3176129295</v>
      </c>
      <c r="G101" s="65">
        <f t="shared" si="96"/>
        <v>143967.2241014282</v>
      </c>
      <c r="H101" s="65">
        <f t="shared" si="96"/>
        <v>146007.71727881461</v>
      </c>
      <c r="I101" s="65">
        <f t="shared" si="96"/>
        <v>113827.27103812354</v>
      </c>
      <c r="J101" s="65">
        <f t="shared" si="96"/>
        <v>127353.12793960163</v>
      </c>
      <c r="K101" s="65">
        <f t="shared" si="96"/>
        <v>105498.25991007258</v>
      </c>
      <c r="L101" s="65">
        <f t="shared" si="96"/>
        <v>101211.69625140203</v>
      </c>
      <c r="M101" s="65">
        <f t="shared" si="96"/>
        <v>92938.680956058874</v>
      </c>
      <c r="N101" s="65">
        <f t="shared" si="96"/>
        <v>92330.905612917544</v>
      </c>
      <c r="O101" s="65">
        <f t="shared" si="96"/>
        <v>90218.365151217586</v>
      </c>
      <c r="P101" s="65">
        <f t="shared" si="96"/>
        <v>78766.072032616765</v>
      </c>
      <c r="Q101" s="65">
        <f t="shared" si="96"/>
        <v>81503.618668899522</v>
      </c>
      <c r="R101" s="65">
        <f t="shared" si="96"/>
        <v>76160.40391073194</v>
      </c>
      <c r="S101" s="65">
        <f t="shared" si="96"/>
        <v>86710.621068978886</v>
      </c>
      <c r="T101" s="65">
        <f t="shared" si="96"/>
        <v>81166.6172075176</v>
      </c>
      <c r="U101" s="65">
        <f t="shared" si="96"/>
        <v>82192.385145825378</v>
      </c>
      <c r="V101" s="65">
        <f t="shared" si="96"/>
        <v>74838.946573233232</v>
      </c>
      <c r="W101" s="65">
        <f t="shared" si="96"/>
        <v>85074.601250367705</v>
      </c>
      <c r="X101" s="65">
        <f t="shared" ref="X101:Y101" si="97">X49*11630*1000/X$8</f>
        <v>73252.792542753014</v>
      </c>
      <c r="Y101" s="65">
        <f t="shared" si="97"/>
        <v>63282.662350848273</v>
      </c>
      <c r="DA101" s="109"/>
    </row>
    <row r="102" spans="1:105" ht="12" customHeight="1" x14ac:dyDescent="0.25">
      <c r="A102" s="61" t="s">
        <v>31</v>
      </c>
      <c r="B102" s="65">
        <f t="shared" si="91"/>
        <v>1506.0316019880279</v>
      </c>
      <c r="C102" s="65">
        <f t="shared" ref="C102:W102" si="98">C50*11630*1000/C$8</f>
        <v>1496.2675326763542</v>
      </c>
      <c r="D102" s="65">
        <f t="shared" si="98"/>
        <v>1519.3077597186259</v>
      </c>
      <c r="E102" s="65">
        <f t="shared" si="98"/>
        <v>1673.5547881102636</v>
      </c>
      <c r="F102" s="65">
        <f t="shared" si="98"/>
        <v>1468.6354687167541</v>
      </c>
      <c r="G102" s="65">
        <f t="shared" si="98"/>
        <v>1476.5119931940314</v>
      </c>
      <c r="H102" s="65">
        <f t="shared" si="98"/>
        <v>1521.1897887409118</v>
      </c>
      <c r="I102" s="65">
        <f t="shared" si="98"/>
        <v>1504.0914756090028</v>
      </c>
      <c r="J102" s="65">
        <f t="shared" si="98"/>
        <v>1418.4816547799815</v>
      </c>
      <c r="K102" s="65">
        <f t="shared" si="98"/>
        <v>1480.5137325622954</v>
      </c>
      <c r="L102" s="65">
        <f t="shared" si="98"/>
        <v>1550.9302872370552</v>
      </c>
      <c r="M102" s="65">
        <f t="shared" si="98"/>
        <v>1501.4673588932276</v>
      </c>
      <c r="N102" s="65">
        <f t="shared" si="98"/>
        <v>1544.7692471656449</v>
      </c>
      <c r="O102" s="65">
        <f t="shared" si="98"/>
        <v>1621.1680632678451</v>
      </c>
      <c r="P102" s="65">
        <f t="shared" si="98"/>
        <v>1393.6891923482758</v>
      </c>
      <c r="Q102" s="65">
        <f t="shared" si="98"/>
        <v>1596.4481180062162</v>
      </c>
      <c r="R102" s="65">
        <f t="shared" si="98"/>
        <v>1359.967980906408</v>
      </c>
      <c r="S102" s="65">
        <f t="shared" si="98"/>
        <v>1414.1570128723706</v>
      </c>
      <c r="T102" s="65">
        <f t="shared" si="98"/>
        <v>1366.2812201747565</v>
      </c>
      <c r="U102" s="65">
        <f t="shared" si="98"/>
        <v>1388.2536271151043</v>
      </c>
      <c r="V102" s="65">
        <f t="shared" si="98"/>
        <v>1253.937948642558</v>
      </c>
      <c r="W102" s="65">
        <f t="shared" si="98"/>
        <v>1278.341377985244</v>
      </c>
      <c r="X102" s="65">
        <f t="shared" ref="X102:Y102" si="99">X50*11630*1000/X$8</f>
        <v>1298.1389160656008</v>
      </c>
      <c r="Y102" s="65">
        <f t="shared" si="99"/>
        <v>1376.0999697759421</v>
      </c>
      <c r="DA102" s="109"/>
    </row>
    <row r="103" spans="1:105" ht="12" customHeight="1" x14ac:dyDescent="0.25">
      <c r="A103" s="61" t="s">
        <v>35</v>
      </c>
      <c r="B103" s="65">
        <f t="shared" si="91"/>
        <v>19621.186734080115</v>
      </c>
      <c r="C103" s="65">
        <f t="shared" ref="C103:W103" si="100">C51*11630*1000/C$8</f>
        <v>19774.316788423712</v>
      </c>
      <c r="D103" s="65">
        <f t="shared" si="100"/>
        <v>19666.135934274589</v>
      </c>
      <c r="E103" s="65">
        <f t="shared" si="100"/>
        <v>19702.22319828907</v>
      </c>
      <c r="F103" s="65">
        <f t="shared" si="100"/>
        <v>19561.978814574719</v>
      </c>
      <c r="G103" s="65">
        <f t="shared" si="100"/>
        <v>19919.678230355879</v>
      </c>
      <c r="H103" s="65">
        <f t="shared" si="100"/>
        <v>19755.215031486536</v>
      </c>
      <c r="I103" s="65">
        <f t="shared" si="100"/>
        <v>19672.12748477736</v>
      </c>
      <c r="J103" s="65">
        <f t="shared" si="100"/>
        <v>19261.885082828179</v>
      </c>
      <c r="K103" s="65">
        <f t="shared" si="100"/>
        <v>20197.109076945915</v>
      </c>
      <c r="L103" s="65">
        <f t="shared" si="100"/>
        <v>19163.064085648366</v>
      </c>
      <c r="M103" s="65">
        <f t="shared" si="100"/>
        <v>19120.08348943248</v>
      </c>
      <c r="N103" s="65">
        <f t="shared" si="100"/>
        <v>18626.164401397953</v>
      </c>
      <c r="O103" s="65">
        <f t="shared" si="100"/>
        <v>18736.6249323306</v>
      </c>
      <c r="P103" s="65">
        <f t="shared" si="100"/>
        <v>19048.395697443106</v>
      </c>
      <c r="Q103" s="65">
        <f t="shared" si="100"/>
        <v>18847.320448465682</v>
      </c>
      <c r="R103" s="65">
        <f t="shared" si="100"/>
        <v>18730.414863708491</v>
      </c>
      <c r="S103" s="65">
        <f t="shared" si="100"/>
        <v>18428.521270472047</v>
      </c>
      <c r="T103" s="65">
        <f t="shared" si="100"/>
        <v>17955.649325754966</v>
      </c>
      <c r="U103" s="65">
        <f t="shared" si="100"/>
        <v>17439.644980748064</v>
      </c>
      <c r="V103" s="65">
        <f t="shared" si="100"/>
        <v>16607.553079769499</v>
      </c>
      <c r="W103" s="65">
        <f t="shared" si="100"/>
        <v>16229.275239952583</v>
      </c>
      <c r="X103" s="65">
        <f t="shared" ref="X103:Y103" si="101">X51*11630*1000/X$8</f>
        <v>16458.088685188657</v>
      </c>
      <c r="Y103" s="65">
        <f t="shared" si="101"/>
        <v>16589.335352755767</v>
      </c>
      <c r="DA103" s="109"/>
    </row>
    <row r="104" spans="1:105" ht="12" customHeight="1" x14ac:dyDescent="0.25">
      <c r="A104" s="66" t="s">
        <v>34</v>
      </c>
      <c r="B104" s="67">
        <f t="shared" si="91"/>
        <v>15363.077987706542</v>
      </c>
      <c r="C104" s="67">
        <f t="shared" ref="C104:W104" si="102">C52*11630*1000/C$8</f>
        <v>16001.235117550264</v>
      </c>
      <c r="D104" s="67">
        <f t="shared" si="102"/>
        <v>17244.904167195768</v>
      </c>
      <c r="E104" s="67">
        <f t="shared" si="102"/>
        <v>18010.330615575316</v>
      </c>
      <c r="F104" s="67">
        <f t="shared" si="102"/>
        <v>18367.64860064218</v>
      </c>
      <c r="G104" s="67">
        <f t="shared" si="102"/>
        <v>17961.094086193392</v>
      </c>
      <c r="H104" s="67">
        <f t="shared" si="102"/>
        <v>17724.05044557912</v>
      </c>
      <c r="I104" s="67">
        <f t="shared" si="102"/>
        <v>17150.863662462511</v>
      </c>
      <c r="J104" s="67">
        <f t="shared" si="102"/>
        <v>16900.036544811308</v>
      </c>
      <c r="K104" s="67">
        <f t="shared" si="102"/>
        <v>17591.721860128459</v>
      </c>
      <c r="L104" s="67">
        <f t="shared" si="102"/>
        <v>17922.616013527702</v>
      </c>
      <c r="M104" s="67">
        <f t="shared" si="102"/>
        <v>17796.117460186444</v>
      </c>
      <c r="N104" s="67">
        <f t="shared" si="102"/>
        <v>17263.041083545028</v>
      </c>
      <c r="O104" s="67">
        <f t="shared" si="102"/>
        <v>17197.563923400794</v>
      </c>
      <c r="P104" s="67">
        <f t="shared" si="102"/>
        <v>17290.045768443026</v>
      </c>
      <c r="Q104" s="67">
        <f t="shared" si="102"/>
        <v>17257.709268292925</v>
      </c>
      <c r="R104" s="67">
        <f t="shared" si="102"/>
        <v>17229.820557638122</v>
      </c>
      <c r="S104" s="67">
        <f t="shared" si="102"/>
        <v>17138.863630804008</v>
      </c>
      <c r="T104" s="67">
        <f t="shared" si="102"/>
        <v>16964.182293757134</v>
      </c>
      <c r="U104" s="67">
        <f t="shared" si="102"/>
        <v>16885.848797499471</v>
      </c>
      <c r="V104" s="67">
        <f t="shared" si="102"/>
        <v>16011.538312804214</v>
      </c>
      <c r="W104" s="67">
        <f t="shared" si="102"/>
        <v>16591.456706770299</v>
      </c>
      <c r="X104" s="67">
        <f t="shared" ref="X104:Y104" si="103">X52*11630*1000/X$8</f>
        <v>16382.939095212585</v>
      </c>
      <c r="Y104" s="67">
        <f t="shared" si="103"/>
        <v>16466.779813199497</v>
      </c>
      <c r="DA104" s="110"/>
    </row>
    <row r="105" spans="1:105" ht="12" customHeight="1" x14ac:dyDescent="0.25">
      <c r="A105" s="78" t="s">
        <v>33</v>
      </c>
      <c r="B105" s="68">
        <f t="shared" si="91"/>
        <v>40121.893003866004</v>
      </c>
      <c r="C105" s="68">
        <f t="shared" ref="C105:W105" si="104">C53*11630*1000/C$8</f>
        <v>40724.770316760958</v>
      </c>
      <c r="D105" s="68">
        <f t="shared" si="104"/>
        <v>41182.24731224875</v>
      </c>
      <c r="E105" s="68">
        <f t="shared" si="104"/>
        <v>41741.377576321742</v>
      </c>
      <c r="F105" s="68">
        <f t="shared" si="104"/>
        <v>42200.055009062969</v>
      </c>
      <c r="G105" s="68">
        <f t="shared" si="104"/>
        <v>42549.924443943084</v>
      </c>
      <c r="H105" s="68">
        <f t="shared" si="104"/>
        <v>42772.858109674082</v>
      </c>
      <c r="I105" s="68">
        <f t="shared" si="104"/>
        <v>42965.616732126182</v>
      </c>
      <c r="J105" s="68">
        <f t="shared" si="104"/>
        <v>43403.822288481424</v>
      </c>
      <c r="K105" s="68">
        <f t="shared" si="104"/>
        <v>44352.064550780262</v>
      </c>
      <c r="L105" s="68">
        <f t="shared" si="104"/>
        <v>44510.801871405267</v>
      </c>
      <c r="M105" s="68">
        <f t="shared" si="104"/>
        <v>44725.322805326075</v>
      </c>
      <c r="N105" s="68">
        <f t="shared" si="104"/>
        <v>44928.196274330789</v>
      </c>
      <c r="O105" s="68">
        <f t="shared" si="104"/>
        <v>45179.981484557939</v>
      </c>
      <c r="P105" s="68">
        <f t="shared" si="104"/>
        <v>45647.103056283842</v>
      </c>
      <c r="Q105" s="68">
        <f t="shared" si="104"/>
        <v>46438.713568976484</v>
      </c>
      <c r="R105" s="68">
        <f t="shared" si="104"/>
        <v>45656.086479684462</v>
      </c>
      <c r="S105" s="68">
        <f t="shared" si="104"/>
        <v>45805.163481482159</v>
      </c>
      <c r="T105" s="68">
        <f t="shared" si="104"/>
        <v>45262.730281895907</v>
      </c>
      <c r="U105" s="68">
        <f t="shared" si="104"/>
        <v>44656.575777648788</v>
      </c>
      <c r="V105" s="68">
        <f t="shared" si="104"/>
        <v>42080.888160326453</v>
      </c>
      <c r="W105" s="68">
        <f t="shared" si="104"/>
        <v>41577.842834004026</v>
      </c>
      <c r="X105" s="68">
        <f t="shared" ref="X105:Y105" si="105">X53*11630*1000/X$8</f>
        <v>41445.847760022261</v>
      </c>
      <c r="Y105" s="68">
        <f t="shared" si="105"/>
        <v>40982.837362262944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107624.27102875465</v>
      </c>
      <c r="C107" s="85">
        <f t="shared" ref="C107:W107" si="107">SUM(C108:C111)</f>
        <v>123956.10581777304</v>
      </c>
      <c r="D107" s="85">
        <f t="shared" si="107"/>
        <v>120798.99985515162</v>
      </c>
      <c r="E107" s="85">
        <f t="shared" si="107"/>
        <v>135879.18099835224</v>
      </c>
      <c r="F107" s="85">
        <f t="shared" si="107"/>
        <v>132142.68090034096</v>
      </c>
      <c r="G107" s="85">
        <f t="shared" si="107"/>
        <v>127633.70368779972</v>
      </c>
      <c r="H107" s="85">
        <f t="shared" si="107"/>
        <v>130613.77981136132</v>
      </c>
      <c r="I107" s="85">
        <f t="shared" si="107"/>
        <v>111868.80364063694</v>
      </c>
      <c r="J107" s="85">
        <f t="shared" si="107"/>
        <v>123285.87681237045</v>
      </c>
      <c r="K107" s="85">
        <f t="shared" si="107"/>
        <v>111126.94251000679</v>
      </c>
      <c r="L107" s="85">
        <f t="shared" si="107"/>
        <v>112326.404407344</v>
      </c>
      <c r="M107" s="85">
        <f t="shared" si="107"/>
        <v>108802.28952641616</v>
      </c>
      <c r="N107" s="85">
        <f t="shared" si="107"/>
        <v>110618.04778742528</v>
      </c>
      <c r="O107" s="85">
        <f t="shared" si="107"/>
        <v>111061.38516718632</v>
      </c>
      <c r="P107" s="85">
        <f t="shared" si="107"/>
        <v>103387.40508143777</v>
      </c>
      <c r="Q107" s="85">
        <f t="shared" si="107"/>
        <v>105546.46258831574</v>
      </c>
      <c r="R107" s="85">
        <f t="shared" si="107"/>
        <v>102857.06849354303</v>
      </c>
      <c r="S107" s="85">
        <f t="shared" si="107"/>
        <v>112805.40084843509</v>
      </c>
      <c r="T107" s="85">
        <f t="shared" si="107"/>
        <v>109194.25132815723</v>
      </c>
      <c r="U107" s="85">
        <f t="shared" si="107"/>
        <v>112380.86131856342</v>
      </c>
      <c r="V107" s="85">
        <f t="shared" si="107"/>
        <v>101459.18161929442</v>
      </c>
      <c r="W107" s="85">
        <f t="shared" si="107"/>
        <v>110377.21982379115</v>
      </c>
      <c r="X107" s="85">
        <f t="shared" ref="X107:Y107" si="108">SUM(X108:X111)</f>
        <v>105876.03194132025</v>
      </c>
      <c r="Y107" s="85">
        <f t="shared" si="108"/>
        <v>102940.0668493323</v>
      </c>
      <c r="DA107" s="117"/>
    </row>
    <row r="108" spans="1:105" ht="12" customHeight="1" x14ac:dyDescent="0.25">
      <c r="A108" s="61" t="s">
        <v>32</v>
      </c>
      <c r="B108" s="65">
        <v>80046.746840508829</v>
      </c>
      <c r="C108" s="65">
        <v>95819.658820615659</v>
      </c>
      <c r="D108" s="65">
        <v>92047.125920326071</v>
      </c>
      <c r="E108" s="65">
        <v>106123.99423006002</v>
      </c>
      <c r="F108" s="65">
        <v>102639.00931065944</v>
      </c>
      <c r="G108" s="65">
        <v>97660.964084206091</v>
      </c>
      <c r="H108" s="65">
        <v>100549.07441382813</v>
      </c>
      <c r="I108" s="65">
        <v>81579.058843130682</v>
      </c>
      <c r="J108" s="65">
        <v>92979.303068792564</v>
      </c>
      <c r="K108" s="65">
        <v>79550.047139489427</v>
      </c>
      <c r="L108" s="65">
        <v>80440.381996691707</v>
      </c>
      <c r="M108" s="65">
        <v>76638.037501992701</v>
      </c>
      <c r="N108" s="65">
        <v>78031.376519385172</v>
      </c>
      <c r="O108" s="65">
        <v>77969.072068236812</v>
      </c>
      <c r="P108" s="65">
        <v>70323.268462809123</v>
      </c>
      <c r="Q108" s="65">
        <v>71726.947522030561</v>
      </c>
      <c r="R108" s="65">
        <v>69607.132184997143</v>
      </c>
      <c r="S108" s="65">
        <v>79284.175829827596</v>
      </c>
      <c r="T108" s="65">
        <v>75896.925042266404</v>
      </c>
      <c r="U108" s="65">
        <v>79214.499503649276</v>
      </c>
      <c r="V108" s="65">
        <v>69745.050215294585</v>
      </c>
      <c r="W108" s="65">
        <v>78203.685665816709</v>
      </c>
      <c r="X108" s="65">
        <v>73268.165192272034</v>
      </c>
      <c r="Y108" s="65">
        <v>69695.614439067824</v>
      </c>
      <c r="DA108" s="109"/>
    </row>
    <row r="109" spans="1:105" ht="12" customHeight="1" x14ac:dyDescent="0.25">
      <c r="A109" s="61" t="s">
        <v>31</v>
      </c>
      <c r="B109" s="65">
        <v>2808.0854413232591</v>
      </c>
      <c r="C109" s="65">
        <v>2892.1823755620308</v>
      </c>
      <c r="D109" s="65">
        <v>3059.4860073474929</v>
      </c>
      <c r="E109" s="65">
        <v>3497.7621244861712</v>
      </c>
      <c r="F109" s="65">
        <v>3201.1543044130858</v>
      </c>
      <c r="G109" s="65">
        <v>3369.7629992645975</v>
      </c>
      <c r="H109" s="65">
        <v>3638.6491969147296</v>
      </c>
      <c r="I109" s="65">
        <v>3795.1030348917288</v>
      </c>
      <c r="J109" s="65">
        <v>3787.2289825595167</v>
      </c>
      <c r="K109" s="65">
        <v>4014.8475373277738</v>
      </c>
      <c r="L109" s="65">
        <v>4316.691298349725</v>
      </c>
      <c r="M109" s="65">
        <v>4323.5316098936555</v>
      </c>
      <c r="N109" s="65">
        <v>4623.0787939775128</v>
      </c>
      <c r="O109" s="65">
        <v>5052.9125154036155</v>
      </c>
      <c r="P109" s="65">
        <v>4537.842388506815</v>
      </c>
      <c r="Q109" s="65">
        <v>5450.6732189330487</v>
      </c>
      <c r="R109" s="65">
        <v>4871.1908779952519</v>
      </c>
      <c r="S109" s="65">
        <v>5272.6617707371215</v>
      </c>
      <c r="T109" s="65">
        <v>5267.8072465655741</v>
      </c>
      <c r="U109" s="65">
        <v>5487.9265735632998</v>
      </c>
      <c r="V109" s="65">
        <v>5080.4927001755741</v>
      </c>
      <c r="W109" s="65">
        <v>5286.0645984850316</v>
      </c>
      <c r="X109" s="65">
        <v>5450.9399858290326</v>
      </c>
      <c r="Y109" s="65">
        <v>5847.6693336962908</v>
      </c>
      <c r="DA109" s="109"/>
    </row>
    <row r="110" spans="1:105" ht="12" customHeight="1" x14ac:dyDescent="0.25">
      <c r="A110" s="61" t="s">
        <v>35</v>
      </c>
      <c r="B110" s="65">
        <v>13732.895561159894</v>
      </c>
      <c r="C110" s="65">
        <v>13895.930626527885</v>
      </c>
      <c r="D110" s="65">
        <v>13883.61968776846</v>
      </c>
      <c r="E110" s="65">
        <v>14043.477586642604</v>
      </c>
      <c r="F110" s="65">
        <v>14023.340394278866</v>
      </c>
      <c r="G110" s="65">
        <v>14334.912265062409</v>
      </c>
      <c r="H110" s="65">
        <v>14288.363203954137</v>
      </c>
      <c r="I110" s="65">
        <v>14499.267287695458</v>
      </c>
      <c r="J110" s="65">
        <v>14570.627171184065</v>
      </c>
      <c r="K110" s="65">
        <v>15204.614676251964</v>
      </c>
      <c r="L110" s="65">
        <v>15228.368048085404</v>
      </c>
      <c r="M110" s="65">
        <v>15474.996834887093</v>
      </c>
      <c r="N110" s="65">
        <v>15428.297019719452</v>
      </c>
      <c r="O110" s="65">
        <v>15539.553019163073</v>
      </c>
      <c r="P110" s="65">
        <v>15936.355930940339</v>
      </c>
      <c r="Q110" s="65">
        <v>15787.893479365684</v>
      </c>
      <c r="R110" s="65">
        <v>15755.987900584203</v>
      </c>
      <c r="S110" s="65">
        <v>15696.719551985769</v>
      </c>
      <c r="T110" s="65">
        <v>15534.7455189558</v>
      </c>
      <c r="U110" s="65">
        <v>15211.86398681167</v>
      </c>
      <c r="V110" s="65">
        <v>14701.318491408914</v>
      </c>
      <c r="W110" s="65">
        <v>14451.814081423392</v>
      </c>
      <c r="X110" s="65">
        <v>14761.095648875216</v>
      </c>
      <c r="Y110" s="65">
        <v>14928.519027648375</v>
      </c>
      <c r="DA110" s="109"/>
    </row>
    <row r="111" spans="1:105" ht="12" customHeight="1" x14ac:dyDescent="0.25">
      <c r="A111" s="74" t="s">
        <v>34</v>
      </c>
      <c r="B111" s="68">
        <v>11036.543185762675</v>
      </c>
      <c r="C111" s="68">
        <v>11348.333995067473</v>
      </c>
      <c r="D111" s="68">
        <v>11808.76823970959</v>
      </c>
      <c r="E111" s="68">
        <v>12213.947057163452</v>
      </c>
      <c r="F111" s="68">
        <v>12279.176890989556</v>
      </c>
      <c r="G111" s="68">
        <v>12268.064339266626</v>
      </c>
      <c r="H111" s="68">
        <v>12137.692996664326</v>
      </c>
      <c r="I111" s="68">
        <v>11995.374474919068</v>
      </c>
      <c r="J111" s="68">
        <v>11948.717589834299</v>
      </c>
      <c r="K111" s="68">
        <v>12357.433156937621</v>
      </c>
      <c r="L111" s="68">
        <v>12340.963064217154</v>
      </c>
      <c r="M111" s="68">
        <v>12365.723579642707</v>
      </c>
      <c r="N111" s="68">
        <v>12535.295454343141</v>
      </c>
      <c r="O111" s="68">
        <v>12499.847564382835</v>
      </c>
      <c r="P111" s="68">
        <v>12589.938299181496</v>
      </c>
      <c r="Q111" s="68">
        <v>12580.948367986452</v>
      </c>
      <c r="R111" s="68">
        <v>12622.75752996643</v>
      </c>
      <c r="S111" s="68">
        <v>12551.843695884618</v>
      </c>
      <c r="T111" s="68">
        <v>12494.773520369461</v>
      </c>
      <c r="U111" s="68">
        <v>12466.571254539171</v>
      </c>
      <c r="V111" s="68">
        <v>11932.320212415358</v>
      </c>
      <c r="W111" s="68">
        <v>12435.655478066017</v>
      </c>
      <c r="X111" s="68">
        <v>12395.831114343971</v>
      </c>
      <c r="Y111" s="68">
        <v>12468.264048919813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19839.342001107732</v>
      </c>
      <c r="C113" s="82">
        <f t="shared" ref="C113:W113" si="110">C81*1000000/C$8</f>
        <v>26382.921307278608</v>
      </c>
      <c r="D113" s="82">
        <f t="shared" si="110"/>
        <v>25200.211132045904</v>
      </c>
      <c r="E113" s="82">
        <f t="shared" si="110"/>
        <v>29329.967261293972</v>
      </c>
      <c r="F113" s="82">
        <f t="shared" si="110"/>
        <v>27846.443308758688</v>
      </c>
      <c r="G113" s="82">
        <f t="shared" si="110"/>
        <v>22764.774038260584</v>
      </c>
      <c r="H113" s="82">
        <f t="shared" si="110"/>
        <v>22407.259216768067</v>
      </c>
      <c r="I113" s="82">
        <f t="shared" si="110"/>
        <v>16010.439986505869</v>
      </c>
      <c r="J113" s="82">
        <f t="shared" si="110"/>
        <v>16962.798046418855</v>
      </c>
      <c r="K113" s="82">
        <f t="shared" si="110"/>
        <v>13818.376231084621</v>
      </c>
      <c r="L113" s="82">
        <f t="shared" si="110"/>
        <v>10608.548364851997</v>
      </c>
      <c r="M113" s="82">
        <f t="shared" si="110"/>
        <v>9416.810832493662</v>
      </c>
      <c r="N113" s="82">
        <f t="shared" si="110"/>
        <v>8522.0610661742467</v>
      </c>
      <c r="O113" s="82">
        <f t="shared" si="110"/>
        <v>8490.4448350836192</v>
      </c>
      <c r="P113" s="82">
        <f t="shared" si="110"/>
        <v>7705.0807332609038</v>
      </c>
      <c r="Q113" s="82">
        <f t="shared" si="110"/>
        <v>8067.2373412423667</v>
      </c>
      <c r="R113" s="82">
        <f t="shared" si="110"/>
        <v>7427.0157312381989</v>
      </c>
      <c r="S113" s="82">
        <f t="shared" si="110"/>
        <v>8490.1336794455456</v>
      </c>
      <c r="T113" s="82">
        <f t="shared" si="110"/>
        <v>7693.0655483376959</v>
      </c>
      <c r="U113" s="82">
        <f t="shared" si="110"/>
        <v>7696.7252607249529</v>
      </c>
      <c r="V113" s="82">
        <f t="shared" si="110"/>
        <v>7318.7993470247575</v>
      </c>
      <c r="W113" s="82">
        <f t="shared" si="110"/>
        <v>8573.6899496142814</v>
      </c>
      <c r="X113" s="82">
        <f t="shared" ref="X113:Y113" si="111">X81*1000000/X$8</f>
        <v>6819.1518090214022</v>
      </c>
      <c r="Y113" s="82">
        <f t="shared" si="111"/>
        <v>5957.2408644122133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19839.342001107732</v>
      </c>
      <c r="C114" s="64">
        <f t="shared" ref="C114:W114" si="113">C82*1000000/C$8</f>
        <v>26382.921307278608</v>
      </c>
      <c r="D114" s="64">
        <f t="shared" si="113"/>
        <v>25200.211132045904</v>
      </c>
      <c r="E114" s="64">
        <f t="shared" si="113"/>
        <v>29329.967261293972</v>
      </c>
      <c r="F114" s="64">
        <f t="shared" si="113"/>
        <v>27846.443308758688</v>
      </c>
      <c r="G114" s="64">
        <f t="shared" si="113"/>
        <v>22764.774038260584</v>
      </c>
      <c r="H114" s="64">
        <f t="shared" si="113"/>
        <v>22407.259216768067</v>
      </c>
      <c r="I114" s="64">
        <f t="shared" si="113"/>
        <v>16010.439986505869</v>
      </c>
      <c r="J114" s="64">
        <f t="shared" si="113"/>
        <v>16962.798046418855</v>
      </c>
      <c r="K114" s="64">
        <f t="shared" si="113"/>
        <v>13818.376231084621</v>
      </c>
      <c r="L114" s="64">
        <f t="shared" si="113"/>
        <v>10608.548364851997</v>
      </c>
      <c r="M114" s="64">
        <f t="shared" si="113"/>
        <v>9416.810832493662</v>
      </c>
      <c r="N114" s="64">
        <f t="shared" si="113"/>
        <v>8522.0610661742467</v>
      </c>
      <c r="O114" s="64">
        <f t="shared" si="113"/>
        <v>8490.4448350836192</v>
      </c>
      <c r="P114" s="64">
        <f t="shared" si="113"/>
        <v>7705.0807332609038</v>
      </c>
      <c r="Q114" s="64">
        <f t="shared" si="113"/>
        <v>8067.2373412423667</v>
      </c>
      <c r="R114" s="64">
        <f t="shared" si="113"/>
        <v>7427.0157312381989</v>
      </c>
      <c r="S114" s="64">
        <f t="shared" si="113"/>
        <v>8490.1336794455456</v>
      </c>
      <c r="T114" s="64">
        <f t="shared" si="113"/>
        <v>7693.0655483376959</v>
      </c>
      <c r="U114" s="64">
        <f t="shared" si="113"/>
        <v>7696.7252607249529</v>
      </c>
      <c r="V114" s="64">
        <f t="shared" si="113"/>
        <v>7318.7993470247575</v>
      </c>
      <c r="W114" s="64">
        <f t="shared" si="113"/>
        <v>8573.6899496142814</v>
      </c>
      <c r="X114" s="64">
        <f t="shared" ref="X114:Y114" si="114">X82*1000000/X$8</f>
        <v>6819.1518090214022</v>
      </c>
      <c r="Y114" s="64">
        <f t="shared" si="114"/>
        <v>5957.2408644122133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16613.280311204933</v>
      </c>
      <c r="C115" s="65">
        <f t="shared" ref="C115:W115" si="116">C83*1000000/C$8</f>
        <v>22899.706997512636</v>
      </c>
      <c r="D115" s="65">
        <f t="shared" si="116"/>
        <v>21118.993023167204</v>
      </c>
      <c r="E115" s="65">
        <f t="shared" si="116"/>
        <v>25005.207536336275</v>
      </c>
      <c r="F115" s="65">
        <f t="shared" si="116"/>
        <v>23301.240770685203</v>
      </c>
      <c r="G115" s="65">
        <f t="shared" si="116"/>
        <v>18577.338300643649</v>
      </c>
      <c r="H115" s="65">
        <f t="shared" si="116"/>
        <v>18415.873383036356</v>
      </c>
      <c r="I115" s="65">
        <f t="shared" si="116"/>
        <v>12476.028958663635</v>
      </c>
      <c r="J115" s="65">
        <f t="shared" si="116"/>
        <v>13736.113938031991</v>
      </c>
      <c r="K115" s="65">
        <f t="shared" si="116"/>
        <v>10440.847955116413</v>
      </c>
      <c r="L115" s="65">
        <f t="shared" si="116"/>
        <v>7137.1025638249648</v>
      </c>
      <c r="M115" s="65">
        <f t="shared" si="116"/>
        <v>6188.7017303978973</v>
      </c>
      <c r="N115" s="65">
        <f t="shared" si="116"/>
        <v>6196.933030609106</v>
      </c>
      <c r="O115" s="65">
        <f t="shared" si="116"/>
        <v>6176.9465322210162</v>
      </c>
      <c r="P115" s="65">
        <f t="shared" si="116"/>
        <v>5429.5524261934352</v>
      </c>
      <c r="Q115" s="65">
        <f t="shared" si="116"/>
        <v>5813.339557652539</v>
      </c>
      <c r="R115" s="65">
        <f t="shared" si="116"/>
        <v>5219.9081823357965</v>
      </c>
      <c r="S115" s="65">
        <f t="shared" si="116"/>
        <v>6244.0767384160008</v>
      </c>
      <c r="T115" s="65">
        <f t="shared" si="116"/>
        <v>5499.8598854919055</v>
      </c>
      <c r="U115" s="65">
        <f t="shared" si="116"/>
        <v>5504.7462107128176</v>
      </c>
      <c r="V115" s="65">
        <f t="shared" si="116"/>
        <v>5314.3789051057265</v>
      </c>
      <c r="W115" s="65">
        <f t="shared" si="116"/>
        <v>6468.6916589392185</v>
      </c>
      <c r="X115" s="65">
        <f t="shared" ref="X115:Y115" si="117">X83*1000000/X$8</f>
        <v>4693.6588079922449</v>
      </c>
      <c r="Y115" s="65">
        <f t="shared" si="117"/>
        <v>3731.0899338038244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0.61410558806697146</v>
      </c>
      <c r="C116" s="65">
        <f t="shared" ref="C116:W116" si="119">C84*1000000/C$8</f>
        <v>0.65710388148258358</v>
      </c>
      <c r="D116" s="65">
        <f t="shared" si="119"/>
        <v>0.78112532291838688</v>
      </c>
      <c r="E116" s="65">
        <f t="shared" si="119"/>
        <v>0.89115832416390295</v>
      </c>
      <c r="F116" s="65">
        <f t="shared" si="119"/>
        <v>1.0056804272017927</v>
      </c>
      <c r="G116" s="65">
        <f t="shared" si="119"/>
        <v>1.1559946050408336</v>
      </c>
      <c r="H116" s="65">
        <f t="shared" si="119"/>
        <v>1.3240452192769636</v>
      </c>
      <c r="I116" s="65">
        <f t="shared" si="119"/>
        <v>1.608512244827019</v>
      </c>
      <c r="J116" s="65">
        <f t="shared" si="119"/>
        <v>1.8005442315761946</v>
      </c>
      <c r="K116" s="65">
        <f t="shared" si="119"/>
        <v>2.2000630541006454</v>
      </c>
      <c r="L116" s="65">
        <f t="shared" si="119"/>
        <v>2.456267709450767</v>
      </c>
      <c r="M116" s="65">
        <f t="shared" si="119"/>
        <v>2.7803012551193977</v>
      </c>
      <c r="N116" s="65">
        <f t="shared" si="119"/>
        <v>3.0350790836521284</v>
      </c>
      <c r="O116" s="65">
        <f t="shared" si="119"/>
        <v>3.6062400186202601</v>
      </c>
      <c r="P116" s="65">
        <f t="shared" si="119"/>
        <v>3.5274516444842359</v>
      </c>
      <c r="Q116" s="65">
        <f t="shared" si="119"/>
        <v>4.8099806639226106</v>
      </c>
      <c r="R116" s="65">
        <f t="shared" si="119"/>
        <v>4.2370451657200645</v>
      </c>
      <c r="S116" s="65">
        <f t="shared" si="119"/>
        <v>4.9593906324829389</v>
      </c>
      <c r="T116" s="65">
        <f t="shared" si="119"/>
        <v>5.1352684930987689</v>
      </c>
      <c r="U116" s="65">
        <f t="shared" si="119"/>
        <v>5.7896230315021286</v>
      </c>
      <c r="V116" s="65">
        <f t="shared" si="119"/>
        <v>5.3489549385762727</v>
      </c>
      <c r="W116" s="65">
        <f t="shared" si="119"/>
        <v>5.6722901182170089</v>
      </c>
      <c r="X116" s="65">
        <f t="shared" ref="X116:Y116" si="120">X84*1000000/X$8</f>
        <v>5.9700899511894745</v>
      </c>
      <c r="Y116" s="65">
        <f t="shared" si="120"/>
        <v>6.5195113047816884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2119.3105805268333</v>
      </c>
      <c r="C117" s="65">
        <f t="shared" ref="C117:W117" si="122">C85*1000000/C$8</f>
        <v>2139.0025345704557</v>
      </c>
      <c r="D117" s="65">
        <f t="shared" si="122"/>
        <v>2114.2305620615739</v>
      </c>
      <c r="E117" s="65">
        <f t="shared" si="122"/>
        <v>2108.895872356657</v>
      </c>
      <c r="F117" s="65">
        <f t="shared" si="122"/>
        <v>2058.7158553076115</v>
      </c>
      <c r="G117" s="65">
        <f t="shared" si="122"/>
        <v>2006.7787592781797</v>
      </c>
      <c r="H117" s="65">
        <f t="shared" si="122"/>
        <v>1861.6531989045211</v>
      </c>
      <c r="I117" s="65">
        <f t="shared" si="122"/>
        <v>1741.5073458099826</v>
      </c>
      <c r="J117" s="65">
        <f t="shared" si="122"/>
        <v>1586.8691121802885</v>
      </c>
      <c r="K117" s="65">
        <f t="shared" si="122"/>
        <v>1548.1106883615018</v>
      </c>
      <c r="L117" s="65">
        <f t="shared" si="122"/>
        <v>1305.8674848515761</v>
      </c>
      <c r="M117" s="65">
        <f t="shared" si="122"/>
        <v>1194.1614531370037</v>
      </c>
      <c r="N117" s="65">
        <f t="shared" si="122"/>
        <v>945.57106053877521</v>
      </c>
      <c r="O117" s="65">
        <f t="shared" si="122"/>
        <v>925.99584870455226</v>
      </c>
      <c r="P117" s="65">
        <f t="shared" si="122"/>
        <v>887.21998438288358</v>
      </c>
      <c r="Q117" s="65">
        <f t="shared" si="122"/>
        <v>859.66186381493321</v>
      </c>
      <c r="R117" s="65">
        <f t="shared" si="122"/>
        <v>836.20230373365268</v>
      </c>
      <c r="S117" s="65">
        <f t="shared" si="122"/>
        <v>816.89368091373865</v>
      </c>
      <c r="T117" s="65">
        <f t="shared" si="122"/>
        <v>782.30570845102591</v>
      </c>
      <c r="U117" s="65">
        <f t="shared" si="122"/>
        <v>744.49239848197226</v>
      </c>
      <c r="V117" s="65">
        <f t="shared" si="122"/>
        <v>671.08854781132732</v>
      </c>
      <c r="W117" s="65">
        <f t="shared" si="122"/>
        <v>710.98238257174603</v>
      </c>
      <c r="X117" s="65">
        <f t="shared" ref="X117:Y117" si="123">X85*1000000/X$8</f>
        <v>771.23488327161647</v>
      </c>
      <c r="Y117" s="65">
        <f t="shared" si="123"/>
        <v>799.34821360425121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1106.1370037878953</v>
      </c>
      <c r="C118" s="67">
        <f t="shared" ref="C118:W118" si="125">C86*1000000/C$8</f>
        <v>1343.5546713140354</v>
      </c>
      <c r="D118" s="67">
        <f t="shared" si="125"/>
        <v>1966.2064214942045</v>
      </c>
      <c r="E118" s="67">
        <f t="shared" si="125"/>
        <v>2214.9726942768716</v>
      </c>
      <c r="F118" s="67">
        <f t="shared" si="125"/>
        <v>2485.4810023386744</v>
      </c>
      <c r="G118" s="67">
        <f t="shared" si="125"/>
        <v>2179.5009837337166</v>
      </c>
      <c r="H118" s="67">
        <f t="shared" si="125"/>
        <v>2128.4085896079096</v>
      </c>
      <c r="I118" s="67">
        <f t="shared" si="125"/>
        <v>1791.295169787425</v>
      </c>
      <c r="J118" s="67">
        <f t="shared" si="125"/>
        <v>1638.0144519750008</v>
      </c>
      <c r="K118" s="67">
        <f t="shared" si="125"/>
        <v>1827.2175245526055</v>
      </c>
      <c r="L118" s="67">
        <f t="shared" si="125"/>
        <v>2163.1220484660043</v>
      </c>
      <c r="M118" s="67">
        <f t="shared" si="125"/>
        <v>2031.1673477036416</v>
      </c>
      <c r="N118" s="67">
        <f t="shared" si="125"/>
        <v>1376.5218959427139</v>
      </c>
      <c r="O118" s="67">
        <f t="shared" si="125"/>
        <v>1383.8962141394306</v>
      </c>
      <c r="P118" s="67">
        <f t="shared" si="125"/>
        <v>1384.7808710401011</v>
      </c>
      <c r="Q118" s="67">
        <f t="shared" si="125"/>
        <v>1389.4259391109726</v>
      </c>
      <c r="R118" s="67">
        <f t="shared" si="125"/>
        <v>1366.6682000030298</v>
      </c>
      <c r="S118" s="67">
        <f t="shared" si="125"/>
        <v>1424.2038694833229</v>
      </c>
      <c r="T118" s="67">
        <f t="shared" si="125"/>
        <v>1405.764685901665</v>
      </c>
      <c r="U118" s="67">
        <f t="shared" si="125"/>
        <v>1441.6970284986608</v>
      </c>
      <c r="V118" s="67">
        <f t="shared" si="125"/>
        <v>1327.9829391691273</v>
      </c>
      <c r="W118" s="67">
        <f t="shared" si="125"/>
        <v>1388.3436179850994</v>
      </c>
      <c r="X118" s="67">
        <f t="shared" ref="X118:Y118" si="126">X86*1000000/X$8</f>
        <v>1348.2880278063512</v>
      </c>
      <c r="Y118" s="67">
        <f t="shared" si="126"/>
        <v>1420.2832056993559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0.65786685012995993</v>
      </c>
      <c r="C121" s="86">
        <f t="shared" ref="C121:W121" si="131">IF(C107=0,"",C107/C100)</f>
        <v>0.64358690217770775</v>
      </c>
      <c r="D121" s="86">
        <f t="shared" si="131"/>
        <v>0.65343115611886937</v>
      </c>
      <c r="E121" s="86">
        <f t="shared" si="131"/>
        <v>0.65387917328275724</v>
      </c>
      <c r="F121" s="86">
        <f t="shared" si="131"/>
        <v>0.66074782782202812</v>
      </c>
      <c r="G121" s="86">
        <f t="shared" si="131"/>
        <v>0.69621735137309071</v>
      </c>
      <c r="H121" s="86">
        <f t="shared" si="131"/>
        <v>0.70598924369062266</v>
      </c>
      <c r="I121" s="86">
        <f t="shared" si="131"/>
        <v>0.73523235417831678</v>
      </c>
      <c r="J121" s="86">
        <f t="shared" si="131"/>
        <v>0.7474882511695714</v>
      </c>
      <c r="K121" s="86">
        <f t="shared" si="131"/>
        <v>0.76762299709684112</v>
      </c>
      <c r="L121" s="86">
        <f t="shared" si="131"/>
        <v>0.80320174843626468</v>
      </c>
      <c r="M121" s="86">
        <f t="shared" si="131"/>
        <v>0.82829867102405796</v>
      </c>
      <c r="N121" s="86">
        <f t="shared" si="131"/>
        <v>0.85244981148449261</v>
      </c>
      <c r="O121" s="86">
        <f t="shared" si="131"/>
        <v>0.86920364663207983</v>
      </c>
      <c r="P121" s="86">
        <f t="shared" si="131"/>
        <v>0.88745922849809766</v>
      </c>
      <c r="Q121" s="86">
        <f t="shared" si="131"/>
        <v>0.88541904401773019</v>
      </c>
      <c r="R121" s="86">
        <f t="shared" si="131"/>
        <v>0.90638454383539124</v>
      </c>
      <c r="S121" s="86">
        <f t="shared" si="131"/>
        <v>0.91198502902583034</v>
      </c>
      <c r="T121" s="86">
        <f t="shared" si="131"/>
        <v>0.92968678790413695</v>
      </c>
      <c r="U121" s="86">
        <f t="shared" si="131"/>
        <v>0.95313838972518372</v>
      </c>
      <c r="V121" s="86">
        <f t="shared" si="131"/>
        <v>0.9332843117407541</v>
      </c>
      <c r="W121" s="86">
        <f t="shared" si="131"/>
        <v>0.92618793720467874</v>
      </c>
      <c r="X121" s="86">
        <f t="shared" ref="X121:Y121" si="132">IF(X107=0,"",X107/X100)</f>
        <v>0.98588416387373279</v>
      </c>
      <c r="Y121" s="86">
        <f t="shared" si="132"/>
        <v>1.0534738362996001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0.62976604379687351</v>
      </c>
      <c r="C122" s="75">
        <f t="shared" ref="C122:W122" si="134">IF(C108=0,"",C108/C101)</f>
        <v>0.61687739248791884</v>
      </c>
      <c r="D122" s="75">
        <f t="shared" si="134"/>
        <v>0.62857232609989477</v>
      </c>
      <c r="E122" s="75">
        <f t="shared" si="134"/>
        <v>0.63012033503166809</v>
      </c>
      <c r="F122" s="75">
        <f t="shared" si="134"/>
        <v>0.63913174657454697</v>
      </c>
      <c r="G122" s="75">
        <f t="shared" si="134"/>
        <v>0.67835554025409084</v>
      </c>
      <c r="H122" s="75">
        <f t="shared" si="134"/>
        <v>0.68865588948165535</v>
      </c>
      <c r="I122" s="75">
        <f t="shared" si="134"/>
        <v>0.71669168643960424</v>
      </c>
      <c r="J122" s="75">
        <f t="shared" si="134"/>
        <v>0.7300904545735919</v>
      </c>
      <c r="K122" s="75">
        <f t="shared" si="134"/>
        <v>0.75404131980279498</v>
      </c>
      <c r="L122" s="75">
        <f t="shared" si="134"/>
        <v>0.79477357831138429</v>
      </c>
      <c r="M122" s="75">
        <f t="shared" si="134"/>
        <v>0.82460862058314488</v>
      </c>
      <c r="N122" s="75">
        <f t="shared" si="134"/>
        <v>0.84512738179477143</v>
      </c>
      <c r="O122" s="75">
        <f t="shared" si="134"/>
        <v>0.86422616878005509</v>
      </c>
      <c r="P122" s="75">
        <f t="shared" si="134"/>
        <v>0.89281167193012356</v>
      </c>
      <c r="Q122" s="75">
        <f t="shared" si="134"/>
        <v>0.88004617087511494</v>
      </c>
      <c r="R122" s="75">
        <f t="shared" si="134"/>
        <v>0.91395434649459151</v>
      </c>
      <c r="S122" s="75">
        <f t="shared" si="134"/>
        <v>0.91435368415544505</v>
      </c>
      <c r="T122" s="75">
        <f t="shared" si="134"/>
        <v>0.93507562164654168</v>
      </c>
      <c r="U122" s="75">
        <f t="shared" si="134"/>
        <v>0.96376932441012941</v>
      </c>
      <c r="V122" s="75">
        <f t="shared" si="134"/>
        <v>0.93193522101551707</v>
      </c>
      <c r="W122" s="75">
        <f t="shared" si="134"/>
        <v>0.91923658196962399</v>
      </c>
      <c r="X122" s="75">
        <f t="shared" ref="X122:Y122" si="135">IF(X108=0,"",X108/X101)</f>
        <v>1.0002098575219511</v>
      </c>
      <c r="Y122" s="75">
        <f t="shared" si="135"/>
        <v>1.1013382157132583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1.8645594405963746</v>
      </c>
      <c r="C123" s="76">
        <f t="shared" ref="C123:W123" si="137">IF(C109=0,"",C109/C102)</f>
        <v>1.9329313190327815</v>
      </c>
      <c r="D123" s="76">
        <f t="shared" si="137"/>
        <v>2.0137368402002411</v>
      </c>
      <c r="E123" s="76">
        <f t="shared" si="137"/>
        <v>2.0900194898523501</v>
      </c>
      <c r="F123" s="76">
        <f t="shared" si="137"/>
        <v>2.1796792823001545</v>
      </c>
      <c r="G123" s="76">
        <f t="shared" si="137"/>
        <v>2.2822455996276965</v>
      </c>
      <c r="H123" s="76">
        <f t="shared" si="137"/>
        <v>2.3919758230341777</v>
      </c>
      <c r="I123" s="76">
        <f t="shared" si="137"/>
        <v>2.5231863197383664</v>
      </c>
      <c r="J123" s="76">
        <f t="shared" si="137"/>
        <v>2.6699174922688358</v>
      </c>
      <c r="K123" s="76">
        <f t="shared" si="137"/>
        <v>2.711793513984742</v>
      </c>
      <c r="L123" s="76">
        <f t="shared" si="137"/>
        <v>2.7832916372016991</v>
      </c>
      <c r="M123" s="76">
        <f t="shared" si="137"/>
        <v>2.8795375299271564</v>
      </c>
      <c r="N123" s="76">
        <f t="shared" si="137"/>
        <v>2.9927309871425622</v>
      </c>
      <c r="O123" s="76">
        <f t="shared" si="137"/>
        <v>3.1168344787265814</v>
      </c>
      <c r="P123" s="76">
        <f t="shared" si="137"/>
        <v>3.2559930961801067</v>
      </c>
      <c r="Q123" s="76">
        <f t="shared" si="137"/>
        <v>3.414250145341601</v>
      </c>
      <c r="R123" s="76">
        <f t="shared" si="137"/>
        <v>3.5818423274558575</v>
      </c>
      <c r="S123" s="76">
        <f t="shared" si="137"/>
        <v>3.728483982148159</v>
      </c>
      <c r="T123" s="76">
        <f t="shared" si="137"/>
        <v>3.855580512108471</v>
      </c>
      <c r="U123" s="76">
        <f t="shared" si="137"/>
        <v>3.9531152423261626</v>
      </c>
      <c r="V123" s="76">
        <f t="shared" si="137"/>
        <v>4.0516300712291438</v>
      </c>
      <c r="W123" s="76">
        <f t="shared" si="137"/>
        <v>4.1350962188333771</v>
      </c>
      <c r="X123" s="76">
        <f t="shared" ref="X123:Y123" si="138">IF(X109=0,"",X109/X102)</f>
        <v>4.1990421197368768</v>
      </c>
      <c r="Y123" s="76">
        <f t="shared" si="138"/>
        <v>4.2494509571484214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0.69990137432957478</v>
      </c>
      <c r="C124" s="76">
        <f t="shared" ref="C124:W124" si="140">IF(C110=0,"",C110/C103)</f>
        <v>0.70272620668557539</v>
      </c>
      <c r="D124" s="76">
        <f t="shared" si="140"/>
        <v>0.70596581525564317</v>
      </c>
      <c r="E124" s="76">
        <f t="shared" si="140"/>
        <v>0.71278644269252478</v>
      </c>
      <c r="F124" s="76">
        <f t="shared" si="140"/>
        <v>0.71686717009583556</v>
      </c>
      <c r="G124" s="76">
        <f t="shared" si="140"/>
        <v>0.71963573403596615</v>
      </c>
      <c r="H124" s="76">
        <f t="shared" si="140"/>
        <v>0.72327044687596953</v>
      </c>
      <c r="I124" s="76">
        <f t="shared" si="140"/>
        <v>0.73704622435551248</v>
      </c>
      <c r="J124" s="76">
        <f t="shared" si="140"/>
        <v>0.75644866058170324</v>
      </c>
      <c r="K124" s="76">
        <f t="shared" si="140"/>
        <v>0.75281143545475737</v>
      </c>
      <c r="L124" s="76">
        <f t="shared" si="140"/>
        <v>0.79467291765152837</v>
      </c>
      <c r="M124" s="76">
        <f t="shared" si="140"/>
        <v>0.8093582250014757</v>
      </c>
      <c r="N124" s="76">
        <f t="shared" si="140"/>
        <v>0.82831315601195432</v>
      </c>
      <c r="O124" s="76">
        <f t="shared" si="140"/>
        <v>0.82936777969809894</v>
      </c>
      <c r="P124" s="76">
        <f t="shared" si="140"/>
        <v>0.8366245737471476</v>
      </c>
      <c r="Q124" s="76">
        <f t="shared" si="140"/>
        <v>0.83767310703580367</v>
      </c>
      <c r="R124" s="76">
        <f t="shared" si="140"/>
        <v>0.8411980201844087</v>
      </c>
      <c r="S124" s="76">
        <f t="shared" si="140"/>
        <v>0.85176229397941794</v>
      </c>
      <c r="T124" s="76">
        <f t="shared" si="140"/>
        <v>0.8651731406155998</v>
      </c>
      <c r="U124" s="76">
        <f t="shared" si="140"/>
        <v>0.87225766370842517</v>
      </c>
      <c r="V124" s="76">
        <f t="shared" si="140"/>
        <v>0.885218817052425</v>
      </c>
      <c r="W124" s="76">
        <f t="shared" si="140"/>
        <v>0.89047809392291843</v>
      </c>
      <c r="X124" s="76">
        <f t="shared" ref="X124:Y124" si="141">IF(X110=0,"",X110/X103)</f>
        <v>0.89689002965206777</v>
      </c>
      <c r="Y124" s="76">
        <f t="shared" si="141"/>
        <v>0.89988650601173714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0.71838099074899331</v>
      </c>
      <c r="C125" s="56">
        <f t="shared" ref="C125:W125" si="143">IF(C111=0,"",C111/C104)</f>
        <v>0.70921612686139102</v>
      </c>
      <c r="D125" s="56">
        <f t="shared" si="143"/>
        <v>0.68476856265591191</v>
      </c>
      <c r="E125" s="56">
        <f t="shared" si="143"/>
        <v>0.67816340065411362</v>
      </c>
      <c r="F125" s="56">
        <f t="shared" si="143"/>
        <v>0.66852198438510224</v>
      </c>
      <c r="G125" s="56">
        <f t="shared" si="143"/>
        <v>0.68303546991032293</v>
      </c>
      <c r="H125" s="56">
        <f t="shared" si="143"/>
        <v>0.68481485278619314</v>
      </c>
      <c r="I125" s="56">
        <f t="shared" si="143"/>
        <v>0.69940352340231826</v>
      </c>
      <c r="J125" s="56">
        <f t="shared" si="143"/>
        <v>0.70702318058021152</v>
      </c>
      <c r="K125" s="56">
        <f t="shared" si="143"/>
        <v>0.70245728389701723</v>
      </c>
      <c r="L125" s="56">
        <f t="shared" si="143"/>
        <v>0.68856929451048854</v>
      </c>
      <c r="M125" s="56">
        <f t="shared" si="143"/>
        <v>0.69485513384070208</v>
      </c>
      <c r="N125" s="56">
        <f t="shared" si="143"/>
        <v>0.72613483300411474</v>
      </c>
      <c r="O125" s="56">
        <f t="shared" si="143"/>
        <v>0.72683826733007473</v>
      </c>
      <c r="P125" s="56">
        <f t="shared" si="143"/>
        <v>0.72816107416904918</v>
      </c>
      <c r="Q125" s="56">
        <f t="shared" si="143"/>
        <v>0.7290045377633666</v>
      </c>
      <c r="R125" s="56">
        <f t="shared" si="143"/>
        <v>0.73261108481891046</v>
      </c>
      <c r="S125" s="56">
        <f t="shared" si="143"/>
        <v>0.73236148943532919</v>
      </c>
      <c r="T125" s="56">
        <f t="shared" si="143"/>
        <v>0.73653850825262424</v>
      </c>
      <c r="U125" s="56">
        <f t="shared" si="143"/>
        <v>0.73828514065489403</v>
      </c>
      <c r="V125" s="56">
        <f t="shared" si="143"/>
        <v>0.7452325928529453</v>
      </c>
      <c r="W125" s="56">
        <f t="shared" si="143"/>
        <v>0.74952161813444218</v>
      </c>
      <c r="X125" s="56">
        <f t="shared" ref="X125:Y125" si="144">IF(X111=0,"",X111/X104)</f>
        <v>0.75663048261995158</v>
      </c>
      <c r="Y125" s="56">
        <f t="shared" si="144"/>
        <v>0.75717682451340362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226.35302159460801</v>
      </c>
      <c r="C129" s="82">
        <f t="shared" ref="C129:W129" si="146">IF(C99=0,0,C99/C$26)</f>
        <v>259.25193470759729</v>
      </c>
      <c r="D129" s="82">
        <f t="shared" si="146"/>
        <v>251.16777277196434</v>
      </c>
      <c r="E129" s="82">
        <f t="shared" si="146"/>
        <v>277.2734459664801</v>
      </c>
      <c r="F129" s="82">
        <f t="shared" si="146"/>
        <v>269.09959500658459</v>
      </c>
      <c r="G129" s="82">
        <f t="shared" si="146"/>
        <v>250.97159206123834</v>
      </c>
      <c r="H129" s="82">
        <f t="shared" si="146"/>
        <v>253.09003406032804</v>
      </c>
      <c r="I129" s="82">
        <f t="shared" si="146"/>
        <v>216.79996710344284</v>
      </c>
      <c r="J129" s="82">
        <f t="shared" si="146"/>
        <v>231.48594834500275</v>
      </c>
      <c r="K129" s="82">
        <f t="shared" si="146"/>
        <v>210.13296570054391</v>
      </c>
      <c r="L129" s="82">
        <f t="shared" si="146"/>
        <v>204.84345389913383</v>
      </c>
      <c r="M129" s="82">
        <f t="shared" si="146"/>
        <v>195.64630229988569</v>
      </c>
      <c r="N129" s="82">
        <f t="shared" si="146"/>
        <v>194.10341846595219</v>
      </c>
      <c r="O129" s="82">
        <f t="shared" si="146"/>
        <v>192.17078172752747</v>
      </c>
      <c r="P129" s="82">
        <f t="shared" si="146"/>
        <v>180.16145083015002</v>
      </c>
      <c r="Q129" s="82">
        <f t="shared" si="146"/>
        <v>184.04867785848981</v>
      </c>
      <c r="R129" s="82">
        <f t="shared" si="146"/>
        <v>176.81854865852162</v>
      </c>
      <c r="S129" s="82">
        <f t="shared" si="146"/>
        <v>188.33036273845499</v>
      </c>
      <c r="T129" s="82">
        <f t="shared" si="146"/>
        <v>180.79495592122262</v>
      </c>
      <c r="U129" s="82">
        <f t="shared" si="146"/>
        <v>180.62523147648534</v>
      </c>
      <c r="V129" s="82">
        <f t="shared" si="146"/>
        <v>167.54762674975103</v>
      </c>
      <c r="W129" s="82">
        <f t="shared" si="146"/>
        <v>178.61279712119986</v>
      </c>
      <c r="X129" s="82">
        <f t="shared" ref="X129:Y129" si="147">IF(X99=0,0,X99/X$26)</f>
        <v>165.37534111026901</v>
      </c>
      <c r="Y129" s="82">
        <f t="shared" si="147"/>
        <v>154.10857205426936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181.77314047920137</v>
      </c>
      <c r="C130" s="64">
        <f t="shared" ref="C130:W130" si="149">IF(C100=0,0,C100/C$26)</f>
        <v>214.00218991119624</v>
      </c>
      <c r="D130" s="64">
        <f t="shared" si="149"/>
        <v>205.40972020279906</v>
      </c>
      <c r="E130" s="64">
        <f t="shared" si="149"/>
        <v>230.89413754834482</v>
      </c>
      <c r="F130" s="64">
        <f t="shared" si="149"/>
        <v>222.21064499651459</v>
      </c>
      <c r="G130" s="64">
        <f t="shared" si="149"/>
        <v>203.69389823463496</v>
      </c>
      <c r="H130" s="64">
        <f t="shared" si="149"/>
        <v>205.56463616069018</v>
      </c>
      <c r="I130" s="64">
        <f t="shared" si="149"/>
        <v>169.06039295663598</v>
      </c>
      <c r="J130" s="64">
        <f t="shared" si="149"/>
        <v>183.259479135579</v>
      </c>
      <c r="K130" s="64">
        <f t="shared" si="149"/>
        <v>160.8528939774547</v>
      </c>
      <c r="L130" s="64">
        <f t="shared" si="149"/>
        <v>155.38700737535015</v>
      </c>
      <c r="M130" s="64">
        <f t="shared" si="149"/>
        <v>145.95149918285668</v>
      </c>
      <c r="N130" s="64">
        <f t="shared" si="149"/>
        <v>144.18320038336242</v>
      </c>
      <c r="O130" s="64">
        <f t="shared" si="149"/>
        <v>141.9708023002409</v>
      </c>
      <c r="P130" s="64">
        <f t="shared" si="149"/>
        <v>129.44244743427907</v>
      </c>
      <c r="Q130" s="64">
        <f t="shared" si="149"/>
        <v>132.45010722629371</v>
      </c>
      <c r="R130" s="64">
        <f t="shared" si="149"/>
        <v>126.08956368109439</v>
      </c>
      <c r="S130" s="64">
        <f t="shared" si="149"/>
        <v>137.43573664791924</v>
      </c>
      <c r="T130" s="64">
        <f t="shared" si="149"/>
        <v>130.50303338578274</v>
      </c>
      <c r="U130" s="64">
        <f t="shared" si="149"/>
        <v>131.00681394576446</v>
      </c>
      <c r="V130" s="64">
        <f t="shared" si="149"/>
        <v>120.7910843493883</v>
      </c>
      <c r="W130" s="64">
        <f t="shared" si="149"/>
        <v>132.4151939723065</v>
      </c>
      <c r="X130" s="64">
        <f t="shared" ref="X130:Y130" si="150">IF(X100=0,0,X100/X$26)</f>
        <v>119.32439915468872</v>
      </c>
      <c r="Y130" s="64">
        <f t="shared" si="150"/>
        <v>108.57208609619941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141.22836678611841</v>
      </c>
      <c r="C131" s="65">
        <f t="shared" ref="C131:W131" si="152">IF(C101=0,0,C101/C$26)</f>
        <v>172.58905720158472</v>
      </c>
      <c r="D131" s="65">
        <f t="shared" si="152"/>
        <v>162.70933369036686</v>
      </c>
      <c r="E131" s="65">
        <f t="shared" si="152"/>
        <v>187.13179465726185</v>
      </c>
      <c r="F131" s="65">
        <f t="shared" si="152"/>
        <v>178.43479734769946</v>
      </c>
      <c r="G131" s="65">
        <f t="shared" si="152"/>
        <v>159.9635823349202</v>
      </c>
      <c r="H131" s="65">
        <f t="shared" si="152"/>
        <v>162.23079697646068</v>
      </c>
      <c r="I131" s="65">
        <f t="shared" si="152"/>
        <v>126.474745597915</v>
      </c>
      <c r="J131" s="65">
        <f t="shared" si="152"/>
        <v>141.50347548844627</v>
      </c>
      <c r="K131" s="65">
        <f t="shared" si="152"/>
        <v>117.22028878896951</v>
      </c>
      <c r="L131" s="65">
        <f t="shared" si="152"/>
        <v>112.45744027933559</v>
      </c>
      <c r="M131" s="65">
        <f t="shared" si="152"/>
        <v>103.26520106228763</v>
      </c>
      <c r="N131" s="65">
        <f t="shared" si="152"/>
        <v>102.58989512546395</v>
      </c>
      <c r="O131" s="65">
        <f t="shared" si="152"/>
        <v>100.24262794579731</v>
      </c>
      <c r="P131" s="65">
        <f t="shared" si="152"/>
        <v>87.51785781401864</v>
      </c>
      <c r="Q131" s="65">
        <f t="shared" si="152"/>
        <v>90.559576298777259</v>
      </c>
      <c r="R131" s="65">
        <f t="shared" si="152"/>
        <v>84.622671011924382</v>
      </c>
      <c r="S131" s="65">
        <f t="shared" si="152"/>
        <v>96.345134521087658</v>
      </c>
      <c r="T131" s="65">
        <f t="shared" si="152"/>
        <v>90.185130230575112</v>
      </c>
      <c r="U131" s="65">
        <f t="shared" si="152"/>
        <v>91.324872384250426</v>
      </c>
      <c r="V131" s="65">
        <f t="shared" si="152"/>
        <v>83.154385081370251</v>
      </c>
      <c r="W131" s="65">
        <f t="shared" si="152"/>
        <v>94.527334722630798</v>
      </c>
      <c r="X131" s="65">
        <f t="shared" ref="X131:Y131" si="153">IF(X101=0,0,X101/X$26)</f>
        <v>81.391991714170018</v>
      </c>
      <c r="Y131" s="65">
        <f t="shared" si="153"/>
        <v>70.314069278720311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1.673368446653364</v>
      </c>
      <c r="C132" s="65">
        <f t="shared" ref="C132:W132" si="155">IF(C102=0,0,C102/C$26)</f>
        <v>1.6625194807515049</v>
      </c>
      <c r="D132" s="65">
        <f t="shared" si="155"/>
        <v>1.6881197330206956</v>
      </c>
      <c r="E132" s="65">
        <f t="shared" si="155"/>
        <v>1.8595053201225153</v>
      </c>
      <c r="F132" s="65">
        <f t="shared" si="155"/>
        <v>1.63181718746306</v>
      </c>
      <c r="G132" s="65">
        <f t="shared" si="155"/>
        <v>1.6405688813267014</v>
      </c>
      <c r="H132" s="65">
        <f t="shared" si="155"/>
        <v>1.6902108763787909</v>
      </c>
      <c r="I132" s="65">
        <f t="shared" si="155"/>
        <v>1.6712127506766694</v>
      </c>
      <c r="J132" s="65">
        <f t="shared" si="155"/>
        <v>1.5760907275333129</v>
      </c>
      <c r="K132" s="65">
        <f t="shared" si="155"/>
        <v>1.6450152584025504</v>
      </c>
      <c r="L132" s="65">
        <f t="shared" si="155"/>
        <v>1.723255874707839</v>
      </c>
      <c r="M132" s="65">
        <f t="shared" si="155"/>
        <v>1.6682970654369196</v>
      </c>
      <c r="N132" s="65">
        <f t="shared" si="155"/>
        <v>1.7164102746284946</v>
      </c>
      <c r="O132" s="65">
        <f t="shared" si="155"/>
        <v>1.8012978480753832</v>
      </c>
      <c r="P132" s="65">
        <f t="shared" si="155"/>
        <v>1.5485435470536399</v>
      </c>
      <c r="Q132" s="65">
        <f t="shared" si="155"/>
        <v>1.7738312422291294</v>
      </c>
      <c r="R132" s="65">
        <f t="shared" si="155"/>
        <v>1.5110755343404534</v>
      </c>
      <c r="S132" s="65">
        <f t="shared" si="155"/>
        <v>1.5712855698581898</v>
      </c>
      <c r="T132" s="65">
        <f t="shared" si="155"/>
        <v>1.5180902446386184</v>
      </c>
      <c r="U132" s="65">
        <f t="shared" si="155"/>
        <v>1.5425040301278936</v>
      </c>
      <c r="V132" s="65">
        <f t="shared" si="155"/>
        <v>1.3932643873806199</v>
      </c>
      <c r="W132" s="65">
        <f t="shared" si="155"/>
        <v>1.4203793088724934</v>
      </c>
      <c r="X132" s="65">
        <f t="shared" ref="X132:Y132" si="156">IF(X102=0,0,X102/X$26)</f>
        <v>1.4423765734062231</v>
      </c>
      <c r="Y132" s="65">
        <f t="shared" si="156"/>
        <v>1.5289999664177134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21.801318593422348</v>
      </c>
      <c r="C133" s="65">
        <f t="shared" ref="C133:W133" si="158">IF(C103=0,0,C103/C$26)</f>
        <v>21.97146309824857</v>
      </c>
      <c r="D133" s="65">
        <f t="shared" si="158"/>
        <v>21.851262149193989</v>
      </c>
      <c r="E133" s="65">
        <f t="shared" si="158"/>
        <v>21.891359109210079</v>
      </c>
      <c r="F133" s="65">
        <f t="shared" si="158"/>
        <v>21.735532016194131</v>
      </c>
      <c r="G133" s="65">
        <f t="shared" si="158"/>
        <v>22.13297581150653</v>
      </c>
      <c r="H133" s="65">
        <f t="shared" si="158"/>
        <v>21.950238923873929</v>
      </c>
      <c r="I133" s="65">
        <f t="shared" si="158"/>
        <v>21.857919427530394</v>
      </c>
      <c r="J133" s="65">
        <f t="shared" si="158"/>
        <v>21.402094536475758</v>
      </c>
      <c r="K133" s="65">
        <f t="shared" si="158"/>
        <v>22.44123230771768</v>
      </c>
      <c r="L133" s="65">
        <f t="shared" si="158"/>
        <v>21.292293428498184</v>
      </c>
      <c r="M133" s="65">
        <f t="shared" si="158"/>
        <v>21.244537210480534</v>
      </c>
      <c r="N133" s="65">
        <f t="shared" si="158"/>
        <v>20.695738223775507</v>
      </c>
      <c r="O133" s="65">
        <f t="shared" si="158"/>
        <v>20.818472147033997</v>
      </c>
      <c r="P133" s="65">
        <f t="shared" si="158"/>
        <v>21.164884108270119</v>
      </c>
      <c r="Q133" s="65">
        <f t="shared" si="158"/>
        <v>20.941467164961871</v>
      </c>
      <c r="R133" s="65">
        <f t="shared" si="158"/>
        <v>20.811572070787211</v>
      </c>
      <c r="S133" s="65">
        <f t="shared" si="158"/>
        <v>20.476134744968945</v>
      </c>
      <c r="T133" s="65">
        <f t="shared" si="158"/>
        <v>19.950721473061073</v>
      </c>
      <c r="U133" s="65">
        <f t="shared" si="158"/>
        <v>19.377383311942292</v>
      </c>
      <c r="V133" s="65">
        <f t="shared" si="158"/>
        <v>18.45283675529944</v>
      </c>
      <c r="W133" s="65">
        <f t="shared" si="158"/>
        <v>18.032528044391761</v>
      </c>
      <c r="X133" s="65">
        <f t="shared" ref="X133:Y133" si="159">IF(X103=0,0,X103/X$26)</f>
        <v>18.286765205765175</v>
      </c>
      <c r="Y133" s="65">
        <f t="shared" si="159"/>
        <v>18.432594836395296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17.070086653007266</v>
      </c>
      <c r="C134" s="67">
        <f t="shared" ref="C134:W134" si="161">IF(C104=0,0,C104/C$26)</f>
        <v>17.779150130611406</v>
      </c>
      <c r="D134" s="67">
        <f t="shared" si="161"/>
        <v>19.161004630217523</v>
      </c>
      <c r="E134" s="67">
        <f t="shared" si="161"/>
        <v>20.011478461750354</v>
      </c>
      <c r="F134" s="67">
        <f t="shared" si="161"/>
        <v>20.408498445157978</v>
      </c>
      <c r="G134" s="67">
        <f t="shared" si="161"/>
        <v>19.956771206881545</v>
      </c>
      <c r="H134" s="67">
        <f t="shared" si="161"/>
        <v>19.6933893839768</v>
      </c>
      <c r="I134" s="67">
        <f t="shared" si="161"/>
        <v>19.056515180513895</v>
      </c>
      <c r="J134" s="67">
        <f t="shared" si="161"/>
        <v>18.777818383123677</v>
      </c>
      <c r="K134" s="67">
        <f t="shared" si="161"/>
        <v>19.546357622364951</v>
      </c>
      <c r="L134" s="67">
        <f t="shared" si="161"/>
        <v>19.914017792808558</v>
      </c>
      <c r="M134" s="67">
        <f t="shared" si="161"/>
        <v>19.773463844651605</v>
      </c>
      <c r="N134" s="67">
        <f t="shared" si="161"/>
        <v>19.181156759494478</v>
      </c>
      <c r="O134" s="67">
        <f t="shared" si="161"/>
        <v>19.108404359334212</v>
      </c>
      <c r="P134" s="67">
        <f t="shared" si="161"/>
        <v>19.211161964936696</v>
      </c>
      <c r="Q134" s="67">
        <f t="shared" si="161"/>
        <v>19.175232520325476</v>
      </c>
      <c r="R134" s="67">
        <f t="shared" si="161"/>
        <v>19.144245064042359</v>
      </c>
      <c r="S134" s="67">
        <f t="shared" si="161"/>
        <v>19.043181812004455</v>
      </c>
      <c r="T134" s="67">
        <f t="shared" si="161"/>
        <v>18.849091437507926</v>
      </c>
      <c r="U134" s="67">
        <f t="shared" si="161"/>
        <v>18.762054219443858</v>
      </c>
      <c r="V134" s="67">
        <f t="shared" si="161"/>
        <v>17.790598125338015</v>
      </c>
      <c r="W134" s="67">
        <f t="shared" si="161"/>
        <v>18.434951896411444</v>
      </c>
      <c r="X134" s="67">
        <f t="shared" ref="X134:Y134" si="162">IF(X104=0,0,X104/X$26)</f>
        <v>18.203265661347316</v>
      </c>
      <c r="Y134" s="67">
        <f t="shared" si="162"/>
        <v>18.296422014666106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44.579881115406664</v>
      </c>
      <c r="C135" s="68">
        <f t="shared" ref="C135:W135" si="164">IF(C105=0,0,C105/C$26)</f>
        <v>45.249744796401068</v>
      </c>
      <c r="D135" s="68">
        <f t="shared" si="164"/>
        <v>45.758052569165287</v>
      </c>
      <c r="E135" s="68">
        <f t="shared" si="164"/>
        <v>46.379308418135274</v>
      </c>
      <c r="F135" s="68">
        <f t="shared" si="164"/>
        <v>46.888950010069969</v>
      </c>
      <c r="G135" s="68">
        <f t="shared" si="164"/>
        <v>47.277693826603418</v>
      </c>
      <c r="H135" s="68">
        <f t="shared" si="164"/>
        <v>47.525397899637866</v>
      </c>
      <c r="I135" s="68">
        <f t="shared" si="164"/>
        <v>47.739574146806859</v>
      </c>
      <c r="J135" s="68">
        <f t="shared" si="164"/>
        <v>48.226469209423811</v>
      </c>
      <c r="K135" s="68">
        <f t="shared" si="164"/>
        <v>49.280071723089172</v>
      </c>
      <c r="L135" s="68">
        <f t="shared" si="164"/>
        <v>49.456446523783633</v>
      </c>
      <c r="M135" s="68">
        <f t="shared" si="164"/>
        <v>49.694803117028975</v>
      </c>
      <c r="N135" s="68">
        <f t="shared" si="164"/>
        <v>49.92021808258977</v>
      </c>
      <c r="O135" s="68">
        <f t="shared" si="164"/>
        <v>50.199979427286593</v>
      </c>
      <c r="P135" s="68">
        <f t="shared" si="164"/>
        <v>50.719003395870942</v>
      </c>
      <c r="Q135" s="68">
        <f t="shared" si="164"/>
        <v>51.5985706321961</v>
      </c>
      <c r="R135" s="68">
        <f t="shared" si="164"/>
        <v>50.728984977427181</v>
      </c>
      <c r="S135" s="68">
        <f t="shared" si="164"/>
        <v>50.894626090535738</v>
      </c>
      <c r="T135" s="68">
        <f t="shared" si="164"/>
        <v>50.291922535439895</v>
      </c>
      <c r="U135" s="68">
        <f t="shared" si="164"/>
        <v>49.618417530720876</v>
      </c>
      <c r="V135" s="68">
        <f t="shared" si="164"/>
        <v>46.756542400362719</v>
      </c>
      <c r="W135" s="68">
        <f t="shared" si="164"/>
        <v>46.197603148893371</v>
      </c>
      <c r="X135" s="68">
        <f t="shared" ref="X135:Y135" si="165">IF(X105=0,0,X105/X$26)</f>
        <v>46.050941955580292</v>
      </c>
      <c r="Y135" s="68">
        <f t="shared" si="165"/>
        <v>45.536485958069939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119.58252336528292</v>
      </c>
      <c r="C137" s="85">
        <f t="shared" ref="C137:W137" si="167">IF(C107=0,0,C107/C$26)</f>
        <v>137.72900646419228</v>
      </c>
      <c r="D137" s="85">
        <f t="shared" si="167"/>
        <v>134.22111095016848</v>
      </c>
      <c r="E137" s="85">
        <f t="shared" si="167"/>
        <v>150.97686777594694</v>
      </c>
      <c r="F137" s="85">
        <f t="shared" si="167"/>
        <v>146.82520100037885</v>
      </c>
      <c r="G137" s="85">
        <f t="shared" si="167"/>
        <v>141.81522631977745</v>
      </c>
      <c r="H137" s="85">
        <f t="shared" si="167"/>
        <v>145.12642201262369</v>
      </c>
      <c r="I137" s="85">
        <f t="shared" si="167"/>
        <v>124.29867071181879</v>
      </c>
      <c r="J137" s="85">
        <f t="shared" si="167"/>
        <v>136.98430756930051</v>
      </c>
      <c r="K137" s="85">
        <f t="shared" si="167"/>
        <v>123.4743805666742</v>
      </c>
      <c r="L137" s="85">
        <f t="shared" si="167"/>
        <v>124.80711600816001</v>
      </c>
      <c r="M137" s="85">
        <f t="shared" si="167"/>
        <v>120.89143280712906</v>
      </c>
      <c r="N137" s="85">
        <f t="shared" si="167"/>
        <v>122.90894198602811</v>
      </c>
      <c r="O137" s="85">
        <f t="shared" si="167"/>
        <v>123.40153907465145</v>
      </c>
      <c r="P137" s="85">
        <f t="shared" si="167"/>
        <v>114.87489453493087</v>
      </c>
      <c r="Q137" s="85">
        <f t="shared" si="167"/>
        <v>117.27384732035084</v>
      </c>
      <c r="R137" s="85">
        <f t="shared" si="167"/>
        <v>114.28563165949225</v>
      </c>
      <c r="S137" s="85">
        <f t="shared" si="167"/>
        <v>125.33933427603901</v>
      </c>
      <c r="T137" s="85">
        <f t="shared" si="167"/>
        <v>121.32694592017471</v>
      </c>
      <c r="U137" s="85">
        <f t="shared" si="167"/>
        <v>124.86762368729269</v>
      </c>
      <c r="V137" s="85">
        <f t="shared" si="167"/>
        <v>112.73242402143823</v>
      </c>
      <c r="W137" s="85">
        <f t="shared" si="167"/>
        <v>122.64135535976796</v>
      </c>
      <c r="X137" s="85">
        <f t="shared" ref="X137:Y137" si="168">IF(X107=0,0,X107/X$26)</f>
        <v>117.64003549035584</v>
      </c>
      <c r="Y137" s="85">
        <f t="shared" si="168"/>
        <v>114.37785205481367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88.940829822787578</v>
      </c>
      <c r="C138" s="65">
        <f t="shared" ref="C138:W138" si="170">IF(C108=0,0,C108/C$26)</f>
        <v>106.46628757846186</v>
      </c>
      <c r="D138" s="65">
        <f t="shared" si="170"/>
        <v>102.27458435591787</v>
      </c>
      <c r="E138" s="65">
        <f t="shared" si="170"/>
        <v>117.91554914451115</v>
      </c>
      <c r="F138" s="65">
        <f t="shared" si="170"/>
        <v>114.0433436785105</v>
      </c>
      <c r="G138" s="65">
        <f t="shared" si="170"/>
        <v>108.51218231578453</v>
      </c>
      <c r="H138" s="65">
        <f t="shared" si="170"/>
        <v>111.72119379314236</v>
      </c>
      <c r="I138" s="65">
        <f t="shared" si="170"/>
        <v>90.643398714589623</v>
      </c>
      <c r="J138" s="65">
        <f t="shared" si="170"/>
        <v>103.31033674310287</v>
      </c>
      <c r="K138" s="65">
        <f t="shared" si="170"/>
        <v>88.388941266099351</v>
      </c>
      <c r="L138" s="65">
        <f t="shared" si="170"/>
        <v>89.378202218546335</v>
      </c>
      <c r="M138" s="65">
        <f t="shared" si="170"/>
        <v>85.153375002214119</v>
      </c>
      <c r="N138" s="65">
        <f t="shared" si="170"/>
        <v>86.70152946598354</v>
      </c>
      <c r="O138" s="65">
        <f t="shared" si="170"/>
        <v>86.632302298040898</v>
      </c>
      <c r="P138" s="65">
        <f t="shared" si="170"/>
        <v>78.136964958676813</v>
      </c>
      <c r="Q138" s="65">
        <f t="shared" si="170"/>
        <v>79.696608357811741</v>
      </c>
      <c r="R138" s="65">
        <f t="shared" si="170"/>
        <v>77.341257983330152</v>
      </c>
      <c r="S138" s="65">
        <f t="shared" si="170"/>
        <v>88.093528699808445</v>
      </c>
      <c r="T138" s="65">
        <f t="shared" si="170"/>
        <v>84.329916713629345</v>
      </c>
      <c r="U138" s="65">
        <f t="shared" si="170"/>
        <v>88.016110559610311</v>
      </c>
      <c r="V138" s="65">
        <f t="shared" si="170"/>
        <v>77.494500239216194</v>
      </c>
      <c r="W138" s="65">
        <f t="shared" si="170"/>
        <v>86.892984073129682</v>
      </c>
      <c r="X138" s="65">
        <f t="shared" ref="X138:Y138" si="171">IF(X108=0,0,X108/X$26)</f>
        <v>81.409072435857809</v>
      </c>
      <c r="Y138" s="65">
        <f t="shared" si="171"/>
        <v>77.43957159896425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3.1200949348036211</v>
      </c>
      <c r="C139" s="65">
        <f t="shared" ref="C139:W139" si="173">IF(C109=0,0,C109/C$26)</f>
        <v>3.2135359728467012</v>
      </c>
      <c r="D139" s="65">
        <f t="shared" si="173"/>
        <v>3.3994288970527702</v>
      </c>
      <c r="E139" s="65">
        <f t="shared" si="173"/>
        <v>3.8864023605401905</v>
      </c>
      <c r="F139" s="65">
        <f t="shared" si="173"/>
        <v>3.5568381160145397</v>
      </c>
      <c r="G139" s="65">
        <f t="shared" si="173"/>
        <v>3.7441811102939968</v>
      </c>
      <c r="H139" s="65">
        <f t="shared" si="173"/>
        <v>4.0429435521274772</v>
      </c>
      <c r="I139" s="65">
        <f t="shared" si="173"/>
        <v>4.2167811498796972</v>
      </c>
      <c r="J139" s="65">
        <f t="shared" si="173"/>
        <v>4.2080322028439081</v>
      </c>
      <c r="K139" s="65">
        <f t="shared" si="173"/>
        <v>4.46094170814197</v>
      </c>
      <c r="L139" s="65">
        <f t="shared" si="173"/>
        <v>4.7963236648330279</v>
      </c>
      <c r="M139" s="65">
        <f t="shared" si="173"/>
        <v>4.8039240109929509</v>
      </c>
      <c r="N139" s="65">
        <f t="shared" si="173"/>
        <v>5.1367542155305701</v>
      </c>
      <c r="O139" s="65">
        <f t="shared" si="173"/>
        <v>5.6143472393373495</v>
      </c>
      <c r="P139" s="65">
        <f t="shared" si="173"/>
        <v>5.0420470983409063</v>
      </c>
      <c r="Q139" s="65">
        <f t="shared" si="173"/>
        <v>6.0563035765922768</v>
      </c>
      <c r="R139" s="65">
        <f t="shared" si="173"/>
        <v>5.4124343088836131</v>
      </c>
      <c r="S139" s="65">
        <f t="shared" si="173"/>
        <v>5.8585130785968023</v>
      </c>
      <c r="T139" s="65">
        <f t="shared" si="173"/>
        <v>5.8531191628506383</v>
      </c>
      <c r="U139" s="65">
        <f t="shared" si="173"/>
        <v>6.0976961928481108</v>
      </c>
      <c r="V139" s="65">
        <f t="shared" si="173"/>
        <v>5.6449918890839701</v>
      </c>
      <c r="W139" s="65">
        <f t="shared" si="173"/>
        <v>5.8734051094278135</v>
      </c>
      <c r="X139" s="65">
        <f t="shared" ref="X139:Y139" si="174">IF(X109=0,0,X109/X$26)</f>
        <v>6.0565999842544809</v>
      </c>
      <c r="Y139" s="65">
        <f t="shared" si="174"/>
        <v>6.4974103707736566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15.258772845733214</v>
      </c>
      <c r="C140" s="65">
        <f t="shared" ref="C140:W140" si="176">IF(C110=0,0,C110/C$26)</f>
        <v>15.439922918364319</v>
      </c>
      <c r="D140" s="65">
        <f t="shared" si="176"/>
        <v>15.426244097520513</v>
      </c>
      <c r="E140" s="65">
        <f t="shared" si="176"/>
        <v>15.603863985158451</v>
      </c>
      <c r="F140" s="65">
        <f t="shared" si="176"/>
        <v>15.581489326976518</v>
      </c>
      <c r="G140" s="65">
        <f t="shared" si="176"/>
        <v>15.927680294513785</v>
      </c>
      <c r="H140" s="65">
        <f t="shared" si="176"/>
        <v>15.875959115504596</v>
      </c>
      <c r="I140" s="65">
        <f t="shared" si="176"/>
        <v>16.110296986328283</v>
      </c>
      <c r="J140" s="65">
        <f t="shared" si="176"/>
        <v>16.189585745760073</v>
      </c>
      <c r="K140" s="65">
        <f t="shared" si="176"/>
        <v>16.894016306946625</v>
      </c>
      <c r="L140" s="65">
        <f t="shared" si="176"/>
        <v>16.920408942317117</v>
      </c>
      <c r="M140" s="65">
        <f t="shared" si="176"/>
        <v>17.194440927652327</v>
      </c>
      <c r="N140" s="65">
        <f t="shared" si="176"/>
        <v>17.142552244132727</v>
      </c>
      <c r="O140" s="65">
        <f t="shared" si="176"/>
        <v>17.2661700212923</v>
      </c>
      <c r="P140" s="65">
        <f t="shared" si="176"/>
        <v>17.707062145489267</v>
      </c>
      <c r="Q140" s="65">
        <f t="shared" si="176"/>
        <v>17.542103865961874</v>
      </c>
      <c r="R140" s="65">
        <f t="shared" si="176"/>
        <v>17.506653222871336</v>
      </c>
      <c r="S140" s="65">
        <f t="shared" si="176"/>
        <v>17.440799502206414</v>
      </c>
      <c r="T140" s="65">
        <f t="shared" si="176"/>
        <v>17.260828354395333</v>
      </c>
      <c r="U140" s="65">
        <f t="shared" si="176"/>
        <v>16.902071096457412</v>
      </c>
      <c r="V140" s="65">
        <f t="shared" si="176"/>
        <v>16.33479832378768</v>
      </c>
      <c r="W140" s="65">
        <f t="shared" si="176"/>
        <v>16.057571201581549</v>
      </c>
      <c r="X140" s="65">
        <f t="shared" ref="X140:Y140" si="177">IF(X110=0,0,X110/X$26)</f>
        <v>16.401217387639129</v>
      </c>
      <c r="Y140" s="65">
        <f t="shared" si="177"/>
        <v>16.587243364053752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12.262825761958526</v>
      </c>
      <c r="C141" s="68">
        <f t="shared" ref="C141:W141" si="179">IF(C111=0,0,C111/C$26)</f>
        <v>12.609259994519416</v>
      </c>
      <c r="D141" s="68">
        <f t="shared" si="179"/>
        <v>13.120853599677325</v>
      </c>
      <c r="E141" s="68">
        <f t="shared" si="179"/>
        <v>13.571052285737171</v>
      </c>
      <c r="F141" s="68">
        <f t="shared" si="179"/>
        <v>13.643529878877285</v>
      </c>
      <c r="G141" s="68">
        <f t="shared" si="179"/>
        <v>13.631182599185138</v>
      </c>
      <c r="H141" s="68">
        <f t="shared" si="179"/>
        <v>13.486325551849252</v>
      </c>
      <c r="I141" s="68">
        <f t="shared" si="179"/>
        <v>13.328193861021184</v>
      </c>
      <c r="J141" s="68">
        <f t="shared" si="179"/>
        <v>13.276352877593668</v>
      </c>
      <c r="K141" s="68">
        <f t="shared" si="179"/>
        <v>13.730481285486244</v>
      </c>
      <c r="L141" s="68">
        <f t="shared" si="179"/>
        <v>13.712181182463505</v>
      </c>
      <c r="M141" s="68">
        <f t="shared" si="179"/>
        <v>13.739692866269674</v>
      </c>
      <c r="N141" s="68">
        <f t="shared" si="179"/>
        <v>13.928106060381269</v>
      </c>
      <c r="O141" s="68">
        <f t="shared" si="179"/>
        <v>13.888719515980926</v>
      </c>
      <c r="P141" s="68">
        <f t="shared" si="179"/>
        <v>13.988820332423886</v>
      </c>
      <c r="Q141" s="68">
        <f t="shared" si="179"/>
        <v>13.978831519984947</v>
      </c>
      <c r="R141" s="68">
        <f t="shared" si="179"/>
        <v>14.025286144407143</v>
      </c>
      <c r="S141" s="68">
        <f t="shared" si="179"/>
        <v>13.946492995427354</v>
      </c>
      <c r="T141" s="68">
        <f t="shared" si="179"/>
        <v>13.8830816892994</v>
      </c>
      <c r="U141" s="68">
        <f t="shared" si="179"/>
        <v>13.851745838376857</v>
      </c>
      <c r="V141" s="68">
        <f t="shared" si="179"/>
        <v>13.258133569350395</v>
      </c>
      <c r="W141" s="68">
        <f t="shared" si="179"/>
        <v>13.817394975628909</v>
      </c>
      <c r="X141" s="68">
        <f t="shared" ref="X141:Y141" si="180">IF(X111=0,0,X111/X$26)</f>
        <v>13.773145682604413</v>
      </c>
      <c r="Y141" s="68">
        <f t="shared" si="180"/>
        <v>13.853626721022014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22.043713334564146</v>
      </c>
      <c r="C143" s="82">
        <f t="shared" ref="C143:W143" si="182">IF(C113=0,0,C113/C$26)</f>
        <v>29.314357008087345</v>
      </c>
      <c r="D143" s="82">
        <f t="shared" si="182"/>
        <v>28.000234591162119</v>
      </c>
      <c r="E143" s="82">
        <f t="shared" si="182"/>
        <v>32.588852512548861</v>
      </c>
      <c r="F143" s="82">
        <f t="shared" si="182"/>
        <v>30.940492565287432</v>
      </c>
      <c r="G143" s="82">
        <f t="shared" si="182"/>
        <v>25.29419337584509</v>
      </c>
      <c r="H143" s="82">
        <f t="shared" si="182"/>
        <v>24.896954685297853</v>
      </c>
      <c r="I143" s="82">
        <f t="shared" si="182"/>
        <v>17.789377762784294</v>
      </c>
      <c r="J143" s="82">
        <f t="shared" si="182"/>
        <v>18.84755338490984</v>
      </c>
      <c r="K143" s="82">
        <f t="shared" si="182"/>
        <v>15.3537513678718</v>
      </c>
      <c r="L143" s="82">
        <f t="shared" si="182"/>
        <v>11.787275960946664</v>
      </c>
      <c r="M143" s="82">
        <f t="shared" si="182"/>
        <v>10.46312314721518</v>
      </c>
      <c r="N143" s="82">
        <f t="shared" si="182"/>
        <v>9.4689567401936081</v>
      </c>
      <c r="O143" s="82">
        <f t="shared" si="182"/>
        <v>9.4338275945373535</v>
      </c>
      <c r="P143" s="82">
        <f t="shared" si="182"/>
        <v>8.5612008147343381</v>
      </c>
      <c r="Q143" s="82">
        <f t="shared" si="182"/>
        <v>8.9635970458248533</v>
      </c>
      <c r="R143" s="82">
        <f t="shared" si="182"/>
        <v>8.2522397013757764</v>
      </c>
      <c r="S143" s="82">
        <f t="shared" si="182"/>
        <v>9.4334818660506077</v>
      </c>
      <c r="T143" s="82">
        <f t="shared" si="182"/>
        <v>8.5478506092641062</v>
      </c>
      <c r="U143" s="82">
        <f t="shared" si="182"/>
        <v>8.5519169563610582</v>
      </c>
      <c r="V143" s="82">
        <f t="shared" si="182"/>
        <v>8.1319992744719514</v>
      </c>
      <c r="W143" s="82">
        <f t="shared" si="182"/>
        <v>9.5263221662380921</v>
      </c>
      <c r="X143" s="82">
        <f t="shared" ref="X143:Y143" si="183">IF(X113=0,0,X113/X$26)</f>
        <v>7.5768353433571134</v>
      </c>
      <c r="Y143" s="82">
        <f t="shared" si="183"/>
        <v>6.6191565160135708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22.043713334564146</v>
      </c>
      <c r="C144" s="64">
        <f t="shared" ref="C144:W144" si="185">IF(C114=0,0,C114/C$26)</f>
        <v>29.314357008087345</v>
      </c>
      <c r="D144" s="64">
        <f t="shared" si="185"/>
        <v>28.000234591162119</v>
      </c>
      <c r="E144" s="64">
        <f t="shared" si="185"/>
        <v>32.588852512548861</v>
      </c>
      <c r="F144" s="64">
        <f t="shared" si="185"/>
        <v>30.940492565287432</v>
      </c>
      <c r="G144" s="64">
        <f t="shared" si="185"/>
        <v>25.29419337584509</v>
      </c>
      <c r="H144" s="64">
        <f t="shared" si="185"/>
        <v>24.896954685297853</v>
      </c>
      <c r="I144" s="64">
        <f t="shared" si="185"/>
        <v>17.789377762784294</v>
      </c>
      <c r="J144" s="64">
        <f t="shared" si="185"/>
        <v>18.84755338490984</v>
      </c>
      <c r="K144" s="64">
        <f t="shared" si="185"/>
        <v>15.3537513678718</v>
      </c>
      <c r="L144" s="64">
        <f t="shared" si="185"/>
        <v>11.787275960946664</v>
      </c>
      <c r="M144" s="64">
        <f t="shared" si="185"/>
        <v>10.46312314721518</v>
      </c>
      <c r="N144" s="64">
        <f t="shared" si="185"/>
        <v>9.4689567401936081</v>
      </c>
      <c r="O144" s="64">
        <f t="shared" si="185"/>
        <v>9.4338275945373535</v>
      </c>
      <c r="P144" s="64">
        <f t="shared" si="185"/>
        <v>8.5612008147343381</v>
      </c>
      <c r="Q144" s="64">
        <f t="shared" si="185"/>
        <v>8.9635970458248533</v>
      </c>
      <c r="R144" s="64">
        <f t="shared" si="185"/>
        <v>8.2522397013757764</v>
      </c>
      <c r="S144" s="64">
        <f t="shared" si="185"/>
        <v>9.4334818660506077</v>
      </c>
      <c r="T144" s="64">
        <f t="shared" si="185"/>
        <v>8.5478506092641062</v>
      </c>
      <c r="U144" s="64">
        <f t="shared" si="185"/>
        <v>8.5519169563610582</v>
      </c>
      <c r="V144" s="64">
        <f t="shared" si="185"/>
        <v>8.1319992744719514</v>
      </c>
      <c r="W144" s="64">
        <f t="shared" si="185"/>
        <v>9.5263221662380921</v>
      </c>
      <c r="X144" s="64">
        <f t="shared" ref="X144:Y144" si="186">IF(X114=0,0,X114/X$26)</f>
        <v>7.5768353433571134</v>
      </c>
      <c r="Y144" s="64">
        <f t="shared" si="186"/>
        <v>6.6191565160135708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18.459200345783255</v>
      </c>
      <c r="C145" s="65">
        <f t="shared" ref="C145:W145" si="188">IF(C115=0,0,C115/C$26)</f>
        <v>25.444118886125153</v>
      </c>
      <c r="D145" s="65">
        <f t="shared" si="188"/>
        <v>23.465547803519119</v>
      </c>
      <c r="E145" s="65">
        <f t="shared" si="188"/>
        <v>27.783563929262531</v>
      </c>
      <c r="F145" s="65">
        <f t="shared" si="188"/>
        <v>25.89026752298356</v>
      </c>
      <c r="G145" s="65">
        <f t="shared" si="188"/>
        <v>20.641487000715163</v>
      </c>
      <c r="H145" s="65">
        <f t="shared" si="188"/>
        <v>20.462081536707064</v>
      </c>
      <c r="I145" s="65">
        <f t="shared" si="188"/>
        <v>13.862254398515146</v>
      </c>
      <c r="J145" s="65">
        <f t="shared" si="188"/>
        <v>15.262348820035548</v>
      </c>
      <c r="K145" s="65">
        <f t="shared" si="188"/>
        <v>11.600942172351568</v>
      </c>
      <c r="L145" s="65">
        <f t="shared" si="188"/>
        <v>7.9301139598055164</v>
      </c>
      <c r="M145" s="65">
        <f t="shared" si="188"/>
        <v>6.876335255997664</v>
      </c>
      <c r="N145" s="65">
        <f t="shared" si="188"/>
        <v>6.8854811451212301</v>
      </c>
      <c r="O145" s="65">
        <f t="shared" si="188"/>
        <v>6.8632739246900174</v>
      </c>
      <c r="P145" s="65">
        <f t="shared" si="188"/>
        <v>6.0328360291038177</v>
      </c>
      <c r="Q145" s="65">
        <f t="shared" si="188"/>
        <v>6.4592661751694882</v>
      </c>
      <c r="R145" s="65">
        <f t="shared" si="188"/>
        <v>5.7998979803731068</v>
      </c>
      <c r="S145" s="65">
        <f t="shared" si="188"/>
        <v>6.9378630426844463</v>
      </c>
      <c r="T145" s="65">
        <f t="shared" si="188"/>
        <v>6.1109554283243392</v>
      </c>
      <c r="U145" s="65">
        <f t="shared" si="188"/>
        <v>6.1163846785697977</v>
      </c>
      <c r="V145" s="65">
        <f t="shared" si="188"/>
        <v>5.9048654501174731</v>
      </c>
      <c r="W145" s="65">
        <f t="shared" si="188"/>
        <v>7.1874351765991324</v>
      </c>
      <c r="X145" s="65">
        <f t="shared" ref="X145:Y145" si="189">IF(X115=0,0,X115/X$26)</f>
        <v>5.2151764533247169</v>
      </c>
      <c r="Y145" s="65">
        <f t="shared" si="189"/>
        <v>4.1456554820042495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6.8233954229663491E-4</v>
      </c>
      <c r="C146" s="65">
        <f t="shared" ref="C146:W146" si="191">IF(C116=0,0,C116/C$26)</f>
        <v>7.3011542386953738E-4</v>
      </c>
      <c r="D146" s="65">
        <f t="shared" si="191"/>
        <v>8.6791702546487441E-4</v>
      </c>
      <c r="E146" s="65">
        <f t="shared" si="191"/>
        <v>9.9017591573766998E-4</v>
      </c>
      <c r="F146" s="65">
        <f t="shared" si="191"/>
        <v>1.1174226968908808E-3</v>
      </c>
      <c r="G146" s="65">
        <f t="shared" si="191"/>
        <v>1.2844384500453705E-3</v>
      </c>
      <c r="H146" s="65">
        <f t="shared" si="191"/>
        <v>1.4711613547521818E-3</v>
      </c>
      <c r="I146" s="65">
        <f t="shared" si="191"/>
        <v>1.7872358275855763E-3</v>
      </c>
      <c r="J146" s="65">
        <f t="shared" si="191"/>
        <v>2.0006047017513276E-3</v>
      </c>
      <c r="K146" s="65">
        <f t="shared" si="191"/>
        <v>2.4445145045562723E-3</v>
      </c>
      <c r="L146" s="65">
        <f t="shared" si="191"/>
        <v>2.7291863438341857E-3</v>
      </c>
      <c r="M146" s="65">
        <f t="shared" si="191"/>
        <v>3.0892236167993307E-3</v>
      </c>
      <c r="N146" s="65">
        <f t="shared" si="191"/>
        <v>3.3723100929468099E-3</v>
      </c>
      <c r="O146" s="65">
        <f t="shared" si="191"/>
        <v>4.0069333540225108E-3</v>
      </c>
      <c r="P146" s="65">
        <f t="shared" si="191"/>
        <v>3.9193907160935959E-3</v>
      </c>
      <c r="Q146" s="65">
        <f t="shared" si="191"/>
        <v>5.3444229599140126E-3</v>
      </c>
      <c r="R146" s="65">
        <f t="shared" si="191"/>
        <v>4.707827961911183E-3</v>
      </c>
      <c r="S146" s="65">
        <f t="shared" si="191"/>
        <v>5.5104340360921551E-3</v>
      </c>
      <c r="T146" s="65">
        <f t="shared" si="191"/>
        <v>5.7058538812208544E-3</v>
      </c>
      <c r="U146" s="65">
        <f t="shared" si="191"/>
        <v>6.43291447944681E-3</v>
      </c>
      <c r="V146" s="65">
        <f t="shared" si="191"/>
        <v>5.9432832650847464E-3</v>
      </c>
      <c r="W146" s="65">
        <f t="shared" si="191"/>
        <v>6.302544575796677E-3</v>
      </c>
      <c r="X146" s="65">
        <f t="shared" ref="X146:Y146" si="192">IF(X116=0,0,X116/X$26)</f>
        <v>6.6334332790994165E-3</v>
      </c>
      <c r="Y146" s="65">
        <f t="shared" si="192"/>
        <v>7.2439014497574315E-3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2.3547895339187033</v>
      </c>
      <c r="C147" s="65">
        <f t="shared" ref="C147:W147" si="194">IF(C117=0,0,C117/C$26)</f>
        <v>2.3766694828560624</v>
      </c>
      <c r="D147" s="65">
        <f t="shared" si="194"/>
        <v>2.3491450689573048</v>
      </c>
      <c r="E147" s="65">
        <f t="shared" si="194"/>
        <v>2.3432176359518415</v>
      </c>
      <c r="F147" s="65">
        <f t="shared" si="194"/>
        <v>2.2874620614529015</v>
      </c>
      <c r="G147" s="65">
        <f t="shared" si="194"/>
        <v>2.2297541769757547</v>
      </c>
      <c r="H147" s="65">
        <f t="shared" si="194"/>
        <v>2.0685035543383568</v>
      </c>
      <c r="I147" s="65">
        <f t="shared" si="194"/>
        <v>1.9350081620110913</v>
      </c>
      <c r="J147" s="65">
        <f t="shared" si="194"/>
        <v>1.763187902422543</v>
      </c>
      <c r="K147" s="65">
        <f t="shared" si="194"/>
        <v>1.7201229870683352</v>
      </c>
      <c r="L147" s="65">
        <f t="shared" si="194"/>
        <v>1.4509638720573068</v>
      </c>
      <c r="M147" s="65">
        <f t="shared" si="194"/>
        <v>1.3268460590411153</v>
      </c>
      <c r="N147" s="65">
        <f t="shared" si="194"/>
        <v>1.0506345117097504</v>
      </c>
      <c r="O147" s="65">
        <f t="shared" si="194"/>
        <v>1.0288842763383912</v>
      </c>
      <c r="P147" s="65">
        <f t="shared" si="194"/>
        <v>0.98579998264764856</v>
      </c>
      <c r="Q147" s="65">
        <f t="shared" si="194"/>
        <v>0.95517984868325922</v>
      </c>
      <c r="R147" s="65">
        <f t="shared" si="194"/>
        <v>0.9291136708151696</v>
      </c>
      <c r="S147" s="65">
        <f t="shared" si="194"/>
        <v>0.90765964545970967</v>
      </c>
      <c r="T147" s="65">
        <f t="shared" si="194"/>
        <v>0.86922856494558431</v>
      </c>
      <c r="U147" s="65">
        <f t="shared" si="194"/>
        <v>0.82721377609108027</v>
      </c>
      <c r="V147" s="65">
        <f t="shared" si="194"/>
        <v>0.74565394201258584</v>
      </c>
      <c r="W147" s="65">
        <f t="shared" si="194"/>
        <v>0.78998042507971789</v>
      </c>
      <c r="X147" s="65">
        <f t="shared" ref="X147:Y147" si="195">IF(X117=0,0,X117/X$26)</f>
        <v>0.85692764807957389</v>
      </c>
      <c r="Y147" s="65">
        <f t="shared" si="195"/>
        <v>0.8881646817825013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1.2290411153198835</v>
      </c>
      <c r="C148" s="67">
        <f t="shared" ref="C148:W148" si="197">IF(C118=0,0,C118/C$26)</f>
        <v>1.4928385236822619</v>
      </c>
      <c r="D148" s="67">
        <f t="shared" si="197"/>
        <v>2.1846738016602276</v>
      </c>
      <c r="E148" s="67">
        <f t="shared" si="197"/>
        <v>2.4610807714187466</v>
      </c>
      <c r="F148" s="67">
        <f t="shared" si="197"/>
        <v>2.7616455581540826</v>
      </c>
      <c r="G148" s="67">
        <f t="shared" si="197"/>
        <v>2.4216677597041292</v>
      </c>
      <c r="H148" s="67">
        <f t="shared" si="197"/>
        <v>2.3648984328976774</v>
      </c>
      <c r="I148" s="67">
        <f t="shared" si="197"/>
        <v>1.9903279664304718</v>
      </c>
      <c r="J148" s="67">
        <f t="shared" si="197"/>
        <v>1.8200160577500011</v>
      </c>
      <c r="K148" s="67">
        <f t="shared" si="197"/>
        <v>2.0302416939473393</v>
      </c>
      <c r="L148" s="67">
        <f t="shared" si="197"/>
        <v>2.4034689427400049</v>
      </c>
      <c r="M148" s="67">
        <f t="shared" si="197"/>
        <v>2.2568526085596017</v>
      </c>
      <c r="N148" s="67">
        <f t="shared" si="197"/>
        <v>1.5294687732696823</v>
      </c>
      <c r="O148" s="67">
        <f t="shared" si="197"/>
        <v>1.5376624601549227</v>
      </c>
      <c r="P148" s="67">
        <f t="shared" si="197"/>
        <v>1.5386454122667792</v>
      </c>
      <c r="Q148" s="67">
        <f t="shared" si="197"/>
        <v>1.5438065990121921</v>
      </c>
      <c r="R148" s="67">
        <f t="shared" si="197"/>
        <v>1.5185202222255887</v>
      </c>
      <c r="S148" s="67">
        <f t="shared" si="197"/>
        <v>1.5824487438703589</v>
      </c>
      <c r="T148" s="67">
        <f t="shared" si="197"/>
        <v>1.561960762112961</v>
      </c>
      <c r="U148" s="67">
        <f t="shared" si="197"/>
        <v>1.6018855872207343</v>
      </c>
      <c r="V148" s="67">
        <f t="shared" si="197"/>
        <v>1.4755365990768079</v>
      </c>
      <c r="W148" s="67">
        <f t="shared" si="197"/>
        <v>1.5426040199834439</v>
      </c>
      <c r="X148" s="67">
        <f t="shared" ref="X148:Y148" si="198">IF(X118=0,0,X118/X$26)</f>
        <v>1.4980978086737236</v>
      </c>
      <c r="Y148" s="67">
        <f t="shared" si="198"/>
        <v>1.5780924507770622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11820.019446261551</v>
      </c>
      <c r="C153" s="82">
        <f t="shared" ref="C153:W153" si="203">IF(C99=0,0,C99/C$23)</f>
        <v>13433.547740750057</v>
      </c>
      <c r="D153" s="82">
        <f t="shared" si="203"/>
        <v>13040.298248575775</v>
      </c>
      <c r="E153" s="82">
        <f t="shared" si="203"/>
        <v>14334.1717351884</v>
      </c>
      <c r="F153" s="82">
        <f t="shared" si="203"/>
        <v>13967.181382549454</v>
      </c>
      <c r="G153" s="82">
        <f t="shared" si="203"/>
        <v>12990.275893834631</v>
      </c>
      <c r="H153" s="82">
        <f t="shared" si="203"/>
        <v>13076.741513502406</v>
      </c>
      <c r="I153" s="82">
        <f t="shared" si="203"/>
        <v>11232.760878024974</v>
      </c>
      <c r="J153" s="82">
        <f t="shared" si="203"/>
        <v>11863.859036759983</v>
      </c>
      <c r="K153" s="82">
        <f t="shared" si="203"/>
        <v>10547.808776855305</v>
      </c>
      <c r="L153" s="82">
        <f t="shared" si="203"/>
        <v>10245.350345875117</v>
      </c>
      <c r="M153" s="82">
        <f t="shared" si="203"/>
        <v>9696.8621729110546</v>
      </c>
      <c r="N153" s="82">
        <f t="shared" si="203"/>
        <v>9514.3791629847365</v>
      </c>
      <c r="O153" s="82">
        <f t="shared" si="203"/>
        <v>9386.1848604304887</v>
      </c>
      <c r="P153" s="82">
        <f t="shared" si="203"/>
        <v>8763.0468903098099</v>
      </c>
      <c r="Q153" s="82">
        <f t="shared" si="203"/>
        <v>8917.9618345117706</v>
      </c>
      <c r="R153" s="82">
        <f t="shared" si="203"/>
        <v>8549.0218349341703</v>
      </c>
      <c r="S153" s="82">
        <f t="shared" si="203"/>
        <v>9059.7092602109751</v>
      </c>
      <c r="T153" s="82">
        <f t="shared" si="203"/>
        <v>8647.5430935589011</v>
      </c>
      <c r="U153" s="82">
        <f t="shared" si="203"/>
        <v>8651.19230669647</v>
      </c>
      <c r="V153" s="82">
        <f t="shared" si="203"/>
        <v>8297.8951841718062</v>
      </c>
      <c r="W153" s="82">
        <f t="shared" si="203"/>
        <v>8763.5283181099785</v>
      </c>
      <c r="X153" s="82">
        <f t="shared" ref="X153:Y153" si="204">IF(X99=0,0,X99/X$23)</f>
        <v>7960.9798395343923</v>
      </c>
      <c r="Y153" s="82">
        <f t="shared" si="204"/>
        <v>7394.7054637104275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9492.0847096983216</v>
      </c>
      <c r="C154" s="64">
        <f t="shared" ref="C154:W154" si="206">IF(C100=0,0,C100/C$23)</f>
        <v>11088.860872107001</v>
      </c>
      <c r="D154" s="64">
        <f t="shared" si="206"/>
        <v>10664.600736946095</v>
      </c>
      <c r="E154" s="64">
        <f t="shared" si="206"/>
        <v>11936.506248298647</v>
      </c>
      <c r="F154" s="64">
        <f t="shared" si="206"/>
        <v>11533.485896638684</v>
      </c>
      <c r="G154" s="64">
        <f t="shared" si="206"/>
        <v>10543.185044277585</v>
      </c>
      <c r="H154" s="64">
        <f t="shared" si="206"/>
        <v>10621.183174481537</v>
      </c>
      <c r="I154" s="64">
        <f t="shared" si="206"/>
        <v>8759.295462073309</v>
      </c>
      <c r="J154" s="64">
        <f t="shared" si="206"/>
        <v>9392.2099512244604</v>
      </c>
      <c r="K154" s="64">
        <f t="shared" si="206"/>
        <v>8074.1522931524523</v>
      </c>
      <c r="L154" s="64">
        <f t="shared" si="206"/>
        <v>7771.7608224935075</v>
      </c>
      <c r="M154" s="64">
        <f t="shared" si="206"/>
        <v>7233.8273449021299</v>
      </c>
      <c r="N154" s="64">
        <f t="shared" si="206"/>
        <v>7067.4367727353892</v>
      </c>
      <c r="O154" s="64">
        <f t="shared" si="206"/>
        <v>6934.2705649347326</v>
      </c>
      <c r="P154" s="64">
        <f t="shared" si="206"/>
        <v>6296.0762762309159</v>
      </c>
      <c r="Q154" s="64">
        <f t="shared" si="206"/>
        <v>6417.785854073134</v>
      </c>
      <c r="R154" s="64">
        <f t="shared" si="206"/>
        <v>6096.3198784577735</v>
      </c>
      <c r="S154" s="64">
        <f t="shared" si="206"/>
        <v>6611.402420130471</v>
      </c>
      <c r="T154" s="64">
        <f t="shared" si="206"/>
        <v>6242.0469602893354</v>
      </c>
      <c r="U154" s="64">
        <f t="shared" si="206"/>
        <v>6274.6778601635197</v>
      </c>
      <c r="V154" s="64">
        <f t="shared" si="206"/>
        <v>5982.2498029812832</v>
      </c>
      <c r="W154" s="64">
        <f t="shared" si="206"/>
        <v>6496.8710015605084</v>
      </c>
      <c r="X154" s="64">
        <f t="shared" ref="X154:Y154" si="207">IF(X100=0,0,X100/X$23)</f>
        <v>5744.1401460307861</v>
      </c>
      <c r="Y154" s="64">
        <f t="shared" si="207"/>
        <v>5209.694616982616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7374.8608700500936</v>
      </c>
      <c r="C155" s="65">
        <f t="shared" ref="C155:W155" si="209">IF(C101=0,0,C101/C$23)</f>
        <v>8942.9741076512328</v>
      </c>
      <c r="D155" s="65">
        <f t="shared" si="209"/>
        <v>8447.6531990264066</v>
      </c>
      <c r="E155" s="65">
        <f t="shared" si="209"/>
        <v>9674.1297111281201</v>
      </c>
      <c r="F155" s="65">
        <f t="shared" si="209"/>
        <v>9261.3709784765379</v>
      </c>
      <c r="G155" s="65">
        <f t="shared" si="209"/>
        <v>8279.7062824134682</v>
      </c>
      <c r="H155" s="65">
        <f t="shared" si="209"/>
        <v>8382.1957093932142</v>
      </c>
      <c r="I155" s="65">
        <f t="shared" si="209"/>
        <v>6552.8634224034467</v>
      </c>
      <c r="J155" s="65">
        <f t="shared" si="209"/>
        <v>7252.1779330835516</v>
      </c>
      <c r="K155" s="65">
        <f t="shared" si="209"/>
        <v>5883.9753524242278</v>
      </c>
      <c r="L155" s="65">
        <f t="shared" si="209"/>
        <v>5624.6165192540384</v>
      </c>
      <c r="M155" s="65">
        <f t="shared" si="209"/>
        <v>5118.1566438403188</v>
      </c>
      <c r="N155" s="65">
        <f t="shared" si="209"/>
        <v>5028.6551789180266</v>
      </c>
      <c r="O155" s="65">
        <f t="shared" si="209"/>
        <v>4896.1440877556179</v>
      </c>
      <c r="P155" s="65">
        <f t="shared" si="209"/>
        <v>4256.8656515024441</v>
      </c>
      <c r="Q155" s="65">
        <f t="shared" si="209"/>
        <v>4388.0067739633532</v>
      </c>
      <c r="R155" s="65">
        <f t="shared" si="209"/>
        <v>4091.4319662725425</v>
      </c>
      <c r="S155" s="65">
        <f t="shared" si="209"/>
        <v>4634.7221696225288</v>
      </c>
      <c r="T155" s="65">
        <f t="shared" si="209"/>
        <v>4313.6148134958758</v>
      </c>
      <c r="U155" s="65">
        <f t="shared" si="209"/>
        <v>4374.0790083555912</v>
      </c>
      <c r="V155" s="65">
        <f t="shared" si="209"/>
        <v>4118.2700399574323</v>
      </c>
      <c r="W155" s="65">
        <f t="shared" si="209"/>
        <v>4637.9262182155944</v>
      </c>
      <c r="X155" s="65">
        <f t="shared" ref="X155:Y155" si="210">IF(X101=0,0,X101/X$23)</f>
        <v>3918.1174217745734</v>
      </c>
      <c r="Y155" s="65">
        <f t="shared" si="210"/>
        <v>3373.9319321443418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87.382299740744486</v>
      </c>
      <c r="C156" s="65">
        <f t="shared" ref="C156:W156" si="212">IF(C102=0,0,C102/C$23)</f>
        <v>86.146068070009491</v>
      </c>
      <c r="D156" s="65">
        <f t="shared" si="212"/>
        <v>87.644941685580633</v>
      </c>
      <c r="E156" s="65">
        <f t="shared" si="212"/>
        <v>96.130621193184524</v>
      </c>
      <c r="F156" s="65">
        <f t="shared" si="212"/>
        <v>84.696844823941746</v>
      </c>
      <c r="G156" s="65">
        <f t="shared" si="212"/>
        <v>84.915755668766664</v>
      </c>
      <c r="H156" s="65">
        <f t="shared" si="212"/>
        <v>87.330387447999428</v>
      </c>
      <c r="I156" s="65">
        <f t="shared" si="212"/>
        <v>86.588265927644088</v>
      </c>
      <c r="J156" s="65">
        <f t="shared" si="212"/>
        <v>80.776039989830196</v>
      </c>
      <c r="K156" s="65">
        <f t="shared" si="212"/>
        <v>82.572985741638931</v>
      </c>
      <c r="L156" s="65">
        <f t="shared" si="212"/>
        <v>86.189525883814156</v>
      </c>
      <c r="M156" s="65">
        <f t="shared" si="212"/>
        <v>82.686186842506118</v>
      </c>
      <c r="N156" s="65">
        <f t="shared" si="212"/>
        <v>84.133387660675396</v>
      </c>
      <c r="O156" s="65">
        <f t="shared" si="212"/>
        <v>87.980672393285559</v>
      </c>
      <c r="P156" s="65">
        <f t="shared" si="212"/>
        <v>75.321105885803576</v>
      </c>
      <c r="Q156" s="65">
        <f t="shared" si="212"/>
        <v>85.949866650097647</v>
      </c>
      <c r="R156" s="65">
        <f t="shared" si="212"/>
        <v>73.059177531535354</v>
      </c>
      <c r="S156" s="65">
        <f t="shared" si="212"/>
        <v>75.587336108143177</v>
      </c>
      <c r="T156" s="65">
        <f t="shared" si="212"/>
        <v>72.611266965567054</v>
      </c>
      <c r="U156" s="65">
        <f t="shared" si="212"/>
        <v>73.879484551569888</v>
      </c>
      <c r="V156" s="65">
        <f t="shared" si="212"/>
        <v>69.002241778043611</v>
      </c>
      <c r="W156" s="65">
        <f t="shared" si="212"/>
        <v>69.690047389578424</v>
      </c>
      <c r="X156" s="65">
        <f t="shared" ref="X156:Y156" si="213">IF(X102=0,0,X102/X$23)</f>
        <v>69.434359105854739</v>
      </c>
      <c r="Y156" s="65">
        <f t="shared" si="213"/>
        <v>73.367134968329594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1138.4518214645921</v>
      </c>
      <c r="C157" s="65">
        <f t="shared" ref="C157:W157" si="215">IF(C103=0,0,C103/C$23)</f>
        <v>1138.486001261077</v>
      </c>
      <c r="D157" s="65">
        <f t="shared" si="215"/>
        <v>1134.4886025326521</v>
      </c>
      <c r="E157" s="65">
        <f t="shared" si="215"/>
        <v>1131.7149389993631</v>
      </c>
      <c r="F157" s="65">
        <f t="shared" si="215"/>
        <v>1128.1478075393086</v>
      </c>
      <c r="G157" s="65">
        <f t="shared" si="215"/>
        <v>1145.601618819406</v>
      </c>
      <c r="H157" s="65">
        <f t="shared" si="215"/>
        <v>1134.1323716393297</v>
      </c>
      <c r="I157" s="65">
        <f t="shared" si="215"/>
        <v>1132.4945547774785</v>
      </c>
      <c r="J157" s="65">
        <f t="shared" si="215"/>
        <v>1096.876222887335</v>
      </c>
      <c r="K157" s="65">
        <f t="shared" si="215"/>
        <v>1126.4573662188629</v>
      </c>
      <c r="L157" s="65">
        <f t="shared" si="215"/>
        <v>1064.9449698771202</v>
      </c>
      <c r="M157" s="65">
        <f t="shared" si="215"/>
        <v>1052.9478289937013</v>
      </c>
      <c r="N157" s="65">
        <f t="shared" si="215"/>
        <v>1014.4442693234483</v>
      </c>
      <c r="O157" s="65">
        <f t="shared" si="215"/>
        <v>1016.835266668395</v>
      </c>
      <c r="P157" s="65">
        <f t="shared" si="215"/>
        <v>1029.4592489910488</v>
      </c>
      <c r="Q157" s="65">
        <f t="shared" si="215"/>
        <v>1014.7054958982239</v>
      </c>
      <c r="R157" s="65">
        <f t="shared" si="215"/>
        <v>1006.2212669558148</v>
      </c>
      <c r="S157" s="65">
        <f t="shared" si="215"/>
        <v>985.01285116701035</v>
      </c>
      <c r="T157" s="65">
        <f t="shared" si="215"/>
        <v>954.2562888815346</v>
      </c>
      <c r="U157" s="65">
        <f t="shared" si="215"/>
        <v>928.09552719663975</v>
      </c>
      <c r="V157" s="65">
        <f t="shared" si="215"/>
        <v>913.88764028754144</v>
      </c>
      <c r="W157" s="65">
        <f t="shared" si="215"/>
        <v>884.75502713787841</v>
      </c>
      <c r="X157" s="65">
        <f t="shared" ref="X157:Y157" si="216">IF(X103=0,0,X103/X$23)</f>
        <v>880.30396887481129</v>
      </c>
      <c r="Y157" s="65">
        <f t="shared" si="216"/>
        <v>884.46481548770419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891.38971844289256</v>
      </c>
      <c r="C158" s="67">
        <f t="shared" ref="C158:W158" si="218">IF(C104=0,0,C104/C$23)</f>
        <v>921.25469512467976</v>
      </c>
      <c r="D158" s="67">
        <f t="shared" si="218"/>
        <v>994.81399370145675</v>
      </c>
      <c r="E158" s="67">
        <f t="shared" si="218"/>
        <v>1034.5309769779783</v>
      </c>
      <c r="F158" s="67">
        <f t="shared" si="218"/>
        <v>1059.2702657988955</v>
      </c>
      <c r="G158" s="67">
        <f t="shared" si="218"/>
        <v>1032.9613873759447</v>
      </c>
      <c r="H158" s="67">
        <f t="shared" si="218"/>
        <v>1017.5247060009946</v>
      </c>
      <c r="I158" s="67">
        <f t="shared" si="218"/>
        <v>987.34921896473952</v>
      </c>
      <c r="J158" s="67">
        <f t="shared" si="218"/>
        <v>962.37975526374453</v>
      </c>
      <c r="K158" s="67">
        <f t="shared" si="218"/>
        <v>981.14658876772307</v>
      </c>
      <c r="L158" s="67">
        <f t="shared" si="218"/>
        <v>996.00980747853475</v>
      </c>
      <c r="M158" s="67">
        <f t="shared" si="218"/>
        <v>980.0366852256044</v>
      </c>
      <c r="N158" s="67">
        <f t="shared" si="218"/>
        <v>940.20393683323994</v>
      </c>
      <c r="O158" s="67">
        <f t="shared" si="218"/>
        <v>933.3105381174347</v>
      </c>
      <c r="P158" s="67">
        <f t="shared" si="218"/>
        <v>934.43026985162101</v>
      </c>
      <c r="Q158" s="67">
        <f t="shared" si="218"/>
        <v>929.12371756145956</v>
      </c>
      <c r="R158" s="67">
        <f t="shared" si="218"/>
        <v>925.60746769788148</v>
      </c>
      <c r="S158" s="67">
        <f t="shared" si="218"/>
        <v>916.08006323278926</v>
      </c>
      <c r="T158" s="67">
        <f t="shared" si="218"/>
        <v>901.56459094635784</v>
      </c>
      <c r="U158" s="67">
        <f t="shared" si="218"/>
        <v>898.6238400597183</v>
      </c>
      <c r="V158" s="67">
        <f t="shared" si="218"/>
        <v>881.08988095826692</v>
      </c>
      <c r="W158" s="67">
        <f t="shared" si="218"/>
        <v>904.49970881745787</v>
      </c>
      <c r="X158" s="67">
        <f t="shared" ref="X158:Y158" si="219">IF(X104=0,0,X104/X$23)</f>
        <v>876.28439627554678</v>
      </c>
      <c r="Y158" s="67">
        <f t="shared" si="219"/>
        <v>877.9307343822411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2327.9347365632298</v>
      </c>
      <c r="C159" s="68">
        <f t="shared" ref="C159:W159" si="221">IF(C105=0,0,C105/C$23)</f>
        <v>2344.6868686430553</v>
      </c>
      <c r="D159" s="68">
        <f t="shared" si="221"/>
        <v>2375.6975116296785</v>
      </c>
      <c r="E159" s="68">
        <f t="shared" si="221"/>
        <v>2397.6654868897526</v>
      </c>
      <c r="F159" s="68">
        <f t="shared" si="221"/>
        <v>2433.69548591077</v>
      </c>
      <c r="G159" s="68">
        <f t="shared" si="221"/>
        <v>2447.0908495570484</v>
      </c>
      <c r="H159" s="68">
        <f t="shared" si="221"/>
        <v>2455.5583390208703</v>
      </c>
      <c r="I159" s="68">
        <f t="shared" si="221"/>
        <v>2473.4654159516649</v>
      </c>
      <c r="J159" s="68">
        <f t="shared" si="221"/>
        <v>2471.6490855355241</v>
      </c>
      <c r="K159" s="68">
        <f t="shared" si="221"/>
        <v>2473.6564837028491</v>
      </c>
      <c r="L159" s="68">
        <f t="shared" si="221"/>
        <v>2473.5895233816082</v>
      </c>
      <c r="M159" s="68">
        <f t="shared" si="221"/>
        <v>2463.0348280089224</v>
      </c>
      <c r="N159" s="68">
        <f t="shared" si="221"/>
        <v>2446.942390249345</v>
      </c>
      <c r="O159" s="68">
        <f t="shared" si="221"/>
        <v>2451.914295495757</v>
      </c>
      <c r="P159" s="68">
        <f t="shared" si="221"/>
        <v>2466.9706140788935</v>
      </c>
      <c r="Q159" s="68">
        <f t="shared" si="221"/>
        <v>2500.1759804386375</v>
      </c>
      <c r="R159" s="68">
        <f t="shared" si="221"/>
        <v>2452.7019564763941</v>
      </c>
      <c r="S159" s="68">
        <f t="shared" si="221"/>
        <v>2448.3068400805037</v>
      </c>
      <c r="T159" s="68">
        <f t="shared" si="221"/>
        <v>2405.4961332695652</v>
      </c>
      <c r="U159" s="68">
        <f t="shared" si="221"/>
        <v>2376.5144465329508</v>
      </c>
      <c r="V159" s="68">
        <f t="shared" si="221"/>
        <v>2315.645381190523</v>
      </c>
      <c r="W159" s="68">
        <f t="shared" si="221"/>
        <v>2266.6573165494697</v>
      </c>
      <c r="X159" s="68">
        <f t="shared" ref="X159:Y159" si="222">IF(X105=0,0,X105/X$23)</f>
        <v>2216.8396935036071</v>
      </c>
      <c r="Y159" s="68">
        <f t="shared" si="222"/>
        <v>2185.010846727811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6244.5278691359908</v>
      </c>
      <c r="C161" s="85">
        <f t="shared" ref="C161:W161" si="224">IF(C107=0,0,C107/C$23)</f>
        <v>7136.6456173589386</v>
      </c>
      <c r="D161" s="85">
        <f t="shared" si="224"/>
        <v>6968.5823890888341</v>
      </c>
      <c r="E161" s="85">
        <f t="shared" si="224"/>
        <v>7805.0328375219851</v>
      </c>
      <c r="F161" s="85">
        <f t="shared" si="224"/>
        <v>7620.7257534200062</v>
      </c>
      <c r="G161" s="85">
        <f t="shared" si="224"/>
        <v>7340.3483665633221</v>
      </c>
      <c r="H161" s="85">
        <f t="shared" si="224"/>
        <v>7498.441076451787</v>
      </c>
      <c r="I161" s="85">
        <f t="shared" si="224"/>
        <v>6440.1174235236058</v>
      </c>
      <c r="J161" s="85">
        <f t="shared" si="224"/>
        <v>7020.5665910582184</v>
      </c>
      <c r="K161" s="85">
        <f t="shared" si="224"/>
        <v>6197.9049822860179</v>
      </c>
      <c r="L161" s="85">
        <f t="shared" si="224"/>
        <v>6242.2918810552474</v>
      </c>
      <c r="M161" s="85">
        <f t="shared" si="224"/>
        <v>5991.7695761999239</v>
      </c>
      <c r="N161" s="85">
        <f t="shared" si="224"/>
        <v>6024.6351445968539</v>
      </c>
      <c r="O161" s="85">
        <f t="shared" si="224"/>
        <v>6027.293261774762</v>
      </c>
      <c r="P161" s="85">
        <f t="shared" si="224"/>
        <v>5587.5109946690645</v>
      </c>
      <c r="Q161" s="85">
        <f t="shared" si="224"/>
        <v>5682.4298156239456</v>
      </c>
      <c r="R161" s="85">
        <f t="shared" si="224"/>
        <v>5525.6101121105767</v>
      </c>
      <c r="S161" s="85">
        <f t="shared" si="224"/>
        <v>6029.5000280241329</v>
      </c>
      <c r="T161" s="85">
        <f t="shared" si="224"/>
        <v>5803.1485884581743</v>
      </c>
      <c r="U161" s="85">
        <f t="shared" si="224"/>
        <v>5980.6363516805186</v>
      </c>
      <c r="V161" s="85">
        <f t="shared" si="224"/>
        <v>5583.1398900366485</v>
      </c>
      <c r="W161" s="85">
        <f t="shared" si="224"/>
        <v>6017.3235512202227</v>
      </c>
      <c r="X161" s="85">
        <f t="shared" ref="X161:Y161" si="225">IF(X107=0,0,X107/X$23)</f>
        <v>5663.0568050431029</v>
      </c>
      <c r="Y161" s="85">
        <f t="shared" si="225"/>
        <v>5488.2769741020529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4644.4369536838167</v>
      </c>
      <c r="C162" s="65">
        <f t="shared" ref="C162:W162" si="227">IF(C108=0,0,C108/C$23)</f>
        <v>5516.7185486148655</v>
      </c>
      <c r="D162" s="65">
        <f t="shared" si="227"/>
        <v>5309.9610213972455</v>
      </c>
      <c r="E162" s="65">
        <f t="shared" si="227"/>
        <v>6095.8658547158648</v>
      </c>
      <c r="F162" s="65">
        <f t="shared" si="227"/>
        <v>5919.2362091485311</v>
      </c>
      <c r="G162" s="65">
        <f t="shared" si="227"/>
        <v>5616.5846283517776</v>
      </c>
      <c r="H162" s="65">
        <f t="shared" si="227"/>
        <v>5772.4484420614981</v>
      </c>
      <c r="I162" s="65">
        <f t="shared" si="227"/>
        <v>4696.3827372107226</v>
      </c>
      <c r="J162" s="65">
        <f t="shared" si="227"/>
        <v>5294.7458838135426</v>
      </c>
      <c r="K162" s="65">
        <f t="shared" si="227"/>
        <v>4436.7605404290807</v>
      </c>
      <c r="L162" s="65">
        <f t="shared" si="227"/>
        <v>4470.296597636855</v>
      </c>
      <c r="M162" s="65">
        <f t="shared" si="227"/>
        <v>4220.4760900056235</v>
      </c>
      <c r="N162" s="65">
        <f t="shared" si="227"/>
        <v>4249.8541853077104</v>
      </c>
      <c r="O162" s="65">
        <f t="shared" si="227"/>
        <v>4231.3758467561556</v>
      </c>
      <c r="P162" s="65">
        <f t="shared" si="227"/>
        <v>3800.5793394998122</v>
      </c>
      <c r="Q162" s="65">
        <f t="shared" si="227"/>
        <v>3861.6485592005151</v>
      </c>
      <c r="R162" s="65">
        <f t="shared" si="227"/>
        <v>3739.3820289617033</v>
      </c>
      <c r="S162" s="65">
        <f t="shared" si="227"/>
        <v>4237.7752908312768</v>
      </c>
      <c r="T162" s="65">
        <f t="shared" si="227"/>
        <v>4033.5560532733866</v>
      </c>
      <c r="U162" s="65">
        <f t="shared" si="227"/>
        <v>4215.603170799397</v>
      </c>
      <c r="V162" s="65">
        <f t="shared" si="227"/>
        <v>3837.9608998893118</v>
      </c>
      <c r="W162" s="65">
        <f t="shared" si="227"/>
        <v>4263.3514442598071</v>
      </c>
      <c r="X162" s="65">
        <f t="shared" ref="X162:Y162" si="228">IF(X108=0,0,X108/X$23)</f>
        <v>3918.9396681874205</v>
      </c>
      <c r="Y162" s="65">
        <f t="shared" si="228"/>
        <v>3715.8401740858353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162.92949192262728</v>
      </c>
      <c r="C163" s="65">
        <f t="shared" ref="C163:W163" si="230">IF(C109=0,0,C109/C$23)</f>
        <v>166.51443298405121</v>
      </c>
      <c r="D163" s="65">
        <f t="shared" si="230"/>
        <v>176.49384792945554</v>
      </c>
      <c r="E163" s="65">
        <f t="shared" si="230"/>
        <v>200.91487186536904</v>
      </c>
      <c r="F163" s="65">
        <f t="shared" si="230"/>
        <v>184.61195793893694</v>
      </c>
      <c r="G163" s="65">
        <f t="shared" si="230"/>
        <v>193.79860971410335</v>
      </c>
      <c r="H163" s="65">
        <f t="shared" si="230"/>
        <v>208.89217539182206</v>
      </c>
      <c r="I163" s="65">
        <f t="shared" si="230"/>
        <v>218.47832803849926</v>
      </c>
      <c r="J163" s="65">
        <f t="shared" si="230"/>
        <v>215.66536212505463</v>
      </c>
      <c r="K163" s="65">
        <f t="shared" si="230"/>
        <v>223.92088716453105</v>
      </c>
      <c r="L163" s="65">
        <f t="shared" si="230"/>
        <v>239.89058660679933</v>
      </c>
      <c r="M163" s="65">
        <f t="shared" si="230"/>
        <v>238.09797821956539</v>
      </c>
      <c r="N163" s="65">
        <f t="shared" si="230"/>
        <v>251.78859630538093</v>
      </c>
      <c r="O163" s="65">
        <f t="shared" si="230"/>
        <v>274.22119317694035</v>
      </c>
      <c r="P163" s="65">
        <f t="shared" si="230"/>
        <v>245.24500076082722</v>
      </c>
      <c r="Q163" s="65">
        <f t="shared" si="230"/>
        <v>293.45434470218709</v>
      </c>
      <c r="R163" s="65">
        <f t="shared" si="230"/>
        <v>261.68645449156531</v>
      </c>
      <c r="S163" s="65">
        <f t="shared" si="230"/>
        <v>281.82617193246097</v>
      </c>
      <c r="T163" s="65">
        <f t="shared" si="230"/>
        <v>279.95858587194596</v>
      </c>
      <c r="U163" s="65">
        <f t="shared" si="230"/>
        <v>292.05411647601119</v>
      </c>
      <c r="V163" s="65">
        <f t="shared" si="230"/>
        <v>279.57155777014543</v>
      </c>
      <c r="W163" s="65">
        <f t="shared" si="230"/>
        <v>288.17505145096465</v>
      </c>
      <c r="X163" s="65">
        <f t="shared" ref="X163:Y163" si="231">IF(X109=0,0,X109/X$23)</f>
        <v>291.55779844241988</v>
      </c>
      <c r="Y163" s="65">
        <f t="shared" si="231"/>
        <v>311.77004191440557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796.80399445107582</v>
      </c>
      <c r="C164" s="65">
        <f t="shared" ref="C164:W164" si="233">IF(C110=0,0,C110/C$23)</f>
        <v>800.04394903082596</v>
      </c>
      <c r="D164" s="65">
        <f t="shared" si="233"/>
        <v>800.91017118519892</v>
      </c>
      <c r="E164" s="65">
        <f t="shared" si="233"/>
        <v>806.67106551134373</v>
      </c>
      <c r="F164" s="65">
        <f t="shared" si="233"/>
        <v>808.73212624052553</v>
      </c>
      <c r="G164" s="65">
        <f t="shared" si="233"/>
        <v>824.41586187189432</v>
      </c>
      <c r="H164" s="65">
        <f t="shared" si="233"/>
        <v>820.28442725208117</v>
      </c>
      <c r="I164" s="65">
        <f t="shared" si="233"/>
        <v>834.70083570191764</v>
      </c>
      <c r="J164" s="65">
        <f t="shared" si="233"/>
        <v>829.73054962704225</v>
      </c>
      <c r="K164" s="65">
        <f t="shared" si="233"/>
        <v>848.00998684180752</v>
      </c>
      <c r="L164" s="65">
        <f t="shared" si="233"/>
        <v>846.28292635057016</v>
      </c>
      <c r="M164" s="65">
        <f t="shared" si="233"/>
        <v>852.21198589349933</v>
      </c>
      <c r="N164" s="65">
        <f t="shared" si="233"/>
        <v>840.27753432154634</v>
      </c>
      <c r="O164" s="65">
        <f t="shared" si="233"/>
        <v>843.33040743549111</v>
      </c>
      <c r="P164" s="65">
        <f t="shared" si="233"/>
        <v>861.27090537719482</v>
      </c>
      <c r="Q164" s="65">
        <f t="shared" si="233"/>
        <v>849.99150547537124</v>
      </c>
      <c r="R164" s="65">
        <f t="shared" si="233"/>
        <v>846.43133763067874</v>
      </c>
      <c r="S164" s="65">
        <f t="shared" si="233"/>
        <v>838.99680570921976</v>
      </c>
      <c r="T164" s="65">
        <f t="shared" si="233"/>
        <v>825.59691040382427</v>
      </c>
      <c r="U164" s="65">
        <f t="shared" si="233"/>
        <v>809.53843625078014</v>
      </c>
      <c r="V164" s="65">
        <f t="shared" si="233"/>
        <v>808.99053585416959</v>
      </c>
      <c r="W164" s="65">
        <f t="shared" si="233"/>
        <v>787.85497015445799</v>
      </c>
      <c r="X164" s="65">
        <f t="shared" ref="X164:Y164" si="234">IF(X110=0,0,X110/X$23)</f>
        <v>789.53585274696252</v>
      </c>
      <c r="Y164" s="65">
        <f t="shared" si="234"/>
        <v>795.91795249954589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640.35742907847134</v>
      </c>
      <c r="C165" s="68">
        <f t="shared" ref="C165:W165" si="236">IF(C111=0,0,C111/C$23)</f>
        <v>653.36868672919695</v>
      </c>
      <c r="D165" s="68">
        <f t="shared" si="236"/>
        <v>681.21734857693389</v>
      </c>
      <c r="E165" s="68">
        <f t="shared" si="236"/>
        <v>701.58104542940839</v>
      </c>
      <c r="F165" s="68">
        <f t="shared" si="236"/>
        <v>708.14546009201229</v>
      </c>
      <c r="G165" s="68">
        <f t="shared" si="236"/>
        <v>705.54926662554749</v>
      </c>
      <c r="H165" s="68">
        <f t="shared" si="236"/>
        <v>696.81603174638553</v>
      </c>
      <c r="I165" s="68">
        <f t="shared" si="236"/>
        <v>690.55552257246586</v>
      </c>
      <c r="J165" s="68">
        <f t="shared" si="236"/>
        <v>680.42479549257826</v>
      </c>
      <c r="K165" s="68">
        <f t="shared" si="236"/>
        <v>689.21356785059845</v>
      </c>
      <c r="L165" s="68">
        <f t="shared" si="236"/>
        <v>685.8217704610222</v>
      </c>
      <c r="M165" s="68">
        <f t="shared" si="236"/>
        <v>680.98352208123538</v>
      </c>
      <c r="N165" s="68">
        <f t="shared" si="236"/>
        <v>682.71482866221595</v>
      </c>
      <c r="O165" s="68">
        <f t="shared" si="236"/>
        <v>678.3658144061759</v>
      </c>
      <c r="P165" s="68">
        <f t="shared" si="236"/>
        <v>680.4157490312308</v>
      </c>
      <c r="Q165" s="68">
        <f t="shared" si="236"/>
        <v>677.3354062458726</v>
      </c>
      <c r="R165" s="68">
        <f t="shared" si="236"/>
        <v>678.11029102662951</v>
      </c>
      <c r="S165" s="68">
        <f t="shared" si="236"/>
        <v>670.90175955117616</v>
      </c>
      <c r="T165" s="68">
        <f t="shared" si="236"/>
        <v>664.03703890901772</v>
      </c>
      <c r="U165" s="68">
        <f t="shared" si="236"/>
        <v>663.44062815433006</v>
      </c>
      <c r="V165" s="68">
        <f t="shared" si="236"/>
        <v>656.61689652302221</v>
      </c>
      <c r="W165" s="68">
        <f t="shared" si="236"/>
        <v>677.94208535499274</v>
      </c>
      <c r="X165" s="68">
        <f t="shared" ref="X165:Y165" si="237">IF(X111=0,0,X111/X$23)</f>
        <v>663.02348566629985</v>
      </c>
      <c r="Y165" s="68">
        <f t="shared" si="237"/>
        <v>664.74880560226575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1151.1095299139138</v>
      </c>
      <c r="C167" s="82">
        <f t="shared" ref="C167:W167" si="239">IF(C113=0,0,C113/C$23)</f>
        <v>1518.9696262119824</v>
      </c>
      <c r="D167" s="82">
        <f t="shared" si="239"/>
        <v>1453.7351112729962</v>
      </c>
      <c r="E167" s="82">
        <f t="shared" si="239"/>
        <v>1684.7419591130763</v>
      </c>
      <c r="F167" s="82">
        <f t="shared" si="239"/>
        <v>1605.9164701240747</v>
      </c>
      <c r="G167" s="82">
        <f t="shared" si="239"/>
        <v>1309.2260672437271</v>
      </c>
      <c r="H167" s="82">
        <f t="shared" si="239"/>
        <v>1286.3842786295475</v>
      </c>
      <c r="I167" s="82">
        <f t="shared" si="239"/>
        <v>921.69675691356508</v>
      </c>
      <c r="J167" s="82">
        <f t="shared" si="239"/>
        <v>965.95373561561541</v>
      </c>
      <c r="K167" s="82">
        <f t="shared" si="239"/>
        <v>770.69503538288996</v>
      </c>
      <c r="L167" s="82">
        <f t="shared" si="239"/>
        <v>589.54664913468832</v>
      </c>
      <c r="M167" s="82">
        <f t="shared" si="239"/>
        <v>518.58615196940639</v>
      </c>
      <c r="N167" s="82">
        <f t="shared" si="239"/>
        <v>464.14043305427356</v>
      </c>
      <c r="O167" s="82">
        <f t="shared" si="239"/>
        <v>460.77582110950993</v>
      </c>
      <c r="P167" s="82">
        <f t="shared" si="239"/>
        <v>416.41651880126062</v>
      </c>
      <c r="Q167" s="82">
        <f t="shared" si="239"/>
        <v>434.32540393509356</v>
      </c>
      <c r="R167" s="82">
        <f t="shared" si="239"/>
        <v>398.98855594849448</v>
      </c>
      <c r="S167" s="82">
        <f t="shared" si="239"/>
        <v>453.80151015043981</v>
      </c>
      <c r="T167" s="82">
        <f t="shared" si="239"/>
        <v>408.84938478661508</v>
      </c>
      <c r="U167" s="82">
        <f t="shared" si="239"/>
        <v>409.60101518269619</v>
      </c>
      <c r="V167" s="82">
        <f t="shared" si="239"/>
        <v>402.74206759201201</v>
      </c>
      <c r="W167" s="82">
        <f t="shared" si="239"/>
        <v>467.40320635938031</v>
      </c>
      <c r="X167" s="82">
        <f t="shared" ref="X167:Y167" si="240">IF(X113=0,0,X113/X$23)</f>
        <v>364.74019047203711</v>
      </c>
      <c r="Y167" s="82">
        <f t="shared" si="240"/>
        <v>317.61187714388421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1151.1095299139138</v>
      </c>
      <c r="C168" s="64">
        <f t="shared" ref="C168:W168" si="242">IF(C114=0,0,C114/C$23)</f>
        <v>1518.9696262119824</v>
      </c>
      <c r="D168" s="64">
        <f t="shared" si="242"/>
        <v>1453.7351112729962</v>
      </c>
      <c r="E168" s="64">
        <f t="shared" si="242"/>
        <v>1684.7419591130763</v>
      </c>
      <c r="F168" s="64">
        <f t="shared" si="242"/>
        <v>1605.9164701240747</v>
      </c>
      <c r="G168" s="64">
        <f t="shared" si="242"/>
        <v>1309.2260672437271</v>
      </c>
      <c r="H168" s="64">
        <f t="shared" si="242"/>
        <v>1286.3842786295475</v>
      </c>
      <c r="I168" s="64">
        <f t="shared" si="242"/>
        <v>921.69675691356508</v>
      </c>
      <c r="J168" s="64">
        <f t="shared" si="242"/>
        <v>965.95373561561541</v>
      </c>
      <c r="K168" s="64">
        <f t="shared" si="242"/>
        <v>770.69503538288996</v>
      </c>
      <c r="L168" s="64">
        <f t="shared" si="242"/>
        <v>589.54664913468832</v>
      </c>
      <c r="M168" s="64">
        <f t="shared" si="242"/>
        <v>518.58615196940639</v>
      </c>
      <c r="N168" s="64">
        <f t="shared" si="242"/>
        <v>464.14043305427356</v>
      </c>
      <c r="O168" s="64">
        <f t="shared" si="242"/>
        <v>460.77582110950993</v>
      </c>
      <c r="P168" s="64">
        <f t="shared" si="242"/>
        <v>416.41651880126062</v>
      </c>
      <c r="Q168" s="64">
        <f t="shared" si="242"/>
        <v>434.32540393509356</v>
      </c>
      <c r="R168" s="64">
        <f t="shared" si="242"/>
        <v>398.98855594849448</v>
      </c>
      <c r="S168" s="64">
        <f t="shared" si="242"/>
        <v>453.80151015043981</v>
      </c>
      <c r="T168" s="64">
        <f t="shared" si="242"/>
        <v>408.84938478661508</v>
      </c>
      <c r="U168" s="64">
        <f t="shared" si="242"/>
        <v>409.60101518269619</v>
      </c>
      <c r="V168" s="64">
        <f t="shared" si="242"/>
        <v>402.74206759201201</v>
      </c>
      <c r="W168" s="64">
        <f t="shared" si="242"/>
        <v>467.40320635938031</v>
      </c>
      <c r="X168" s="64">
        <f t="shared" ref="X168:Y168" si="243">IF(X114=0,0,X114/X$23)</f>
        <v>364.74019047203711</v>
      </c>
      <c r="Y168" s="64">
        <f t="shared" si="243"/>
        <v>317.61187714388421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963.92840489827825</v>
      </c>
      <c r="C169" s="65">
        <f t="shared" ref="C169:W169" si="245">IF(C115=0,0,C115/C$23)</f>
        <v>1318.4271359964739</v>
      </c>
      <c r="D169" s="65">
        <f t="shared" si="245"/>
        <v>1218.3001765991585</v>
      </c>
      <c r="E169" s="65">
        <f t="shared" si="245"/>
        <v>1436.3235375441625</v>
      </c>
      <c r="F169" s="65">
        <f t="shared" si="245"/>
        <v>1343.79266727396</v>
      </c>
      <c r="G169" s="65">
        <f t="shared" si="245"/>
        <v>1068.402239456902</v>
      </c>
      <c r="H169" s="65">
        <f t="shared" si="245"/>
        <v>1057.2417522372573</v>
      </c>
      <c r="I169" s="65">
        <f t="shared" si="245"/>
        <v>718.22607249093915</v>
      </c>
      <c r="J169" s="65">
        <f t="shared" si="245"/>
        <v>782.2088393067279</v>
      </c>
      <c r="K169" s="65">
        <f t="shared" si="245"/>
        <v>582.31948165477195</v>
      </c>
      <c r="L169" s="65">
        <f t="shared" si="245"/>
        <v>396.62871453499787</v>
      </c>
      <c r="M169" s="65">
        <f t="shared" si="245"/>
        <v>340.81336804379436</v>
      </c>
      <c r="N169" s="65">
        <f t="shared" si="245"/>
        <v>337.5060514235974</v>
      </c>
      <c r="O169" s="65">
        <f t="shared" si="245"/>
        <v>335.222437177009</v>
      </c>
      <c r="P169" s="65">
        <f t="shared" si="245"/>
        <v>293.43694092709904</v>
      </c>
      <c r="Q169" s="65">
        <f t="shared" si="245"/>
        <v>312.97964157832274</v>
      </c>
      <c r="R169" s="65">
        <f t="shared" si="245"/>
        <v>280.41998337152768</v>
      </c>
      <c r="S169" s="65">
        <f t="shared" si="245"/>
        <v>333.74874417448069</v>
      </c>
      <c r="T169" s="65">
        <f t="shared" si="245"/>
        <v>292.29106608636988</v>
      </c>
      <c r="U169" s="65">
        <f t="shared" si="245"/>
        <v>292.94921669306092</v>
      </c>
      <c r="V169" s="65">
        <f t="shared" si="245"/>
        <v>292.44194938610241</v>
      </c>
      <c r="W169" s="65">
        <f t="shared" si="245"/>
        <v>352.64713794256022</v>
      </c>
      <c r="X169" s="65">
        <f t="shared" ref="X169:Y169" si="246">IF(X115=0,0,X115/X$23)</f>
        <v>251.05263170310997</v>
      </c>
      <c r="Y169" s="65">
        <f t="shared" si="246"/>
        <v>198.92404968000369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3.5631362913034571E-2</v>
      </c>
      <c r="C170" s="65">
        <f t="shared" ref="C170:W170" si="248">IF(C116=0,0,C116/C$23)</f>
        <v>3.7832081808267297E-2</v>
      </c>
      <c r="D170" s="65">
        <f t="shared" si="248"/>
        <v>4.5061102951907114E-2</v>
      </c>
      <c r="E170" s="65">
        <f t="shared" si="248"/>
        <v>5.1189004322999797E-2</v>
      </c>
      <c r="F170" s="65">
        <f t="shared" si="248"/>
        <v>5.7998026671391381E-2</v>
      </c>
      <c r="G170" s="65">
        <f t="shared" si="248"/>
        <v>6.6482464002011105E-2</v>
      </c>
      <c r="H170" s="65">
        <f t="shared" si="248"/>
        <v>7.6012462648618606E-2</v>
      </c>
      <c r="I170" s="65">
        <f t="shared" si="248"/>
        <v>9.259961130127424E-2</v>
      </c>
      <c r="J170" s="65">
        <f t="shared" si="248"/>
        <v>0.1025327556145348</v>
      </c>
      <c r="K170" s="65">
        <f t="shared" si="248"/>
        <v>0.12270455261671494</v>
      </c>
      <c r="L170" s="65">
        <f t="shared" si="248"/>
        <v>0.13650165391922955</v>
      </c>
      <c r="M170" s="65">
        <f t="shared" si="248"/>
        <v>0.15311189264128713</v>
      </c>
      <c r="N170" s="65">
        <f t="shared" si="248"/>
        <v>0.16530073057463626</v>
      </c>
      <c r="O170" s="65">
        <f t="shared" si="248"/>
        <v>0.19571038243267258</v>
      </c>
      <c r="P170" s="65">
        <f t="shared" si="248"/>
        <v>0.19063903220313852</v>
      </c>
      <c r="Q170" s="65">
        <f t="shared" si="248"/>
        <v>0.2589606213886913</v>
      </c>
      <c r="R170" s="65">
        <f t="shared" si="248"/>
        <v>0.22761935524773153</v>
      </c>
      <c r="S170" s="65">
        <f t="shared" si="248"/>
        <v>0.26508168698159751</v>
      </c>
      <c r="T170" s="65">
        <f t="shared" si="248"/>
        <v>0.27291478941982844</v>
      </c>
      <c r="U170" s="65">
        <f t="shared" si="248"/>
        <v>0.30810966883921564</v>
      </c>
      <c r="V170" s="65">
        <f t="shared" si="248"/>
        <v>0.29434461436553228</v>
      </c>
      <c r="W170" s="65">
        <f t="shared" si="248"/>
        <v>0.30923051850907374</v>
      </c>
      <c r="X170" s="65">
        <f t="shared" ref="X170:Y170" si="249">IF(X116=0,0,X116/X$23)</f>
        <v>0.31932589373524084</v>
      </c>
      <c r="Y170" s="65">
        <f t="shared" si="249"/>
        <v>0.34758947484269537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122.96570148120909</v>
      </c>
      <c r="C171" s="65">
        <f t="shared" ref="C171:W171" si="251">IF(C117=0,0,C117/C$23)</f>
        <v>123.15087637799235</v>
      </c>
      <c r="D171" s="65">
        <f t="shared" si="251"/>
        <v>121.96450201509973</v>
      </c>
      <c r="E171" s="65">
        <f t="shared" si="251"/>
        <v>121.13703816670699</v>
      </c>
      <c r="F171" s="65">
        <f t="shared" si="251"/>
        <v>118.72703679554552</v>
      </c>
      <c r="G171" s="65">
        <f t="shared" si="251"/>
        <v>115.41195438277965</v>
      </c>
      <c r="H171" s="65">
        <f t="shared" si="251"/>
        <v>106.87614152912889</v>
      </c>
      <c r="I171" s="65">
        <f t="shared" si="251"/>
        <v>100.25593763363644</v>
      </c>
      <c r="J171" s="65">
        <f t="shared" si="251"/>
        <v>90.364935233500276</v>
      </c>
      <c r="K171" s="65">
        <f t="shared" si="251"/>
        <v>86.34308415047029</v>
      </c>
      <c r="L171" s="65">
        <f t="shared" si="251"/>
        <v>72.57070179921179</v>
      </c>
      <c r="M171" s="65">
        <f t="shared" si="251"/>
        <v>65.762772962969592</v>
      </c>
      <c r="N171" s="65">
        <f t="shared" si="251"/>
        <v>51.499016272489399</v>
      </c>
      <c r="O171" s="65">
        <f t="shared" si="251"/>
        <v>50.253727080088311</v>
      </c>
      <c r="P171" s="65">
        <f t="shared" si="251"/>
        <v>47.949277898256518</v>
      </c>
      <c r="Q171" s="65">
        <f t="shared" si="251"/>
        <v>46.282633131445252</v>
      </c>
      <c r="R171" s="65">
        <f t="shared" si="251"/>
        <v>44.92183155667994</v>
      </c>
      <c r="S171" s="65">
        <f t="shared" si="251"/>
        <v>43.663339121324114</v>
      </c>
      <c r="T171" s="65">
        <f t="shared" si="251"/>
        <v>41.575780890671155</v>
      </c>
      <c r="U171" s="65">
        <f t="shared" si="251"/>
        <v>39.620076316105056</v>
      </c>
      <c r="V171" s="65">
        <f t="shared" si="251"/>
        <v>36.928951931538791</v>
      </c>
      <c r="W171" s="65">
        <f t="shared" si="251"/>
        <v>38.759909354316704</v>
      </c>
      <c r="X171" s="65">
        <f t="shared" ref="X171:Y171" si="252">IF(X117=0,0,X117/X$23)</f>
        <v>41.251517212305231</v>
      </c>
      <c r="Y171" s="65">
        <f t="shared" si="252"/>
        <v>42.617462075625966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64.179792171513313</v>
      </c>
      <c r="C172" s="67">
        <f t="shared" ref="C172:W172" si="254">IF(C118=0,0,C118/C$23)</f>
        <v>77.353781755707828</v>
      </c>
      <c r="D172" s="67">
        <f t="shared" si="254"/>
        <v>113.42537155578583</v>
      </c>
      <c r="E172" s="67">
        <f t="shared" si="254"/>
        <v>127.23019439788332</v>
      </c>
      <c r="F172" s="67">
        <f t="shared" si="254"/>
        <v>143.33876802789788</v>
      </c>
      <c r="G172" s="67">
        <f t="shared" si="254"/>
        <v>125.3453909400436</v>
      </c>
      <c r="H172" s="67">
        <f t="shared" si="254"/>
        <v>122.19037240051236</v>
      </c>
      <c r="I172" s="67">
        <f t="shared" si="254"/>
        <v>103.12214717768828</v>
      </c>
      <c r="J172" s="67">
        <f t="shared" si="254"/>
        <v>93.277428319772824</v>
      </c>
      <c r="K172" s="67">
        <f t="shared" si="254"/>
        <v>101.90976502503098</v>
      </c>
      <c r="L172" s="67">
        <f t="shared" si="254"/>
        <v>120.2107311465594</v>
      </c>
      <c r="M172" s="67">
        <f t="shared" si="254"/>
        <v>111.85689907000111</v>
      </c>
      <c r="N172" s="67">
        <f t="shared" si="254"/>
        <v>74.970064627612189</v>
      </c>
      <c r="O172" s="67">
        <f t="shared" si="254"/>
        <v>75.103946469980002</v>
      </c>
      <c r="P172" s="67">
        <f t="shared" si="254"/>
        <v>74.839660943701944</v>
      </c>
      <c r="Q172" s="67">
        <f t="shared" si="254"/>
        <v>74.80416860393693</v>
      </c>
      <c r="R172" s="67">
        <f t="shared" si="254"/>
        <v>73.419121665039157</v>
      </c>
      <c r="S172" s="67">
        <f t="shared" si="254"/>
        <v>76.124345167653402</v>
      </c>
      <c r="T172" s="67">
        <f t="shared" si="254"/>
        <v>74.709623020154169</v>
      </c>
      <c r="U172" s="67">
        <f t="shared" si="254"/>
        <v>76.723612504690976</v>
      </c>
      <c r="V172" s="67">
        <f t="shared" si="254"/>
        <v>73.076821660005308</v>
      </c>
      <c r="W172" s="67">
        <f t="shared" si="254"/>
        <v>75.686928543994284</v>
      </c>
      <c r="X172" s="67">
        <f t="shared" ref="X172:Y172" si="255">IF(X118=0,0,X118/X$23)</f>
        <v>72.116715662886691</v>
      </c>
      <c r="Y172" s="67">
        <f t="shared" si="255"/>
        <v>75.722775913411837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149147.31556898393</v>
      </c>
      <c r="C3" s="124">
        <f t="shared" si="0"/>
        <v>150261.16334450178</v>
      </c>
      <c r="D3" s="124">
        <f t="shared" si="0"/>
        <v>151907.70073731834</v>
      </c>
      <c r="E3" s="124">
        <f t="shared" si="0"/>
        <v>153093.98810793069</v>
      </c>
      <c r="F3" s="124">
        <f t="shared" si="0"/>
        <v>155579.83653696429</v>
      </c>
      <c r="G3" s="124">
        <f t="shared" si="0"/>
        <v>158263.50939708046</v>
      </c>
      <c r="H3" s="124">
        <f t="shared" si="0"/>
        <v>161920.53510000001</v>
      </c>
      <c r="I3" s="124">
        <f t="shared" si="0"/>
        <v>165550.84057811295</v>
      </c>
      <c r="J3" s="124">
        <f t="shared" si="0"/>
        <v>167503.82728505554</v>
      </c>
      <c r="K3" s="124">
        <f t="shared" si="0"/>
        <v>164440.58190503108</v>
      </c>
      <c r="L3" s="124">
        <f t="shared" si="0"/>
        <v>166453.29305734171</v>
      </c>
      <c r="M3" s="124">
        <f t="shared" si="0"/>
        <v>167927.92430212116</v>
      </c>
      <c r="N3" s="124">
        <f t="shared" si="0"/>
        <v>168502.1392194673</v>
      </c>
      <c r="O3" s="124">
        <f t="shared" si="0"/>
        <v>169219.05927293075</v>
      </c>
      <c r="P3" s="124">
        <f t="shared" si="0"/>
        <v>170206.37438892713</v>
      </c>
      <c r="Q3" s="124">
        <f t="shared" si="0"/>
        <v>171531.14438979674</v>
      </c>
      <c r="R3" s="124">
        <f t="shared" si="0"/>
        <v>173933.82271248192</v>
      </c>
      <c r="S3" s="124">
        <f t="shared" si="0"/>
        <v>176510.50732311513</v>
      </c>
      <c r="T3" s="124">
        <f t="shared" si="0"/>
        <v>179060.47440056608</v>
      </c>
      <c r="U3" s="124">
        <f t="shared" si="0"/>
        <v>181300.5530578951</v>
      </c>
      <c r="V3" s="124">
        <f t="shared" si="0"/>
        <v>183453.2433333334</v>
      </c>
      <c r="W3" s="124">
        <f t="shared" si="0"/>
        <v>185509.74085919367</v>
      </c>
      <c r="X3" s="124">
        <f t="shared" si="0"/>
        <v>187525.45096526531</v>
      </c>
      <c r="Y3" s="124">
        <f t="shared" si="0"/>
        <v>189505.91159397364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149147.31556898393</v>
      </c>
      <c r="C4" s="139">
        <f t="shared" si="1"/>
        <v>150261.16334450178</v>
      </c>
      <c r="D4" s="139">
        <f t="shared" si="1"/>
        <v>151907.70073731834</v>
      </c>
      <c r="E4" s="139">
        <f t="shared" si="1"/>
        <v>153093.98810793069</v>
      </c>
      <c r="F4" s="139">
        <f t="shared" si="1"/>
        <v>155579.83653696429</v>
      </c>
      <c r="G4" s="139">
        <f t="shared" si="1"/>
        <v>158263.50939708046</v>
      </c>
      <c r="H4" s="139">
        <f t="shared" si="1"/>
        <v>161920.53510000001</v>
      </c>
      <c r="I4" s="139">
        <f t="shared" si="1"/>
        <v>165550.84057811295</v>
      </c>
      <c r="J4" s="139">
        <f t="shared" si="1"/>
        <v>167503.82728505554</v>
      </c>
      <c r="K4" s="139">
        <f t="shared" si="1"/>
        <v>164440.58190503108</v>
      </c>
      <c r="L4" s="139">
        <f t="shared" si="1"/>
        <v>166453.29305734171</v>
      </c>
      <c r="M4" s="139">
        <f t="shared" si="1"/>
        <v>167927.92430212116</v>
      </c>
      <c r="N4" s="139">
        <f t="shared" si="1"/>
        <v>168502.1392194673</v>
      </c>
      <c r="O4" s="139">
        <f t="shared" si="1"/>
        <v>169219.05927293075</v>
      </c>
      <c r="P4" s="139">
        <f t="shared" si="1"/>
        <v>170206.37438892713</v>
      </c>
      <c r="Q4" s="139">
        <f t="shared" si="1"/>
        <v>171531.14438979674</v>
      </c>
      <c r="R4" s="139">
        <f t="shared" ref="R4:W4" si="2">SUM(R5:R14)</f>
        <v>173933.82271248192</v>
      </c>
      <c r="S4" s="139">
        <f t="shared" si="2"/>
        <v>176510.50732311513</v>
      </c>
      <c r="T4" s="139">
        <f t="shared" si="2"/>
        <v>179060.47440056608</v>
      </c>
      <c r="U4" s="139">
        <f t="shared" si="2"/>
        <v>181300.5530578951</v>
      </c>
      <c r="V4" s="139">
        <f t="shared" si="2"/>
        <v>183453.2433333334</v>
      </c>
      <c r="W4" s="139">
        <f t="shared" si="2"/>
        <v>185509.74085919367</v>
      </c>
      <c r="X4" s="139">
        <f t="shared" ref="X4:Y4" si="3">SUM(X5:X14)</f>
        <v>187525.45096526531</v>
      </c>
      <c r="Y4" s="139">
        <f t="shared" si="3"/>
        <v>189505.91159397364</v>
      </c>
      <c r="DA4" s="169" t="s">
        <v>246</v>
      </c>
    </row>
    <row r="5" spans="1:105" ht="12" customHeight="1" x14ac:dyDescent="0.25">
      <c r="A5" s="131" t="s">
        <v>29</v>
      </c>
      <c r="B5" s="140">
        <v>2192.5519840444622</v>
      </c>
      <c r="C5" s="140">
        <v>1950.160387338743</v>
      </c>
      <c r="D5" s="140">
        <v>1709.2825351205913</v>
      </c>
      <c r="E5" s="140">
        <v>1588.8006073942895</v>
      </c>
      <c r="F5" s="140">
        <v>1345.5139736411459</v>
      </c>
      <c r="G5" s="140">
        <v>1149.3726496833256</v>
      </c>
      <c r="H5" s="140">
        <v>893.8181281225701</v>
      </c>
      <c r="I5" s="140">
        <v>722.72484160561805</v>
      </c>
      <c r="J5" s="140">
        <v>531.60056598862604</v>
      </c>
      <c r="K5" s="140">
        <v>432.84830046339715</v>
      </c>
      <c r="L5" s="140">
        <v>349.36557141884396</v>
      </c>
      <c r="M5" s="140">
        <v>248.22280282595833</v>
      </c>
      <c r="N5" s="140">
        <v>110.00660864246979</v>
      </c>
      <c r="O5" s="140">
        <v>40.533666400687494</v>
      </c>
      <c r="P5" s="140">
        <v>5.8616766964139702</v>
      </c>
      <c r="Q5" s="140">
        <v>3.1389285445527895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26464.681422349862</v>
      </c>
      <c r="C7" s="140">
        <v>28525.295964323948</v>
      </c>
      <c r="D7" s="140">
        <v>29827.857188810893</v>
      </c>
      <c r="E7" s="140">
        <v>30897.790307546267</v>
      </c>
      <c r="F7" s="140">
        <v>31521.303381989917</v>
      </c>
      <c r="G7" s="140">
        <v>31650.15190444102</v>
      </c>
      <c r="H7" s="140">
        <v>31549.301920562553</v>
      </c>
      <c r="I7" s="140">
        <v>30280.990826887813</v>
      </c>
      <c r="J7" s="140">
        <v>27625.462311183481</v>
      </c>
      <c r="K7" s="140">
        <v>23363.343421975009</v>
      </c>
      <c r="L7" s="140">
        <v>16911.746550843516</v>
      </c>
      <c r="M7" s="140">
        <v>13428.47599260489</v>
      </c>
      <c r="N7" s="140">
        <v>11451.176292143284</v>
      </c>
      <c r="O7" s="140">
        <v>11788.437868749957</v>
      </c>
      <c r="P7" s="140">
        <v>12802.767084547384</v>
      </c>
      <c r="Q7" s="140">
        <v>13969.860045898884</v>
      </c>
      <c r="R7" s="140">
        <v>14861.795415089373</v>
      </c>
      <c r="S7" s="140">
        <v>15505.18613320556</v>
      </c>
      <c r="T7" s="140">
        <v>16282.012692590943</v>
      </c>
      <c r="U7" s="140">
        <v>16635.416430807294</v>
      </c>
      <c r="V7" s="140">
        <v>16996.758293849951</v>
      </c>
      <c r="W7" s="140">
        <v>16738.218617058101</v>
      </c>
      <c r="X7" s="140">
        <v>15767.640453603895</v>
      </c>
      <c r="Y7" s="140">
        <v>13074.203068573966</v>
      </c>
      <c r="DA7" s="170" t="s">
        <v>249</v>
      </c>
    </row>
    <row r="8" spans="1:105" ht="12" customHeight="1" x14ac:dyDescent="0.25">
      <c r="A8" s="131" t="s">
        <v>73</v>
      </c>
      <c r="B8" s="140">
        <v>478.75954591282164</v>
      </c>
      <c r="C8" s="140">
        <v>546.77657962770081</v>
      </c>
      <c r="D8" s="140">
        <v>664.17561641941768</v>
      </c>
      <c r="E8" s="140">
        <v>788.039261588052</v>
      </c>
      <c r="F8" s="140">
        <v>920.58352538992938</v>
      </c>
      <c r="G8" s="140">
        <v>1034.3088955542955</v>
      </c>
      <c r="H8" s="140">
        <v>1137.5393681227829</v>
      </c>
      <c r="I8" s="140">
        <v>1201.1189911774675</v>
      </c>
      <c r="J8" s="140">
        <v>1234.1984057225161</v>
      </c>
      <c r="K8" s="140">
        <v>1229.3060802458467</v>
      </c>
      <c r="L8" s="140">
        <v>1201.5177277017017</v>
      </c>
      <c r="M8" s="140">
        <v>1159.3354092470304</v>
      </c>
      <c r="N8" s="140">
        <v>1111.3846647023724</v>
      </c>
      <c r="O8" s="140">
        <v>1073.1756785165082</v>
      </c>
      <c r="P8" s="140">
        <v>1085.7572257936681</v>
      </c>
      <c r="Q8" s="140">
        <v>1116.072539924422</v>
      </c>
      <c r="R8" s="140">
        <v>1172.0549902751391</v>
      </c>
      <c r="S8" s="140">
        <v>1204.823250943854</v>
      </c>
      <c r="T8" s="140">
        <v>1227.2749432640085</v>
      </c>
      <c r="U8" s="140">
        <v>1239.9625968495052</v>
      </c>
      <c r="V8" s="140">
        <v>1237.1113412145578</v>
      </c>
      <c r="W8" s="140">
        <v>1223.6864380989903</v>
      </c>
      <c r="X8" s="140">
        <v>1176.5109553289462</v>
      </c>
      <c r="Y8" s="140">
        <v>1115.0639635507198</v>
      </c>
      <c r="DA8" s="170" t="s">
        <v>250</v>
      </c>
    </row>
    <row r="9" spans="1:105" ht="12" customHeight="1" x14ac:dyDescent="0.25">
      <c r="A9" s="131" t="s">
        <v>78</v>
      </c>
      <c r="B9" s="140">
        <v>42664.167881636022</v>
      </c>
      <c r="C9" s="140">
        <v>45772.109224890424</v>
      </c>
      <c r="D9" s="140">
        <v>46873.483310260774</v>
      </c>
      <c r="E9" s="140">
        <v>46060.067716052064</v>
      </c>
      <c r="F9" s="140">
        <v>42574.076720905759</v>
      </c>
      <c r="G9" s="140">
        <v>36412.23862913988</v>
      </c>
      <c r="H9" s="140">
        <v>31809.421737544035</v>
      </c>
      <c r="I9" s="140">
        <v>27376.679178789425</v>
      </c>
      <c r="J9" s="140">
        <v>25824.70884868523</v>
      </c>
      <c r="K9" s="140">
        <v>23581.0805780132</v>
      </c>
      <c r="L9" s="140">
        <v>23198.631946995778</v>
      </c>
      <c r="M9" s="140">
        <v>22981.983453779725</v>
      </c>
      <c r="N9" s="140">
        <v>24313.410580177999</v>
      </c>
      <c r="O9" s="140">
        <v>24880.163607039707</v>
      </c>
      <c r="P9" s="140">
        <v>25360.725182450395</v>
      </c>
      <c r="Q9" s="140">
        <v>24331.098102875578</v>
      </c>
      <c r="R9" s="140">
        <v>24800.810879471501</v>
      </c>
      <c r="S9" s="140">
        <v>24109.794281936862</v>
      </c>
      <c r="T9" s="140">
        <v>23705.647994858366</v>
      </c>
      <c r="U9" s="140">
        <v>24373.417650249012</v>
      </c>
      <c r="V9" s="140">
        <v>22676.453747075429</v>
      </c>
      <c r="W9" s="140">
        <v>23628.098194464859</v>
      </c>
      <c r="X9" s="140">
        <v>24081.608630767561</v>
      </c>
      <c r="Y9" s="140">
        <v>22428.293340515906</v>
      </c>
      <c r="DA9" s="170" t="s">
        <v>251</v>
      </c>
    </row>
    <row r="10" spans="1:105" ht="12" customHeight="1" x14ac:dyDescent="0.25">
      <c r="A10" s="131" t="s">
        <v>128</v>
      </c>
      <c r="B10" s="140">
        <v>4565.7617948760835</v>
      </c>
      <c r="C10" s="140">
        <v>4412.7283939416802</v>
      </c>
      <c r="D10" s="140">
        <v>4552.5972996551054</v>
      </c>
      <c r="E10" s="140">
        <v>4666.1325067384405</v>
      </c>
      <c r="F10" s="140">
        <v>4850.398393871621</v>
      </c>
      <c r="G10" s="140">
        <v>4803.7743556275955</v>
      </c>
      <c r="H10" s="140">
        <v>4803.2589650398031</v>
      </c>
      <c r="I10" s="140">
        <v>4814.3541993074714</v>
      </c>
      <c r="J10" s="140">
        <v>4595.095339623741</v>
      </c>
      <c r="K10" s="140">
        <v>4740.0931976696575</v>
      </c>
      <c r="L10" s="140">
        <v>4785.0196268942236</v>
      </c>
      <c r="M10" s="140">
        <v>4395.3520895729635</v>
      </c>
      <c r="N10" s="140">
        <v>3717.4319374435172</v>
      </c>
      <c r="O10" s="140">
        <v>3668.8150162820166</v>
      </c>
      <c r="P10" s="140">
        <v>3621.6646506256975</v>
      </c>
      <c r="Q10" s="140">
        <v>4095.3679180606546</v>
      </c>
      <c r="R10" s="140">
        <v>4284.707188838066</v>
      </c>
      <c r="S10" s="140">
        <v>5161.4350503155611</v>
      </c>
      <c r="T10" s="140">
        <v>5810.8687440899494</v>
      </c>
      <c r="U10" s="140">
        <v>6441.3223248676677</v>
      </c>
      <c r="V10" s="140">
        <v>6716.151464323576</v>
      </c>
      <c r="W10" s="140">
        <v>6413.995552349943</v>
      </c>
      <c r="X10" s="140">
        <v>5491.8542021157036</v>
      </c>
      <c r="Y10" s="140">
        <v>4119.1142030469464</v>
      </c>
      <c r="DA10" s="170" t="s">
        <v>252</v>
      </c>
    </row>
    <row r="11" spans="1:105" ht="12" customHeight="1" x14ac:dyDescent="0.25">
      <c r="A11" s="131" t="s">
        <v>25</v>
      </c>
      <c r="B11" s="140">
        <v>534.86498588110135</v>
      </c>
      <c r="C11" s="140">
        <v>561.10611189450572</v>
      </c>
      <c r="D11" s="140">
        <v>612.4613852344504</v>
      </c>
      <c r="E11" s="140">
        <v>577.26590958559711</v>
      </c>
      <c r="F11" s="140">
        <v>584.60910680235872</v>
      </c>
      <c r="G11" s="140">
        <v>605.6231901917381</v>
      </c>
      <c r="H11" s="140">
        <v>627.11067931286402</v>
      </c>
      <c r="I11" s="140">
        <v>673.08257070907473</v>
      </c>
      <c r="J11" s="140">
        <v>721.63238036432199</v>
      </c>
      <c r="K11" s="140">
        <v>815.4900657324697</v>
      </c>
      <c r="L11" s="140">
        <v>901.71837245437246</v>
      </c>
      <c r="M11" s="140">
        <v>947.9139799438276</v>
      </c>
      <c r="N11" s="140">
        <v>1004.0292306049552</v>
      </c>
      <c r="O11" s="140">
        <v>1007.0012480411949</v>
      </c>
      <c r="P11" s="140">
        <v>999.67091516097764</v>
      </c>
      <c r="Q11" s="140">
        <v>1075.2941762612652</v>
      </c>
      <c r="R11" s="140">
        <v>1200.7481632257027</v>
      </c>
      <c r="S11" s="140">
        <v>1417.7376595547057</v>
      </c>
      <c r="T11" s="140">
        <v>1522.0193116592609</v>
      </c>
      <c r="U11" s="140">
        <v>1557.5568138000053</v>
      </c>
      <c r="V11" s="140">
        <v>1554.965889924689</v>
      </c>
      <c r="W11" s="140">
        <v>1511.2153146608541</v>
      </c>
      <c r="X11" s="140">
        <v>1246.4464183252319</v>
      </c>
      <c r="Y11" s="140">
        <v>1184.0706302284057</v>
      </c>
      <c r="DA11" s="170" t="s">
        <v>253</v>
      </c>
    </row>
    <row r="12" spans="1:105" ht="12" customHeight="1" x14ac:dyDescent="0.25">
      <c r="A12" s="131" t="s">
        <v>162</v>
      </c>
      <c r="B12" s="140">
        <v>38090.638856575388</v>
      </c>
      <c r="C12" s="140">
        <v>36824.744658827178</v>
      </c>
      <c r="D12" s="140">
        <v>37184.615210501768</v>
      </c>
      <c r="E12" s="140">
        <v>38255.986293785005</v>
      </c>
      <c r="F12" s="140">
        <v>42091.364988523223</v>
      </c>
      <c r="G12" s="140">
        <v>47791.092259628713</v>
      </c>
      <c r="H12" s="140">
        <v>53362.717415620027</v>
      </c>
      <c r="I12" s="140">
        <v>60201.724173168375</v>
      </c>
      <c r="J12" s="140">
        <v>66115.522434353086</v>
      </c>
      <c r="K12" s="140">
        <v>70922.897423542992</v>
      </c>
      <c r="L12" s="140">
        <v>78185.187550437564</v>
      </c>
      <c r="M12" s="140">
        <v>82168.100567992078</v>
      </c>
      <c r="N12" s="140">
        <v>81480.111523352316</v>
      </c>
      <c r="O12" s="140">
        <v>79390.739819589362</v>
      </c>
      <c r="P12" s="140">
        <v>78371.389121212269</v>
      </c>
      <c r="Q12" s="140">
        <v>78871.579002896717</v>
      </c>
      <c r="R12" s="140">
        <v>79878.806541545593</v>
      </c>
      <c r="S12" s="140">
        <v>79503.275309926423</v>
      </c>
      <c r="T12" s="140">
        <v>78115.984904827594</v>
      </c>
      <c r="U12" s="140">
        <v>77922.365131522311</v>
      </c>
      <c r="V12" s="140">
        <v>79790.587944614119</v>
      </c>
      <c r="W12" s="140">
        <v>79767.202453929887</v>
      </c>
      <c r="X12" s="140">
        <v>80341.097225517733</v>
      </c>
      <c r="Y12" s="140">
        <v>83370.82457888381</v>
      </c>
      <c r="DA12" s="170" t="s">
        <v>254</v>
      </c>
    </row>
    <row r="13" spans="1:105" ht="12" customHeight="1" x14ac:dyDescent="0.25">
      <c r="A13" s="131" t="s">
        <v>77</v>
      </c>
      <c r="B13" s="140">
        <v>1032.867454579693</v>
      </c>
      <c r="C13" s="140">
        <v>1338.7001381708033</v>
      </c>
      <c r="D13" s="140">
        <v>2157.7621504414542</v>
      </c>
      <c r="E13" s="140">
        <v>3096.7336968248674</v>
      </c>
      <c r="F13" s="140">
        <v>4338.4469564500696</v>
      </c>
      <c r="G13" s="140">
        <v>5786.8694940806445</v>
      </c>
      <c r="H13" s="140">
        <v>7463.4069805274266</v>
      </c>
      <c r="I13" s="140">
        <v>9304.7319985752019</v>
      </c>
      <c r="J13" s="140">
        <v>10967.199799420887</v>
      </c>
      <c r="K13" s="140">
        <v>12480.502030335681</v>
      </c>
      <c r="L13" s="140">
        <v>14304.479373806631</v>
      </c>
      <c r="M13" s="140">
        <v>16780.726776491745</v>
      </c>
      <c r="N13" s="140">
        <v>19592.813860602186</v>
      </c>
      <c r="O13" s="140">
        <v>22326.33883972291</v>
      </c>
      <c r="P13" s="140">
        <v>24108.385641946181</v>
      </c>
      <c r="Q13" s="140">
        <v>26115.530997789978</v>
      </c>
      <c r="R13" s="140">
        <v>27853.033358761317</v>
      </c>
      <c r="S13" s="140">
        <v>29427.371242467234</v>
      </c>
      <c r="T13" s="140">
        <v>30996.933218933773</v>
      </c>
      <c r="U13" s="140">
        <v>31865.44615999125</v>
      </c>
      <c r="V13" s="140">
        <v>33475.601426358524</v>
      </c>
      <c r="W13" s="140">
        <v>36439.267717691982</v>
      </c>
      <c r="X13" s="140">
        <v>39608.506872083031</v>
      </c>
      <c r="Y13" s="140">
        <v>47168.255182019151</v>
      </c>
      <c r="DA13" s="170" t="s">
        <v>255</v>
      </c>
    </row>
    <row r="14" spans="1:105" ht="12" customHeight="1" x14ac:dyDescent="0.25">
      <c r="A14" s="60" t="s">
        <v>76</v>
      </c>
      <c r="B14" s="141">
        <v>33123.021643128493</v>
      </c>
      <c r="C14" s="141">
        <v>30329.541885486815</v>
      </c>
      <c r="D14" s="141">
        <v>28325.466040873907</v>
      </c>
      <c r="E14" s="141">
        <v>27163.1718084161</v>
      </c>
      <c r="F14" s="141">
        <v>27353.53948939027</v>
      </c>
      <c r="G14" s="141">
        <v>29030.07801873326</v>
      </c>
      <c r="H14" s="141">
        <v>30273.95990514796</v>
      </c>
      <c r="I14" s="141">
        <v>30975.43379789251</v>
      </c>
      <c r="J14" s="141">
        <v>29888.407199713642</v>
      </c>
      <c r="K14" s="141">
        <v>26875.020807052821</v>
      </c>
      <c r="L14" s="141">
        <v>26615.626336789079</v>
      </c>
      <c r="M14" s="141">
        <v>25817.813229662952</v>
      </c>
      <c r="N14" s="141">
        <v>25721.774521798194</v>
      </c>
      <c r="O14" s="141">
        <v>25043.853528588392</v>
      </c>
      <c r="P14" s="141">
        <v>23850.152890494155</v>
      </c>
      <c r="Q14" s="141">
        <v>21953.202677544661</v>
      </c>
      <c r="R14" s="141">
        <v>19881.866175275234</v>
      </c>
      <c r="S14" s="141">
        <v>20180.884394764958</v>
      </c>
      <c r="T14" s="141">
        <v>21399.732590342181</v>
      </c>
      <c r="U14" s="141">
        <v>21265.065949808053</v>
      </c>
      <c r="V14" s="141">
        <v>21005.613225972585</v>
      </c>
      <c r="W14" s="141">
        <v>19788.056570939039</v>
      </c>
      <c r="X14" s="141">
        <v>19811.786207523204</v>
      </c>
      <c r="Y14" s="141">
        <v>17046.086627154717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114991.42647127574</v>
      </c>
      <c r="C15" s="143">
        <f t="shared" si="4"/>
        <v>118592.92132084418</v>
      </c>
      <c r="D15" s="143">
        <f t="shared" si="4"/>
        <v>121424.47254600299</v>
      </c>
      <c r="E15" s="143">
        <f t="shared" si="4"/>
        <v>122834.08260268971</v>
      </c>
      <c r="F15" s="143">
        <f t="shared" si="4"/>
        <v>123887.85009112395</v>
      </c>
      <c r="G15" s="143">
        <f t="shared" si="4"/>
        <v>123446.56188426656</v>
      </c>
      <c r="H15" s="143">
        <f t="shared" si="4"/>
        <v>124183.16821432463</v>
      </c>
      <c r="I15" s="143">
        <f t="shared" si="4"/>
        <v>125270.67478164524</v>
      </c>
      <c r="J15" s="143">
        <f t="shared" si="4"/>
        <v>126648.22028592101</v>
      </c>
      <c r="K15" s="143">
        <f t="shared" si="4"/>
        <v>125085.05906764258</v>
      </c>
      <c r="L15" s="143">
        <f t="shared" si="4"/>
        <v>125533.187346746</v>
      </c>
      <c r="M15" s="143">
        <f t="shared" si="4"/>
        <v>125329.38429596648</v>
      </c>
      <c r="N15" s="143">
        <f t="shared" si="4"/>
        <v>123187.55083706691</v>
      </c>
      <c r="O15" s="143">
        <f t="shared" si="4"/>
        <v>121848.86690461944</v>
      </c>
      <c r="P15" s="143">
        <f t="shared" si="4"/>
        <v>122247.83585648681</v>
      </c>
      <c r="Q15" s="143">
        <f t="shared" si="4"/>
        <v>123462.41071446208</v>
      </c>
      <c r="R15" s="143">
        <f t="shared" ref="R15:W15" si="5">SUM(R5:R12)</f>
        <v>126198.92317844537</v>
      </c>
      <c r="S15" s="143">
        <f t="shared" si="5"/>
        <v>126902.25168588295</v>
      </c>
      <c r="T15" s="143">
        <f t="shared" si="5"/>
        <v>126663.80859129012</v>
      </c>
      <c r="U15" s="143">
        <f t="shared" si="5"/>
        <v>128170.04094809579</v>
      </c>
      <c r="V15" s="143">
        <f t="shared" si="5"/>
        <v>128972.02868100232</v>
      </c>
      <c r="W15" s="143">
        <f t="shared" si="5"/>
        <v>129282.41657056264</v>
      </c>
      <c r="X15" s="143">
        <f t="shared" ref="X15:Y15" si="6">SUM(X5:X12)</f>
        <v>128105.15788565908</v>
      </c>
      <c r="Y15" s="143">
        <f t="shared" si="6"/>
        <v>125291.56978479977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20671.172464686326</v>
      </c>
      <c r="C16" s="139">
        <f t="shared" si="7"/>
        <v>21608.509703225754</v>
      </c>
      <c r="D16" s="139">
        <f t="shared" si="7"/>
        <v>22971.0994303552</v>
      </c>
      <c r="E16" s="139">
        <f t="shared" si="7"/>
        <v>23674.116011838265</v>
      </c>
      <c r="F16" s="139">
        <f t="shared" si="7"/>
        <v>24831.564206853447</v>
      </c>
      <c r="G16" s="139">
        <f t="shared" si="7"/>
        <v>26362.236164793183</v>
      </c>
      <c r="H16" s="139">
        <f t="shared" si="7"/>
        <v>27827.363719356377</v>
      </c>
      <c r="I16" s="139">
        <f t="shared" si="7"/>
        <v>29833.456674901314</v>
      </c>
      <c r="J16" s="139">
        <f t="shared" si="7"/>
        <v>31073.74448694662</v>
      </c>
      <c r="K16" s="139">
        <f t="shared" si="7"/>
        <v>31956.816443533557</v>
      </c>
      <c r="L16" s="139">
        <f t="shared" si="7"/>
        <v>33606.588323518088</v>
      </c>
      <c r="M16" s="139">
        <f t="shared" si="7"/>
        <v>34556.493419887011</v>
      </c>
      <c r="N16" s="139">
        <f t="shared" si="7"/>
        <v>35527.393106174306</v>
      </c>
      <c r="O16" s="139">
        <f t="shared" si="7"/>
        <v>36441.630936708156</v>
      </c>
      <c r="P16" s="139">
        <f t="shared" si="7"/>
        <v>37063.084080616543</v>
      </c>
      <c r="Q16" s="139">
        <f t="shared" si="7"/>
        <v>38129.218908781375</v>
      </c>
      <c r="R16" s="139">
        <f t="shared" ref="R16:W16" si="8">SUM(R17:R18)</f>
        <v>39663.518823730577</v>
      </c>
      <c r="S16" s="139">
        <f t="shared" si="8"/>
        <v>40508.263433702945</v>
      </c>
      <c r="T16" s="139">
        <f t="shared" si="8"/>
        <v>41497.904339839428</v>
      </c>
      <c r="U16" s="139">
        <f t="shared" si="8"/>
        <v>42388.235831724538</v>
      </c>
      <c r="V16" s="139">
        <f t="shared" si="8"/>
        <v>43196.212224668787</v>
      </c>
      <c r="W16" s="139">
        <f t="shared" si="8"/>
        <v>44011.456342996862</v>
      </c>
      <c r="X16" s="139">
        <f t="shared" ref="X16:Y16" si="9">SUM(X17:X18)</f>
        <v>44437.676100529221</v>
      </c>
      <c r="Y16" s="139">
        <f t="shared" si="9"/>
        <v>46220.76505281018</v>
      </c>
      <c r="DA16" s="169" t="s">
        <v>257</v>
      </c>
    </row>
    <row r="17" spans="1:105" ht="12.95" customHeight="1" x14ac:dyDescent="0.25">
      <c r="A17" s="131" t="s">
        <v>73</v>
      </c>
      <c r="B17" s="140">
        <v>24.781893866298468</v>
      </c>
      <c r="C17" s="140">
        <v>27.328960387010827</v>
      </c>
      <c r="D17" s="140">
        <v>33.310839947223378</v>
      </c>
      <c r="E17" s="140">
        <v>34.625172002876148</v>
      </c>
      <c r="F17" s="140">
        <v>45.722266513274448</v>
      </c>
      <c r="G17" s="140">
        <v>53.726451810297334</v>
      </c>
      <c r="H17" s="140">
        <v>60.854767700155371</v>
      </c>
      <c r="I17" s="140">
        <v>77.213687894066325</v>
      </c>
      <c r="J17" s="140">
        <v>91.516670117676284</v>
      </c>
      <c r="K17" s="140">
        <v>109.66178383404801</v>
      </c>
      <c r="L17" s="140">
        <v>120.82306730563784</v>
      </c>
      <c r="M17" s="140">
        <v>132.30300438122029</v>
      </c>
      <c r="N17" s="140">
        <v>152.22690893849523</v>
      </c>
      <c r="O17" s="140">
        <v>172.11651343782066</v>
      </c>
      <c r="P17" s="140">
        <v>194.68797417334096</v>
      </c>
      <c r="Q17" s="140">
        <v>222.06474760016926</v>
      </c>
      <c r="R17" s="140">
        <v>241.92625696671493</v>
      </c>
      <c r="S17" s="140">
        <v>272.2163703409089</v>
      </c>
      <c r="T17" s="140">
        <v>293.93193590371368</v>
      </c>
      <c r="U17" s="140">
        <v>330.92190696024392</v>
      </c>
      <c r="V17" s="140">
        <v>351.1956328144899</v>
      </c>
      <c r="W17" s="140">
        <v>358.95768358291156</v>
      </c>
      <c r="X17" s="140">
        <v>375.35787522043881</v>
      </c>
      <c r="Y17" s="140">
        <v>403.02957890536533</v>
      </c>
      <c r="DA17" s="170" t="s">
        <v>258</v>
      </c>
    </row>
    <row r="18" spans="1:105" ht="12" customHeight="1" x14ac:dyDescent="0.25">
      <c r="A18" s="131" t="s">
        <v>72</v>
      </c>
      <c r="B18" s="140">
        <v>20646.390570820029</v>
      </c>
      <c r="C18" s="140">
        <v>21581.180742838744</v>
      </c>
      <c r="D18" s="140">
        <v>22937.788590407978</v>
      </c>
      <c r="E18" s="140">
        <v>23639.490839835387</v>
      </c>
      <c r="F18" s="140">
        <v>24785.841940340171</v>
      </c>
      <c r="G18" s="140">
        <v>26308.509712982886</v>
      </c>
      <c r="H18" s="140">
        <v>27766.508951656222</v>
      </c>
      <c r="I18" s="140">
        <v>29756.242987007248</v>
      </c>
      <c r="J18" s="140">
        <v>30982.227816828945</v>
      </c>
      <c r="K18" s="140">
        <v>31847.15465969951</v>
      </c>
      <c r="L18" s="140">
        <v>33485.765256212449</v>
      </c>
      <c r="M18" s="140">
        <v>34424.190415505793</v>
      </c>
      <c r="N18" s="140">
        <v>35375.166197235812</v>
      </c>
      <c r="O18" s="140">
        <v>36269.514423270339</v>
      </c>
      <c r="P18" s="140">
        <v>36868.396106443201</v>
      </c>
      <c r="Q18" s="140">
        <v>37907.154161181206</v>
      </c>
      <c r="R18" s="140">
        <v>39421.592566763866</v>
      </c>
      <c r="S18" s="140">
        <v>40236.047063362035</v>
      </c>
      <c r="T18" s="140">
        <v>41203.972403935717</v>
      </c>
      <c r="U18" s="140">
        <v>42057.313924764298</v>
      </c>
      <c r="V18" s="140">
        <v>42845.016591854299</v>
      </c>
      <c r="W18" s="140">
        <v>43652.498659413948</v>
      </c>
      <c r="X18" s="140">
        <v>44062.31822530878</v>
      </c>
      <c r="Y18" s="140">
        <v>45817.735473904817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149147.3155689839</v>
      </c>
      <c r="C19" s="139">
        <f t="shared" si="10"/>
        <v>150261.16334450181</v>
      </c>
      <c r="D19" s="139">
        <f t="shared" si="10"/>
        <v>151907.70073731837</v>
      </c>
      <c r="E19" s="139">
        <f t="shared" si="10"/>
        <v>153093.98810793064</v>
      </c>
      <c r="F19" s="139">
        <f t="shared" si="10"/>
        <v>155579.83653696429</v>
      </c>
      <c r="G19" s="139">
        <f t="shared" si="10"/>
        <v>158263.50939708049</v>
      </c>
      <c r="H19" s="139">
        <f t="shared" si="10"/>
        <v>161920.53510000007</v>
      </c>
      <c r="I19" s="139">
        <f t="shared" si="10"/>
        <v>165550.84057811293</v>
      </c>
      <c r="J19" s="139">
        <f t="shared" si="10"/>
        <v>167503.82728505554</v>
      </c>
      <c r="K19" s="139">
        <f t="shared" si="10"/>
        <v>164440.58190503099</v>
      </c>
      <c r="L19" s="139">
        <f t="shared" si="10"/>
        <v>166453.29305734168</v>
      </c>
      <c r="M19" s="139">
        <f t="shared" si="10"/>
        <v>167927.92430212116</v>
      </c>
      <c r="N19" s="139">
        <f t="shared" si="10"/>
        <v>168502.13921946727</v>
      </c>
      <c r="O19" s="139">
        <f t="shared" si="10"/>
        <v>169219.0592729307</v>
      </c>
      <c r="P19" s="139">
        <f t="shared" si="10"/>
        <v>170206.3743889271</v>
      </c>
      <c r="Q19" s="139">
        <f t="shared" si="10"/>
        <v>171531.14438979683</v>
      </c>
      <c r="R19" s="139">
        <f t="shared" ref="R19:W19" si="11">SUM(R20:R26)</f>
        <v>173933.82271248201</v>
      </c>
      <c r="S19" s="139">
        <f t="shared" si="11"/>
        <v>176510.50732311525</v>
      </c>
      <c r="T19" s="139">
        <f t="shared" si="11"/>
        <v>179060.47440056611</v>
      </c>
      <c r="U19" s="139">
        <f t="shared" si="11"/>
        <v>181300.55305789507</v>
      </c>
      <c r="V19" s="139">
        <f t="shared" si="11"/>
        <v>183453.24333333335</v>
      </c>
      <c r="W19" s="139">
        <f t="shared" si="11"/>
        <v>185509.74085919361</v>
      </c>
      <c r="X19" s="139">
        <f t="shared" ref="X19:Y19" si="12">SUM(X20:X26)</f>
        <v>187525.45096526539</v>
      </c>
      <c r="Y19" s="139">
        <f t="shared" si="12"/>
        <v>189505.91159397358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8620.3653316576856</v>
      </c>
      <c r="C21" s="140">
        <v>9261.5338648541092</v>
      </c>
      <c r="D21" s="140">
        <v>9966.8639399256353</v>
      </c>
      <c r="E21" s="140">
        <v>10617.229718686816</v>
      </c>
      <c r="F21" s="140">
        <v>11004.633626418901</v>
      </c>
      <c r="G21" s="140">
        <v>11116.057947993142</v>
      </c>
      <c r="H21" s="140">
        <v>11078.584882303136</v>
      </c>
      <c r="I21" s="140">
        <v>10761.55174553882</v>
      </c>
      <c r="J21" s="140">
        <v>10021.115805887366</v>
      </c>
      <c r="K21" s="140">
        <v>8605.6124751945117</v>
      </c>
      <c r="L21" s="140">
        <v>6489.563784877847</v>
      </c>
      <c r="M21" s="140">
        <v>4145.164508706509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262</v>
      </c>
    </row>
    <row r="22" spans="1:105" ht="12" customHeight="1" x14ac:dyDescent="0.25">
      <c r="A22" s="131" t="s">
        <v>161</v>
      </c>
      <c r="B22" s="140">
        <v>32529.17287541306</v>
      </c>
      <c r="C22" s="140">
        <v>32127.009004542666</v>
      </c>
      <c r="D22" s="140">
        <v>31797.039383400388</v>
      </c>
      <c r="E22" s="140">
        <v>31231.596161561618</v>
      </c>
      <c r="F22" s="140">
        <v>30214.979345012503</v>
      </c>
      <c r="G22" s="140">
        <v>28343.813694277665</v>
      </c>
      <c r="H22" s="140">
        <v>26333.566530766391</v>
      </c>
      <c r="I22" s="140">
        <v>24400.832488640059</v>
      </c>
      <c r="J22" s="140">
        <v>22427.419575050713</v>
      </c>
      <c r="K22" s="140">
        <v>20466.516385474664</v>
      </c>
      <c r="L22" s="140">
        <v>18651.154877765763</v>
      </c>
      <c r="M22" s="140">
        <v>17094.519978196029</v>
      </c>
      <c r="N22" s="140">
        <v>15392.352517690395</v>
      </c>
      <c r="O22" s="140">
        <v>14171.375424999311</v>
      </c>
      <c r="P22" s="140">
        <v>13104.874069097468</v>
      </c>
      <c r="Q22" s="140">
        <v>12465.49302897517</v>
      </c>
      <c r="R22" s="140">
        <v>12214.009092532668</v>
      </c>
      <c r="S22" s="140">
        <v>12337.851188498924</v>
      </c>
      <c r="T22" s="140">
        <v>12444.27244164526</v>
      </c>
      <c r="U22" s="140">
        <v>12489.618860014933</v>
      </c>
      <c r="V22" s="140">
        <v>12367.69550173214</v>
      </c>
      <c r="W22" s="140">
        <v>13012.826552175024</v>
      </c>
      <c r="X22" s="140">
        <v>13710.877177842551</v>
      </c>
      <c r="Y22" s="140">
        <v>14115.383503051558</v>
      </c>
      <c r="DA22" s="170" t="s">
        <v>263</v>
      </c>
    </row>
    <row r="23" spans="1:105" ht="12" customHeight="1" x14ac:dyDescent="0.25">
      <c r="A23" s="131" t="s">
        <v>149</v>
      </c>
      <c r="B23" s="140">
        <v>12671.472393296886</v>
      </c>
      <c r="C23" s="140">
        <v>12759.372822633302</v>
      </c>
      <c r="D23" s="140">
        <v>13033.614288910578</v>
      </c>
      <c r="E23" s="140">
        <v>13294.389563595892</v>
      </c>
      <c r="F23" s="140">
        <v>13583.795133040279</v>
      </c>
      <c r="G23" s="140">
        <v>13763.981862400598</v>
      </c>
      <c r="H23" s="140">
        <v>14047.748128108666</v>
      </c>
      <c r="I23" s="140">
        <v>14256.30627799493</v>
      </c>
      <c r="J23" s="140">
        <v>14574.89550104418</v>
      </c>
      <c r="K23" s="140">
        <v>14723.967021692677</v>
      </c>
      <c r="L23" s="140">
        <v>15326.781557828579</v>
      </c>
      <c r="M23" s="140">
        <v>15802.989949542729</v>
      </c>
      <c r="N23" s="140">
        <v>16231.422163843255</v>
      </c>
      <c r="O23" s="140">
        <v>16507.66470060583</v>
      </c>
      <c r="P23" s="140">
        <v>16676.854062192604</v>
      </c>
      <c r="Q23" s="140">
        <v>16907.712974972346</v>
      </c>
      <c r="R23" s="140">
        <v>17201.912210340532</v>
      </c>
      <c r="S23" s="140">
        <v>17635.51945409465</v>
      </c>
      <c r="T23" s="140">
        <v>18171.516544315386</v>
      </c>
      <c r="U23" s="140">
        <v>18717.223649545969</v>
      </c>
      <c r="V23" s="140">
        <v>19551.561171257177</v>
      </c>
      <c r="W23" s="140">
        <v>21132.208017621699</v>
      </c>
      <c r="X23" s="140">
        <v>23216.8675476805</v>
      </c>
      <c r="Y23" s="140">
        <v>24410.804460127816</v>
      </c>
      <c r="DA23" s="170" t="s">
        <v>264</v>
      </c>
    </row>
    <row r="24" spans="1:105" ht="12" customHeight="1" x14ac:dyDescent="0.25">
      <c r="A24" s="131" t="s">
        <v>128</v>
      </c>
      <c r="B24" s="140">
        <v>3250.2015912980587</v>
      </c>
      <c r="C24" s="140">
        <v>3252.5865121665242</v>
      </c>
      <c r="D24" s="140">
        <v>3292.9570587192397</v>
      </c>
      <c r="E24" s="140">
        <v>3327.1418563762259</v>
      </c>
      <c r="F24" s="140">
        <v>3367.1901642363696</v>
      </c>
      <c r="G24" s="140">
        <v>3373.6671547000624</v>
      </c>
      <c r="H24" s="140">
        <v>3407.1110938947722</v>
      </c>
      <c r="I24" s="140">
        <v>3422.6161184279508</v>
      </c>
      <c r="J24" s="140">
        <v>3486.8698427317718</v>
      </c>
      <c r="K24" s="140">
        <v>3539.53079208799</v>
      </c>
      <c r="L24" s="140">
        <v>3719.209069137582</v>
      </c>
      <c r="M24" s="140">
        <v>3875.2449910591381</v>
      </c>
      <c r="N24" s="140">
        <v>4020.2766072154077</v>
      </c>
      <c r="O24" s="140">
        <v>4097.4003587579164</v>
      </c>
      <c r="P24" s="140">
        <v>4162.4982265282706</v>
      </c>
      <c r="Q24" s="140">
        <v>4225.0795074314292</v>
      </c>
      <c r="R24" s="140">
        <v>4298.2708116004915</v>
      </c>
      <c r="S24" s="140">
        <v>4430.8661184663297</v>
      </c>
      <c r="T24" s="140">
        <v>4584.4860105393009</v>
      </c>
      <c r="U24" s="140">
        <v>4734.8578992079301</v>
      </c>
      <c r="V24" s="140">
        <v>4889.9486650995013</v>
      </c>
      <c r="W24" s="140">
        <v>5156.6145340879375</v>
      </c>
      <c r="X24" s="140">
        <v>5551.0661590650998</v>
      </c>
      <c r="Y24" s="140">
        <v>5777.2425183817213</v>
      </c>
      <c r="DA24" s="170" t="s">
        <v>265</v>
      </c>
    </row>
    <row r="25" spans="1:105" ht="12" customHeight="1" x14ac:dyDescent="0.25">
      <c r="A25" s="131" t="s">
        <v>162</v>
      </c>
      <c r="B25" s="140">
        <v>42858.32176194639</v>
      </c>
      <c r="C25" s="140">
        <v>42793.957925108589</v>
      </c>
      <c r="D25" s="140">
        <v>42647.575167086492</v>
      </c>
      <c r="E25" s="140">
        <v>42153.374394304679</v>
      </c>
      <c r="F25" s="140">
        <v>42285.654567028825</v>
      </c>
      <c r="G25" s="140">
        <v>43500.397829965681</v>
      </c>
      <c r="H25" s="140">
        <v>47592.152438850018</v>
      </c>
      <c r="I25" s="140">
        <v>53021.012652320118</v>
      </c>
      <c r="J25" s="140">
        <v>58997.725073499583</v>
      </c>
      <c r="K25" s="140">
        <v>65715.911379052952</v>
      </c>
      <c r="L25" s="140">
        <v>71512.010796401548</v>
      </c>
      <c r="M25" s="140">
        <v>76118.754292906844</v>
      </c>
      <c r="N25" s="140">
        <v>78895.018223356456</v>
      </c>
      <c r="O25" s="140">
        <v>78889.743042088943</v>
      </c>
      <c r="P25" s="140">
        <v>78209.844588085543</v>
      </c>
      <c r="Q25" s="140">
        <v>77379.736762426735</v>
      </c>
      <c r="R25" s="140">
        <v>77723.94996139413</v>
      </c>
      <c r="S25" s="140">
        <v>78984.732922488809</v>
      </c>
      <c r="T25" s="140">
        <v>81484.479318063546</v>
      </c>
      <c r="U25" s="140">
        <v>82768.962517532651</v>
      </c>
      <c r="V25" s="140">
        <v>82590.294421872619</v>
      </c>
      <c r="W25" s="140">
        <v>82795.622158162485</v>
      </c>
      <c r="X25" s="140">
        <v>82713.814807658913</v>
      </c>
      <c r="Y25" s="140">
        <v>82906.700598289157</v>
      </c>
      <c r="DA25" s="170" t="s">
        <v>266</v>
      </c>
    </row>
    <row r="26" spans="1:105" ht="12" customHeight="1" x14ac:dyDescent="0.25">
      <c r="A26" s="131" t="s">
        <v>24</v>
      </c>
      <c r="B26" s="141">
        <v>49217.781615371823</v>
      </c>
      <c r="C26" s="141">
        <v>50066.70321519662</v>
      </c>
      <c r="D26" s="141">
        <v>51169.650899276035</v>
      </c>
      <c r="E26" s="141">
        <v>52470.256413405426</v>
      </c>
      <c r="F26" s="141">
        <v>55123.583701227406</v>
      </c>
      <c r="G26" s="141">
        <v>58165.590907743339</v>
      </c>
      <c r="H26" s="141">
        <v>59461.372026077071</v>
      </c>
      <c r="I26" s="141">
        <v>59688.521295191036</v>
      </c>
      <c r="J26" s="141">
        <v>57995.801486841912</v>
      </c>
      <c r="K26" s="141">
        <v>51389.043851528208</v>
      </c>
      <c r="L26" s="141">
        <v>50754.572971330359</v>
      </c>
      <c r="M26" s="141">
        <v>50891.250581709901</v>
      </c>
      <c r="N26" s="141">
        <v>53963.069707361748</v>
      </c>
      <c r="O26" s="141">
        <v>55552.875746478698</v>
      </c>
      <c r="P26" s="141">
        <v>58052.303443023207</v>
      </c>
      <c r="Q26" s="141">
        <v>60553.122115991129</v>
      </c>
      <c r="R26" s="141">
        <v>62495.680636614183</v>
      </c>
      <c r="S26" s="141">
        <v>63121.537639566552</v>
      </c>
      <c r="T26" s="141">
        <v>62375.720086002606</v>
      </c>
      <c r="U26" s="141">
        <v>62589.890131593587</v>
      </c>
      <c r="V26" s="141">
        <v>64053.743573371903</v>
      </c>
      <c r="W26" s="141">
        <v>63412.469597146461</v>
      </c>
      <c r="X26" s="141">
        <v>62332.825273018345</v>
      </c>
      <c r="Y26" s="141">
        <v>62295.780514123333</v>
      </c>
      <c r="DA26" s="171" t="s">
        <v>267</v>
      </c>
    </row>
    <row r="27" spans="1:105" ht="12" customHeight="1" x14ac:dyDescent="0.25">
      <c r="A27" s="144" t="s">
        <v>26</v>
      </c>
      <c r="B27" s="150">
        <v>34997.197400902805</v>
      </c>
      <c r="C27" s="150">
        <v>35988.752127472617</v>
      </c>
      <c r="D27" s="150">
        <v>36664.449561873203</v>
      </c>
      <c r="E27" s="150">
        <v>43339.908645113101</v>
      </c>
      <c r="F27" s="150">
        <v>45315.249698173771</v>
      </c>
      <c r="G27" s="150">
        <v>41063.135096527352</v>
      </c>
      <c r="H27" s="150">
        <v>28641.838660826859</v>
      </c>
      <c r="I27" s="150">
        <v>34728.736561888698</v>
      </c>
      <c r="J27" s="150">
        <v>46388.088649403573</v>
      </c>
      <c r="K27" s="150">
        <v>25983.467260255034</v>
      </c>
      <c r="L27" s="150">
        <v>39085.424634641844</v>
      </c>
      <c r="M27" s="150">
        <v>52888.934289635297</v>
      </c>
      <c r="N27" s="150">
        <v>67808.498988906387</v>
      </c>
      <c r="O27" s="150">
        <v>56757.901995729611</v>
      </c>
      <c r="P27" s="150">
        <v>62376.208651057888</v>
      </c>
      <c r="Q27" s="150">
        <v>50107.106337111072</v>
      </c>
      <c r="R27" s="150">
        <v>45744.011164189578</v>
      </c>
      <c r="S27" s="150">
        <v>56055.497731017029</v>
      </c>
      <c r="T27" s="150">
        <v>68326.448472184376</v>
      </c>
      <c r="U27" s="150">
        <v>67798.868219474272</v>
      </c>
      <c r="V27" s="150">
        <v>76765.357967138509</v>
      </c>
      <c r="W27" s="150">
        <v>59376.894649985807</v>
      </c>
      <c r="X27" s="150">
        <v>71241.817997449645</v>
      </c>
      <c r="Y27" s="150">
        <v>65653.733273649486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149147.3155689839</v>
      </c>
      <c r="C29" s="139">
        <f t="shared" si="13"/>
        <v>150261.16334450178</v>
      </c>
      <c r="D29" s="139">
        <f t="shared" si="13"/>
        <v>151907.70073731837</v>
      </c>
      <c r="E29" s="139">
        <f t="shared" si="13"/>
        <v>153093.98810793067</v>
      </c>
      <c r="F29" s="139">
        <f t="shared" si="13"/>
        <v>155579.83653696431</v>
      </c>
      <c r="G29" s="139">
        <f t="shared" si="13"/>
        <v>158263.50939708052</v>
      </c>
      <c r="H29" s="139">
        <f t="shared" si="13"/>
        <v>161920.53510000004</v>
      </c>
      <c r="I29" s="139">
        <f t="shared" si="13"/>
        <v>165550.8405781129</v>
      </c>
      <c r="J29" s="139">
        <f t="shared" si="13"/>
        <v>167503.82728505545</v>
      </c>
      <c r="K29" s="139">
        <f t="shared" si="13"/>
        <v>164440.58190503102</v>
      </c>
      <c r="L29" s="139">
        <f t="shared" si="13"/>
        <v>166453.29305734171</v>
      </c>
      <c r="M29" s="139">
        <f t="shared" si="13"/>
        <v>167927.92430212107</v>
      </c>
      <c r="N29" s="139">
        <f t="shared" si="13"/>
        <v>168502.1392194673</v>
      </c>
      <c r="O29" s="139">
        <f t="shared" si="13"/>
        <v>169219.05927293064</v>
      </c>
      <c r="P29" s="139">
        <f t="shared" si="13"/>
        <v>170206.37438892701</v>
      </c>
      <c r="Q29" s="139">
        <f t="shared" si="13"/>
        <v>171531.1443897968</v>
      </c>
      <c r="R29" s="139">
        <f t="shared" ref="R29:W29" si="14">SUM(R30:R33)</f>
        <v>173933.82271248207</v>
      </c>
      <c r="S29" s="139">
        <f t="shared" si="14"/>
        <v>176510.50732311519</v>
      </c>
      <c r="T29" s="139">
        <f t="shared" si="14"/>
        <v>179060.47440056602</v>
      </c>
      <c r="U29" s="139">
        <f t="shared" si="14"/>
        <v>181300.55305789498</v>
      </c>
      <c r="V29" s="139">
        <f t="shared" si="14"/>
        <v>183453.24333333326</v>
      </c>
      <c r="W29" s="139">
        <f t="shared" si="14"/>
        <v>185509.74085919367</v>
      </c>
      <c r="X29" s="139">
        <f t="shared" ref="X29:Y29" si="15">SUM(X30:X33)</f>
        <v>187525.45096526537</v>
      </c>
      <c r="Y29" s="139">
        <f t="shared" si="15"/>
        <v>189505.91159397355</v>
      </c>
      <c r="DA29" s="169" t="s">
        <v>269</v>
      </c>
    </row>
    <row r="30" spans="1:105" ht="12" customHeight="1" x14ac:dyDescent="0.25">
      <c r="A30" s="131" t="s">
        <v>52</v>
      </c>
      <c r="B30" s="140">
        <v>18166.784762348761</v>
      </c>
      <c r="C30" s="140">
        <v>19441.063464330455</v>
      </c>
      <c r="D30" s="140">
        <v>25607.96546911215</v>
      </c>
      <c r="E30" s="140">
        <v>30275.67488531884</v>
      </c>
      <c r="F30" s="140">
        <v>30960.985554087987</v>
      </c>
      <c r="G30" s="140">
        <v>30511.517637878798</v>
      </c>
      <c r="H30" s="140">
        <v>28438.671736124405</v>
      </c>
      <c r="I30" s="140">
        <v>22453.397354034601</v>
      </c>
      <c r="J30" s="140">
        <v>22044.946310941206</v>
      </c>
      <c r="K30" s="140">
        <v>22127.35075996974</v>
      </c>
      <c r="L30" s="140">
        <v>21692.266059971007</v>
      </c>
      <c r="M30" s="140">
        <v>18878.526646708619</v>
      </c>
      <c r="N30" s="140">
        <v>9720.546490020346</v>
      </c>
      <c r="O30" s="140">
        <v>4476.6635870670716</v>
      </c>
      <c r="P30" s="140">
        <v>1936.6876532257568</v>
      </c>
      <c r="Q30" s="140">
        <v>2101.2136875243855</v>
      </c>
      <c r="R30" s="140">
        <v>2462.0067261635386</v>
      </c>
      <c r="S30" s="140">
        <v>3435.1621993991525</v>
      </c>
      <c r="T30" s="140">
        <v>3874.3542971587813</v>
      </c>
      <c r="U30" s="140">
        <v>4290.2745517409967</v>
      </c>
      <c r="V30" s="140">
        <v>4356.3648776682039</v>
      </c>
      <c r="W30" s="140">
        <v>4160.5911719376718</v>
      </c>
      <c r="X30" s="140">
        <v>3490.2686653352407</v>
      </c>
      <c r="Y30" s="140">
        <v>2271.4163427373924</v>
      </c>
      <c r="DA30" s="170" t="s">
        <v>270</v>
      </c>
    </row>
    <row r="31" spans="1:105" ht="12" customHeight="1" x14ac:dyDescent="0.25">
      <c r="A31" s="131" t="s">
        <v>149</v>
      </c>
      <c r="B31" s="140">
        <v>36929.281865594297</v>
      </c>
      <c r="C31" s="140">
        <v>38964.336951193371</v>
      </c>
      <c r="D31" s="140">
        <v>41121.782595670978</v>
      </c>
      <c r="E31" s="140">
        <v>43147.544718041638</v>
      </c>
      <c r="F31" s="140">
        <v>45288.401709349768</v>
      </c>
      <c r="G31" s="140">
        <v>47124.470422689512</v>
      </c>
      <c r="H31" s="140">
        <v>48807.914641595969</v>
      </c>
      <c r="I31" s="140">
        <v>50176.584324976422</v>
      </c>
      <c r="J31" s="140">
        <v>51433.91913089942</v>
      </c>
      <c r="K31" s="140">
        <v>52378.170567813446</v>
      </c>
      <c r="L31" s="140">
        <v>53206.483892289303</v>
      </c>
      <c r="M31" s="140">
        <v>53662.692756089687</v>
      </c>
      <c r="N31" s="140">
        <v>53873.716083939908</v>
      </c>
      <c r="O31" s="140">
        <v>54231.990828701513</v>
      </c>
      <c r="P31" s="140">
        <v>54642.516771281589</v>
      </c>
      <c r="Q31" s="140">
        <v>55123.792665024514</v>
      </c>
      <c r="R31" s="140">
        <v>55554.323182060667</v>
      </c>
      <c r="S31" s="140">
        <v>56327.547653393776</v>
      </c>
      <c r="T31" s="140">
        <v>57147.865471361649</v>
      </c>
      <c r="U31" s="140">
        <v>58047.258438760728</v>
      </c>
      <c r="V31" s="140">
        <v>58621.812596073294</v>
      </c>
      <c r="W31" s="140">
        <v>60509.317797309894</v>
      </c>
      <c r="X31" s="140">
        <v>62213.73675867245</v>
      </c>
      <c r="Y31" s="140">
        <v>63046.062781417371</v>
      </c>
      <c r="DA31" s="170" t="s">
        <v>271</v>
      </c>
    </row>
    <row r="32" spans="1:105" ht="12" customHeight="1" x14ac:dyDescent="0.25">
      <c r="A32" s="131" t="s">
        <v>128</v>
      </c>
      <c r="B32" s="140">
        <v>2438.3625543128692</v>
      </c>
      <c r="C32" s="140">
        <v>2429.3119813814101</v>
      </c>
      <c r="D32" s="140">
        <v>2422.6610606365757</v>
      </c>
      <c r="E32" s="140">
        <v>2383.7002969791165</v>
      </c>
      <c r="F32" s="140">
        <v>2349.7103317165233</v>
      </c>
      <c r="G32" s="140">
        <v>2282.4582875024271</v>
      </c>
      <c r="H32" s="140">
        <v>2211.591897471159</v>
      </c>
      <c r="I32" s="140">
        <v>2125.9651540401419</v>
      </c>
      <c r="J32" s="140">
        <v>2048.3077083983576</v>
      </c>
      <c r="K32" s="140">
        <v>1975.1851855361556</v>
      </c>
      <c r="L32" s="140">
        <v>1960.3759449965867</v>
      </c>
      <c r="M32" s="140">
        <v>1941.2838833949543</v>
      </c>
      <c r="N32" s="140">
        <v>1967.194038068634</v>
      </c>
      <c r="O32" s="140">
        <v>2014.240178727058</v>
      </c>
      <c r="P32" s="140">
        <v>2112.7476002066674</v>
      </c>
      <c r="Q32" s="140">
        <v>2242.4060297020224</v>
      </c>
      <c r="R32" s="140">
        <v>2373.2848649445104</v>
      </c>
      <c r="S32" s="140">
        <v>2537.0009041769408</v>
      </c>
      <c r="T32" s="140">
        <v>2755.5552622534974</v>
      </c>
      <c r="U32" s="140">
        <v>2992.2927831650545</v>
      </c>
      <c r="V32" s="140">
        <v>3128.8444366929812</v>
      </c>
      <c r="W32" s="140">
        <v>3181.5753410319035</v>
      </c>
      <c r="X32" s="140">
        <v>3209.8963602756667</v>
      </c>
      <c r="Y32" s="140">
        <v>3251.6722845706117</v>
      </c>
      <c r="DA32" s="170" t="s">
        <v>272</v>
      </c>
    </row>
    <row r="33" spans="1:105" ht="12" customHeight="1" x14ac:dyDescent="0.25">
      <c r="A33" s="62" t="s">
        <v>24</v>
      </c>
      <c r="B33" s="152">
        <v>91612.886386727972</v>
      </c>
      <c r="C33" s="152">
        <v>89426.450947596546</v>
      </c>
      <c r="D33" s="152">
        <v>82755.291611898661</v>
      </c>
      <c r="E33" s="152">
        <v>77287.068207591059</v>
      </c>
      <c r="F33" s="152">
        <v>76980.738941810036</v>
      </c>
      <c r="G33" s="152">
        <v>78345.063049009783</v>
      </c>
      <c r="H33" s="152">
        <v>82462.356824808521</v>
      </c>
      <c r="I33" s="152">
        <v>90794.893745061738</v>
      </c>
      <c r="J33" s="152">
        <v>91976.654134816476</v>
      </c>
      <c r="K33" s="152">
        <v>87959.875391711685</v>
      </c>
      <c r="L33" s="152">
        <v>89594.167160084791</v>
      </c>
      <c r="M33" s="152">
        <v>93445.421015927815</v>
      </c>
      <c r="N33" s="152">
        <v>102940.68260743842</v>
      </c>
      <c r="O33" s="152">
        <v>108496.16467843499</v>
      </c>
      <c r="P33" s="152">
        <v>111514.42236421301</v>
      </c>
      <c r="Q33" s="152">
        <v>112063.73200754587</v>
      </c>
      <c r="R33" s="152">
        <v>113544.20793931335</v>
      </c>
      <c r="S33" s="152">
        <v>114210.79656614531</v>
      </c>
      <c r="T33" s="152">
        <v>115282.69936979208</v>
      </c>
      <c r="U33" s="152">
        <v>115970.7272842282</v>
      </c>
      <c r="V33" s="152">
        <v>117346.22142289879</v>
      </c>
      <c r="W33" s="152">
        <v>117658.25654891419</v>
      </c>
      <c r="X33" s="152">
        <v>118611.54918098201</v>
      </c>
      <c r="Y33" s="152">
        <v>120936.76018524817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2098.0118960030113</v>
      </c>
      <c r="C3" s="125">
        <f t="shared" si="0"/>
        <v>2488.4433545051261</v>
      </c>
      <c r="D3" s="125">
        <f t="shared" si="0"/>
        <v>2414.702190420704</v>
      </c>
      <c r="E3" s="125">
        <f t="shared" si="0"/>
        <v>2735.481849803567</v>
      </c>
      <c r="F3" s="125">
        <f t="shared" si="0"/>
        <v>2675.3522134822047</v>
      </c>
      <c r="G3" s="125">
        <f t="shared" si="0"/>
        <v>2494.7188357391751</v>
      </c>
      <c r="H3" s="125">
        <f t="shared" si="0"/>
        <v>2575.8058724246089</v>
      </c>
      <c r="I3" s="125">
        <f t="shared" si="0"/>
        <v>2165.888318675276</v>
      </c>
      <c r="J3" s="125">
        <f t="shared" si="0"/>
        <v>2375.4942155913777</v>
      </c>
      <c r="K3" s="125">
        <f t="shared" si="0"/>
        <v>2046.9191004372162</v>
      </c>
      <c r="L3" s="125">
        <f t="shared" si="0"/>
        <v>2001.5658786205699</v>
      </c>
      <c r="M3" s="125">
        <f t="shared" si="0"/>
        <v>1896.6809179624991</v>
      </c>
      <c r="N3" s="125">
        <f t="shared" si="0"/>
        <v>1880.1083347975166</v>
      </c>
      <c r="O3" s="125">
        <f t="shared" si="0"/>
        <v>1859.1357737337055</v>
      </c>
      <c r="P3" s="125">
        <f t="shared" si="0"/>
        <v>1704.9644628405952</v>
      </c>
      <c r="Q3" s="125">
        <f t="shared" si="0"/>
        <v>1758.1587807712558</v>
      </c>
      <c r="R3" s="125">
        <f t="shared" ref="R3:W3" si="1">SUM(R4,R16,R19,R29)</f>
        <v>1697.172470651893</v>
      </c>
      <c r="S3" s="125">
        <f t="shared" si="1"/>
        <v>1877.2972003478289</v>
      </c>
      <c r="T3" s="125">
        <f t="shared" si="1"/>
        <v>1808.3526708421368</v>
      </c>
      <c r="U3" s="125">
        <f t="shared" si="1"/>
        <v>1838.0435976309434</v>
      </c>
      <c r="V3" s="125">
        <f t="shared" si="1"/>
        <v>1714.8378822597572</v>
      </c>
      <c r="W3" s="125">
        <f t="shared" si="1"/>
        <v>1900.9352955855707</v>
      </c>
      <c r="X3" s="125">
        <f t="shared" ref="X3:Y3" si="2">SUM(X4,X16,X19,X29)</f>
        <v>1731.6187090608851</v>
      </c>
      <c r="Y3" s="125">
        <f t="shared" si="2"/>
        <v>1592.2224363188041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1630.0471719266784</v>
      </c>
      <c r="C4" s="130">
        <f t="shared" si="3"/>
        <v>2006.8864371519176</v>
      </c>
      <c r="D4" s="130">
        <f t="shared" si="3"/>
        <v>1912.7360870562554</v>
      </c>
      <c r="E4" s="130">
        <f t="shared" si="3"/>
        <v>2217.0143999387024</v>
      </c>
      <c r="F4" s="130">
        <f t="shared" si="3"/>
        <v>2148.3036064897074</v>
      </c>
      <c r="G4" s="130">
        <f t="shared" si="3"/>
        <v>1959.136554122784</v>
      </c>
      <c r="H4" s="130">
        <f t="shared" si="3"/>
        <v>2032.8157962609789</v>
      </c>
      <c r="I4" s="130">
        <f t="shared" si="3"/>
        <v>1620.3095787681896</v>
      </c>
      <c r="J4" s="130">
        <f t="shared" si="3"/>
        <v>1834.2335637666899</v>
      </c>
      <c r="K4" s="130">
        <f t="shared" si="3"/>
        <v>1491.6762897317749</v>
      </c>
      <c r="L4" s="130">
        <f t="shared" si="3"/>
        <v>1448.5829868413819</v>
      </c>
      <c r="M4" s="130">
        <f t="shared" si="3"/>
        <v>1341.9604282311298</v>
      </c>
      <c r="N4" s="130">
        <f t="shared" si="3"/>
        <v>1337.7433458166233</v>
      </c>
      <c r="O4" s="130">
        <f t="shared" si="3"/>
        <v>1312.6970662107306</v>
      </c>
      <c r="P4" s="130">
        <f t="shared" si="3"/>
        <v>1152.7504338373831</v>
      </c>
      <c r="Q4" s="130">
        <f t="shared" si="3"/>
        <v>1202.0987946849475</v>
      </c>
      <c r="R4" s="130">
        <f t="shared" ref="R4:W4" si="4">SUM(R5:R15)</f>
        <v>1139.0258118246149</v>
      </c>
      <c r="S4" s="130">
        <f t="shared" si="4"/>
        <v>1316.0219875483976</v>
      </c>
      <c r="T4" s="130">
        <f t="shared" si="4"/>
        <v>1249.6760948123172</v>
      </c>
      <c r="U4" s="130">
        <f t="shared" si="4"/>
        <v>1281.3005059402976</v>
      </c>
      <c r="V4" s="130">
        <f t="shared" si="4"/>
        <v>1180.5199893817444</v>
      </c>
      <c r="W4" s="130">
        <f t="shared" si="4"/>
        <v>1357.0221179410955</v>
      </c>
      <c r="X4" s="130">
        <f t="shared" ref="X4:Y4" si="5">SUM(X5:X15)</f>
        <v>1181.1490073985196</v>
      </c>
      <c r="Y4" s="130">
        <f t="shared" si="5"/>
        <v>1031.1641115125653</v>
      </c>
      <c r="DA4" s="155" t="s">
        <v>214</v>
      </c>
    </row>
    <row r="5" spans="1:105" ht="12" customHeight="1" x14ac:dyDescent="0.25">
      <c r="A5" s="131" t="s">
        <v>29</v>
      </c>
      <c r="B5" s="132">
        <v>27.257437661220976</v>
      </c>
      <c r="C5" s="132">
        <v>29.08211521926053</v>
      </c>
      <c r="D5" s="132">
        <v>20.26930352536543</v>
      </c>
      <c r="E5" s="132">
        <v>28.267583834909711</v>
      </c>
      <c r="F5" s="132">
        <v>20.337231298366294</v>
      </c>
      <c r="G5" s="132">
        <v>16.956061908856405</v>
      </c>
      <c r="H5" s="132">
        <v>12.320894239036971</v>
      </c>
      <c r="I5" s="132">
        <v>9.754772141014616</v>
      </c>
      <c r="J5" s="132">
        <v>5.9950128976784178</v>
      </c>
      <c r="K5" s="132">
        <v>4.5351676698194314</v>
      </c>
      <c r="L5" s="132">
        <v>5.0715391229578675</v>
      </c>
      <c r="M5" s="132">
        <v>3.5312983662940658</v>
      </c>
      <c r="N5" s="132">
        <v>6.4488392089423904E-2</v>
      </c>
      <c r="O5" s="132">
        <v>0.18667239896818574</v>
      </c>
      <c r="P5" s="132">
        <v>2.0120378331900262E-2</v>
      </c>
      <c r="Q5" s="132">
        <v>1.3757523645743758E-2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347.13113696175884</v>
      </c>
      <c r="C7" s="132">
        <v>475.4969689819971</v>
      </c>
      <c r="D7" s="132">
        <v>474.8504433402353</v>
      </c>
      <c r="E7" s="132">
        <v>592.10731404955959</v>
      </c>
      <c r="F7" s="132">
        <v>424.65265564226365</v>
      </c>
      <c r="G7" s="132">
        <v>543.95638620165516</v>
      </c>
      <c r="H7" s="132">
        <v>548.97863425524213</v>
      </c>
      <c r="I7" s="132">
        <v>375.88287972003513</v>
      </c>
      <c r="J7" s="132">
        <v>440.40140867002077</v>
      </c>
      <c r="K7" s="132">
        <v>341.36945324671137</v>
      </c>
      <c r="L7" s="132">
        <v>157.34887486037482</v>
      </c>
      <c r="M7" s="132">
        <v>153.04324100939246</v>
      </c>
      <c r="N7" s="132">
        <v>126.13591137817419</v>
      </c>
      <c r="O7" s="132">
        <v>125.22891781663827</v>
      </c>
      <c r="P7" s="132">
        <v>138.0043998636468</v>
      </c>
      <c r="Q7" s="132">
        <v>144.9729199599424</v>
      </c>
      <c r="R7" s="132">
        <v>131.70814797627327</v>
      </c>
      <c r="S7" s="132">
        <v>181.85015714551224</v>
      </c>
      <c r="T7" s="132">
        <v>159.2892921269995</v>
      </c>
      <c r="U7" s="132">
        <v>148.40985181077585</v>
      </c>
      <c r="V7" s="132">
        <v>145.66597379947243</v>
      </c>
      <c r="W7" s="132">
        <v>186.17646306185884</v>
      </c>
      <c r="X7" s="132">
        <v>156.66335589100251</v>
      </c>
      <c r="Y7" s="132">
        <v>85.473597370915414</v>
      </c>
      <c r="DA7" s="156" t="s">
        <v>277</v>
      </c>
    </row>
    <row r="8" spans="1:105" ht="12" customHeight="1" x14ac:dyDescent="0.25">
      <c r="A8" s="131" t="s">
        <v>73</v>
      </c>
      <c r="B8" s="132">
        <v>3.0151825553546066</v>
      </c>
      <c r="C8" s="132">
        <v>3.9766099424799002</v>
      </c>
      <c r="D8" s="132">
        <v>4.0354587609035963</v>
      </c>
      <c r="E8" s="132">
        <v>5.0269803389805787</v>
      </c>
      <c r="F8" s="132">
        <v>5.3785945559936472</v>
      </c>
      <c r="G8" s="132">
        <v>5.2417263836626518</v>
      </c>
      <c r="H8" s="132">
        <v>5.7601074285416303</v>
      </c>
      <c r="I8" s="132">
        <v>4.6609926076200585</v>
      </c>
      <c r="J8" s="132">
        <v>5.2850204522528461</v>
      </c>
      <c r="K8" s="132">
        <v>4.2938880604701914</v>
      </c>
      <c r="L8" s="132">
        <v>4.0549629914807941</v>
      </c>
      <c r="M8" s="132">
        <v>3.6500197167045694</v>
      </c>
      <c r="N8" s="132">
        <v>3.3501056662834938</v>
      </c>
      <c r="O8" s="132">
        <v>2.9491636204447786</v>
      </c>
      <c r="P8" s="132">
        <v>2.763858681643284</v>
      </c>
      <c r="Q8" s="132">
        <v>2.7670307846452165</v>
      </c>
      <c r="R8" s="132">
        <v>2.8401895095403744</v>
      </c>
      <c r="S8" s="132">
        <v>3.1252590375325315</v>
      </c>
      <c r="T8" s="132">
        <v>2.9110497779605562</v>
      </c>
      <c r="U8" s="132">
        <v>2.964771341396681</v>
      </c>
      <c r="V8" s="132">
        <v>2.4921224779155868</v>
      </c>
      <c r="W8" s="132">
        <v>2.8137129732917527</v>
      </c>
      <c r="X8" s="132">
        <v>2.3818477791839343</v>
      </c>
      <c r="Y8" s="132">
        <v>2.0693145684137741</v>
      </c>
      <c r="DA8" s="156" t="s">
        <v>278</v>
      </c>
    </row>
    <row r="9" spans="1:105" ht="12" customHeight="1" x14ac:dyDescent="0.25">
      <c r="A9" s="131" t="s">
        <v>78</v>
      </c>
      <c r="B9" s="132">
        <v>512.50914508325013</v>
      </c>
      <c r="C9" s="132">
        <v>739.62852183984319</v>
      </c>
      <c r="D9" s="132">
        <v>657.02823371767511</v>
      </c>
      <c r="E9" s="132">
        <v>750.0175959161719</v>
      </c>
      <c r="F9" s="132">
        <v>909.93763647795367</v>
      </c>
      <c r="G9" s="132">
        <v>438.65966966550667</v>
      </c>
      <c r="H9" s="132">
        <v>473.80760951591986</v>
      </c>
      <c r="I9" s="132">
        <v>343.22002888301739</v>
      </c>
      <c r="J9" s="132">
        <v>379.0036330544753</v>
      </c>
      <c r="K9" s="132">
        <v>265.51619289744667</v>
      </c>
      <c r="L9" s="132">
        <v>284.37774873293779</v>
      </c>
      <c r="M9" s="132">
        <v>230.05599016504638</v>
      </c>
      <c r="N9" s="132">
        <v>275.75145770035175</v>
      </c>
      <c r="O9" s="132">
        <v>276.55425714484477</v>
      </c>
      <c r="P9" s="132">
        <v>208.98191954354382</v>
      </c>
      <c r="Q9" s="132">
        <v>231.54163743905414</v>
      </c>
      <c r="R9" s="132">
        <v>209.91314162812239</v>
      </c>
      <c r="S9" s="132">
        <v>226.85658400863045</v>
      </c>
      <c r="T9" s="132">
        <v>207.22260151704427</v>
      </c>
      <c r="U9" s="132">
        <v>227.59127166967207</v>
      </c>
      <c r="V9" s="132">
        <v>221.87462081198458</v>
      </c>
      <c r="W9" s="132">
        <v>263.96755473018311</v>
      </c>
      <c r="X9" s="132">
        <v>167.06812560003451</v>
      </c>
      <c r="Y9" s="132">
        <v>188.63244741121687</v>
      </c>
      <c r="DA9" s="156" t="s">
        <v>279</v>
      </c>
    </row>
    <row r="10" spans="1:105" ht="12" customHeight="1" x14ac:dyDescent="0.25">
      <c r="A10" s="131" t="s">
        <v>128</v>
      </c>
      <c r="B10" s="132">
        <v>67.001407193651858</v>
      </c>
      <c r="C10" s="132">
        <v>71.22218264065512</v>
      </c>
      <c r="D10" s="132">
        <v>70.467247183505833</v>
      </c>
      <c r="E10" s="132">
        <v>82.939230388943841</v>
      </c>
      <c r="F10" s="132">
        <v>89.805297370043689</v>
      </c>
      <c r="G10" s="132">
        <v>71.436508758556116</v>
      </c>
      <c r="H10" s="132">
        <v>76.955097327546767</v>
      </c>
      <c r="I10" s="132">
        <v>70.932957356455546</v>
      </c>
      <c r="J10" s="132">
        <v>56.506190726342908</v>
      </c>
      <c r="K10" s="132">
        <v>55.587009620976467</v>
      </c>
      <c r="L10" s="132">
        <v>69.504760766089134</v>
      </c>
      <c r="M10" s="132">
        <v>53.285254575964437</v>
      </c>
      <c r="N10" s="132">
        <v>32.330776269882399</v>
      </c>
      <c r="O10" s="132">
        <v>42.823940391330531</v>
      </c>
      <c r="P10" s="132">
        <v>33.857934647789598</v>
      </c>
      <c r="Q10" s="132">
        <v>47.4877364089064</v>
      </c>
      <c r="R10" s="132">
        <v>33.722360201670561</v>
      </c>
      <c r="S10" s="132">
        <v>62.917958408527369</v>
      </c>
      <c r="T10" s="132">
        <v>65.427529886702843</v>
      </c>
      <c r="U10" s="132">
        <v>73.264432783828667</v>
      </c>
      <c r="V10" s="132">
        <v>70.93671928057266</v>
      </c>
      <c r="W10" s="132">
        <v>81.368574915347949</v>
      </c>
      <c r="X10" s="132">
        <v>60.342617959563491</v>
      </c>
      <c r="Y10" s="132">
        <v>33.362546264428737</v>
      </c>
      <c r="DA10" s="156" t="s">
        <v>280</v>
      </c>
    </row>
    <row r="11" spans="1:105" ht="12" customHeight="1" x14ac:dyDescent="0.25">
      <c r="A11" s="131" t="s">
        <v>25</v>
      </c>
      <c r="B11" s="132">
        <v>4.9202063628546862</v>
      </c>
      <c r="C11" s="132">
        <v>4.5380911435941522</v>
      </c>
      <c r="D11" s="132">
        <v>7.4042132416165085</v>
      </c>
      <c r="E11" s="132">
        <v>5.7323301805674989</v>
      </c>
      <c r="F11" s="132">
        <v>5.732330180567498</v>
      </c>
      <c r="G11" s="132">
        <v>6.4447979363714536</v>
      </c>
      <c r="H11" s="132">
        <v>6.2772141014617349</v>
      </c>
      <c r="I11" s="132">
        <v>5.6556319862424766</v>
      </c>
      <c r="J11" s="132">
        <v>6.0750644883920879</v>
      </c>
      <c r="K11" s="132">
        <v>6.7038693035253649</v>
      </c>
      <c r="L11" s="132">
        <v>7.6586414445399784</v>
      </c>
      <c r="M11" s="132">
        <v>6.6477214101461746</v>
      </c>
      <c r="N11" s="132">
        <v>8.2565778159931167</v>
      </c>
      <c r="O11" s="132">
        <v>7.8659501289767801</v>
      </c>
      <c r="P11" s="132">
        <v>6.3785898538263099</v>
      </c>
      <c r="Q11" s="132">
        <v>7.1853826311263891</v>
      </c>
      <c r="R11" s="132">
        <v>7.1656921754084264</v>
      </c>
      <c r="S11" s="132">
        <v>12.286070507308686</v>
      </c>
      <c r="T11" s="132">
        <v>11.291831470335323</v>
      </c>
      <c r="U11" s="132">
        <v>11.365864144454001</v>
      </c>
      <c r="V11" s="132">
        <v>11.770679277730013</v>
      </c>
      <c r="W11" s="132">
        <v>10.243594153052442</v>
      </c>
      <c r="X11" s="132">
        <v>8.5888220120378325</v>
      </c>
      <c r="Y11" s="132">
        <v>7.7361134995700791</v>
      </c>
      <c r="DA11" s="156" t="s">
        <v>281</v>
      </c>
    </row>
    <row r="12" spans="1:105" ht="12" customHeight="1" x14ac:dyDescent="0.25">
      <c r="A12" s="131" t="s">
        <v>162</v>
      </c>
      <c r="B12" s="132">
        <v>325.46897286954112</v>
      </c>
      <c r="C12" s="132">
        <v>340.96850783024973</v>
      </c>
      <c r="D12" s="132">
        <v>355.86197353283245</v>
      </c>
      <c r="E12" s="132">
        <v>384.398525463184</v>
      </c>
      <c r="F12" s="132">
        <v>408.22075938826276</v>
      </c>
      <c r="G12" s="132">
        <v>494.24360826829405</v>
      </c>
      <c r="H12" s="132">
        <v>535.35680877494929</v>
      </c>
      <c r="I12" s="132">
        <v>481.53332114712407</v>
      </c>
      <c r="J12" s="132">
        <v>559.77780733650889</v>
      </c>
      <c r="K12" s="132">
        <v>583.61834761588386</v>
      </c>
      <c r="L12" s="132">
        <v>638.63889284809341</v>
      </c>
      <c r="M12" s="132">
        <v>633.23444819106783</v>
      </c>
      <c r="N12" s="132">
        <v>632.34562039764899</v>
      </c>
      <c r="O12" s="132">
        <v>599.94262796455553</v>
      </c>
      <c r="P12" s="132">
        <v>521.01808325494233</v>
      </c>
      <c r="Q12" s="132">
        <v>542.15923487532837</v>
      </c>
      <c r="R12" s="132">
        <v>581.03004250787762</v>
      </c>
      <c r="S12" s="132">
        <v>607.89505895507068</v>
      </c>
      <c r="T12" s="132">
        <v>553.18539997625032</v>
      </c>
      <c r="U12" s="132">
        <v>573.97223711071217</v>
      </c>
      <c r="V12" s="132">
        <v>532.47682212016298</v>
      </c>
      <c r="W12" s="132">
        <v>618.71754561451144</v>
      </c>
      <c r="X12" s="132">
        <v>555.75764491520295</v>
      </c>
      <c r="Y12" s="132">
        <v>542.03081254791471</v>
      </c>
      <c r="DA12" s="156" t="s">
        <v>282</v>
      </c>
    </row>
    <row r="13" spans="1:105" ht="12" customHeight="1" x14ac:dyDescent="0.25">
      <c r="A13" s="131" t="s">
        <v>77</v>
      </c>
      <c r="B13" s="132">
        <v>4.0944108936943104</v>
      </c>
      <c r="C13" s="132">
        <v>5.0978520632337201</v>
      </c>
      <c r="D13" s="132">
        <v>7.4213459229685643</v>
      </c>
      <c r="E13" s="132">
        <v>10.653564176245469</v>
      </c>
      <c r="F13" s="132">
        <v>14.375302133464087</v>
      </c>
      <c r="G13" s="132">
        <v>17.111120648763187</v>
      </c>
      <c r="H13" s="132">
        <v>21.26467382209664</v>
      </c>
      <c r="I13" s="132">
        <v>22.430663935308282</v>
      </c>
      <c r="J13" s="132">
        <v>29.946787968248422</v>
      </c>
      <c r="K13" s="132">
        <v>26.36428328124056</v>
      </c>
      <c r="L13" s="132">
        <v>29.330554719418245</v>
      </c>
      <c r="M13" s="132">
        <v>34.424111304529497</v>
      </c>
      <c r="N13" s="132">
        <v>38.276471685108341</v>
      </c>
      <c r="O13" s="132">
        <v>42.831911325442555</v>
      </c>
      <c r="P13" s="132">
        <v>47.651577729133329</v>
      </c>
      <c r="Q13" s="132">
        <v>42.698247620833961</v>
      </c>
      <c r="R13" s="132">
        <v>46.17418888836746</v>
      </c>
      <c r="S13" s="132">
        <v>52.474945420555592</v>
      </c>
      <c r="T13" s="132">
        <v>53.254491918252654</v>
      </c>
      <c r="U13" s="132">
        <v>61.736936400845757</v>
      </c>
      <c r="V13" s="132">
        <v>41.792338556093327</v>
      </c>
      <c r="W13" s="132">
        <v>39.184313463908552</v>
      </c>
      <c r="X13" s="132">
        <v>54.890172585584331</v>
      </c>
      <c r="Y13" s="132">
        <v>71.343780124617169</v>
      </c>
      <c r="DA13" s="156" t="s">
        <v>283</v>
      </c>
    </row>
    <row r="14" spans="1:105" ht="12" customHeight="1" x14ac:dyDescent="0.25">
      <c r="A14" s="60" t="s">
        <v>76</v>
      </c>
      <c r="B14" s="65">
        <v>327.97710191039778</v>
      </c>
      <c r="C14" s="65">
        <v>322.57827780859952</v>
      </c>
      <c r="D14" s="65">
        <v>302.08699507096463</v>
      </c>
      <c r="E14" s="65">
        <v>342.41601636094254</v>
      </c>
      <c r="F14" s="65">
        <v>254.4812035285504</v>
      </c>
      <c r="G14" s="65">
        <v>353.17897340905688</v>
      </c>
      <c r="H14" s="65">
        <v>339.75314971494714</v>
      </c>
      <c r="I14" s="65">
        <v>297.15510344326611</v>
      </c>
      <c r="J14" s="65">
        <v>341.10608813283983</v>
      </c>
      <c r="K14" s="65">
        <v>195.52584217303163</v>
      </c>
      <c r="L14" s="65">
        <v>245.6613571390908</v>
      </c>
      <c r="M14" s="65">
        <v>217.81592745124726</v>
      </c>
      <c r="N14" s="65">
        <v>214.79270563770498</v>
      </c>
      <c r="O14" s="65">
        <v>207.81972987123947</v>
      </c>
      <c r="P14" s="65">
        <v>188.49028407573473</v>
      </c>
      <c r="Q14" s="65">
        <v>177.20726857403005</v>
      </c>
      <c r="R14" s="65">
        <v>120.60798559365119</v>
      </c>
      <c r="S14" s="65">
        <v>161.69124033933625</v>
      </c>
      <c r="T14" s="65">
        <v>190.71796944342378</v>
      </c>
      <c r="U14" s="65">
        <v>175.31160052514198</v>
      </c>
      <c r="V14" s="65">
        <v>147.02069634862093</v>
      </c>
      <c r="W14" s="65">
        <v>146.71096804604915</v>
      </c>
      <c r="X14" s="65">
        <v>169.34551160506862</v>
      </c>
      <c r="Y14" s="65">
        <v>95.115598982391532</v>
      </c>
      <c r="DA14" s="109" t="s">
        <v>284</v>
      </c>
    </row>
    <row r="15" spans="1:105" ht="12" customHeight="1" x14ac:dyDescent="0.25">
      <c r="A15" s="133" t="s">
        <v>80</v>
      </c>
      <c r="B15" s="134">
        <v>10.672170434954051</v>
      </c>
      <c r="C15" s="134">
        <v>14.297309682004588</v>
      </c>
      <c r="D15" s="134">
        <v>13.310872760187856</v>
      </c>
      <c r="E15" s="134">
        <v>15.455259229197534</v>
      </c>
      <c r="F15" s="134">
        <v>15.382595914241305</v>
      </c>
      <c r="G15" s="134">
        <v>11.907700942061103</v>
      </c>
      <c r="H15" s="134">
        <v>12.341607081236656</v>
      </c>
      <c r="I15" s="134">
        <v>9.083227548105695</v>
      </c>
      <c r="J15" s="134">
        <v>10.136550039930425</v>
      </c>
      <c r="K15" s="134">
        <v>8.1622358626694194</v>
      </c>
      <c r="L15" s="134">
        <v>6.9356542163991586</v>
      </c>
      <c r="M15" s="134">
        <v>6.2724160407370668</v>
      </c>
      <c r="N15" s="134">
        <v>6.4392308733865429</v>
      </c>
      <c r="O15" s="134">
        <v>6.4938955482893181</v>
      </c>
      <c r="P15" s="134">
        <v>5.5836658087908937</v>
      </c>
      <c r="Q15" s="134">
        <v>6.0655788674348905</v>
      </c>
      <c r="R15" s="134">
        <v>5.864063343703612</v>
      </c>
      <c r="S15" s="134">
        <v>6.9247137259240699</v>
      </c>
      <c r="T15" s="134">
        <v>6.3759286953480476</v>
      </c>
      <c r="U15" s="134">
        <v>6.6835401534703536</v>
      </c>
      <c r="V15" s="134">
        <v>6.4900167091918357</v>
      </c>
      <c r="W15" s="134">
        <v>7.8393909828922155</v>
      </c>
      <c r="X15" s="134">
        <v>6.1109090508416362</v>
      </c>
      <c r="Y15" s="134">
        <v>5.3999007430971027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19.313892570814339</v>
      </c>
      <c r="C16" s="130">
        <f t="shared" si="6"/>
        <v>19.331977655593839</v>
      </c>
      <c r="D16" s="130">
        <f t="shared" si="6"/>
        <v>19.844759113604699</v>
      </c>
      <c r="E16" s="130">
        <f t="shared" si="6"/>
        <v>22.030195772048422</v>
      </c>
      <c r="F16" s="130">
        <f t="shared" si="6"/>
        <v>19.646609299685345</v>
      </c>
      <c r="G16" s="130">
        <f t="shared" si="6"/>
        <v>20.092688711071851</v>
      </c>
      <c r="H16" s="130">
        <f t="shared" si="6"/>
        <v>21.179008132552404</v>
      </c>
      <c r="I16" s="130">
        <f t="shared" si="6"/>
        <v>21.410456413881739</v>
      </c>
      <c r="J16" s="130">
        <f t="shared" si="6"/>
        <v>20.430017722208575</v>
      </c>
      <c r="K16" s="130">
        <f t="shared" si="6"/>
        <v>20.933494385290917</v>
      </c>
      <c r="L16" s="130">
        <f t="shared" si="6"/>
        <v>22.197545452534538</v>
      </c>
      <c r="M16" s="130">
        <f t="shared" si="6"/>
        <v>21.67999114241854</v>
      </c>
      <c r="N16" s="130">
        <f t="shared" si="6"/>
        <v>22.381506685112395</v>
      </c>
      <c r="O16" s="130">
        <f t="shared" si="6"/>
        <v>23.588352071324479</v>
      </c>
      <c r="P16" s="130">
        <f t="shared" si="6"/>
        <v>20.396800039091318</v>
      </c>
      <c r="Q16" s="130">
        <f t="shared" si="6"/>
        <v>23.546050957914325</v>
      </c>
      <c r="R16" s="130">
        <f t="shared" ref="R16:W16" si="7">SUM(R17:R18)</f>
        <v>20.339159904181198</v>
      </c>
      <c r="S16" s="130">
        <f t="shared" si="7"/>
        <v>21.462903850098311</v>
      </c>
      <c r="T16" s="130">
        <f t="shared" si="7"/>
        <v>21.03585240318797</v>
      </c>
      <c r="U16" s="130">
        <f t="shared" si="7"/>
        <v>21.641543454909481</v>
      </c>
      <c r="V16" s="130">
        <f t="shared" si="7"/>
        <v>19.779792228480137</v>
      </c>
      <c r="W16" s="130">
        <f t="shared" si="7"/>
        <v>20.390780546829493</v>
      </c>
      <c r="X16" s="130">
        <f t="shared" ref="X16:Y16" si="8">SUM(X17:X18)</f>
        <v>20.931563684502365</v>
      </c>
      <c r="Y16" s="130">
        <f t="shared" si="8"/>
        <v>22.422964679005112</v>
      </c>
      <c r="DA16" s="155" t="s">
        <v>215</v>
      </c>
    </row>
    <row r="17" spans="1:105" ht="12.95" customHeight="1" x14ac:dyDescent="0.25">
      <c r="A17" s="131" t="s">
        <v>73</v>
      </c>
      <c r="B17" s="132">
        <v>3.8995403062072949E-2</v>
      </c>
      <c r="C17" s="132">
        <v>4.2037386011651863E-2</v>
      </c>
      <c r="D17" s="132">
        <v>5.0519079739203901E-2</v>
      </c>
      <c r="E17" s="132">
        <v>5.8085526194894488E-2</v>
      </c>
      <c r="F17" s="132">
        <v>6.6614417092748721E-2</v>
      </c>
      <c r="G17" s="132">
        <v>7.7891760931118506E-2</v>
      </c>
      <c r="H17" s="132">
        <v>9.1276645538351325E-2</v>
      </c>
      <c r="I17" s="132">
        <v>0.11337327305531344</v>
      </c>
      <c r="J17" s="132">
        <v>0.12842201145205934</v>
      </c>
      <c r="K17" s="132">
        <v>0.15413357341161746</v>
      </c>
      <c r="L17" s="132">
        <v>0.17423322999780222</v>
      </c>
      <c r="M17" s="132">
        <v>0.19926552167993367</v>
      </c>
      <c r="N17" s="132">
        <v>0.21874338213467984</v>
      </c>
      <c r="O17" s="132">
        <v>0.26001080718759156</v>
      </c>
      <c r="P17" s="132">
        <v>0.25594089230897621</v>
      </c>
      <c r="Q17" s="132">
        <v>0.35181986455711783</v>
      </c>
      <c r="R17" s="132">
        <v>0.31437142058529277</v>
      </c>
      <c r="S17" s="132">
        <v>0.37316869630658056</v>
      </c>
      <c r="T17" s="132">
        <v>0.39213327650195567</v>
      </c>
      <c r="U17" s="132">
        <v>0.44768521616623136</v>
      </c>
      <c r="V17" s="132">
        <v>0.41849458706418202</v>
      </c>
      <c r="W17" s="132">
        <v>0.44870558693913565</v>
      </c>
      <c r="X17" s="132">
        <v>0.47750355897423435</v>
      </c>
      <c r="Y17" s="132">
        <v>0.52707690369802629</v>
      </c>
      <c r="DA17" s="156" t="s">
        <v>286</v>
      </c>
    </row>
    <row r="18" spans="1:105" ht="12" customHeight="1" x14ac:dyDescent="0.25">
      <c r="A18" s="131" t="s">
        <v>72</v>
      </c>
      <c r="B18" s="132">
        <v>19.274897167752265</v>
      </c>
      <c r="C18" s="132">
        <v>19.289940269582186</v>
      </c>
      <c r="D18" s="132">
        <v>19.794240033865496</v>
      </c>
      <c r="E18" s="132">
        <v>21.972110245853528</v>
      </c>
      <c r="F18" s="132">
        <v>19.579994882592597</v>
      </c>
      <c r="G18" s="132">
        <v>20.014796950140731</v>
      </c>
      <c r="H18" s="132">
        <v>21.087731487014054</v>
      </c>
      <c r="I18" s="132">
        <v>21.297083140826427</v>
      </c>
      <c r="J18" s="132">
        <v>20.301595710756516</v>
      </c>
      <c r="K18" s="132">
        <v>20.7793608118793</v>
      </c>
      <c r="L18" s="132">
        <v>22.023312222536735</v>
      </c>
      <c r="M18" s="132">
        <v>21.480725620738607</v>
      </c>
      <c r="N18" s="132">
        <v>22.162763302977716</v>
      </c>
      <c r="O18" s="132">
        <v>23.328341264136888</v>
      </c>
      <c r="P18" s="132">
        <v>20.14085914678234</v>
      </c>
      <c r="Q18" s="132">
        <v>23.194231093357207</v>
      </c>
      <c r="R18" s="132">
        <v>20.024788483595906</v>
      </c>
      <c r="S18" s="132">
        <v>21.089735153791729</v>
      </c>
      <c r="T18" s="132">
        <v>20.643719126686015</v>
      </c>
      <c r="U18" s="132">
        <v>21.19385823874325</v>
      </c>
      <c r="V18" s="132">
        <v>19.361297641415955</v>
      </c>
      <c r="W18" s="132">
        <v>19.942074959890359</v>
      </c>
      <c r="X18" s="132">
        <v>20.45406012552813</v>
      </c>
      <c r="Y18" s="132">
        <v>21.895887775307084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251.62917709938154</v>
      </c>
      <c r="C19" s="130">
        <f t="shared" si="9"/>
        <v>255.4868310379415</v>
      </c>
      <c r="D19" s="130">
        <f t="shared" si="9"/>
        <v>256.87338711635488</v>
      </c>
      <c r="E19" s="130">
        <f t="shared" si="9"/>
        <v>259.35442166970449</v>
      </c>
      <c r="F19" s="130">
        <f t="shared" si="9"/>
        <v>261.68954998375699</v>
      </c>
      <c r="G19" s="130">
        <f t="shared" si="9"/>
        <v>271.07121090255777</v>
      </c>
      <c r="H19" s="130">
        <f t="shared" si="9"/>
        <v>275.04514092122639</v>
      </c>
      <c r="I19" s="130">
        <f t="shared" si="9"/>
        <v>280.02899751201119</v>
      </c>
      <c r="J19" s="130">
        <f t="shared" si="9"/>
        <v>277.42385830598766</v>
      </c>
      <c r="K19" s="130">
        <f t="shared" si="9"/>
        <v>285.57389246881945</v>
      </c>
      <c r="L19" s="130">
        <f t="shared" si="9"/>
        <v>274.26957197979766</v>
      </c>
      <c r="M19" s="130">
        <f t="shared" si="9"/>
        <v>276.07875605018518</v>
      </c>
      <c r="N19" s="130">
        <f t="shared" si="9"/>
        <v>269.86659906182661</v>
      </c>
      <c r="O19" s="130">
        <f t="shared" si="9"/>
        <v>272.62201590702688</v>
      </c>
      <c r="P19" s="130">
        <f t="shared" si="9"/>
        <v>278.77544020528188</v>
      </c>
      <c r="Q19" s="130">
        <f t="shared" si="9"/>
        <v>277.97957396444855</v>
      </c>
      <c r="R19" s="130">
        <f t="shared" ref="R19:W19" si="10">SUM(R20:R27)</f>
        <v>280.12490612515131</v>
      </c>
      <c r="S19" s="130">
        <f t="shared" si="10"/>
        <v>279.69283221546357</v>
      </c>
      <c r="T19" s="130">
        <f t="shared" si="10"/>
        <v>276.45288791400588</v>
      </c>
      <c r="U19" s="130">
        <f t="shared" si="10"/>
        <v>271.86734996930068</v>
      </c>
      <c r="V19" s="130">
        <f t="shared" si="10"/>
        <v>261.96986038815169</v>
      </c>
      <c r="W19" s="130">
        <f t="shared" si="10"/>
        <v>258.87262631952967</v>
      </c>
      <c r="X19" s="130">
        <f t="shared" ref="X19:Y19" si="11">SUM(X20:X27)</f>
        <v>265.37493574517055</v>
      </c>
      <c r="Y19" s="130">
        <f t="shared" si="11"/>
        <v>270.31617530198753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15.62466799268239</v>
      </c>
      <c r="C21" s="132">
        <v>18.156715692184061</v>
      </c>
      <c r="D21" s="132">
        <v>18.893159878893456</v>
      </c>
      <c r="E21" s="132">
        <v>20.460637035904213</v>
      </c>
      <c r="F21" s="132">
        <v>21.239464049907475</v>
      </c>
      <c r="G21" s="132">
        <v>21.632025898618146</v>
      </c>
      <c r="H21" s="132">
        <v>21.8436425290027</v>
      </c>
      <c r="I21" s="132">
        <v>21.618161029579518</v>
      </c>
      <c r="J21" s="132">
        <v>20.432623083548258</v>
      </c>
      <c r="K21" s="132">
        <v>18.418937772184524</v>
      </c>
      <c r="L21" s="132">
        <v>12.880249960898414</v>
      </c>
      <c r="M21" s="132">
        <v>9.0716227104944167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289</v>
      </c>
    </row>
    <row r="22" spans="1:105" ht="12" customHeight="1" x14ac:dyDescent="0.25">
      <c r="A22" s="131" t="s">
        <v>161</v>
      </c>
      <c r="B22" s="132">
        <v>66.327074560167134</v>
      </c>
      <c r="C22" s="132">
        <v>65.292368937177457</v>
      </c>
      <c r="D22" s="132">
        <v>64.426770761226379</v>
      </c>
      <c r="E22" s="132">
        <v>63.881250008909902</v>
      </c>
      <c r="F22" s="132">
        <v>62.897559319043204</v>
      </c>
      <c r="G22" s="132">
        <v>58.842581984071131</v>
      </c>
      <c r="H22" s="132">
        <v>54.534779330312546</v>
      </c>
      <c r="I22" s="132">
        <v>51.956501191400818</v>
      </c>
      <c r="J22" s="132">
        <v>46.556200960245739</v>
      </c>
      <c r="K22" s="132">
        <v>44.590305996624679</v>
      </c>
      <c r="L22" s="132">
        <v>37.573137177458378</v>
      </c>
      <c r="M22" s="132">
        <v>35.211789085190631</v>
      </c>
      <c r="N22" s="132">
        <v>29.452910633863638</v>
      </c>
      <c r="O22" s="132">
        <v>28.065923111994554</v>
      </c>
      <c r="P22" s="132">
        <v>26.125006843145965</v>
      </c>
      <c r="Q22" s="132">
        <v>24.588129051235629</v>
      </c>
      <c r="R22" s="132">
        <v>23.818851163881469</v>
      </c>
      <c r="S22" s="132">
        <v>23.767641650704537</v>
      </c>
      <c r="T22" s="132">
        <v>22.684224639982265</v>
      </c>
      <c r="U22" s="132">
        <v>21.600982239095071</v>
      </c>
      <c r="V22" s="132">
        <v>18.964120783502764</v>
      </c>
      <c r="W22" s="132">
        <v>20.111585089473802</v>
      </c>
      <c r="X22" s="132">
        <v>21.15074557073434</v>
      </c>
      <c r="Y22" s="132">
        <v>22.089429284286712</v>
      </c>
      <c r="DA22" s="156" t="s">
        <v>290</v>
      </c>
    </row>
    <row r="23" spans="1:105" ht="12" customHeight="1" x14ac:dyDescent="0.25">
      <c r="A23" s="131" t="s">
        <v>149</v>
      </c>
      <c r="B23" s="132">
        <v>25.050595783582192</v>
      </c>
      <c r="C23" s="132">
        <v>25.19796517249587</v>
      </c>
      <c r="D23" s="132">
        <v>25.545206558183931</v>
      </c>
      <c r="E23" s="132">
        <v>25.871573531725964</v>
      </c>
      <c r="F23" s="132">
        <v>26.411671154799279</v>
      </c>
      <c r="G23" s="132">
        <v>26.916614527034572</v>
      </c>
      <c r="H23" s="132">
        <v>27.538639550837239</v>
      </c>
      <c r="I23" s="132">
        <v>27.888384353199193</v>
      </c>
      <c r="J23" s="132">
        <v>28.268702937469389</v>
      </c>
      <c r="K23" s="132">
        <v>28.444598891233998</v>
      </c>
      <c r="L23" s="132">
        <v>28.613263538378412</v>
      </c>
      <c r="M23" s="132">
        <v>28.723978445091056</v>
      </c>
      <c r="N23" s="132">
        <v>29.061023945653972</v>
      </c>
      <c r="O23" s="132">
        <v>29.662421921376524</v>
      </c>
      <c r="P23" s="132">
        <v>29.888710699488136</v>
      </c>
      <c r="Q23" s="132">
        <v>30.505700373611354</v>
      </c>
      <c r="R23" s="132">
        <v>30.477530515072065</v>
      </c>
      <c r="S23" s="132">
        <v>30.118514222092028</v>
      </c>
      <c r="T23" s="132">
        <v>29.854383611514656</v>
      </c>
      <c r="U23" s="132">
        <v>29.171362813816195</v>
      </c>
      <c r="V23" s="132">
        <v>27.583865780716238</v>
      </c>
      <c r="W23" s="132">
        <v>29.784448499982691</v>
      </c>
      <c r="X23" s="132">
        <v>33.879065664431494</v>
      </c>
      <c r="Y23" s="132">
        <v>35.952736221761619</v>
      </c>
      <c r="DA23" s="156" t="s">
        <v>291</v>
      </c>
    </row>
    <row r="24" spans="1:105" ht="12" customHeight="1" x14ac:dyDescent="0.25">
      <c r="A24" s="131" t="s">
        <v>128</v>
      </c>
      <c r="B24" s="132">
        <v>7.5518841028036601</v>
      </c>
      <c r="C24" s="132">
        <v>7.4605316637300767</v>
      </c>
      <c r="D24" s="132">
        <v>7.4252993685147857</v>
      </c>
      <c r="E24" s="132">
        <v>7.3867108750286326</v>
      </c>
      <c r="F24" s="132">
        <v>7.3810594141351213</v>
      </c>
      <c r="G24" s="132">
        <v>7.319716832642218</v>
      </c>
      <c r="H24" s="132">
        <v>7.3033945340181337</v>
      </c>
      <c r="I24" s="132">
        <v>7.1649575949631652</v>
      </c>
      <c r="J24" s="132">
        <v>7.1270533149297135</v>
      </c>
      <c r="K24" s="132">
        <v>7.0460643291524576</v>
      </c>
      <c r="L24" s="132">
        <v>7.0360509732480985</v>
      </c>
      <c r="M24" s="132">
        <v>7.0435183009175386</v>
      </c>
      <c r="N24" s="132">
        <v>7.0198242759961857</v>
      </c>
      <c r="O24" s="132">
        <v>7.0197633883309276</v>
      </c>
      <c r="P24" s="132">
        <v>7.2079008351568152</v>
      </c>
      <c r="Q24" s="132">
        <v>7.3808566299069884</v>
      </c>
      <c r="R24" s="132">
        <v>7.337918660808656</v>
      </c>
      <c r="S24" s="132">
        <v>7.3457995985989051</v>
      </c>
      <c r="T24" s="132">
        <v>7.3057828395336584</v>
      </c>
      <c r="U24" s="132">
        <v>7.3648543544176874</v>
      </c>
      <c r="V24" s="132">
        <v>6.7827974067943773</v>
      </c>
      <c r="W24" s="132">
        <v>7.1620458966383049</v>
      </c>
      <c r="X24" s="132">
        <v>8.0359676323484202</v>
      </c>
      <c r="Y24" s="132">
        <v>8.4063547418554325</v>
      </c>
      <c r="DA24" s="156" t="s">
        <v>292</v>
      </c>
    </row>
    <row r="25" spans="1:105" ht="12" customHeight="1" x14ac:dyDescent="0.25">
      <c r="A25" s="131" t="s">
        <v>162</v>
      </c>
      <c r="B25" s="132">
        <v>57.018817328223314</v>
      </c>
      <c r="C25" s="132">
        <v>56.90096766416108</v>
      </c>
      <c r="D25" s="132">
        <v>57.365283560890681</v>
      </c>
      <c r="E25" s="132">
        <v>55.890038595285283</v>
      </c>
      <c r="F25" s="132">
        <v>55.379154627214533</v>
      </c>
      <c r="G25" s="132">
        <v>55.415205145291416</v>
      </c>
      <c r="H25" s="132">
        <v>63.87749904964236</v>
      </c>
      <c r="I25" s="132">
        <v>73.233660796126159</v>
      </c>
      <c r="J25" s="132">
        <v>79.901986300636267</v>
      </c>
      <c r="K25" s="132">
        <v>91.722667001484751</v>
      </c>
      <c r="L25" s="132">
        <v>98.612439912009592</v>
      </c>
      <c r="M25" s="132">
        <v>100.88773581581049</v>
      </c>
      <c r="N25" s="132">
        <v>104.78223858773335</v>
      </c>
      <c r="O25" s="132">
        <v>105.72856722031193</v>
      </c>
      <c r="P25" s="132">
        <v>107.92697263499673</v>
      </c>
      <c r="Q25" s="132">
        <v>108.09527931211838</v>
      </c>
      <c r="R25" s="132">
        <v>107.52971673545838</v>
      </c>
      <c r="S25" s="132">
        <v>105.78920587725982</v>
      </c>
      <c r="T25" s="132">
        <v>106.36335324817006</v>
      </c>
      <c r="U25" s="132">
        <v>107.22251783339766</v>
      </c>
      <c r="V25" s="132">
        <v>103.25335844733507</v>
      </c>
      <c r="W25" s="132">
        <v>106.78245438548757</v>
      </c>
      <c r="X25" s="132">
        <v>103.95637056201124</v>
      </c>
      <c r="Y25" s="132">
        <v>101.06677988544723</v>
      </c>
      <c r="DA25" s="156" t="s">
        <v>293</v>
      </c>
    </row>
    <row r="26" spans="1:105" ht="12" customHeight="1" x14ac:dyDescent="0.25">
      <c r="A26" s="131" t="s">
        <v>24</v>
      </c>
      <c r="B26" s="65">
        <v>54.141347994003674</v>
      </c>
      <c r="C26" s="65">
        <v>55.440964625303849</v>
      </c>
      <c r="D26" s="65">
        <v>55.750427091827063</v>
      </c>
      <c r="E26" s="65">
        <v>52.855699155094676</v>
      </c>
      <c r="F26" s="65">
        <v>53.891303499482802</v>
      </c>
      <c r="G26" s="65">
        <v>68.98530727156411</v>
      </c>
      <c r="H26" s="65">
        <v>75.535835970405714</v>
      </c>
      <c r="I26" s="65">
        <v>68.872319649063911</v>
      </c>
      <c r="J26" s="65">
        <v>56.053542783964865</v>
      </c>
      <c r="K26" s="65">
        <v>73.622943585619694</v>
      </c>
      <c r="L26" s="65">
        <v>39.056923968965499</v>
      </c>
      <c r="M26" s="65">
        <v>37.016809887006126</v>
      </c>
      <c r="N26" s="65">
        <v>37.989982530015347</v>
      </c>
      <c r="O26" s="65">
        <v>48.482141640765306</v>
      </c>
      <c r="P26" s="65">
        <v>47.384888745374688</v>
      </c>
      <c r="Q26" s="65">
        <v>55.582523472898707</v>
      </c>
      <c r="R26" s="65">
        <v>62.704053280369244</v>
      </c>
      <c r="S26" s="65">
        <v>55.845617556404207</v>
      </c>
      <c r="T26" s="65">
        <v>43.993552861133722</v>
      </c>
      <c r="U26" s="65">
        <v>44.042456460302134</v>
      </c>
      <c r="V26" s="65">
        <v>36.962588133173874</v>
      </c>
      <c r="W26" s="65">
        <v>42.38849829489488</v>
      </c>
      <c r="X26" s="65">
        <v>38.505150890021682</v>
      </c>
      <c r="Y26" s="65">
        <v>46.837418590820604</v>
      </c>
      <c r="DA26" s="109" t="s">
        <v>294</v>
      </c>
    </row>
    <row r="27" spans="1:105" ht="12" customHeight="1" x14ac:dyDescent="0.25">
      <c r="A27" s="144" t="s">
        <v>26</v>
      </c>
      <c r="B27" s="145">
        <v>25.914789337919174</v>
      </c>
      <c r="C27" s="145">
        <v>27.037317282889077</v>
      </c>
      <c r="D27" s="145">
        <v>27.467239896818565</v>
      </c>
      <c r="E27" s="145">
        <v>33.008512467755793</v>
      </c>
      <c r="F27" s="145">
        <v>34.489337919174559</v>
      </c>
      <c r="G27" s="145">
        <v>31.959759243336194</v>
      </c>
      <c r="H27" s="145">
        <v>24.411349957007726</v>
      </c>
      <c r="I27" s="145">
        <v>29.29501289767844</v>
      </c>
      <c r="J27" s="145">
        <v>39.083748925193476</v>
      </c>
      <c r="K27" s="145">
        <v>21.728374892519351</v>
      </c>
      <c r="L27" s="145">
        <v>50.49750644883926</v>
      </c>
      <c r="M27" s="145">
        <v>58.12330180567492</v>
      </c>
      <c r="N27" s="145">
        <v>61.560619088564124</v>
      </c>
      <c r="O27" s="145">
        <v>53.663198624247627</v>
      </c>
      <c r="P27" s="145">
        <v>60.241960447119538</v>
      </c>
      <c r="Q27" s="145">
        <v>51.827085124677509</v>
      </c>
      <c r="R27" s="145">
        <v>48.256835769561526</v>
      </c>
      <c r="S27" s="145">
        <v>56.826053310404092</v>
      </c>
      <c r="T27" s="145">
        <v>66.251590713671547</v>
      </c>
      <c r="U27" s="145">
        <v>62.465176268271918</v>
      </c>
      <c r="V27" s="145">
        <v>68.423129836629386</v>
      </c>
      <c r="W27" s="145">
        <v>52.643594153052419</v>
      </c>
      <c r="X27" s="145">
        <v>59.847635425623366</v>
      </c>
      <c r="Y27" s="145">
        <v>55.96345657781594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197.02165440613737</v>
      </c>
      <c r="C29" s="130">
        <f t="shared" si="12"/>
        <v>206.73810865967317</v>
      </c>
      <c r="D29" s="130">
        <f t="shared" si="12"/>
        <v>225.24795713448918</v>
      </c>
      <c r="E29" s="130">
        <f t="shared" si="12"/>
        <v>237.08283242311154</v>
      </c>
      <c r="F29" s="130">
        <f t="shared" si="12"/>
        <v>245.7124477090552</v>
      </c>
      <c r="G29" s="130">
        <f t="shared" si="12"/>
        <v>244.41838200276138</v>
      </c>
      <c r="H29" s="130">
        <f t="shared" si="12"/>
        <v>246.76592710985085</v>
      </c>
      <c r="I29" s="130">
        <f t="shared" si="12"/>
        <v>244.13928598119355</v>
      </c>
      <c r="J29" s="130">
        <f t="shared" si="12"/>
        <v>243.40677579649179</v>
      </c>
      <c r="K29" s="130">
        <f t="shared" si="12"/>
        <v>248.73542385133095</v>
      </c>
      <c r="L29" s="130">
        <f t="shared" si="12"/>
        <v>256.51577434685566</v>
      </c>
      <c r="M29" s="130">
        <f t="shared" si="12"/>
        <v>256.96174253876569</v>
      </c>
      <c r="N29" s="130">
        <f t="shared" si="12"/>
        <v>250.11688323395421</v>
      </c>
      <c r="O29" s="130">
        <f t="shared" si="12"/>
        <v>250.22833954462362</v>
      </c>
      <c r="P29" s="130">
        <f t="shared" si="12"/>
        <v>253.04178875883903</v>
      </c>
      <c r="Q29" s="130">
        <f t="shared" si="12"/>
        <v>254.53436116394562</v>
      </c>
      <c r="R29" s="130">
        <f t="shared" ref="R29:W29" si="13">SUM(R30:R33)</f>
        <v>257.68259279794563</v>
      </c>
      <c r="S29" s="130">
        <f t="shared" si="13"/>
        <v>260.11947673386965</v>
      </c>
      <c r="T29" s="130">
        <f t="shared" si="13"/>
        <v>261.18783571262554</v>
      </c>
      <c r="U29" s="130">
        <f t="shared" si="13"/>
        <v>263.23419826643567</v>
      </c>
      <c r="V29" s="130">
        <f t="shared" si="13"/>
        <v>252.56824026138094</v>
      </c>
      <c r="W29" s="130">
        <f t="shared" si="13"/>
        <v>264.64977077811579</v>
      </c>
      <c r="X29" s="130">
        <f t="shared" ref="X29:Y29" si="14">SUM(X30:X33)</f>
        <v>264.1632022326927</v>
      </c>
      <c r="Y29" s="130">
        <f t="shared" si="14"/>
        <v>268.31918482524617</v>
      </c>
      <c r="DA29" s="155" t="s">
        <v>217</v>
      </c>
    </row>
    <row r="30" spans="1:105" ht="12" customHeight="1" x14ac:dyDescent="0.25">
      <c r="A30" s="131" t="s">
        <v>52</v>
      </c>
      <c r="B30" s="132">
        <v>10.743947656500749</v>
      </c>
      <c r="C30" s="132">
        <v>18.100120077377419</v>
      </c>
      <c r="D30" s="132">
        <v>49.225670731596644</v>
      </c>
      <c r="E30" s="132">
        <v>60.842544391438878</v>
      </c>
      <c r="F30" s="132">
        <v>74.346692441923977</v>
      </c>
      <c r="G30" s="132">
        <v>54.373219157271777</v>
      </c>
      <c r="H30" s="132">
        <v>53.903391004961158</v>
      </c>
      <c r="I30" s="132">
        <v>35.60170139518403</v>
      </c>
      <c r="J30" s="132">
        <v>26.061787922470657</v>
      </c>
      <c r="K30" s="132">
        <v>32.667992580352013</v>
      </c>
      <c r="L30" s="132">
        <v>53.34116018527525</v>
      </c>
      <c r="M30" s="132">
        <v>45.508084942128093</v>
      </c>
      <c r="N30" s="132">
        <v>4.1341358555460026</v>
      </c>
      <c r="O30" s="132">
        <v>3.9882201203783323</v>
      </c>
      <c r="P30" s="132">
        <v>3.1978503869303521</v>
      </c>
      <c r="Q30" s="132">
        <v>3.436887360275148</v>
      </c>
      <c r="R30" s="132">
        <v>2.9609630266552016</v>
      </c>
      <c r="S30" s="132">
        <v>7.5875322441960451</v>
      </c>
      <c r="T30" s="132">
        <v>6.8902837489251931</v>
      </c>
      <c r="U30" s="132">
        <v>7.5941530524505598</v>
      </c>
      <c r="V30" s="132">
        <v>7.3958727429062794</v>
      </c>
      <c r="W30" s="132">
        <v>8.513929492691318</v>
      </c>
      <c r="X30" s="132">
        <v>6.6346517626827159</v>
      </c>
      <c r="Y30" s="132">
        <v>2.6470335339638851</v>
      </c>
      <c r="DA30" s="156" t="s">
        <v>296</v>
      </c>
    </row>
    <row r="31" spans="1:105" ht="12" customHeight="1" x14ac:dyDescent="0.25">
      <c r="A31" s="131" t="s">
        <v>149</v>
      </c>
      <c r="B31" s="132">
        <v>56.355126746548009</v>
      </c>
      <c r="C31" s="132">
        <v>63.678511402935463</v>
      </c>
      <c r="D31" s="132">
        <v>69.767924961743887</v>
      </c>
      <c r="E31" s="132">
        <v>74.098851531294855</v>
      </c>
      <c r="F31" s="132">
        <v>79.615629567849595</v>
      </c>
      <c r="G31" s="132">
        <v>82.344682357619902</v>
      </c>
      <c r="H31" s="132">
        <v>84.075797641622103</v>
      </c>
      <c r="I31" s="132">
        <v>85.266833952755277</v>
      </c>
      <c r="J31" s="132">
        <v>87.332794201272037</v>
      </c>
      <c r="K31" s="132">
        <v>91.066423034875129</v>
      </c>
      <c r="L31" s="132">
        <v>93.218054619844906</v>
      </c>
      <c r="M31" s="132">
        <v>94.094391895244158</v>
      </c>
      <c r="N31" s="132">
        <v>94.536812039883728</v>
      </c>
      <c r="O31" s="132">
        <v>95.289967658338568</v>
      </c>
      <c r="P31" s="132">
        <v>96.873972590582369</v>
      </c>
      <c r="Q31" s="132">
        <v>97.755995545011075</v>
      </c>
      <c r="R31" s="132">
        <v>98.064311208709142</v>
      </c>
      <c r="S31" s="132">
        <v>98.618907397433233</v>
      </c>
      <c r="T31" s="132">
        <v>99.582514534089</v>
      </c>
      <c r="U31" s="132">
        <v>102.92301729944762</v>
      </c>
      <c r="V31" s="132">
        <v>95.566579919275398</v>
      </c>
      <c r="W31" s="132">
        <v>100.23338560427231</v>
      </c>
      <c r="X31" s="132">
        <v>100.36370675249198</v>
      </c>
      <c r="Y31" s="132">
        <v>111.84095283987965</v>
      </c>
      <c r="DA31" s="156" t="s">
        <v>297</v>
      </c>
    </row>
    <row r="32" spans="1:105" ht="12" customHeight="1" x14ac:dyDescent="0.25">
      <c r="A32" s="131" t="s">
        <v>128</v>
      </c>
      <c r="B32" s="132">
        <v>4.1463647654533293</v>
      </c>
      <c r="C32" s="132">
        <v>4.1489279999999988</v>
      </c>
      <c r="D32" s="132">
        <v>4.4377199999999988</v>
      </c>
      <c r="E32" s="132">
        <v>4.4003700000000014</v>
      </c>
      <c r="F32" s="132">
        <v>4.4426199999999989</v>
      </c>
      <c r="G32" s="132">
        <v>4.2574459479245679</v>
      </c>
      <c r="H32" s="132">
        <v>4.0700549999999955</v>
      </c>
      <c r="I32" s="132">
        <v>3.8829104999999986</v>
      </c>
      <c r="J32" s="132">
        <v>3.6998599999999997</v>
      </c>
      <c r="K32" s="132">
        <v>3.5560919999999983</v>
      </c>
      <c r="L32" s="132">
        <v>3.7020945375329131</v>
      </c>
      <c r="M32" s="132">
        <v>3.5540302185608086</v>
      </c>
      <c r="N32" s="132">
        <v>3.7021079665891952</v>
      </c>
      <c r="O32" s="132">
        <v>3.7021259709834258</v>
      </c>
      <c r="P32" s="132">
        <v>3.9409572943536846</v>
      </c>
      <c r="Q32" s="132">
        <v>4.2992487496646401</v>
      </c>
      <c r="R32" s="132">
        <v>4.4590676551476278</v>
      </c>
      <c r="S32" s="132">
        <v>4.6755369197868939</v>
      </c>
      <c r="T32" s="132">
        <v>5.0587766976671276</v>
      </c>
      <c r="U32" s="132">
        <v>5.5894574877210408</v>
      </c>
      <c r="V32" s="132">
        <v>5.9271729085057077</v>
      </c>
      <c r="W32" s="132">
        <v>5.9822768664316595</v>
      </c>
      <c r="X32" s="132">
        <v>5.7381813900312206</v>
      </c>
      <c r="Y32" s="132">
        <v>6.0674704468543554</v>
      </c>
      <c r="DA32" s="156" t="s">
        <v>298</v>
      </c>
    </row>
    <row r="33" spans="1:105" ht="12" customHeight="1" x14ac:dyDescent="0.25">
      <c r="A33" s="62" t="s">
        <v>24</v>
      </c>
      <c r="B33" s="68">
        <v>125.77621523763527</v>
      </c>
      <c r="C33" s="68">
        <v>120.81054917936031</v>
      </c>
      <c r="D33" s="68">
        <v>101.81664144114866</v>
      </c>
      <c r="E33" s="68">
        <v>97.741066500377798</v>
      </c>
      <c r="F33" s="68">
        <v>87.307505699281634</v>
      </c>
      <c r="G33" s="68">
        <v>103.44303453994513</v>
      </c>
      <c r="H33" s="68">
        <v>104.7166834632676</v>
      </c>
      <c r="I33" s="68">
        <v>119.38784013325423</v>
      </c>
      <c r="J33" s="68">
        <v>126.31233367274911</v>
      </c>
      <c r="K33" s="68">
        <v>121.44491623610381</v>
      </c>
      <c r="L33" s="68">
        <v>106.25446500420261</v>
      </c>
      <c r="M33" s="68">
        <v>113.80523548283264</v>
      </c>
      <c r="N33" s="68">
        <v>147.74382737193528</v>
      </c>
      <c r="O33" s="68">
        <v>147.24802579492331</v>
      </c>
      <c r="P33" s="68">
        <v>149.02900848697263</v>
      </c>
      <c r="Q33" s="68">
        <v>149.04222950899475</v>
      </c>
      <c r="R33" s="68">
        <v>152.19825090743362</v>
      </c>
      <c r="S33" s="68">
        <v>149.23750017245345</v>
      </c>
      <c r="T33" s="68">
        <v>149.65626073194423</v>
      </c>
      <c r="U33" s="68">
        <v>147.12757042681645</v>
      </c>
      <c r="V33" s="68">
        <v>143.67861469069354</v>
      </c>
      <c r="W33" s="68">
        <v>149.92017881472051</v>
      </c>
      <c r="X33" s="68">
        <v>151.42666232748681</v>
      </c>
      <c r="Y33" s="68">
        <v>147.76372800454828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1380.2124775586865</v>
      </c>
      <c r="C3" s="125">
        <f t="shared" si="0"/>
        <v>1601.5295497706572</v>
      </c>
      <c r="D3" s="125">
        <f t="shared" si="0"/>
        <v>1577.8416439693669</v>
      </c>
      <c r="E3" s="125">
        <f t="shared" si="0"/>
        <v>1788.6746104795441</v>
      </c>
      <c r="F3" s="125">
        <f t="shared" si="0"/>
        <v>1767.733163717221</v>
      </c>
      <c r="G3" s="125">
        <f t="shared" si="0"/>
        <v>1736.8665402388888</v>
      </c>
      <c r="H3" s="125">
        <f t="shared" si="0"/>
        <v>1818.4912397669134</v>
      </c>
      <c r="I3" s="125">
        <f t="shared" si="0"/>
        <v>1592.4311674269397</v>
      </c>
      <c r="J3" s="125">
        <f t="shared" si="0"/>
        <v>1775.654016875832</v>
      </c>
      <c r="K3" s="125">
        <f t="shared" si="0"/>
        <v>1571.2621746923865</v>
      </c>
      <c r="L3" s="125">
        <f t="shared" si="0"/>
        <v>1607.6612133184103</v>
      </c>
      <c r="M3" s="125">
        <f t="shared" si="0"/>
        <v>1571.0182837050286</v>
      </c>
      <c r="N3" s="125">
        <f t="shared" si="0"/>
        <v>1602.6979955685656</v>
      </c>
      <c r="O3" s="125">
        <f t="shared" si="0"/>
        <v>1615.9675941134906</v>
      </c>
      <c r="P3" s="125">
        <f t="shared" si="0"/>
        <v>1513.0864468091888</v>
      </c>
      <c r="Q3" s="125">
        <f t="shared" si="0"/>
        <v>1556.7072669018632</v>
      </c>
      <c r="R3" s="125">
        <f t="shared" ref="R3:W3" si="1">SUM(R4,R16,R19,R29)</f>
        <v>1538.2908956217991</v>
      </c>
      <c r="S3" s="125">
        <f t="shared" si="1"/>
        <v>1712.0669417493245</v>
      </c>
      <c r="T3" s="125">
        <f t="shared" si="1"/>
        <v>1681.2015859530934</v>
      </c>
      <c r="U3" s="125">
        <f t="shared" si="1"/>
        <v>1751.9099148906412</v>
      </c>
      <c r="V3" s="125">
        <f t="shared" si="1"/>
        <v>1600.4312926917703</v>
      </c>
      <c r="W3" s="125">
        <f t="shared" si="1"/>
        <v>1760.6233401779662</v>
      </c>
      <c r="X3" s="125">
        <f t="shared" ref="X3:Y3" si="2">SUM(X4,X16,X19,X29)</f>
        <v>1707.1754631306035</v>
      </c>
      <c r="Y3" s="125">
        <f t="shared" si="2"/>
        <v>1677.3646782310666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1026.5483586665466</v>
      </c>
      <c r="C4" s="130">
        <f t="shared" si="3"/>
        <v>1238.0028723696441</v>
      </c>
      <c r="D4" s="130">
        <f t="shared" si="3"/>
        <v>1202.2929714561612</v>
      </c>
      <c r="E4" s="130">
        <f t="shared" si="3"/>
        <v>1396.9858564594076</v>
      </c>
      <c r="F4" s="130">
        <f t="shared" si="3"/>
        <v>1373.0490361881646</v>
      </c>
      <c r="G4" s="130">
        <f t="shared" si="3"/>
        <v>1328.9911356034986</v>
      </c>
      <c r="H4" s="130">
        <f t="shared" si="3"/>
        <v>1399.9105703264634</v>
      </c>
      <c r="I4" s="130">
        <f t="shared" si="3"/>
        <v>1161.2624045616185</v>
      </c>
      <c r="J4" s="130">
        <f t="shared" si="3"/>
        <v>1339.1564163645623</v>
      </c>
      <c r="K4" s="130">
        <f t="shared" si="3"/>
        <v>1124.7855582278846</v>
      </c>
      <c r="L4" s="130">
        <f t="shared" si="3"/>
        <v>1151.2954839329184</v>
      </c>
      <c r="M4" s="130">
        <f t="shared" si="3"/>
        <v>1106.5921376008387</v>
      </c>
      <c r="N4" s="130">
        <f t="shared" si="3"/>
        <v>1130.56353136338</v>
      </c>
      <c r="O4" s="130">
        <f t="shared" si="3"/>
        <v>1134.4671563001182</v>
      </c>
      <c r="P4" s="130">
        <f t="shared" si="3"/>
        <v>1029.1890421525302</v>
      </c>
      <c r="Q4" s="130">
        <f t="shared" si="3"/>
        <v>1057.9024412760789</v>
      </c>
      <c r="R4" s="130">
        <f t="shared" ref="R4:W4" si="4">SUM(R5:R15)</f>
        <v>1041.0175914866368</v>
      </c>
      <c r="S4" s="130">
        <f t="shared" si="4"/>
        <v>1203.3095527444482</v>
      </c>
      <c r="T4" s="130">
        <f t="shared" si="4"/>
        <v>1168.5416512134502</v>
      </c>
      <c r="U4" s="130">
        <f t="shared" si="4"/>
        <v>1234.8781229764377</v>
      </c>
      <c r="V4" s="130">
        <f t="shared" si="4"/>
        <v>1100.1681572177124</v>
      </c>
      <c r="W4" s="130">
        <f t="shared" si="4"/>
        <v>1247.4243733533528</v>
      </c>
      <c r="X4" s="130">
        <f t="shared" ref="X4:Y4" si="5">SUM(X5:X15)</f>
        <v>1181.3968804022672</v>
      </c>
      <c r="Y4" s="130">
        <f t="shared" si="5"/>
        <v>1135.6604426807962</v>
      </c>
      <c r="DA4" s="155" t="s">
        <v>302</v>
      </c>
    </row>
    <row r="5" spans="1:105" ht="12" customHeight="1" x14ac:dyDescent="0.25">
      <c r="A5" s="131" t="s">
        <v>29</v>
      </c>
      <c r="B5" s="132">
        <v>15.504089567433567</v>
      </c>
      <c r="C5" s="132">
        <v>16.541970113768969</v>
      </c>
      <c r="D5" s="132">
        <v>11.529223738218601</v>
      </c>
      <c r="E5" s="132">
        <v>16.078662898489988</v>
      </c>
      <c r="F5" s="132">
        <v>11.567861202598463</v>
      </c>
      <c r="G5" s="132">
        <v>9.6446447319539583</v>
      </c>
      <c r="H5" s="132">
        <v>7.0081513239476179</v>
      </c>
      <c r="I5" s="132">
        <v>5.5485355176786522</v>
      </c>
      <c r="J5" s="132">
        <v>3.4099763183448895</v>
      </c>
      <c r="K5" s="132">
        <v>2.579613191457256</v>
      </c>
      <c r="L5" s="132">
        <v>2.8847024355098574</v>
      </c>
      <c r="M5" s="132">
        <v>2.0086101577422655</v>
      </c>
      <c r="N5" s="132">
        <v>3.6681137069485489E-2</v>
      </c>
      <c r="O5" s="132">
        <v>0.1338443552729037</v>
      </c>
      <c r="P5" s="132">
        <v>1.4426337694085431E-2</v>
      </c>
      <c r="Q5" s="132">
        <v>9.8641625258703691E-3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169.48810199989006</v>
      </c>
      <c r="C7" s="132">
        <v>235.62795682624019</v>
      </c>
      <c r="D7" s="132">
        <v>238.1341485378789</v>
      </c>
      <c r="E7" s="132">
        <v>300.32732834568998</v>
      </c>
      <c r="F7" s="132">
        <v>217.63466841045459</v>
      </c>
      <c r="G7" s="132">
        <v>281.45722001180081</v>
      </c>
      <c r="H7" s="132">
        <v>286.80897213786454</v>
      </c>
      <c r="I7" s="132">
        <v>197.84293620306207</v>
      </c>
      <c r="J7" s="132">
        <v>233.05681844484755</v>
      </c>
      <c r="K7" s="132">
        <v>181.77420389003805</v>
      </c>
      <c r="L7" s="132">
        <v>84.287831208339497</v>
      </c>
      <c r="M7" s="132">
        <v>82.3510411725956</v>
      </c>
      <c r="N7" s="132">
        <v>68.718492805560288</v>
      </c>
      <c r="O7" s="132">
        <v>71.338351789002289</v>
      </c>
      <c r="P7" s="132">
        <v>79.864884528305751</v>
      </c>
      <c r="Q7" s="132">
        <v>86.425024753666179</v>
      </c>
      <c r="R7" s="132">
        <v>81.322872336644721</v>
      </c>
      <c r="S7" s="132">
        <v>117.14504913387103</v>
      </c>
      <c r="T7" s="132">
        <v>106.42353636164877</v>
      </c>
      <c r="U7" s="132">
        <v>102.07458228458131</v>
      </c>
      <c r="V7" s="132">
        <v>102.56288774613164</v>
      </c>
      <c r="W7" s="132">
        <v>133.13875613827386</v>
      </c>
      <c r="X7" s="132">
        <v>113.0576167244533</v>
      </c>
      <c r="Y7" s="132">
        <v>61.91662121818009</v>
      </c>
      <c r="DA7" s="156" t="s">
        <v>305</v>
      </c>
    </row>
    <row r="8" spans="1:105" ht="12" customHeight="1" x14ac:dyDescent="0.25">
      <c r="A8" s="131" t="s">
        <v>73</v>
      </c>
      <c r="B8" s="132">
        <v>3.0519293480377692</v>
      </c>
      <c r="C8" s="132">
        <v>4.4685005765839447</v>
      </c>
      <c r="D8" s="132">
        <v>5.1313349085811559</v>
      </c>
      <c r="E8" s="132">
        <v>7.0810716605109487</v>
      </c>
      <c r="F8" s="132">
        <v>8.266435418617597</v>
      </c>
      <c r="G8" s="132">
        <v>8.6260300024191743</v>
      </c>
      <c r="H8" s="132">
        <v>10.048055301797309</v>
      </c>
      <c r="I8" s="132">
        <v>8.5152462145048542</v>
      </c>
      <c r="J8" s="132">
        <v>10.051343967548995</v>
      </c>
      <c r="K8" s="132">
        <v>8.4601640314648119</v>
      </c>
      <c r="L8" s="132">
        <v>8.2717769140497612</v>
      </c>
      <c r="M8" s="132">
        <v>7.7285050797550729</v>
      </c>
      <c r="N8" s="132">
        <v>7.4073910837142822</v>
      </c>
      <c r="O8" s="132">
        <v>6.8161538622423343</v>
      </c>
      <c r="P8" s="132">
        <v>6.5099390333692826</v>
      </c>
      <c r="Q8" s="132">
        <v>6.7018382847091154</v>
      </c>
      <c r="R8" s="132">
        <v>7.1586285746469009</v>
      </c>
      <c r="S8" s="132">
        <v>8.2272574915781931</v>
      </c>
      <c r="T8" s="132">
        <v>7.9979239240295739</v>
      </c>
      <c r="U8" s="132">
        <v>8.4654368628086338</v>
      </c>
      <c r="V8" s="132">
        <v>7.3546615726863873</v>
      </c>
      <c r="W8" s="132">
        <v>8.5301024850948775</v>
      </c>
      <c r="X8" s="132">
        <v>7.3623144353513199</v>
      </c>
      <c r="Y8" s="132">
        <v>6.482132141931964</v>
      </c>
      <c r="DA8" s="156" t="s">
        <v>306</v>
      </c>
    </row>
    <row r="9" spans="1:105" ht="12" customHeight="1" x14ac:dyDescent="0.25">
      <c r="A9" s="131" t="s">
        <v>78</v>
      </c>
      <c r="B9" s="132">
        <v>270.47711986945507</v>
      </c>
      <c r="C9" s="132">
        <v>395.4651619741598</v>
      </c>
      <c r="D9" s="132">
        <v>354.56942275309132</v>
      </c>
      <c r="E9" s="132">
        <v>407.35748549915292</v>
      </c>
      <c r="F9" s="132">
        <v>495.31311261833559</v>
      </c>
      <c r="G9" s="132">
        <v>239.3832381160471</v>
      </c>
      <c r="H9" s="132">
        <v>258.92753550758869</v>
      </c>
      <c r="I9" s="132">
        <v>187.84442712727071</v>
      </c>
      <c r="J9" s="132">
        <v>207.82509857845761</v>
      </c>
      <c r="K9" s="132">
        <v>147.12154667389126</v>
      </c>
      <c r="L9" s="132">
        <v>161.31567252325618</v>
      </c>
      <c r="M9" s="132">
        <v>134.26782249472774</v>
      </c>
      <c r="N9" s="132">
        <v>168.1250097922341</v>
      </c>
      <c r="O9" s="132">
        <v>176.00755536311576</v>
      </c>
      <c r="P9" s="132">
        <v>135.11944261995515</v>
      </c>
      <c r="Q9" s="132">
        <v>151.53554271139731</v>
      </c>
      <c r="R9" s="132">
        <v>141.23626666445602</v>
      </c>
      <c r="S9" s="132">
        <v>156.80183305971968</v>
      </c>
      <c r="T9" s="132">
        <v>145.84906285718796</v>
      </c>
      <c r="U9" s="132">
        <v>162.79330264005617</v>
      </c>
      <c r="V9" s="132">
        <v>159.11399603072712</v>
      </c>
      <c r="W9" s="132">
        <v>191.44796858329516</v>
      </c>
      <c r="X9" s="132">
        <v>123.04268343606338</v>
      </c>
      <c r="Y9" s="132">
        <v>139.93593356083261</v>
      </c>
      <c r="DA9" s="156" t="s">
        <v>307</v>
      </c>
    </row>
    <row r="10" spans="1:105" ht="12" customHeight="1" x14ac:dyDescent="0.25">
      <c r="A10" s="131" t="s">
        <v>128</v>
      </c>
      <c r="B10" s="132">
        <v>32.239119889434555</v>
      </c>
      <c r="C10" s="132">
        <v>34.558369848212187</v>
      </c>
      <c r="D10" s="132">
        <v>34.876941823079264</v>
      </c>
      <c r="E10" s="132">
        <v>41.806374024561158</v>
      </c>
      <c r="F10" s="132">
        <v>46.161547285397205</v>
      </c>
      <c r="G10" s="132">
        <v>37.211012287888977</v>
      </c>
      <c r="H10" s="132">
        <v>40.680080233580547</v>
      </c>
      <c r="I10" s="132">
        <v>38.071307026536495</v>
      </c>
      <c r="J10" s="132">
        <v>30.686482298817406</v>
      </c>
      <c r="K10" s="132">
        <v>30.746337248286419</v>
      </c>
      <c r="L10" s="132">
        <v>39.089796741355578</v>
      </c>
      <c r="M10" s="132">
        <v>30.379674493857376</v>
      </c>
      <c r="N10" s="132">
        <v>18.733585057619305</v>
      </c>
      <c r="O10" s="132">
        <v>25.230662989047023</v>
      </c>
      <c r="P10" s="132">
        <v>19.952045663874983</v>
      </c>
      <c r="Q10" s="132">
        <v>28.003051839338632</v>
      </c>
      <c r="R10" s="132">
        <v>19.89609167686233</v>
      </c>
      <c r="S10" s="132">
        <v>37.157872839617788</v>
      </c>
      <c r="T10" s="132">
        <v>38.669417899343998</v>
      </c>
      <c r="U10" s="132">
        <v>43.328991373394537</v>
      </c>
      <c r="V10" s="132">
        <v>41.97089350675391</v>
      </c>
      <c r="W10" s="132">
        <v>48.152058442140245</v>
      </c>
      <c r="X10" s="132">
        <v>35.715381429192234</v>
      </c>
      <c r="Y10" s="132">
        <v>19.748792974445717</v>
      </c>
      <c r="DA10" s="156" t="s">
        <v>308</v>
      </c>
    </row>
    <row r="11" spans="1:105" ht="12" customHeight="1" x14ac:dyDescent="0.25">
      <c r="A11" s="131" t="s">
        <v>25</v>
      </c>
      <c r="B11" s="132">
        <v>3.9582214859958151</v>
      </c>
      <c r="C11" s="132">
        <v>3.6785296769256428</v>
      </c>
      <c r="D11" s="132">
        <v>6.05832035205919</v>
      </c>
      <c r="E11" s="132">
        <v>4.6989587150849719</v>
      </c>
      <c r="F11" s="132">
        <v>4.7265168983951522</v>
      </c>
      <c r="G11" s="132">
        <v>5.3513981381937041</v>
      </c>
      <c r="H11" s="132">
        <v>5.2485150649620946</v>
      </c>
      <c r="I11" s="132">
        <v>4.7677116622043707</v>
      </c>
      <c r="J11" s="132">
        <v>5.1612951006997534</v>
      </c>
      <c r="K11" s="132">
        <v>5.746329112423326</v>
      </c>
      <c r="L11" s="132">
        <v>6.6137960479008484</v>
      </c>
      <c r="M11" s="132">
        <v>5.7752165004493463</v>
      </c>
      <c r="N11" s="132">
        <v>7.216776324173038</v>
      </c>
      <c r="O11" s="132">
        <v>6.9057329075714922</v>
      </c>
      <c r="P11" s="132">
        <v>5.6053566628627598</v>
      </c>
      <c r="Q11" s="132">
        <v>6.3316964305103429</v>
      </c>
      <c r="R11" s="132">
        <v>6.337218283967931</v>
      </c>
      <c r="S11" s="132">
        <v>10.915070943018895</v>
      </c>
      <c r="T11" s="132">
        <v>10.05921282820078</v>
      </c>
      <c r="U11" s="132">
        <v>10.143138163321581</v>
      </c>
      <c r="V11" s="132">
        <v>10.522920755002655</v>
      </c>
      <c r="W11" s="132">
        <v>9.1718723871633436</v>
      </c>
      <c r="X11" s="132">
        <v>7.6987318009622552</v>
      </c>
      <c r="Y11" s="132">
        <v>6.9400404321373248</v>
      </c>
      <c r="DA11" s="156" t="s">
        <v>309</v>
      </c>
    </row>
    <row r="12" spans="1:105" ht="12" customHeight="1" x14ac:dyDescent="0.25">
      <c r="A12" s="131" t="s">
        <v>162</v>
      </c>
      <c r="B12" s="132">
        <v>272.07662976566002</v>
      </c>
      <c r="C12" s="132">
        <v>285.45608077908616</v>
      </c>
      <c r="D12" s="132">
        <v>298.83278902075136</v>
      </c>
      <c r="E12" s="132">
        <v>324.0009946809659</v>
      </c>
      <c r="F12" s="132">
        <v>345.9815193253138</v>
      </c>
      <c r="G12" s="132">
        <v>421.34243065026601</v>
      </c>
      <c r="H12" s="132">
        <v>458.65770630697716</v>
      </c>
      <c r="I12" s="132">
        <v>414.51623235505878</v>
      </c>
      <c r="J12" s="132">
        <v>483.80756974076758</v>
      </c>
      <c r="K12" s="132">
        <v>506.20256725402407</v>
      </c>
      <c r="L12" s="132">
        <v>556.07962453239952</v>
      </c>
      <c r="M12" s="132">
        <v>553.17705459157401</v>
      </c>
      <c r="N12" s="132">
        <v>553.88142780358226</v>
      </c>
      <c r="O12" s="132">
        <v>526.73553487755305</v>
      </c>
      <c r="P12" s="132">
        <v>457.87308106775731</v>
      </c>
      <c r="Q12" s="132">
        <v>477.50054468034989</v>
      </c>
      <c r="R12" s="132">
        <v>513.37175890486651</v>
      </c>
      <c r="S12" s="132">
        <v>539.01921403937342</v>
      </c>
      <c r="T12" s="132">
        <v>492.48600171001033</v>
      </c>
      <c r="U12" s="132">
        <v>513.81031231611291</v>
      </c>
      <c r="V12" s="132">
        <v>480.14272804934171</v>
      </c>
      <c r="W12" s="132">
        <v>561.63208149107948</v>
      </c>
      <c r="X12" s="132">
        <v>507.90919675513669</v>
      </c>
      <c r="Y12" s="132">
        <v>498.98730500508492</v>
      </c>
      <c r="DA12" s="156" t="s">
        <v>310</v>
      </c>
    </row>
    <row r="13" spans="1:105" ht="12" customHeight="1" x14ac:dyDescent="0.25">
      <c r="A13" s="131" t="s">
        <v>77</v>
      </c>
      <c r="B13" s="132">
        <v>6.6914571977651001</v>
      </c>
      <c r="C13" s="132">
        <v>9.5094425056090799</v>
      </c>
      <c r="D13" s="132">
        <v>16.416550586861778</v>
      </c>
      <c r="E13" s="132">
        <v>26.058792061578497</v>
      </c>
      <c r="F13" s="132">
        <v>37.849424069775615</v>
      </c>
      <c r="G13" s="132">
        <v>47.48356681504535</v>
      </c>
      <c r="H13" s="132">
        <v>61.441644263544305</v>
      </c>
      <c r="I13" s="132">
        <v>66.935395711054596</v>
      </c>
      <c r="J13" s="132">
        <v>91.604024212195625</v>
      </c>
      <c r="K13" s="132">
        <v>82.366021067769537</v>
      </c>
      <c r="L13" s="132">
        <v>93.65226186305739</v>
      </c>
      <c r="M13" s="132">
        <v>112.67950384345667</v>
      </c>
      <c r="N13" s="132">
        <v>128.57404439321485</v>
      </c>
      <c r="O13" s="132">
        <v>147.44686433385996</v>
      </c>
      <c r="P13" s="132">
        <v>166.81435378325426</v>
      </c>
      <c r="Q13" s="132">
        <v>152.49946763581747</v>
      </c>
      <c r="R13" s="132">
        <v>168.57234483615849</v>
      </c>
      <c r="S13" s="132">
        <v>196.20200973521159</v>
      </c>
      <c r="T13" s="132">
        <v>204.19951803013731</v>
      </c>
      <c r="U13" s="132">
        <v>241.97298627066343</v>
      </c>
      <c r="V13" s="132">
        <v>168.03237899700619</v>
      </c>
      <c r="W13" s="132">
        <v>162.18649660902705</v>
      </c>
      <c r="X13" s="132">
        <v>233.32827858633857</v>
      </c>
      <c r="Y13" s="132">
        <v>313.01651715127099</v>
      </c>
      <c r="DA13" s="156" t="s">
        <v>311</v>
      </c>
    </row>
    <row r="14" spans="1:105" ht="12" customHeight="1" x14ac:dyDescent="0.25">
      <c r="A14" s="60" t="s">
        <v>76</v>
      </c>
      <c r="B14" s="65">
        <v>242.38951910792062</v>
      </c>
      <c r="C14" s="65">
        <v>238.39955038705349</v>
      </c>
      <c r="D14" s="65">
        <v>223.43336697545178</v>
      </c>
      <c r="E14" s="65">
        <v>254.12092934417564</v>
      </c>
      <c r="F14" s="65">
        <v>190.16535504503528</v>
      </c>
      <c r="G14" s="65">
        <v>266.58389390782236</v>
      </c>
      <c r="H14" s="65">
        <v>258.74830310496469</v>
      </c>
      <c r="I14" s="65">
        <v>228.13738519614208</v>
      </c>
      <c r="J14" s="65">
        <v>263.41725766295252</v>
      </c>
      <c r="K14" s="65">
        <v>151.62653989586033</v>
      </c>
      <c r="L14" s="65">
        <v>192.16436745065062</v>
      </c>
      <c r="M14" s="65">
        <v>171.95229322594372</v>
      </c>
      <c r="N14" s="65">
        <v>171.43089209282584</v>
      </c>
      <c r="O14" s="65">
        <v>167.35856027416406</v>
      </c>
      <c r="P14" s="65">
        <v>151.85184664666565</v>
      </c>
      <c r="Q14" s="65">
        <v>142.82983191032926</v>
      </c>
      <c r="R14" s="65">
        <v>97.258346865330083</v>
      </c>
      <c r="S14" s="65">
        <v>130.91653177613358</v>
      </c>
      <c r="T14" s="65">
        <v>156.48104890754354</v>
      </c>
      <c r="U14" s="65">
        <v>145.60583291202875</v>
      </c>
      <c r="V14" s="65">
        <v>123.97767385087101</v>
      </c>
      <c r="W14" s="65">
        <v>125.3256462343867</v>
      </c>
      <c r="X14" s="65">
        <v>147.1717681839279</v>
      </c>
      <c r="Y14" s="65">
        <v>83.233199453815629</v>
      </c>
      <c r="DA14" s="109" t="s">
        <v>312</v>
      </c>
    </row>
    <row r="15" spans="1:105" ht="12" customHeight="1" x14ac:dyDescent="0.25">
      <c r="A15" s="133" t="s">
        <v>80</v>
      </c>
      <c r="B15" s="134">
        <v>10.672170434954051</v>
      </c>
      <c r="C15" s="134">
        <v>14.297309682004588</v>
      </c>
      <c r="D15" s="134">
        <v>13.310872760187856</v>
      </c>
      <c r="E15" s="134">
        <v>15.455259229197534</v>
      </c>
      <c r="F15" s="134">
        <v>15.382595914241305</v>
      </c>
      <c r="G15" s="134">
        <v>11.907700942061103</v>
      </c>
      <c r="H15" s="134">
        <v>12.341607081236656</v>
      </c>
      <c r="I15" s="134">
        <v>9.083227548105695</v>
      </c>
      <c r="J15" s="134">
        <v>10.136550039930425</v>
      </c>
      <c r="K15" s="134">
        <v>8.1622358626694194</v>
      </c>
      <c r="L15" s="134">
        <v>6.9356542163991586</v>
      </c>
      <c r="M15" s="134">
        <v>6.2724160407370668</v>
      </c>
      <c r="N15" s="134">
        <v>6.4392308733865429</v>
      </c>
      <c r="O15" s="134">
        <v>6.4938955482893181</v>
      </c>
      <c r="P15" s="134">
        <v>5.5836658087908937</v>
      </c>
      <c r="Q15" s="134">
        <v>6.0655788674348905</v>
      </c>
      <c r="R15" s="134">
        <v>5.864063343703612</v>
      </c>
      <c r="S15" s="134">
        <v>6.9247137259240699</v>
      </c>
      <c r="T15" s="134">
        <v>6.3759286953480476</v>
      </c>
      <c r="U15" s="134">
        <v>6.6835401534703536</v>
      </c>
      <c r="V15" s="134">
        <v>6.4900167091918357</v>
      </c>
      <c r="W15" s="134">
        <v>7.8393909828922155</v>
      </c>
      <c r="X15" s="134">
        <v>6.1109090508416362</v>
      </c>
      <c r="Y15" s="134">
        <v>5.3999007430971027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36.011900727576062</v>
      </c>
      <c r="C16" s="130">
        <f t="shared" si="6"/>
        <v>37.367385069339257</v>
      </c>
      <c r="D16" s="130">
        <f t="shared" si="6"/>
        <v>39.962122511965262</v>
      </c>
      <c r="E16" s="130">
        <f t="shared" si="6"/>
        <v>46.043538528844039</v>
      </c>
      <c r="F16" s="130">
        <f t="shared" si="6"/>
        <v>42.823307257969695</v>
      </c>
      <c r="G16" s="130">
        <f t="shared" si="6"/>
        <v>45.856450395532818</v>
      </c>
      <c r="H16" s="130">
        <f t="shared" si="6"/>
        <v>50.659675408909571</v>
      </c>
      <c r="I16" s="130">
        <f t="shared" si="6"/>
        <v>54.022570722860991</v>
      </c>
      <c r="J16" s="130">
        <f t="shared" si="6"/>
        <v>54.546461683886996</v>
      </c>
      <c r="K16" s="130">
        <f t="shared" si="6"/>
        <v>56.767314299067934</v>
      </c>
      <c r="L16" s="130">
        <f t="shared" si="6"/>
        <v>61.782242624443995</v>
      </c>
      <c r="M16" s="130">
        <f t="shared" si="6"/>
        <v>62.428348143082538</v>
      </c>
      <c r="N16" s="130">
        <f t="shared" si="6"/>
        <v>66.981828595474255</v>
      </c>
      <c r="O16" s="130">
        <f t="shared" si="6"/>
        <v>73.520989032245737</v>
      </c>
      <c r="P16" s="130">
        <f t="shared" si="6"/>
        <v>66.411840111447489</v>
      </c>
      <c r="Q16" s="130">
        <f t="shared" si="6"/>
        <v>80.392107905279701</v>
      </c>
      <c r="R16" s="130">
        <f t="shared" ref="R16:W16" si="7">SUM(R17:R18)</f>
        <v>72.851663849689189</v>
      </c>
      <c r="S16" s="130">
        <f t="shared" si="7"/>
        <v>80.024093215477549</v>
      </c>
      <c r="T16" s="130">
        <f t="shared" si="7"/>
        <v>81.105422581321704</v>
      </c>
      <c r="U16" s="130">
        <f t="shared" si="7"/>
        <v>85.551515299066679</v>
      </c>
      <c r="V16" s="130">
        <f t="shared" si="7"/>
        <v>80.140400995574709</v>
      </c>
      <c r="W16" s="130">
        <f t="shared" si="7"/>
        <v>84.317839538255882</v>
      </c>
      <c r="X16" s="130">
        <f t="shared" ref="X16:Y16" si="8">SUM(X17:X18)</f>
        <v>87.892517543180247</v>
      </c>
      <c r="Y16" s="130">
        <f t="shared" si="8"/>
        <v>95.285288717303516</v>
      </c>
      <c r="DA16" s="155" t="s">
        <v>314</v>
      </c>
    </row>
    <row r="17" spans="1:105" ht="12.95" customHeight="1" x14ac:dyDescent="0.25">
      <c r="A17" s="131" t="s">
        <v>73</v>
      </c>
      <c r="B17" s="132">
        <v>4.3173317975991679E-2</v>
      </c>
      <c r="C17" s="132">
        <v>4.7259704641903572E-2</v>
      </c>
      <c r="D17" s="132">
        <v>5.794985438042765E-2</v>
      </c>
      <c r="E17" s="132">
        <v>6.7342131819623813E-2</v>
      </c>
      <c r="F17" s="132">
        <v>7.8850395855785016E-2</v>
      </c>
      <c r="G17" s="132">
        <v>9.3455819034697837E-2</v>
      </c>
      <c r="H17" s="132">
        <v>0.11078601659380455</v>
      </c>
      <c r="I17" s="132">
        <v>0.13981892747076063</v>
      </c>
      <c r="J17" s="132">
        <v>0.16064721591914194</v>
      </c>
      <c r="K17" s="132">
        <v>0.19480053529435634</v>
      </c>
      <c r="L17" s="132">
        <v>0.22212073379917063</v>
      </c>
      <c r="M17" s="132">
        <v>0.25700441729522816</v>
      </c>
      <c r="N17" s="132">
        <v>0.28700210825108718</v>
      </c>
      <c r="O17" s="132">
        <v>0.34724505933085631</v>
      </c>
      <c r="P17" s="132">
        <v>0.34885350027262102</v>
      </c>
      <c r="Q17" s="132">
        <v>0.48915984028683962</v>
      </c>
      <c r="R17" s="132">
        <v>0.44435619611257915</v>
      </c>
      <c r="S17" s="132">
        <v>0.53776356595962271</v>
      </c>
      <c r="T17" s="132">
        <v>0.57442343780142746</v>
      </c>
      <c r="U17" s="132">
        <v>0.66789452381306713</v>
      </c>
      <c r="V17" s="132">
        <v>0.63315473700350955</v>
      </c>
      <c r="W17" s="132">
        <v>0.68769676943125835</v>
      </c>
      <c r="X17" s="132">
        <v>0.74241390488919556</v>
      </c>
      <c r="Y17" s="132">
        <v>0.83085577978873826</v>
      </c>
      <c r="DA17" s="156" t="s">
        <v>315</v>
      </c>
    </row>
    <row r="18" spans="1:105" ht="12" customHeight="1" x14ac:dyDescent="0.25">
      <c r="A18" s="131" t="s">
        <v>72</v>
      </c>
      <c r="B18" s="132">
        <v>35.968727409600071</v>
      </c>
      <c r="C18" s="132">
        <v>37.320125364697354</v>
      </c>
      <c r="D18" s="132">
        <v>39.904172657584837</v>
      </c>
      <c r="E18" s="132">
        <v>45.976196397024417</v>
      </c>
      <c r="F18" s="132">
        <v>42.744456862113907</v>
      </c>
      <c r="G18" s="132">
        <v>45.762994576498123</v>
      </c>
      <c r="H18" s="132">
        <v>50.548889392315765</v>
      </c>
      <c r="I18" s="132">
        <v>53.882751795390227</v>
      </c>
      <c r="J18" s="132">
        <v>54.385814467967855</v>
      </c>
      <c r="K18" s="132">
        <v>56.572513763773578</v>
      </c>
      <c r="L18" s="132">
        <v>61.560121890644822</v>
      </c>
      <c r="M18" s="132">
        <v>62.17134372578731</v>
      </c>
      <c r="N18" s="132">
        <v>66.694826487223168</v>
      </c>
      <c r="O18" s="132">
        <v>73.173743972914878</v>
      </c>
      <c r="P18" s="132">
        <v>66.062986611174864</v>
      </c>
      <c r="Q18" s="132">
        <v>79.902948064992856</v>
      </c>
      <c r="R18" s="132">
        <v>72.407307653576609</v>
      </c>
      <c r="S18" s="132">
        <v>79.486329649517927</v>
      </c>
      <c r="T18" s="132">
        <v>80.530999143520276</v>
      </c>
      <c r="U18" s="132">
        <v>84.883620775253618</v>
      </c>
      <c r="V18" s="132">
        <v>79.5072462585712</v>
      </c>
      <c r="W18" s="132">
        <v>83.630142768824626</v>
      </c>
      <c r="X18" s="132">
        <v>87.150103638291057</v>
      </c>
      <c r="Y18" s="132">
        <v>94.454432937514781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176.1156068732771</v>
      </c>
      <c r="C19" s="130">
        <f t="shared" si="9"/>
        <v>179.53729163341114</v>
      </c>
      <c r="D19" s="130">
        <f t="shared" si="9"/>
        <v>181.34383015307591</v>
      </c>
      <c r="E19" s="130">
        <f t="shared" si="9"/>
        <v>184.86431561852567</v>
      </c>
      <c r="F19" s="130">
        <f t="shared" si="9"/>
        <v>187.59664714050854</v>
      </c>
      <c r="G19" s="130">
        <f t="shared" si="9"/>
        <v>195.07252983388042</v>
      </c>
      <c r="H19" s="130">
        <f t="shared" si="9"/>
        <v>198.93202198515954</v>
      </c>
      <c r="I19" s="130">
        <f t="shared" si="9"/>
        <v>206.39431532628706</v>
      </c>
      <c r="J19" s="130">
        <f t="shared" si="9"/>
        <v>209.8569060289727</v>
      </c>
      <c r="K19" s="130">
        <f t="shared" si="9"/>
        <v>214.98329191785456</v>
      </c>
      <c r="L19" s="130">
        <f t="shared" si="9"/>
        <v>217.95460098822173</v>
      </c>
      <c r="M19" s="130">
        <f t="shared" si="9"/>
        <v>223.44661195739326</v>
      </c>
      <c r="N19" s="130">
        <f t="shared" si="9"/>
        <v>223.53405437111431</v>
      </c>
      <c r="O19" s="130">
        <f t="shared" si="9"/>
        <v>226.10391602963068</v>
      </c>
      <c r="P19" s="130">
        <f t="shared" si="9"/>
        <v>233.23038383291748</v>
      </c>
      <c r="Q19" s="130">
        <f t="shared" si="9"/>
        <v>232.8560134152886</v>
      </c>
      <c r="R19" s="130">
        <f t="shared" ref="R19:W19" si="10">SUM(R20:R27)</f>
        <v>235.64051643682063</v>
      </c>
      <c r="S19" s="130">
        <f t="shared" si="10"/>
        <v>238.23180837744366</v>
      </c>
      <c r="T19" s="130">
        <f t="shared" si="10"/>
        <v>239.17961326881283</v>
      </c>
      <c r="U19" s="130">
        <f t="shared" si="10"/>
        <v>237.13837952282307</v>
      </c>
      <c r="V19" s="130">
        <f t="shared" si="10"/>
        <v>231.90064991618854</v>
      </c>
      <c r="W19" s="130">
        <f t="shared" si="10"/>
        <v>230.52040285383478</v>
      </c>
      <c r="X19" s="130">
        <f t="shared" ref="X19:Y19" si="11">SUM(X20:X27)</f>
        <v>238.01213398940169</v>
      </c>
      <c r="Y19" s="130">
        <f t="shared" si="11"/>
        <v>243.25387851096181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9.1958276174027898</v>
      </c>
      <c r="C21" s="132">
        <v>10.736758462661477</v>
      </c>
      <c r="D21" s="132">
        <v>11.230570047960475</v>
      </c>
      <c r="E21" s="132">
        <v>12.212342592130668</v>
      </c>
      <c r="F21" s="132">
        <v>12.731693249480667</v>
      </c>
      <c r="G21" s="132">
        <v>13.022212346922309</v>
      </c>
      <c r="H21" s="132">
        <v>13.215866051602514</v>
      </c>
      <c r="I21" s="132">
        <v>13.114960560461949</v>
      </c>
      <c r="J21" s="132">
        <v>12.4203789565797</v>
      </c>
      <c r="K21" s="132">
        <v>11.251368390868342</v>
      </c>
      <c r="L21" s="132">
        <v>7.885377006773882</v>
      </c>
      <c r="M21" s="132">
        <v>5.5631130906029567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319</v>
      </c>
    </row>
    <row r="22" spans="1:105" ht="12" customHeight="1" x14ac:dyDescent="0.25">
      <c r="A22" s="131" t="s">
        <v>161</v>
      </c>
      <c r="B22" s="132">
        <v>36.78756013485053</v>
      </c>
      <c r="C22" s="132">
        <v>36.29617208598544</v>
      </c>
      <c r="D22" s="132">
        <v>35.915633743738034</v>
      </c>
      <c r="E22" s="132">
        <v>35.690570420868731</v>
      </c>
      <c r="F22" s="132">
        <v>35.237743492725954</v>
      </c>
      <c r="G22" s="132">
        <v>33.047016745209</v>
      </c>
      <c r="H22" s="132">
        <v>30.745045381755414</v>
      </c>
      <c r="I22" s="132">
        <v>29.363325823917702</v>
      </c>
      <c r="J22" s="132">
        <v>26.383200808474285</v>
      </c>
      <c r="K22" s="132">
        <v>25.486129251390935</v>
      </c>
      <c r="L22" s="132">
        <v>21.573764886149387</v>
      </c>
      <c r="M22" s="132">
        <v>20.383781280417352</v>
      </c>
      <c r="N22" s="132">
        <v>17.284839548953382</v>
      </c>
      <c r="O22" s="132">
        <v>16.960784534737332</v>
      </c>
      <c r="P22" s="132">
        <v>15.821179369737635</v>
      </c>
      <c r="Q22" s="132">
        <v>15.098123440690161</v>
      </c>
      <c r="R22" s="132">
        <v>14.91753194017044</v>
      </c>
      <c r="S22" s="132">
        <v>15.243076585047264</v>
      </c>
      <c r="T22" s="132">
        <v>14.885066029450964</v>
      </c>
      <c r="U22" s="132">
        <v>14.598868363399044</v>
      </c>
      <c r="V22" s="132">
        <v>13.085665451705459</v>
      </c>
      <c r="W22" s="132">
        <v>14.531535590427072</v>
      </c>
      <c r="X22" s="132">
        <v>15.600729468767396</v>
      </c>
      <c r="Y22" s="132">
        <v>16.624009930572416</v>
      </c>
      <c r="DA22" s="156" t="s">
        <v>320</v>
      </c>
    </row>
    <row r="23" spans="1:105" ht="12" customHeight="1" x14ac:dyDescent="0.25">
      <c r="A23" s="131" t="s">
        <v>149</v>
      </c>
      <c r="B23" s="132">
        <v>14.206191222946309</v>
      </c>
      <c r="C23" s="132">
        <v>14.389785840422789</v>
      </c>
      <c r="D23" s="132">
        <v>14.722799766333528</v>
      </c>
      <c r="E23" s="132">
        <v>15.024867689896235</v>
      </c>
      <c r="F23" s="132">
        <v>15.500306798279084</v>
      </c>
      <c r="G23" s="132">
        <v>15.985822129538789</v>
      </c>
      <c r="H23" s="132">
        <v>16.601405106191709</v>
      </c>
      <c r="I23" s="132">
        <v>16.984310940122135</v>
      </c>
      <c r="J23" s="132">
        <v>17.387243966743885</v>
      </c>
      <c r="K23" s="132">
        <v>17.843954740017757</v>
      </c>
      <c r="L23" s="132">
        <v>18.143806369288708</v>
      </c>
      <c r="M23" s="132">
        <v>18.478241722364501</v>
      </c>
      <c r="N23" s="132">
        <v>19.03672700280892</v>
      </c>
      <c r="O23" s="132">
        <v>19.959086849606667</v>
      </c>
      <c r="P23" s="132">
        <v>20.219844442309377</v>
      </c>
      <c r="Q23" s="132">
        <v>21.090584157736593</v>
      </c>
      <c r="R23" s="132">
        <v>21.442455092964206</v>
      </c>
      <c r="S23" s="132">
        <v>21.491028796511742</v>
      </c>
      <c r="T23" s="132">
        <v>21.614483604797492</v>
      </c>
      <c r="U23" s="132">
        <v>21.56030604240852</v>
      </c>
      <c r="V23" s="132">
        <v>20.762480956387257</v>
      </c>
      <c r="W23" s="132">
        <v>23.200509234558552</v>
      </c>
      <c r="X23" s="132">
        <v>26.782588638882793</v>
      </c>
      <c r="Y23" s="132">
        <v>28.850904619071827</v>
      </c>
      <c r="DA23" s="156" t="s">
        <v>321</v>
      </c>
    </row>
    <row r="24" spans="1:105" ht="12" customHeight="1" x14ac:dyDescent="0.25">
      <c r="A24" s="131" t="s">
        <v>128</v>
      </c>
      <c r="B24" s="132">
        <v>3.6559558679879496</v>
      </c>
      <c r="C24" s="132">
        <v>3.6664753788332671</v>
      </c>
      <c r="D24" s="132">
        <v>3.7216733940246054</v>
      </c>
      <c r="E24" s="132">
        <v>3.7626289581995653</v>
      </c>
      <c r="F24" s="132">
        <v>3.8465491477002138</v>
      </c>
      <c r="G24" s="132">
        <v>3.914646582008936</v>
      </c>
      <c r="H24" s="132">
        <v>4.0386863914608879</v>
      </c>
      <c r="I24" s="132">
        <v>4.0548899155702323</v>
      </c>
      <c r="J24" s="132">
        <v>4.1303184492542853</v>
      </c>
      <c r="K24" s="132">
        <v>4.2791721361335924</v>
      </c>
      <c r="L24" s="132">
        <v>4.3898921448904105</v>
      </c>
      <c r="M24" s="132">
        <v>4.5500285290745239</v>
      </c>
      <c r="N24" s="132">
        <v>4.7200077036668535</v>
      </c>
      <c r="O24" s="132">
        <v>4.9229413576784768</v>
      </c>
      <c r="P24" s="132">
        <v>5.0825968912999775</v>
      </c>
      <c r="Q24" s="132">
        <v>5.283413945611378</v>
      </c>
      <c r="R24" s="132">
        <v>5.3225022441998826</v>
      </c>
      <c r="S24" s="132">
        <v>5.394363097566532</v>
      </c>
      <c r="T24" s="132">
        <v>5.4317984463465496</v>
      </c>
      <c r="U24" s="132">
        <v>5.5683250360161916</v>
      </c>
      <c r="V24" s="132">
        <v>5.1996906506357057</v>
      </c>
      <c r="W24" s="132">
        <v>5.6419408500487611</v>
      </c>
      <c r="X24" s="132">
        <v>6.4071242415200755</v>
      </c>
      <c r="Y24" s="132">
        <v>6.792620021555555</v>
      </c>
      <c r="DA24" s="156" t="s">
        <v>322</v>
      </c>
    </row>
    <row r="25" spans="1:105" ht="12" customHeight="1" x14ac:dyDescent="0.25">
      <c r="A25" s="131" t="s">
        <v>162</v>
      </c>
      <c r="B25" s="132">
        <v>48.252390219171289</v>
      </c>
      <c r="C25" s="132">
        <v>48.259209975560246</v>
      </c>
      <c r="D25" s="132">
        <v>48.773415859474653</v>
      </c>
      <c r="E25" s="132">
        <v>47.608971121480998</v>
      </c>
      <c r="F25" s="132">
        <v>47.320925063633773</v>
      </c>
      <c r="G25" s="132">
        <v>47.568706623086157</v>
      </c>
      <c r="H25" s="132">
        <v>55.199853110140971</v>
      </c>
      <c r="I25" s="132">
        <v>63.5936782090753</v>
      </c>
      <c r="J25" s="132">
        <v>69.669513892478903</v>
      </c>
      <c r="K25" s="132">
        <v>80.534259567979632</v>
      </c>
      <c r="L25" s="132">
        <v>86.843180378573805</v>
      </c>
      <c r="M25" s="132">
        <v>89.166681703390836</v>
      </c>
      <c r="N25" s="132">
        <v>92.967947843417974</v>
      </c>
      <c r="O25" s="132">
        <v>94.276982546067984</v>
      </c>
      <c r="P25" s="132">
        <v>96.294602633528157</v>
      </c>
      <c r="Q25" s="132">
        <v>96.837422175371003</v>
      </c>
      <c r="R25" s="132">
        <v>96.662843394137312</v>
      </c>
      <c r="S25" s="132">
        <v>95.365565904529689</v>
      </c>
      <c r="T25" s="132">
        <v>96.200336160071956</v>
      </c>
      <c r="U25" s="132">
        <v>97.449810655232255</v>
      </c>
      <c r="V25" s="132">
        <v>94.206464549555704</v>
      </c>
      <c r="W25" s="132">
        <v>98.405746213313847</v>
      </c>
      <c r="X25" s="132">
        <v>96.202037102532685</v>
      </c>
      <c r="Y25" s="132">
        <v>94.12252660632096</v>
      </c>
      <c r="DA25" s="156" t="s">
        <v>323</v>
      </c>
    </row>
    <row r="26" spans="1:105" ht="12" customHeight="1" x14ac:dyDescent="0.25">
      <c r="A26" s="131" t="s">
        <v>24</v>
      </c>
      <c r="B26" s="65">
        <v>38.102892472999073</v>
      </c>
      <c r="C26" s="65">
        <v>39.15157260705881</v>
      </c>
      <c r="D26" s="65">
        <v>39.512497444726051</v>
      </c>
      <c r="E26" s="65">
        <v>37.55642236819368</v>
      </c>
      <c r="F26" s="65">
        <v>38.470091469514273</v>
      </c>
      <c r="G26" s="65">
        <v>49.574366163779047</v>
      </c>
      <c r="H26" s="65">
        <v>54.71981598700031</v>
      </c>
      <c r="I26" s="65">
        <v>49.988136979461316</v>
      </c>
      <c r="J26" s="65">
        <v>40.782501030248184</v>
      </c>
      <c r="K26" s="65">
        <v>53.860032938944912</v>
      </c>
      <c r="L26" s="65">
        <v>28.62107375370627</v>
      </c>
      <c r="M26" s="65">
        <v>27.181463825868189</v>
      </c>
      <c r="N26" s="65">
        <v>27.963913183703053</v>
      </c>
      <c r="O26" s="65">
        <v>36.320922117292596</v>
      </c>
      <c r="P26" s="65">
        <v>35.570200048922814</v>
      </c>
      <c r="Q26" s="65">
        <v>42.719384571201957</v>
      </c>
      <c r="R26" s="65">
        <v>49.038347995787269</v>
      </c>
      <c r="S26" s="65">
        <v>43.911720683384338</v>
      </c>
      <c r="T26" s="65">
        <v>34.796338314474312</v>
      </c>
      <c r="U26" s="65">
        <v>35.495893157495132</v>
      </c>
      <c r="V26" s="65">
        <v>30.223218471275018</v>
      </c>
      <c r="W26" s="65">
        <v>36.097076812434139</v>
      </c>
      <c r="X26" s="65">
        <v>33.172019112075382</v>
      </c>
      <c r="Y26" s="65">
        <v>40.900360755625101</v>
      </c>
      <c r="DA26" s="109" t="s">
        <v>324</v>
      </c>
    </row>
    <row r="27" spans="1:105" ht="12" customHeight="1" x14ac:dyDescent="0.25">
      <c r="A27" s="144" t="s">
        <v>26</v>
      </c>
      <c r="B27" s="145">
        <v>25.914789337919174</v>
      </c>
      <c r="C27" s="145">
        <v>27.037317282889077</v>
      </c>
      <c r="D27" s="145">
        <v>27.467239896818565</v>
      </c>
      <c r="E27" s="145">
        <v>33.008512467755793</v>
      </c>
      <c r="F27" s="145">
        <v>34.489337919174559</v>
      </c>
      <c r="G27" s="145">
        <v>31.959759243336194</v>
      </c>
      <c r="H27" s="145">
        <v>24.411349957007726</v>
      </c>
      <c r="I27" s="145">
        <v>29.29501289767844</v>
      </c>
      <c r="J27" s="145">
        <v>39.083748925193476</v>
      </c>
      <c r="K27" s="145">
        <v>21.728374892519351</v>
      </c>
      <c r="L27" s="145">
        <v>50.49750644883926</v>
      </c>
      <c r="M27" s="145">
        <v>58.12330180567492</v>
      </c>
      <c r="N27" s="145">
        <v>61.560619088564124</v>
      </c>
      <c r="O27" s="145">
        <v>53.663198624247627</v>
      </c>
      <c r="P27" s="145">
        <v>60.241960447119538</v>
      </c>
      <c r="Q27" s="145">
        <v>51.827085124677509</v>
      </c>
      <c r="R27" s="145">
        <v>48.256835769561526</v>
      </c>
      <c r="S27" s="145">
        <v>56.826053310404092</v>
      </c>
      <c r="T27" s="145">
        <v>66.251590713671547</v>
      </c>
      <c r="U27" s="145">
        <v>62.465176268271918</v>
      </c>
      <c r="V27" s="145">
        <v>68.423129836629386</v>
      </c>
      <c r="W27" s="145">
        <v>52.643594153052419</v>
      </c>
      <c r="X27" s="145">
        <v>59.847635425623366</v>
      </c>
      <c r="Y27" s="145">
        <v>55.96345657781594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141.53661129128676</v>
      </c>
      <c r="C29" s="130">
        <f t="shared" si="12"/>
        <v>146.62200069826278</v>
      </c>
      <c r="D29" s="130">
        <f t="shared" si="12"/>
        <v>154.24271984816457</v>
      </c>
      <c r="E29" s="130">
        <f t="shared" si="12"/>
        <v>160.78089987276667</v>
      </c>
      <c r="F29" s="130">
        <f t="shared" si="12"/>
        <v>164.26417313057823</v>
      </c>
      <c r="G29" s="130">
        <f t="shared" si="12"/>
        <v>166.94642440597693</v>
      </c>
      <c r="H29" s="130">
        <f t="shared" si="12"/>
        <v>168.98897204638098</v>
      </c>
      <c r="I29" s="130">
        <f t="shared" si="12"/>
        <v>170.75187681617297</v>
      </c>
      <c r="J29" s="130">
        <f t="shared" si="12"/>
        <v>172.09423279841002</v>
      </c>
      <c r="K29" s="130">
        <f t="shared" si="12"/>
        <v>174.72601024757927</v>
      </c>
      <c r="L29" s="130">
        <f t="shared" si="12"/>
        <v>176.6288857728261</v>
      </c>
      <c r="M29" s="130">
        <f t="shared" si="12"/>
        <v>178.55118600371404</v>
      </c>
      <c r="N29" s="130">
        <f t="shared" si="12"/>
        <v>181.61858123859705</v>
      </c>
      <c r="O29" s="130">
        <f t="shared" si="12"/>
        <v>181.87553275149583</v>
      </c>
      <c r="P29" s="130">
        <f t="shared" si="12"/>
        <v>184.25518071229382</v>
      </c>
      <c r="Q29" s="130">
        <f t="shared" si="12"/>
        <v>185.55670430521602</v>
      </c>
      <c r="R29" s="130">
        <f t="shared" ref="R29:W29" si="13">SUM(R30:R33)</f>
        <v>188.7811238486525</v>
      </c>
      <c r="S29" s="130">
        <f t="shared" si="13"/>
        <v>190.50148741195517</v>
      </c>
      <c r="T29" s="130">
        <f t="shared" si="13"/>
        <v>192.3748988895087</v>
      </c>
      <c r="U29" s="130">
        <f t="shared" si="13"/>
        <v>194.34189709231362</v>
      </c>
      <c r="V29" s="130">
        <f t="shared" si="13"/>
        <v>188.22208456229455</v>
      </c>
      <c r="W29" s="130">
        <f t="shared" si="13"/>
        <v>198.36072443252266</v>
      </c>
      <c r="X29" s="130">
        <f t="shared" ref="X29:Y29" si="14">SUM(X30:X33)</f>
        <v>199.87393119575415</v>
      </c>
      <c r="Y29" s="130">
        <f t="shared" si="14"/>
        <v>203.16506832200491</v>
      </c>
      <c r="DA29" s="155" t="s">
        <v>326</v>
      </c>
    </row>
    <row r="30" spans="1:105" ht="12" customHeight="1" x14ac:dyDescent="0.25">
      <c r="A30" s="131" t="s">
        <v>52</v>
      </c>
      <c r="B30" s="132">
        <v>6.3853179474456061</v>
      </c>
      <c r="C30" s="132">
        <v>10.775566086464321</v>
      </c>
      <c r="D30" s="132">
        <v>29.394545064610213</v>
      </c>
      <c r="E30" s="132">
        <v>36.394777668165382</v>
      </c>
      <c r="F30" s="132">
        <v>44.510427687225409</v>
      </c>
      <c r="G30" s="132">
        <v>32.575394639806419</v>
      </c>
      <c r="H30" s="132">
        <v>32.311039131658994</v>
      </c>
      <c r="I30" s="132">
        <v>21.352683647848973</v>
      </c>
      <c r="J30" s="132">
        <v>15.641674136958205</v>
      </c>
      <c r="K30" s="132">
        <v>19.631310553925065</v>
      </c>
      <c r="L30" s="132">
        <v>32.084544799904876</v>
      </c>
      <c r="M30" s="132">
        <v>27.376027910033212</v>
      </c>
      <c r="N30" s="132">
        <v>2.4873735220775655</v>
      </c>
      <c r="O30" s="132">
        <v>2.3998518388086927</v>
      </c>
      <c r="P30" s="132">
        <v>1.9249677509992993</v>
      </c>
      <c r="Q30" s="132">
        <v>2.0728150776711232</v>
      </c>
      <c r="R30" s="132">
        <v>1.7890904243326413</v>
      </c>
      <c r="S30" s="132">
        <v>4.5993697816174324</v>
      </c>
      <c r="T30" s="132">
        <v>4.1823761568193847</v>
      </c>
      <c r="U30" s="132">
        <v>4.6163662236481748</v>
      </c>
      <c r="V30" s="132">
        <v>4.5012379081462432</v>
      </c>
      <c r="W30" s="132">
        <v>5.1909205793650015</v>
      </c>
      <c r="X30" s="132">
        <v>4.0497511817501728</v>
      </c>
      <c r="Y30" s="132">
        <v>1.6159947214098791</v>
      </c>
      <c r="DA30" s="156" t="s">
        <v>327</v>
      </c>
    </row>
    <row r="31" spans="1:105" ht="12" customHeight="1" x14ac:dyDescent="0.25">
      <c r="A31" s="131" t="s">
        <v>149</v>
      </c>
      <c r="B31" s="132">
        <v>33.907052855962426</v>
      </c>
      <c r="C31" s="132">
        <v>38.374777750274028</v>
      </c>
      <c r="D31" s="132">
        <v>42.110050894547079</v>
      </c>
      <c r="E31" s="132">
        <v>44.789847823473153</v>
      </c>
      <c r="F31" s="132">
        <v>48.193799239560938</v>
      </c>
      <c r="G31" s="132">
        <v>49.913515719682081</v>
      </c>
      <c r="H31" s="132">
        <v>51.030498646790157</v>
      </c>
      <c r="I31" s="132">
        <v>51.820901334650614</v>
      </c>
      <c r="J31" s="132">
        <v>53.146950250632038</v>
      </c>
      <c r="K31" s="132">
        <v>55.494610548191204</v>
      </c>
      <c r="L31" s="132">
        <v>56.8610341168799</v>
      </c>
      <c r="M31" s="132">
        <v>57.414619411573952</v>
      </c>
      <c r="N31" s="132">
        <v>57.709218549372586</v>
      </c>
      <c r="O31" s="132">
        <v>58.201237049964021</v>
      </c>
      <c r="P31" s="132">
        <v>59.200385704344363</v>
      </c>
      <c r="Q31" s="132">
        <v>59.77934455241688</v>
      </c>
      <c r="R31" s="132">
        <v>60.035232033315239</v>
      </c>
      <c r="S31" s="132">
        <v>60.485434051702718</v>
      </c>
      <c r="T31" s="132">
        <v>61.232231781772569</v>
      </c>
      <c r="U31" s="132">
        <v>63.486328635041922</v>
      </c>
      <c r="V31" s="132">
        <v>59.147923603211886</v>
      </c>
      <c r="W31" s="132">
        <v>62.272190869605524</v>
      </c>
      <c r="X31" s="132">
        <v>62.563968519126803</v>
      </c>
      <c r="Y31" s="132">
        <v>69.920645188467958</v>
      </c>
      <c r="DA31" s="156" t="s">
        <v>328</v>
      </c>
    </row>
    <row r="32" spans="1:105" ht="12" customHeight="1" x14ac:dyDescent="0.25">
      <c r="A32" s="131" t="s">
        <v>128</v>
      </c>
      <c r="B32" s="132">
        <v>2.3340346160565022</v>
      </c>
      <c r="C32" s="132">
        <v>2.3379783938181342</v>
      </c>
      <c r="D32" s="132">
        <v>2.5035943762089596</v>
      </c>
      <c r="E32" s="132">
        <v>2.4852714849241329</v>
      </c>
      <c r="F32" s="132">
        <v>2.5121953047033299</v>
      </c>
      <c r="G32" s="132">
        <v>2.4104102403058709</v>
      </c>
      <c r="H32" s="132">
        <v>2.3074119695102722</v>
      </c>
      <c r="I32" s="132">
        <v>2.2045475608937921</v>
      </c>
      <c r="J32" s="132">
        <v>2.1041888879996269</v>
      </c>
      <c r="K32" s="132">
        <v>2.0263802014483563</v>
      </c>
      <c r="L32" s="132">
        <v>2.1126541047373237</v>
      </c>
      <c r="M32" s="132">
        <v>2.0287660539577486</v>
      </c>
      <c r="N32" s="132">
        <v>2.1143038686032245</v>
      </c>
      <c r="O32" s="132">
        <v>2.1156173810070471</v>
      </c>
      <c r="P32" s="132">
        <v>2.2534675450236823</v>
      </c>
      <c r="Q32" s="132">
        <v>2.4602055047811318</v>
      </c>
      <c r="R32" s="132">
        <v>2.5549289840549592</v>
      </c>
      <c r="S32" s="132">
        <v>2.6845642484110956</v>
      </c>
      <c r="T32" s="132">
        <v>2.9136001952813748</v>
      </c>
      <c r="U32" s="132">
        <v>3.2311052402196778</v>
      </c>
      <c r="V32" s="132">
        <v>3.437500358602676</v>
      </c>
      <c r="W32" s="132">
        <v>3.4790866239223073</v>
      </c>
      <c r="X32" s="132">
        <v>3.345621093550581</v>
      </c>
      <c r="Y32" s="132">
        <v>3.546482880905367</v>
      </c>
      <c r="DA32" s="156" t="s">
        <v>329</v>
      </c>
    </row>
    <row r="33" spans="1:105" ht="12" customHeight="1" x14ac:dyDescent="0.25">
      <c r="A33" s="62" t="s">
        <v>24</v>
      </c>
      <c r="B33" s="68">
        <v>98.910205871822228</v>
      </c>
      <c r="C33" s="68">
        <v>95.133678467706304</v>
      </c>
      <c r="D33" s="68">
        <v>80.234529512798318</v>
      </c>
      <c r="E33" s="68">
        <v>77.111002896203985</v>
      </c>
      <c r="F33" s="68">
        <v>69.047750899088555</v>
      </c>
      <c r="G33" s="68">
        <v>82.047103806182562</v>
      </c>
      <c r="H33" s="68">
        <v>83.340022298421545</v>
      </c>
      <c r="I33" s="68">
        <v>95.373744272779589</v>
      </c>
      <c r="J33" s="68">
        <v>101.20141952282015</v>
      </c>
      <c r="K33" s="68">
        <v>97.573708944014655</v>
      </c>
      <c r="L33" s="68">
        <v>85.570652751304024</v>
      </c>
      <c r="M33" s="68">
        <v>91.731772628149116</v>
      </c>
      <c r="N33" s="68">
        <v>119.30768529854366</v>
      </c>
      <c r="O33" s="68">
        <v>119.15882648171608</v>
      </c>
      <c r="P33" s="68">
        <v>120.87635971192648</v>
      </c>
      <c r="Q33" s="68">
        <v>121.24433917034688</v>
      </c>
      <c r="R33" s="68">
        <v>124.40187240694965</v>
      </c>
      <c r="S33" s="68">
        <v>122.73211933022391</v>
      </c>
      <c r="T33" s="68">
        <v>124.04669075563537</v>
      </c>
      <c r="U33" s="68">
        <v>123.00809699340384</v>
      </c>
      <c r="V33" s="68">
        <v>121.13542269233375</v>
      </c>
      <c r="W33" s="68">
        <v>127.41852635962984</v>
      </c>
      <c r="X33" s="68">
        <v>129.91459040132659</v>
      </c>
      <c r="Y33" s="68">
        <v>128.08194553122169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0.65786685012996016</v>
      </c>
      <c r="C3" s="126">
        <f>IF(SER_hh_tes!C3=0,"",SER_hh_tes!C3/SER_hh_fec!C3)</f>
        <v>0.64358690217770764</v>
      </c>
      <c r="D3" s="126">
        <f>IF(SER_hh_tes!D3=0,"",SER_hh_tes!D3/SER_hh_fec!D3)</f>
        <v>0.65343115611886937</v>
      </c>
      <c r="E3" s="126">
        <f>IF(SER_hh_tes!E3=0,"",SER_hh_tes!E3/SER_hh_fec!E3)</f>
        <v>0.65387917328275735</v>
      </c>
      <c r="F3" s="126">
        <f>IF(SER_hh_tes!F3=0,"",SER_hh_tes!F3/SER_hh_fec!F3)</f>
        <v>0.6607478278220279</v>
      </c>
      <c r="G3" s="126">
        <f>IF(SER_hh_tes!G3=0,"",SER_hh_tes!G3/SER_hh_fec!G3)</f>
        <v>0.6962173513730906</v>
      </c>
      <c r="H3" s="126">
        <f>IF(SER_hh_tes!H3=0,"",SER_hh_tes!H3/SER_hh_fec!H3)</f>
        <v>0.70598924369062244</v>
      </c>
      <c r="I3" s="126">
        <f>IF(SER_hh_tes!I3=0,"",SER_hh_tes!I3/SER_hh_fec!I3)</f>
        <v>0.73523235417831689</v>
      </c>
      <c r="J3" s="126">
        <f>IF(SER_hh_tes!J3=0,"",SER_hh_tes!J3/SER_hh_fec!J3)</f>
        <v>0.74748825116957152</v>
      </c>
      <c r="K3" s="126">
        <f>IF(SER_hh_tes!K3=0,"",SER_hh_tes!K3/SER_hh_fec!K3)</f>
        <v>0.76762299709684145</v>
      </c>
      <c r="L3" s="126">
        <f>IF(SER_hh_tes!L3=0,"",SER_hh_tes!L3/SER_hh_fec!L3)</f>
        <v>0.8032017484362648</v>
      </c>
      <c r="M3" s="126">
        <f>IF(SER_hh_tes!M3=0,"",SER_hh_tes!M3/SER_hh_fec!M3)</f>
        <v>0.82829867102405808</v>
      </c>
      <c r="N3" s="126">
        <f>IF(SER_hh_tes!N3=0,"",SER_hh_tes!N3/SER_hh_fec!N3)</f>
        <v>0.85244981148449217</v>
      </c>
      <c r="O3" s="126">
        <f>IF(SER_hh_tes!O3=0,"",SER_hh_tes!O3/SER_hh_fec!O3)</f>
        <v>0.86920364663208005</v>
      </c>
      <c r="P3" s="126">
        <f>IF(SER_hh_tes!P3=0,"",SER_hh_tes!P3/SER_hh_fec!P3)</f>
        <v>0.88745922849809811</v>
      </c>
      <c r="Q3" s="126">
        <f>IF(SER_hh_tes!Q3=0,"",SER_hh_tes!Q3/SER_hh_fec!Q3)</f>
        <v>0.88541904401773008</v>
      </c>
      <c r="R3" s="126">
        <f>IF(SER_hh_tes!R3=0,"",SER_hh_tes!R3/SER_hh_fec!R3)</f>
        <v>0.90638454383539069</v>
      </c>
      <c r="S3" s="126">
        <f>IF(SER_hh_tes!S3=0,"",SER_hh_tes!S3/SER_hh_fec!S3)</f>
        <v>0.91198502902583023</v>
      </c>
      <c r="T3" s="126">
        <f>IF(SER_hh_tes!T3=0,"",SER_hh_tes!T3/SER_hh_fec!T3)</f>
        <v>0.92968678790413706</v>
      </c>
      <c r="U3" s="126">
        <f>IF(SER_hh_tes!U3=0,"",SER_hh_tes!U3/SER_hh_fec!U3)</f>
        <v>0.95313838972518383</v>
      </c>
      <c r="V3" s="126">
        <f>IF(SER_hh_tes!V3=0,"",SER_hh_tes!V3/SER_hh_fec!V3)</f>
        <v>0.93328431174075444</v>
      </c>
      <c r="W3" s="126">
        <f>IF(SER_hh_tes!W3=0,"",SER_hh_tes!W3/SER_hh_fec!W3)</f>
        <v>0.92618793720467885</v>
      </c>
      <c r="X3" s="126">
        <f>IF(SER_hh_tes!X3=0,"",SER_hh_tes!X3/SER_hh_fec!X3)</f>
        <v>0.9858841638737329</v>
      </c>
      <c r="Y3" s="126">
        <f>IF(SER_hh_tes!Y3=0,"",SER_hh_tes!Y3/SER_hh_fec!Y3)</f>
        <v>1.0534738362996003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0.62976604379687362</v>
      </c>
      <c r="C4" s="135">
        <f>IF(SER_hh_tes!C4=0,"",SER_hh_tes!C4/SER_hh_fec!C4)</f>
        <v>0.61687739248791862</v>
      </c>
      <c r="D4" s="135">
        <f>IF(SER_hh_tes!D4=0,"",SER_hh_tes!D4/SER_hh_fec!D4)</f>
        <v>0.62857232609989477</v>
      </c>
      <c r="E4" s="135">
        <f>IF(SER_hh_tes!E4=0,"",SER_hh_tes!E4/SER_hh_fec!E4)</f>
        <v>0.63012033503166809</v>
      </c>
      <c r="F4" s="135">
        <f>IF(SER_hh_tes!F4=0,"",SER_hh_tes!F4/SER_hh_fec!F4)</f>
        <v>0.63913174657454686</v>
      </c>
      <c r="G4" s="135">
        <f>IF(SER_hh_tes!G4=0,"",SER_hh_tes!G4/SER_hh_fec!G4)</f>
        <v>0.67835554025409062</v>
      </c>
      <c r="H4" s="135">
        <f>IF(SER_hh_tes!H4=0,"",SER_hh_tes!H4/SER_hh_fec!H4)</f>
        <v>0.68865588948165513</v>
      </c>
      <c r="I4" s="135">
        <f>IF(SER_hh_tes!I4=0,"",SER_hh_tes!I4/SER_hh_fec!I4)</f>
        <v>0.71669168643960424</v>
      </c>
      <c r="J4" s="135">
        <f>IF(SER_hh_tes!J4=0,"",SER_hh_tes!J4/SER_hh_fec!J4)</f>
        <v>0.73009045457359201</v>
      </c>
      <c r="K4" s="135">
        <f>IF(SER_hh_tes!K4=0,"",SER_hh_tes!K4/SER_hh_fec!K4)</f>
        <v>0.75404131980279543</v>
      </c>
      <c r="L4" s="135">
        <f>IF(SER_hh_tes!L4=0,"",SER_hh_tes!L4/SER_hh_fec!L4)</f>
        <v>0.79477357831138462</v>
      </c>
      <c r="M4" s="135">
        <f>IF(SER_hh_tes!M4=0,"",SER_hh_tes!M4/SER_hh_fec!M4)</f>
        <v>0.8246086205831451</v>
      </c>
      <c r="N4" s="135">
        <f>IF(SER_hh_tes!N4=0,"",SER_hh_tes!N4/SER_hh_fec!N4)</f>
        <v>0.84512738179477109</v>
      </c>
      <c r="O4" s="135">
        <f>IF(SER_hh_tes!O4=0,"",SER_hh_tes!O4/SER_hh_fec!O4)</f>
        <v>0.8642261687800552</v>
      </c>
      <c r="P4" s="135">
        <f>IF(SER_hh_tes!P4=0,"",SER_hh_tes!P4/SER_hh_fec!P4)</f>
        <v>0.89281167193012434</v>
      </c>
      <c r="Q4" s="135">
        <f>IF(SER_hh_tes!Q4=0,"",SER_hh_tes!Q4/SER_hh_fec!Q4)</f>
        <v>0.88004617087511483</v>
      </c>
      <c r="R4" s="135">
        <f>IF(SER_hh_tes!R4=0,"",SER_hh_tes!R4/SER_hh_fec!R4)</f>
        <v>0.91395434649459084</v>
      </c>
      <c r="S4" s="135">
        <f>IF(SER_hh_tes!S4=0,"",SER_hh_tes!S4/SER_hh_fec!S4)</f>
        <v>0.91435368415544471</v>
      </c>
      <c r="T4" s="135">
        <f>IF(SER_hh_tes!T4=0,"",SER_hh_tes!T4/SER_hh_fec!T4)</f>
        <v>0.93507562164654179</v>
      </c>
      <c r="U4" s="135">
        <f>IF(SER_hh_tes!U4=0,"",SER_hh_tes!U4/SER_hh_fec!U4)</f>
        <v>0.96376932441012941</v>
      </c>
      <c r="V4" s="135">
        <f>IF(SER_hh_tes!V4=0,"",SER_hh_tes!V4/SER_hh_fec!V4)</f>
        <v>0.93193522101551762</v>
      </c>
      <c r="W4" s="135">
        <f>IF(SER_hh_tes!W4=0,"",SER_hh_tes!W4/SER_hh_fec!W4)</f>
        <v>0.91923658196962421</v>
      </c>
      <c r="X4" s="135">
        <f>IF(SER_hh_tes!X4=0,"",SER_hh_tes!X4/SER_hh_fec!X4)</f>
        <v>1.0002098575219511</v>
      </c>
      <c r="Y4" s="135">
        <f>IF(SER_hh_tes!Y4=0,"",SER_hh_tes!Y4/SER_hh_fec!Y4)</f>
        <v>1.1013382157132585</v>
      </c>
      <c r="DA4" s="162" t="s">
        <v>240</v>
      </c>
    </row>
    <row r="5" spans="1:105" ht="12" customHeight="1" x14ac:dyDescent="0.25">
      <c r="A5" s="131" t="s">
        <v>29</v>
      </c>
      <c r="B5" s="136">
        <f>IF(SER_hh_tes!B5=0,"",SER_hh_tes!B5/SER_hh_fec!B5)</f>
        <v>0.56880216549082163</v>
      </c>
      <c r="C5" s="136">
        <f>IF(SER_hh_tes!C5=0,"",SER_hh_tes!C5/SER_hh_fec!C5)</f>
        <v>0.56880216549082152</v>
      </c>
      <c r="D5" s="136">
        <f>IF(SER_hh_tes!D5=0,"",SER_hh_tes!D5/SER_hh_fec!D5)</f>
        <v>0.56880216549082163</v>
      </c>
      <c r="E5" s="136">
        <f>IF(SER_hh_tes!E5=0,"",SER_hh_tes!E5/SER_hh_fec!E5)</f>
        <v>0.56880216549082163</v>
      </c>
      <c r="F5" s="136">
        <f>IF(SER_hh_tes!F5=0,"",SER_hh_tes!F5/SER_hh_fec!F5)</f>
        <v>0.56880216549082163</v>
      </c>
      <c r="G5" s="136">
        <f>IF(SER_hh_tes!G5=0,"",SER_hh_tes!G5/SER_hh_fec!G5)</f>
        <v>0.56880216549082163</v>
      </c>
      <c r="H5" s="136">
        <f>IF(SER_hh_tes!H5=0,"",SER_hh_tes!H5/SER_hh_fec!H5)</f>
        <v>0.56880216549082163</v>
      </c>
      <c r="I5" s="136">
        <f>IF(SER_hh_tes!I5=0,"",SER_hh_tes!I5/SER_hh_fec!I5)</f>
        <v>0.56880216549082163</v>
      </c>
      <c r="J5" s="136">
        <f>IF(SER_hh_tes!J5=0,"",SER_hh_tes!J5/SER_hh_fec!J5)</f>
        <v>0.56880216549082163</v>
      </c>
      <c r="K5" s="136">
        <f>IF(SER_hh_tes!K5=0,"",SER_hh_tes!K5/SER_hh_fec!K5)</f>
        <v>0.56880216549082163</v>
      </c>
      <c r="L5" s="136">
        <f>IF(SER_hh_tes!L5=0,"",SER_hh_tes!L5/SER_hh_fec!L5)</f>
        <v>0.56880216549082163</v>
      </c>
      <c r="M5" s="136">
        <f>IF(SER_hh_tes!M5=0,"",SER_hh_tes!M5/SER_hh_fec!M5)</f>
        <v>0.56880216549082174</v>
      </c>
      <c r="N5" s="136">
        <f>IF(SER_hh_tes!N5=0,"",SER_hh_tes!N5/SER_hh_fec!N5)</f>
        <v>0.56880216549082163</v>
      </c>
      <c r="O5" s="136">
        <f>IF(SER_hh_tes!O5=0,"",SER_hh_tes!O5/SER_hh_fec!O5)</f>
        <v>0.71700131359920305</v>
      </c>
      <c r="P5" s="136">
        <f>IF(SER_hh_tes!P5=0,"",SER_hh_tes!P5/SER_hh_fec!P5)</f>
        <v>0.71700131359920305</v>
      </c>
      <c r="Q5" s="136">
        <f>IF(SER_hh_tes!Q5=0,"",SER_hh_tes!Q5/SER_hh_fec!Q5)</f>
        <v>0.71700131359920294</v>
      </c>
      <c r="R5" s="136" t="str">
        <f>IF(SER_hh_tes!R5=0,"",SER_hh_tes!R5/SER_hh_fec!R5)</f>
        <v/>
      </c>
      <c r="S5" s="136" t="str">
        <f>IF(SER_hh_tes!S5=0,"",SER_hh_tes!S5/SER_hh_fec!S5)</f>
        <v/>
      </c>
      <c r="T5" s="136" t="str">
        <f>IF(SER_hh_tes!T5=0,"",SER_hh_tes!T5/SER_hh_fec!T5)</f>
        <v/>
      </c>
      <c r="U5" s="136" t="str">
        <f>IF(SER_hh_tes!U5=0,"",SER_hh_tes!U5/SER_hh_fec!U5)</f>
        <v/>
      </c>
      <c r="V5" s="136" t="str">
        <f>IF(SER_hh_tes!V5=0,"",SER_hh_tes!V5/SER_hh_fec!V5)</f>
        <v/>
      </c>
      <c r="W5" s="136" t="str">
        <f>IF(SER_hh_tes!W5=0,"",SER_hh_tes!W5/SER_hh_fec!W5)</f>
        <v/>
      </c>
      <c r="X5" s="136" t="str">
        <f>IF(SER_hh_tes!X5=0,"",SER_hh_tes!X5/SER_hh_fec!X5)</f>
        <v/>
      </c>
      <c r="Y5" s="136" t="str">
        <f>IF(SER_hh_tes!Y5=0,"",SER_hh_tes!Y5/SER_hh_fec!Y5)</f>
        <v/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0.48825381521036371</v>
      </c>
      <c r="C7" s="136">
        <f>IF(SER_hh_tes!C7=0,"",SER_hh_tes!C7/SER_hh_fec!C7)</f>
        <v>0.49554039709380643</v>
      </c>
      <c r="D7" s="136">
        <f>IF(SER_hh_tes!D7=0,"",SER_hh_tes!D7/SER_hh_fec!D7)</f>
        <v>0.50149294768006203</v>
      </c>
      <c r="E7" s="136">
        <f>IF(SER_hh_tes!E7=0,"",SER_hh_tes!E7/SER_hh_fec!E7)</f>
        <v>0.50721773100839029</v>
      </c>
      <c r="F7" s="136">
        <f>IF(SER_hh_tes!F7=0,"",SER_hh_tes!F7/SER_hh_fec!F7)</f>
        <v>0.51250042951290198</v>
      </c>
      <c r="G7" s="136">
        <f>IF(SER_hh_tes!G7=0,"",SER_hh_tes!G7/SER_hh_fec!G7)</f>
        <v>0.51742607891261927</v>
      </c>
      <c r="H7" s="136">
        <f>IF(SER_hh_tes!H7=0,"",SER_hh_tes!H7/SER_hh_fec!H7)</f>
        <v>0.52244104641149947</v>
      </c>
      <c r="I7" s="136">
        <f>IF(SER_hh_tes!I7=0,"",SER_hh_tes!I7/SER_hh_fec!I7)</f>
        <v>0.52634197213349898</v>
      </c>
      <c r="J7" s="136">
        <f>IF(SER_hh_tes!J7=0,"",SER_hh_tes!J7/SER_hh_fec!J7)</f>
        <v>0.52919180969166668</v>
      </c>
      <c r="K7" s="136">
        <f>IF(SER_hh_tes!K7=0,"",SER_hh_tes!K7/SER_hh_fec!K7)</f>
        <v>0.53248526533704788</v>
      </c>
      <c r="L7" s="136">
        <f>IF(SER_hh_tes!L7=0,"",SER_hh_tes!L7/SER_hh_fec!L7)</f>
        <v>0.53567482629369412</v>
      </c>
      <c r="M7" s="136">
        <f>IF(SER_hh_tes!M7=0,"",SER_hh_tes!M7/SER_hh_fec!M7)</f>
        <v>0.53809002363940794</v>
      </c>
      <c r="N7" s="136">
        <f>IF(SER_hh_tes!N7=0,"",SER_hh_tes!N7/SER_hh_fec!N7)</f>
        <v>0.54479721163255435</v>
      </c>
      <c r="O7" s="136">
        <f>IF(SER_hh_tes!O7=0,"",SER_hh_tes!O7/SER_hh_fec!O7)</f>
        <v>0.56966356519551486</v>
      </c>
      <c r="P7" s="136">
        <f>IF(SER_hh_tes!P7=0,"",SER_hh_tes!P7/SER_hh_fec!P7)</f>
        <v>0.57871259617240511</v>
      </c>
      <c r="Q7" s="136">
        <f>IF(SER_hh_tes!Q7=0,"",SER_hh_tes!Q7/SER_hh_fec!Q7)</f>
        <v>0.59614598904089366</v>
      </c>
      <c r="R7" s="136">
        <f>IF(SER_hh_tes!R7=0,"",SER_hh_tes!R7/SER_hh_fec!R7)</f>
        <v>0.61744754281485104</v>
      </c>
      <c r="S7" s="136">
        <f>IF(SER_hh_tes!S7=0,"",SER_hh_tes!S7/SER_hh_fec!S7)</f>
        <v>0.64418448118323213</v>
      </c>
      <c r="T7" s="136">
        <f>IF(SER_hh_tes!T7=0,"",SER_hh_tes!T7/SER_hh_fec!T7)</f>
        <v>0.66811481764134228</v>
      </c>
      <c r="U7" s="136">
        <f>IF(SER_hh_tes!U7=0,"",SER_hh_tes!U7/SER_hh_fec!U7)</f>
        <v>0.68778845231061547</v>
      </c>
      <c r="V7" s="136">
        <f>IF(SER_hh_tes!V7=0,"",SER_hh_tes!V7/SER_hh_fec!V7)</f>
        <v>0.70409639994115836</v>
      </c>
      <c r="W7" s="136">
        <f>IF(SER_hh_tes!W7=0,"",SER_hh_tes!W7/SER_hh_fec!W7)</f>
        <v>0.71512130990498668</v>
      </c>
      <c r="X7" s="136">
        <f>IF(SER_hh_tes!X7=0,"",SER_hh_tes!X7/SER_hh_fec!X7)</f>
        <v>0.72165961262257383</v>
      </c>
      <c r="Y7" s="136">
        <f>IF(SER_hh_tes!Y7=0,"",SER_hh_tes!Y7/SER_hh_fec!Y7)</f>
        <v>0.72439470342509316</v>
      </c>
      <c r="DA7" s="163" t="s">
        <v>334</v>
      </c>
    </row>
    <row r="8" spans="1:105" ht="12" customHeight="1" x14ac:dyDescent="0.25">
      <c r="A8" s="131" t="s">
        <v>73</v>
      </c>
      <c r="B8" s="136">
        <f>IF(SER_hh_tes!B8=0,"",SER_hh_tes!B8/SER_hh_fec!B8)</f>
        <v>1.012187253013223</v>
      </c>
      <c r="C8" s="136">
        <f>IF(SER_hh_tes!C8=0,"",SER_hh_tes!C8/SER_hh_fec!C8)</f>
        <v>1.1236959725039792</v>
      </c>
      <c r="D8" s="136">
        <f>IF(SER_hh_tes!D8=0,"",SER_hh_tes!D8/SER_hh_fec!D8)</f>
        <v>1.2715617263381915</v>
      </c>
      <c r="E8" s="136">
        <f>IF(SER_hh_tes!E8=0,"",SER_hh_tes!E8/SER_hh_fec!E8)</f>
        <v>1.4086133589189487</v>
      </c>
      <c r="F8" s="136">
        <f>IF(SER_hh_tes!F8=0,"",SER_hh_tes!F8/SER_hh_fec!F8)</f>
        <v>1.5369136551491651</v>
      </c>
      <c r="G8" s="136">
        <f>IF(SER_hh_tes!G8=0,"",SER_hh_tes!G8/SER_hh_fec!G8)</f>
        <v>1.6456467528150036</v>
      </c>
      <c r="H8" s="136">
        <f>IF(SER_hh_tes!H8=0,"",SER_hh_tes!H8/SER_hh_fec!H8)</f>
        <v>1.7444215106143117</v>
      </c>
      <c r="I8" s="136">
        <f>IF(SER_hh_tes!I8=0,"",SER_hh_tes!I8/SER_hh_fec!I8)</f>
        <v>1.8269169104846124</v>
      </c>
      <c r="J8" s="136">
        <f>IF(SER_hh_tes!J8=0,"",SER_hh_tes!J8/SER_hh_fec!J8)</f>
        <v>1.901855264015943</v>
      </c>
      <c r="K8" s="136">
        <f>IF(SER_hh_tes!K8=0,"",SER_hh_tes!K8/SER_hh_fec!K8)</f>
        <v>1.9702805271869157</v>
      </c>
      <c r="L8" s="136">
        <f>IF(SER_hh_tes!L8=0,"",SER_hh_tes!L8/SER_hh_fec!L8)</f>
        <v>2.0399142807044628</v>
      </c>
      <c r="M8" s="136">
        <f>IF(SER_hh_tes!M8=0,"",SER_hh_tes!M8/SER_hh_fec!M8)</f>
        <v>2.1173872142073731</v>
      </c>
      <c r="N8" s="136">
        <f>IF(SER_hh_tes!N8=0,"",SER_hh_tes!N8/SER_hh_fec!N8)</f>
        <v>2.2110917748847663</v>
      </c>
      <c r="O8" s="136">
        <f>IF(SER_hh_tes!O8=0,"",SER_hh_tes!O8/SER_hh_fec!O8)</f>
        <v>2.3112159037192908</v>
      </c>
      <c r="P8" s="136">
        <f>IF(SER_hh_tes!P8=0,"",SER_hh_tes!P8/SER_hh_fec!P8)</f>
        <v>2.35538056869779</v>
      </c>
      <c r="Q8" s="136">
        <f>IF(SER_hh_tes!Q8=0,"",SER_hh_tes!Q8/SER_hh_fec!Q8)</f>
        <v>2.4220324262017248</v>
      </c>
      <c r="R8" s="136">
        <f>IF(SER_hh_tes!R8=0,"",SER_hh_tes!R8/SER_hh_fec!R8)</f>
        <v>2.5204756762183016</v>
      </c>
      <c r="S8" s="136">
        <f>IF(SER_hh_tes!S8=0,"",SER_hh_tes!S8/SER_hh_fec!S8)</f>
        <v>2.6325041837408185</v>
      </c>
      <c r="T8" s="136">
        <f>IF(SER_hh_tes!T8=0,"",SER_hh_tes!T8/SER_hh_fec!T8)</f>
        <v>2.7474363319313682</v>
      </c>
      <c r="U8" s="136">
        <f>IF(SER_hh_tes!U8=0,"",SER_hh_tes!U8/SER_hh_fec!U8)</f>
        <v>2.8553422466707437</v>
      </c>
      <c r="V8" s="136">
        <f>IF(SER_hh_tes!V8=0,"",SER_hh_tes!V8/SER_hh_fec!V8)</f>
        <v>2.9511637721906157</v>
      </c>
      <c r="W8" s="136">
        <f>IF(SER_hh_tes!W8=0,"",SER_hh_tes!W8/SER_hh_fec!W8)</f>
        <v>3.0316178537271132</v>
      </c>
      <c r="X8" s="136">
        <f>IF(SER_hh_tes!X8=0,"",SER_hh_tes!X8/SER_hh_fec!X8)</f>
        <v>3.0910096353318544</v>
      </c>
      <c r="Y8" s="136">
        <f>IF(SER_hh_tes!Y8=0,"",SER_hh_tes!Y8/SER_hh_fec!Y8)</f>
        <v>3.1325020569012954</v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0.52775081667180734</v>
      </c>
      <c r="C9" s="136">
        <f>IF(SER_hh_tes!C9=0,"",SER_hh_tes!C9/SER_hh_fec!C9)</f>
        <v>0.53468078947311415</v>
      </c>
      <c r="D9" s="136">
        <f>IF(SER_hh_tes!D9=0,"",SER_hh_tes!D9/SER_hh_fec!D9)</f>
        <v>0.53965629566148865</v>
      </c>
      <c r="E9" s="136">
        <f>IF(SER_hh_tes!E9=0,"",SER_hh_tes!E9/SER_hh_fec!E9)</f>
        <v>0.54313057149219535</v>
      </c>
      <c r="F9" s="136">
        <f>IF(SER_hh_tes!F9=0,"",SER_hh_tes!F9/SER_hh_fec!F9)</f>
        <v>0.54433742793134399</v>
      </c>
      <c r="G9" s="136">
        <f>IF(SER_hh_tes!G9=0,"",SER_hh_tes!G9/SER_hh_fec!G9)</f>
        <v>0.54571517435962413</v>
      </c>
      <c r="H9" s="136">
        <f>IF(SER_hh_tes!H9=0,"",SER_hh_tes!H9/SER_hh_fec!H9)</f>
        <v>0.54648243360238558</v>
      </c>
      <c r="I9" s="136">
        <f>IF(SER_hh_tes!I9=0,"",SER_hh_tes!I9/SER_hh_fec!I9)</f>
        <v>0.54730030685736963</v>
      </c>
      <c r="J9" s="136">
        <f>IF(SER_hh_tes!J9=0,"",SER_hh_tes!J9/SER_hh_fec!J9)</f>
        <v>0.54834592719744801</v>
      </c>
      <c r="K9" s="136">
        <f>IF(SER_hh_tes!K9=0,"",SER_hh_tes!K9/SER_hh_fec!K9)</f>
        <v>0.55409632485471683</v>
      </c>
      <c r="L9" s="136">
        <f>IF(SER_hh_tes!L9=0,"",SER_hh_tes!L9/SER_hh_fec!L9)</f>
        <v>0.56725842033002893</v>
      </c>
      <c r="M9" s="136">
        <f>IF(SER_hh_tes!M9=0,"",SER_hh_tes!M9/SER_hh_fec!M9)</f>
        <v>0.5836310647612416</v>
      </c>
      <c r="N9" s="136">
        <f>IF(SER_hh_tes!N9=0,"",SER_hh_tes!N9/SER_hh_fec!N9)</f>
        <v>0.60969762841627084</v>
      </c>
      <c r="O9" s="136">
        <f>IF(SER_hh_tes!O9=0,"",SER_hh_tes!O9/SER_hh_fec!O9)</f>
        <v>0.6364304682206795</v>
      </c>
      <c r="P9" s="136">
        <f>IF(SER_hh_tes!P9=0,"",SER_hh_tes!P9/SER_hh_fec!P9)</f>
        <v>0.64656044367417842</v>
      </c>
      <c r="Q9" s="136">
        <f>IF(SER_hh_tes!Q9=0,"",SER_hh_tes!Q9/SER_hh_fec!Q9)</f>
        <v>0.65446346664661625</v>
      </c>
      <c r="R9" s="136">
        <f>IF(SER_hh_tes!R9=0,"",SER_hh_tes!R9/SER_hh_fec!R9)</f>
        <v>0.67283194167360494</v>
      </c>
      <c r="S9" s="136">
        <f>IF(SER_hh_tes!S9=0,"",SER_hh_tes!S9/SER_hh_fec!S9)</f>
        <v>0.69119366204400912</v>
      </c>
      <c r="T9" s="136">
        <f>IF(SER_hh_tes!T9=0,"",SER_hh_tes!T9/SER_hh_fec!T9)</f>
        <v>0.70382796948522874</v>
      </c>
      <c r="U9" s="136">
        <f>IF(SER_hh_tes!U9=0,"",SER_hh_tes!U9/SER_hh_fec!U9)</f>
        <v>0.71528798730179677</v>
      </c>
      <c r="V9" s="136">
        <f>IF(SER_hh_tes!V9=0,"",SER_hh_tes!V9/SER_hh_fec!V9)</f>
        <v>0.71713472883209795</v>
      </c>
      <c r="W9" s="136">
        <f>IF(SER_hh_tes!W9=0,"",SER_hh_tes!W9/SER_hh_fec!W9)</f>
        <v>0.72527083405756243</v>
      </c>
      <c r="X9" s="136">
        <f>IF(SER_hh_tes!X9=0,"",SER_hh_tes!X9/SER_hh_fec!X9)</f>
        <v>0.73648209671443143</v>
      </c>
      <c r="Y9" s="136">
        <f>IF(SER_hh_tes!Y9=0,"",SER_hh_tes!Y9/SER_hh_fec!Y9)</f>
        <v>0.74184444660135096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0.48117078789487122</v>
      </c>
      <c r="C10" s="136">
        <f>IF(SER_hh_tes!C10=0,"",SER_hh_tes!C10/SER_hh_fec!C10)</f>
        <v>0.48521919108507555</v>
      </c>
      <c r="D10" s="136">
        <f>IF(SER_hh_tes!D10=0,"",SER_hh_tes!D10/SER_hh_fec!D10)</f>
        <v>0.49493833258811987</v>
      </c>
      <c r="E10" s="136">
        <f>IF(SER_hh_tes!E10=0,"",SER_hh_tes!E10/SER_hh_fec!E10)</f>
        <v>0.50406030811366354</v>
      </c>
      <c r="F10" s="136">
        <f>IF(SER_hh_tes!F10=0,"",SER_hh_tes!F10/SER_hh_fec!F10)</f>
        <v>0.51401808843400465</v>
      </c>
      <c r="G10" s="136">
        <f>IF(SER_hh_tes!G10=0,"",SER_hh_tes!G10/SER_hh_fec!G10)</f>
        <v>0.52089628867021198</v>
      </c>
      <c r="H10" s="136">
        <f>IF(SER_hh_tes!H10=0,"",SER_hh_tes!H10/SER_hh_fec!H10)</f>
        <v>0.52862099648100569</v>
      </c>
      <c r="I10" s="136">
        <f>IF(SER_hh_tes!I10=0,"",SER_hh_tes!I10/SER_hh_fec!I10)</f>
        <v>0.53672239880284167</v>
      </c>
      <c r="J10" s="136">
        <f>IF(SER_hh_tes!J10=0,"",SER_hh_tes!J10/SER_hh_fec!J10)</f>
        <v>0.5430640767740077</v>
      </c>
      <c r="K10" s="136">
        <f>IF(SER_hh_tes!K10=0,"",SER_hh_tes!K10/SER_hh_fec!K10)</f>
        <v>0.55312090824694948</v>
      </c>
      <c r="L10" s="136">
        <f>IF(SER_hh_tes!L10=0,"",SER_hh_tes!L10/SER_hh_fec!L10)</f>
        <v>0.56240459373578922</v>
      </c>
      <c r="M10" s="136">
        <f>IF(SER_hh_tes!M10=0,"",SER_hh_tes!M10/SER_hh_fec!M10)</f>
        <v>0.57013285824782078</v>
      </c>
      <c r="N10" s="136">
        <f>IF(SER_hh_tes!N10=0,"",SER_hh_tes!N10/SER_hh_fec!N10)</f>
        <v>0.57943505288088293</v>
      </c>
      <c r="O10" s="136">
        <f>IF(SER_hh_tes!O10=0,"",SER_hh_tes!O10/SER_hh_fec!O10)</f>
        <v>0.58917191548666625</v>
      </c>
      <c r="P10" s="136">
        <f>IF(SER_hh_tes!P10=0,"",SER_hh_tes!P10/SER_hh_fec!P10)</f>
        <v>0.58928714558132522</v>
      </c>
      <c r="Q10" s="136">
        <f>IF(SER_hh_tes!Q10=0,"",SER_hh_tes!Q10/SER_hh_fec!Q10)</f>
        <v>0.58969018018063746</v>
      </c>
      <c r="R10" s="136">
        <f>IF(SER_hh_tes!R10=0,"",SER_hh_tes!R10/SER_hh_fec!R10)</f>
        <v>0.58999700963625623</v>
      </c>
      <c r="S10" s="136">
        <f>IF(SER_hh_tes!S10=0,"",SER_hh_tes!S10/SER_hh_fec!S10)</f>
        <v>0.59057658225893295</v>
      </c>
      <c r="T10" s="136">
        <f>IF(SER_hh_tes!T10=0,"",SER_hh_tes!T10/SER_hh_fec!T10)</f>
        <v>0.59102671255212669</v>
      </c>
      <c r="U10" s="136">
        <f>IF(SER_hh_tes!U10=0,"",SER_hh_tes!U10/SER_hh_fec!U10)</f>
        <v>0.59140553918214944</v>
      </c>
      <c r="V10" s="136">
        <f>IF(SER_hh_tes!V10=0,"",SER_hh_tes!V10/SER_hh_fec!V10)</f>
        <v>0.59166668451001259</v>
      </c>
      <c r="W10" s="136">
        <f>IF(SER_hh_tes!W10=0,"",SER_hh_tes!W10/SER_hh_fec!W10)</f>
        <v>0.59177708952424679</v>
      </c>
      <c r="X10" s="136">
        <f>IF(SER_hh_tes!X10=0,"",SER_hh_tes!X10/SER_hh_fec!X10)</f>
        <v>0.59187656480409345</v>
      </c>
      <c r="Y10" s="136">
        <f>IF(SER_hh_tes!Y10=0,"",SER_hh_tes!Y10/SER_hh_fec!Y10)</f>
        <v>0.59194501576463754</v>
      </c>
      <c r="DA10" s="163" t="s">
        <v>337</v>
      </c>
    </row>
    <row r="11" spans="1:105" ht="12" customHeight="1" x14ac:dyDescent="0.25">
      <c r="A11" s="131" t="s">
        <v>25</v>
      </c>
      <c r="B11" s="136">
        <f>IF(SER_hh_tes!B11=0,"",SER_hh_tes!B11/SER_hh_fec!B11)</f>
        <v>0.80448281923266107</v>
      </c>
      <c r="C11" s="136">
        <f>IF(SER_hh_tes!C11=0,"",SER_hh_tes!C11/SER_hh_fec!C11)</f>
        <v>0.81058964232531039</v>
      </c>
      <c r="D11" s="136">
        <f>IF(SER_hh_tes!D11=0,"",SER_hh_tes!D11/SER_hh_fec!D11)</f>
        <v>0.81822607674337056</v>
      </c>
      <c r="E11" s="136">
        <f>IF(SER_hh_tes!E11=0,"",SER_hh_tes!E11/SER_hh_fec!E11)</f>
        <v>0.81972924920032719</v>
      </c>
      <c r="F11" s="136">
        <f>IF(SER_hh_tes!F11=0,"",SER_hh_tes!F11/SER_hh_fec!F11)</f>
        <v>0.82453675024128303</v>
      </c>
      <c r="G11" s="136">
        <f>IF(SER_hh_tes!G11=0,"",SER_hh_tes!G11/SER_hh_fec!G11)</f>
        <v>0.83034382008982666</v>
      </c>
      <c r="H11" s="136">
        <f>IF(SER_hh_tes!H11=0,"",SER_hh_tes!H11/SER_hh_fec!H11)</f>
        <v>0.83612172217288339</v>
      </c>
      <c r="I11" s="136">
        <f>IF(SER_hh_tes!I11=0,"",SER_hh_tes!I11/SER_hh_fec!I11)</f>
        <v>0.84300245733845425</v>
      </c>
      <c r="J11" s="136">
        <f>IF(SER_hh_tes!J11=0,"",SER_hh_tes!J11/SER_hh_fec!J11)</f>
        <v>0.84958688266794258</v>
      </c>
      <c r="K11" s="136">
        <f>IF(SER_hh_tes!K11=0,"",SER_hh_tes!K11/SER_hh_fec!K11)</f>
        <v>0.8571660413190787</v>
      </c>
      <c r="L11" s="136">
        <f>IF(SER_hh_tes!L11=0,"",SER_hh_tes!L11/SER_hh_fec!L11)</f>
        <v>0.86357301040852041</v>
      </c>
      <c r="M11" s="136">
        <f>IF(SER_hh_tes!M11=0,"",SER_hh_tes!M11/SER_hh_fec!M11)</f>
        <v>0.86875128245218647</v>
      </c>
      <c r="N11" s="136">
        <f>IF(SER_hh_tes!N11=0,"",SER_hh_tes!N11/SER_hh_fec!N11)</f>
        <v>0.8740638658057619</v>
      </c>
      <c r="O11" s="136">
        <f>IF(SER_hh_tes!O11=0,"",SER_hh_tes!O11/SER_hh_fec!O11)</f>
        <v>0.87792736978232089</v>
      </c>
      <c r="P11" s="136">
        <f>IF(SER_hh_tes!P11=0,"",SER_hh_tes!P11/SER_hh_fec!P11)</f>
        <v>0.87877678159543171</v>
      </c>
      <c r="Q11" s="136">
        <f>IF(SER_hh_tes!Q11=0,"",SER_hh_tes!Q11/SER_hh_fec!Q11)</f>
        <v>0.88119126782226465</v>
      </c>
      <c r="R11" s="136">
        <f>IF(SER_hh_tes!R11=0,"",SER_hh_tes!R11/SER_hh_fec!R11)</f>
        <v>0.88438327084664725</v>
      </c>
      <c r="S11" s="136">
        <f>IF(SER_hh_tes!S11=0,"",SER_hh_tes!S11/SER_hh_fec!S11)</f>
        <v>0.8884102477293927</v>
      </c>
      <c r="T11" s="136">
        <f>IF(SER_hh_tes!T11=0,"",SER_hh_tes!T11/SER_hh_fec!T11)</f>
        <v>0.8908397946451162</v>
      </c>
      <c r="U11" s="136">
        <f>IF(SER_hh_tes!U11=0,"",SER_hh_tes!U11/SER_hh_fec!U11)</f>
        <v>0.8924212039144378</v>
      </c>
      <c r="V11" s="136">
        <f>IF(SER_hh_tes!V11=0,"",SER_hh_tes!V11/SER_hh_fec!V11)</f>
        <v>0.89399434872989003</v>
      </c>
      <c r="W11" s="136">
        <f>IF(SER_hh_tes!W11=0,"",SER_hh_tes!W11/SER_hh_fec!W11)</f>
        <v>0.89537639329748919</v>
      </c>
      <c r="X11" s="136">
        <f>IF(SER_hh_tes!X11=0,"",SER_hh_tes!X11/SER_hh_fec!X11)</f>
        <v>0.89636643886343736</v>
      </c>
      <c r="Y11" s="136">
        <f>IF(SER_hh_tes!Y11=0,"",SER_hh_tes!Y11/SER_hh_fec!Y11)</f>
        <v>0.89709651138430235</v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0.8359525867146711</v>
      </c>
      <c r="C12" s="136">
        <f>IF(SER_hh_tes!C12=0,"",SER_hh_tes!C12/SER_hh_fec!C12)</f>
        <v>0.83719192307695378</v>
      </c>
      <c r="D12" s="136">
        <f>IF(SER_hh_tes!D12=0,"",SER_hh_tes!D12/SER_hh_fec!D12)</f>
        <v>0.8397435276775379</v>
      </c>
      <c r="E12" s="136">
        <f>IF(SER_hh_tes!E12=0,"",SER_hh_tes!E12/SER_hh_fec!E12)</f>
        <v>0.84287782917626541</v>
      </c>
      <c r="F12" s="136">
        <f>IF(SER_hh_tes!F12=0,"",SER_hh_tes!F12/SER_hh_fec!F12)</f>
        <v>0.84753533809447301</v>
      </c>
      <c r="G12" s="136">
        <f>IF(SER_hh_tes!G12=0,"",SER_hh_tes!G12/SER_hh_fec!G12)</f>
        <v>0.85249950348684223</v>
      </c>
      <c r="H12" s="136">
        <f>IF(SER_hh_tes!H12=0,"",SER_hh_tes!H12/SER_hh_fec!H12)</f>
        <v>0.85673274120958365</v>
      </c>
      <c r="I12" s="136">
        <f>IF(SER_hh_tes!I12=0,"",SER_hh_tes!I12/SER_hh_fec!I12)</f>
        <v>0.8608256462244086</v>
      </c>
      <c r="J12" s="136">
        <f>IF(SER_hh_tes!J12=0,"",SER_hh_tes!J12/SER_hh_fec!J12)</f>
        <v>0.86428501344628694</v>
      </c>
      <c r="K12" s="136">
        <f>IF(SER_hh_tes!K12=0,"",SER_hh_tes!K12/SER_hh_fec!K12)</f>
        <v>0.86735204491409856</v>
      </c>
      <c r="L12" s="136">
        <f>IF(SER_hh_tes!L12=0,"",SER_hh_tes!L12/SER_hh_fec!L12)</f>
        <v>0.87072621282504414</v>
      </c>
      <c r="M12" s="136">
        <f>IF(SER_hh_tes!M12=0,"",SER_hh_tes!M12/SER_hh_fec!M12)</f>
        <v>0.87357384957784567</v>
      </c>
      <c r="N12" s="136">
        <f>IF(SER_hh_tes!N12=0,"",SER_hh_tes!N12/SER_hh_fec!N12)</f>
        <v>0.87591565425134954</v>
      </c>
      <c r="O12" s="136">
        <f>IF(SER_hh_tes!O12=0,"",SER_hh_tes!O12/SER_hh_fec!O12)</f>
        <v>0.87797651029503521</v>
      </c>
      <c r="P12" s="136">
        <f>IF(SER_hh_tes!P12=0,"",SER_hh_tes!P12/SER_hh_fec!P12)</f>
        <v>0.87880458621953972</v>
      </c>
      <c r="Q12" s="136">
        <f>IF(SER_hh_tes!Q12=0,"",SER_hh_tes!Q12/SER_hh_fec!Q12)</f>
        <v>0.88073856159648933</v>
      </c>
      <c r="R12" s="136">
        <f>IF(SER_hh_tes!R12=0,"",SER_hh_tes!R12/SER_hh_fec!R12)</f>
        <v>0.88355458641866391</v>
      </c>
      <c r="S12" s="136">
        <f>IF(SER_hh_tes!S12=0,"",SER_hh_tes!S12/SER_hh_fec!S12)</f>
        <v>0.88669780433140866</v>
      </c>
      <c r="T12" s="136">
        <f>IF(SER_hh_tes!T12=0,"",SER_hh_tes!T12/SER_hh_fec!T12)</f>
        <v>0.89027295682632623</v>
      </c>
      <c r="U12" s="136">
        <f>IF(SER_hh_tes!U12=0,"",SER_hh_tes!U12/SER_hh_fec!U12)</f>
        <v>0.89518321461427275</v>
      </c>
      <c r="V12" s="136">
        <f>IF(SER_hh_tes!V12=0,"",SER_hh_tes!V12/SER_hh_fec!V12)</f>
        <v>0.9017157331610367</v>
      </c>
      <c r="W12" s="136">
        <f>IF(SER_hh_tes!W12=0,"",SER_hh_tes!W12/SER_hh_fec!W12)</f>
        <v>0.90773582464558267</v>
      </c>
      <c r="X12" s="136">
        <f>IF(SER_hh_tes!X12=0,"",SER_hh_tes!X12/SER_hh_fec!X12)</f>
        <v>0.91390411162519058</v>
      </c>
      <c r="Y12" s="136">
        <f>IF(SER_hh_tes!Y12=0,"",SER_hh_tes!Y12/SER_hh_fec!Y12)</f>
        <v>0.9205884489472177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1.6342905906367211</v>
      </c>
      <c r="C13" s="136">
        <f>IF(SER_hh_tes!C13=0,"",SER_hh_tes!C13/SER_hh_fec!C13)</f>
        <v>1.8653822016908346</v>
      </c>
      <c r="D13" s="136">
        <f>IF(SER_hh_tes!D13=0,"",SER_hh_tes!D13/SER_hh_fec!D13)</f>
        <v>2.2120718744633185</v>
      </c>
      <c r="E13" s="136">
        <f>IF(SER_hh_tes!E13=0,"",SER_hh_tes!E13/SER_hh_fec!E13)</f>
        <v>2.4460163406799076</v>
      </c>
      <c r="F13" s="136">
        <f>IF(SER_hh_tes!F13=0,"",SER_hh_tes!F13/SER_hh_fec!F13)</f>
        <v>2.6329480742993505</v>
      </c>
      <c r="G13" s="136">
        <f>IF(SER_hh_tes!G13=0,"",SER_hh_tes!G13/SER_hh_fec!G13)</f>
        <v>2.7750120982565525</v>
      </c>
      <c r="H13" s="136">
        <f>IF(SER_hh_tes!H13=0,"",SER_hh_tes!H13/SER_hh_fec!H13)</f>
        <v>2.8893762856451057</v>
      </c>
      <c r="I13" s="136">
        <f>IF(SER_hh_tes!I13=0,"",SER_hh_tes!I13/SER_hh_fec!I13)</f>
        <v>2.9841022942567061</v>
      </c>
      <c r="J13" s="136">
        <f>IF(SER_hh_tes!J13=0,"",SER_hh_tes!J13/SER_hh_fec!J13)</f>
        <v>3.0588931376987847</v>
      </c>
      <c r="K13" s="136">
        <f>IF(SER_hh_tes!K13=0,"",SER_hh_tes!K13/SER_hh_fec!K13)</f>
        <v>3.1241517241007979</v>
      </c>
      <c r="L13" s="136">
        <f>IF(SER_hh_tes!L13=0,"",SER_hh_tes!L13/SER_hh_fec!L13)</f>
        <v>3.192993203127354</v>
      </c>
      <c r="M13" s="136">
        <f>IF(SER_hh_tes!M13=0,"",SER_hh_tes!M13/SER_hh_fec!M13)</f>
        <v>3.2732727025731641</v>
      </c>
      <c r="N13" s="136">
        <f>IF(SER_hh_tes!N13=0,"",SER_hh_tes!N13/SER_hh_fec!N13)</f>
        <v>3.3590882004737455</v>
      </c>
      <c r="O13" s="136">
        <f>IF(SER_hh_tes!O13=0,"",SER_hh_tes!O13/SER_hh_fec!O13)</f>
        <v>3.4424535298819401</v>
      </c>
      <c r="P13" s="136">
        <f>IF(SER_hh_tes!P13=0,"",SER_hh_tes!P13/SER_hh_fec!P13)</f>
        <v>3.5007099813458415</v>
      </c>
      <c r="Q13" s="136">
        <f>IF(SER_hh_tes!Q13=0,"",SER_hh_tes!Q13/SER_hh_fec!Q13)</f>
        <v>3.5715626784038714</v>
      </c>
      <c r="R13" s="136">
        <f>IF(SER_hh_tes!R13=0,"",SER_hh_tes!R13/SER_hh_fec!R13)</f>
        <v>3.6507916845860713</v>
      </c>
      <c r="S13" s="136">
        <f>IF(SER_hh_tes!S13=0,"",SER_hh_tes!S13/SER_hh_fec!S13)</f>
        <v>3.7389654846283067</v>
      </c>
      <c r="T13" s="136">
        <f>IF(SER_hh_tes!T13=0,"",SER_hh_tes!T13/SER_hh_fec!T13)</f>
        <v>3.8344092803211809</v>
      </c>
      <c r="U13" s="136">
        <f>IF(SER_hh_tes!U13=0,"",SER_hh_tes!U13/SER_hh_fec!U13)</f>
        <v>3.9194200486331314</v>
      </c>
      <c r="V13" s="136">
        <f>IF(SER_hh_tes!V13=0,"",SER_hh_tes!V13/SER_hh_fec!V13)</f>
        <v>4.0206503106179268</v>
      </c>
      <c r="W13" s="136">
        <f>IF(SER_hh_tes!W13=0,"",SER_hh_tes!W13/SER_hh_fec!W13)</f>
        <v>4.1390669446948962</v>
      </c>
      <c r="X13" s="136">
        <f>IF(SER_hh_tes!X13=0,"",SER_hh_tes!X13/SER_hh_fec!X13)</f>
        <v>4.2508206404804962</v>
      </c>
      <c r="Y13" s="136">
        <f>IF(SER_hh_tes!Y13=0,"",SER_hh_tes!Y13/SER_hh_fec!Y13)</f>
        <v>4.3874394741142213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0.73904402989127149</v>
      </c>
      <c r="C14" s="137">
        <f>IF(SER_hh_tes!C14=0,"",SER_hh_tes!C14/SER_hh_fec!C14)</f>
        <v>0.73904402989127149</v>
      </c>
      <c r="D14" s="137">
        <f>IF(SER_hh_tes!D14=0,"",SER_hh_tes!D14/SER_hh_fec!D14)</f>
        <v>0.73963252513721756</v>
      </c>
      <c r="E14" s="137">
        <f>IF(SER_hh_tes!E14=0,"",SER_hh_tes!E14/SER_hh_fec!E14)</f>
        <v>0.74214089645942671</v>
      </c>
      <c r="F14" s="137">
        <f>IF(SER_hh_tes!F14=0,"",SER_hh_tes!F14/SER_hh_fec!F14)</f>
        <v>0.74726680166655424</v>
      </c>
      <c r="G14" s="137">
        <f>IF(SER_hh_tes!G14=0,"",SER_hh_tes!G14/SER_hh_fec!G14)</f>
        <v>0.75481247180324385</v>
      </c>
      <c r="H14" s="137">
        <f>IF(SER_hh_tes!H14=0,"",SER_hh_tes!H14/SER_hh_fec!H14)</f>
        <v>0.76157734909022767</v>
      </c>
      <c r="I14" s="137">
        <f>IF(SER_hh_tes!I14=0,"",SER_hh_tes!I14/SER_hh_fec!I14)</f>
        <v>0.76773840513797154</v>
      </c>
      <c r="J14" s="137">
        <f>IF(SER_hh_tes!J14=0,"",SER_hh_tes!J14/SER_hh_fec!J14)</f>
        <v>0.7722443744843619</v>
      </c>
      <c r="K14" s="137">
        <f>IF(SER_hh_tes!K14=0,"",SER_hh_tes!K14/SER_hh_fec!K14)</f>
        <v>0.77548081732172069</v>
      </c>
      <c r="L14" s="137">
        <f>IF(SER_hh_tes!L14=0,"",SER_hh_tes!L14/SER_hh_fec!L14)</f>
        <v>0.7822327845475886</v>
      </c>
      <c r="M14" s="137">
        <f>IF(SER_hh_tes!M14=0,"",SER_hh_tes!M14/SER_hh_fec!M14)</f>
        <v>0.78943856511333865</v>
      </c>
      <c r="N14" s="137">
        <f>IF(SER_hh_tes!N14=0,"",SER_hh_tes!N14/SER_hh_fec!N14)</f>
        <v>0.79812250413187513</v>
      </c>
      <c r="O14" s="137">
        <f>IF(SER_hh_tes!O14=0,"",SER_hh_tes!O14/SER_hh_fec!O14)</f>
        <v>0.80530640848131085</v>
      </c>
      <c r="P14" s="137">
        <f>IF(SER_hh_tes!P14=0,"",SER_hh_tes!P14/SER_hh_fec!P14)</f>
        <v>0.80562161275990285</v>
      </c>
      <c r="Q14" s="137">
        <f>IF(SER_hh_tes!Q14=0,"",SER_hh_tes!Q14/SER_hh_fec!Q14)</f>
        <v>0.80600436460460823</v>
      </c>
      <c r="R14" s="137">
        <f>IF(SER_hh_tes!R14=0,"",SER_hh_tes!R14/SER_hh_fec!R14)</f>
        <v>0.80640055786198095</v>
      </c>
      <c r="S14" s="137">
        <f>IF(SER_hh_tes!S14=0,"",SER_hh_tes!S14/SER_hh_fec!S14)</f>
        <v>0.80966990853297449</v>
      </c>
      <c r="T14" s="137">
        <f>IF(SER_hh_tes!T14=0,"",SER_hh_tes!T14/SER_hh_fec!T14)</f>
        <v>0.82048403390726865</v>
      </c>
      <c r="U14" s="137">
        <f>IF(SER_hh_tes!U14=0,"",SER_hh_tes!U14/SER_hh_fec!U14)</f>
        <v>0.8305544668799425</v>
      </c>
      <c r="V14" s="137">
        <f>IF(SER_hh_tes!V14=0,"",SER_hh_tes!V14/SER_hh_fec!V14)</f>
        <v>0.84326681161195527</v>
      </c>
      <c r="W14" s="137">
        <f>IF(SER_hh_tes!W14=0,"",SER_hh_tes!W14/SER_hh_fec!W14)</f>
        <v>0.85423501666930524</v>
      </c>
      <c r="X14" s="137">
        <f>IF(SER_hh_tes!X14=0,"",SER_hh_tes!X14/SER_hh_fec!X14)</f>
        <v>0.86906211324423999</v>
      </c>
      <c r="Y14" s="137">
        <f>IF(SER_hh_tes!Y14=0,"",SER_hh_tes!Y14/SER_hh_fec!Y14)</f>
        <v>0.8750741239533627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1.8645594405963748</v>
      </c>
      <c r="C16" s="135">
        <f>IF(SER_hh_tes!C16=0,"",SER_hh_tes!C16/SER_hh_fec!C16)</f>
        <v>1.9329313190327815</v>
      </c>
      <c r="D16" s="135">
        <f>IF(SER_hh_tes!D16=0,"",SER_hh_tes!D16/SER_hh_fec!D16)</f>
        <v>2.0137368402002411</v>
      </c>
      <c r="E16" s="135">
        <f>IF(SER_hh_tes!E16=0,"",SER_hh_tes!E16/SER_hh_fec!E16)</f>
        <v>2.0900194898523496</v>
      </c>
      <c r="F16" s="135">
        <f>IF(SER_hh_tes!F16=0,"",SER_hh_tes!F16/SER_hh_fec!F16)</f>
        <v>2.1796792823001545</v>
      </c>
      <c r="G16" s="135">
        <f>IF(SER_hh_tes!G16=0,"",SER_hh_tes!G16/SER_hh_fec!G16)</f>
        <v>2.282245599627696</v>
      </c>
      <c r="H16" s="135">
        <f>IF(SER_hh_tes!H16=0,"",SER_hh_tes!H16/SER_hh_fec!H16)</f>
        <v>2.3919758230341772</v>
      </c>
      <c r="I16" s="135">
        <f>IF(SER_hh_tes!I16=0,"",SER_hh_tes!I16/SER_hh_fec!I16)</f>
        <v>2.5231863197383673</v>
      </c>
      <c r="J16" s="135">
        <f>IF(SER_hh_tes!J16=0,"",SER_hh_tes!J16/SER_hh_fec!J16)</f>
        <v>2.6699174922688358</v>
      </c>
      <c r="K16" s="135">
        <f>IF(SER_hh_tes!K16=0,"",SER_hh_tes!K16/SER_hh_fec!K16)</f>
        <v>2.7117935139847424</v>
      </c>
      <c r="L16" s="135">
        <f>IF(SER_hh_tes!L16=0,"",SER_hh_tes!L16/SER_hh_fec!L16)</f>
        <v>2.7832916372016996</v>
      </c>
      <c r="M16" s="135">
        <f>IF(SER_hh_tes!M16=0,"",SER_hh_tes!M16/SER_hh_fec!M16)</f>
        <v>2.8795375299271577</v>
      </c>
      <c r="N16" s="135">
        <f>IF(SER_hh_tes!N16=0,"",SER_hh_tes!N16/SER_hh_fec!N16)</f>
        <v>2.9927309871425614</v>
      </c>
      <c r="O16" s="135">
        <f>IF(SER_hh_tes!O16=0,"",SER_hh_tes!O16/SER_hh_fec!O16)</f>
        <v>3.1168344787265827</v>
      </c>
      <c r="P16" s="135">
        <f>IF(SER_hh_tes!P16=0,"",SER_hh_tes!P16/SER_hh_fec!P16)</f>
        <v>3.255993096180108</v>
      </c>
      <c r="Q16" s="135">
        <f>IF(SER_hh_tes!Q16=0,"",SER_hh_tes!Q16/SER_hh_fec!Q16)</f>
        <v>3.4142501453416001</v>
      </c>
      <c r="R16" s="135">
        <f>IF(SER_hh_tes!R16=0,"",SER_hh_tes!R16/SER_hh_fec!R16)</f>
        <v>3.5818423274558553</v>
      </c>
      <c r="S16" s="135">
        <f>IF(SER_hh_tes!S16=0,"",SER_hh_tes!S16/SER_hh_fec!S16)</f>
        <v>3.7284839821481564</v>
      </c>
      <c r="T16" s="135">
        <f>IF(SER_hh_tes!T16=0,"",SER_hh_tes!T16/SER_hh_fec!T16)</f>
        <v>3.8555805121084719</v>
      </c>
      <c r="U16" s="135">
        <f>IF(SER_hh_tes!U16=0,"",SER_hh_tes!U16/SER_hh_fec!U16)</f>
        <v>3.9531152423261631</v>
      </c>
      <c r="V16" s="135">
        <f>IF(SER_hh_tes!V16=0,"",SER_hh_tes!V16/SER_hh_fec!V16)</f>
        <v>4.0516300712291473</v>
      </c>
      <c r="W16" s="135">
        <f>IF(SER_hh_tes!W16=0,"",SER_hh_tes!W16/SER_hh_fec!W16)</f>
        <v>4.1350962188333806</v>
      </c>
      <c r="X16" s="135">
        <f>IF(SER_hh_tes!X16=0,"",SER_hh_tes!X16/SER_hh_fec!X16)</f>
        <v>4.1990421197368768</v>
      </c>
      <c r="Y16" s="135">
        <f>IF(SER_hh_tes!Y16=0,"",SER_hh_tes!Y16/SER_hh_fec!Y16)</f>
        <v>4.2494509571484214</v>
      </c>
      <c r="DA16" s="162" t="s">
        <v>241</v>
      </c>
    </row>
    <row r="17" spans="1:105" ht="12.95" customHeight="1" x14ac:dyDescent="0.25">
      <c r="A17" s="131" t="s">
        <v>73</v>
      </c>
      <c r="B17" s="136">
        <f>IF(SER_hh_tes!B17=0,"",SER_hh_tes!B17/SER_hh_fec!B17)</f>
        <v>1.1071386518884885</v>
      </c>
      <c r="C17" s="136">
        <f>IF(SER_hh_tes!C17=0,"",SER_hh_tes!C17/SER_hh_fec!C17)</f>
        <v>1.1242303369863245</v>
      </c>
      <c r="D17" s="136">
        <f>IF(SER_hh_tes!D17=0,"",SER_hh_tes!D17/SER_hh_fec!D17)</f>
        <v>1.1470884798294794</v>
      </c>
      <c r="E17" s="136">
        <f>IF(SER_hh_tes!E17=0,"",SER_hh_tes!E17/SER_hh_fec!E17)</f>
        <v>1.1593616556673794</v>
      </c>
      <c r="F17" s="136">
        <f>IF(SER_hh_tes!F17=0,"",SER_hh_tes!F17/SER_hh_fec!F17)</f>
        <v>1.1836836423262531</v>
      </c>
      <c r="G17" s="136">
        <f>IF(SER_hh_tes!G17=0,"",SER_hh_tes!G17/SER_hh_fec!G17)</f>
        <v>1.1998164878740254</v>
      </c>
      <c r="H17" s="136">
        <f>IF(SER_hh_tes!H17=0,"",SER_hh_tes!H17/SER_hh_fec!H17)</f>
        <v>1.2137389136113252</v>
      </c>
      <c r="I17" s="136">
        <f>IF(SER_hh_tes!I17=0,"",SER_hh_tes!I17/SER_hh_fec!I17)</f>
        <v>1.2332618059156206</v>
      </c>
      <c r="J17" s="136">
        <f>IF(SER_hh_tes!J17=0,"",SER_hh_tes!J17/SER_hh_fec!J17)</f>
        <v>1.2509320956953898</v>
      </c>
      <c r="K17" s="136">
        <f>IF(SER_hh_tes!K17=0,"",SER_hh_tes!K17/SER_hh_fec!K17)</f>
        <v>1.2638423348178451</v>
      </c>
      <c r="L17" s="136">
        <f>IF(SER_hh_tes!L17=0,"",SER_hh_tes!L17/SER_hh_fec!L17)</f>
        <v>1.2748471333624043</v>
      </c>
      <c r="M17" s="136">
        <f>IF(SER_hh_tes!M17=0,"",SER_hh_tes!M17/SER_hh_fec!M17)</f>
        <v>1.289758585070409</v>
      </c>
      <c r="N17" s="136">
        <f>IF(SER_hh_tes!N17=0,"",SER_hh_tes!N17/SER_hh_fec!N17)</f>
        <v>1.3120493312770514</v>
      </c>
      <c r="O17" s="136">
        <f>IF(SER_hh_tes!O17=0,"",SER_hh_tes!O17/SER_hh_fec!O17)</f>
        <v>1.3355024088684411</v>
      </c>
      <c r="P17" s="136">
        <f>IF(SER_hh_tes!P17=0,"",SER_hh_tes!P17/SER_hh_fec!P17)</f>
        <v>1.3630236931872501</v>
      </c>
      <c r="Q17" s="136">
        <f>IF(SER_hh_tes!Q17=0,"",SER_hh_tes!Q17/SER_hh_fec!Q17)</f>
        <v>1.3903701569057501</v>
      </c>
      <c r="R17" s="136">
        <f>IF(SER_hh_tes!R17=0,"",SER_hh_tes!R17/SER_hh_fec!R17)</f>
        <v>1.4134751666843073</v>
      </c>
      <c r="S17" s="136">
        <f>IF(SER_hh_tes!S17=0,"",SER_hh_tes!S17/SER_hh_fec!S17)</f>
        <v>1.4410736250980107</v>
      </c>
      <c r="T17" s="136">
        <f>IF(SER_hh_tes!T17=0,"",SER_hh_tes!T17/SER_hh_fec!T17)</f>
        <v>1.4648678707545562</v>
      </c>
      <c r="U17" s="136">
        <f>IF(SER_hh_tes!U17=0,"",SER_hh_tes!U17/SER_hh_fec!U17)</f>
        <v>1.4918842519138922</v>
      </c>
      <c r="V17" s="136">
        <f>IF(SER_hh_tes!V17=0,"",SER_hh_tes!V17/SER_hh_fec!V17)</f>
        <v>1.5129341133064795</v>
      </c>
      <c r="W17" s="136">
        <f>IF(SER_hh_tes!W17=0,"",SER_hh_tes!W17/SER_hh_fec!W17)</f>
        <v>1.5326235942868713</v>
      </c>
      <c r="X17" s="136">
        <f>IF(SER_hh_tes!X17=0,"",SER_hh_tes!X17/SER_hh_fec!X17)</f>
        <v>1.5547819297599319</v>
      </c>
      <c r="Y17" s="136">
        <f>IF(SER_hh_tes!Y17=0,"",SER_hh_tes!Y17/SER_hh_fec!Y17)</f>
        <v>1.5763464002299623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1.86609179268553</v>
      </c>
      <c r="C18" s="136">
        <f>IF(SER_hh_tes!C18=0,"",SER_hh_tes!C18/SER_hh_fec!C18)</f>
        <v>1.9346936715789891</v>
      </c>
      <c r="D18" s="136">
        <f>IF(SER_hh_tes!D18=0,"",SER_hh_tes!D18/SER_hh_fec!D18)</f>
        <v>2.0159487097920272</v>
      </c>
      <c r="E18" s="136">
        <f>IF(SER_hh_tes!E18=0,"",SER_hh_tes!E18/SER_hh_fec!E18)</f>
        <v>2.0924797792556511</v>
      </c>
      <c r="F18" s="136">
        <f>IF(SER_hh_tes!F18=0,"",SER_hh_tes!F18/SER_hh_fec!F18)</f>
        <v>2.1830678260347987</v>
      </c>
      <c r="G18" s="136">
        <f>IF(SER_hh_tes!G18=0,"",SER_hh_tes!G18/SER_hh_fec!G18)</f>
        <v>2.2864580985007867</v>
      </c>
      <c r="H18" s="136">
        <f>IF(SER_hh_tes!H18=0,"",SER_hh_tes!H18/SER_hh_fec!H18)</f>
        <v>2.3970757320883025</v>
      </c>
      <c r="I18" s="136">
        <f>IF(SER_hh_tes!I18=0,"",SER_hh_tes!I18/SER_hh_fec!I18)</f>
        <v>2.5300531269513242</v>
      </c>
      <c r="J18" s="136">
        <f>IF(SER_hh_tes!J18=0,"",SER_hh_tes!J18/SER_hh_fec!J18)</f>
        <v>2.6788935826927287</v>
      </c>
      <c r="K18" s="136">
        <f>IF(SER_hh_tes!K18=0,"",SER_hh_tes!K18/SER_hh_fec!K18)</f>
        <v>2.7225338775306209</v>
      </c>
      <c r="L18" s="136">
        <f>IF(SER_hh_tes!L18=0,"",SER_hh_tes!L18/SER_hh_fec!L18)</f>
        <v>2.7952254079043373</v>
      </c>
      <c r="M18" s="136">
        <f>IF(SER_hh_tes!M18=0,"",SER_hh_tes!M18/SER_hh_fec!M18)</f>
        <v>2.8942850825189943</v>
      </c>
      <c r="N18" s="136">
        <f>IF(SER_hh_tes!N18=0,"",SER_hh_tes!N18/SER_hh_fec!N18)</f>
        <v>3.0093190806338788</v>
      </c>
      <c r="O18" s="136">
        <f>IF(SER_hh_tes!O18=0,"",SER_hh_tes!O18/SER_hh_fec!O18)</f>
        <v>3.1366886802794802</v>
      </c>
      <c r="P18" s="136">
        <f>IF(SER_hh_tes!P18=0,"",SER_hh_tes!P18/SER_hh_fec!P18)</f>
        <v>3.2800480917780979</v>
      </c>
      <c r="Q18" s="136">
        <f>IF(SER_hh_tes!Q18=0,"",SER_hh_tes!Q18/SER_hh_fec!Q18)</f>
        <v>3.4449492092832057</v>
      </c>
      <c r="R18" s="136">
        <f>IF(SER_hh_tes!R18=0,"",SER_hh_tes!R18/SER_hh_fec!R18)</f>
        <v>3.6158837689043213</v>
      </c>
      <c r="S18" s="136">
        <f>IF(SER_hh_tes!S18=0,"",SER_hh_tes!S18/SER_hh_fec!S18)</f>
        <v>3.7689581718254561</v>
      </c>
      <c r="T18" s="136">
        <f>IF(SER_hh_tes!T18=0,"",SER_hh_tes!T18/SER_hh_fec!T18)</f>
        <v>3.90099277408877</v>
      </c>
      <c r="U18" s="136">
        <f>IF(SER_hh_tes!U18=0,"",SER_hh_tes!U18/SER_hh_fec!U18)</f>
        <v>4.0051046779242325</v>
      </c>
      <c r="V18" s="136">
        <f>IF(SER_hh_tes!V18=0,"",SER_hh_tes!V18/SER_hh_fec!V18)</f>
        <v>4.106504002525968</v>
      </c>
      <c r="W18" s="136">
        <f>IF(SER_hh_tes!W18=0,"",SER_hh_tes!W18/SER_hh_fec!W18)</f>
        <v>4.1936530143944672</v>
      </c>
      <c r="X18" s="136">
        <f>IF(SER_hh_tes!X18=0,"",SER_hh_tes!X18/SER_hh_fec!X18)</f>
        <v>4.2607728296213176</v>
      </c>
      <c r="Y18" s="136">
        <f>IF(SER_hh_tes!Y18=0,"",SER_hh_tes!Y18/SER_hh_fec!Y18)</f>
        <v>4.3137978193345976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0.69990137432957478</v>
      </c>
      <c r="C19" s="135">
        <f>IF(SER_hh_tes!C19=0,"",SER_hh_tes!C19/SER_hh_fec!C19)</f>
        <v>0.70272620668557539</v>
      </c>
      <c r="D19" s="135">
        <f>IF(SER_hh_tes!D19=0,"",SER_hh_tes!D19/SER_hh_fec!D19)</f>
        <v>0.70596581525564328</v>
      </c>
      <c r="E19" s="135">
        <f>IF(SER_hh_tes!E19=0,"",SER_hh_tes!E19/SER_hh_fec!E19)</f>
        <v>0.71278644269252456</v>
      </c>
      <c r="F19" s="135">
        <f>IF(SER_hh_tes!F19=0,"",SER_hh_tes!F19/SER_hh_fec!F19)</f>
        <v>0.71686717009583534</v>
      </c>
      <c r="G19" s="135">
        <f>IF(SER_hh_tes!G19=0,"",SER_hh_tes!G19/SER_hh_fec!G19)</f>
        <v>0.71963573403596648</v>
      </c>
      <c r="H19" s="135">
        <f>IF(SER_hh_tes!H19=0,"",SER_hh_tes!H19/SER_hh_fec!H19)</f>
        <v>0.72327044687596997</v>
      </c>
      <c r="I19" s="135">
        <f>IF(SER_hh_tes!I19=0,"",SER_hh_tes!I19/SER_hh_fec!I19)</f>
        <v>0.73704622435551248</v>
      </c>
      <c r="J19" s="135">
        <f>IF(SER_hh_tes!J19=0,"",SER_hh_tes!J19/SER_hh_fec!J19)</f>
        <v>0.75644866058170357</v>
      </c>
      <c r="K19" s="135">
        <f>IF(SER_hh_tes!K19=0,"",SER_hh_tes!K19/SER_hh_fec!K19)</f>
        <v>0.75281143545475759</v>
      </c>
      <c r="L19" s="135">
        <f>IF(SER_hh_tes!L19=0,"",SER_hh_tes!L19/SER_hh_fec!L19)</f>
        <v>0.79467291765152859</v>
      </c>
      <c r="M19" s="135">
        <f>IF(SER_hh_tes!M19=0,"",SER_hh_tes!M19/SER_hh_fec!M19)</f>
        <v>0.80935822500147558</v>
      </c>
      <c r="N19" s="135">
        <f>IF(SER_hh_tes!N19=0,"",SER_hh_tes!N19/SER_hh_fec!N19)</f>
        <v>0.82831315601195432</v>
      </c>
      <c r="O19" s="135">
        <f>IF(SER_hh_tes!O19=0,"",SER_hh_tes!O19/SER_hh_fec!O19)</f>
        <v>0.82936777969809894</v>
      </c>
      <c r="P19" s="135">
        <f>IF(SER_hh_tes!P19=0,"",SER_hh_tes!P19/SER_hh_fec!P19)</f>
        <v>0.83662457374714794</v>
      </c>
      <c r="Q19" s="135">
        <f>IF(SER_hh_tes!Q19=0,"",SER_hh_tes!Q19/SER_hh_fec!Q19)</f>
        <v>0.83767310703580367</v>
      </c>
      <c r="R19" s="135">
        <f>IF(SER_hh_tes!R19=0,"",SER_hh_tes!R19/SER_hh_fec!R19)</f>
        <v>0.8411980201844087</v>
      </c>
      <c r="S19" s="135">
        <f>IF(SER_hh_tes!S19=0,"",SER_hh_tes!S19/SER_hh_fec!S19)</f>
        <v>0.85176229397941783</v>
      </c>
      <c r="T19" s="135">
        <f>IF(SER_hh_tes!T19=0,"",SER_hh_tes!T19/SER_hh_fec!T19)</f>
        <v>0.86517314061559969</v>
      </c>
      <c r="U19" s="135">
        <f>IF(SER_hh_tes!U19=0,"",SER_hh_tes!U19/SER_hh_fec!U19)</f>
        <v>0.87225766370842539</v>
      </c>
      <c r="V19" s="135">
        <f>IF(SER_hh_tes!V19=0,"",SER_hh_tes!V19/SER_hh_fec!V19)</f>
        <v>0.88521881705242489</v>
      </c>
      <c r="W19" s="135">
        <f>IF(SER_hh_tes!W19=0,"",SER_hh_tes!W19/SER_hh_fec!W19)</f>
        <v>0.89047809392291866</v>
      </c>
      <c r="X19" s="135">
        <f>IF(SER_hh_tes!X19=0,"",SER_hh_tes!X19/SER_hh_fec!X19)</f>
        <v>0.8968900296520681</v>
      </c>
      <c r="Y19" s="135">
        <f>IF(SER_hh_tes!Y19=0,"",SER_hh_tes!Y19/SER_hh_fec!Y19)</f>
        <v>0.89988650601173725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>
        <f>IF(SER_hh_tes!B21=0,"",SER_hh_tes!B21/SER_hh_fec!B21)</f>
        <v>0.58854547320362494</v>
      </c>
      <c r="C21" s="136">
        <f>IF(SER_hh_tes!C21=0,"",SER_hh_tes!C21/SER_hh_fec!C21)</f>
        <v>0.59133813871874086</v>
      </c>
      <c r="D21" s="136">
        <f>IF(SER_hh_tes!D21=0,"",SER_hh_tes!D21/SER_hh_fec!D21)</f>
        <v>0.5944251845614632</v>
      </c>
      <c r="E21" s="136">
        <f>IF(SER_hh_tes!E21=0,"",SER_hh_tes!E21/SER_hh_fec!E21)</f>
        <v>0.59687010578900923</v>
      </c>
      <c r="F21" s="136">
        <f>IF(SER_hh_tes!F21=0,"",SER_hh_tes!F21/SER_hh_fec!F21)</f>
        <v>0.59943571172814647</v>
      </c>
      <c r="G21" s="136">
        <f>IF(SER_hh_tes!G21=0,"",SER_hh_tes!G21/SER_hh_fec!G21)</f>
        <v>0.60198764590764331</v>
      </c>
      <c r="H21" s="136">
        <f>IF(SER_hh_tes!H21=0,"",SER_hh_tes!H21/SER_hh_fec!H21)</f>
        <v>0.60502116503945103</v>
      </c>
      <c r="I21" s="136">
        <f>IF(SER_hh_tes!I21=0,"",SER_hh_tes!I21/SER_hh_fec!I21)</f>
        <v>0.60666402394343899</v>
      </c>
      <c r="J21" s="136">
        <f>IF(SER_hh_tes!J21=0,"",SER_hh_tes!J21/SER_hh_fec!J21)</f>
        <v>0.60787001775509775</v>
      </c>
      <c r="K21" s="136">
        <f>IF(SER_hh_tes!K21=0,"",SER_hh_tes!K21/SER_hh_fec!K21)</f>
        <v>0.61085870043275059</v>
      </c>
      <c r="L21" s="136">
        <f>IF(SER_hh_tes!L21=0,"",SER_hh_tes!L21/SER_hh_fec!L21)</f>
        <v>0.61220683066804915</v>
      </c>
      <c r="M21" s="136">
        <f>IF(SER_hh_tes!M21=0,"",SER_hh_tes!M21/SER_hh_fec!M21)</f>
        <v>0.61324343704983719</v>
      </c>
      <c r="N21" s="136" t="str">
        <f>IF(SER_hh_tes!N21=0,"",SER_hh_tes!N21/SER_hh_fec!N21)</f>
        <v/>
      </c>
      <c r="O21" s="136" t="str">
        <f>IF(SER_hh_tes!O21=0,"",SER_hh_tes!O21/SER_hh_fec!O21)</f>
        <v/>
      </c>
      <c r="P21" s="136" t="str">
        <f>IF(SER_hh_tes!P21=0,"",SER_hh_tes!P21/SER_hh_fec!P21)</f>
        <v/>
      </c>
      <c r="Q21" s="136" t="str">
        <f>IF(SER_hh_tes!Q21=0,"",SER_hh_tes!Q21/SER_hh_fec!Q21)</f>
        <v/>
      </c>
      <c r="R21" s="136" t="str">
        <f>IF(SER_hh_tes!R21=0,"",SER_hh_tes!R21/SER_hh_fec!R21)</f>
        <v/>
      </c>
      <c r="S21" s="136" t="str">
        <f>IF(SER_hh_tes!S21=0,"",SER_hh_tes!S21/SER_hh_fec!S21)</f>
        <v/>
      </c>
      <c r="T21" s="136" t="str">
        <f>IF(SER_hh_tes!T21=0,"",SER_hh_tes!T21/SER_hh_fec!T21)</f>
        <v/>
      </c>
      <c r="U21" s="136" t="str">
        <f>IF(SER_hh_tes!U21=0,"",SER_hh_tes!U21/SER_hh_fec!U21)</f>
        <v/>
      </c>
      <c r="V21" s="136" t="str">
        <f>IF(SER_hh_tes!V21=0,"",SER_hh_tes!V21/SER_hh_fec!V21)</f>
        <v/>
      </c>
      <c r="W21" s="136" t="str">
        <f>IF(SER_hh_tes!W21=0,"",SER_hh_tes!W21/SER_hh_fec!W21)</f>
        <v/>
      </c>
      <c r="X21" s="136" t="str">
        <f>IF(SER_hh_tes!X21=0,"",SER_hh_tes!X21/SER_hh_fec!X21)</f>
        <v/>
      </c>
      <c r="Y21" s="136" t="str">
        <f>IF(SER_hh_tes!Y21=0,"",SER_hh_tes!Y21/SER_hh_fec!Y21)</f>
        <v/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0.55463866571530318</v>
      </c>
      <c r="C22" s="136">
        <f>IF(SER_hh_tes!C22=0,"",SER_hh_tes!C22/SER_hh_fec!C22)</f>
        <v>0.55590220843278992</v>
      </c>
      <c r="D22" s="136">
        <f>IF(SER_hh_tes!D22=0,"",SER_hh_tes!D22/SER_hh_fec!D22)</f>
        <v>0.5574644409362971</v>
      </c>
      <c r="E22" s="136">
        <f>IF(SER_hh_tes!E22=0,"",SER_hh_tes!E22/SER_hh_fec!E22)</f>
        <v>0.55870181650939443</v>
      </c>
      <c r="F22" s="136">
        <f>IF(SER_hh_tes!F22=0,"",SER_hh_tes!F22/SER_hh_fec!F22)</f>
        <v>0.56024023625440078</v>
      </c>
      <c r="G22" s="136">
        <f>IF(SER_hh_tes!G22=0,"",SER_hh_tes!G22/SER_hh_fec!G22)</f>
        <v>0.56161738032085218</v>
      </c>
      <c r="H22" s="136">
        <f>IF(SER_hh_tes!H22=0,"",SER_hh_tes!H22/SER_hh_fec!H22)</f>
        <v>0.56376950194545161</v>
      </c>
      <c r="I22" s="136">
        <f>IF(SER_hh_tes!I22=0,"",SER_hh_tes!I22/SER_hh_fec!I22)</f>
        <v>0.56515210128848226</v>
      </c>
      <c r="J22" s="136">
        <f>IF(SER_hh_tes!J22=0,"",SER_hh_tes!J22/SER_hh_fec!J22)</f>
        <v>0.56669574115385524</v>
      </c>
      <c r="K22" s="136">
        <f>IF(SER_hh_tes!K22=0,"",SER_hh_tes!K22/SER_hh_fec!K22)</f>
        <v>0.57156210709386346</v>
      </c>
      <c r="L22" s="136">
        <f>IF(SER_hh_tes!L22=0,"",SER_hh_tes!L22/SER_hh_fec!L22)</f>
        <v>0.57418055842013505</v>
      </c>
      <c r="M22" s="136">
        <f>IF(SER_hh_tes!M22=0,"",SER_hh_tes!M22/SER_hh_fec!M22)</f>
        <v>0.57889081497964445</v>
      </c>
      <c r="N22" s="136">
        <f>IF(SER_hh_tes!N22=0,"",SER_hh_tes!N22/SER_hh_fec!N22)</f>
        <v>0.58686354512888272</v>
      </c>
      <c r="O22" s="136">
        <f>IF(SER_hh_tes!O22=0,"",SER_hh_tes!O22/SER_hh_fec!O22)</f>
        <v>0.60431949688798192</v>
      </c>
      <c r="P22" s="136">
        <f>IF(SER_hh_tes!P22=0,"",SER_hh_tes!P22/SER_hh_fec!P22)</f>
        <v>0.60559522394492338</v>
      </c>
      <c r="Q22" s="136">
        <f>IF(SER_hh_tes!Q22=0,"",SER_hh_tes!Q22/SER_hh_fec!Q22)</f>
        <v>0.61404116633800709</v>
      </c>
      <c r="R22" s="136">
        <f>IF(SER_hh_tes!R22=0,"",SER_hh_tes!R22/SER_hh_fec!R22)</f>
        <v>0.62629099269032551</v>
      </c>
      <c r="S22" s="136">
        <f>IF(SER_hh_tes!S22=0,"",SER_hh_tes!S22/SER_hh_fec!S22)</f>
        <v>0.64133736148766862</v>
      </c>
      <c r="T22" s="136">
        <f>IF(SER_hh_tes!T22=0,"",SER_hh_tes!T22/SER_hh_fec!T22)</f>
        <v>0.65618579720883075</v>
      </c>
      <c r="U22" s="136">
        <f>IF(SER_hh_tes!U22=0,"",SER_hh_tes!U22/SER_hh_fec!U22)</f>
        <v>0.67584280204522007</v>
      </c>
      <c r="V22" s="136">
        <f>IF(SER_hh_tes!V22=0,"",SER_hh_tes!V22/SER_hh_fec!V22)</f>
        <v>0.69002225840540521</v>
      </c>
      <c r="W22" s="136">
        <f>IF(SER_hh_tes!W22=0,"",SER_hh_tes!W22/SER_hh_fec!W22)</f>
        <v>0.72254551422864866</v>
      </c>
      <c r="X22" s="136">
        <f>IF(SER_hh_tes!X22=0,"",SER_hh_tes!X22/SER_hh_fec!X22)</f>
        <v>0.73759714127305576</v>
      </c>
      <c r="Y22" s="136">
        <f>IF(SER_hh_tes!Y22=0,"",SER_hh_tes!Y22/SER_hh_fec!Y22)</f>
        <v>0.75257761151836933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0.56709993429604766</v>
      </c>
      <c r="C23" s="136">
        <f>IF(SER_hh_tes!C23=0,"",SER_hh_tes!C23/SER_hh_fec!C23)</f>
        <v>0.5710693598437685</v>
      </c>
      <c r="D23" s="136">
        <f>IF(SER_hh_tes!D23=0,"",SER_hh_tes!D23/SER_hh_fec!D23)</f>
        <v>0.57634295235779864</v>
      </c>
      <c r="E23" s="136">
        <f>IF(SER_hh_tes!E23=0,"",SER_hh_tes!E23/SER_hh_fec!E23)</f>
        <v>0.58074811999631337</v>
      </c>
      <c r="F23" s="136">
        <f>IF(SER_hh_tes!F23=0,"",SER_hh_tes!F23/SER_hh_fec!F23)</f>
        <v>0.58687338288560031</v>
      </c>
      <c r="G23" s="136">
        <f>IF(SER_hh_tes!G23=0,"",SER_hh_tes!G23/SER_hh_fec!G23)</f>
        <v>0.59390166298525071</v>
      </c>
      <c r="H23" s="136">
        <f>IF(SER_hh_tes!H23=0,"",SER_hh_tes!H23/SER_hh_fec!H23)</f>
        <v>0.60284042265577309</v>
      </c>
      <c r="I23" s="136">
        <f>IF(SER_hh_tes!I23=0,"",SER_hh_tes!I23/SER_hh_fec!I23)</f>
        <v>0.60901021461194094</v>
      </c>
      <c r="J23" s="136">
        <f>IF(SER_hh_tes!J23=0,"",SER_hh_tes!J23/SER_hh_fec!J23)</f>
        <v>0.61507045460149401</v>
      </c>
      <c r="K23" s="136">
        <f>IF(SER_hh_tes!K23=0,"",SER_hh_tes!K23/SER_hh_fec!K23)</f>
        <v>0.62732312760848508</v>
      </c>
      <c r="L23" s="136">
        <f>IF(SER_hh_tes!L23=0,"",SER_hh_tes!L23/SER_hh_fec!L23)</f>
        <v>0.63410475162865554</v>
      </c>
      <c r="M23" s="136">
        <f>IF(SER_hh_tes!M23=0,"",SER_hh_tes!M23/SER_hh_fec!M23)</f>
        <v>0.64330370382666968</v>
      </c>
      <c r="N23" s="136">
        <f>IF(SER_hh_tes!N23=0,"",SER_hh_tes!N23/SER_hh_fec!N23)</f>
        <v>0.65506043553072502</v>
      </c>
      <c r="O23" s="136">
        <f>IF(SER_hh_tes!O23=0,"",SER_hh_tes!O23/SER_hh_fec!O23)</f>
        <v>0.67287448417092843</v>
      </c>
      <c r="P23" s="136">
        <f>IF(SER_hh_tes!P23=0,"",SER_hh_tes!P23/SER_hh_fec!P23)</f>
        <v>0.67650440481046425</v>
      </c>
      <c r="Q23" s="136">
        <f>IF(SER_hh_tes!Q23=0,"",SER_hh_tes!Q23/SER_hh_fec!Q23)</f>
        <v>0.69136534809673766</v>
      </c>
      <c r="R23" s="136">
        <f>IF(SER_hh_tes!R23=0,"",SER_hh_tes!R23/SER_hh_fec!R23)</f>
        <v>0.70354962264282728</v>
      </c>
      <c r="S23" s="136">
        <f>IF(SER_hh_tes!S23=0,"",SER_hh_tes!S23/SER_hh_fec!S23)</f>
        <v>0.71354877063450906</v>
      </c>
      <c r="T23" s="136">
        <f>IF(SER_hh_tes!T23=0,"",SER_hh_tes!T23/SER_hh_fec!T23)</f>
        <v>0.72399698101490584</v>
      </c>
      <c r="U23" s="136">
        <f>IF(SER_hh_tes!U23=0,"",SER_hh_tes!U23/SER_hh_fec!U23)</f>
        <v>0.73909149120030437</v>
      </c>
      <c r="V23" s="136">
        <f>IF(SER_hh_tes!V23=0,"",SER_hh_tes!V23/SER_hh_fec!V23)</f>
        <v>0.75270381321613811</v>
      </c>
      <c r="W23" s="136">
        <f>IF(SER_hh_tes!W23=0,"",SER_hh_tes!W23/SER_hh_fec!W23)</f>
        <v>0.7789470815473396</v>
      </c>
      <c r="X23" s="136">
        <f>IF(SER_hh_tes!X23=0,"",SER_hh_tes!X23/SER_hh_fec!X23)</f>
        <v>0.79053504320814083</v>
      </c>
      <c r="Y23" s="136">
        <f>IF(SER_hh_tes!Y23=0,"",SER_hh_tes!Y23/SER_hh_fec!Y23)</f>
        <v>0.80246756300036026</v>
      </c>
      <c r="DA23" s="163" t="s">
        <v>348</v>
      </c>
    </row>
    <row r="24" spans="1:105" ht="12" customHeight="1" x14ac:dyDescent="0.25">
      <c r="A24" s="131" t="s">
        <v>128</v>
      </c>
      <c r="B24" s="136">
        <f>IF(SER_hh_tes!B24=0,"",SER_hh_tes!B24/SER_hh_fec!B24)</f>
        <v>0.48411175518843896</v>
      </c>
      <c r="C24" s="136">
        <f>IF(SER_hh_tes!C24=0,"",SER_hh_tes!C24/SER_hh_fec!C24)</f>
        <v>0.49144961030835199</v>
      </c>
      <c r="D24" s="136">
        <f>IF(SER_hh_tes!D24=0,"",SER_hh_tes!D24/SER_hh_fec!D24)</f>
        <v>0.50121526544848483</v>
      </c>
      <c r="E24" s="136">
        <f>IF(SER_hh_tes!E24=0,"",SER_hh_tes!E24/SER_hh_fec!E24)</f>
        <v>0.50937812808125926</v>
      </c>
      <c r="F24" s="136">
        <f>IF(SER_hh_tes!F24=0,"",SER_hh_tes!F24/SER_hh_fec!F24)</f>
        <v>0.52113781123802738</v>
      </c>
      <c r="G24" s="136">
        <f>IF(SER_hh_tes!G24=0,"",SER_hh_tes!G24/SER_hh_fec!G24)</f>
        <v>0.5348084729933269</v>
      </c>
      <c r="H24" s="136">
        <f>IF(SER_hh_tes!H24=0,"",SER_hh_tes!H24/SER_hh_fec!H24)</f>
        <v>0.55298756936234006</v>
      </c>
      <c r="I24" s="136">
        <f>IF(SER_hh_tes!I24=0,"",SER_hh_tes!I24/SER_hh_fec!I24)</f>
        <v>0.56593355394325662</v>
      </c>
      <c r="J24" s="136">
        <f>IF(SER_hh_tes!J24=0,"",SER_hh_tes!J24/SER_hh_fec!J24)</f>
        <v>0.57952680676628532</v>
      </c>
      <c r="K24" s="136">
        <f>IF(SER_hh_tes!K24=0,"",SER_hh_tes!K24/SER_hh_fec!K24)</f>
        <v>0.6073138047333605</v>
      </c>
      <c r="L24" s="136">
        <f>IF(SER_hh_tes!L24=0,"",SER_hh_tes!L24/SER_hh_fec!L24)</f>
        <v>0.62391420437135858</v>
      </c>
      <c r="M24" s="136">
        <f>IF(SER_hh_tes!M24=0,"",SER_hh_tes!M24/SER_hh_fec!M24)</f>
        <v>0.64598803249816283</v>
      </c>
      <c r="N24" s="136">
        <f>IF(SER_hh_tes!N24=0,"",SER_hh_tes!N24/SER_hh_fec!N24)</f>
        <v>0.67238260077344114</v>
      </c>
      <c r="O24" s="136">
        <f>IF(SER_hh_tes!O24=0,"",SER_hh_tes!O24/SER_hh_fec!O24)</f>
        <v>0.70129733515832826</v>
      </c>
      <c r="P24" s="136">
        <f>IF(SER_hh_tes!P24=0,"",SER_hh_tes!P24/SER_hh_fec!P24)</f>
        <v>0.70514245513886853</v>
      </c>
      <c r="Q24" s="136">
        <f>IF(SER_hh_tes!Q24=0,"",SER_hh_tes!Q24/SER_hh_fec!Q24)</f>
        <v>0.71582665949683377</v>
      </c>
      <c r="R24" s="136">
        <f>IF(SER_hh_tes!R24=0,"",SER_hh_tes!R24/SER_hh_fec!R24)</f>
        <v>0.72534222444124641</v>
      </c>
      <c r="S24" s="136">
        <f>IF(SER_hh_tes!S24=0,"",SER_hh_tes!S24/SER_hh_fec!S24)</f>
        <v>0.73434661879360574</v>
      </c>
      <c r="T24" s="136">
        <f>IF(SER_hh_tes!T24=0,"",SER_hh_tes!T24/SER_hh_fec!T24)</f>
        <v>0.74349300624616865</v>
      </c>
      <c r="U24" s="136">
        <f>IF(SER_hh_tes!U24=0,"",SER_hh_tes!U24/SER_hh_fec!U24)</f>
        <v>0.75606723066778947</v>
      </c>
      <c r="V24" s="136">
        <f>IF(SER_hh_tes!V24=0,"",SER_hh_tes!V24/SER_hh_fec!V24)</f>
        <v>0.76659972851719527</v>
      </c>
      <c r="W24" s="136">
        <f>IF(SER_hh_tes!W24=0,"",SER_hh_tes!W24/SER_hh_fec!W24)</f>
        <v>0.78775547259435397</v>
      </c>
      <c r="X24" s="136">
        <f>IF(SER_hh_tes!X24=0,"",SER_hh_tes!X24/SER_hh_fec!X24)</f>
        <v>0.79730587959668853</v>
      </c>
      <c r="Y24" s="136">
        <f>IF(SER_hh_tes!Y24=0,"",SER_hh_tes!Y24/SER_hh_fec!Y24)</f>
        <v>0.80803394933299022</v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0.84625378919052396</v>
      </c>
      <c r="C25" s="136">
        <f>IF(SER_hh_tes!C25=0,"",SER_hh_tes!C25/SER_hh_fec!C25)</f>
        <v>0.84812634928098385</v>
      </c>
      <c r="D25" s="136">
        <f>IF(SER_hh_tes!D25=0,"",SER_hh_tes!D25/SER_hh_fec!D25)</f>
        <v>0.85022530757132675</v>
      </c>
      <c r="E25" s="136">
        <f>IF(SER_hh_tes!E25=0,"",SER_hh_tes!E25/SER_hh_fec!E25)</f>
        <v>0.85183285462066494</v>
      </c>
      <c r="F25" s="136">
        <f>IF(SER_hh_tes!F25=0,"",SER_hh_tes!F25/SER_hh_fec!F25)</f>
        <v>0.85448984156900132</v>
      </c>
      <c r="G25" s="136">
        <f>IF(SER_hh_tes!G25=0,"",SER_hh_tes!G25/SER_hh_fec!G25)</f>
        <v>0.85840531490169947</v>
      </c>
      <c r="H25" s="136">
        <f>IF(SER_hh_tes!H25=0,"",SER_hh_tes!H25/SER_hh_fec!H25)</f>
        <v>0.86415175815262335</v>
      </c>
      <c r="I25" s="136">
        <f>IF(SER_hh_tes!I25=0,"",SER_hh_tes!I25/SER_hh_fec!I25)</f>
        <v>0.86836677994443801</v>
      </c>
      <c r="J25" s="136">
        <f>IF(SER_hh_tes!J25=0,"",SER_hh_tes!J25/SER_hh_fec!J25)</f>
        <v>0.87193719603343722</v>
      </c>
      <c r="K25" s="136">
        <f>IF(SER_hh_tes!K25=0,"",SER_hh_tes!K25/SER_hh_fec!K25)</f>
        <v>0.87801916582600015</v>
      </c>
      <c r="L25" s="136">
        <f>IF(SER_hh_tes!L25=0,"",SER_hh_tes!L25/SER_hh_fec!L25)</f>
        <v>0.88065137072019184</v>
      </c>
      <c r="M25" s="136">
        <f>IF(SER_hh_tes!M25=0,"",SER_hh_tes!M25/SER_hh_fec!M25)</f>
        <v>0.88382082304018961</v>
      </c>
      <c r="N25" s="136">
        <f>IF(SER_hh_tes!N25=0,"",SER_hh_tes!N25/SER_hh_fec!N25)</f>
        <v>0.88724910916630817</v>
      </c>
      <c r="O25" s="136">
        <f>IF(SER_hh_tes!O25=0,"",SER_hh_tes!O25/SER_hh_fec!O25)</f>
        <v>0.89168883136019705</v>
      </c>
      <c r="P25" s="136">
        <f>IF(SER_hh_tes!P25=0,"",SER_hh_tes!P25/SER_hh_fec!P25)</f>
        <v>0.89221999174563504</v>
      </c>
      <c r="Q25" s="136">
        <f>IF(SER_hh_tes!Q25=0,"",SER_hh_tes!Q25/SER_hh_fec!Q25)</f>
        <v>0.89585246267562701</v>
      </c>
      <c r="R25" s="136">
        <f>IF(SER_hh_tes!R25=0,"",SER_hh_tes!R25/SER_hh_fec!R25)</f>
        <v>0.89894074241769417</v>
      </c>
      <c r="S25" s="136">
        <f>IF(SER_hh_tes!S25=0,"",SER_hh_tes!S25/SER_hh_fec!S25)</f>
        <v>0.90146783042474121</v>
      </c>
      <c r="T25" s="136">
        <f>IF(SER_hh_tes!T25=0,"",SER_hh_tes!T25/SER_hh_fec!T25)</f>
        <v>0.90445001236106715</v>
      </c>
      <c r="U25" s="136">
        <f>IF(SER_hh_tes!U25=0,"",SER_hh_tes!U25/SER_hh_fec!U25)</f>
        <v>0.90885583200582698</v>
      </c>
      <c r="V25" s="136">
        <f>IF(SER_hh_tes!V25=0,"",SER_hh_tes!V25/SER_hh_fec!V25)</f>
        <v>0.91238160158835135</v>
      </c>
      <c r="W25" s="136">
        <f>IF(SER_hh_tes!W25=0,"",SER_hh_tes!W25/SER_hh_fec!W25)</f>
        <v>0.92155351531878471</v>
      </c>
      <c r="X25" s="136">
        <f>IF(SER_hh_tes!X25=0,"",SER_hh_tes!X25/SER_hh_fec!X25)</f>
        <v>0.92540780889562702</v>
      </c>
      <c r="Y25" s="136">
        <f>IF(SER_hh_tes!Y25=0,"",SER_hh_tes!Y25/SER_hh_fec!Y25)</f>
        <v>0.9312904469005826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0.70376697080425643</v>
      </c>
      <c r="C26" s="137">
        <f>IF(SER_hh_tes!C26=0,"",SER_hh_tes!C26/SER_hh_fec!C26)</f>
        <v>0.70618490987059079</v>
      </c>
      <c r="D26" s="137">
        <f>IF(SER_hh_tes!D26=0,"",SER_hh_tes!D26/SER_hh_fec!D26)</f>
        <v>0.70873891924889898</v>
      </c>
      <c r="E26" s="137">
        <f>IF(SER_hh_tes!E26=0,"",SER_hh_tes!E26/SER_hh_fec!E26)</f>
        <v>0.71054631702045468</v>
      </c>
      <c r="F26" s="137">
        <f>IF(SER_hh_tes!F26=0,"",SER_hh_tes!F26/SER_hh_fec!F26)</f>
        <v>0.71384600058678249</v>
      </c>
      <c r="G26" s="137">
        <f>IF(SER_hh_tes!G26=0,"",SER_hh_tes!G26/SER_hh_fec!G26)</f>
        <v>0.7186220968564665</v>
      </c>
      <c r="H26" s="137">
        <f>IF(SER_hh_tes!H26=0,"",SER_hh_tes!H26/SER_hh_fec!H26)</f>
        <v>0.72442192879733347</v>
      </c>
      <c r="I26" s="137">
        <f>IF(SER_hh_tes!I26=0,"",SER_hh_tes!I26/SER_hh_fec!I26)</f>
        <v>0.72580881890103055</v>
      </c>
      <c r="J26" s="137">
        <f>IF(SER_hh_tes!J26=0,"",SER_hh_tes!J26/SER_hh_fec!J26)</f>
        <v>0.72756330830733429</v>
      </c>
      <c r="K26" s="137">
        <f>IF(SER_hh_tes!K26=0,"",SER_hh_tes!K26/SER_hh_fec!K26)</f>
        <v>0.73156587221086133</v>
      </c>
      <c r="L26" s="137">
        <f>IF(SER_hh_tes!L26=0,"",SER_hh_tes!L26/SER_hh_fec!L26)</f>
        <v>0.73280409323705265</v>
      </c>
      <c r="M26" s="137">
        <f>IF(SER_hh_tes!M26=0,"",SER_hh_tes!M26/SER_hh_fec!M26)</f>
        <v>0.73430054909754927</v>
      </c>
      <c r="N26" s="137">
        <f>IF(SER_hh_tes!N26=0,"",SER_hh_tes!N26/SER_hh_fec!N26)</f>
        <v>0.73608649758154432</v>
      </c>
      <c r="O26" s="137">
        <f>IF(SER_hh_tes!O26=0,"",SER_hh_tes!O26/SER_hh_fec!O26)</f>
        <v>0.74916084331457888</v>
      </c>
      <c r="P26" s="137">
        <f>IF(SER_hh_tes!P26=0,"",SER_hh_tes!P26/SER_hh_fec!P26)</f>
        <v>0.75066547565535602</v>
      </c>
      <c r="Q26" s="137">
        <f>IF(SER_hh_tes!Q26=0,"",SER_hh_tes!Q26/SER_hh_fec!Q26)</f>
        <v>0.76857583826742515</v>
      </c>
      <c r="R26" s="137">
        <f>IF(SER_hh_tes!R26=0,"",SER_hh_tes!R26/SER_hh_fec!R26)</f>
        <v>0.78206025655983713</v>
      </c>
      <c r="S26" s="137">
        <f>IF(SER_hh_tes!S26=0,"",SER_hh_tes!S26/SER_hh_fec!S26)</f>
        <v>0.78630557964612702</v>
      </c>
      <c r="T26" s="137">
        <f>IF(SER_hh_tes!T26=0,"",SER_hh_tes!T26/SER_hh_fec!T26)</f>
        <v>0.79094176422416829</v>
      </c>
      <c r="U26" s="137">
        <f>IF(SER_hh_tes!U26=0,"",SER_hh_tes!U26/SER_hh_fec!U26)</f>
        <v>0.8059471703057598</v>
      </c>
      <c r="V26" s="137">
        <f>IF(SER_hh_tes!V26=0,"",SER_hh_tes!V26/SER_hh_fec!V26)</f>
        <v>0.81767051491044584</v>
      </c>
      <c r="W26" s="137">
        <f>IF(SER_hh_tes!W26=0,"",SER_hh_tes!W26/SER_hh_fec!W26)</f>
        <v>0.85157715570172821</v>
      </c>
      <c r="X26" s="137">
        <f>IF(SER_hh_tes!X26=0,"",SER_hh_tes!X26/SER_hh_fec!X26)</f>
        <v>0.86149562708691163</v>
      </c>
      <c r="Y26" s="137">
        <f>IF(SER_hh_tes!Y26=0,"",SER_hh_tes!Y26/SER_hh_fec!Y26)</f>
        <v>0.87324113894784383</v>
      </c>
      <c r="DA26" s="164" t="s">
        <v>351</v>
      </c>
    </row>
    <row r="27" spans="1:105" ht="12" customHeight="1" x14ac:dyDescent="0.25">
      <c r="A27" s="144" t="s">
        <v>26</v>
      </c>
      <c r="B27" s="153">
        <f>IF(SER_hh_tes!B27=0,"",SER_hh_tes!B27/SER_hh_fec!B27)</f>
        <v>1</v>
      </c>
      <c r="C27" s="153">
        <f>IF(SER_hh_tes!C27=0,"",SER_hh_tes!C27/SER_hh_fec!C27)</f>
        <v>1</v>
      </c>
      <c r="D27" s="153">
        <f>IF(SER_hh_tes!D27=0,"",SER_hh_tes!D27/SER_hh_fec!D27)</f>
        <v>1</v>
      </c>
      <c r="E27" s="153">
        <f>IF(SER_hh_tes!E27=0,"",SER_hh_tes!E27/SER_hh_fec!E27)</f>
        <v>1</v>
      </c>
      <c r="F27" s="153">
        <f>IF(SER_hh_tes!F27=0,"",SER_hh_tes!F27/SER_hh_fec!F27)</f>
        <v>1</v>
      </c>
      <c r="G27" s="153">
        <f>IF(SER_hh_tes!G27=0,"",SER_hh_tes!G27/SER_hh_fec!G27)</f>
        <v>1</v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0.71838099074899342</v>
      </c>
      <c r="C29" s="135">
        <f>IF(SER_hh_tes!C29=0,"",SER_hh_tes!C29/SER_hh_fec!C29)</f>
        <v>0.70921612686139091</v>
      </c>
      <c r="D29" s="135">
        <f>IF(SER_hh_tes!D29=0,"",SER_hh_tes!D29/SER_hh_fec!D29)</f>
        <v>0.68476856265591168</v>
      </c>
      <c r="E29" s="135">
        <f>IF(SER_hh_tes!E29=0,"",SER_hh_tes!E29/SER_hh_fec!E29)</f>
        <v>0.67816340065411362</v>
      </c>
      <c r="F29" s="135">
        <f>IF(SER_hh_tes!F29=0,"",SER_hh_tes!F29/SER_hh_fec!F29)</f>
        <v>0.66852198438510213</v>
      </c>
      <c r="G29" s="135">
        <f>IF(SER_hh_tes!G29=0,"",SER_hh_tes!G29/SER_hh_fec!G29)</f>
        <v>0.68303546991032293</v>
      </c>
      <c r="H29" s="135">
        <f>IF(SER_hh_tes!H29=0,"",SER_hh_tes!H29/SER_hh_fec!H29)</f>
        <v>0.68481485278619314</v>
      </c>
      <c r="I29" s="135">
        <f>IF(SER_hh_tes!I29=0,"",SER_hh_tes!I29/SER_hh_fec!I29)</f>
        <v>0.69940352340231826</v>
      </c>
      <c r="J29" s="135">
        <f>IF(SER_hh_tes!J29=0,"",SER_hh_tes!J29/SER_hh_fec!J29)</f>
        <v>0.7070231805802113</v>
      </c>
      <c r="K29" s="135">
        <f>IF(SER_hh_tes!K29=0,"",SER_hh_tes!K29/SER_hh_fec!K29)</f>
        <v>0.70245728389701712</v>
      </c>
      <c r="L29" s="135">
        <f>IF(SER_hh_tes!L29=0,"",SER_hh_tes!L29/SER_hh_fec!L29)</f>
        <v>0.68856929451048865</v>
      </c>
      <c r="M29" s="135">
        <f>IF(SER_hh_tes!M29=0,"",SER_hh_tes!M29/SER_hh_fec!M29)</f>
        <v>0.69485513384070197</v>
      </c>
      <c r="N29" s="135">
        <f>IF(SER_hh_tes!N29=0,"",SER_hh_tes!N29/SER_hh_fec!N29)</f>
        <v>0.72613483300411485</v>
      </c>
      <c r="O29" s="135">
        <f>IF(SER_hh_tes!O29=0,"",SER_hh_tes!O29/SER_hh_fec!O29)</f>
        <v>0.72683826733007462</v>
      </c>
      <c r="P29" s="135">
        <f>IF(SER_hh_tes!P29=0,"",SER_hh_tes!P29/SER_hh_fec!P29)</f>
        <v>0.72816107416904896</v>
      </c>
      <c r="Q29" s="135">
        <f>IF(SER_hh_tes!Q29=0,"",SER_hh_tes!Q29/SER_hh_fec!Q29)</f>
        <v>0.72900453776336671</v>
      </c>
      <c r="R29" s="135">
        <f>IF(SER_hh_tes!R29=0,"",SER_hh_tes!R29/SER_hh_fec!R29)</f>
        <v>0.73261108481891035</v>
      </c>
      <c r="S29" s="135">
        <f>IF(SER_hh_tes!S29=0,"",SER_hh_tes!S29/SER_hh_fec!S29)</f>
        <v>0.73236148943532897</v>
      </c>
      <c r="T29" s="135">
        <f>IF(SER_hh_tes!T29=0,"",SER_hh_tes!T29/SER_hh_fec!T29)</f>
        <v>0.73653850825262424</v>
      </c>
      <c r="U29" s="135">
        <f>IF(SER_hh_tes!U29=0,"",SER_hh_tes!U29/SER_hh_fec!U29)</f>
        <v>0.73828514065489359</v>
      </c>
      <c r="V29" s="135">
        <f>IF(SER_hh_tes!V29=0,"",SER_hh_tes!V29/SER_hh_fec!V29)</f>
        <v>0.7452325928529453</v>
      </c>
      <c r="W29" s="135">
        <f>IF(SER_hh_tes!W29=0,"",SER_hh_tes!W29/SER_hh_fec!W29)</f>
        <v>0.74952161813444251</v>
      </c>
      <c r="X29" s="135">
        <f>IF(SER_hh_tes!X29=0,"",SER_hh_tes!X29/SER_hh_fec!X29)</f>
        <v>0.75663048261995158</v>
      </c>
      <c r="Y29" s="135">
        <f>IF(SER_hh_tes!Y29=0,"",SER_hh_tes!Y29/SER_hh_fec!Y29)</f>
        <v>0.75717682451340351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0.59431767089651599</v>
      </c>
      <c r="C30" s="136">
        <f>IF(SER_hh_tes!C30=0,"",SER_hh_tes!C30/SER_hh_fec!C30)</f>
        <v>0.5953311934064045</v>
      </c>
      <c r="D30" s="136">
        <f>IF(SER_hh_tes!D30=0,"",SER_hh_tes!D30/SER_hh_fec!D30)</f>
        <v>0.59713853824124008</v>
      </c>
      <c r="E30" s="136">
        <f>IF(SER_hh_tes!E30=0,"",SER_hh_tes!E30/SER_hh_fec!E30)</f>
        <v>0.59817974465391477</v>
      </c>
      <c r="F30" s="136">
        <f>IF(SER_hh_tes!F30=0,"",SER_hh_tes!F30/SER_hh_fec!F30)</f>
        <v>0.59868739583801645</v>
      </c>
      <c r="G30" s="136">
        <f>IF(SER_hh_tes!G30=0,"",SER_hh_tes!G30/SER_hh_fec!G30)</f>
        <v>0.59910733895640322</v>
      </c>
      <c r="H30" s="136">
        <f>IF(SER_hh_tes!H30=0,"",SER_hh_tes!H30/SER_hh_fec!H30)</f>
        <v>0.59942498104961806</v>
      </c>
      <c r="I30" s="136">
        <f>IF(SER_hh_tes!I30=0,"",SER_hh_tes!I30/SER_hh_fec!I30)</f>
        <v>0.5997658204823163</v>
      </c>
      <c r="J30" s="136">
        <f>IF(SER_hh_tes!J30=0,"",SER_hh_tes!J30/SER_hh_fec!J30)</f>
        <v>0.6001765567078321</v>
      </c>
      <c r="K30" s="136">
        <f>IF(SER_hh_tes!K30=0,"",SER_hh_tes!K30/SER_hh_fec!K30)</f>
        <v>0.60093409491381511</v>
      </c>
      <c r="L30" s="136">
        <f>IF(SER_hh_tes!L30=0,"",SER_hh_tes!L30/SER_hh_fec!L30)</f>
        <v>0.60149694323225034</v>
      </c>
      <c r="M30" s="136">
        <f>IF(SER_hh_tes!M30=0,"",SER_hh_tes!M30/SER_hh_fec!M30)</f>
        <v>0.60156405053842343</v>
      </c>
      <c r="N30" s="136">
        <f>IF(SER_hh_tes!N30=0,"",SER_hh_tes!N30/SER_hh_fec!N30)</f>
        <v>0.60166709779039274</v>
      </c>
      <c r="O30" s="136">
        <f>IF(SER_hh_tes!O30=0,"",SER_hh_tes!O30/SER_hh_fec!O30)</f>
        <v>0.60173505131934313</v>
      </c>
      <c r="P30" s="136">
        <f>IF(SER_hh_tes!P30=0,"",SER_hh_tes!P30/SER_hh_fec!P30)</f>
        <v>0.6019567891189227</v>
      </c>
      <c r="Q30" s="136">
        <f>IF(SER_hh_tes!Q30=0,"",SER_hh_tes!Q30/SER_hh_fec!Q30)</f>
        <v>0.60310823730492558</v>
      </c>
      <c r="R30" s="136">
        <f>IF(SER_hh_tes!R30=0,"",SER_hh_tes!R30/SER_hh_fec!R30)</f>
        <v>0.604225857677681</v>
      </c>
      <c r="S30" s="136">
        <f>IF(SER_hh_tes!S30=0,"",SER_hh_tes!S30/SER_hh_fec!S30)</f>
        <v>0.60617466042871093</v>
      </c>
      <c r="T30" s="136">
        <f>IF(SER_hh_tes!T30=0,"",SER_hh_tes!T30/SER_hh_fec!T30)</f>
        <v>0.60699621513726321</v>
      </c>
      <c r="U30" s="136">
        <f>IF(SER_hh_tes!U30=0,"",SER_hh_tes!U30/SER_hh_fec!U30)</f>
        <v>0.60788427514751209</v>
      </c>
      <c r="V30" s="136">
        <f>IF(SER_hh_tes!V30=0,"",SER_hh_tes!V30/SER_hh_fec!V30)</f>
        <v>0.60861484027880097</v>
      </c>
      <c r="W30" s="136">
        <f>IF(SER_hh_tes!W30=0,"",SER_hh_tes!W30/SER_hh_fec!W30)</f>
        <v>0.6096973887111804</v>
      </c>
      <c r="X30" s="136">
        <f>IF(SER_hh_tes!X30=0,"",SER_hh_tes!X30/SER_hh_fec!X30)</f>
        <v>0.61039393273485976</v>
      </c>
      <c r="Y30" s="136">
        <f>IF(SER_hh_tes!Y30=0,"",SER_hh_tes!Y30/SER_hh_fec!Y30)</f>
        <v>0.61049272730215698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0.60166758223180428</v>
      </c>
      <c r="C31" s="136">
        <f>IF(SER_hh_tes!C31=0,"",SER_hh_tes!C31/SER_hh_fec!C31)</f>
        <v>0.6026330846123551</v>
      </c>
      <c r="D31" s="136">
        <f>IF(SER_hh_tes!D31=0,"",SER_hh_tes!D31/SER_hh_fec!D31)</f>
        <v>0.6035732167416108</v>
      </c>
      <c r="E31" s="136">
        <f>IF(SER_hh_tes!E31=0,"",SER_hh_tes!E31/SER_hh_fec!E31)</f>
        <v>0.60446075610978456</v>
      </c>
      <c r="F31" s="136">
        <f>IF(SER_hh_tes!F31=0,"",SER_hh_tes!F31/SER_hh_fec!F31)</f>
        <v>0.60533088165169235</v>
      </c>
      <c r="G31" s="136">
        <f>IF(SER_hh_tes!G31=0,"",SER_hh_tes!G31/SER_hh_fec!G31)</f>
        <v>0.60615347938206299</v>
      </c>
      <c r="H31" s="136">
        <f>IF(SER_hh_tes!H31=0,"",SER_hh_tes!H31/SER_hh_fec!H31)</f>
        <v>0.60695824575236956</v>
      </c>
      <c r="I31" s="136">
        <f>IF(SER_hh_tes!I31=0,"",SER_hh_tes!I31/SER_hh_fec!I31)</f>
        <v>0.60774980062428008</v>
      </c>
      <c r="J31" s="136">
        <f>IF(SER_hh_tes!J31=0,"",SER_hh_tes!J31/SER_hh_fec!J31)</f>
        <v>0.60855662224830009</v>
      </c>
      <c r="K31" s="136">
        <f>IF(SER_hh_tes!K31=0,"",SER_hh_tes!K31/SER_hh_fec!K31)</f>
        <v>0.60938607994890481</v>
      </c>
      <c r="L31" s="136">
        <f>IF(SER_hh_tes!L31=0,"",SER_hh_tes!L31/SER_hh_fec!L31)</f>
        <v>0.60997876804838325</v>
      </c>
      <c r="M31" s="136">
        <f>IF(SER_hh_tes!M31=0,"",SER_hh_tes!M31/SER_hh_fec!M31)</f>
        <v>0.61018109852385238</v>
      </c>
      <c r="N31" s="136">
        <f>IF(SER_hh_tes!N31=0,"",SER_hh_tes!N31/SER_hh_fec!N31)</f>
        <v>0.61044176658956828</v>
      </c>
      <c r="O31" s="136">
        <f>IF(SER_hh_tes!O31=0,"",SER_hh_tes!O31/SER_hh_fec!O31)</f>
        <v>0.61078032116291714</v>
      </c>
      <c r="P31" s="136">
        <f>IF(SER_hh_tes!P31=0,"",SER_hh_tes!P31/SER_hh_fec!P31)</f>
        <v>0.61110723676567325</v>
      </c>
      <c r="Q31" s="136">
        <f>IF(SER_hh_tes!Q31=0,"",SER_hh_tes!Q31/SER_hh_fec!Q31)</f>
        <v>0.6115158893235545</v>
      </c>
      <c r="R31" s="136">
        <f>IF(SER_hh_tes!R31=0,"",SER_hh_tes!R31/SER_hh_fec!R31)</f>
        <v>0.61220265857517675</v>
      </c>
      <c r="S31" s="136">
        <f>IF(SER_hh_tes!S31=0,"",SER_hh_tes!S31/SER_hh_fec!S31)</f>
        <v>0.6133249256955059</v>
      </c>
      <c r="T31" s="136">
        <f>IF(SER_hh_tes!T31=0,"",SER_hh_tes!T31/SER_hh_fec!T31)</f>
        <v>0.61488939165933199</v>
      </c>
      <c r="U31" s="136">
        <f>IF(SER_hh_tes!U31=0,"",SER_hh_tes!U31/SER_hh_fec!U31)</f>
        <v>0.61683314676184342</v>
      </c>
      <c r="V31" s="136">
        <f>IF(SER_hh_tes!V31=0,"",SER_hh_tes!V31/SER_hh_fec!V31)</f>
        <v>0.61891849277408306</v>
      </c>
      <c r="W31" s="136">
        <f>IF(SER_hh_tes!W31=0,"",SER_hh_tes!W31/SER_hh_fec!W31)</f>
        <v>0.6212719494027672</v>
      </c>
      <c r="X31" s="136">
        <f>IF(SER_hh_tes!X31=0,"",SER_hh_tes!X31/SER_hh_fec!X31)</f>
        <v>0.62337243754275118</v>
      </c>
      <c r="Y31" s="136">
        <f>IF(SER_hh_tes!Y31=0,"",SER_hh_tes!Y31/SER_hh_fec!Y31)</f>
        <v>0.62517926942711122</v>
      </c>
      <c r="DA31" s="163" t="s">
        <v>354</v>
      </c>
    </row>
    <row r="32" spans="1:105" ht="12" customHeight="1" x14ac:dyDescent="0.25">
      <c r="A32" s="131" t="s">
        <v>128</v>
      </c>
      <c r="B32" s="136">
        <f>IF(SER_hh_tes!B32=0,"",SER_hh_tes!B32/SER_hh_fec!B32)</f>
        <v>0.56291106742542418</v>
      </c>
      <c r="C32" s="136">
        <f>IF(SER_hh_tes!C32=0,"",SER_hh_tes!C32/SER_hh_fec!C32)</f>
        <v>0.56351385076292837</v>
      </c>
      <c r="D32" s="136">
        <f>IF(SER_hh_tes!D32=0,"",SER_hh_tes!D32/SER_hh_fec!D32)</f>
        <v>0.56416231222541313</v>
      </c>
      <c r="E32" s="136">
        <f>IF(SER_hh_tes!E32=0,"",SER_hh_tes!E32/SER_hh_fec!E32)</f>
        <v>0.56478693494504595</v>
      </c>
      <c r="F32" s="136">
        <f>IF(SER_hh_tes!F32=0,"",SER_hh_tes!F32/SER_hh_fec!F32)</f>
        <v>0.5654760714855942</v>
      </c>
      <c r="G32" s="136">
        <f>IF(SER_hh_tes!G32=0,"",SER_hh_tes!G32/SER_hh_fec!G32)</f>
        <v>0.56616343925186052</v>
      </c>
      <c r="H32" s="136">
        <f>IF(SER_hh_tes!H32=0,"",SER_hh_tes!H32/SER_hh_fec!H32)</f>
        <v>0.5669240267048663</v>
      </c>
      <c r="I32" s="136">
        <f>IF(SER_hh_tes!I32=0,"",SER_hh_tes!I32/SER_hh_fec!I32)</f>
        <v>0.56775647053770439</v>
      </c>
      <c r="J32" s="136">
        <f>IF(SER_hh_tes!J32=0,"",SER_hh_tes!J32/SER_hh_fec!J32)</f>
        <v>0.56872121864060454</v>
      </c>
      <c r="K32" s="136">
        <f>IF(SER_hh_tes!K32=0,"",SER_hh_tes!K32/SER_hh_fec!K32)</f>
        <v>0.56983345803436958</v>
      </c>
      <c r="L32" s="136">
        <f>IF(SER_hh_tes!L32=0,"",SER_hh_tes!L32/SER_hh_fec!L32)</f>
        <v>0.57066454768202723</v>
      </c>
      <c r="M32" s="136">
        <f>IF(SER_hh_tes!M32=0,"",SER_hh_tes!M32/SER_hh_fec!M32)</f>
        <v>0.57083534162500449</v>
      </c>
      <c r="N32" s="136">
        <f>IF(SER_hh_tes!N32=0,"",SER_hh_tes!N32/SER_hh_fec!N32)</f>
        <v>0.5711081058911317</v>
      </c>
      <c r="O32" s="136">
        <f>IF(SER_hh_tes!O32=0,"",SER_hh_tes!O32/SER_hh_fec!O32)</f>
        <v>0.57146012793429024</v>
      </c>
      <c r="P32" s="136">
        <f>IF(SER_hh_tes!P32=0,"",SER_hh_tes!P32/SER_hh_fec!P32)</f>
        <v>0.5718071465154636</v>
      </c>
      <c r="Q32" s="136">
        <f>IF(SER_hh_tes!Q32=0,"",SER_hh_tes!Q32/SER_hh_fec!Q32)</f>
        <v>0.57224079089934921</v>
      </c>
      <c r="R32" s="136">
        <f>IF(SER_hh_tes!R32=0,"",SER_hh_tes!R32/SER_hh_fec!R32)</f>
        <v>0.5729738101429126</v>
      </c>
      <c r="S32" s="136">
        <f>IF(SER_hh_tes!S32=0,"",SER_hh_tes!S32/SER_hh_fec!S32)</f>
        <v>0.57417239869286607</v>
      </c>
      <c r="T32" s="136">
        <f>IF(SER_hh_tes!T32=0,"",SER_hh_tes!T32/SER_hh_fec!T32)</f>
        <v>0.57594955646589252</v>
      </c>
      <c r="U32" s="136">
        <f>IF(SER_hh_tes!U32=0,"",SER_hh_tes!U32/SER_hh_fec!U32)</f>
        <v>0.57807135080958971</v>
      </c>
      <c r="V32" s="136">
        <f>IF(SER_hh_tes!V32=0,"",SER_hh_tes!V32/SER_hh_fec!V32)</f>
        <v>0.57995614632226078</v>
      </c>
      <c r="W32" s="136">
        <f>IF(SER_hh_tes!W32=0,"",SER_hh_tes!W32/SER_hh_fec!W32)</f>
        <v>0.58156563154816532</v>
      </c>
      <c r="X32" s="136">
        <f>IF(SER_hh_tes!X32=0,"",SER_hh_tes!X32/SER_hh_fec!X32)</f>
        <v>0.58304554459760249</v>
      </c>
      <c r="Y32" s="136">
        <f>IF(SER_hh_tes!Y32=0,"",SER_hh_tes!Y32/SER_hh_fec!Y32)</f>
        <v>0.58450764811619649</v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0.78639833202920162</v>
      </c>
      <c r="C33" s="149">
        <f>IF(SER_hh_tes!C33=0,"",SER_hh_tes!C33/SER_hh_fec!C33)</f>
        <v>0.78746168371825653</v>
      </c>
      <c r="D33" s="149">
        <f>IF(SER_hh_tes!D33=0,"",SER_hh_tes!D33/SER_hh_fec!D33)</f>
        <v>0.78802962243824271</v>
      </c>
      <c r="E33" s="149">
        <f>IF(SER_hh_tes!E33=0,"",SER_hh_tes!E33/SER_hh_fec!E33)</f>
        <v>0.78893146613973086</v>
      </c>
      <c r="F33" s="149">
        <f>IF(SER_hh_tes!F33=0,"",SER_hh_tes!F33/SER_hh_fec!F33)</f>
        <v>0.79085698699163132</v>
      </c>
      <c r="G33" s="149">
        <f>IF(SER_hh_tes!G33=0,"",SER_hh_tes!G33/SER_hh_fec!G33)</f>
        <v>0.79316218990559095</v>
      </c>
      <c r="H33" s="149">
        <f>IF(SER_hh_tes!H33=0,"",SER_hh_tes!H33/SER_hh_fec!H33)</f>
        <v>0.79586193471888811</v>
      </c>
      <c r="I33" s="149">
        <f>IF(SER_hh_tes!I33=0,"",SER_hh_tes!I33/SER_hh_fec!I33)</f>
        <v>0.79885643434313403</v>
      </c>
      <c r="J33" s="149">
        <f>IF(SER_hh_tes!J33=0,"",SER_hh_tes!J33/SER_hh_fec!J33)</f>
        <v>0.80119982412021229</v>
      </c>
      <c r="K33" s="149">
        <f>IF(SER_hh_tes!K33=0,"",SER_hh_tes!K33/SER_hh_fec!K33)</f>
        <v>0.80344004482097386</v>
      </c>
      <c r="L33" s="149">
        <f>IF(SER_hh_tes!L33=0,"",SER_hh_tes!L33/SER_hh_fec!L33)</f>
        <v>0.80533700628881344</v>
      </c>
      <c r="M33" s="149">
        <f>IF(SER_hh_tes!M33=0,"",SER_hh_tes!M33/SER_hh_fec!M33)</f>
        <v>0.8060417628324904</v>
      </c>
      <c r="N33" s="149">
        <f>IF(SER_hh_tes!N33=0,"",SER_hh_tes!N33/SER_hh_fec!N33)</f>
        <v>0.80753076064690321</v>
      </c>
      <c r="O33" s="149">
        <f>IF(SER_hh_tes!O33=0,"",SER_hh_tes!O33/SER_hh_fec!O33)</f>
        <v>0.80923887324419619</v>
      </c>
      <c r="P33" s="149">
        <f>IF(SER_hh_tes!P33=0,"",SER_hh_tes!P33/SER_hh_fec!P33)</f>
        <v>0.81109282641770308</v>
      </c>
      <c r="Q33" s="149">
        <f>IF(SER_hh_tes!Q33=0,"",SER_hh_tes!Q33/SER_hh_fec!Q33)</f>
        <v>0.81348983821414012</v>
      </c>
      <c r="R33" s="149">
        <f>IF(SER_hh_tes!R33=0,"",SER_hh_tes!R33/SER_hh_fec!R33)</f>
        <v>0.8173672934166003</v>
      </c>
      <c r="S33" s="149">
        <f>IF(SER_hh_tes!S33=0,"",SER_hh_tes!S33/SER_hh_fec!S33)</f>
        <v>0.82239463397871926</v>
      </c>
      <c r="T33" s="149">
        <f>IF(SER_hh_tes!T33=0,"",SER_hh_tes!T33/SER_hh_fec!T33)</f>
        <v>0.82887738975264613</v>
      </c>
      <c r="U33" s="149">
        <f>IF(SER_hh_tes!U33=0,"",SER_hh_tes!U33/SER_hh_fec!U33)</f>
        <v>0.83606421717260659</v>
      </c>
      <c r="V33" s="149">
        <f>IF(SER_hh_tes!V33=0,"",SER_hh_tes!V33/SER_hh_fec!V33)</f>
        <v>0.84309987922078722</v>
      </c>
      <c r="W33" s="149">
        <f>IF(SER_hh_tes!W33=0,"",SER_hh_tes!W33/SER_hh_fec!W33)</f>
        <v>0.84990911408330538</v>
      </c>
      <c r="X33" s="149">
        <f>IF(SER_hh_tes!X33=0,"",SER_hh_tes!X33/SER_hh_fec!X33)</f>
        <v>0.85793735663514414</v>
      </c>
      <c r="Y33" s="149">
        <f>IF(SER_hh_tes!Y33=0,"",SER_hh_tes!Y33/SER_hh_fec!Y33)</f>
        <v>0.86680234223164176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2958.9846021202115</v>
      </c>
      <c r="C3" s="125">
        <f t="shared" si="0"/>
        <v>3964.3284480581283</v>
      </c>
      <c r="D3" s="125">
        <f t="shared" si="0"/>
        <v>3828.1061311640683</v>
      </c>
      <c r="E3" s="125">
        <f t="shared" si="0"/>
        <v>4490.2416591065348</v>
      </c>
      <c r="F3" s="125">
        <f t="shared" si="0"/>
        <v>4332.3450981125206</v>
      </c>
      <c r="G3" s="125">
        <f t="shared" si="0"/>
        <v>3602.8330299266681</v>
      </c>
      <c r="H3" s="125">
        <f t="shared" si="0"/>
        <v>3628.195402503492</v>
      </c>
      <c r="I3" s="125">
        <f t="shared" si="0"/>
        <v>2650.5417977914776</v>
      </c>
      <c r="J3" s="125">
        <f t="shared" si="0"/>
        <v>2841.3335942386202</v>
      </c>
      <c r="K3" s="125">
        <f t="shared" si="0"/>
        <v>2272.3018284222048</v>
      </c>
      <c r="L3" s="125">
        <f t="shared" si="0"/>
        <v>1765.8278098876922</v>
      </c>
      <c r="M3" s="125">
        <f t="shared" si="0"/>
        <v>1581.3454966463896</v>
      </c>
      <c r="N3" s="125">
        <f t="shared" si="0"/>
        <v>1435.9855202092947</v>
      </c>
      <c r="O3" s="125">
        <f t="shared" si="0"/>
        <v>1436.7450878015629</v>
      </c>
      <c r="P3" s="125">
        <f t="shared" si="0"/>
        <v>1311.4538559823141</v>
      </c>
      <c r="Q3" s="125">
        <f t="shared" si="0"/>
        <v>1383.7824532074046</v>
      </c>
      <c r="R3" s="125">
        <f t="shared" ref="R3:W3" si="1">SUM(R4,R16,R19,R29)</f>
        <v>1291.8092374800001</v>
      </c>
      <c r="S3" s="125">
        <f t="shared" si="1"/>
        <v>1498.5978030000006</v>
      </c>
      <c r="T3" s="125">
        <f t="shared" si="1"/>
        <v>1377.5239666799987</v>
      </c>
      <c r="U3" s="125">
        <f t="shared" si="1"/>
        <v>1395.4205465041055</v>
      </c>
      <c r="V3" s="125">
        <f t="shared" si="1"/>
        <v>1342.6574775175739</v>
      </c>
      <c r="W3" s="125">
        <f t="shared" si="1"/>
        <v>1590.5030007600176</v>
      </c>
      <c r="X3" s="125">
        <f t="shared" ref="X3:Y3" si="2">SUM(X4,X16,X19,X29)</f>
        <v>1278.7645181873434</v>
      </c>
      <c r="Y3" s="125">
        <f t="shared" si="2"/>
        <v>1128.9323605953077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2477.8261612112692</v>
      </c>
      <c r="C4" s="130">
        <f t="shared" si="3"/>
        <v>3440.9366136944773</v>
      </c>
      <c r="D4" s="130">
        <f t="shared" si="3"/>
        <v>3208.1376720367984</v>
      </c>
      <c r="E4" s="130">
        <f t="shared" si="3"/>
        <v>3828.1469452042038</v>
      </c>
      <c r="F4" s="130">
        <f t="shared" si="3"/>
        <v>3625.2032302116522</v>
      </c>
      <c r="G4" s="130">
        <f t="shared" si="3"/>
        <v>2940.1147547166597</v>
      </c>
      <c r="H4" s="130">
        <f t="shared" si="3"/>
        <v>2981.9080725150948</v>
      </c>
      <c r="I4" s="130">
        <f t="shared" si="3"/>
        <v>2065.4170811836439</v>
      </c>
      <c r="J4" s="130">
        <f t="shared" si="3"/>
        <v>2300.8516566439539</v>
      </c>
      <c r="K4" s="130">
        <f t="shared" si="3"/>
        <v>1716.8991133212965</v>
      </c>
      <c r="L4" s="130">
        <f t="shared" si="3"/>
        <v>1187.9942246366616</v>
      </c>
      <c r="M4" s="130">
        <f t="shared" si="3"/>
        <v>1039.2558357106639</v>
      </c>
      <c r="N4" s="130">
        <f t="shared" si="3"/>
        <v>1044.196472257411</v>
      </c>
      <c r="O4" s="130">
        <f t="shared" si="3"/>
        <v>1045.2570813616317</v>
      </c>
      <c r="P4" s="130">
        <f t="shared" si="3"/>
        <v>924.14443301698725</v>
      </c>
      <c r="Q4" s="130">
        <f t="shared" si="3"/>
        <v>997.16878705061492</v>
      </c>
      <c r="R4" s="130">
        <f t="shared" ref="R4:W4" si="4">SUM(R5:R15)</f>
        <v>907.91858436182883</v>
      </c>
      <c r="S4" s="130">
        <f t="shared" si="4"/>
        <v>1102.1451528622711</v>
      </c>
      <c r="T4" s="130">
        <f t="shared" si="4"/>
        <v>984.80752023282355</v>
      </c>
      <c r="U4" s="130">
        <f t="shared" si="4"/>
        <v>998.01353244558595</v>
      </c>
      <c r="V4" s="130">
        <f t="shared" si="4"/>
        <v>974.9400464438944</v>
      </c>
      <c r="W4" s="130">
        <f t="shared" si="4"/>
        <v>1200.0053133478414</v>
      </c>
      <c r="X4" s="130">
        <f t="shared" ref="X4:Y4" si="5">SUM(X5:X15)</f>
        <v>880.18048464583558</v>
      </c>
      <c r="Y4" s="130">
        <f t="shared" si="5"/>
        <v>707.06359914459244</v>
      </c>
      <c r="DA4" s="155" t="s">
        <v>234</v>
      </c>
    </row>
    <row r="5" spans="1:105" ht="12" customHeight="1" x14ac:dyDescent="0.25">
      <c r="A5" s="131" t="s">
        <v>29</v>
      </c>
      <c r="B5" s="132">
        <v>108.63683516021109</v>
      </c>
      <c r="C5" s="132">
        <v>115.70874365812817</v>
      </c>
      <c r="D5" s="132">
        <v>81.513682964068124</v>
      </c>
      <c r="E5" s="132">
        <v>112.22350542653277</v>
      </c>
      <c r="F5" s="132">
        <v>81.045471672520065</v>
      </c>
      <c r="G5" s="132">
        <v>67.264527806668895</v>
      </c>
      <c r="H5" s="132">
        <v>49.080088263491618</v>
      </c>
      <c r="I5" s="132">
        <v>38.685383991478012</v>
      </c>
      <c r="J5" s="132">
        <v>23.820653278620302</v>
      </c>
      <c r="K5" s="132">
        <v>18.147125302205318</v>
      </c>
      <c r="L5" s="132">
        <v>20.302414447691973</v>
      </c>
      <c r="M5" s="132">
        <v>14.245010486388994</v>
      </c>
      <c r="N5" s="132">
        <v>0.28763324929536299</v>
      </c>
      <c r="O5" s="132">
        <v>0.72282824156378578</v>
      </c>
      <c r="P5" s="132">
        <v>9.0955702314335127E-2</v>
      </c>
      <c r="Q5" s="132">
        <v>6.2605007404109375E-2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1090.0302972500367</v>
      </c>
      <c r="C7" s="132">
        <v>1501.4348865049587</v>
      </c>
      <c r="D7" s="132">
        <v>1498.280743520221</v>
      </c>
      <c r="E7" s="132">
        <v>1861.0945140736765</v>
      </c>
      <c r="F7" s="132">
        <v>1328.0532625367618</v>
      </c>
      <c r="G7" s="132">
        <v>1698.0356071985934</v>
      </c>
      <c r="H7" s="132">
        <v>1716.6017535663193</v>
      </c>
      <c r="I7" s="132">
        <v>1169.0568249014275</v>
      </c>
      <c r="J7" s="132">
        <v>1368.0955275696638</v>
      </c>
      <c r="K7" s="132">
        <v>1058.9781108505895</v>
      </c>
      <c r="L7" s="132">
        <v>483.46460267801393</v>
      </c>
      <c r="M7" s="132">
        <v>471.50492126317243</v>
      </c>
      <c r="N7" s="132">
        <v>391.37539239073044</v>
      </c>
      <c r="O7" s="132">
        <v>388.54060713945893</v>
      </c>
      <c r="P7" s="132">
        <v>427.3331074523889</v>
      </c>
      <c r="Q7" s="132">
        <v>447.62311448907042</v>
      </c>
      <c r="R7" s="132">
        <v>409.17141190422672</v>
      </c>
      <c r="S7" s="132">
        <v>562.65039973103785</v>
      </c>
      <c r="T7" s="132">
        <v>492.05960584908848</v>
      </c>
      <c r="U7" s="132">
        <v>457.44199769134707</v>
      </c>
      <c r="V7" s="132">
        <v>448.84650220001191</v>
      </c>
      <c r="W7" s="132">
        <v>574.37323413688864</v>
      </c>
      <c r="X7" s="132">
        <v>482.89199264658322</v>
      </c>
      <c r="Y7" s="132">
        <v>260.05227562911415</v>
      </c>
      <c r="DA7" s="156" t="s">
        <v>360</v>
      </c>
    </row>
    <row r="8" spans="1:105" ht="12" customHeight="1" x14ac:dyDescent="0.25">
      <c r="A8" s="131" t="s">
        <v>73</v>
      </c>
      <c r="B8" s="132">
        <v>7.0820451070676125</v>
      </c>
      <c r="C8" s="132">
        <v>9.3402407545250892</v>
      </c>
      <c r="D8" s="132">
        <v>9.4784645532248124</v>
      </c>
      <c r="E8" s="132">
        <v>11.807345279899822</v>
      </c>
      <c r="F8" s="132">
        <v>12.63321492442619</v>
      </c>
      <c r="G8" s="132">
        <v>12.311739672969644</v>
      </c>
      <c r="H8" s="132">
        <v>13.529310375599955</v>
      </c>
      <c r="I8" s="132">
        <v>10.947715199616436</v>
      </c>
      <c r="J8" s="132">
        <v>12.411827571518405</v>
      </c>
      <c r="K8" s="132">
        <v>10.078539544036571</v>
      </c>
      <c r="L8" s="132">
        <v>9.5153331319584513</v>
      </c>
      <c r="M8" s="132">
        <v>8.5521995448542061</v>
      </c>
      <c r="N8" s="132">
        <v>7.83247492627169</v>
      </c>
      <c r="O8" s="132">
        <v>6.9216777049520744</v>
      </c>
      <c r="P8" s="132">
        <v>6.4835526738716096</v>
      </c>
      <c r="Q8" s="132">
        <v>6.4890325018278929</v>
      </c>
      <c r="R8" s="132">
        <v>6.6581166064583535</v>
      </c>
      <c r="S8" s="132">
        <v>7.3312781156655724</v>
      </c>
      <c r="T8" s="132">
        <v>6.8261970318287482</v>
      </c>
      <c r="U8" s="132">
        <v>6.9513293743389104</v>
      </c>
      <c r="V8" s="132">
        <v>5.8435110652848534</v>
      </c>
      <c r="W8" s="132">
        <v>6.5984733970901015</v>
      </c>
      <c r="X8" s="132">
        <v>5.5844252642402994</v>
      </c>
      <c r="Y8" s="132">
        <v>4.8505427238543524</v>
      </c>
      <c r="DA8" s="156" t="s">
        <v>361</v>
      </c>
    </row>
    <row r="9" spans="1:105" ht="12" customHeight="1" x14ac:dyDescent="0.25">
      <c r="A9" s="131" t="s">
        <v>78</v>
      </c>
      <c r="B9" s="132">
        <v>1203.7788149239836</v>
      </c>
      <c r="C9" s="132">
        <v>1737.2356260291103</v>
      </c>
      <c r="D9" s="132">
        <v>1543.2244988092602</v>
      </c>
      <c r="E9" s="132">
        <v>1761.6374291964059</v>
      </c>
      <c r="F9" s="132">
        <v>2137.2567888837084</v>
      </c>
      <c r="G9" s="132">
        <v>1030.3215510800599</v>
      </c>
      <c r="H9" s="132">
        <v>1112.8768494314231</v>
      </c>
      <c r="I9" s="132">
        <v>806.15341909628114</v>
      </c>
      <c r="J9" s="132">
        <v>890.08695140355644</v>
      </c>
      <c r="K9" s="132">
        <v>623.2150004874436</v>
      </c>
      <c r="L9" s="132">
        <v>667.31780788019432</v>
      </c>
      <c r="M9" s="132">
        <v>539.03400175515833</v>
      </c>
      <c r="N9" s="132">
        <v>644.70097169111352</v>
      </c>
      <c r="O9" s="132">
        <v>649.07196827565701</v>
      </c>
      <c r="P9" s="132">
        <v>490.23681718841237</v>
      </c>
      <c r="Q9" s="132">
        <v>542.99403505231248</v>
      </c>
      <c r="R9" s="132">
        <v>492.08905585114377</v>
      </c>
      <c r="S9" s="132">
        <v>532.16347501556777</v>
      </c>
      <c r="T9" s="132">
        <v>485.9217173519063</v>
      </c>
      <c r="U9" s="132">
        <v>533.62020537989997</v>
      </c>
      <c r="V9" s="132">
        <v>520.25003317859762</v>
      </c>
      <c r="W9" s="132">
        <v>619.03360581386278</v>
      </c>
      <c r="X9" s="132">
        <v>391.70406673501213</v>
      </c>
      <c r="Y9" s="132">
        <v>442.16078079162401</v>
      </c>
      <c r="DA9" s="156" t="s">
        <v>362</v>
      </c>
    </row>
    <row r="10" spans="1:105" ht="12" customHeight="1" x14ac:dyDescent="0.25">
      <c r="A10" s="131" t="s">
        <v>128</v>
      </c>
      <c r="B10" s="132">
        <v>68.298168769970218</v>
      </c>
      <c r="C10" s="132">
        <v>77.217116747755114</v>
      </c>
      <c r="D10" s="132">
        <v>75.640282190024308</v>
      </c>
      <c r="E10" s="132">
        <v>81.38415122768869</v>
      </c>
      <c r="F10" s="132">
        <v>66.214492194235532</v>
      </c>
      <c r="G10" s="132">
        <v>132.18132895836806</v>
      </c>
      <c r="H10" s="132">
        <v>89.820070878260566</v>
      </c>
      <c r="I10" s="132">
        <v>40.573737994840791</v>
      </c>
      <c r="J10" s="132">
        <v>6.436696820594852</v>
      </c>
      <c r="K10" s="132">
        <v>6.4803371370214862</v>
      </c>
      <c r="L10" s="132">
        <v>7.3940664988029416</v>
      </c>
      <c r="M10" s="132">
        <v>5.9197026610898185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9.1592199936101029E-2</v>
      </c>
      <c r="C16" s="130">
        <f t="shared" si="6"/>
        <v>9.8737193669760651E-2</v>
      </c>
      <c r="D16" s="130">
        <f t="shared" si="6"/>
        <v>0.11865895179222749</v>
      </c>
      <c r="E16" s="130">
        <f t="shared" si="6"/>
        <v>0.13643098188183198</v>
      </c>
      <c r="F16" s="130">
        <f t="shared" si="6"/>
        <v>0.15646359647247934</v>
      </c>
      <c r="G16" s="130">
        <f t="shared" si="6"/>
        <v>0.18295176303785432</v>
      </c>
      <c r="H16" s="130">
        <f t="shared" si="6"/>
        <v>0.21439011040192282</v>
      </c>
      <c r="I16" s="130">
        <f t="shared" si="6"/>
        <v>0.26629055421130038</v>
      </c>
      <c r="J16" s="130">
        <f t="shared" si="6"/>
        <v>0.30159804998504186</v>
      </c>
      <c r="K16" s="130">
        <f t="shared" si="6"/>
        <v>0.36177964884406999</v>
      </c>
      <c r="L16" s="130">
        <f t="shared" si="6"/>
        <v>0.40885384886849391</v>
      </c>
      <c r="M16" s="130">
        <f t="shared" si="6"/>
        <v>0.46689021870678249</v>
      </c>
      <c r="N16" s="130">
        <f t="shared" si="6"/>
        <v>0.51141731829564419</v>
      </c>
      <c r="O16" s="130">
        <f t="shared" si="6"/>
        <v>0.61024454346331636</v>
      </c>
      <c r="P16" s="130">
        <f t="shared" si="6"/>
        <v>0.60039475523992036</v>
      </c>
      <c r="Q16" s="130">
        <f t="shared" si="6"/>
        <v>0.82506148777543986</v>
      </c>
      <c r="R16" s="130">
        <f t="shared" ref="R16:W16" si="7">SUM(R17:R18)</f>
        <v>0.73696546267913277</v>
      </c>
      <c r="S16" s="130">
        <f t="shared" si="7"/>
        <v>0.8753845565530689</v>
      </c>
      <c r="T16" s="130">
        <f t="shared" si="7"/>
        <v>0.91952361254854542</v>
      </c>
      <c r="U16" s="130">
        <f t="shared" si="7"/>
        <v>1.049661857608063</v>
      </c>
      <c r="V16" s="130">
        <f t="shared" si="7"/>
        <v>0.98128313192566785</v>
      </c>
      <c r="W16" s="130">
        <f t="shared" si="7"/>
        <v>1.0522650699086018</v>
      </c>
      <c r="X16" s="130">
        <f t="shared" ref="X16:Y16" si="8">SUM(X17:X18)</f>
        <v>1.1195438104000053</v>
      </c>
      <c r="Y16" s="130">
        <f t="shared" si="8"/>
        <v>1.2354859329598702</v>
      </c>
      <c r="DA16" s="155" t="s">
        <v>235</v>
      </c>
    </row>
    <row r="17" spans="1:105" ht="12.95" customHeight="1" x14ac:dyDescent="0.25">
      <c r="A17" s="131" t="s">
        <v>73</v>
      </c>
      <c r="B17" s="132">
        <v>9.1592199936101029E-2</v>
      </c>
      <c r="C17" s="132">
        <v>9.8737193669760651E-2</v>
      </c>
      <c r="D17" s="132">
        <v>0.11865895179222749</v>
      </c>
      <c r="E17" s="132">
        <v>0.13643098188183198</v>
      </c>
      <c r="F17" s="132">
        <v>0.15646359647247934</v>
      </c>
      <c r="G17" s="132">
        <v>0.18295176303785432</v>
      </c>
      <c r="H17" s="132">
        <v>0.21439011040192282</v>
      </c>
      <c r="I17" s="132">
        <v>0.26629055421130038</v>
      </c>
      <c r="J17" s="132">
        <v>0.30159804998504186</v>
      </c>
      <c r="K17" s="132">
        <v>0.36177964884406999</v>
      </c>
      <c r="L17" s="132">
        <v>0.40885384886849391</v>
      </c>
      <c r="M17" s="132">
        <v>0.46689021870678249</v>
      </c>
      <c r="N17" s="132">
        <v>0.51141731829564419</v>
      </c>
      <c r="O17" s="132">
        <v>0.61024454346331636</v>
      </c>
      <c r="P17" s="132">
        <v>0.60039475523992036</v>
      </c>
      <c r="Q17" s="132">
        <v>0.82506148777543986</v>
      </c>
      <c r="R17" s="132">
        <v>0.73696546267913277</v>
      </c>
      <c r="S17" s="132">
        <v>0.8753845565530689</v>
      </c>
      <c r="T17" s="132">
        <v>0.91952361254854542</v>
      </c>
      <c r="U17" s="132">
        <v>1.049661857608063</v>
      </c>
      <c r="V17" s="132">
        <v>0.98128313192566785</v>
      </c>
      <c r="W17" s="132">
        <v>1.0522650699086018</v>
      </c>
      <c r="X17" s="132">
        <v>1.1195438104000053</v>
      </c>
      <c r="Y17" s="132">
        <v>1.2354859329598702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316.08948394252212</v>
      </c>
      <c r="C19" s="130">
        <f t="shared" si="9"/>
        <v>321.40900924139464</v>
      </c>
      <c r="D19" s="130">
        <f t="shared" si="9"/>
        <v>321.16790351134199</v>
      </c>
      <c r="E19" s="130">
        <f t="shared" si="9"/>
        <v>322.85927960343412</v>
      </c>
      <c r="F19" s="130">
        <f t="shared" si="9"/>
        <v>320.29467624481487</v>
      </c>
      <c r="G19" s="130">
        <f t="shared" si="9"/>
        <v>317.59984902688365</v>
      </c>
      <c r="H19" s="130">
        <f t="shared" si="9"/>
        <v>301.43988213724674</v>
      </c>
      <c r="I19" s="130">
        <f t="shared" si="9"/>
        <v>288.30800497180093</v>
      </c>
      <c r="J19" s="130">
        <f t="shared" si="9"/>
        <v>265.80664969063645</v>
      </c>
      <c r="K19" s="130">
        <f t="shared" si="9"/>
        <v>254.5722224475636</v>
      </c>
      <c r="L19" s="130">
        <f t="shared" si="9"/>
        <v>217.36594315005308</v>
      </c>
      <c r="M19" s="130">
        <f t="shared" si="9"/>
        <v>200.53305410690169</v>
      </c>
      <c r="N19" s="130">
        <f t="shared" si="9"/>
        <v>159.33074648480405</v>
      </c>
      <c r="O19" s="130">
        <f t="shared" si="9"/>
        <v>156.69614640842337</v>
      </c>
      <c r="P19" s="130">
        <f t="shared" si="9"/>
        <v>151.01049682721111</v>
      </c>
      <c r="Q19" s="130">
        <f t="shared" si="9"/>
        <v>147.45878328844111</v>
      </c>
      <c r="R19" s="130">
        <f t="shared" ref="R19:W19" si="10">SUM(R20:R27)</f>
        <v>145.44386324937821</v>
      </c>
      <c r="S19" s="130">
        <f t="shared" si="10"/>
        <v>144.19031804713103</v>
      </c>
      <c r="T19" s="130">
        <f t="shared" si="10"/>
        <v>140.08003128151159</v>
      </c>
      <c r="U19" s="130">
        <f t="shared" si="10"/>
        <v>134.9768835921804</v>
      </c>
      <c r="V19" s="130">
        <f t="shared" si="10"/>
        <v>123.11337065984472</v>
      </c>
      <c r="W19" s="130">
        <f t="shared" si="10"/>
        <v>131.8941575463366</v>
      </c>
      <c r="X19" s="130">
        <f t="shared" ref="X19:Y19" si="11">SUM(X20:X27)</f>
        <v>144.62616928565365</v>
      </c>
      <c r="Y19" s="130">
        <f t="shared" si="11"/>
        <v>151.48121190008791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41.278354129562217</v>
      </c>
      <c r="C21" s="132">
        <v>47.967697011082862</v>
      </c>
      <c r="D21" s="132">
        <v>49.913287403780167</v>
      </c>
      <c r="E21" s="132">
        <v>54.054359534553896</v>
      </c>
      <c r="F21" s="132">
        <v>56.111919881100306</v>
      </c>
      <c r="G21" s="132">
        <v>57.149017566403046</v>
      </c>
      <c r="H21" s="132">
        <v>57.7080813630104</v>
      </c>
      <c r="I21" s="132">
        <v>57.112388373744082</v>
      </c>
      <c r="J21" s="132">
        <v>53.98035029183211</v>
      </c>
      <c r="K21" s="132">
        <v>48.660453867351364</v>
      </c>
      <c r="L21" s="132">
        <v>34.027956268398668</v>
      </c>
      <c r="M21" s="132">
        <v>23.966055147472058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372</v>
      </c>
    </row>
    <row r="22" spans="1:105" ht="12" customHeight="1" x14ac:dyDescent="0.25">
      <c r="A22" s="131" t="s">
        <v>161</v>
      </c>
      <c r="B22" s="132">
        <v>208.27437558996323</v>
      </c>
      <c r="C22" s="132">
        <v>206.16796097504155</v>
      </c>
      <c r="D22" s="132">
        <v>203.28377355977904</v>
      </c>
      <c r="E22" s="132">
        <v>200.78968984632431</v>
      </c>
      <c r="F22" s="132">
        <v>196.7050193832377</v>
      </c>
      <c r="G22" s="132">
        <v>183.68531368140634</v>
      </c>
      <c r="H22" s="132">
        <v>170.52484739368137</v>
      </c>
      <c r="I22" s="132">
        <v>161.59315997857283</v>
      </c>
      <c r="J22" s="132">
        <v>144.62562803033663</v>
      </c>
      <c r="K22" s="132">
        <v>138.32566902941019</v>
      </c>
      <c r="L22" s="132">
        <v>115.44589596198627</v>
      </c>
      <c r="M22" s="132">
        <v>108.48262053682805</v>
      </c>
      <c r="N22" s="132">
        <v>91.386698129269519</v>
      </c>
      <c r="O22" s="132">
        <v>87.07853582054112</v>
      </c>
      <c r="P22" s="132">
        <v>80.896553787611069</v>
      </c>
      <c r="Q22" s="132">
        <v>75.91910895092974</v>
      </c>
      <c r="R22" s="132">
        <v>73.99688713577325</v>
      </c>
      <c r="S22" s="132">
        <v>73.537869228962563</v>
      </c>
      <c r="T22" s="132">
        <v>70.073703550911191</v>
      </c>
      <c r="U22" s="132">
        <v>66.580461788652599</v>
      </c>
      <c r="V22" s="132">
        <v>58.434918319988554</v>
      </c>
      <c r="W22" s="132">
        <v>62.04627578311112</v>
      </c>
      <c r="X22" s="132">
        <v>65.194094793416738</v>
      </c>
      <c r="Y22" s="132">
        <v>67.206792850886075</v>
      </c>
      <c r="DA22" s="156" t="s">
        <v>373</v>
      </c>
    </row>
    <row r="23" spans="1:105" ht="12" customHeight="1" x14ac:dyDescent="0.25">
      <c r="A23" s="131" t="s">
        <v>149</v>
      </c>
      <c r="B23" s="132">
        <v>58.838709113379785</v>
      </c>
      <c r="C23" s="132">
        <v>59.184849567739413</v>
      </c>
      <c r="D23" s="132">
        <v>60.000448328788323</v>
      </c>
      <c r="E23" s="132">
        <v>60.767017379135588</v>
      </c>
      <c r="F23" s="132">
        <v>62.035595867702547</v>
      </c>
      <c r="G23" s="132">
        <v>63.221604234703271</v>
      </c>
      <c r="H23" s="132">
        <v>64.682613376080852</v>
      </c>
      <c r="I23" s="132">
        <v>65.504092149195642</v>
      </c>
      <c r="J23" s="132">
        <v>66.388819059495248</v>
      </c>
      <c r="K23" s="132">
        <v>66.764668920635188</v>
      </c>
      <c r="L23" s="132">
        <v>67.143580627542292</v>
      </c>
      <c r="M23" s="132">
        <v>67.301881757038416</v>
      </c>
      <c r="N23" s="132">
        <v>67.944048355534534</v>
      </c>
      <c r="O23" s="132">
        <v>69.61761058788224</v>
      </c>
      <c r="P23" s="132">
        <v>70.113943039600045</v>
      </c>
      <c r="Q23" s="132">
        <v>71.539674337511386</v>
      </c>
      <c r="R23" s="132">
        <v>71.446976113604961</v>
      </c>
      <c r="S23" s="132">
        <v>70.652448818168452</v>
      </c>
      <c r="T23" s="132">
        <v>70.00632773060039</v>
      </c>
      <c r="U23" s="132">
        <v>68.396421803527801</v>
      </c>
      <c r="V23" s="132">
        <v>64.678452339856165</v>
      </c>
      <c r="W23" s="132">
        <v>69.847881763225487</v>
      </c>
      <c r="X23" s="132">
        <v>79.432074492236893</v>
      </c>
      <c r="Y23" s="132">
        <v>84.274419049201839</v>
      </c>
      <c r="DA23" s="156" t="s">
        <v>374</v>
      </c>
    </row>
    <row r="24" spans="1:105" ht="12" customHeight="1" x14ac:dyDescent="0.25">
      <c r="A24" s="131" t="s">
        <v>128</v>
      </c>
      <c r="B24" s="132">
        <v>7.6980451096168592</v>
      </c>
      <c r="C24" s="132">
        <v>8.0885016875308455</v>
      </c>
      <c r="D24" s="132">
        <v>7.9703942189944481</v>
      </c>
      <c r="E24" s="132">
        <v>7.248212843420359</v>
      </c>
      <c r="F24" s="132">
        <v>5.4421411127743236</v>
      </c>
      <c r="G24" s="132">
        <v>13.543913544370989</v>
      </c>
      <c r="H24" s="132">
        <v>8.5243400044741602</v>
      </c>
      <c r="I24" s="132">
        <v>4.0983644702884066</v>
      </c>
      <c r="J24" s="132">
        <v>0.81185230897243155</v>
      </c>
      <c r="K24" s="132">
        <v>0.82143063016684292</v>
      </c>
      <c r="L24" s="132">
        <v>0.74851029212586295</v>
      </c>
      <c r="M24" s="132">
        <v>0.78249666556316189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164.97736476648359</v>
      </c>
      <c r="C29" s="130">
        <f t="shared" si="12"/>
        <v>201.88408792858672</v>
      </c>
      <c r="D29" s="130">
        <f t="shared" si="12"/>
        <v>298.68189666413525</v>
      </c>
      <c r="E29" s="130">
        <f t="shared" si="12"/>
        <v>339.09900331701454</v>
      </c>
      <c r="F29" s="130">
        <f t="shared" si="12"/>
        <v>386.6907280595812</v>
      </c>
      <c r="G29" s="130">
        <f t="shared" si="12"/>
        <v>344.93547442008719</v>
      </c>
      <c r="H29" s="130">
        <f t="shared" si="12"/>
        <v>344.63305774074911</v>
      </c>
      <c r="I29" s="130">
        <f t="shared" si="12"/>
        <v>296.55042108182175</v>
      </c>
      <c r="J29" s="130">
        <f t="shared" si="12"/>
        <v>274.37368985404532</v>
      </c>
      <c r="K29" s="130">
        <f t="shared" si="12"/>
        <v>300.46871300450078</v>
      </c>
      <c r="L29" s="130">
        <f t="shared" si="12"/>
        <v>360.05878825210903</v>
      </c>
      <c r="M29" s="130">
        <f t="shared" si="12"/>
        <v>341.08971661011719</v>
      </c>
      <c r="N29" s="130">
        <f t="shared" si="12"/>
        <v>231.94688414878425</v>
      </c>
      <c r="O29" s="130">
        <f t="shared" si="12"/>
        <v>234.18161548804468</v>
      </c>
      <c r="P29" s="130">
        <f t="shared" si="12"/>
        <v>235.69853138287601</v>
      </c>
      <c r="Q29" s="130">
        <f t="shared" si="12"/>
        <v>238.32982138057321</v>
      </c>
      <c r="R29" s="130">
        <f t="shared" ref="R29:W29" si="13">SUM(R30:R33)</f>
        <v>237.70982440611394</v>
      </c>
      <c r="S29" s="130">
        <f t="shared" si="13"/>
        <v>251.38694753404513</v>
      </c>
      <c r="T29" s="130">
        <f t="shared" si="13"/>
        <v>251.71689155311483</v>
      </c>
      <c r="U29" s="130">
        <f t="shared" si="13"/>
        <v>261.38046860873112</v>
      </c>
      <c r="V29" s="130">
        <f t="shared" si="13"/>
        <v>243.62277728190909</v>
      </c>
      <c r="W29" s="130">
        <f t="shared" si="13"/>
        <v>257.55126479593099</v>
      </c>
      <c r="X29" s="130">
        <f t="shared" ref="X29:Y29" si="14">SUM(X30:X33)</f>
        <v>252.8383204454542</v>
      </c>
      <c r="Y29" s="130">
        <f t="shared" si="14"/>
        <v>269.15206361766758</v>
      </c>
      <c r="DA29" s="155" t="s">
        <v>237</v>
      </c>
    </row>
    <row r="30" spans="1:105" ht="12" customHeight="1" x14ac:dyDescent="0.25">
      <c r="A30" s="131" t="s">
        <v>52</v>
      </c>
      <c r="B30" s="132">
        <v>28.384121590437758</v>
      </c>
      <c r="C30" s="132">
        <v>47.818178708917152</v>
      </c>
      <c r="D30" s="132">
        <v>130.04786211621982</v>
      </c>
      <c r="E30" s="132">
        <v>160.73814142544617</v>
      </c>
      <c r="F30" s="132">
        <v>196.4143558388997</v>
      </c>
      <c r="G30" s="132">
        <v>143.64701999359693</v>
      </c>
      <c r="H30" s="132">
        <v>142.40579471698956</v>
      </c>
      <c r="I30" s="132">
        <v>94.055095346255968</v>
      </c>
      <c r="J30" s="132">
        <v>68.851876508167905</v>
      </c>
      <c r="K30" s="132">
        <v>86.304615692648667</v>
      </c>
      <c r="L30" s="132">
        <v>140.92045353160128</v>
      </c>
      <c r="M30" s="132">
        <v>120.22648077252792</v>
      </c>
      <c r="N30" s="132">
        <v>10.921852800000003</v>
      </c>
      <c r="O30" s="132">
        <v>10.536362280000002</v>
      </c>
      <c r="P30" s="132">
        <v>8.4483075599999999</v>
      </c>
      <c r="Q30" s="132">
        <v>9.0798123599999947</v>
      </c>
      <c r="R30" s="132">
        <v>7.8224817599999996</v>
      </c>
      <c r="S30" s="132">
        <v>20.045279880000002</v>
      </c>
      <c r="T30" s="132">
        <v>18.203239440000001</v>
      </c>
      <c r="U30" s="132">
        <v>20.062771200000004</v>
      </c>
      <c r="V30" s="132">
        <v>19.538940240000009</v>
      </c>
      <c r="W30" s="132">
        <v>22.49270172000001</v>
      </c>
      <c r="X30" s="132">
        <v>17.527892759999997</v>
      </c>
      <c r="Y30" s="132">
        <v>6.9931205999999975</v>
      </c>
      <c r="DA30" s="156" t="s">
        <v>379</v>
      </c>
    </row>
    <row r="31" spans="1:105" ht="12" customHeight="1" x14ac:dyDescent="0.25">
      <c r="A31" s="131" t="s">
        <v>149</v>
      </c>
      <c r="B31" s="132">
        <v>132.36662865563289</v>
      </c>
      <c r="C31" s="132">
        <v>149.56775645495554</v>
      </c>
      <c r="D31" s="132">
        <v>163.87053935693427</v>
      </c>
      <c r="E31" s="132">
        <v>174.04299716267741</v>
      </c>
      <c r="F31" s="132">
        <v>187.0007767276914</v>
      </c>
      <c r="G31" s="132">
        <v>193.41076172922939</v>
      </c>
      <c r="H31" s="132">
        <v>197.47679630649429</v>
      </c>
      <c r="I31" s="132">
        <v>200.27429620069506</v>
      </c>
      <c r="J31" s="132">
        <v>205.10035727544468</v>
      </c>
      <c r="K31" s="132">
        <v>213.74952787904041</v>
      </c>
      <c r="L31" s="132">
        <v>218.7444979114365</v>
      </c>
      <c r="M31" s="132">
        <v>220.46840236424222</v>
      </c>
      <c r="N31" s="132">
        <v>221.02503134878424</v>
      </c>
      <c r="O31" s="132">
        <v>223.64525320804469</v>
      </c>
      <c r="P31" s="132">
        <v>227.25022382287602</v>
      </c>
      <c r="Q31" s="132">
        <v>229.2500090205732</v>
      </c>
      <c r="R31" s="132">
        <v>229.88734264611395</v>
      </c>
      <c r="S31" s="132">
        <v>231.34166765404512</v>
      </c>
      <c r="T31" s="132">
        <v>233.51365211311483</v>
      </c>
      <c r="U31" s="132">
        <v>241.31769740873111</v>
      </c>
      <c r="V31" s="132">
        <v>224.08383704190908</v>
      </c>
      <c r="W31" s="132">
        <v>235.058563075931</v>
      </c>
      <c r="X31" s="132">
        <v>235.31042768545421</v>
      </c>
      <c r="Y31" s="132">
        <v>262.15894301766758</v>
      </c>
      <c r="DA31" s="156" t="s">
        <v>380</v>
      </c>
    </row>
    <row r="32" spans="1:105" ht="12" customHeight="1" x14ac:dyDescent="0.25">
      <c r="A32" s="131" t="s">
        <v>128</v>
      </c>
      <c r="B32" s="132">
        <v>4.2266145204129479</v>
      </c>
      <c r="C32" s="132">
        <v>4.4981527647140247</v>
      </c>
      <c r="D32" s="132">
        <v>4.7634951909812147</v>
      </c>
      <c r="E32" s="132">
        <v>4.317864728890993</v>
      </c>
      <c r="F32" s="132">
        <v>3.2755954929901421</v>
      </c>
      <c r="G32" s="132">
        <v>7.8776926972608523</v>
      </c>
      <c r="H32" s="132">
        <v>4.7504667172652431</v>
      </c>
      <c r="I32" s="132">
        <v>2.2210295348707638</v>
      </c>
      <c r="J32" s="132">
        <v>0.42145607043271616</v>
      </c>
      <c r="K32" s="132">
        <v>0.41456943281166897</v>
      </c>
      <c r="L32" s="132">
        <v>0.39383680907119717</v>
      </c>
      <c r="M32" s="132">
        <v>0.39483347334701657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163595.82643128122</v>
      </c>
      <c r="C3" s="125">
        <f>IF(SER_hh_fec!C3=0,0,11630*1000*SER_hh_fec!C3/SER_hh_num!C3)</f>
        <v>192601.97092007662</v>
      </c>
      <c r="D3" s="125">
        <f>IF(SER_hh_fec!D3=0,0,11630*1000*SER_hh_fec!D3/SER_hh_num!D3)</f>
        <v>184868.74818251919</v>
      </c>
      <c r="E3" s="125">
        <f>IF(SER_hh_fec!E3=0,0,11630*1000*SER_hh_fec!E3/SER_hh_num!E3)</f>
        <v>207804.72379351029</v>
      </c>
      <c r="F3" s="125">
        <f>IF(SER_hh_fec!F3=0,0,11630*1000*SER_hh_fec!F3/SER_hh_num!F3)</f>
        <v>199989.5804968632</v>
      </c>
      <c r="G3" s="125">
        <f>IF(SER_hh_fec!G3=0,0,11630*1000*SER_hh_fec!G3/SER_hh_num!G3)</f>
        <v>183324.50841117156</v>
      </c>
      <c r="H3" s="125">
        <f>IF(SER_hh_fec!H3=0,0,11630*1000*SER_hh_fec!H3/SER_hh_num!H3)</f>
        <v>185008.17254462125</v>
      </c>
      <c r="I3" s="125">
        <f>IF(SER_hh_fec!I3=0,0,11630*1000*SER_hh_fec!I3/SER_hh_num!I3)</f>
        <v>152154.35366097241</v>
      </c>
      <c r="J3" s="125">
        <f>IF(SER_hh_fec!J3=0,0,11630*1000*SER_hh_fec!J3/SER_hh_num!J3)</f>
        <v>164933.53122202103</v>
      </c>
      <c r="K3" s="125">
        <f>IF(SER_hh_fec!K3=0,0,11630*1000*SER_hh_fec!K3/SER_hh_num!K3)</f>
        <v>144767.60457970921</v>
      </c>
      <c r="L3" s="125">
        <f>IF(SER_hh_fec!L3=0,0,11630*1000*SER_hh_fec!L3/SER_hh_num!L3)</f>
        <v>139848.30663781511</v>
      </c>
      <c r="M3" s="125">
        <f>IF(SER_hh_fec!M3=0,0,11630*1000*SER_hh_fec!M3/SER_hh_num!M3)</f>
        <v>131356.34926457098</v>
      </c>
      <c r="N3" s="125">
        <f>IF(SER_hh_fec!N3=0,0,11630*1000*SER_hh_fec!N3/SER_hh_num!N3)</f>
        <v>129764.88034502619</v>
      </c>
      <c r="O3" s="125">
        <f>IF(SER_hh_fec!O3=0,0,11630*1000*SER_hh_fec!O3/SER_hh_num!O3)</f>
        <v>127773.72207021678</v>
      </c>
      <c r="P3" s="125">
        <f>IF(SER_hh_fec!P3=0,0,11630*1000*SER_hh_fec!P3/SER_hh_num!P3)</f>
        <v>116498.2026908511</v>
      </c>
      <c r="Q3" s="125">
        <f>IF(SER_hh_fec!Q3=0,0,11630*1000*SER_hh_fec!Q3/SER_hh_num!Q3)</f>
        <v>119205.09650366436</v>
      </c>
      <c r="R3" s="125">
        <f>IF(SER_hh_fec!R3=0,0,11630*1000*SER_hh_fec!R3/SER_hh_num!R3)</f>
        <v>113480.60731298501</v>
      </c>
      <c r="S3" s="125">
        <f>IF(SER_hh_fec!S3=0,0,11630*1000*SER_hh_fec!S3/SER_hh_num!S3)</f>
        <v>123692.16298312735</v>
      </c>
      <c r="T3" s="125">
        <f>IF(SER_hh_fec!T3=0,0,11630*1000*SER_hh_fec!T3/SER_hh_num!T3)</f>
        <v>117452.73004720444</v>
      </c>
      <c r="U3" s="125">
        <f>IF(SER_hh_fec!U3=0,0,11630*1000*SER_hh_fec!U3/SER_hh_num!U3)</f>
        <v>117906.132551188</v>
      </c>
      <c r="V3" s="125">
        <f>IF(SER_hh_fec!V3=0,0,11630*1000*SER_hh_fec!V3/SER_hh_num!V3)</f>
        <v>108711.97591444946</v>
      </c>
      <c r="W3" s="125">
        <f>IF(SER_hh_fec!W3=0,0,11630*1000*SER_hh_fec!W3/SER_hh_num!W3)</f>
        <v>119173.67457507578</v>
      </c>
      <c r="X3" s="125">
        <f>IF(SER_hh_fec!X3=0,0,11630*1000*SER_hh_fec!X3/SER_hh_num!X3)</f>
        <v>107391.95923921985</v>
      </c>
      <c r="Y3" s="125">
        <f>IF(SER_hh_fec!Y3=0,0,11630*1000*SER_hh_fec!Y3/SER_hh_num!Y3)</f>
        <v>97714.877486579455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127105.53010750657</v>
      </c>
      <c r="C4" s="130">
        <f>IF(SER_hh_fec!C4=0,0,11630*1000*SER_hh_fec!C4/SER_hh_num!C4)</f>
        <v>155330.15148142629</v>
      </c>
      <c r="D4" s="130">
        <f>IF(SER_hh_fec!D4=0,0,11630*1000*SER_hh_fec!D4/SER_hh_num!D4)</f>
        <v>146438.40032133021</v>
      </c>
      <c r="E4" s="130">
        <f>IF(SER_hh_fec!E4=0,0,11630*1000*SER_hh_fec!E4/SER_hh_num!E4)</f>
        <v>168418.61519153562</v>
      </c>
      <c r="F4" s="130">
        <f>IF(SER_hh_fec!F4=0,0,11630*1000*SER_hh_fec!F4/SER_hh_num!F4)</f>
        <v>160591.31761292956</v>
      </c>
      <c r="G4" s="130">
        <f>IF(SER_hh_fec!G4=0,0,11630*1000*SER_hh_fec!G4/SER_hh_num!G4)</f>
        <v>143967.22410142826</v>
      </c>
      <c r="H4" s="130">
        <f>IF(SER_hh_fec!H4=0,0,11630*1000*SER_hh_fec!H4/SER_hh_num!H4)</f>
        <v>146007.71727881467</v>
      </c>
      <c r="I4" s="130">
        <f>IF(SER_hh_fec!I4=0,0,11630*1000*SER_hh_fec!I4/SER_hh_num!I4)</f>
        <v>113827.27103812354</v>
      </c>
      <c r="J4" s="130">
        <f>IF(SER_hh_fec!J4=0,0,11630*1000*SER_hh_fec!J4/SER_hh_num!J4)</f>
        <v>127353.12793960159</v>
      </c>
      <c r="K4" s="130">
        <f>IF(SER_hh_fec!K4=0,0,11630*1000*SER_hh_fec!K4/SER_hh_num!K4)</f>
        <v>105498.25991007256</v>
      </c>
      <c r="L4" s="130">
        <f>IF(SER_hh_fec!L4=0,0,11630*1000*SER_hh_fec!L4/SER_hh_num!L4)</f>
        <v>101211.696251402</v>
      </c>
      <c r="M4" s="130">
        <f>IF(SER_hh_fec!M4=0,0,11630*1000*SER_hh_fec!M4/SER_hh_num!M4)</f>
        <v>92938.680956058844</v>
      </c>
      <c r="N4" s="130">
        <f>IF(SER_hh_fec!N4=0,0,11630*1000*SER_hh_fec!N4/SER_hh_num!N4)</f>
        <v>92330.905612917573</v>
      </c>
      <c r="O4" s="130">
        <f>IF(SER_hh_fec!O4=0,0,11630*1000*SER_hh_fec!O4/SER_hh_num!O4)</f>
        <v>90218.365151217571</v>
      </c>
      <c r="P4" s="130">
        <f>IF(SER_hh_fec!P4=0,0,11630*1000*SER_hh_fec!P4/SER_hh_num!P4)</f>
        <v>78766.072032616721</v>
      </c>
      <c r="Q4" s="130">
        <f>IF(SER_hh_fec!Q4=0,0,11630*1000*SER_hh_fec!Q4/SER_hh_num!Q4)</f>
        <v>81503.618668899537</v>
      </c>
      <c r="R4" s="130">
        <f>IF(SER_hh_fec!R4=0,0,11630*1000*SER_hh_fec!R4/SER_hh_num!R4)</f>
        <v>76160.403910731984</v>
      </c>
      <c r="S4" s="130">
        <f>IF(SER_hh_fec!S4=0,0,11630*1000*SER_hh_fec!S4/SER_hh_num!S4)</f>
        <v>86710.621068978915</v>
      </c>
      <c r="T4" s="130">
        <f>IF(SER_hh_fec!T4=0,0,11630*1000*SER_hh_fec!T4/SER_hh_num!T4)</f>
        <v>81166.617207517585</v>
      </c>
      <c r="U4" s="130">
        <f>IF(SER_hh_fec!U4=0,0,11630*1000*SER_hh_fec!U4/SER_hh_num!U4)</f>
        <v>82192.385145825363</v>
      </c>
      <c r="V4" s="130">
        <f>IF(SER_hh_fec!V4=0,0,11630*1000*SER_hh_fec!V4/SER_hh_num!V4)</f>
        <v>74838.946573233188</v>
      </c>
      <c r="W4" s="130">
        <f>IF(SER_hh_fec!W4=0,0,11630*1000*SER_hh_fec!W4/SER_hh_num!W4)</f>
        <v>85074.601250367676</v>
      </c>
      <c r="X4" s="130">
        <f>IF(SER_hh_fec!X4=0,0,11630*1000*SER_hh_fec!X4/SER_hh_num!X4)</f>
        <v>73252.792542753014</v>
      </c>
      <c r="Y4" s="130">
        <f>IF(SER_hh_fec!Y4=0,0,11630*1000*SER_hh_fec!Y4/SER_hh_num!Y4)</f>
        <v>63282.662350848259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144582.2048037569</v>
      </c>
      <c r="C5" s="132">
        <f>IF(SER_hh_fec!C5=0,0,11630*1000*SER_hh_fec!C5/SER_hh_num!C5)</f>
        <v>173434.45297930267</v>
      </c>
      <c r="D5" s="132">
        <f>IF(SER_hh_fec!D5=0,0,11630*1000*SER_hh_fec!D5/SER_hh_num!D5)</f>
        <v>137912.83486282674</v>
      </c>
      <c r="E5" s="132">
        <f>IF(SER_hh_fec!E5=0,0,11630*1000*SER_hh_fec!E5/SER_hh_num!E5)</f>
        <v>206918.34989865043</v>
      </c>
      <c r="F5" s="132">
        <f>IF(SER_hh_fec!F5=0,0,11630*1000*SER_hh_fec!F5/SER_hh_num!F5)</f>
        <v>175785.61399844769</v>
      </c>
      <c r="G5" s="132">
        <f>IF(SER_hh_fec!G5=0,0,11630*1000*SER_hh_fec!G5/SER_hh_num!G5)</f>
        <v>171570.98705483566</v>
      </c>
      <c r="H5" s="132">
        <f>IF(SER_hh_fec!H5=0,0,11630*1000*SER_hh_fec!H5/SER_hh_num!H5)</f>
        <v>160314.49295057284</v>
      </c>
      <c r="I5" s="132">
        <f>IF(SER_hh_fec!I5=0,0,11630*1000*SER_hh_fec!I5/SER_hh_num!I5)</f>
        <v>156972.60349867307</v>
      </c>
      <c r="J5" s="132">
        <f>IF(SER_hh_fec!J5=0,0,11630*1000*SER_hh_fec!J5/SER_hh_num!J5)</f>
        <v>131154.86412309753</v>
      </c>
      <c r="K5" s="132">
        <f>IF(SER_hh_fec!K5=0,0,11630*1000*SER_hh_fec!K5/SER_hh_num!K5)</f>
        <v>121853.31429864344</v>
      </c>
      <c r="L5" s="132">
        <f>IF(SER_hh_fec!L5=0,0,11630*1000*SER_hh_fec!L5/SER_hh_num!L5)</f>
        <v>168826.02301211943</v>
      </c>
      <c r="M5" s="132">
        <f>IF(SER_hh_fec!M5=0,0,11630*1000*SER_hh_fec!M5/SER_hh_num!M5)</f>
        <v>165452.16447658741</v>
      </c>
      <c r="N5" s="132">
        <f>IF(SER_hh_fec!N5=0,0,11630*1000*SER_hh_fec!N5/SER_hh_num!N5)</f>
        <v>6817.7722161907523</v>
      </c>
      <c r="O5" s="132">
        <f>IF(SER_hh_fec!O5=0,0,11630*1000*SER_hh_fec!O5/SER_hh_num!O5)</f>
        <v>53560.415150680215</v>
      </c>
      <c r="P5" s="132">
        <f>IF(SER_hh_fec!P5=0,0,11630*1000*SER_hh_fec!P5/SER_hh_num!P5)</f>
        <v>39920.318386572821</v>
      </c>
      <c r="Q5" s="132">
        <f>IF(SER_hh_fec!Q5=0,0,11630*1000*SER_hh_fec!Q5/SER_hh_num!Q5)</f>
        <v>50972.807354171702</v>
      </c>
      <c r="R5" s="132">
        <f>IF(SER_hh_fec!R5=0,0,11630*1000*SER_hh_fec!R5/SER_hh_num!R5)</f>
        <v>0</v>
      </c>
      <c r="S5" s="132">
        <f>IF(SER_hh_fec!S5=0,0,11630*1000*SER_hh_fec!S5/SER_hh_num!S5)</f>
        <v>0</v>
      </c>
      <c r="T5" s="132">
        <f>IF(SER_hh_fec!T5=0,0,11630*1000*SER_hh_fec!T5/SER_hh_num!T5)</f>
        <v>0</v>
      </c>
      <c r="U5" s="132">
        <f>IF(SER_hh_fec!U5=0,0,11630*1000*SER_hh_fec!U5/SER_hh_num!U5)</f>
        <v>0</v>
      </c>
      <c r="V5" s="132">
        <f>IF(SER_hh_fec!V5=0,0,11630*1000*SER_hh_fec!V5/SER_hh_num!V5)</f>
        <v>0</v>
      </c>
      <c r="W5" s="132">
        <f>IF(SER_hh_fec!W5=0,0,11630*1000*SER_hh_fec!W5/SER_hh_num!W5)</f>
        <v>0</v>
      </c>
      <c r="X5" s="132">
        <f>IF(SER_hh_fec!X5=0,0,11630*1000*SER_hh_fec!X5/SER_hh_num!X5)</f>
        <v>0</v>
      </c>
      <c r="Y5" s="132">
        <f>IF(SER_hh_fec!Y5=0,0,11630*1000*SER_hh_fec!Y5/SER_hh_num!Y5)</f>
        <v>0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152548.03405476961</v>
      </c>
      <c r="C7" s="132">
        <f>IF(SER_hh_fec!C7=0,0,11630*1000*SER_hh_fec!C7/SER_hh_num!C7)</f>
        <v>193864.06213547898</v>
      </c>
      <c r="D7" s="132">
        <f>IF(SER_hh_fec!D7=0,0,11630*1000*SER_hh_fec!D7/SER_hh_num!D7)</f>
        <v>185146.07405719228</v>
      </c>
      <c r="E7" s="132">
        <f>IF(SER_hh_fec!E7=0,0,11630*1000*SER_hh_fec!E7/SER_hh_num!E7)</f>
        <v>222870.5675665919</v>
      </c>
      <c r="F7" s="132">
        <f>IF(SER_hh_fec!F7=0,0,11630*1000*SER_hh_fec!F7/SER_hh_num!F7)</f>
        <v>156678.49534233785</v>
      </c>
      <c r="G7" s="132">
        <f>IF(SER_hh_fec!G7=0,0,11630*1000*SER_hh_fec!G7/SER_hh_num!G7)</f>
        <v>199879.38100978217</v>
      </c>
      <c r="H7" s="132">
        <f>IF(SER_hh_fec!H7=0,0,11630*1000*SER_hh_fec!H7/SER_hh_num!H7)</f>
        <v>202369.66042748568</v>
      </c>
      <c r="I7" s="132">
        <f>IF(SER_hh_fec!I7=0,0,11630*1000*SER_hh_fec!I7/SER_hh_num!I7)</f>
        <v>144365.08752753053</v>
      </c>
      <c r="J7" s="132">
        <f>IF(SER_hh_fec!J7=0,0,11630*1000*SER_hh_fec!J7/SER_hh_num!J7)</f>
        <v>185403.89750360415</v>
      </c>
      <c r="K7" s="132">
        <f>IF(SER_hh_fec!K7=0,0,11630*1000*SER_hh_fec!K7/SER_hh_num!K7)</f>
        <v>169929.7343515075</v>
      </c>
      <c r="L7" s="132">
        <f>IF(SER_hh_fec!L7=0,0,11630*1000*SER_hh_fec!L7/SER_hh_num!L7)</f>
        <v>108206.88502660212</v>
      </c>
      <c r="M7" s="132">
        <f>IF(SER_hh_fec!M7=0,0,11630*1000*SER_hh_fec!M7/SER_hh_num!M7)</f>
        <v>132546.15742839527</v>
      </c>
      <c r="N7" s="132">
        <f>IF(SER_hh_fec!N7=0,0,11630*1000*SER_hh_fec!N7/SER_hh_num!N7)</f>
        <v>128105.67333022859</v>
      </c>
      <c r="O7" s="132">
        <f>IF(SER_hh_fec!O7=0,0,11630*1000*SER_hh_fec!O7/SER_hh_num!O7)</f>
        <v>123545.82773586274</v>
      </c>
      <c r="P7" s="132">
        <f>IF(SER_hh_fec!P7=0,0,11630*1000*SER_hh_fec!P7/SER_hh_num!P7)</f>
        <v>125362.83444157912</v>
      </c>
      <c r="Q7" s="132">
        <f>IF(SER_hh_fec!Q7=0,0,11630*1000*SER_hh_fec!Q7/SER_hh_num!Q7)</f>
        <v>120690.90553481226</v>
      </c>
      <c r="R7" s="132">
        <f>IF(SER_hh_fec!R7=0,0,11630*1000*SER_hh_fec!R7/SER_hh_num!R7)</f>
        <v>103067.34268518032</v>
      </c>
      <c r="S7" s="132">
        <f>IF(SER_hh_fec!S7=0,0,11630*1000*SER_hh_fec!S7/SER_hh_num!S7)</f>
        <v>136400.64101346373</v>
      </c>
      <c r="T7" s="132">
        <f>IF(SER_hh_fec!T7=0,0,11630*1000*SER_hh_fec!T7/SER_hh_num!T7)</f>
        <v>113777.97710967218</v>
      </c>
      <c r="U7" s="132">
        <f>IF(SER_hh_fec!U7=0,0,11630*1000*SER_hh_fec!U7/SER_hh_num!U7)</f>
        <v>103754.93656791869</v>
      </c>
      <c r="V7" s="132">
        <f>IF(SER_hh_fec!V7=0,0,11630*1000*SER_hh_fec!V7/SER_hh_num!V7)</f>
        <v>99671.669503051642</v>
      </c>
      <c r="W7" s="132">
        <f>IF(SER_hh_fec!W7=0,0,11630*1000*SER_hh_fec!W7/SER_hh_num!W7)</f>
        <v>129358.58438381288</v>
      </c>
      <c r="X7" s="132">
        <f>IF(SER_hh_fec!X7=0,0,11630*1000*SER_hh_fec!X7/SER_hh_num!X7)</f>
        <v>115552.78891433112</v>
      </c>
      <c r="Y7" s="132">
        <f>IF(SER_hh_fec!Y7=0,0,11630*1000*SER_hh_fec!Y7/SER_hh_num!Y7)</f>
        <v>76032.00992136421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73244.645288303916</v>
      </c>
      <c r="C8" s="132">
        <f>IF(SER_hh_fec!C8=0,0,11630*1000*SER_hh_fec!C8/SER_hh_num!C8)</f>
        <v>84582.94549216317</v>
      </c>
      <c r="D8" s="132">
        <f>IF(SER_hh_fec!D8=0,0,11630*1000*SER_hh_fec!D8/SER_hh_num!D8)</f>
        <v>70662.614268078876</v>
      </c>
      <c r="E8" s="132">
        <f>IF(SER_hh_fec!E8=0,0,11630*1000*SER_hh_fec!E8/SER_hh_num!E8)</f>
        <v>74188.919501965254</v>
      </c>
      <c r="F8" s="132">
        <f>IF(SER_hh_fec!F8=0,0,11630*1000*SER_hh_fec!F8/SER_hh_num!F8)</f>
        <v>67949.352732236512</v>
      </c>
      <c r="G8" s="132">
        <f>IF(SER_hh_fec!G8=0,0,11630*1000*SER_hh_fec!G8/SER_hh_num!G8)</f>
        <v>58939.141009057006</v>
      </c>
      <c r="H8" s="132">
        <f>IF(SER_hh_fec!H8=0,0,11630*1000*SER_hh_fec!H8/SER_hh_num!H8)</f>
        <v>58890.312960762902</v>
      </c>
      <c r="I8" s="132">
        <f>IF(SER_hh_fec!I8=0,0,11630*1000*SER_hh_fec!I8/SER_hh_num!I8)</f>
        <v>45130.702640444761</v>
      </c>
      <c r="J8" s="132">
        <f>IF(SER_hh_fec!J8=0,0,11630*1000*SER_hh_fec!J8/SER_hh_num!J8)</f>
        <v>49801.383290329482</v>
      </c>
      <c r="K8" s="132">
        <f>IF(SER_hh_fec!K8=0,0,11630*1000*SER_hh_fec!K8/SER_hh_num!K8)</f>
        <v>40622.851335186861</v>
      </c>
      <c r="L8" s="132">
        <f>IF(SER_hh_fec!L8=0,0,11630*1000*SER_hh_fec!L8/SER_hh_num!L8)</f>
        <v>39249.70768523671</v>
      </c>
      <c r="M8" s="132">
        <f>IF(SER_hh_fec!M8=0,0,11630*1000*SER_hh_fec!M8/SER_hh_num!M8)</f>
        <v>36615.572134421876</v>
      </c>
      <c r="N8" s="132">
        <f>IF(SER_hh_fec!N8=0,0,11630*1000*SER_hh_fec!N8/SER_hh_num!N8)</f>
        <v>35056.925056016444</v>
      </c>
      <c r="O8" s="132">
        <f>IF(SER_hh_fec!O8=0,0,11630*1000*SER_hh_fec!O8/SER_hh_num!O8)</f>
        <v>31960.072886841117</v>
      </c>
      <c r="P8" s="132">
        <f>IF(SER_hh_fec!P8=0,0,11630*1000*SER_hh_fec!P8/SER_hh_num!P8)</f>
        <v>29604.84692516319</v>
      </c>
      <c r="Q8" s="132">
        <f>IF(SER_hh_fec!Q8=0,0,11630*1000*SER_hh_fec!Q8/SER_hh_num!Q8)</f>
        <v>28833.760238920549</v>
      </c>
      <c r="R8" s="132">
        <f>IF(SER_hh_fec!R8=0,0,11630*1000*SER_hh_fec!R8/SER_hh_num!R8)</f>
        <v>28182.469483108856</v>
      </c>
      <c r="S8" s="132">
        <f>IF(SER_hh_fec!S8=0,0,11630*1000*SER_hh_fec!S8/SER_hh_num!S8)</f>
        <v>30167.713461729287</v>
      </c>
      <c r="T8" s="132">
        <f>IF(SER_hh_fec!T8=0,0,11630*1000*SER_hh_fec!T8/SER_hh_num!T8)</f>
        <v>27585.92041946248</v>
      </c>
      <c r="U8" s="132">
        <f>IF(SER_hh_fec!U8=0,0,11630*1000*SER_hh_fec!U8/SER_hh_num!U8)</f>
        <v>27807.524830225415</v>
      </c>
      <c r="V8" s="132">
        <f>IF(SER_hh_fec!V8=0,0,11630*1000*SER_hh_fec!V8/SER_hh_num!V8)</f>
        <v>23428.274766039474</v>
      </c>
      <c r="W8" s="132">
        <f>IF(SER_hh_fec!W8=0,0,11630*1000*SER_hh_fec!W8/SER_hh_num!W8)</f>
        <v>26741.721457842872</v>
      </c>
      <c r="X8" s="132">
        <f>IF(SER_hh_fec!X8=0,0,11630*1000*SER_hh_fec!X8/SER_hh_num!X8)</f>
        <v>23544.948346158097</v>
      </c>
      <c r="Y8" s="132">
        <f>IF(SER_hh_fec!Y8=0,0,11630*1000*SER_hh_fec!Y8/SER_hh_num!Y8)</f>
        <v>21582.733562672005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139706.96378878105</v>
      </c>
      <c r="C9" s="132">
        <f>IF(SER_hh_fec!C9=0,0,11630*1000*SER_hh_fec!C9/SER_hh_num!C9)</f>
        <v>187928.41000037984</v>
      </c>
      <c r="D9" s="132">
        <f>IF(SER_hh_fec!D9=0,0,11630*1000*SER_hh_fec!D9/SER_hh_num!D9)</f>
        <v>163018.35960341073</v>
      </c>
      <c r="E9" s="132">
        <f>IF(SER_hh_fec!E9=0,0,11630*1000*SER_hh_fec!E9/SER_hh_num!E9)</f>
        <v>189376.72202911659</v>
      </c>
      <c r="F9" s="132">
        <f>IF(SER_hh_fec!F9=0,0,11630*1000*SER_hh_fec!F9/SER_hh_num!F9)</f>
        <v>248568.5075829745</v>
      </c>
      <c r="G9" s="132">
        <f>IF(SER_hh_fec!G9=0,0,11630*1000*SER_hh_fec!G9/SER_hh_num!G9)</f>
        <v>140107.06702683037</v>
      </c>
      <c r="H9" s="132">
        <f>IF(SER_hh_fec!H9=0,0,11630*1000*SER_hh_fec!H9/SER_hh_num!H9)</f>
        <v>173231.1434057398</v>
      </c>
      <c r="I9" s="132">
        <f>IF(SER_hh_fec!I9=0,0,11630*1000*SER_hh_fec!I9/SER_hh_num!I9)</f>
        <v>145804.71611772745</v>
      </c>
      <c r="J9" s="132">
        <f>IF(SER_hh_fec!J9=0,0,11630*1000*SER_hh_fec!J9/SER_hh_num!J9)</f>
        <v>170681.97276686647</v>
      </c>
      <c r="K9" s="132">
        <f>IF(SER_hh_fec!K9=0,0,11630*1000*SER_hh_fec!K9/SER_hh_num!K9)</f>
        <v>130950.45891478301</v>
      </c>
      <c r="L9" s="132">
        <f>IF(SER_hh_fec!L9=0,0,11630*1000*SER_hh_fec!L9/SER_hh_num!L9)</f>
        <v>142565.01095929337</v>
      </c>
      <c r="M9" s="132">
        <f>IF(SER_hh_fec!M9=0,0,11630*1000*SER_hh_fec!M9/SER_hh_num!M9)</f>
        <v>116419.50621887927</v>
      </c>
      <c r="N9" s="132">
        <f>IF(SER_hh_fec!N9=0,0,11630*1000*SER_hh_fec!N9/SER_hh_num!N9)</f>
        <v>131902.08105438133</v>
      </c>
      <c r="O9" s="132">
        <f>IF(SER_hh_fec!O9=0,0,11630*1000*SER_hh_fec!O9/SER_hh_num!O9)</f>
        <v>129272.70340314414</v>
      </c>
      <c r="P9" s="132">
        <f>IF(SER_hh_fec!P9=0,0,11630*1000*SER_hh_fec!P9/SER_hh_num!P9)</f>
        <v>95835.576735530078</v>
      </c>
      <c r="Q9" s="132">
        <f>IF(SER_hh_fec!Q9=0,0,11630*1000*SER_hh_fec!Q9/SER_hh_num!Q9)</f>
        <v>110674.38189721272</v>
      </c>
      <c r="R9" s="132">
        <f>IF(SER_hh_fec!R9=0,0,11630*1000*SER_hh_fec!R9/SER_hh_num!R9)</f>
        <v>98435.887802192956</v>
      </c>
      <c r="S9" s="132">
        <f>IF(SER_hh_fec!S9=0,0,11630*1000*SER_hh_fec!S9/SER_hh_num!S9)</f>
        <v>109430.30210743136</v>
      </c>
      <c r="T9" s="132">
        <f>IF(SER_hh_fec!T9=0,0,11630*1000*SER_hh_fec!T9/SER_hh_num!T9)</f>
        <v>101663.48779691411</v>
      </c>
      <c r="U9" s="132">
        <f>IF(SER_hh_fec!U9=0,0,11630*1000*SER_hh_fec!U9/SER_hh_num!U9)</f>
        <v>108597.26475376933</v>
      </c>
      <c r="V9" s="132">
        <f>IF(SER_hh_fec!V9=0,0,11630*1000*SER_hh_fec!V9/SER_hh_num!V9)</f>
        <v>113792.12414887287</v>
      </c>
      <c r="W9" s="132">
        <f>IF(SER_hh_fec!W9=0,0,11630*1000*SER_hh_fec!W9/SER_hh_num!W9)</f>
        <v>129927.62414671179</v>
      </c>
      <c r="X9" s="132">
        <f>IF(SER_hh_fec!X9=0,0,11630*1000*SER_hh_fec!X9/SER_hh_num!X9)</f>
        <v>80684.074329069073</v>
      </c>
      <c r="Y9" s="132">
        <f>IF(SER_hh_fec!Y9=0,0,11630*1000*SER_hh_fec!Y9/SER_hh_num!Y9)</f>
        <v>97813.744901821832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170667.32796631139</v>
      </c>
      <c r="C10" s="132">
        <f>IF(SER_hh_fec!C10=0,0,11630*1000*SER_hh_fec!C10/SER_hh_num!C10)</f>
        <v>187710.16708121609</v>
      </c>
      <c r="D10" s="132">
        <f>IF(SER_hh_fec!D10=0,0,11630*1000*SER_hh_fec!D10/SER_hh_num!D10)</f>
        <v>180014.62259933661</v>
      </c>
      <c r="E10" s="132">
        <f>IF(SER_hh_fec!E10=0,0,11630*1000*SER_hh_fec!E10/SER_hh_num!E10)</f>
        <v>206720.07235766365</v>
      </c>
      <c r="F10" s="132">
        <f>IF(SER_hh_fec!F10=0,0,11630*1000*SER_hh_fec!F10/SER_hh_num!F10)</f>
        <v>215329.86027152554</v>
      </c>
      <c r="G10" s="132">
        <f>IF(SER_hh_fec!G10=0,0,11630*1000*SER_hh_fec!G10/SER_hh_num!G10)</f>
        <v>172948.71393963837</v>
      </c>
      <c r="H10" s="132">
        <f>IF(SER_hh_fec!H10=0,0,11630*1000*SER_hh_fec!H10/SER_hh_num!H10)</f>
        <v>186329.27943995467</v>
      </c>
      <c r="I10" s="132">
        <f>IF(SER_hh_fec!I10=0,0,11630*1000*SER_hh_fec!I10/SER_hh_num!I10)</f>
        <v>171352.22293661823</v>
      </c>
      <c r="J10" s="132">
        <f>IF(SER_hh_fec!J10=0,0,11630*1000*SER_hh_fec!J10/SER_hh_num!J10)</f>
        <v>143014.87772856062</v>
      </c>
      <c r="K10" s="132">
        <f>IF(SER_hh_fec!K10=0,0,11630*1000*SER_hh_fec!K10/SER_hh_num!K10)</f>
        <v>136384.85467116549</v>
      </c>
      <c r="L10" s="132">
        <f>IF(SER_hh_fec!L10=0,0,11630*1000*SER_hh_fec!L10/SER_hh_num!L10)</f>
        <v>168931.46334580032</v>
      </c>
      <c r="M10" s="132">
        <f>IF(SER_hh_fec!M10=0,0,11630*1000*SER_hh_fec!M10/SER_hh_num!M10)</f>
        <v>140991.55155023656</v>
      </c>
      <c r="N10" s="132">
        <f>IF(SER_hh_fec!N10=0,0,11630*1000*SER_hh_fec!N10/SER_hh_num!N10)</f>
        <v>101146.95691706806</v>
      </c>
      <c r="O10" s="132">
        <f>IF(SER_hh_fec!O10=0,0,11630*1000*SER_hh_fec!O10/SER_hh_num!O10)</f>
        <v>135750.21486253379</v>
      </c>
      <c r="P10" s="132">
        <f>IF(SER_hh_fec!P10=0,0,11630*1000*SER_hh_fec!P10/SER_hh_num!P10)</f>
        <v>108725.63253082079</v>
      </c>
      <c r="Q10" s="132">
        <f>IF(SER_hh_fec!Q10=0,0,11630*1000*SER_hh_fec!Q10/SER_hh_num!Q10)</f>
        <v>134855.3745317985</v>
      </c>
      <c r="R10" s="132">
        <f>IF(SER_hh_fec!R10=0,0,11630*1000*SER_hh_fec!R10/SER_hh_num!R10)</f>
        <v>91532.754015749582</v>
      </c>
      <c r="S10" s="132">
        <f>IF(SER_hh_fec!S10=0,0,11630*1000*SER_hh_fec!S10/SER_hh_num!S10)</f>
        <v>141769.84678833385</v>
      </c>
      <c r="T10" s="132">
        <f>IF(SER_hh_fec!T10=0,0,11630*1000*SER_hh_fec!T10/SER_hh_num!T10)</f>
        <v>130948.09160097859</v>
      </c>
      <c r="U10" s="132">
        <f>IF(SER_hh_fec!U10=0,0,11630*1000*SER_hh_fec!U10/SER_hh_num!U10)</f>
        <v>132281.12339393489</v>
      </c>
      <c r="V10" s="132">
        <f>IF(SER_hh_fec!V10=0,0,11630*1000*SER_hh_fec!V10/SER_hh_num!V10)</f>
        <v>122837.3197977229</v>
      </c>
      <c r="W10" s="132">
        <f>IF(SER_hh_fec!W10=0,0,11630*1000*SER_hh_fec!W10/SER_hh_num!W10)</f>
        <v>147539.31750370291</v>
      </c>
      <c r="X10" s="132">
        <f>IF(SER_hh_fec!X10=0,0,11630*1000*SER_hh_fec!X10/SER_hh_num!X10)</f>
        <v>127786.46720070703</v>
      </c>
      <c r="Y10" s="132">
        <f>IF(SER_hh_fec!Y10=0,0,11630*1000*SER_hh_fec!Y10/SER_hh_num!Y10)</f>
        <v>94196.566040410893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106984.00813382138</v>
      </c>
      <c r="C11" s="132">
        <f>IF(SER_hh_fec!C11=0,0,11630*1000*SER_hh_fec!C11/SER_hh_num!C11)</f>
        <v>94060.640012994278</v>
      </c>
      <c r="D11" s="132">
        <f>IF(SER_hh_fec!D11=0,0,11630*1000*SER_hh_fec!D11/SER_hh_num!D11)</f>
        <v>140598.25170371629</v>
      </c>
      <c r="E11" s="132">
        <f>IF(SER_hh_fec!E11=0,0,11630*1000*SER_hh_fec!E11/SER_hh_num!E11)</f>
        <v>115487.50565897503</v>
      </c>
      <c r="F11" s="132">
        <f>IF(SER_hh_fec!F11=0,0,11630*1000*SER_hh_fec!F11/SER_hh_num!F11)</f>
        <v>114036.88246433424</v>
      </c>
      <c r="G11" s="132">
        <f>IF(SER_hh_fec!G11=0,0,11630*1000*SER_hh_fec!G11/SER_hh_num!G11)</f>
        <v>123761.77334997716</v>
      </c>
      <c r="H11" s="132">
        <f>IF(SER_hh_fec!H11=0,0,11630*1000*SER_hh_fec!H11/SER_hh_num!H11)</f>
        <v>116413.26229684321</v>
      </c>
      <c r="I11" s="132">
        <f>IF(SER_hh_fec!I11=0,0,11630*1000*SER_hh_fec!I11/SER_hh_num!I11)</f>
        <v>97722.037179937339</v>
      </c>
      <c r="J11" s="132">
        <f>IF(SER_hh_fec!J11=0,0,11630*1000*SER_hh_fec!J11/SER_hh_num!J11)</f>
        <v>97907.191975407535</v>
      </c>
      <c r="K11" s="132">
        <f>IF(SER_hh_fec!K11=0,0,11630*1000*SER_hh_fec!K11/SER_hh_num!K11)</f>
        <v>95606.314872727817</v>
      </c>
      <c r="L11" s="132">
        <f>IF(SER_hh_fec!L11=0,0,11630*1000*SER_hh_fec!L11/SER_hh_num!L11)</f>
        <v>98778.069429329451</v>
      </c>
      <c r="M11" s="132">
        <f>IF(SER_hh_fec!M11=0,0,11630*1000*SER_hh_fec!M11/SER_hh_num!M11)</f>
        <v>81561.198205539185</v>
      </c>
      <c r="N11" s="132">
        <f>IF(SER_hh_fec!N11=0,0,11630*1000*SER_hh_fec!N11/SER_hh_num!N11)</f>
        <v>95638.649825108019</v>
      </c>
      <c r="O11" s="132">
        <f>IF(SER_hh_fec!O11=0,0,11630*1000*SER_hh_fec!O11/SER_hh_num!O11)</f>
        <v>90844.97181899978</v>
      </c>
      <c r="P11" s="132">
        <f>IF(SER_hh_fec!P11=0,0,11630*1000*SER_hh_fec!P11/SER_hh_num!P11)</f>
        <v>74207.420537041675</v>
      </c>
      <c r="Q11" s="132">
        <f>IF(SER_hh_fec!Q11=0,0,11630*1000*SER_hh_fec!Q11/SER_hh_num!Q11)</f>
        <v>77714.547186104915</v>
      </c>
      <c r="R11" s="132">
        <f>IF(SER_hh_fec!R11=0,0,11630*1000*SER_hh_fec!R11/SER_hh_num!R11)</f>
        <v>69404.228590383675</v>
      </c>
      <c r="S11" s="132">
        <f>IF(SER_hh_fec!S11=0,0,11630*1000*SER_hh_fec!S11/SER_hh_num!S11)</f>
        <v>100785.21864537273</v>
      </c>
      <c r="T11" s="132">
        <f>IF(SER_hh_fec!T11=0,0,11630*1000*SER_hh_fec!T11/SER_hh_num!T11)</f>
        <v>86282.742271406678</v>
      </c>
      <c r="U11" s="132">
        <f>IF(SER_hh_fec!U11=0,0,11630*1000*SER_hh_fec!U11/SER_hh_num!U11)</f>
        <v>84866.88821161227</v>
      </c>
      <c r="V11" s="132">
        <f>IF(SER_hh_fec!V11=0,0,11630*1000*SER_hh_fec!V11/SER_hh_num!V11)</f>
        <v>88036.014736394078</v>
      </c>
      <c r="W11" s="132">
        <f>IF(SER_hh_fec!W11=0,0,11630*1000*SER_hh_fec!W11/SER_hh_num!W11)</f>
        <v>78832.578550684979</v>
      </c>
      <c r="X11" s="132">
        <f>IF(SER_hh_fec!X11=0,0,11630*1000*SER_hh_fec!X11/SER_hh_num!X11)</f>
        <v>80138.222174213413</v>
      </c>
      <c r="Y11" s="132">
        <f>IF(SER_hh_fec!Y11=0,0,11630*1000*SER_hh_fec!Y11/SER_hh_num!Y11)</f>
        <v>75984.487498558025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99373.606431894834</v>
      </c>
      <c r="C12" s="132">
        <f>IF(SER_hh_fec!C12=0,0,11630*1000*SER_hh_fec!C12/SER_hh_num!C12)</f>
        <v>107684.75878936615</v>
      </c>
      <c r="D12" s="132">
        <f>IF(SER_hh_fec!D12=0,0,11630*1000*SER_hh_fec!D12/SER_hh_num!D12)</f>
        <v>111300.72823822006</v>
      </c>
      <c r="E12" s="132">
        <f>IF(SER_hh_fec!E12=0,0,11630*1000*SER_hh_fec!E12/SER_hh_num!E12)</f>
        <v>116858.96206688855</v>
      </c>
      <c r="F12" s="132">
        <f>IF(SER_hh_fec!F12=0,0,11630*1000*SER_hh_fec!F12/SER_hh_num!F12)</f>
        <v>112792.90735712646</v>
      </c>
      <c r="G12" s="132">
        <f>IF(SER_hh_fec!G12=0,0,11630*1000*SER_hh_fec!G12/SER_hh_num!G12)</f>
        <v>120274.57194184908</v>
      </c>
      <c r="H12" s="132">
        <f>IF(SER_hh_fec!H12=0,0,11630*1000*SER_hh_fec!H12/SER_hh_num!H12)</f>
        <v>116676.96076193756</v>
      </c>
      <c r="I12" s="132">
        <f>IF(SER_hh_fec!I12=0,0,11630*1000*SER_hh_fec!I12/SER_hh_num!I12)</f>
        <v>93024.454064341408</v>
      </c>
      <c r="J12" s="132">
        <f>IF(SER_hh_fec!J12=0,0,11630*1000*SER_hh_fec!J12/SER_hh_num!J12)</f>
        <v>98467.283621447161</v>
      </c>
      <c r="K12" s="132">
        <f>IF(SER_hh_fec!K12=0,0,11630*1000*SER_hh_fec!K12/SER_hh_num!K12)</f>
        <v>95702.257371673753</v>
      </c>
      <c r="L12" s="132">
        <f>IF(SER_hh_fec!L12=0,0,11630*1000*SER_hh_fec!L12/SER_hh_num!L12)</f>
        <v>94997.154275954133</v>
      </c>
      <c r="M12" s="132">
        <f>IF(SER_hh_fec!M12=0,0,11630*1000*SER_hh_fec!M12/SER_hh_num!M12)</f>
        <v>89627.44156861899</v>
      </c>
      <c r="N12" s="132">
        <f>IF(SER_hh_fec!N12=0,0,11630*1000*SER_hh_fec!N12/SER_hh_num!N12)</f>
        <v>90257.35762667605</v>
      </c>
      <c r="O12" s="132">
        <f>IF(SER_hh_fec!O12=0,0,11630*1000*SER_hh_fec!O12/SER_hh_num!O12)</f>
        <v>87885.977370702749</v>
      </c>
      <c r="P12" s="132">
        <f>IF(SER_hh_fec!P12=0,0,11630*1000*SER_hh_fec!P12/SER_hh_num!P12)</f>
        <v>77316.995094768718</v>
      </c>
      <c r="Q12" s="132">
        <f>IF(SER_hh_fec!Q12=0,0,11630*1000*SER_hh_fec!Q12/SER_hh_num!Q12)</f>
        <v>79944.030299792707</v>
      </c>
      <c r="R12" s="132">
        <f>IF(SER_hh_fec!R12=0,0,11630*1000*SER_hh_fec!R12/SER_hh_num!R12)</f>
        <v>84595.397539547004</v>
      </c>
      <c r="S12" s="132">
        <f>IF(SER_hh_fec!S12=0,0,11630*1000*SER_hh_fec!S12/SER_hh_num!S12)</f>
        <v>88924.884013737814</v>
      </c>
      <c r="T12" s="132">
        <f>IF(SER_hh_fec!T12=0,0,11630*1000*SER_hh_fec!T12/SER_hh_num!T12)</f>
        <v>82358.89504001115</v>
      </c>
      <c r="U12" s="132">
        <f>IF(SER_hh_fec!U12=0,0,11630*1000*SER_hh_fec!U12/SER_hh_num!U12)</f>
        <v>85665.997256764385</v>
      </c>
      <c r="V12" s="132">
        <f>IF(SER_hh_fec!V12=0,0,11630*1000*SER_hh_fec!V12/SER_hh_num!V12)</f>
        <v>77611.979066454602</v>
      </c>
      <c r="W12" s="132">
        <f>IF(SER_hh_fec!W12=0,0,11630*1000*SER_hh_fec!W12/SER_hh_num!W12)</f>
        <v>90208.567357651627</v>
      </c>
      <c r="X12" s="132">
        <f>IF(SER_hh_fec!X12=0,0,11630*1000*SER_hh_fec!X12/SER_hh_num!X12)</f>
        <v>80450.250663379076</v>
      </c>
      <c r="Y12" s="132">
        <f>IF(SER_hh_fec!Y12=0,0,11630*1000*SER_hh_fec!Y12/SER_hh_num!Y12)</f>
        <v>75611.802831189474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46102.719649581879</v>
      </c>
      <c r="C13" s="132">
        <f>IF(SER_hh_fec!C13=0,0,11630*1000*SER_hh_fec!C13/SER_hh_num!C13)</f>
        <v>44287.751830980742</v>
      </c>
      <c r="D13" s="132">
        <f>IF(SER_hh_fec!D13=0,0,11630*1000*SER_hh_fec!D13/SER_hh_num!D13)</f>
        <v>39999.892048558868</v>
      </c>
      <c r="E13" s="132">
        <f>IF(SER_hh_fec!E13=0,0,11630*1000*SER_hh_fec!E13/SER_hh_num!E13)</f>
        <v>40010.205429279413</v>
      </c>
      <c r="F13" s="132">
        <f>IF(SER_hh_fec!F13=0,0,11630*1000*SER_hh_fec!F13/SER_hh_num!F13)</f>
        <v>38535.62472709961</v>
      </c>
      <c r="G13" s="132">
        <f>IF(SER_hh_fec!G13=0,0,11630*1000*SER_hh_fec!G13/SER_hh_num!G13)</f>
        <v>34388.598766340627</v>
      </c>
      <c r="H13" s="132">
        <f>IF(SER_hh_fec!H13=0,0,11630*1000*SER_hh_fec!H13/SER_hh_num!H13)</f>
        <v>33136.094172035504</v>
      </c>
      <c r="I13" s="132">
        <f>IF(SER_hh_fec!I13=0,0,11630*1000*SER_hh_fec!I13/SER_hh_num!I13)</f>
        <v>28036.124157856579</v>
      </c>
      <c r="J13" s="132">
        <f>IF(SER_hh_fec!J13=0,0,11630*1000*SER_hh_fec!J13/SER_hh_num!J13)</f>
        <v>31756.615219968895</v>
      </c>
      <c r="K13" s="132">
        <f>IF(SER_hh_fec!K13=0,0,11630*1000*SER_hh_fec!K13/SER_hh_num!K13)</f>
        <v>24567.650709526853</v>
      </c>
      <c r="L13" s="132">
        <f>IF(SER_hh_fec!L13=0,0,11630*1000*SER_hh_fec!L13/SER_hh_num!L13)</f>
        <v>23846.680642670512</v>
      </c>
      <c r="M13" s="132">
        <f>IF(SER_hh_fec!M13=0,0,11630*1000*SER_hh_fec!M13/SER_hh_num!M13)</f>
        <v>23857.870985214711</v>
      </c>
      <c r="N13" s="132">
        <f>IF(SER_hh_fec!N13=0,0,11630*1000*SER_hh_fec!N13/SER_hh_num!N13)</f>
        <v>22720.338633591658</v>
      </c>
      <c r="O13" s="132">
        <f>IF(SER_hh_fec!O13=0,0,11630*1000*SER_hh_fec!O13/SER_hh_num!O13)</f>
        <v>22311.545672173415</v>
      </c>
      <c r="P13" s="132">
        <f>IF(SER_hh_fec!P13=0,0,11630*1000*SER_hh_fec!P13/SER_hh_num!P13)</f>
        <v>22987.347938618881</v>
      </c>
      <c r="Q13" s="132">
        <f>IF(SER_hh_fec!Q13=0,0,11630*1000*SER_hh_fec!Q13/SER_hh_num!Q13)</f>
        <v>19014.762513246314</v>
      </c>
      <c r="R13" s="132">
        <f>IF(SER_hh_fec!R13=0,0,11630*1000*SER_hh_fec!R13/SER_hh_num!R13)</f>
        <v>19279.976074950402</v>
      </c>
      <c r="S13" s="132">
        <f>IF(SER_hh_fec!S13=0,0,11630*1000*SER_hh_fec!S13/SER_hh_num!S13)</f>
        <v>20738.638535281363</v>
      </c>
      <c r="T13" s="132">
        <f>IF(SER_hh_fec!T13=0,0,11630*1000*SER_hh_fec!T13/SER_hh_num!T13)</f>
        <v>19981.00059237353</v>
      </c>
      <c r="U13" s="132">
        <f>IF(SER_hh_fec!U13=0,0,11630*1000*SER_hh_fec!U13/SER_hh_num!U13)</f>
        <v>22532.261645949391</v>
      </c>
      <c r="V13" s="132">
        <f>IF(SER_hh_fec!V13=0,0,11630*1000*SER_hh_fec!V13/SER_hh_num!V13)</f>
        <v>14519.377597340374</v>
      </c>
      <c r="W13" s="132">
        <f>IF(SER_hh_fec!W13=0,0,11630*1000*SER_hh_fec!W13/SER_hh_num!W13)</f>
        <v>12506.112063388106</v>
      </c>
      <c r="X13" s="132">
        <f>IF(SER_hh_fec!X13=0,0,11630*1000*SER_hh_fec!X13/SER_hh_num!X13)</f>
        <v>16117.060641341299</v>
      </c>
      <c r="Y13" s="132">
        <f>IF(SER_hh_fec!Y13=0,0,11630*1000*SER_hh_fec!Y13/SER_hh_num!Y13)</f>
        <v>17590.817375954062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115157.78168774748</v>
      </c>
      <c r="C14" s="65">
        <f>IF(SER_hh_fec!C14=0,0,11630*1000*SER_hh_fec!C14/SER_hh_num!C14)</f>
        <v>123694.09947168401</v>
      </c>
      <c r="D14" s="65">
        <f>IF(SER_hh_fec!D14=0,0,11630*1000*SER_hh_fec!D14/SER_hh_num!D14)</f>
        <v>124032.26649848004</v>
      </c>
      <c r="E14" s="65">
        <f>IF(SER_hh_fec!E14=0,0,11630*1000*SER_hh_fec!E14/SER_hh_num!E14)</f>
        <v>146606.52660025167</v>
      </c>
      <c r="F14" s="65">
        <f>IF(SER_hh_fec!F14=0,0,11630*1000*SER_hh_fec!F14/SER_hh_num!F14)</f>
        <v>108198.66285257159</v>
      </c>
      <c r="G14" s="65">
        <f>IF(SER_hh_fec!G14=0,0,11630*1000*SER_hh_fec!G14/SER_hh_num!G14)</f>
        <v>141490.19710166674</v>
      </c>
      <c r="H14" s="65">
        <f>IF(SER_hh_fec!H14=0,0,11630*1000*SER_hh_fec!H14/SER_hh_num!H14)</f>
        <v>130519.07129311249</v>
      </c>
      <c r="I14" s="65">
        <f>IF(SER_hh_fec!I14=0,0,11630*1000*SER_hh_fec!I14/SER_hh_num!I14)</f>
        <v>111569.50619623983</v>
      </c>
      <c r="J14" s="65">
        <f>IF(SER_hh_fec!J14=0,0,11630*1000*SER_hh_fec!J14/SER_hh_num!J14)</f>
        <v>132729.18086524648</v>
      </c>
      <c r="K14" s="65">
        <f>IF(SER_hh_fec!K14=0,0,11630*1000*SER_hh_fec!K14/SER_hh_num!K14)</f>
        <v>84612.605913800828</v>
      </c>
      <c r="L14" s="65">
        <f>IF(SER_hh_fec!L14=0,0,11630*1000*SER_hh_fec!L14/SER_hh_num!L14)</f>
        <v>107344.51811785922</v>
      </c>
      <c r="M14" s="65">
        <f>IF(SER_hh_fec!M14=0,0,11630*1000*SER_hh_fec!M14/SER_hh_num!M14)</f>
        <v>98118.272594346912</v>
      </c>
      <c r="N14" s="65">
        <f>IF(SER_hh_fec!N14=0,0,11630*1000*SER_hh_fec!N14/SER_hh_num!N14)</f>
        <v>97117.68386934264</v>
      </c>
      <c r="O14" s="65">
        <f>IF(SER_hh_fec!O14=0,0,11630*1000*SER_hh_fec!O14/SER_hh_num!O14)</f>
        <v>96508.448895194728</v>
      </c>
      <c r="P14" s="65">
        <f>IF(SER_hh_fec!P14=0,0,11630*1000*SER_hh_fec!P14/SER_hh_num!P14)</f>
        <v>91913.121641853577</v>
      </c>
      <c r="Q14" s="65">
        <f>IF(SER_hh_fec!Q14=0,0,11630*1000*SER_hh_fec!Q14/SER_hh_num!Q14)</f>
        <v>93877.89853660074</v>
      </c>
      <c r="R14" s="65">
        <f>IF(SER_hh_fec!R14=0,0,11630*1000*SER_hh_fec!R14/SER_hh_num!R14)</f>
        <v>70550.262238385956</v>
      </c>
      <c r="S14" s="65">
        <f>IF(SER_hh_fec!S14=0,0,11630*1000*SER_hh_fec!S14/SER_hh_num!S14)</f>
        <v>93180.709445731001</v>
      </c>
      <c r="T14" s="65">
        <f>IF(SER_hh_fec!T14=0,0,11630*1000*SER_hh_fec!T14/SER_hh_num!T14)</f>
        <v>103648.49071189034</v>
      </c>
      <c r="U14" s="65">
        <f>IF(SER_hh_fec!U14=0,0,11630*1000*SER_hh_fec!U14/SER_hh_num!U14)</f>
        <v>95879.030844285022</v>
      </c>
      <c r="V14" s="65">
        <f>IF(SER_hh_fec!V14=0,0,11630*1000*SER_hh_fec!V14/SER_hh_num!V14)</f>
        <v>81399.703981043538</v>
      </c>
      <c r="W14" s="65">
        <f>IF(SER_hh_fec!W14=0,0,11630*1000*SER_hh_fec!W14/SER_hh_num!W14)</f>
        <v>86226.181548387482</v>
      </c>
      <c r="X14" s="65">
        <f>IF(SER_hh_fec!X14=0,0,11630*1000*SER_hh_fec!X14/SER_hh_num!X14)</f>
        <v>99409.931004558632</v>
      </c>
      <c r="Y14" s="65">
        <f>IF(SER_hh_fec!Y14=0,0,11630*1000*SER_hh_fec!Y14/SER_hh_num!Y14)</f>
        <v>64894.332661845467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1079.3617051921647</v>
      </c>
      <c r="C15" s="134">
        <f>IF(SER_hh_fec!C15=0,0,11630*1000*SER_hh_fec!C15/SER_hh_num!C15)</f>
        <v>1402.087997747029</v>
      </c>
      <c r="D15" s="134">
        <f>IF(SER_hh_fec!D15=0,0,11630*1000*SER_hh_fec!D15/SER_hh_num!D15)</f>
        <v>1274.9114486977492</v>
      </c>
      <c r="E15" s="134">
        <f>IF(SER_hh_fec!E15=0,0,11630*1000*SER_hh_fec!E15/SER_hh_num!E15)</f>
        <v>1463.3126330006996</v>
      </c>
      <c r="F15" s="134">
        <f>IF(SER_hh_fec!F15=0,0,11630*1000*SER_hh_fec!F15/SER_hh_num!F15)</f>
        <v>1444.044677109493</v>
      </c>
      <c r="G15" s="134">
        <f>IF(SER_hh_fec!G15=0,0,11630*1000*SER_hh_fec!G15/SER_hh_num!G15)</f>
        <v>1121.8340943833198</v>
      </c>
      <c r="H15" s="134">
        <f>IF(SER_hh_fec!H15=0,0,11630*1000*SER_hh_fec!H15/SER_hh_num!H15)</f>
        <v>1155.8159806896092</v>
      </c>
      <c r="I15" s="134">
        <f>IF(SER_hh_fec!I15=0,0,11630*1000*SER_hh_fec!I15/SER_hh_num!I15)</f>
        <v>843.27745953793954</v>
      </c>
      <c r="J15" s="134">
        <f>IF(SER_hh_fec!J15=0,0,11630*1000*SER_hh_fec!J15/SER_hh_num!J15)</f>
        <v>930.83090072838559</v>
      </c>
      <c r="K15" s="134">
        <f>IF(SER_hh_fec!K15=0,0,11630*1000*SER_hh_fec!K15/SER_hh_num!K15)</f>
        <v>758.89801540175574</v>
      </c>
      <c r="L15" s="134">
        <f>IF(SER_hh_fec!L15=0,0,11630*1000*SER_hh_fec!L15/SER_hh_num!L15)</f>
        <v>642.55246155679708</v>
      </c>
      <c r="M15" s="134">
        <f>IF(SER_hh_fec!M15=0,0,11630*1000*SER_hh_fec!M15/SER_hh_num!M15)</f>
        <v>582.05183854972313</v>
      </c>
      <c r="N15" s="134">
        <f>IF(SER_hh_fec!N15=0,0,11630*1000*SER_hh_fec!N15/SER_hh_num!N15)</f>
        <v>607.92064253745798</v>
      </c>
      <c r="O15" s="134">
        <f>IF(SER_hh_fec!O15=0,0,11630*1000*SER_hh_fec!O15/SER_hh_num!O15)</f>
        <v>619.81704996668759</v>
      </c>
      <c r="P15" s="134">
        <f>IF(SER_hh_fec!P15=0,0,11630*1000*SER_hh_fec!P15/SER_hh_num!P15)</f>
        <v>531.19986052327567</v>
      </c>
      <c r="Q15" s="134">
        <f>IF(SER_hh_fec!Q15=0,0,11630*1000*SER_hh_fec!Q15/SER_hh_num!Q15)</f>
        <v>571.36971342164611</v>
      </c>
      <c r="R15" s="134">
        <f>IF(SER_hh_fec!R15=0,0,11630*1000*SER_hh_fec!R15/SER_hh_num!R15)</f>
        <v>540.4091807569506</v>
      </c>
      <c r="S15" s="134">
        <f>IF(SER_hh_fec!S15=0,0,11630*1000*SER_hh_fec!S15/SER_hh_num!S15)</f>
        <v>634.6177436775605</v>
      </c>
      <c r="T15" s="134">
        <f>IF(SER_hh_fec!T15=0,0,11630*1000*SER_hh_fec!T15/SER_hh_num!T15)</f>
        <v>585.42413615689088</v>
      </c>
      <c r="U15" s="134">
        <f>IF(SER_hh_fec!U15=0,0,11630*1000*SER_hh_fec!U15/SER_hh_num!U15)</f>
        <v>606.45663690111371</v>
      </c>
      <c r="V15" s="134">
        <f>IF(SER_hh_fec!V15=0,0,11630*1000*SER_hh_fec!V15/SER_hh_num!V15)</f>
        <v>585.23460551736787</v>
      </c>
      <c r="W15" s="134">
        <f>IF(SER_hh_fec!W15=0,0,11630*1000*SER_hh_fec!W15/SER_hh_num!W15)</f>
        <v>705.21668413642715</v>
      </c>
      <c r="X15" s="134">
        <f>IF(SER_hh_fec!X15=0,0,11630*1000*SER_hh_fec!X15/SER_hh_num!X15)</f>
        <v>554.77760173186789</v>
      </c>
      <c r="Y15" s="134">
        <f>IF(SER_hh_fec!Y15=0,0,11630*1000*SER_hh_fec!Y15/SER_hh_num!Y15)</f>
        <v>501.23759922623486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10866.368174437233</v>
      </c>
      <c r="C16" s="130">
        <f>IF(SER_hh_fec!C16=0,0,11630*1000*SER_hh_fec!C16/SER_hh_num!C16)</f>
        <v>10404.738837727122</v>
      </c>
      <c r="D16" s="130">
        <f>IF(SER_hh_fec!D16=0,0,11630*1000*SER_hh_fec!D16/SER_hh_num!D16)</f>
        <v>10047.170323342852</v>
      </c>
      <c r="E16" s="130">
        <f>IF(SER_hh_fec!E16=0,0,11630*1000*SER_hh_fec!E16/SER_hh_num!E16)</f>
        <v>10822.41789728514</v>
      </c>
      <c r="F16" s="130">
        <f>IF(SER_hh_fec!F16=0,0,11630*1000*SER_hh_fec!F16/SER_hh_num!F16)</f>
        <v>9201.5977830457377</v>
      </c>
      <c r="G16" s="130">
        <f>IF(SER_hh_fec!G16=0,0,11630*1000*SER_hh_fec!G16/SER_hh_num!G16)</f>
        <v>8864.1179090051173</v>
      </c>
      <c r="H16" s="130">
        <f>IF(SER_hh_fec!H16=0,0,11630*1000*SER_hh_fec!H16/SER_hh_num!H16)</f>
        <v>8851.4264975180849</v>
      </c>
      <c r="I16" s="130">
        <f>IF(SER_hh_fec!I16=0,0,11630*1000*SER_hh_fec!I16/SER_hh_num!I16)</f>
        <v>8346.4551495613196</v>
      </c>
      <c r="J16" s="130">
        <f>IF(SER_hh_fec!J16=0,0,11630*1000*SER_hh_fec!J16/SER_hh_num!J16)</f>
        <v>7646.3622274134559</v>
      </c>
      <c r="K16" s="130">
        <f>IF(SER_hh_fec!K16=0,0,11630*1000*SER_hh_fec!K16/SER_hh_num!K16)</f>
        <v>7618.2976527437122</v>
      </c>
      <c r="L16" s="130">
        <f>IF(SER_hh_fec!L16=0,0,11630*1000*SER_hh_fec!L16/SER_hh_num!L16)</f>
        <v>7681.7513020896731</v>
      </c>
      <c r="M16" s="130">
        <f>IF(SER_hh_fec!M16=0,0,11630*1000*SER_hh_fec!M16/SER_hh_num!M16)</f>
        <v>7296.4086350620246</v>
      </c>
      <c r="N16" s="130">
        <f>IF(SER_hh_fec!N16=0,0,11630*1000*SER_hh_fec!N16/SER_hh_num!N16)</f>
        <v>7326.6541671085952</v>
      </c>
      <c r="O16" s="130">
        <f>IF(SER_hh_fec!O16=0,0,11630*1000*SER_hh_fec!O16/SER_hh_num!O16)</f>
        <v>7527.998268408036</v>
      </c>
      <c r="P16" s="130">
        <f>IF(SER_hh_fec!P16=0,0,11630*1000*SER_hh_fec!P16/SER_hh_num!P16)</f>
        <v>6400.2980415407983</v>
      </c>
      <c r="Q16" s="130">
        <f>IF(SER_hh_fec!Q16=0,0,11630*1000*SER_hh_fec!Q16/SER_hh_num!Q16)</f>
        <v>7181.9087953432099</v>
      </c>
      <c r="R16" s="130">
        <f>IF(SER_hh_fec!R16=0,0,11630*1000*SER_hh_fec!R16/SER_hh_num!R16)</f>
        <v>5963.7782199017465</v>
      </c>
      <c r="S16" s="130">
        <f>IF(SER_hh_fec!S16=0,0,11630*1000*SER_hh_fec!S16/SER_hh_num!S16)</f>
        <v>6162.0407941004069</v>
      </c>
      <c r="T16" s="130">
        <f>IF(SER_hh_fec!T16=0,0,11630*1000*SER_hh_fec!T16/SER_hh_num!T16)</f>
        <v>5895.4052581929182</v>
      </c>
      <c r="U16" s="130">
        <f>IF(SER_hh_fec!U16=0,0,11630*1000*SER_hh_fec!U16/SER_hh_num!U16)</f>
        <v>5937.7595090245441</v>
      </c>
      <c r="V16" s="130">
        <f>IF(SER_hh_fec!V16=0,0,11630*1000*SER_hh_fec!V16/SER_hh_num!V16)</f>
        <v>5325.4434074164437</v>
      </c>
      <c r="W16" s="130">
        <f>IF(SER_hh_fec!W16=0,0,11630*1000*SER_hh_fec!W16/SER_hh_num!W16)</f>
        <v>5388.2510933397389</v>
      </c>
      <c r="X16" s="130">
        <f>IF(SER_hh_fec!X16=0,0,11630*1000*SER_hh_fec!X16/SER_hh_num!X16)</f>
        <v>5478.1011747791053</v>
      </c>
      <c r="Y16" s="130">
        <f>IF(SER_hh_fec!Y16=0,0,11630*1000*SER_hh_fec!Y16/SER_hh_num!Y16)</f>
        <v>5642.0329459902423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18300.317968380019</v>
      </c>
      <c r="C17" s="132">
        <f>IF(SER_hh_fec!C17=0,0,11630*1000*SER_hh_fec!C17/SER_hh_num!C17)</f>
        <v>17889.257124756121</v>
      </c>
      <c r="D17" s="132">
        <f>IF(SER_hh_fec!D17=0,0,11630*1000*SER_hh_fec!D17/SER_hh_num!D17)</f>
        <v>17638.009077459945</v>
      </c>
      <c r="E17" s="132">
        <f>IF(SER_hh_fec!E17=0,0,11630*1000*SER_hh_fec!E17/SER_hh_num!E17)</f>
        <v>19509.929642819086</v>
      </c>
      <c r="F17" s="132">
        <f>IF(SER_hh_fec!F17=0,0,11630*1000*SER_hh_fec!F17/SER_hh_num!F17)</f>
        <v>16944.165936387759</v>
      </c>
      <c r="G17" s="132">
        <f>IF(SER_hh_fec!G17=0,0,11630*1000*SER_hh_fec!G17/SER_hh_num!G17)</f>
        <v>16860.990240477502</v>
      </c>
      <c r="H17" s="132">
        <f>IF(SER_hh_fec!H17=0,0,11630*1000*SER_hh_fec!H17/SER_hh_num!H17)</f>
        <v>17443.947741966578</v>
      </c>
      <c r="I17" s="132">
        <f>IF(SER_hh_fec!I17=0,0,11630*1000*SER_hh_fec!I17/SER_hh_num!I17)</f>
        <v>17076.391525842675</v>
      </c>
      <c r="J17" s="132">
        <f>IF(SER_hh_fec!J17=0,0,11630*1000*SER_hh_fec!J17/SER_hh_num!J17)</f>
        <v>16319.955602263264</v>
      </c>
      <c r="K17" s="132">
        <f>IF(SER_hh_fec!K17=0,0,11630*1000*SER_hh_fec!K17/SER_hh_num!K17)</f>
        <v>16346.382450697918</v>
      </c>
      <c r="L17" s="132">
        <f>IF(SER_hh_fec!L17=0,0,11630*1000*SER_hh_fec!L17/SER_hh_num!L17)</f>
        <v>16771.07285936191</v>
      </c>
      <c r="M17" s="132">
        <f>IF(SER_hh_fec!M17=0,0,11630*1000*SER_hh_fec!M17/SER_hh_num!M17)</f>
        <v>17516.291697050678</v>
      </c>
      <c r="N17" s="132">
        <f>IF(SER_hh_fec!N17=0,0,11630*1000*SER_hh_fec!N17/SER_hh_num!N17)</f>
        <v>16711.799194807154</v>
      </c>
      <c r="O17" s="132">
        <f>IF(SER_hh_fec!O17=0,0,11630*1000*SER_hh_fec!O17/SER_hh_num!O17)</f>
        <v>17569.061952234599</v>
      </c>
      <c r="P17" s="132">
        <f>IF(SER_hh_fec!P17=0,0,11630*1000*SER_hh_fec!P17/SER_hh_num!P17)</f>
        <v>15289.0418126349</v>
      </c>
      <c r="Q17" s="132">
        <f>IF(SER_hh_fec!Q17=0,0,11630*1000*SER_hh_fec!Q17/SER_hh_num!Q17)</f>
        <v>18425.549615675071</v>
      </c>
      <c r="R17" s="132">
        <f>IF(SER_hh_fec!R17=0,0,11630*1000*SER_hh_fec!R17/SER_hh_num!R17)</f>
        <v>15112.620131637796</v>
      </c>
      <c r="S17" s="132">
        <f>IF(SER_hh_fec!S17=0,0,11630*1000*SER_hh_fec!S17/SER_hh_num!S17)</f>
        <v>15943.023311237355</v>
      </c>
      <c r="T17" s="132">
        <f>IF(SER_hh_fec!T17=0,0,11630*1000*SER_hh_fec!T17/SER_hh_num!T17)</f>
        <v>15515.530803742529</v>
      </c>
      <c r="U17" s="132">
        <f>IF(SER_hh_fec!U17=0,0,11630*1000*SER_hh_fec!U17/SER_hh_num!U17)</f>
        <v>15733.558143186861</v>
      </c>
      <c r="V17" s="132">
        <f>IF(SER_hh_fec!V17=0,0,11630*1000*SER_hh_fec!V17/SER_hh_num!V17)</f>
        <v>13858.634882647739</v>
      </c>
      <c r="W17" s="132">
        <f>IF(SER_hh_fec!W17=0,0,11630*1000*SER_hh_fec!W17/SER_hh_num!W17)</f>
        <v>14537.774826309847</v>
      </c>
      <c r="X17" s="132">
        <f>IF(SER_hh_fec!X17=0,0,11630*1000*SER_hh_fec!X17/SER_hh_num!X17)</f>
        <v>14794.857807656186</v>
      </c>
      <c r="Y17" s="132">
        <f>IF(SER_hh_fec!Y17=0,0,11630*1000*SER_hh_fec!Y17/SER_hh_num!Y17)</f>
        <v>15209.564535330042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10857.445193242578</v>
      </c>
      <c r="C18" s="132">
        <f>IF(SER_hh_fec!C18=0,0,11630*1000*SER_hh_fec!C18/SER_hh_num!C18)</f>
        <v>10395.260945566379</v>
      </c>
      <c r="D18" s="132">
        <f>IF(SER_hh_fec!D18=0,0,11630*1000*SER_hh_fec!D18/SER_hh_num!D18)</f>
        <v>10036.146714253118</v>
      </c>
      <c r="E18" s="132">
        <f>IF(SER_hh_fec!E18=0,0,11630*1000*SER_hh_fec!E18/SER_hh_num!E18)</f>
        <v>10809.693148241087</v>
      </c>
      <c r="F18" s="132">
        <f>IF(SER_hh_fec!F18=0,0,11630*1000*SER_hh_fec!F18/SER_hh_num!F18)</f>
        <v>9187.3151225875463</v>
      </c>
      <c r="G18" s="132">
        <f>IF(SER_hh_fec!G18=0,0,11630*1000*SER_hh_fec!G18/SER_hh_num!G18)</f>
        <v>8847.786935467002</v>
      </c>
      <c r="H18" s="132">
        <f>IF(SER_hh_fec!H18=0,0,11630*1000*SER_hh_fec!H18/SER_hh_num!H18)</f>
        <v>8832.5946060044662</v>
      </c>
      <c r="I18" s="132">
        <f>IF(SER_hh_fec!I18=0,0,11630*1000*SER_hh_fec!I18/SER_hh_num!I18)</f>
        <v>8323.8020685595438</v>
      </c>
      <c r="J18" s="132">
        <f>IF(SER_hh_fec!J18=0,0,11630*1000*SER_hh_fec!J18/SER_hh_num!J18)</f>
        <v>7620.7417850000202</v>
      </c>
      <c r="K18" s="132">
        <f>IF(SER_hh_fec!K18=0,0,11630*1000*SER_hh_fec!K18/SER_hh_num!K18)</f>
        <v>7588.2435597289386</v>
      </c>
      <c r="L18" s="132">
        <f>IF(SER_hh_fec!L18=0,0,11630*1000*SER_hh_fec!L18/SER_hh_num!L18)</f>
        <v>7648.9552855771599</v>
      </c>
      <c r="M18" s="132">
        <f>IF(SER_hh_fec!M18=0,0,11630*1000*SER_hh_fec!M18/SER_hh_num!M18)</f>
        <v>7257.1304060839275</v>
      </c>
      <c r="N18" s="132">
        <f>IF(SER_hh_fec!N18=0,0,11630*1000*SER_hh_fec!N18/SER_hh_num!N18)</f>
        <v>7286.2678800296753</v>
      </c>
      <c r="O18" s="132">
        <f>IF(SER_hh_fec!O18=0,0,11630*1000*SER_hh_fec!O18/SER_hh_num!O18)</f>
        <v>7480.3485300548109</v>
      </c>
      <c r="P18" s="132">
        <f>IF(SER_hh_fec!P18=0,0,11630*1000*SER_hh_fec!P18/SER_hh_num!P18)</f>
        <v>6353.3599671872535</v>
      </c>
      <c r="Q18" s="132">
        <f>IF(SER_hh_fec!Q18=0,0,11630*1000*SER_hh_fec!Q18/SER_hh_num!Q18)</f>
        <v>7116.0421715851326</v>
      </c>
      <c r="R18" s="132">
        <f>IF(SER_hh_fec!R18=0,0,11630*1000*SER_hh_fec!R18/SER_hh_num!R18)</f>
        <v>5907.6327185362688</v>
      </c>
      <c r="S18" s="132">
        <f>IF(SER_hh_fec!S18=0,0,11630*1000*SER_hh_fec!S18/SER_hh_num!S18)</f>
        <v>6095.8677042093923</v>
      </c>
      <c r="T18" s="132">
        <f>IF(SER_hh_fec!T18=0,0,11630*1000*SER_hh_fec!T18/SER_hh_num!T18)</f>
        <v>5826.779299085877</v>
      </c>
      <c r="U18" s="132">
        <f>IF(SER_hh_fec!U18=0,0,11630*1000*SER_hh_fec!U18/SER_hh_num!U18)</f>
        <v>5860.6826807227053</v>
      </c>
      <c r="V18" s="132">
        <f>IF(SER_hh_fec!V18=0,0,11630*1000*SER_hh_fec!V18/SER_hh_num!V18)</f>
        <v>5255.497826379119</v>
      </c>
      <c r="W18" s="132">
        <f>IF(SER_hh_fec!W18=0,0,11630*1000*SER_hh_fec!W18/SER_hh_num!W18)</f>
        <v>5313.013891668912</v>
      </c>
      <c r="X18" s="132">
        <f>IF(SER_hh_fec!X18=0,0,11630*1000*SER_hh_fec!X18/SER_hh_num!X18)</f>
        <v>5398.7336309340344</v>
      </c>
      <c r="Y18" s="132">
        <f>IF(SER_hh_fec!Y18=0,0,11630*1000*SER_hh_fec!Y18/SER_hh_num!Y18)</f>
        <v>5557.8734346627652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19621.186734080115</v>
      </c>
      <c r="C19" s="130">
        <f>IF(SER_hh_fec!C19=0,0,11630*1000*SER_hh_fec!C19/SER_hh_num!C19)</f>
        <v>19774.316788423712</v>
      </c>
      <c r="D19" s="130">
        <f>IF(SER_hh_fec!D19=0,0,11630*1000*SER_hh_fec!D19/SER_hh_num!D19)</f>
        <v>19666.135934274585</v>
      </c>
      <c r="E19" s="130">
        <f>IF(SER_hh_fec!E19=0,0,11630*1000*SER_hh_fec!E19/SER_hh_num!E19)</f>
        <v>19702.223198289081</v>
      </c>
      <c r="F19" s="130">
        <f>IF(SER_hh_fec!F19=0,0,11630*1000*SER_hh_fec!F19/SER_hh_num!F19)</f>
        <v>19561.978814574722</v>
      </c>
      <c r="G19" s="130">
        <f>IF(SER_hh_fec!G19=0,0,11630*1000*SER_hh_fec!G19/SER_hh_num!G19)</f>
        <v>19919.678230355876</v>
      </c>
      <c r="H19" s="130">
        <f>IF(SER_hh_fec!H19=0,0,11630*1000*SER_hh_fec!H19/SER_hh_num!H19)</f>
        <v>19755.215031486525</v>
      </c>
      <c r="I19" s="130">
        <f>IF(SER_hh_fec!I19=0,0,11630*1000*SER_hh_fec!I19/SER_hh_num!I19)</f>
        <v>19672.12748477736</v>
      </c>
      <c r="J19" s="130">
        <f>IF(SER_hh_fec!J19=0,0,11630*1000*SER_hh_fec!J19/SER_hh_num!J19)</f>
        <v>19261.885082828165</v>
      </c>
      <c r="K19" s="130">
        <f>IF(SER_hh_fec!K19=0,0,11630*1000*SER_hh_fec!K19/SER_hh_num!K19)</f>
        <v>20197.109076945919</v>
      </c>
      <c r="L19" s="130">
        <f>IF(SER_hh_fec!L19=0,0,11630*1000*SER_hh_fec!L19/SER_hh_num!L19)</f>
        <v>19163.064085648366</v>
      </c>
      <c r="M19" s="130">
        <f>IF(SER_hh_fec!M19=0,0,11630*1000*SER_hh_fec!M19/SER_hh_num!M19)</f>
        <v>19120.083489432476</v>
      </c>
      <c r="N19" s="130">
        <f>IF(SER_hh_fec!N19=0,0,11630*1000*SER_hh_fec!N19/SER_hh_num!N19)</f>
        <v>18626.164401397957</v>
      </c>
      <c r="O19" s="130">
        <f>IF(SER_hh_fec!O19=0,0,11630*1000*SER_hh_fec!O19/SER_hh_num!O19)</f>
        <v>18736.624932330596</v>
      </c>
      <c r="P19" s="130">
        <f>IF(SER_hh_fec!P19=0,0,11630*1000*SER_hh_fec!P19/SER_hh_num!P19)</f>
        <v>19048.395697443098</v>
      </c>
      <c r="Q19" s="130">
        <f>IF(SER_hh_fec!Q19=0,0,11630*1000*SER_hh_fec!Q19/SER_hh_num!Q19)</f>
        <v>18847.320448465678</v>
      </c>
      <c r="R19" s="130">
        <f>IF(SER_hh_fec!R19=0,0,11630*1000*SER_hh_fec!R19/SER_hh_num!R19)</f>
        <v>18730.414863708487</v>
      </c>
      <c r="S19" s="130">
        <f>IF(SER_hh_fec!S19=0,0,11630*1000*SER_hh_fec!S19/SER_hh_num!S19)</f>
        <v>18428.521270472047</v>
      </c>
      <c r="T19" s="130">
        <f>IF(SER_hh_fec!T19=0,0,11630*1000*SER_hh_fec!T19/SER_hh_num!T19)</f>
        <v>17955.649325754963</v>
      </c>
      <c r="U19" s="130">
        <f>IF(SER_hh_fec!U19=0,0,11630*1000*SER_hh_fec!U19/SER_hh_num!U19)</f>
        <v>17439.644980748057</v>
      </c>
      <c r="V19" s="130">
        <f>IF(SER_hh_fec!V19=0,0,11630*1000*SER_hh_fec!V19/SER_hh_num!V19)</f>
        <v>16607.553079769503</v>
      </c>
      <c r="W19" s="130">
        <f>IF(SER_hh_fec!W19=0,0,11630*1000*SER_hh_fec!W19/SER_hh_num!W19)</f>
        <v>16229.275239952578</v>
      </c>
      <c r="X19" s="130">
        <f>IF(SER_hh_fec!X19=0,0,11630*1000*SER_hh_fec!X19/SER_hh_num!X19)</f>
        <v>16458.08868518865</v>
      </c>
      <c r="Y19" s="130">
        <f>IF(SER_hh_fec!Y19=0,0,11630*1000*SER_hh_fec!Y19/SER_hh_num!Y19)</f>
        <v>16589.335352755767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21079.720146843549</v>
      </c>
      <c r="C21" s="132">
        <f>IF(SER_hh_fec!C21=0,0,11630*1000*SER_hh_fec!C21/SER_hh_num!C21)</f>
        <v>22799.960198971527</v>
      </c>
      <c r="D21" s="132">
        <f>IF(SER_hh_fec!D21=0,0,11630*1000*SER_hh_fec!D21/SER_hh_num!D21)</f>
        <v>22045.796021287948</v>
      </c>
      <c r="E21" s="132">
        <f>IF(SER_hh_fec!E21=0,0,11630*1000*SER_hh_fec!E21/SER_hh_num!E21)</f>
        <v>22412.363208902818</v>
      </c>
      <c r="F21" s="132">
        <f>IF(SER_hh_fec!F21=0,0,11630*1000*SER_hh_fec!F21/SER_hh_num!F21)</f>
        <v>22446.450766649185</v>
      </c>
      <c r="G21" s="132">
        <f>IF(SER_hh_fec!G21=0,0,11630*1000*SER_hh_fec!G21/SER_hh_num!G21)</f>
        <v>22632.165321371736</v>
      </c>
      <c r="H21" s="132">
        <f>IF(SER_hh_fec!H21=0,0,11630*1000*SER_hh_fec!H21/SER_hh_num!H21)</f>
        <v>22930.867553139018</v>
      </c>
      <c r="I21" s="132">
        <f>IF(SER_hh_fec!I21=0,0,11630*1000*SER_hh_fec!I21/SER_hh_num!I21)</f>
        <v>23362.728602613945</v>
      </c>
      <c r="J21" s="132">
        <f>IF(SER_hh_fec!J21=0,0,11630*1000*SER_hh_fec!J21/SER_hh_num!J21)</f>
        <v>23713.068590830844</v>
      </c>
      <c r="K21" s="132">
        <f>IF(SER_hh_fec!K21=0,0,11630*1000*SER_hh_fec!K21/SER_hh_num!K21)</f>
        <v>24892.155777170781</v>
      </c>
      <c r="L21" s="132">
        <f>IF(SER_hh_fec!L21=0,0,11630*1000*SER_hh_fec!L21/SER_hh_num!L21)</f>
        <v>23082.800633581908</v>
      </c>
      <c r="M21" s="132">
        <f>IF(SER_hh_fec!M21=0,0,11630*1000*SER_hh_fec!M21/SER_hh_num!M21)</f>
        <v>25452.05911646003</v>
      </c>
      <c r="N21" s="132">
        <f>IF(SER_hh_fec!N21=0,0,11630*1000*SER_hh_fec!N21/SER_hh_num!N21)</f>
        <v>0</v>
      </c>
      <c r="O21" s="132">
        <f>IF(SER_hh_fec!O21=0,0,11630*1000*SER_hh_fec!O21/SER_hh_num!O21)</f>
        <v>0</v>
      </c>
      <c r="P21" s="132">
        <f>IF(SER_hh_fec!P21=0,0,11630*1000*SER_hh_fec!P21/SER_hh_num!P21)</f>
        <v>0</v>
      </c>
      <c r="Q21" s="132">
        <f>IF(SER_hh_fec!Q21=0,0,11630*1000*SER_hh_fec!Q21/SER_hh_num!Q21)</f>
        <v>0</v>
      </c>
      <c r="R21" s="132">
        <f>IF(SER_hh_fec!R21=0,0,11630*1000*SER_hh_fec!R21/SER_hh_num!R21)</f>
        <v>0</v>
      </c>
      <c r="S21" s="132">
        <f>IF(SER_hh_fec!S21=0,0,11630*1000*SER_hh_fec!S21/SER_hh_num!S21)</f>
        <v>0</v>
      </c>
      <c r="T21" s="132">
        <f>IF(SER_hh_fec!T21=0,0,11630*1000*SER_hh_fec!T21/SER_hh_num!T21)</f>
        <v>0</v>
      </c>
      <c r="U21" s="132">
        <f>IF(SER_hh_fec!U21=0,0,11630*1000*SER_hh_fec!U21/SER_hh_num!U21)</f>
        <v>0</v>
      </c>
      <c r="V21" s="132">
        <f>IF(SER_hh_fec!V21=0,0,11630*1000*SER_hh_fec!V21/SER_hh_num!V21)</f>
        <v>0</v>
      </c>
      <c r="W21" s="132">
        <f>IF(SER_hh_fec!W21=0,0,11630*1000*SER_hh_fec!W21/SER_hh_num!W21)</f>
        <v>0</v>
      </c>
      <c r="X21" s="132">
        <f>IF(SER_hh_fec!X21=0,0,11630*1000*SER_hh_fec!X21/SER_hh_num!X21)</f>
        <v>0</v>
      </c>
      <c r="Y21" s="132">
        <f>IF(SER_hh_fec!Y21=0,0,11630*1000*SER_hh_fec!Y21/SER_hh_num!Y21)</f>
        <v>0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23713.602558821553</v>
      </c>
      <c r="C22" s="132">
        <f>IF(SER_hh_fec!C22=0,0,11630*1000*SER_hh_fec!C22/SER_hh_num!C22)</f>
        <v>23635.883770941884</v>
      </c>
      <c r="D22" s="132">
        <f>IF(SER_hh_fec!D22=0,0,11630*1000*SER_hh_fec!D22/SER_hh_num!D22)</f>
        <v>23564.5631946547</v>
      </c>
      <c r="E22" s="132">
        <f>IF(SER_hh_fec!E22=0,0,11630*1000*SER_hh_fec!E22/SER_hh_num!E22)</f>
        <v>23788.055332183008</v>
      </c>
      <c r="F22" s="132">
        <f>IF(SER_hh_fec!F22=0,0,11630*1000*SER_hh_fec!F22/SER_hh_num!F22)</f>
        <v>24209.800262571378</v>
      </c>
      <c r="G22" s="132">
        <f>IF(SER_hh_fec!G22=0,0,11630*1000*SER_hh_fec!G22/SER_hh_num!G22)</f>
        <v>24144.218412390586</v>
      </c>
      <c r="H22" s="132">
        <f>IF(SER_hh_fec!H22=0,0,11630*1000*SER_hh_fec!H22/SER_hh_num!H22)</f>
        <v>24084.830395857382</v>
      </c>
      <c r="I22" s="132">
        <f>IF(SER_hh_fec!I22=0,0,11630*1000*SER_hh_fec!I22/SER_hh_num!I22)</f>
        <v>24763.667761634988</v>
      </c>
      <c r="J22" s="132">
        <f>IF(SER_hh_fec!J22=0,0,11630*1000*SER_hh_fec!J22/SER_hh_num!J22)</f>
        <v>24142.261010267546</v>
      </c>
      <c r="K22" s="132">
        <f>IF(SER_hh_fec!K22=0,0,11630*1000*SER_hh_fec!K22/SER_hh_num!K22)</f>
        <v>25338.228009764833</v>
      </c>
      <c r="L22" s="132">
        <f>IF(SER_hh_fec!L22=0,0,11630*1000*SER_hh_fec!L22/SER_hh_num!L22)</f>
        <v>23428.875489890663</v>
      </c>
      <c r="M22" s="132">
        <f>IF(SER_hh_fec!M22=0,0,11630*1000*SER_hh_fec!M22/SER_hh_num!M22)</f>
        <v>23955.812013621842</v>
      </c>
      <c r="N22" s="132">
        <f>IF(SER_hh_fec!N22=0,0,11630*1000*SER_hh_fec!N22/SER_hh_num!N22)</f>
        <v>22253.736086030822</v>
      </c>
      <c r="O22" s="132">
        <f>IF(SER_hh_fec!O22=0,0,11630*1000*SER_hh_fec!O22/SER_hh_num!O22)</f>
        <v>23032.816223095193</v>
      </c>
      <c r="P22" s="132">
        <f>IF(SER_hh_fec!P22=0,0,11630*1000*SER_hh_fec!P22/SER_hh_num!P22)</f>
        <v>23184.795823582652</v>
      </c>
      <c r="Q22" s="132">
        <f>IF(SER_hh_fec!Q22=0,0,11630*1000*SER_hh_fec!Q22/SER_hh_num!Q22)</f>
        <v>22940.122801495007</v>
      </c>
      <c r="R22" s="132">
        <f>IF(SER_hh_fec!R22=0,0,11630*1000*SER_hh_fec!R22/SER_hh_num!R22)</f>
        <v>22679.960112793782</v>
      </c>
      <c r="S22" s="132">
        <f>IF(SER_hh_fec!S22=0,0,11630*1000*SER_hh_fec!S22/SER_hh_num!S22)</f>
        <v>22404.036827366202</v>
      </c>
      <c r="T22" s="132">
        <f>IF(SER_hh_fec!T22=0,0,11630*1000*SER_hh_fec!T22/SER_hh_num!T22)</f>
        <v>21199.916170279084</v>
      </c>
      <c r="U22" s="132">
        <f>IF(SER_hh_fec!U22=0,0,11630*1000*SER_hh_fec!U22/SER_hh_num!U22)</f>
        <v>20114.258589983532</v>
      </c>
      <c r="V22" s="132">
        <f>IF(SER_hh_fec!V22=0,0,11630*1000*SER_hh_fec!V22/SER_hh_num!V22)</f>
        <v>17832.968533325224</v>
      </c>
      <c r="W22" s="132">
        <f>IF(SER_hh_fec!W22=0,0,11630*1000*SER_hh_fec!W22/SER_hh_num!W22)</f>
        <v>17974.39884814922</v>
      </c>
      <c r="X22" s="132">
        <f>IF(SER_hh_fec!X22=0,0,11630*1000*SER_hh_fec!X22/SER_hh_num!X22)</f>
        <v>17940.731858145533</v>
      </c>
      <c r="Y22" s="132">
        <f>IF(SER_hh_fec!Y22=0,0,11630*1000*SER_hh_fec!Y22/SER_hh_num!Y22)</f>
        <v>18200.005867408141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22991.679255614901</v>
      </c>
      <c r="C23" s="132">
        <f>IF(SER_hh_fec!C23=0,0,11630*1000*SER_hh_fec!C23/SER_hh_num!C23)</f>
        <v>22967.612830960945</v>
      </c>
      <c r="D23" s="132">
        <f>IF(SER_hh_fec!D23=0,0,11630*1000*SER_hh_fec!D23/SER_hh_num!D23)</f>
        <v>22794.195507569497</v>
      </c>
      <c r="E23" s="132">
        <f>IF(SER_hh_fec!E23=0,0,11630*1000*SER_hh_fec!E23/SER_hh_num!E23)</f>
        <v>22632.584876096305</v>
      </c>
      <c r="F23" s="132">
        <f>IF(SER_hh_fec!F23=0,0,11630*1000*SER_hh_fec!F23/SER_hh_num!F23)</f>
        <v>22612.806842410497</v>
      </c>
      <c r="G23" s="132">
        <f>IF(SER_hh_fec!G23=0,0,11630*1000*SER_hh_fec!G23/SER_hh_num!G23)</f>
        <v>22743.435008771088</v>
      </c>
      <c r="H23" s="132">
        <f>IF(SER_hh_fec!H23=0,0,11630*1000*SER_hh_fec!H23/SER_hh_num!H23)</f>
        <v>22798.983513620096</v>
      </c>
      <c r="I23" s="132">
        <f>IF(SER_hh_fec!I23=0,0,11630*1000*SER_hh_fec!I23/SER_hh_num!I23)</f>
        <v>22750.767534248254</v>
      </c>
      <c r="J23" s="132">
        <f>IF(SER_hh_fec!J23=0,0,11630*1000*SER_hh_fec!J23/SER_hh_num!J23)</f>
        <v>22556.938067872627</v>
      </c>
      <c r="K23" s="132">
        <f>IF(SER_hh_fec!K23=0,0,11630*1000*SER_hh_fec!K23/SER_hh_num!K23)</f>
        <v>22467.497014742781</v>
      </c>
      <c r="L23" s="132">
        <f>IF(SER_hh_fec!L23=0,0,11630*1000*SER_hh_fec!L23/SER_hh_num!L23)</f>
        <v>21711.815601715043</v>
      </c>
      <c r="M23" s="132">
        <f>IF(SER_hh_fec!M23=0,0,11630*1000*SER_hh_fec!M23/SER_hh_num!M23)</f>
        <v>21139.0294104487</v>
      </c>
      <c r="N23" s="132">
        <f>IF(SER_hh_fec!N23=0,0,11630*1000*SER_hh_fec!N23/SER_hh_num!N23)</f>
        <v>20822.556709838496</v>
      </c>
      <c r="O23" s="132">
        <f>IF(SER_hh_fec!O23=0,0,11630*1000*SER_hh_fec!O23/SER_hh_num!O23)</f>
        <v>20897.805546834767</v>
      </c>
      <c r="P23" s="132">
        <f>IF(SER_hh_fec!P23=0,0,11630*1000*SER_hh_fec!P23/SER_hh_num!P23)</f>
        <v>20843.601805156366</v>
      </c>
      <c r="Q23" s="132">
        <f>IF(SER_hh_fec!Q23=0,0,11630*1000*SER_hh_fec!Q23/SER_hh_num!Q23)</f>
        <v>20983.399462142828</v>
      </c>
      <c r="R23" s="132">
        <f>IF(SER_hh_fec!R23=0,0,11630*1000*SER_hh_fec!R23/SER_hh_num!R23)</f>
        <v>20605.481271856304</v>
      </c>
      <c r="S23" s="132">
        <f>IF(SER_hh_fec!S23=0,0,11630*1000*SER_hh_fec!S23/SER_hh_num!S23)</f>
        <v>19862.092597539107</v>
      </c>
      <c r="T23" s="132">
        <f>IF(SER_hh_fec!T23=0,0,11630*1000*SER_hh_fec!T23/SER_hh_num!T23)</f>
        <v>19107.182416788015</v>
      </c>
      <c r="U23" s="132">
        <f>IF(SER_hh_fec!U23=0,0,11630*1000*SER_hh_fec!U23/SER_hh_num!U23)</f>
        <v>18125.709019505783</v>
      </c>
      <c r="V23" s="132">
        <f>IF(SER_hh_fec!V23=0,0,11630*1000*SER_hh_fec!V23/SER_hh_num!V23)</f>
        <v>16407.915266702061</v>
      </c>
      <c r="W23" s="132">
        <f>IF(SER_hh_fec!W23=0,0,11630*1000*SER_hh_fec!W23/SER_hh_num!W23)</f>
        <v>16391.715232310267</v>
      </c>
      <c r="X23" s="132">
        <f>IF(SER_hh_fec!X23=0,0,11630*1000*SER_hh_fec!X23/SER_hh_num!X23)</f>
        <v>16971.003209978793</v>
      </c>
      <c r="Y23" s="132">
        <f>IF(SER_hh_fec!Y23=0,0,11630*1000*SER_hh_fec!Y23/SER_hh_num!Y23)</f>
        <v>17128.903840184965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27022.450653754629</v>
      </c>
      <c r="C24" s="132">
        <f>IF(SER_hh_fec!C24=0,0,11630*1000*SER_hh_fec!C24/SER_hh_num!C24)</f>
        <v>26675.995526829694</v>
      </c>
      <c r="D24" s="132">
        <f>IF(SER_hh_fec!D24=0,0,11630*1000*SER_hh_fec!D24/SER_hh_num!D24)</f>
        <v>26224.524072419663</v>
      </c>
      <c r="E24" s="132">
        <f>IF(SER_hh_fec!E24=0,0,11630*1000*SER_hh_fec!E24/SER_hh_num!E24)</f>
        <v>25820.193783426341</v>
      </c>
      <c r="F24" s="132">
        <f>IF(SER_hh_fec!F24=0,0,11630*1000*SER_hh_fec!F24/SER_hh_num!F24)</f>
        <v>25493.57678046649</v>
      </c>
      <c r="G24" s="132">
        <f>IF(SER_hh_fec!G24=0,0,11630*1000*SER_hh_fec!G24/SER_hh_num!G24)</f>
        <v>25233.167013832863</v>
      </c>
      <c r="H24" s="132">
        <f>IF(SER_hh_fec!H24=0,0,11630*1000*SER_hh_fec!H24/SER_hh_num!H24)</f>
        <v>24929.764862329492</v>
      </c>
      <c r="I24" s="132">
        <f>IF(SER_hh_fec!I24=0,0,11630*1000*SER_hh_fec!I24/SER_hh_num!I24)</f>
        <v>24346.42213620363</v>
      </c>
      <c r="J24" s="132">
        <f>IF(SER_hh_fec!J24=0,0,11630*1000*SER_hh_fec!J24/SER_hh_num!J24)</f>
        <v>23771.357633382337</v>
      </c>
      <c r="K24" s="132">
        <f>IF(SER_hh_fec!K24=0,0,11630*1000*SER_hh_fec!K24/SER_hh_num!K24)</f>
        <v>23151.579393296593</v>
      </c>
      <c r="L24" s="132">
        <f>IF(SER_hh_fec!L24=0,0,11630*1000*SER_hh_fec!L24/SER_hh_num!L24)</f>
        <v>22001.79427876318</v>
      </c>
      <c r="M24" s="132">
        <f>IF(SER_hh_fec!M24=0,0,11630*1000*SER_hh_fec!M24/SER_hh_num!M24)</f>
        <v>21138.306875737057</v>
      </c>
      <c r="N24" s="132">
        <f>IF(SER_hh_fec!N24=0,0,11630*1000*SER_hh_fec!N24/SER_hh_num!N24)</f>
        <v>20307.198808985162</v>
      </c>
      <c r="O24" s="132">
        <f>IF(SER_hh_fec!O24=0,0,11630*1000*SER_hh_fec!O24/SER_hh_num!O24)</f>
        <v>19924.791589327862</v>
      </c>
      <c r="P24" s="132">
        <f>IF(SER_hh_fec!P24=0,0,11630*1000*SER_hh_fec!P24/SER_hh_num!P24)</f>
        <v>20138.840223072086</v>
      </c>
      <c r="Q24" s="132">
        <f>IF(SER_hh_fec!Q24=0,0,11630*1000*SER_hh_fec!Q24/SER_hh_num!Q24)</f>
        <v>20316.626575863651</v>
      </c>
      <c r="R24" s="132">
        <f>IF(SER_hh_fec!R24=0,0,11630*1000*SER_hh_fec!R24/SER_hh_num!R24)</f>
        <v>19854.49446202477</v>
      </c>
      <c r="S24" s="132">
        <f>IF(SER_hh_fec!S24=0,0,11630*1000*SER_hh_fec!S24/SER_hh_num!S24)</f>
        <v>19281.027015385429</v>
      </c>
      <c r="T24" s="132">
        <f>IF(SER_hh_fec!T24=0,0,11630*1000*SER_hh_fec!T24/SER_hh_num!T24)</f>
        <v>18533.430842290072</v>
      </c>
      <c r="U24" s="132">
        <f>IF(SER_hh_fec!U24=0,0,11630*1000*SER_hh_fec!U24/SER_hh_num!U24)</f>
        <v>18089.931728723306</v>
      </c>
      <c r="V24" s="132">
        <f>IF(SER_hh_fec!V24=0,0,11630*1000*SER_hh_fec!V24/SER_hh_num!V24)</f>
        <v>16131.853163209733</v>
      </c>
      <c r="W24" s="132">
        <f>IF(SER_hh_fec!W24=0,0,11630*1000*SER_hh_fec!W24/SER_hh_num!W24)</f>
        <v>16152.961061425545</v>
      </c>
      <c r="X24" s="132">
        <f>IF(SER_hh_fec!X24=0,0,11630*1000*SER_hh_fec!X24/SER_hh_num!X24)</f>
        <v>16836.099748440432</v>
      </c>
      <c r="Y24" s="132">
        <f>IF(SER_hh_fec!Y24=0,0,11630*1000*SER_hh_fec!Y24/SER_hh_num!Y24)</f>
        <v>16922.589857827908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15472.58077930678</v>
      </c>
      <c r="C25" s="132">
        <f>IF(SER_hh_fec!C25=0,0,11630*1000*SER_hh_fec!C25/SER_hh_num!C25)</f>
        <v>15463.824474761157</v>
      </c>
      <c r="D25" s="132">
        <f>IF(SER_hh_fec!D25=0,0,11630*1000*SER_hh_fec!D25/SER_hh_num!D25)</f>
        <v>15643.521236537776</v>
      </c>
      <c r="E25" s="132">
        <f>IF(SER_hh_fec!E25=0,0,11630*1000*SER_hh_fec!E25/SER_hh_num!E25)</f>
        <v>15419.907853236755</v>
      </c>
      <c r="F25" s="132">
        <f>IF(SER_hh_fec!F25=0,0,11630*1000*SER_hh_fec!F25/SER_hh_num!F25)</f>
        <v>15231.15995032259</v>
      </c>
      <c r="G25" s="132">
        <f>IF(SER_hh_fec!G25=0,0,11630*1000*SER_hh_fec!G25/SER_hh_num!G25)</f>
        <v>14815.469926479236</v>
      </c>
      <c r="H25" s="132">
        <f>IF(SER_hh_fec!H25=0,0,11630*1000*SER_hh_fec!H25/SER_hh_num!H25)</f>
        <v>15609.617886097261</v>
      </c>
      <c r="I25" s="132">
        <f>IF(SER_hh_fec!I25=0,0,11630*1000*SER_hh_fec!I25/SER_hh_num!I25)</f>
        <v>16063.583708669092</v>
      </c>
      <c r="J25" s="132">
        <f>IF(SER_hh_fec!J25=0,0,11630*1000*SER_hh_fec!J25/SER_hh_num!J25)</f>
        <v>15750.778517624607</v>
      </c>
      <c r="K25" s="132">
        <f>IF(SER_hh_fec!K25=0,0,11630*1000*SER_hh_fec!K25/SER_hh_num!K25)</f>
        <v>16232.516522129386</v>
      </c>
      <c r="L25" s="132">
        <f>IF(SER_hh_fec!L25=0,0,11630*1000*SER_hh_fec!L25/SER_hh_num!L25)</f>
        <v>16037.343425314242</v>
      </c>
      <c r="M25" s="132">
        <f>IF(SER_hh_fec!M25=0,0,11630*1000*SER_hh_fec!M25/SER_hh_num!M25)</f>
        <v>15414.392661010908</v>
      </c>
      <c r="N25" s="132">
        <f>IF(SER_hh_fec!N25=0,0,11630*1000*SER_hh_fec!N25/SER_hh_num!N25)</f>
        <v>15446.063163650726</v>
      </c>
      <c r="O25" s="132">
        <f>IF(SER_hh_fec!O25=0,0,11630*1000*SER_hh_fec!O25/SER_hh_num!O25)</f>
        <v>15586.604663120832</v>
      </c>
      <c r="P25" s="132">
        <f>IF(SER_hh_fec!P25=0,0,11630*1000*SER_hh_fec!P25/SER_hh_num!P25)</f>
        <v>16049.011455729542</v>
      </c>
      <c r="Q25" s="132">
        <f>IF(SER_hh_fec!Q25=0,0,11630*1000*SER_hh_fec!Q25/SER_hh_num!Q25)</f>
        <v>16246.476803864884</v>
      </c>
      <c r="R25" s="132">
        <f>IF(SER_hh_fec!R25=0,0,11630*1000*SER_hh_fec!R25/SER_hh_num!R25)</f>
        <v>16089.900297843142</v>
      </c>
      <c r="S25" s="132">
        <f>IF(SER_hh_fec!S25=0,0,11630*1000*SER_hh_fec!S25/SER_hh_num!S25)</f>
        <v>15576.788308696405</v>
      </c>
      <c r="T25" s="132">
        <f>IF(SER_hh_fec!T25=0,0,11630*1000*SER_hh_fec!T25/SER_hh_num!T25)</f>
        <v>15180.876267831747</v>
      </c>
      <c r="U25" s="132">
        <f>IF(SER_hh_fec!U25=0,0,11630*1000*SER_hh_fec!U25/SER_hh_num!U25)</f>
        <v>15066.008374072198</v>
      </c>
      <c r="V25" s="132">
        <f>IF(SER_hh_fec!V25=0,0,11630*1000*SER_hh_fec!V25/SER_hh_num!V25)</f>
        <v>14539.681292436295</v>
      </c>
      <c r="W25" s="132">
        <f>IF(SER_hh_fec!W25=0,0,11630*1000*SER_hh_fec!W25/SER_hh_num!W25)</f>
        <v>14999.343106944554</v>
      </c>
      <c r="X25" s="132">
        <f>IF(SER_hh_fec!X25=0,0,11630*1000*SER_hh_fec!X25/SER_hh_num!X25)</f>
        <v>14616.815733231566</v>
      </c>
      <c r="Y25" s="132">
        <f>IF(SER_hh_fec!Y25=0,0,11630*1000*SER_hh_fec!Y25/SER_hh_num!Y25)</f>
        <v>14177.462636741413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12793.422549820987</v>
      </c>
      <c r="C26" s="65">
        <f>IF(SER_hh_fec!C26=0,0,11630*1000*SER_hh_fec!C26/SER_hh_num!C26)</f>
        <v>12878.387774423616</v>
      </c>
      <c r="D26" s="65">
        <f>IF(SER_hh_fec!D26=0,0,11630*1000*SER_hh_fec!D26/SER_hh_num!D26)</f>
        <v>12671.133292549435</v>
      </c>
      <c r="E26" s="65">
        <f>IF(SER_hh_fec!E26=0,0,11630*1000*SER_hh_fec!E26/SER_hh_num!E26)</f>
        <v>11715.433146171947</v>
      </c>
      <c r="F26" s="65">
        <f>IF(SER_hh_fec!F26=0,0,11630*1000*SER_hh_fec!F26/SER_hh_num!F26)</f>
        <v>11370.012934863475</v>
      </c>
      <c r="G26" s="65">
        <f>IF(SER_hh_fec!G26=0,0,11630*1000*SER_hh_fec!G26/SER_hh_num!G26)</f>
        <v>13793.363241866144</v>
      </c>
      <c r="H26" s="65">
        <f>IF(SER_hh_fec!H26=0,0,11630*1000*SER_hh_fec!H26/SER_hh_num!H26)</f>
        <v>14773.99095248855</v>
      </c>
      <c r="I26" s="65">
        <f>IF(SER_hh_fec!I26=0,0,11630*1000*SER_hh_fec!I26/SER_hh_num!I26)</f>
        <v>13419.415662139159</v>
      </c>
      <c r="J26" s="65">
        <f>IF(SER_hh_fec!J26=0,0,11630*1000*SER_hh_fec!J26/SER_hh_num!J26)</f>
        <v>11240.515448784945</v>
      </c>
      <c r="K26" s="65">
        <f>IF(SER_hh_fec!K26=0,0,11630*1000*SER_hh_fec!K26/SER_hh_num!K26)</f>
        <v>16661.816794540231</v>
      </c>
      <c r="L26" s="65">
        <f>IF(SER_hh_fec!L26=0,0,11630*1000*SER_hh_fec!L26/SER_hh_num!L26)</f>
        <v>8949.5783171232652</v>
      </c>
      <c r="M26" s="65">
        <f>IF(SER_hh_fec!M26=0,0,11630*1000*SER_hh_fec!M26/SER_hh_num!M26)</f>
        <v>8459.3224584778254</v>
      </c>
      <c r="N26" s="65">
        <f>IF(SER_hh_fec!N26=0,0,11630*1000*SER_hh_fec!N26/SER_hh_num!N26)</f>
        <v>8187.5160034456685</v>
      </c>
      <c r="O26" s="65">
        <f>IF(SER_hh_fec!O26=0,0,11630*1000*SER_hh_fec!O26/SER_hh_num!O26)</f>
        <v>10149.741119708657</v>
      </c>
      <c r="P26" s="65">
        <f>IF(SER_hh_fec!P26=0,0,11630*1000*SER_hh_fec!P26/SER_hh_num!P26)</f>
        <v>9492.9266097009258</v>
      </c>
      <c r="Q26" s="65">
        <f>IF(SER_hh_fec!Q26=0,0,11630*1000*SER_hh_fec!Q26/SER_hh_num!Q26)</f>
        <v>10675.333086072227</v>
      </c>
      <c r="R26" s="65">
        <f>IF(SER_hh_fec!R26=0,0,11630*1000*SER_hh_fec!R26/SER_hh_num!R26)</f>
        <v>11668.776661397806</v>
      </c>
      <c r="S26" s="65">
        <f>IF(SER_hh_fec!S26=0,0,11630*1000*SER_hh_fec!S26/SER_hh_num!S26)</f>
        <v>10289.428243805387</v>
      </c>
      <c r="T26" s="65">
        <f>IF(SER_hh_fec!T26=0,0,11630*1000*SER_hh_fec!T26/SER_hh_num!T26)</f>
        <v>8202.6310729485376</v>
      </c>
      <c r="U26" s="65">
        <f>IF(SER_hh_fec!U26=0,0,11630*1000*SER_hh_fec!U26/SER_hh_num!U26)</f>
        <v>8183.6502277987374</v>
      </c>
      <c r="V26" s="65">
        <f>IF(SER_hh_fec!V26=0,0,11630*1000*SER_hh_fec!V26/SER_hh_num!V26)</f>
        <v>6711.1596607371057</v>
      </c>
      <c r="W26" s="65">
        <f>IF(SER_hh_fec!W26=0,0,11630*1000*SER_hh_fec!W26/SER_hh_num!W26)</f>
        <v>7774.1529119031711</v>
      </c>
      <c r="X26" s="65">
        <f>IF(SER_hh_fec!X26=0,0,11630*1000*SER_hh_fec!X26/SER_hh_num!X26)</f>
        <v>7184.2548912153234</v>
      </c>
      <c r="Y26" s="65">
        <f>IF(SER_hh_fec!Y26=0,0,11630*1000*SER_hh_fec!Y26/SER_hh_num!Y26)</f>
        <v>8744.0782299492676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2020.7470637351228</v>
      </c>
      <c r="C27" s="145">
        <f>IF(SER_hh_fec!C27=0,0,11630*1000*SER_hh_fec!C27/SER_hh_num!C19)</f>
        <v>2092.6498437861705</v>
      </c>
      <c r="D27" s="145">
        <f>IF(SER_hh_fec!D27=0,0,11630*1000*SER_hh_fec!D27/SER_hh_num!D19)</f>
        <v>2102.8822005040315</v>
      </c>
      <c r="E27" s="145">
        <f>IF(SER_hh_fec!E27=0,0,11630*1000*SER_hh_fec!E27/SER_hh_num!E19)</f>
        <v>2507.538047342262</v>
      </c>
      <c r="F27" s="145">
        <f>IF(SER_hh_fec!F27=0,0,11630*1000*SER_hh_fec!F27/SER_hh_num!F19)</f>
        <v>2578.16828278194</v>
      </c>
      <c r="G27" s="145">
        <f>IF(SER_hh_fec!G27=0,0,11630*1000*SER_hh_fec!G27/SER_hh_num!G19)</f>
        <v>2348.5641220518555</v>
      </c>
      <c r="H27" s="145">
        <f>IF(SER_hh_fec!H27=0,0,11630*1000*SER_hh_fec!H27/SER_hh_num!H19)</f>
        <v>1753.3538894536407</v>
      </c>
      <c r="I27" s="145">
        <f>IF(SER_hh_fec!I27=0,0,11630*1000*SER_hh_fec!I27/SER_hh_num!I19)</f>
        <v>2057.9841141866332</v>
      </c>
      <c r="J27" s="145">
        <f>IF(SER_hh_fec!J27=0,0,11630*1000*SER_hh_fec!J27/SER_hh_num!J19)</f>
        <v>2713.6335173193615</v>
      </c>
      <c r="K27" s="145">
        <f>IF(SER_hh_fec!K27=0,0,11630*1000*SER_hh_fec!K27/SER_hh_num!K19)</f>
        <v>1536.7313656548718</v>
      </c>
      <c r="L27" s="145">
        <f>IF(SER_hh_fec!L27=0,0,11630*1000*SER_hh_fec!L27/SER_hh_num!L19)</f>
        <v>3528.2329908467823</v>
      </c>
      <c r="M27" s="145">
        <f>IF(SER_hh_fec!M27=0,0,11630*1000*SER_hh_fec!M27/SER_hh_num!M19)</f>
        <v>4025.3817392743226</v>
      </c>
      <c r="N27" s="145">
        <f>IF(SER_hh_fec!N27=0,0,11630*1000*SER_hh_fec!N27/SER_hh_num!N19)</f>
        <v>4248.9074816284947</v>
      </c>
      <c r="O27" s="145">
        <f>IF(SER_hh_fec!O27=0,0,11630*1000*SER_hh_fec!O27/SER_hh_num!O19)</f>
        <v>3688.1365650035568</v>
      </c>
      <c r="P27" s="145">
        <f>IF(SER_hh_fec!P27=0,0,11630*1000*SER_hh_fec!P27/SER_hh_num!P19)</f>
        <v>4116.2618175455309</v>
      </c>
      <c r="Q27" s="145">
        <f>IF(SER_hh_fec!Q27=0,0,11630*1000*SER_hh_fec!Q27/SER_hh_num!Q19)</f>
        <v>3513.9332984934758</v>
      </c>
      <c r="R27" s="145">
        <f>IF(SER_hh_fec!R27=0,0,11630*1000*SER_hh_fec!R27/SER_hh_num!R19)</f>
        <v>3226.6697255756071</v>
      </c>
      <c r="S27" s="145">
        <f>IF(SER_hh_fec!S27=0,0,11630*1000*SER_hh_fec!S27/SER_hh_num!S19)</f>
        <v>3744.1793693912973</v>
      </c>
      <c r="T27" s="145">
        <f>IF(SER_hh_fec!T27=0,0,11630*1000*SER_hh_fec!T27/SER_hh_num!T19)</f>
        <v>4303.0490261985151</v>
      </c>
      <c r="U27" s="145">
        <f>IF(SER_hh_fec!U27=0,0,11630*1000*SER_hh_fec!U27/SER_hh_num!U19)</f>
        <v>4006.9927407668592</v>
      </c>
      <c r="V27" s="145">
        <f>IF(SER_hh_fec!V27=0,0,11630*1000*SER_hh_fec!V27/SER_hh_num!V19)</f>
        <v>4337.6774677900203</v>
      </c>
      <c r="W27" s="145">
        <f>IF(SER_hh_fec!W27=0,0,11630*1000*SER_hh_fec!W27/SER_hh_num!W19)</f>
        <v>3300.3388240658933</v>
      </c>
      <c r="X27" s="145">
        <f>IF(SER_hh_fec!X27=0,0,11630*1000*SER_hh_fec!X27/SER_hh_num!X19)</f>
        <v>3711.6455202068669</v>
      </c>
      <c r="Y27" s="145">
        <f>IF(SER_hh_fec!Y27=0,0,11630*1000*SER_hh_fec!Y27/SER_hh_num!Y19)</f>
        <v>3434.4838877348093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8611.8038695357136</v>
      </c>
      <c r="C28" s="146">
        <f>IF(SER_hh_fec!C27=0,0,11630*1000*SER_hh_fec!C27/SER_hh_num!C27)</f>
        <v>8737.2854409131851</v>
      </c>
      <c r="D28" s="146">
        <f>IF(SER_hh_fec!D27=0,0,11630*1000*SER_hh_fec!D27/SER_hh_num!D27)</f>
        <v>8712.6359134594732</v>
      </c>
      <c r="E28" s="146">
        <f>IF(SER_hh_fec!E27=0,0,11630*1000*SER_hh_fec!E27/SER_hh_num!E27)</f>
        <v>8857.6328838959435</v>
      </c>
      <c r="F28" s="146">
        <f>IF(SER_hh_fec!F27=0,0,11630*1000*SER_hh_fec!F27/SER_hh_num!F27)</f>
        <v>8851.5676879557195</v>
      </c>
      <c r="G28" s="146">
        <f>IF(SER_hh_fec!G27=0,0,11630*1000*SER_hh_fec!G27/SER_hh_num!G27)</f>
        <v>9051.7199703885581</v>
      </c>
      <c r="H28" s="146">
        <f>IF(SER_hh_fec!H27=0,0,11630*1000*SER_hh_fec!H27/SER_hh_num!H27)</f>
        <v>9912.212807353475</v>
      </c>
      <c r="I28" s="146">
        <f>IF(SER_hh_fec!I27=0,0,11630*1000*SER_hh_fec!I27/SER_hh_num!I27)</f>
        <v>9810.3482513062499</v>
      </c>
      <c r="J28" s="146">
        <f>IF(SER_hh_fec!J27=0,0,11630*1000*SER_hh_fec!J27/SER_hh_num!J27)</f>
        <v>9798.7223279535647</v>
      </c>
      <c r="K28" s="146">
        <f>IF(SER_hh_fec!K27=0,0,11630*1000*SER_hh_fec!K27/SER_hh_num!K27)</f>
        <v>9725.4533996137561</v>
      </c>
      <c r="L28" s="146">
        <f>IF(SER_hh_fec!L27=0,0,11630*1000*SER_hh_fec!L27/SER_hh_num!L27)</f>
        <v>15025.703455693878</v>
      </c>
      <c r="M28" s="146">
        <f>IF(SER_hh_fec!M27=0,0,11630*1000*SER_hh_fec!M27/SER_hh_num!M27)</f>
        <v>12781.010036960995</v>
      </c>
      <c r="N28" s="146">
        <f>IF(SER_hh_fec!N27=0,0,11630*1000*SER_hh_fec!N27/SER_hh_num!N27)</f>
        <v>10558.410976139314</v>
      </c>
      <c r="O28" s="146">
        <f>IF(SER_hh_fec!O27=0,0,11630*1000*SER_hh_fec!O27/SER_hh_num!O27)</f>
        <v>10995.878601132166</v>
      </c>
      <c r="P28" s="146">
        <f>IF(SER_hh_fec!P27=0,0,11630*1000*SER_hh_fec!P27/SER_hh_num!P27)</f>
        <v>11232.070931392172</v>
      </c>
      <c r="Q28" s="146">
        <f>IF(SER_hh_fec!Q27=0,0,11630*1000*SER_hh_fec!Q27/SER_hh_num!Q27)</f>
        <v>12029.211903493666</v>
      </c>
      <c r="R28" s="146">
        <f>IF(SER_hh_fec!R27=0,0,11630*1000*SER_hh_fec!R27/SER_hh_num!R27)</f>
        <v>12268.862867875341</v>
      </c>
      <c r="S28" s="146">
        <f>IF(SER_hh_fec!S27=0,0,11630*1000*SER_hh_fec!S27/SER_hh_num!S27)</f>
        <v>11789.869446370341</v>
      </c>
      <c r="T28" s="146">
        <f>IF(SER_hh_fec!T27=0,0,11630*1000*SER_hh_fec!T27/SER_hh_num!T27)</f>
        <v>11276.833747822739</v>
      </c>
      <c r="U28" s="146">
        <f>IF(SER_hh_fec!U27=0,0,11630*1000*SER_hh_fec!U27/SER_hh_num!U27)</f>
        <v>10715.075621149294</v>
      </c>
      <c r="V28" s="146">
        <f>IF(SER_hh_fec!V27=0,0,11630*1000*SER_hh_fec!V27/SER_hh_num!V27)</f>
        <v>10366.147192860702</v>
      </c>
      <c r="W28" s="146">
        <f>IF(SER_hh_fec!W27=0,0,11630*1000*SER_hh_fec!W27/SER_hh_num!W27)</f>
        <v>10311.165708632188</v>
      </c>
      <c r="X28" s="146">
        <f>IF(SER_hh_fec!X27=0,0,11630*1000*SER_hh_fec!X27/SER_hh_num!X27)</f>
        <v>9769.9359668911948</v>
      </c>
      <c r="Y28" s="146">
        <f>IF(SER_hh_fec!Y27=0,0,11630*1000*SER_hh_fec!Y27/SER_hh_num!Y27)</f>
        <v>9913.4499676840751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15363.077987706542</v>
      </c>
      <c r="C29" s="130">
        <f>IF(SER_hh_fec!C29=0,0,11630*1000*SER_hh_fec!C29/SER_hh_num!C29)</f>
        <v>16001.235117550268</v>
      </c>
      <c r="D29" s="130">
        <f>IF(SER_hh_fec!D29=0,0,11630*1000*SER_hh_fec!D29/SER_hh_num!D29)</f>
        <v>17244.904167195768</v>
      </c>
      <c r="E29" s="130">
        <f>IF(SER_hh_fec!E29=0,0,11630*1000*SER_hh_fec!E29/SER_hh_num!E29)</f>
        <v>18010.330615575316</v>
      </c>
      <c r="F29" s="130">
        <f>IF(SER_hh_fec!F29=0,0,11630*1000*SER_hh_fec!F29/SER_hh_num!F29)</f>
        <v>18367.64860064218</v>
      </c>
      <c r="G29" s="130">
        <f>IF(SER_hh_fec!G29=0,0,11630*1000*SER_hh_fec!G29/SER_hh_num!G29)</f>
        <v>17961.094086193389</v>
      </c>
      <c r="H29" s="130">
        <f>IF(SER_hh_fec!H29=0,0,11630*1000*SER_hh_fec!H29/SER_hh_num!H29)</f>
        <v>17724.05044557912</v>
      </c>
      <c r="I29" s="130">
        <f>IF(SER_hh_fec!I29=0,0,11630*1000*SER_hh_fec!I29/SER_hh_num!I29)</f>
        <v>17150.863662462511</v>
      </c>
      <c r="J29" s="130">
        <f>IF(SER_hh_fec!J29=0,0,11630*1000*SER_hh_fec!J29/SER_hh_num!J29)</f>
        <v>16900.036544811312</v>
      </c>
      <c r="K29" s="130">
        <f>IF(SER_hh_fec!K29=0,0,11630*1000*SER_hh_fec!K29/SER_hh_num!K29)</f>
        <v>17591.721860128462</v>
      </c>
      <c r="L29" s="130">
        <f>IF(SER_hh_fec!L29=0,0,11630*1000*SER_hh_fec!L29/SER_hh_num!L29)</f>
        <v>17922.616013527695</v>
      </c>
      <c r="M29" s="130">
        <f>IF(SER_hh_fec!M29=0,0,11630*1000*SER_hh_fec!M29/SER_hh_num!M29)</f>
        <v>17796.117460186448</v>
      </c>
      <c r="N29" s="130">
        <f>IF(SER_hh_fec!N29=0,0,11630*1000*SER_hh_fec!N29/SER_hh_num!N29)</f>
        <v>17263.041083545028</v>
      </c>
      <c r="O29" s="130">
        <f>IF(SER_hh_fec!O29=0,0,11630*1000*SER_hh_fec!O29/SER_hh_num!O29)</f>
        <v>17197.563923400794</v>
      </c>
      <c r="P29" s="130">
        <f>IF(SER_hh_fec!P29=0,0,11630*1000*SER_hh_fec!P29/SER_hh_num!P29)</f>
        <v>17290.045768443033</v>
      </c>
      <c r="Q29" s="130">
        <f>IF(SER_hh_fec!Q29=0,0,11630*1000*SER_hh_fec!Q29/SER_hh_num!Q29)</f>
        <v>17257.709268292921</v>
      </c>
      <c r="R29" s="130">
        <f>IF(SER_hh_fec!R29=0,0,11630*1000*SER_hh_fec!R29/SER_hh_num!R29)</f>
        <v>17229.820557638119</v>
      </c>
      <c r="S29" s="130">
        <f>IF(SER_hh_fec!S29=0,0,11630*1000*SER_hh_fec!S29/SER_hh_num!S29)</f>
        <v>17138.863630804011</v>
      </c>
      <c r="T29" s="130">
        <f>IF(SER_hh_fec!T29=0,0,11630*1000*SER_hh_fec!T29/SER_hh_num!T29)</f>
        <v>16964.182293757134</v>
      </c>
      <c r="U29" s="130">
        <f>IF(SER_hh_fec!U29=0,0,11630*1000*SER_hh_fec!U29/SER_hh_num!U29)</f>
        <v>16885.848797499482</v>
      </c>
      <c r="V29" s="130">
        <f>IF(SER_hh_fec!V29=0,0,11630*1000*SER_hh_fec!V29/SER_hh_num!V29)</f>
        <v>16011.538312804216</v>
      </c>
      <c r="W29" s="130">
        <f>IF(SER_hh_fec!W29=0,0,11630*1000*SER_hh_fec!W29/SER_hh_num!W29)</f>
        <v>16591.456706770285</v>
      </c>
      <c r="X29" s="130">
        <f>IF(SER_hh_fec!X29=0,0,11630*1000*SER_hh_fec!X29/SER_hh_num!X29)</f>
        <v>16382.939095212583</v>
      </c>
      <c r="Y29" s="130">
        <f>IF(SER_hh_fec!Y29=0,0,11630*1000*SER_hh_fec!Y29/SER_hh_num!Y29)</f>
        <v>16466.7798131995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6878.0531546821067</v>
      </c>
      <c r="C30" s="132">
        <f>IF(SER_hh_fec!C30=0,0,11630*1000*SER_hh_fec!C30/SER_hh_num!C30)</f>
        <v>10827.823122234178</v>
      </c>
      <c r="D30" s="132">
        <f>IF(SER_hh_fec!D30=0,0,11630*1000*SER_hh_fec!D30/SER_hh_num!D30)</f>
        <v>22356.112253392454</v>
      </c>
      <c r="E30" s="132">
        <f>IF(SER_hh_fec!E30=0,0,11630*1000*SER_hh_fec!E30/SER_hh_num!E30)</f>
        <v>23371.858561460511</v>
      </c>
      <c r="F30" s="132">
        <f>IF(SER_hh_fec!F30=0,0,11630*1000*SER_hh_fec!F30/SER_hh_num!F30)</f>
        <v>27927.148235932367</v>
      </c>
      <c r="G30" s="132">
        <f>IF(SER_hh_fec!G30=0,0,11630*1000*SER_hh_fec!G30/SER_hh_num!G30)</f>
        <v>20725.305974751678</v>
      </c>
      <c r="H30" s="132">
        <f>IF(SER_hh_fec!H30=0,0,11630*1000*SER_hh_fec!H30/SER_hh_num!H30)</f>
        <v>22043.801595395158</v>
      </c>
      <c r="I30" s="132">
        <f>IF(SER_hh_fec!I30=0,0,11630*1000*SER_hh_fec!I30/SER_hh_num!I30)</f>
        <v>18440.317992750926</v>
      </c>
      <c r="J30" s="132">
        <f>IF(SER_hh_fec!J30=0,0,11630*1000*SER_hh_fec!J30/SER_hh_num!J30)</f>
        <v>13749.119152442741</v>
      </c>
      <c r="K30" s="132">
        <f>IF(SER_hh_fec!K30=0,0,11630*1000*SER_hh_fec!K30/SER_hh_num!K30)</f>
        <v>17170.096765348764</v>
      </c>
      <c r="L30" s="132">
        <f>IF(SER_hh_fec!L30=0,0,11630*1000*SER_hh_fec!L30/SER_hh_num!L30)</f>
        <v>28598.104561307428</v>
      </c>
      <c r="M30" s="132">
        <f>IF(SER_hh_fec!M30=0,0,11630*1000*SER_hh_fec!M30/SER_hh_num!M30)</f>
        <v>28034.975280723167</v>
      </c>
      <c r="N30" s="132">
        <f>IF(SER_hh_fec!N30=0,0,11630*1000*SER_hh_fec!N30/SER_hh_num!N30)</f>
        <v>4946.2239648111981</v>
      </c>
      <c r="O30" s="132">
        <f>IF(SER_hh_fec!O30=0,0,11630*1000*SER_hh_fec!O30/SER_hh_num!O30)</f>
        <v>10361.064461935204</v>
      </c>
      <c r="P30" s="132">
        <f>IF(SER_hh_fec!P30=0,0,11630*1000*SER_hh_fec!P30/SER_hh_num!P30)</f>
        <v>19203.406361399822</v>
      </c>
      <c r="Q30" s="132">
        <f>IF(SER_hh_fec!Q30=0,0,11630*1000*SER_hh_fec!Q30/SER_hh_num!Q30)</f>
        <v>19022.815355392591</v>
      </c>
      <c r="R30" s="132">
        <f>IF(SER_hh_fec!R30=0,0,11630*1000*SER_hh_fec!R30/SER_hh_num!R30)</f>
        <v>13986.964224773033</v>
      </c>
      <c r="S30" s="132">
        <f>IF(SER_hh_fec!S30=0,0,11630*1000*SER_hh_fec!S30/SER_hh_num!S30)</f>
        <v>25688.161105008279</v>
      </c>
      <c r="T30" s="132">
        <f>IF(SER_hh_fec!T30=0,0,11630*1000*SER_hh_fec!T30/SER_hh_num!T30)</f>
        <v>20683.18843704239</v>
      </c>
      <c r="U30" s="132">
        <f>IF(SER_hh_fec!U30=0,0,11630*1000*SER_hh_fec!U30/SER_hh_num!U30)</f>
        <v>20586.095116956953</v>
      </c>
      <c r="V30" s="132">
        <f>IF(SER_hh_fec!V30=0,0,11630*1000*SER_hh_fec!V30/SER_hh_num!V30)</f>
        <v>19744.443455810811</v>
      </c>
      <c r="W30" s="132">
        <f>IF(SER_hh_fec!W30=0,0,11630*1000*SER_hh_fec!W30/SER_hh_num!W30)</f>
        <v>23798.78144910013</v>
      </c>
      <c r="X30" s="132">
        <f>IF(SER_hh_fec!X30=0,0,11630*1000*SER_hh_fec!X30/SER_hh_num!X30)</f>
        <v>22107.467189087765</v>
      </c>
      <c r="Y30" s="132">
        <f>IF(SER_hh_fec!Y30=0,0,11630*1000*SER_hh_fec!Y30/SER_hh_num!Y30)</f>
        <v>13553.217620552783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17747.708348289754</v>
      </c>
      <c r="C31" s="132">
        <f>IF(SER_hh_fec!C31=0,0,11630*1000*SER_hh_fec!C31/SER_hh_num!C31)</f>
        <v>19006.639033631945</v>
      </c>
      <c r="D31" s="132">
        <f>IF(SER_hh_fec!D31=0,0,11630*1000*SER_hh_fec!D31/SER_hh_num!D31)</f>
        <v>19731.658407982053</v>
      </c>
      <c r="E31" s="132">
        <f>IF(SER_hh_fec!E31=0,0,11630*1000*SER_hh_fec!E31/SER_hh_num!E31)</f>
        <v>19972.62298331011</v>
      </c>
      <c r="F31" s="132">
        <f>IF(SER_hh_fec!F31=0,0,11630*1000*SER_hh_fec!F31/SER_hh_num!F31)</f>
        <v>20445.185454246955</v>
      </c>
      <c r="G31" s="132">
        <f>IF(SER_hh_fec!G31=0,0,11630*1000*SER_hh_fec!G31/SER_hh_num!G31)</f>
        <v>20322.109664664171</v>
      </c>
      <c r="H31" s="132">
        <f>IF(SER_hh_fec!H31=0,0,11630*1000*SER_hh_fec!H31/SER_hh_num!H31)</f>
        <v>20033.66736219345</v>
      </c>
      <c r="I31" s="132">
        <f>IF(SER_hh_fec!I31=0,0,11630*1000*SER_hh_fec!I31/SER_hh_num!I31)</f>
        <v>19763.267910943236</v>
      </c>
      <c r="J31" s="132">
        <f>IF(SER_hh_fec!J31=0,0,11630*1000*SER_hh_fec!J31/SER_hh_num!J31)</f>
        <v>19747.28766003394</v>
      </c>
      <c r="K31" s="132">
        <f>IF(SER_hh_fec!K31=0,0,11630*1000*SER_hh_fec!K31/SER_hh_num!K31)</f>
        <v>20220.303390023699</v>
      </c>
      <c r="L31" s="132">
        <f>IF(SER_hh_fec!L31=0,0,11630*1000*SER_hh_fec!L31/SER_hh_num!L31)</f>
        <v>20375.824446950686</v>
      </c>
      <c r="M31" s="132">
        <f>IF(SER_hh_fec!M31=0,0,11630*1000*SER_hh_fec!M31/SER_hh_num!M31)</f>
        <v>20392.524518209262</v>
      </c>
      <c r="N31" s="132">
        <f>IF(SER_hh_fec!N31=0,0,11630*1000*SER_hh_fec!N31/SER_hh_num!N31)</f>
        <v>20408.154549999654</v>
      </c>
      <c r="O31" s="132">
        <f>IF(SER_hh_fec!O31=0,0,11630*1000*SER_hh_fec!O31/SER_hh_num!O31)</f>
        <v>20434.844949117498</v>
      </c>
      <c r="P31" s="132">
        <f>IF(SER_hh_fec!P31=0,0,11630*1000*SER_hh_fec!P31/SER_hh_num!P31)</f>
        <v>20618.455514124529</v>
      </c>
      <c r="Q31" s="132">
        <f>IF(SER_hh_fec!Q31=0,0,11630*1000*SER_hh_fec!Q31/SER_hh_num!Q31)</f>
        <v>20624.528415473698</v>
      </c>
      <c r="R31" s="132">
        <f>IF(SER_hh_fec!R31=0,0,11630*1000*SER_hh_fec!R31/SER_hh_num!R31)</f>
        <v>20529.238302835958</v>
      </c>
      <c r="S31" s="132">
        <f>IF(SER_hh_fec!S31=0,0,11630*1000*SER_hh_fec!S31/SER_hh_num!S31)</f>
        <v>20361.935514922861</v>
      </c>
      <c r="T31" s="132">
        <f>IF(SER_hh_fec!T31=0,0,11630*1000*SER_hh_fec!T31/SER_hh_num!T31)</f>
        <v>20265.755063272361</v>
      </c>
      <c r="U31" s="132">
        <f>IF(SER_hh_fec!U31=0,0,11630*1000*SER_hh_fec!U31/SER_hh_num!U31)</f>
        <v>20621.037468210376</v>
      </c>
      <c r="V31" s="132">
        <f>IF(SER_hh_fec!V31=0,0,11630*1000*SER_hh_fec!V31/SER_hh_num!V31)</f>
        <v>18959.484110793619</v>
      </c>
      <c r="W31" s="132">
        <f>IF(SER_hh_fec!W31=0,0,11630*1000*SER_hh_fec!W31/SER_hh_num!W31)</f>
        <v>19265.037468816281</v>
      </c>
      <c r="X31" s="132">
        <f>IF(SER_hh_fec!X31=0,0,11630*1000*SER_hh_fec!X31/SER_hh_num!X31)</f>
        <v>18761.610704387927</v>
      </c>
      <c r="Y31" s="132">
        <f>IF(SER_hh_fec!Y31=0,0,11630*1000*SER_hh_fec!Y31/SER_hh_num!Y31)</f>
        <v>20631.110399984893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19776.477512307945</v>
      </c>
      <c r="C32" s="132">
        <f>IF(SER_hh_fec!C32=0,0,11630*1000*SER_hh_fec!C32/SER_hh_num!C32)</f>
        <v>19862.427308559119</v>
      </c>
      <c r="D32" s="132">
        <f>IF(SER_hh_fec!D32=0,0,11630*1000*SER_hh_fec!D32/SER_hh_num!D32)</f>
        <v>21303.303395828232</v>
      </c>
      <c r="E32" s="132">
        <f>IF(SER_hh_fec!E32=0,0,11630*1000*SER_hh_fec!E32/SER_hh_num!E32)</f>
        <v>21469.269087584616</v>
      </c>
      <c r="F32" s="132">
        <f>IF(SER_hh_fec!F32=0,0,11630*1000*SER_hh_fec!F32/SER_hh_num!F32)</f>
        <v>21988.953235037883</v>
      </c>
      <c r="G32" s="132">
        <f>IF(SER_hh_fec!G32=0,0,11630*1000*SER_hh_fec!G32/SER_hh_num!G32)</f>
        <v>21693.319280127293</v>
      </c>
      <c r="H32" s="132">
        <f>IF(SER_hh_fec!H32=0,0,11630*1000*SER_hh_fec!H32/SER_hh_num!H32)</f>
        <v>21403.017303565262</v>
      </c>
      <c r="I32" s="132">
        <f>IF(SER_hh_fec!I32=0,0,11630*1000*SER_hh_fec!I32/SER_hh_num!I32)</f>
        <v>21241.293174152994</v>
      </c>
      <c r="J32" s="132">
        <f>IF(SER_hh_fec!J32=0,0,11630*1000*SER_hh_fec!J32/SER_hh_num!J32)</f>
        <v>21007.279142471296</v>
      </c>
      <c r="K32" s="132">
        <f>IF(SER_hh_fec!K32=0,0,11630*1000*SER_hh_fec!K32/SER_hh_num!K32)</f>
        <v>20938.467067721402</v>
      </c>
      <c r="L32" s="132">
        <f>IF(SER_hh_fec!L32=0,0,11630*1000*SER_hh_fec!L32/SER_hh_num!L32)</f>
        <v>21962.807481593918</v>
      </c>
      <c r="M32" s="132">
        <f>IF(SER_hh_fec!M32=0,0,11630*1000*SER_hh_fec!M32/SER_hh_num!M32)</f>
        <v>21291.770768517181</v>
      </c>
      <c r="N32" s="132">
        <f>IF(SER_hh_fec!N32=0,0,11630*1000*SER_hh_fec!N32/SER_hh_num!N32)</f>
        <v>21886.766032345084</v>
      </c>
      <c r="O32" s="132">
        <f>IF(SER_hh_fec!O32=0,0,11630*1000*SER_hh_fec!O32/SER_hh_num!O32)</f>
        <v>21375.665870068795</v>
      </c>
      <c r="P32" s="132">
        <f>IF(SER_hh_fec!P32=0,0,11630*1000*SER_hh_fec!P32/SER_hh_num!P32)</f>
        <v>21693.709806533428</v>
      </c>
      <c r="Q32" s="132">
        <f>IF(SER_hh_fec!Q32=0,0,11630*1000*SER_hh_fec!Q32/SER_hh_num!Q32)</f>
        <v>22297.595661229981</v>
      </c>
      <c r="R32" s="132">
        <f>IF(SER_hh_fec!R32=0,0,11630*1000*SER_hh_fec!R32/SER_hh_num!R32)</f>
        <v>21851.130302716283</v>
      </c>
      <c r="S32" s="132">
        <f>IF(SER_hh_fec!S32=0,0,11630*1000*SER_hh_fec!S32/SER_hh_num!S32)</f>
        <v>21433.376033723769</v>
      </c>
      <c r="T32" s="132">
        <f>IF(SER_hh_fec!T32=0,0,11630*1000*SER_hh_fec!T32/SER_hh_num!T32)</f>
        <v>21350.895697789238</v>
      </c>
      <c r="U32" s="132">
        <f>IF(SER_hh_fec!U32=0,0,11630*1000*SER_hh_fec!U32/SER_hh_num!U32)</f>
        <v>21724.274759449574</v>
      </c>
      <c r="V32" s="132">
        <f>IF(SER_hh_fec!V32=0,0,11630*1000*SER_hh_fec!V32/SER_hh_num!V32)</f>
        <v>22031.463155381367</v>
      </c>
      <c r="W32" s="132">
        <f>IF(SER_hh_fec!W32=0,0,11630*1000*SER_hh_fec!W32/SER_hh_num!W32)</f>
        <v>21867.745534523412</v>
      </c>
      <c r="X32" s="132">
        <f>IF(SER_hh_fec!X32=0,0,11630*1000*SER_hh_fec!X32/SER_hh_num!X32)</f>
        <v>20790.406317147223</v>
      </c>
      <c r="Y32" s="132">
        <f>IF(SER_hh_fec!Y32=0,0,11630*1000*SER_hh_fec!Y32/SER_hh_num!Y32)</f>
        <v>21701.043377510698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15966.939160052616</v>
      </c>
      <c r="C33" s="68">
        <f>IF(SER_hh_fec!C33=0,0,11630*1000*SER_hh_fec!C33/SER_hh_num!C33)</f>
        <v>15711.533579469668</v>
      </c>
      <c r="D33" s="68">
        <f>IF(SER_hh_fec!D33=0,0,11630*1000*SER_hh_fec!D33/SER_hh_num!D33)</f>
        <v>14308.783364740189</v>
      </c>
      <c r="E33" s="68">
        <f>IF(SER_hh_fec!E33=0,0,11630*1000*SER_hh_fec!E33/SER_hh_num!E33)</f>
        <v>14707.875842128857</v>
      </c>
      <c r="F33" s="68">
        <f>IF(SER_hh_fec!F33=0,0,11630*1000*SER_hh_fec!F33/SER_hh_num!F33)</f>
        <v>13190.134379590445</v>
      </c>
      <c r="G33" s="68">
        <f>IF(SER_hh_fec!G33=0,0,11630*1000*SER_hh_fec!G33/SER_hh_num!G33)</f>
        <v>15355.689878594938</v>
      </c>
      <c r="H33" s="68">
        <f>IF(SER_hh_fec!H33=0,0,11630*1000*SER_hh_fec!H33/SER_hh_num!H33)</f>
        <v>14768.617773866663</v>
      </c>
      <c r="I33" s="68">
        <f>IF(SER_hh_fec!I33=0,0,11630*1000*SER_hh_fec!I33/SER_hh_num!I33)</f>
        <v>15292.496345096115</v>
      </c>
      <c r="J33" s="68">
        <f>IF(SER_hh_fec!J33=0,0,11630*1000*SER_hh_fec!J33/SER_hh_num!J33)</f>
        <v>15971.579466902982</v>
      </c>
      <c r="K33" s="68">
        <f>IF(SER_hh_fec!K33=0,0,11630*1000*SER_hh_fec!K33/SER_hh_num!K33)</f>
        <v>16057.371267706181</v>
      </c>
      <c r="L33" s="68">
        <f>IF(SER_hh_fec!L33=0,0,11630*1000*SER_hh_fec!L33/SER_hh_num!L33)</f>
        <v>13792.632569382398</v>
      </c>
      <c r="M33" s="68">
        <f>IF(SER_hh_fec!M33=0,0,11630*1000*SER_hh_fec!M33/SER_hh_num!M33)</f>
        <v>14163.9352070525</v>
      </c>
      <c r="N33" s="68">
        <f>IF(SER_hh_fec!N33=0,0,11630*1000*SER_hh_fec!N33/SER_hh_num!N33)</f>
        <v>16691.755570420581</v>
      </c>
      <c r="O33" s="68">
        <f>IF(SER_hh_fec!O33=0,0,11630*1000*SER_hh_fec!O33/SER_hh_num!O33)</f>
        <v>15783.917754793581</v>
      </c>
      <c r="P33" s="68">
        <f>IF(SER_hh_fec!P33=0,0,11630*1000*SER_hh_fec!P33/SER_hh_num!P33)</f>
        <v>15542.450312325782</v>
      </c>
      <c r="Q33" s="68">
        <f>IF(SER_hh_fec!Q33=0,0,11630*1000*SER_hh_fec!Q33/SER_hh_num!Q33)</f>
        <v>15467.637014559647</v>
      </c>
      <c r="R33" s="68">
        <f>IF(SER_hh_fec!R33=0,0,11630*1000*SER_hh_fec!R33/SER_hh_num!R33)</f>
        <v>15589.220182851692</v>
      </c>
      <c r="S33" s="68">
        <f>IF(SER_hh_fec!S33=0,0,11630*1000*SER_hh_fec!S33/SER_hh_num!S33)</f>
        <v>15196.743032962215</v>
      </c>
      <c r="T33" s="68">
        <f>IF(SER_hh_fec!T33=0,0,11630*1000*SER_hh_fec!T33/SER_hh_num!T33)</f>
        <v>15097.688741044358</v>
      </c>
      <c r="U33" s="68">
        <f>IF(SER_hh_fec!U33=0,0,11630*1000*SER_hh_fec!U33/SER_hh_num!U33)</f>
        <v>14754.530596934359</v>
      </c>
      <c r="V33" s="68">
        <f>IF(SER_hh_fec!V33=0,0,11630*1000*SER_hh_fec!V33/SER_hh_num!V33)</f>
        <v>14239.762206153939</v>
      </c>
      <c r="W33" s="68">
        <f>IF(SER_hh_fec!W33=0,0,11630*1000*SER_hh_fec!W33/SER_hh_num!W33)</f>
        <v>14818.948799316457</v>
      </c>
      <c r="X33" s="68">
        <f>IF(SER_hh_fec!X33=0,0,11630*1000*SER_hh_fec!X33/SER_hh_num!X33)</f>
        <v>14847.559913255416</v>
      </c>
      <c r="Y33" s="68">
        <f>IF(SER_hh_fec!Y33=0,0,11630*1000*SER_hh_fec!Y33/SER_hh_num!Y33)</f>
        <v>14209.841193534121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107624.27102875465</v>
      </c>
      <c r="C3" s="125">
        <f>IF(SER_hh_tes!C3=0,0,11630*1000*SER_hh_tes!C3/SER_hh_num!C3)</f>
        <v>123956.10581777306</v>
      </c>
      <c r="D3" s="125">
        <f>IF(SER_hh_tes!D3=0,0,11630*1000*SER_hh_tes!D3/SER_hh_num!D3)</f>
        <v>120798.99985515165</v>
      </c>
      <c r="E3" s="125">
        <f>IF(SER_hh_tes!E3=0,0,11630*1000*SER_hh_tes!E3/SER_hh_num!E3)</f>
        <v>135879.18099835224</v>
      </c>
      <c r="F3" s="125">
        <f>IF(SER_hh_tes!F3=0,0,11630*1000*SER_hh_tes!F3/SER_hh_num!F3)</f>
        <v>132142.68090034096</v>
      </c>
      <c r="G3" s="125">
        <f>IF(SER_hh_tes!G3=0,0,11630*1000*SER_hh_tes!G3/SER_hh_num!G3)</f>
        <v>127633.70368779973</v>
      </c>
      <c r="H3" s="125">
        <f>IF(SER_hh_tes!H3=0,0,11630*1000*SER_hh_tes!H3/SER_hh_num!H3)</f>
        <v>130613.77981136132</v>
      </c>
      <c r="I3" s="125">
        <f>IF(SER_hh_tes!I3=0,0,11630*1000*SER_hh_tes!I3/SER_hh_num!I3)</f>
        <v>111868.80364063694</v>
      </c>
      <c r="J3" s="125">
        <f>IF(SER_hh_tes!J3=0,0,11630*1000*SER_hh_tes!J3/SER_hh_num!J3)</f>
        <v>123285.87681237041</v>
      </c>
      <c r="K3" s="125">
        <f>IF(SER_hh_tes!K3=0,0,11630*1000*SER_hh_tes!K3/SER_hh_num!K3)</f>
        <v>111126.9425100068</v>
      </c>
      <c r="L3" s="125">
        <f>IF(SER_hh_tes!L3=0,0,11630*1000*SER_hh_tes!L3/SER_hh_num!L3)</f>
        <v>112326.40440734402</v>
      </c>
      <c r="M3" s="125">
        <f>IF(SER_hh_tes!M3=0,0,11630*1000*SER_hh_tes!M3/SER_hh_num!M3)</f>
        <v>108802.28952641616</v>
      </c>
      <c r="N3" s="125">
        <f>IF(SER_hh_tes!N3=0,0,11630*1000*SER_hh_tes!N3/SER_hh_num!N3)</f>
        <v>110618.04778742527</v>
      </c>
      <c r="O3" s="125">
        <f>IF(SER_hh_tes!O3=0,0,11630*1000*SER_hh_tes!O3/SER_hh_num!O3)</f>
        <v>111061.38516718632</v>
      </c>
      <c r="P3" s="125">
        <f>IF(SER_hh_tes!P3=0,0,11630*1000*SER_hh_tes!P3/SER_hh_num!P3)</f>
        <v>103387.40508143778</v>
      </c>
      <c r="Q3" s="125">
        <f>IF(SER_hh_tes!Q3=0,0,11630*1000*SER_hh_tes!Q3/SER_hh_num!Q3)</f>
        <v>105546.46258831574</v>
      </c>
      <c r="R3" s="125">
        <f>IF(SER_hh_tes!R3=0,0,11630*1000*SER_hh_tes!R3/SER_hh_num!R3)</f>
        <v>102857.06849354303</v>
      </c>
      <c r="S3" s="125">
        <f>IF(SER_hh_tes!S3=0,0,11630*1000*SER_hh_tes!S3/SER_hh_num!S3)</f>
        <v>112805.40084843511</v>
      </c>
      <c r="T3" s="125">
        <f>IF(SER_hh_tes!T3=0,0,11630*1000*SER_hh_tes!T3/SER_hh_num!T3)</f>
        <v>109194.25132815723</v>
      </c>
      <c r="U3" s="125">
        <f>IF(SER_hh_tes!U3=0,0,11630*1000*SER_hh_tes!U3/SER_hh_num!U3)</f>
        <v>112380.86131856342</v>
      </c>
      <c r="V3" s="125">
        <f>IF(SER_hh_tes!V3=0,0,11630*1000*SER_hh_tes!V3/SER_hh_num!V3)</f>
        <v>101459.18161929442</v>
      </c>
      <c r="W3" s="125">
        <f>IF(SER_hh_tes!W3=0,0,11630*1000*SER_hh_tes!W3/SER_hh_num!W3)</f>
        <v>110377.21982379112</v>
      </c>
      <c r="X3" s="125">
        <f>IF(SER_hh_tes!X3=0,0,11630*1000*SER_hh_tes!X3/SER_hh_num!X3)</f>
        <v>105876.03194132028</v>
      </c>
      <c r="Y3" s="125">
        <f>IF(SER_hh_tes!Y3=0,0,11630*1000*SER_hh_tes!Y3/SER_hh_num!Y3)</f>
        <v>102940.0668493323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80046.746840508815</v>
      </c>
      <c r="C4" s="130">
        <f>IF(SER_hh_tes!C4=0,0,11630*1000*SER_hh_tes!C4/SER_hh_num!C4)</f>
        <v>95819.658820615674</v>
      </c>
      <c r="D4" s="130">
        <f>IF(SER_hh_tes!D4=0,0,11630*1000*SER_hh_tes!D4/SER_hh_num!D4)</f>
        <v>92047.125920326085</v>
      </c>
      <c r="E4" s="130">
        <f>IF(SER_hh_tes!E4=0,0,11630*1000*SER_hh_tes!E4/SER_hh_num!E4)</f>
        <v>106123.99423005999</v>
      </c>
      <c r="F4" s="130">
        <f>IF(SER_hh_tes!F4=0,0,11630*1000*SER_hh_tes!F4/SER_hh_num!F4)</f>
        <v>102639.00931065946</v>
      </c>
      <c r="G4" s="130">
        <f>IF(SER_hh_tes!G4=0,0,11630*1000*SER_hh_tes!G4/SER_hh_num!G4)</f>
        <v>97660.964084206105</v>
      </c>
      <c r="H4" s="130">
        <f>IF(SER_hh_tes!H4=0,0,11630*1000*SER_hh_tes!H4/SER_hh_num!H4)</f>
        <v>100549.07441382812</v>
      </c>
      <c r="I4" s="130">
        <f>IF(SER_hh_tes!I4=0,0,11630*1000*SER_hh_tes!I4/SER_hh_num!I4)</f>
        <v>81579.058843130682</v>
      </c>
      <c r="J4" s="130">
        <f>IF(SER_hh_tes!J4=0,0,11630*1000*SER_hh_tes!J4/SER_hh_num!J4)</f>
        <v>92979.303068792549</v>
      </c>
      <c r="K4" s="130">
        <f>IF(SER_hh_tes!K4=0,0,11630*1000*SER_hh_tes!K4/SER_hh_num!K4)</f>
        <v>79550.047139489441</v>
      </c>
      <c r="L4" s="130">
        <f>IF(SER_hh_tes!L4=0,0,11630*1000*SER_hh_tes!L4/SER_hh_num!L4)</f>
        <v>80440.381996691722</v>
      </c>
      <c r="M4" s="130">
        <f>IF(SER_hh_tes!M4=0,0,11630*1000*SER_hh_tes!M4/SER_hh_num!M4)</f>
        <v>76638.037501992716</v>
      </c>
      <c r="N4" s="130">
        <f>IF(SER_hh_tes!N4=0,0,11630*1000*SER_hh_tes!N4/SER_hh_num!N4)</f>
        <v>78031.376519385158</v>
      </c>
      <c r="O4" s="130">
        <f>IF(SER_hh_tes!O4=0,0,11630*1000*SER_hh_tes!O4/SER_hh_num!O4)</f>
        <v>77969.072068236812</v>
      </c>
      <c r="P4" s="130">
        <f>IF(SER_hh_tes!P4=0,0,11630*1000*SER_hh_tes!P4/SER_hh_num!P4)</f>
        <v>70323.268462809152</v>
      </c>
      <c r="Q4" s="130">
        <f>IF(SER_hh_tes!Q4=0,0,11630*1000*SER_hh_tes!Q4/SER_hh_num!Q4)</f>
        <v>71726.947522030561</v>
      </c>
      <c r="R4" s="130">
        <f>IF(SER_hh_tes!R4=0,0,11630*1000*SER_hh_tes!R4/SER_hh_num!R4)</f>
        <v>69607.132184997128</v>
      </c>
      <c r="S4" s="130">
        <f>IF(SER_hh_tes!S4=0,0,11630*1000*SER_hh_tes!S4/SER_hh_num!S4)</f>
        <v>79284.175829827596</v>
      </c>
      <c r="T4" s="130">
        <f>IF(SER_hh_tes!T4=0,0,11630*1000*SER_hh_tes!T4/SER_hh_num!T4)</f>
        <v>75896.925042266404</v>
      </c>
      <c r="U4" s="130">
        <f>IF(SER_hh_tes!U4=0,0,11630*1000*SER_hh_tes!U4/SER_hh_num!U4)</f>
        <v>79214.499503649276</v>
      </c>
      <c r="V4" s="130">
        <f>IF(SER_hh_tes!V4=0,0,11630*1000*SER_hh_tes!V4/SER_hh_num!V4)</f>
        <v>69745.050215294585</v>
      </c>
      <c r="W4" s="130">
        <f>IF(SER_hh_tes!W4=0,0,11630*1000*SER_hh_tes!W4/SER_hh_num!W4)</f>
        <v>78203.685665816694</v>
      </c>
      <c r="X4" s="130">
        <f>IF(SER_hh_tes!X4=0,0,11630*1000*SER_hh_tes!X4/SER_hh_num!X4)</f>
        <v>73268.165192272034</v>
      </c>
      <c r="Y4" s="130">
        <f>IF(SER_hh_tes!Y4=0,0,11630*1000*SER_hh_tes!Y4/SER_hh_num!Y4)</f>
        <v>69695.614439067824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82238.671183814396</v>
      </c>
      <c r="C5" s="132">
        <f>IF(SER_hh_tes!C5=0,0,11630*1000*SER_hh_tes!C5/SER_hh_num!C5)</f>
        <v>98649.892425343452</v>
      </c>
      <c r="D5" s="132">
        <f>IF(SER_hh_tes!D5=0,0,11630*1000*SER_hh_tes!D5/SER_hh_num!D5)</f>
        <v>78445.119118953924</v>
      </c>
      <c r="E5" s="132">
        <f>IF(SER_hh_tes!E5=0,0,11630*1000*SER_hh_tes!E5/SER_hh_num!E5)</f>
        <v>117695.60550213989</v>
      </c>
      <c r="F5" s="132">
        <f>IF(SER_hh_tes!F5=0,0,11630*1000*SER_hh_tes!F5/SER_hh_num!F5)</f>
        <v>99987.237904450754</v>
      </c>
      <c r="G5" s="132">
        <f>IF(SER_hh_tes!G5=0,0,11630*1000*SER_hh_tes!G5/SER_hh_num!G5)</f>
        <v>97589.948972188242</v>
      </c>
      <c r="H5" s="132">
        <f>IF(SER_hh_tes!H5=0,0,11630*1000*SER_hh_tes!H5/SER_hh_num!H5)</f>
        <v>91187.230749848881</v>
      </c>
      <c r="I5" s="132">
        <f>IF(SER_hh_tes!I5=0,0,11630*1000*SER_hh_tes!I5/SER_hh_num!I5)</f>
        <v>89286.356792777369</v>
      </c>
      <c r="J5" s="132">
        <f>IF(SER_hh_tes!J5=0,0,11630*1000*SER_hh_tes!J5/SER_hh_num!J5)</f>
        <v>74601.170727872362</v>
      </c>
      <c r="K5" s="132">
        <f>IF(SER_hh_tes!K5=0,0,11630*1000*SER_hh_tes!K5/SER_hh_num!K5)</f>
        <v>69310.429045302095</v>
      </c>
      <c r="L5" s="132">
        <f>IF(SER_hh_tes!L5=0,0,11630*1000*SER_hh_tes!L5/SER_hh_num!L5)</f>
        <v>96028.607480496808</v>
      </c>
      <c r="M5" s="132">
        <f>IF(SER_hh_tes!M5=0,0,11630*1000*SER_hh_tes!M5/SER_hh_num!M5)</f>
        <v>94109.549439426526</v>
      </c>
      <c r="N5" s="132">
        <f>IF(SER_hh_tes!N5=0,0,11630*1000*SER_hh_tes!N5/SER_hh_num!N5)</f>
        <v>3877.9636003924579</v>
      </c>
      <c r="O5" s="132">
        <f>IF(SER_hh_tes!O5=0,0,11630*1000*SER_hh_tes!O5/SER_hh_num!O5)</f>
        <v>38402.888019956379</v>
      </c>
      <c r="P5" s="132">
        <f>IF(SER_hh_tes!P5=0,0,11630*1000*SER_hh_tes!P5/SER_hh_num!P5)</f>
        <v>28622.920722471135</v>
      </c>
      <c r="Q5" s="132">
        <f>IF(SER_hh_tes!Q5=0,0,11630*1000*SER_hh_tes!Q5/SER_hh_num!Q5)</f>
        <v>36547.569830780216</v>
      </c>
      <c r="R5" s="132">
        <f>IF(SER_hh_tes!R5=0,0,11630*1000*SER_hh_tes!R5/SER_hh_num!R5)</f>
        <v>0</v>
      </c>
      <c r="S5" s="132">
        <f>IF(SER_hh_tes!S5=0,0,11630*1000*SER_hh_tes!S5/SER_hh_num!S5)</f>
        <v>0</v>
      </c>
      <c r="T5" s="132">
        <f>IF(SER_hh_tes!T5=0,0,11630*1000*SER_hh_tes!T5/SER_hh_num!T5)</f>
        <v>0</v>
      </c>
      <c r="U5" s="132">
        <f>IF(SER_hh_tes!U5=0,0,11630*1000*SER_hh_tes!U5/SER_hh_num!U5)</f>
        <v>0</v>
      </c>
      <c r="V5" s="132">
        <f>IF(SER_hh_tes!V5=0,0,11630*1000*SER_hh_tes!V5/SER_hh_num!V5)</f>
        <v>0</v>
      </c>
      <c r="W5" s="132">
        <f>IF(SER_hh_tes!W5=0,0,11630*1000*SER_hh_tes!W5/SER_hh_num!W5)</f>
        <v>0</v>
      </c>
      <c r="X5" s="132">
        <f>IF(SER_hh_tes!X5=0,0,11630*1000*SER_hh_tes!X5/SER_hh_num!X5)</f>
        <v>0</v>
      </c>
      <c r="Y5" s="132">
        <f>IF(SER_hh_tes!Y5=0,0,11630*1000*SER_hh_tes!Y5/SER_hh_num!Y5)</f>
        <v>0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74482.159630081747</v>
      </c>
      <c r="C7" s="132">
        <f>IF(SER_hh_tes!C7=0,0,11630*1000*SER_hh_tes!C7/SER_hh_num!C7)</f>
        <v>96067.474332833619</v>
      </c>
      <c r="D7" s="132">
        <f>IF(SER_hh_tes!D7=0,0,11630*1000*SER_hh_tes!D7/SER_hh_num!D7)</f>
        <v>92849.450430332421</v>
      </c>
      <c r="E7" s="132">
        <f>IF(SER_hh_tes!E7=0,0,11630*1000*SER_hh_tes!E7/SER_hh_num!E7)</f>
        <v>113043.90358967887</v>
      </c>
      <c r="F7" s="132">
        <f>IF(SER_hh_tes!F7=0,0,11630*1000*SER_hh_tes!F7/SER_hh_num!F7)</f>
        <v>80297.796158383382</v>
      </c>
      <c r="G7" s="132">
        <f>IF(SER_hh_tes!G7=0,0,11630*1000*SER_hh_tes!G7/SER_hh_num!G7)</f>
        <v>103422.80437137304</v>
      </c>
      <c r="H7" s="132">
        <f>IF(SER_hh_tes!H7=0,0,11630*1000*SER_hh_tes!H7/SER_hh_num!H7)</f>
        <v>105726.21715567543</v>
      </c>
      <c r="I7" s="132">
        <f>IF(SER_hh_tes!I7=0,0,11630*1000*SER_hh_tes!I7/SER_hh_num!I7)</f>
        <v>75985.404876465604</v>
      </c>
      <c r="J7" s="132">
        <f>IF(SER_hh_tes!J7=0,0,11630*1000*SER_hh_tes!J7/SER_hh_num!J7)</f>
        <v>98114.224043820563</v>
      </c>
      <c r="K7" s="132">
        <f>IF(SER_hh_tes!K7=0,0,11630*1000*SER_hh_tes!K7/SER_hh_num!K7)</f>
        <v>90485.079684816519</v>
      </c>
      <c r="L7" s="132">
        <f>IF(SER_hh_tes!L7=0,0,11630*1000*SER_hh_tes!L7/SER_hh_num!L7)</f>
        <v>57963.704340406817</v>
      </c>
      <c r="M7" s="132">
        <f>IF(SER_hh_tes!M7=0,0,11630*1000*SER_hh_tes!M7/SER_hh_num!M7)</f>
        <v>71321.76498395791</v>
      </c>
      <c r="N7" s="132">
        <f>IF(SER_hh_tes!N7=0,0,11630*1000*SER_hh_tes!N7/SER_hh_num!N7)</f>
        <v>69791.613624619436</v>
      </c>
      <c r="O7" s="132">
        <f>IF(SER_hh_tes!O7=0,0,11630*1000*SER_hh_tes!O7/SER_hh_num!O7)</f>
        <v>70379.556693042497</v>
      </c>
      <c r="P7" s="132">
        <f>IF(SER_hh_tes!P7=0,0,11630*1000*SER_hh_tes!P7/SER_hh_num!P7)</f>
        <v>72549.051383217651</v>
      </c>
      <c r="Q7" s="132">
        <f>IF(SER_hh_tes!Q7=0,0,11630*1000*SER_hh_tes!Q7/SER_hh_num!Q7)</f>
        <v>71949.399248291724</v>
      </c>
      <c r="R7" s="132">
        <f>IF(SER_hh_tes!R7=0,0,11630*1000*SER_hh_tes!R7/SER_hh_num!R7)</f>
        <v>63638.677485420798</v>
      </c>
      <c r="S7" s="132">
        <f>IF(SER_hh_tes!S7=0,0,11630*1000*SER_hh_tes!S7/SER_hh_num!S7)</f>
        <v>87867.176164318415</v>
      </c>
      <c r="T7" s="132">
        <f>IF(SER_hh_tes!T7=0,0,11630*1000*SER_hh_tes!T7/SER_hh_num!T7)</f>
        <v>76016.752428229447</v>
      </c>
      <c r="U7" s="132">
        <f>IF(SER_hh_tes!U7=0,0,11630*1000*SER_hh_tes!U7/SER_hh_num!U7)</f>
        <v>71361.447241634873</v>
      </c>
      <c r="V7" s="132">
        <f>IF(SER_hh_tes!V7=0,0,11630*1000*SER_hh_tes!V7/SER_hh_num!V7)</f>
        <v>70178.46367322361</v>
      </c>
      <c r="W7" s="132">
        <f>IF(SER_hh_tes!W7=0,0,11630*1000*SER_hh_tes!W7/SER_hh_num!W7)</f>
        <v>92507.080312007034</v>
      </c>
      <c r="X7" s="132">
        <f>IF(SER_hh_tes!X7=0,0,11630*1000*SER_hh_tes!X7/SER_hh_num!X7)</f>
        <v>83389.780885374246</v>
      </c>
      <c r="Y7" s="132">
        <f>IF(SER_hh_tes!Y7=0,0,11630*1000*SER_hh_tes!Y7/SER_hh_num!Y7)</f>
        <v>55077.185277800367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74137.296312296239</v>
      </c>
      <c r="C8" s="132">
        <f>IF(SER_hh_tes!C8=0,0,11630*1000*SER_hh_tes!C8/SER_hh_num!C8)</f>
        <v>95045.515192067382</v>
      </c>
      <c r="D8" s="132">
        <f>IF(SER_hh_tes!D8=0,0,11630*1000*SER_hh_tes!D8/SER_hh_num!D8)</f>
        <v>89851.875786288088</v>
      </c>
      <c r="E8" s="132">
        <f>IF(SER_hh_tes!E8=0,0,11630*1000*SER_hh_tes!E8/SER_hh_num!E8)</f>
        <v>104503.50309423078</v>
      </c>
      <c r="F8" s="132">
        <f>IF(SER_hh_tes!F8=0,0,11630*1000*SER_hh_tes!F8/SER_hh_num!F8)</f>
        <v>104432.28807272152</v>
      </c>
      <c r="G8" s="132">
        <f>IF(SER_hh_tes!G8=0,0,11630*1000*SER_hh_tes!G8/SER_hh_num!G8)</f>
        <v>96993.006015260267</v>
      </c>
      <c r="H8" s="132">
        <f>IF(SER_hh_tes!H8=0,0,11630*1000*SER_hh_tes!H8/SER_hh_num!H8)</f>
        <v>102729.5286955636</v>
      </c>
      <c r="I8" s="132">
        <f>IF(SER_hh_tes!I8=0,0,11630*1000*SER_hh_tes!I8/SER_hh_num!I8)</f>
        <v>82450.043835881079</v>
      </c>
      <c r="J8" s="132">
        <f>IF(SER_hh_tes!J8=0,0,11630*1000*SER_hh_tes!J8/SER_hh_num!J8)</f>
        <v>94715.022965988755</v>
      </c>
      <c r="K8" s="132">
        <f>IF(SER_hh_tes!K8=0,0,11630*1000*SER_hh_tes!K8/SER_hh_num!K8)</f>
        <v>80038.412944527678</v>
      </c>
      <c r="L8" s="132">
        <f>IF(SER_hh_tes!L8=0,0,11630*1000*SER_hh_tes!L8/SER_hh_num!L8)</f>
        <v>80066.039220590072</v>
      </c>
      <c r="M8" s="132">
        <f>IF(SER_hh_tes!M8=0,0,11630*1000*SER_hh_tes!M8/SER_hh_num!M8)</f>
        <v>77529.344278312637</v>
      </c>
      <c r="N8" s="132">
        <f>IF(SER_hh_tes!N8=0,0,11630*1000*SER_hh_tes!N8/SER_hh_num!N8)</f>
        <v>77514.078644109628</v>
      </c>
      <c r="O8" s="132">
        <f>IF(SER_hh_tes!O8=0,0,11630*1000*SER_hh_tes!O8/SER_hh_num!O8)</f>
        <v>73866.628740094893</v>
      </c>
      <c r="P8" s="132">
        <f>IF(SER_hh_tes!P8=0,0,11630*1000*SER_hh_tes!P8/SER_hh_num!P8)</f>
        <v>69730.681186801899</v>
      </c>
      <c r="Q8" s="132">
        <f>IF(SER_hh_tes!Q8=0,0,11630*1000*SER_hh_tes!Q8/SER_hh_num!Q8)</f>
        <v>69836.302267991559</v>
      </c>
      <c r="R8" s="132">
        <f>IF(SER_hh_tes!R8=0,0,11630*1000*SER_hh_tes!R8/SER_hh_num!R8)</f>
        <v>71033.228827940431</v>
      </c>
      <c r="S8" s="132">
        <f>IF(SER_hh_tes!S8=0,0,11630*1000*SER_hh_tes!S8/SER_hh_num!S8)</f>
        <v>79416.631901896544</v>
      </c>
      <c r="T8" s="132">
        <f>IF(SER_hh_tes!T8=0,0,11630*1000*SER_hh_tes!T8/SER_hh_num!T8)</f>
        <v>75790.56001019862</v>
      </c>
      <c r="U8" s="132">
        <f>IF(SER_hh_tes!U8=0,0,11630*1000*SER_hh_tes!U8/SER_hh_num!U8)</f>
        <v>79400.000423088321</v>
      </c>
      <c r="V8" s="132">
        <f>IF(SER_hh_tes!V8=0,0,11630*1000*SER_hh_tes!V8/SER_hh_num!V8)</f>
        <v>69140.675734463264</v>
      </c>
      <c r="W8" s="132">
        <f>IF(SER_hh_tes!W8=0,0,11630*1000*SER_hh_tes!W8/SER_hh_num!W8)</f>
        <v>81070.680210993902</v>
      </c>
      <c r="X8" s="132">
        <f>IF(SER_hh_tes!X8=0,0,11630*1000*SER_hh_tes!X8/SER_hh_num!X8)</f>
        <v>72777.662201365485</v>
      </c>
      <c r="Y8" s="132">
        <f>IF(SER_hh_tes!Y8=0,0,11630*1000*SER_hh_tes!Y8/SER_hh_num!Y8)</f>
        <v>67607.957278622678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73730.464234267813</v>
      </c>
      <c r="C9" s="132">
        <f>IF(SER_hh_tes!C9=0,0,11630*1000*SER_hh_tes!C9/SER_hh_num!C9)</f>
        <v>100481.71062343018</v>
      </c>
      <c r="D9" s="132">
        <f>IF(SER_hh_tes!D9=0,0,11630*1000*SER_hh_tes!D9/SER_hh_num!D9)</f>
        <v>87973.884068389088</v>
      </c>
      <c r="E9" s="132">
        <f>IF(SER_hh_tes!E9=0,0,11630*1000*SER_hh_tes!E9/SER_hh_num!E9)</f>
        <v>102856.28726299273</v>
      </c>
      <c r="F9" s="132">
        <f>IF(SER_hh_tes!F9=0,0,11630*1000*SER_hh_tes!F9/SER_hh_num!F9)</f>
        <v>135305.14208244911</v>
      </c>
      <c r="G9" s="132">
        <f>IF(SER_hh_tes!G9=0,0,11630*1000*SER_hh_tes!G9/SER_hh_num!G9)</f>
        <v>76458.552511562273</v>
      </c>
      <c r="H9" s="132">
        <f>IF(SER_hh_tes!H9=0,0,11630*1000*SER_hh_tes!H9/SER_hh_num!H9)</f>
        <v>94667.776824092536</v>
      </c>
      <c r="I9" s="132">
        <f>IF(SER_hh_tes!I9=0,0,11630*1000*SER_hh_tes!I9/SER_hh_num!I9)</f>
        <v>79798.96587248391</v>
      </c>
      <c r="J9" s="132">
        <f>IF(SER_hh_tes!J9=0,0,11630*1000*SER_hh_tes!J9/SER_hh_num!J9)</f>
        <v>93592.764612736966</v>
      </c>
      <c r="K9" s="132">
        <f>IF(SER_hh_tes!K9=0,0,11630*1000*SER_hh_tes!K9/SER_hh_num!K9)</f>
        <v>72559.168022719852</v>
      </c>
      <c r="L9" s="132">
        <f>IF(SER_hh_tes!L9=0,0,11630*1000*SER_hh_tes!L9/SER_hh_num!L9)</f>
        <v>80871.202911102024</v>
      </c>
      <c r="M9" s="132">
        <f>IF(SER_hh_tes!M9=0,0,11630*1000*SER_hh_tes!M9/SER_hh_num!M9)</f>
        <v>67946.040373502503</v>
      </c>
      <c r="N9" s="132">
        <f>IF(SER_hh_tes!N9=0,0,11630*1000*SER_hh_tes!N9/SER_hh_num!N9)</f>
        <v>80420.386002027022</v>
      </c>
      <c r="O9" s="132">
        <f>IF(SER_hh_tes!O9=0,0,11630*1000*SER_hh_tes!O9/SER_hh_num!O9)</f>
        <v>82273.087155016037</v>
      </c>
      <c r="P9" s="132">
        <f>IF(SER_hh_tes!P9=0,0,11630*1000*SER_hh_tes!P9/SER_hh_num!P9)</f>
        <v>61963.493013895095</v>
      </c>
      <c r="Q9" s="132">
        <f>IF(SER_hh_tes!Q9=0,0,11630*1000*SER_hh_tes!Q9/SER_hh_num!Q9)</f>
        <v>72432.339645421351</v>
      </c>
      <c r="R9" s="132">
        <f>IF(SER_hh_tes!R9=0,0,11630*1000*SER_hh_tes!R9/SER_hh_num!R9)</f>
        <v>66230.809520314622</v>
      </c>
      <c r="S9" s="132">
        <f>IF(SER_hh_tes!S9=0,0,11630*1000*SER_hh_tes!S9/SER_hh_num!S9)</f>
        <v>75637.531252217741</v>
      </c>
      <c r="T9" s="132">
        <f>IF(SER_hh_tes!T9=0,0,11630*1000*SER_hh_tes!T9/SER_hh_num!T9)</f>
        <v>71553.606186888384</v>
      </c>
      <c r="U9" s="132">
        <f>IF(SER_hh_tes!U9=0,0,11630*1000*SER_hh_tes!U9/SER_hh_num!U9)</f>
        <v>77678.318932204013</v>
      </c>
      <c r="V9" s="132">
        <f>IF(SER_hh_tes!V9=0,0,11630*1000*SER_hh_tes!V9/SER_hh_num!V9)</f>
        <v>81604.284094730363</v>
      </c>
      <c r="W9" s="132">
        <f>IF(SER_hh_tes!W9=0,0,11630*1000*SER_hh_tes!W9/SER_hh_num!W9)</f>
        <v>94232.71633200314</v>
      </c>
      <c r="X9" s="132">
        <f>IF(SER_hh_tes!X9=0,0,11630*1000*SER_hh_tes!X9/SER_hh_num!X9)</f>
        <v>59422.376233335817</v>
      </c>
      <c r="Y9" s="132">
        <f>IF(SER_hh_tes!Y9=0,0,11630*1000*SER_hh_tes!Y9/SER_hh_num!Y9)</f>
        <v>72562.583456697728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82120.132665462443</v>
      </c>
      <c r="C10" s="132">
        <f>IF(SER_hh_tes!C10=0,0,11630*1000*SER_hh_tes!C10/SER_hh_num!C10)</f>
        <v>91080.575429592034</v>
      </c>
      <c r="D10" s="132">
        <f>IF(SER_hh_tes!D10=0,0,11630*1000*SER_hh_tes!D10/SER_hh_num!D10)</f>
        <v>89096.137150795344</v>
      </c>
      <c r="E10" s="132">
        <f>IF(SER_hh_tes!E10=0,0,11630*1000*SER_hh_tes!E10/SER_hh_num!E10)</f>
        <v>104199.38336588275</v>
      </c>
      <c r="F10" s="132">
        <f>IF(SER_hh_tes!F10=0,0,11630*1000*SER_hh_tes!F10/SER_hh_num!F10)</f>
        <v>110683.44315953089</v>
      </c>
      <c r="G10" s="132">
        <f>IF(SER_hh_tes!G10=0,0,11630*1000*SER_hh_tes!G10/SER_hh_num!G10)</f>
        <v>90088.343221443793</v>
      </c>
      <c r="H10" s="132">
        <f>IF(SER_hh_tes!H10=0,0,11630*1000*SER_hh_tes!H10/SER_hh_num!H10)</f>
        <v>98497.569371136589</v>
      </c>
      <c r="I10" s="132">
        <f>IF(SER_hh_tes!I10=0,0,11630*1000*SER_hh_tes!I10/SER_hh_num!I10)</f>
        <v>91968.57613474103</v>
      </c>
      <c r="J10" s="132">
        <f>IF(SER_hh_tes!J10=0,0,11630*1000*SER_hh_tes!J10/SER_hh_num!J10)</f>
        <v>77666.242538608363</v>
      </c>
      <c r="K10" s="132">
        <f>IF(SER_hh_tes!K10=0,0,11630*1000*SER_hh_tes!K10/SER_hh_num!K10)</f>
        <v>75437.314686843252</v>
      </c>
      <c r="L10" s="132">
        <f>IF(SER_hh_tes!L10=0,0,11630*1000*SER_hh_tes!L10/SER_hh_num!L10)</f>
        <v>95007.831012187191</v>
      </c>
      <c r="M10" s="132">
        <f>IF(SER_hh_tes!M10=0,0,11630*1000*SER_hh_tes!M10/SER_hh_num!M10)</f>
        <v>80383.916274131334</v>
      </c>
      <c r="N10" s="132">
        <f>IF(SER_hh_tes!N10=0,0,11630*1000*SER_hh_tes!N10/SER_hh_num!N10)</f>
        <v>58608.092329981722</v>
      </c>
      <c r="O10" s="132">
        <f>IF(SER_hh_tes!O10=0,0,11630*1000*SER_hh_tes!O10/SER_hh_num!O10)</f>
        <v>79980.214118285527</v>
      </c>
      <c r="P10" s="132">
        <f>IF(SER_hh_tes!P10=0,0,11630*1000*SER_hh_tes!P10/SER_hh_num!P10)</f>
        <v>64070.617645611455</v>
      </c>
      <c r="Q10" s="132">
        <f>IF(SER_hh_tes!Q10=0,0,11630*1000*SER_hh_tes!Q10/SER_hh_num!Q10)</f>
        <v>79522.890105983606</v>
      </c>
      <c r="R10" s="132">
        <f>IF(SER_hh_tes!R10=0,0,11630*1000*SER_hh_tes!R10/SER_hh_num!R10)</f>
        <v>54004.051153063279</v>
      </c>
      <c r="S10" s="132">
        <f>IF(SER_hh_tes!S10=0,0,11630*1000*SER_hh_tes!S10/SER_hh_num!S10)</f>
        <v>83725.951583626767</v>
      </c>
      <c r="T10" s="132">
        <f>IF(SER_hh_tes!T10=0,0,11630*1000*SER_hh_tes!T10/SER_hh_num!T10)</f>
        <v>77393.820093901129</v>
      </c>
      <c r="U10" s="132">
        <f>IF(SER_hh_tes!U10=0,0,11630*1000*SER_hh_tes!U10/SER_hh_num!U10)</f>
        <v>78231.789104410491</v>
      </c>
      <c r="V10" s="132">
        <f>IF(SER_hh_tes!V10=0,0,11630*1000*SER_hh_tes!V10/SER_hh_num!V10)</f>
        <v>72678.749738814833</v>
      </c>
      <c r="W10" s="132">
        <f>IF(SER_hh_tes!W10=0,0,11630*1000*SER_hh_tes!W10/SER_hh_num!W10)</f>
        <v>87310.387902735063</v>
      </c>
      <c r="X10" s="132">
        <f>IF(SER_hh_tes!X10=0,0,11630*1000*SER_hh_tes!X10/SER_hh_num!X10)</f>
        <v>75633.815235205446</v>
      </c>
      <c r="Y10" s="132">
        <f>IF(SER_hh_tes!Y10=0,0,11630*1000*SER_hh_tes!Y10/SER_hh_num!Y10)</f>
        <v>55759.187769765747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86066.796476306554</v>
      </c>
      <c r="C11" s="132">
        <f>IF(SER_hh_tes!C11=0,0,11630*1000*SER_hh_tes!C11/SER_hh_num!C11)</f>
        <v>76244.580545022807</v>
      </c>
      <c r="D11" s="132">
        <f>IF(SER_hh_tes!D11=0,0,11630*1000*SER_hh_tes!D11/SER_hh_num!D11)</f>
        <v>115041.15588850869</v>
      </c>
      <c r="E11" s="132">
        <f>IF(SER_hh_tes!E11=0,0,11630*1000*SER_hh_tes!E11/SER_hh_num!E11)</f>
        <v>94668.486305850136</v>
      </c>
      <c r="F11" s="132">
        <f>IF(SER_hh_tes!F11=0,0,11630*1000*SER_hh_tes!F11/SER_hh_num!F11)</f>
        <v>94027.600474789317</v>
      </c>
      <c r="G11" s="132">
        <f>IF(SER_hh_tes!G11=0,0,11630*1000*SER_hh_tes!G11/SER_hh_num!G11)</f>
        <v>102764.82366451134</v>
      </c>
      <c r="H11" s="132">
        <f>IF(SER_hh_tes!H11=0,0,11630*1000*SER_hh_tes!H11/SER_hh_num!H11)</f>
        <v>97335.657355400166</v>
      </c>
      <c r="I11" s="132">
        <f>IF(SER_hh_tes!I11=0,0,11630*1000*SER_hh_tes!I11/SER_hh_num!I11)</f>
        <v>82379.917478806965</v>
      </c>
      <c r="J11" s="132">
        <f>IF(SER_hh_tes!J11=0,0,11630*1000*SER_hh_tes!J11/SER_hh_num!J11)</f>
        <v>83180.666021158293</v>
      </c>
      <c r="K11" s="132">
        <f>IF(SER_hh_tes!K11=0,0,11630*1000*SER_hh_tes!K11/SER_hh_num!K11)</f>
        <v>81950.486444561451</v>
      </c>
      <c r="L11" s="132">
        <f>IF(SER_hh_tes!L11=0,0,11630*1000*SER_hh_tes!L11/SER_hh_num!L11)</f>
        <v>85302.074779427872</v>
      </c>
      <c r="M11" s="132">
        <f>IF(SER_hh_tes!M11=0,0,11630*1000*SER_hh_tes!M11/SER_hh_num!M11)</f>
        <v>70856.39553939912</v>
      </c>
      <c r="N11" s="132">
        <f>IF(SER_hh_tes!N11=0,0,11630*1000*SER_hh_tes!N11/SER_hh_num!N11)</f>
        <v>83594.287986577474</v>
      </c>
      <c r="O11" s="132">
        <f>IF(SER_hh_tes!O11=0,0,11630*1000*SER_hh_tes!O11/SER_hh_num!O11)</f>
        <v>79755.287167003524</v>
      </c>
      <c r="P11" s="132">
        <f>IF(SER_hh_tes!P11=0,0,11630*1000*SER_hh_tes!P11/SER_hh_num!P11)</f>
        <v>65211.758190040237</v>
      </c>
      <c r="Q11" s="132">
        <f>IF(SER_hh_tes!Q11=0,0,11630*1000*SER_hh_tes!Q11/SER_hh_num!Q11)</f>
        <v>68481.380363157004</v>
      </c>
      <c r="R11" s="132">
        <f>IF(SER_hh_tes!R11=0,0,11630*1000*SER_hh_tes!R11/SER_hh_num!R11)</f>
        <v>61379.938691351905</v>
      </c>
      <c r="S11" s="132">
        <f>IF(SER_hh_tes!S11=0,0,11630*1000*SER_hh_tes!S11/SER_hh_num!S11)</f>
        <v>89538.621064196588</v>
      </c>
      <c r="T11" s="132">
        <f>IF(SER_hh_tes!T11=0,0,11630*1000*SER_hh_tes!T11/SER_hh_num!T11)</f>
        <v>76864.100406477417</v>
      </c>
      <c r="U11" s="132">
        <f>IF(SER_hh_tes!U11=0,0,11630*1000*SER_hh_tes!U11/SER_hh_num!U11)</f>
        <v>75737.010550279025</v>
      </c>
      <c r="V11" s="132">
        <f>IF(SER_hh_tes!V11=0,0,11630*1000*SER_hh_tes!V11/SER_hh_num!V11)</f>
        <v>78703.699659037622</v>
      </c>
      <c r="W11" s="132">
        <f>IF(SER_hh_tes!W11=0,0,11630*1000*SER_hh_tes!W11/SER_hh_num!W11)</f>
        <v>70584.829857053322</v>
      </c>
      <c r="X11" s="132">
        <f>IF(SER_hh_tes!X11=0,0,11630*1000*SER_hh_tes!X11/SER_hh_num!X11)</f>
        <v>71833.212827146635</v>
      </c>
      <c r="Y11" s="132">
        <f>IF(SER_hh_tes!Y11=0,0,11630*1000*SER_hh_tes!Y11/SER_hh_num!Y11)</f>
        <v>68165.418654280555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83071.623347908157</v>
      </c>
      <c r="C12" s="132">
        <f>IF(SER_hh_tes!C12=0,0,11630*1000*SER_hh_tes!C12/SER_hh_num!C12)</f>
        <v>90152.810296947355</v>
      </c>
      <c r="D12" s="132">
        <f>IF(SER_hh_tes!D12=0,0,11630*1000*SER_hh_tes!D12/SER_hh_num!D12)</f>
        <v>93464.066163841882</v>
      </c>
      <c r="E12" s="132">
        <f>IF(SER_hh_tes!E12=0,0,11630*1000*SER_hh_tes!E12/SER_hh_num!E12)</f>
        <v>98497.828266730561</v>
      </c>
      <c r="F12" s="132">
        <f>IF(SER_hh_tes!F12=0,0,11630*1000*SER_hh_tes!F12/SER_hh_num!F12)</f>
        <v>95595.974871580736</v>
      </c>
      <c r="G12" s="132">
        <f>IF(SER_hh_tes!G12=0,0,11630*1000*SER_hh_tes!G12/SER_hh_num!G12)</f>
        <v>102534.01286251882</v>
      </c>
      <c r="H12" s="132">
        <f>IF(SER_hh_tes!H12=0,0,11630*1000*SER_hh_tes!H12/SER_hh_num!H12)</f>
        <v>99960.9724295778</v>
      </c>
      <c r="I12" s="132">
        <f>IF(SER_hh_tes!I12=0,0,11630*1000*SER_hh_tes!I12/SER_hh_num!I12)</f>
        <v>80077.835784609502</v>
      </c>
      <c r="J12" s="132">
        <f>IF(SER_hh_tes!J12=0,0,11630*1000*SER_hh_tes!J12/SER_hh_num!J12)</f>
        <v>85103.797548781804</v>
      </c>
      <c r="K12" s="132">
        <f>IF(SER_hh_tes!K12=0,0,11630*1000*SER_hh_tes!K12/SER_hh_num!K12)</f>
        <v>83007.548634216597</v>
      </c>
      <c r="L12" s="132">
        <f>IF(SER_hh_tes!L12=0,0,11630*1000*SER_hh_tes!L12/SER_hh_num!L12)</f>
        <v>82716.512371858</v>
      </c>
      <c r="M12" s="132">
        <f>IF(SER_hh_tes!M12=0,0,11630*1000*SER_hh_tes!M12/SER_hh_num!M12)</f>
        <v>78296.189158911919</v>
      </c>
      <c r="N12" s="132">
        <f>IF(SER_hh_tes!N12=0,0,11630*1000*SER_hh_tes!N12/SER_hh_num!N12)</f>
        <v>79057.83245656798</v>
      </c>
      <c r="O12" s="132">
        <f>IF(SER_hh_tes!O12=0,0,11630*1000*SER_hh_tes!O12/SER_hh_num!O12)</f>
        <v>77161.823715798033</v>
      </c>
      <c r="P12" s="132">
        <f>IF(SER_hh_tes!P12=0,0,11630*1000*SER_hh_tes!P12/SER_hh_num!P12)</f>
        <v>67946.529881996408</v>
      </c>
      <c r="Q12" s="132">
        <f>IF(SER_hh_tes!Q12=0,0,11630*1000*SER_hh_tes!Q12/SER_hh_num!Q12)</f>
        <v>70409.790254465581</v>
      </c>
      <c r="R12" s="132">
        <f>IF(SER_hh_tes!R12=0,0,11630*1000*SER_hh_tes!R12/SER_hh_num!R12)</f>
        <v>74744.651485976909</v>
      </c>
      <c r="S12" s="132">
        <f>IF(SER_hh_tes!S12=0,0,11630*1000*SER_hh_tes!S12/SER_hh_num!S12)</f>
        <v>78849.499405406503</v>
      </c>
      <c r="T12" s="132">
        <f>IF(SER_hh_tes!T12=0,0,11630*1000*SER_hh_tes!T12/SER_hh_num!T12)</f>
        <v>73321.897008219777</v>
      </c>
      <c r="U12" s="132">
        <f>IF(SER_hh_tes!U12=0,0,11630*1000*SER_hh_tes!U12/SER_hh_num!U12)</f>
        <v>76686.762807447813</v>
      </c>
      <c r="V12" s="132">
        <f>IF(SER_hh_tes!V12=0,0,11630*1000*SER_hh_tes!V12/SER_hh_num!V12)</f>
        <v>69983.942605987148</v>
      </c>
      <c r="W12" s="132">
        <f>IF(SER_hh_tes!W12=0,0,11630*1000*SER_hh_tes!W12/SER_hh_num!W12)</f>
        <v>81885.548280494477</v>
      </c>
      <c r="X12" s="132">
        <f>IF(SER_hh_tes!X12=0,0,11630*1000*SER_hh_tes!X12/SER_hh_num!X12)</f>
        <v>73523.814862539351</v>
      </c>
      <c r="Y12" s="132">
        <f>IF(SER_hh_tes!Y12=0,0,11630*1000*SER_hh_tes!Y12/SER_hh_num!Y12)</f>
        <v>69607.352290467563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75345.240926074344</v>
      </c>
      <c r="C13" s="132">
        <f>IF(SER_hh_tes!C13=0,0,11630*1000*SER_hh_tes!C13/SER_hh_num!C13)</f>
        <v>82613.584018412133</v>
      </c>
      <c r="D13" s="132">
        <f>IF(SER_hh_tes!D13=0,0,11630*1000*SER_hh_tes!D13/SER_hh_num!D13)</f>
        <v>88482.63618218599</v>
      </c>
      <c r="E13" s="132">
        <f>IF(SER_hh_tes!E13=0,0,11630*1000*SER_hh_tes!E13/SER_hh_num!E13)</f>
        <v>97865.616273977401</v>
      </c>
      <c r="F13" s="132">
        <f>IF(SER_hh_tes!F13=0,0,11630*1000*SER_hh_tes!F13/SER_hh_num!F13)</f>
        <v>101462.29891713936</v>
      </c>
      <c r="G13" s="132">
        <f>IF(SER_hh_tes!G13=0,0,11630*1000*SER_hh_tes!G13/SER_hh_num!G13)</f>
        <v>95428.777618685577</v>
      </c>
      <c r="H13" s="132">
        <f>IF(SER_hh_tes!H13=0,0,11630*1000*SER_hh_tes!H13/SER_hh_num!H13)</f>
        <v>95742.644699582364</v>
      </c>
      <c r="I13" s="132">
        <f>IF(SER_hh_tes!I13=0,0,11630*1000*SER_hh_tes!I13/SER_hh_num!I13)</f>
        <v>83662.662421525674</v>
      </c>
      <c r="J13" s="132">
        <f>IF(SER_hh_tes!J13=0,0,11630*1000*SER_hh_tes!J13/SER_hh_num!J13)</f>
        <v>97140.092372903629</v>
      </c>
      <c r="K13" s="132">
        <f>IF(SER_hh_tes!K13=0,0,11630*1000*SER_hh_tes!K13/SER_hh_num!K13)</f>
        <v>76753.068321274506</v>
      </c>
      <c r="L13" s="132">
        <f>IF(SER_hh_tes!L13=0,0,11630*1000*SER_hh_tes!L13/SER_hh_num!L13)</f>
        <v>76142.289209195587</v>
      </c>
      <c r="M13" s="132">
        <f>IF(SER_hh_tes!M13=0,0,11630*1000*SER_hh_tes!M13/SER_hh_num!M13)</f>
        <v>78093.317837415641</v>
      </c>
      <c r="N13" s="132">
        <f>IF(SER_hh_tes!N13=0,0,11630*1000*SER_hh_tes!N13/SER_hh_num!N13)</f>
        <v>76319.621414865527</v>
      </c>
      <c r="O13" s="132">
        <f>IF(SER_hh_tes!O13=0,0,11630*1000*SER_hh_tes!O13/SER_hh_num!O13)</f>
        <v>76806.459156295488</v>
      </c>
      <c r="P13" s="132">
        <f>IF(SER_hh_tes!P13=0,0,11630*1000*SER_hh_tes!P13/SER_hh_num!P13)</f>
        <v>80472.038373392876</v>
      </c>
      <c r="Q13" s="132">
        <f>IF(SER_hh_tes!Q13=0,0,11630*1000*SER_hh_tes!Q13/SER_hh_num!Q13)</f>
        <v>67912.416131023521</v>
      </c>
      <c r="R13" s="132">
        <f>IF(SER_hh_tes!R13=0,0,11630*1000*SER_hh_tes!R13/SER_hh_num!R13)</f>
        <v>70387.176333447322</v>
      </c>
      <c r="S13" s="132">
        <f>IF(SER_hh_tes!S13=0,0,11630*1000*SER_hh_tes!S13/SER_hh_num!S13)</f>
        <v>77541.053681599558</v>
      </c>
      <c r="T13" s="132">
        <f>IF(SER_hh_tes!T13=0,0,11630*1000*SER_hh_tes!T13/SER_hh_num!T13)</f>
        <v>76615.334101500062</v>
      </c>
      <c r="U13" s="132">
        <f>IF(SER_hh_tes!U13=0,0,11630*1000*SER_hh_tes!U13/SER_hh_num!U13)</f>
        <v>88313.398036181403</v>
      </c>
      <c r="V13" s="132">
        <f>IF(SER_hh_tes!V13=0,0,11630*1000*SER_hh_tes!V13/SER_hh_num!V13)</f>
        <v>58377.340046725541</v>
      </c>
      <c r="W13" s="132">
        <f>IF(SER_hh_tes!W13=0,0,11630*1000*SER_hh_tes!W13/SER_hh_num!W13)</f>
        <v>51763.635048219781</v>
      </c>
      <c r="X13" s="132">
        <f>IF(SER_hh_tes!X13=0,0,11630*1000*SER_hh_tes!X13/SER_hh_num!X13)</f>
        <v>68510.734038089417</v>
      </c>
      <c r="Y13" s="132">
        <f>IF(SER_hh_tes!Y13=0,0,11630*1000*SER_hh_tes!Y13/SER_hh_num!Y13)</f>
        <v>77178.646537195193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85106.671051852172</v>
      </c>
      <c r="C14" s="65">
        <f>IF(SER_hh_tes!C14=0,0,11630*1000*SER_hh_tes!C14/SER_hh_num!C14)</f>
        <v>91415.385747325126</v>
      </c>
      <c r="D14" s="65">
        <f>IF(SER_hh_tes!D14=0,0,11630*1000*SER_hh_tes!D14/SER_hh_num!D14)</f>
        <v>91738.298468763111</v>
      </c>
      <c r="E14" s="65">
        <f>IF(SER_hh_tes!E14=0,0,11630*1000*SER_hh_tes!E14/SER_hh_num!E14)</f>
        <v>108802.69907791358</v>
      </c>
      <c r="F14" s="65">
        <f>IF(SER_hh_tes!F14=0,0,11630*1000*SER_hh_tes!F14/SER_hh_num!F14)</f>
        <v>80853.268734438985</v>
      </c>
      <c r="G14" s="65">
        <f>IF(SER_hh_tes!G14=0,0,11630*1000*SER_hh_tes!G14/SER_hh_num!G14)</f>
        <v>106798.56541023722</v>
      </c>
      <c r="H14" s="65">
        <f>IF(SER_hh_tes!H14=0,0,11630*1000*SER_hh_tes!H14/SER_hh_num!H14)</f>
        <v>99400.36832112704</v>
      </c>
      <c r="I14" s="65">
        <f>IF(SER_hh_tes!I14=0,0,11630*1000*SER_hh_tes!I14/SER_hh_num!I14)</f>
        <v>85656.194749132192</v>
      </c>
      <c r="J14" s="65">
        <f>IF(SER_hh_tes!J14=0,0,11630*1000*SER_hh_tes!J14/SER_hh_num!J14)</f>
        <v>102499.36325310401</v>
      </c>
      <c r="K14" s="65">
        <f>IF(SER_hh_tes!K14=0,0,11630*1000*SER_hh_tes!K14/SER_hh_num!K14)</f>
        <v>65615.452789754927</v>
      </c>
      <c r="L14" s="65">
        <f>IF(SER_hh_tes!L14=0,0,11630*1000*SER_hh_tes!L14/SER_hh_num!L14)</f>
        <v>83968.401313252078</v>
      </c>
      <c r="M14" s="65">
        <f>IF(SER_hh_tes!M14=0,0,11630*1000*SER_hh_tes!M14/SER_hh_num!M14)</f>
        <v>77458.348328280656</v>
      </c>
      <c r="N14" s="65">
        <f>IF(SER_hh_tes!N14=0,0,11630*1000*SER_hh_tes!N14/SER_hh_num!N14)</f>
        <v>77511.809045287577</v>
      </c>
      <c r="O14" s="65">
        <f>IF(SER_hh_tes!O14=0,0,11630*1000*SER_hh_tes!O14/SER_hh_num!O14)</f>
        <v>77718.87236789141</v>
      </c>
      <c r="P14" s="65">
        <f>IF(SER_hh_tes!P14=0,0,11630*1000*SER_hh_tes!P14/SER_hh_num!P14)</f>
        <v>74047.197290907206</v>
      </c>
      <c r="Q14" s="65">
        <f>IF(SER_hh_tes!Q14=0,0,11630*1000*SER_hh_tes!Q14/SER_hh_num!Q14)</f>
        <v>75665.995960408763</v>
      </c>
      <c r="R14" s="65">
        <f>IF(SER_hh_tes!R14=0,0,11630*1000*SER_hh_tes!R14/SER_hh_num!R14)</f>
        <v>56891.770826343483</v>
      </c>
      <c r="S14" s="65">
        <f>IF(SER_hh_tes!S14=0,0,11630*1000*SER_hh_tes!S14/SER_hh_num!S14)</f>
        <v>75445.616493962691</v>
      </c>
      <c r="T14" s="65">
        <f>IF(SER_hh_tes!T14=0,0,11630*1000*SER_hh_tes!T14/SER_hh_num!T14)</f>
        <v>85041.931767691858</v>
      </c>
      <c r="U14" s="65">
        <f>IF(SER_hh_tes!U14=0,0,11630*1000*SER_hh_tes!U14/SER_hh_num!U14)</f>
        <v>79632.757347840699</v>
      </c>
      <c r="V14" s="65">
        <f>IF(SER_hh_tes!V14=0,0,11630*1000*SER_hh_tes!V14/SER_hh_num!V14)</f>
        <v>68641.668842251573</v>
      </c>
      <c r="W14" s="65">
        <f>IF(SER_hh_tes!W14=0,0,11630*1000*SER_hh_tes!W14/SER_hh_num!W14)</f>
        <v>73657.423632317325</v>
      </c>
      <c r="X14" s="65">
        <f>IF(SER_hh_tes!X14=0,0,11630*1000*SER_hh_tes!X14/SER_hh_num!X14)</f>
        <v>86393.404716285819</v>
      </c>
      <c r="Y14" s="65">
        <f>IF(SER_hh_tes!Y14=0,0,11630*1000*SER_hh_tes!Y14/SER_hh_num!Y14)</f>
        <v>56787.351303602518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1079.3617051921647</v>
      </c>
      <c r="C15" s="134">
        <f>IF(SER_hh_tes!C15=0,0,11630*1000*SER_hh_tes!C15/SER_hh_num!C15)</f>
        <v>1402.087997747029</v>
      </c>
      <c r="D15" s="134">
        <f>IF(SER_hh_tes!D15=0,0,11630*1000*SER_hh_tes!D15/SER_hh_num!D15)</f>
        <v>1274.9114486977492</v>
      </c>
      <c r="E15" s="134">
        <f>IF(SER_hh_tes!E15=0,0,11630*1000*SER_hh_tes!E15/SER_hh_num!E15)</f>
        <v>1463.3126330006996</v>
      </c>
      <c r="F15" s="134">
        <f>IF(SER_hh_tes!F15=0,0,11630*1000*SER_hh_tes!F15/SER_hh_num!F15)</f>
        <v>1444.044677109493</v>
      </c>
      <c r="G15" s="134">
        <f>IF(SER_hh_tes!G15=0,0,11630*1000*SER_hh_tes!G15/SER_hh_num!G15)</f>
        <v>1121.8340943833198</v>
      </c>
      <c r="H15" s="134">
        <f>IF(SER_hh_tes!H15=0,0,11630*1000*SER_hh_tes!H15/SER_hh_num!H15)</f>
        <v>1155.8159806896092</v>
      </c>
      <c r="I15" s="134">
        <f>IF(SER_hh_tes!I15=0,0,11630*1000*SER_hh_tes!I15/SER_hh_num!I15)</f>
        <v>843.27745953793954</v>
      </c>
      <c r="J15" s="134">
        <f>IF(SER_hh_tes!J15=0,0,11630*1000*SER_hh_tes!J15/SER_hh_num!J15)</f>
        <v>930.83090072838559</v>
      </c>
      <c r="K15" s="134">
        <f>IF(SER_hh_tes!K15=0,0,11630*1000*SER_hh_tes!K15/SER_hh_num!K15)</f>
        <v>758.89801540175574</v>
      </c>
      <c r="L15" s="134">
        <f>IF(SER_hh_tes!L15=0,0,11630*1000*SER_hh_tes!L15/SER_hh_num!L15)</f>
        <v>642.55246155679708</v>
      </c>
      <c r="M15" s="134">
        <f>IF(SER_hh_tes!M15=0,0,11630*1000*SER_hh_tes!M15/SER_hh_num!M15)</f>
        <v>582.05183854972313</v>
      </c>
      <c r="N15" s="134">
        <f>IF(SER_hh_tes!N15=0,0,11630*1000*SER_hh_tes!N15/SER_hh_num!N15)</f>
        <v>607.92064253745798</v>
      </c>
      <c r="O15" s="134">
        <f>IF(SER_hh_tes!O15=0,0,11630*1000*SER_hh_tes!O15/SER_hh_num!O15)</f>
        <v>619.81704996668759</v>
      </c>
      <c r="P15" s="134">
        <f>IF(SER_hh_tes!P15=0,0,11630*1000*SER_hh_tes!P15/SER_hh_num!P15)</f>
        <v>531.19986052327567</v>
      </c>
      <c r="Q15" s="134">
        <f>IF(SER_hh_tes!Q15=0,0,11630*1000*SER_hh_tes!Q15/SER_hh_num!Q15)</f>
        <v>571.36971342164611</v>
      </c>
      <c r="R15" s="134">
        <f>IF(SER_hh_tes!R15=0,0,11630*1000*SER_hh_tes!R15/SER_hh_num!R15)</f>
        <v>540.4091807569506</v>
      </c>
      <c r="S15" s="134">
        <f>IF(SER_hh_tes!S15=0,0,11630*1000*SER_hh_tes!S15/SER_hh_num!S15)</f>
        <v>634.6177436775605</v>
      </c>
      <c r="T15" s="134">
        <f>IF(SER_hh_tes!T15=0,0,11630*1000*SER_hh_tes!T15/SER_hh_num!T15)</f>
        <v>585.42413615689088</v>
      </c>
      <c r="U15" s="134">
        <f>IF(SER_hh_tes!U15=0,0,11630*1000*SER_hh_tes!U15/SER_hh_num!U15)</f>
        <v>606.45663690111371</v>
      </c>
      <c r="V15" s="134">
        <f>IF(SER_hh_tes!V15=0,0,11630*1000*SER_hh_tes!V15/SER_hh_num!V15)</f>
        <v>585.23460551736787</v>
      </c>
      <c r="W15" s="134">
        <f>IF(SER_hh_tes!W15=0,0,11630*1000*SER_hh_tes!W15/SER_hh_num!W15)</f>
        <v>705.21668413642715</v>
      </c>
      <c r="X15" s="134">
        <f>IF(SER_hh_tes!X15=0,0,11630*1000*SER_hh_tes!X15/SER_hh_num!X15)</f>
        <v>554.77760173186789</v>
      </c>
      <c r="Y15" s="134">
        <f>IF(SER_hh_tes!Y15=0,0,11630*1000*SER_hh_tes!Y15/SER_hh_num!Y15)</f>
        <v>501.23759922623486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20260.989364642937</v>
      </c>
      <c r="C16" s="130">
        <f>IF(SER_hh_tes!C16=0,0,11630*1000*SER_hh_tes!C16/SER_hh_num!C16)</f>
        <v>20111.645565799492</v>
      </c>
      <c r="D16" s="130">
        <f>IF(SER_hh_tes!D16=0,0,11630*1000*SER_hh_tes!D16/SER_hh_num!D16)</f>
        <v>20232.357019882067</v>
      </c>
      <c r="E16" s="130">
        <f>IF(SER_hh_tes!E16=0,0,11630*1000*SER_hh_tes!E16/SER_hh_num!E16)</f>
        <v>22619.06433265283</v>
      </c>
      <c r="F16" s="130">
        <f>IF(SER_hh_tes!F16=0,0,11630*1000*SER_hh_tes!F16/SER_hh_num!F16)</f>
        <v>20056.532051763825</v>
      </c>
      <c r="G16" s="130">
        <f>IF(SER_hh_tes!G16=0,0,11630*1000*SER_hh_tes!G16/SER_hh_num!G16)</f>
        <v>20230.094092407984</v>
      </c>
      <c r="H16" s="130">
        <f>IF(SER_hh_tes!H16=0,0,11630*1000*SER_hh_tes!H16/SER_hh_num!H16)</f>
        <v>21172.398181427347</v>
      </c>
      <c r="I16" s="130">
        <f>IF(SER_hh_tes!I16=0,0,11630*1000*SER_hh_tes!I16/SER_hh_num!I16)</f>
        <v>21059.661451682976</v>
      </c>
      <c r="J16" s="130">
        <f>IF(SER_hh_tes!J16=0,0,11630*1000*SER_hh_tes!J16/SER_hh_num!J16)</f>
        <v>20415.156263194884</v>
      </c>
      <c r="K16" s="130">
        <f>IF(SER_hh_tes!K16=0,0,11630*1000*SER_hh_tes!K16/SER_hh_num!K16)</f>
        <v>20659.250162315588</v>
      </c>
      <c r="L16" s="130">
        <f>IF(SER_hh_tes!L16=0,0,11630*1000*SER_hh_tes!L16/SER_hh_num!L16)</f>
        <v>21380.554158169456</v>
      </c>
      <c r="M16" s="130">
        <f>IF(SER_hh_tes!M16=0,0,11630*1000*SER_hh_tes!M16/SER_hh_num!M16)</f>
        <v>21010.282498345685</v>
      </c>
      <c r="N16" s="130">
        <f>IF(SER_hh_tes!N16=0,0,11630*1000*SER_hh_tes!N16/SER_hh_num!N16)</f>
        <v>21926.704957983067</v>
      </c>
      <c r="O16" s="130">
        <f>IF(SER_hh_tes!O16=0,0,11630*1000*SER_hh_tes!O16/SER_hh_num!O16)</f>
        <v>23463.524558768175</v>
      </c>
      <c r="P16" s="130">
        <f>IF(SER_hh_tes!P16=0,0,11630*1000*SER_hh_tes!P16/SER_hh_num!P16)</f>
        <v>20839.326236751909</v>
      </c>
      <c r="Q16" s="130">
        <f>IF(SER_hh_tes!Q16=0,0,11630*1000*SER_hh_tes!Q16/SER_hh_num!Q16)</f>
        <v>24520.833148330668</v>
      </c>
      <c r="R16" s="130">
        <f>IF(SER_hh_tes!R16=0,0,11630*1000*SER_hh_tes!R16/SER_hh_num!R16)</f>
        <v>21361.313259603405</v>
      </c>
      <c r="S16" s="130">
        <f>IF(SER_hh_tes!S16=0,0,11630*1000*SER_hh_tes!S16/SER_hh_num!S16)</f>
        <v>22975.070398146872</v>
      </c>
      <c r="T16" s="130">
        <f>IF(SER_hh_tes!T16=0,0,11630*1000*SER_hh_tes!T16/SER_hh_num!T16)</f>
        <v>22730.20962447043</v>
      </c>
      <c r="U16" s="130">
        <f>IF(SER_hh_tes!U16=0,0,11630*1000*SER_hh_tes!U16/SER_hh_num!U16)</f>
        <v>23472.647620392039</v>
      </c>
      <c r="V16" s="130">
        <f>IF(SER_hh_tes!V16=0,0,11630*1000*SER_hh_tes!V16/SER_hh_num!V16)</f>
        <v>21576.726652117479</v>
      </c>
      <c r="W16" s="130">
        <f>IF(SER_hh_tes!W16=0,0,11630*1000*SER_hh_tes!W16/SER_hh_num!W16)</f>
        <v>22280.936722193979</v>
      </c>
      <c r="X16" s="130">
        <f>IF(SER_hh_tes!X16=0,0,11630*1000*SER_hh_tes!X16/SER_hh_num!X16)</f>
        <v>23002.777569077531</v>
      </c>
      <c r="Y16" s="130">
        <f>IF(SER_hh_tes!Y16=0,0,11630*1000*SER_hh_tes!Y16/SER_hh_num!Y16)</f>
        <v>23975.542302601163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20260.989364642934</v>
      </c>
      <c r="C17" s="132">
        <f>IF(SER_hh_tes!C17=0,0,11630*1000*SER_hh_tes!C17/SER_hh_num!C17)</f>
        <v>20111.645565799576</v>
      </c>
      <c r="D17" s="132">
        <f>IF(SER_hh_tes!D17=0,0,11630*1000*SER_hh_tes!D17/SER_hh_num!D17)</f>
        <v>20232.357019882085</v>
      </c>
      <c r="E17" s="132">
        <f>IF(SER_hh_tes!E17=0,0,11630*1000*SER_hh_tes!E17/SER_hh_num!E17)</f>
        <v>22619.064332652822</v>
      </c>
      <c r="F17" s="132">
        <f>IF(SER_hh_tes!F17=0,0,11630*1000*SER_hh_tes!F17/SER_hh_num!F17)</f>
        <v>20056.532051763887</v>
      </c>
      <c r="G17" s="132">
        <f>IF(SER_hh_tes!G17=0,0,11630*1000*SER_hh_tes!G17/SER_hh_num!G17)</f>
        <v>20230.094092407937</v>
      </c>
      <c r="H17" s="132">
        <f>IF(SER_hh_tes!H17=0,0,11630*1000*SER_hh_tes!H17/SER_hh_num!H17)</f>
        <v>21172.398181427245</v>
      </c>
      <c r="I17" s="132">
        <f>IF(SER_hh_tes!I17=0,0,11630*1000*SER_hh_tes!I17/SER_hh_num!I17)</f>
        <v>21059.66145168294</v>
      </c>
      <c r="J17" s="132">
        <f>IF(SER_hh_tes!J17=0,0,11630*1000*SER_hh_tes!J17/SER_hh_num!J17)</f>
        <v>20415.156263194902</v>
      </c>
      <c r="K17" s="132">
        <f>IF(SER_hh_tes!K17=0,0,11630*1000*SER_hh_tes!K17/SER_hh_num!K17)</f>
        <v>20659.250162315508</v>
      </c>
      <c r="L17" s="132">
        <f>IF(SER_hh_tes!L17=0,0,11630*1000*SER_hh_tes!L17/SER_hh_num!L17)</f>
        <v>21380.554158169551</v>
      </c>
      <c r="M17" s="132">
        <f>IF(SER_hh_tes!M17=0,0,11630*1000*SER_hh_tes!M17/SER_hh_num!M17)</f>
        <v>22591.787594868638</v>
      </c>
      <c r="N17" s="132">
        <f>IF(SER_hh_tes!N17=0,0,11630*1000*SER_hh_tes!N17/SER_hh_num!N17)</f>
        <v>21926.704957983093</v>
      </c>
      <c r="O17" s="132">
        <f>IF(SER_hh_tes!O17=0,0,11630*1000*SER_hh_tes!O17/SER_hh_num!O17)</f>
        <v>23463.524558768182</v>
      </c>
      <c r="P17" s="132">
        <f>IF(SER_hh_tes!P17=0,0,11630*1000*SER_hh_tes!P17/SER_hh_num!P17)</f>
        <v>20839.326236751909</v>
      </c>
      <c r="Q17" s="132">
        <f>IF(SER_hh_tes!Q17=0,0,11630*1000*SER_hh_tes!Q17/SER_hh_num!Q17)</f>
        <v>25618.334310220831</v>
      </c>
      <c r="R17" s="132">
        <f>IF(SER_hh_tes!R17=0,0,11630*1000*SER_hh_tes!R17/SER_hh_num!R17)</f>
        <v>21361.313259603354</v>
      </c>
      <c r="S17" s="132">
        <f>IF(SER_hh_tes!S17=0,0,11630*1000*SER_hh_tes!S17/SER_hh_num!S17)</f>
        <v>22975.070398146909</v>
      </c>
      <c r="T17" s="132">
        <f>IF(SER_hh_tes!T17=0,0,11630*1000*SER_hh_tes!T17/SER_hh_num!T17)</f>
        <v>22728.202572105049</v>
      </c>
      <c r="U17" s="132">
        <f>IF(SER_hh_tes!U17=0,0,11630*1000*SER_hh_tes!U17/SER_hh_num!U17)</f>
        <v>23472.647620392057</v>
      </c>
      <c r="V17" s="132">
        <f>IF(SER_hh_tes!V17=0,0,11630*1000*SER_hh_tes!V17/SER_hh_num!V17)</f>
        <v>20967.201477816907</v>
      </c>
      <c r="W17" s="132">
        <f>IF(SER_hh_tes!W17=0,0,11630*1000*SER_hh_tes!W17/SER_hh_num!W17)</f>
        <v>22280.936707232198</v>
      </c>
      <c r="X17" s="132">
        <f>IF(SER_hh_tes!X17=0,0,11630*1000*SER_hh_tes!X17/SER_hh_num!X17)</f>
        <v>23002.777572711482</v>
      </c>
      <c r="Y17" s="132">
        <f>IF(SER_hh_tes!Y17=0,0,11630*1000*SER_hh_tes!Y17/SER_hh_num!Y17)</f>
        <v>23975.542304332812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20260.989364642937</v>
      </c>
      <c r="C18" s="132">
        <f>IF(SER_hh_tes!C18=0,0,11630*1000*SER_hh_tes!C18/SER_hh_num!C18)</f>
        <v>20111.645565799492</v>
      </c>
      <c r="D18" s="132">
        <f>IF(SER_hh_tes!D18=0,0,11630*1000*SER_hh_tes!D18/SER_hh_num!D18)</f>
        <v>20232.357019882067</v>
      </c>
      <c r="E18" s="132">
        <f>IF(SER_hh_tes!E18=0,0,11630*1000*SER_hh_tes!E18/SER_hh_num!E18)</f>
        <v>22619.064332652833</v>
      </c>
      <c r="F18" s="132">
        <f>IF(SER_hh_tes!F18=0,0,11630*1000*SER_hh_tes!F18/SER_hh_num!F18)</f>
        <v>20056.532051763825</v>
      </c>
      <c r="G18" s="132">
        <f>IF(SER_hh_tes!G18=0,0,11630*1000*SER_hh_tes!G18/SER_hh_num!G18)</f>
        <v>20230.094092407984</v>
      </c>
      <c r="H18" s="132">
        <f>IF(SER_hh_tes!H18=0,0,11630*1000*SER_hh_tes!H18/SER_hh_num!H18)</f>
        <v>21172.398181427347</v>
      </c>
      <c r="I18" s="132">
        <f>IF(SER_hh_tes!I18=0,0,11630*1000*SER_hh_tes!I18/SER_hh_num!I18)</f>
        <v>21059.661451682972</v>
      </c>
      <c r="J18" s="132">
        <f>IF(SER_hh_tes!J18=0,0,11630*1000*SER_hh_tes!J18/SER_hh_num!J18)</f>
        <v>20415.156263194884</v>
      </c>
      <c r="K18" s="132">
        <f>IF(SER_hh_tes!K18=0,0,11630*1000*SER_hh_tes!K18/SER_hh_num!K18)</f>
        <v>20659.250162315584</v>
      </c>
      <c r="L18" s="132">
        <f>IF(SER_hh_tes!L18=0,0,11630*1000*SER_hh_tes!L18/SER_hh_num!L18)</f>
        <v>21380.554158169452</v>
      </c>
      <c r="M18" s="132">
        <f>IF(SER_hh_tes!M18=0,0,11630*1000*SER_hh_tes!M18/SER_hh_num!M18)</f>
        <v>21004.204276223722</v>
      </c>
      <c r="N18" s="132">
        <f>IF(SER_hh_tes!N18=0,0,11630*1000*SER_hh_tes!N18/SER_hh_num!N18)</f>
        <v>21926.704957983067</v>
      </c>
      <c r="O18" s="132">
        <f>IF(SER_hh_tes!O18=0,0,11630*1000*SER_hh_tes!O18/SER_hh_num!O18)</f>
        <v>23463.524558768171</v>
      </c>
      <c r="P18" s="132">
        <f>IF(SER_hh_tes!P18=0,0,11630*1000*SER_hh_tes!P18/SER_hh_num!P18)</f>
        <v>20839.326236751906</v>
      </c>
      <c r="Q18" s="132">
        <f>IF(SER_hh_tes!Q18=0,0,11630*1000*SER_hh_tes!Q18/SER_hh_num!Q18)</f>
        <v>24514.403852228148</v>
      </c>
      <c r="R18" s="132">
        <f>IF(SER_hh_tes!R18=0,0,11630*1000*SER_hh_tes!R18/SER_hh_num!R18)</f>
        <v>21361.313259603405</v>
      </c>
      <c r="S18" s="132">
        <f>IF(SER_hh_tes!S18=0,0,11630*1000*SER_hh_tes!S18/SER_hh_num!S18)</f>
        <v>22975.070398146872</v>
      </c>
      <c r="T18" s="132">
        <f>IF(SER_hh_tes!T18=0,0,11630*1000*SER_hh_tes!T18/SER_hh_num!T18)</f>
        <v>22730.22394194403</v>
      </c>
      <c r="U18" s="132">
        <f>IF(SER_hh_tes!U18=0,0,11630*1000*SER_hh_tes!U18/SER_hh_num!U18)</f>
        <v>23472.647620392039</v>
      </c>
      <c r="V18" s="132">
        <f>IF(SER_hh_tes!V18=0,0,11630*1000*SER_hh_tes!V18/SER_hh_num!V18)</f>
        <v>21581.722859292378</v>
      </c>
      <c r="W18" s="132">
        <f>IF(SER_hh_tes!W18=0,0,11630*1000*SER_hh_tes!W18/SER_hh_num!W18)</f>
        <v>22280.936722317012</v>
      </c>
      <c r="X18" s="132">
        <f>IF(SER_hh_tes!X18=0,0,11630*1000*SER_hh_tes!X18/SER_hh_num!X18)</f>
        <v>23002.777569046579</v>
      </c>
      <c r="Y18" s="132">
        <f>IF(SER_hh_tes!Y18=0,0,11630*1000*SER_hh_tes!Y18/SER_hh_num!Y18)</f>
        <v>23975.542302585927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13732.895561159892</v>
      </c>
      <c r="C19" s="130">
        <f>IF(SER_hh_tes!C19=0,0,11630*1000*SER_hh_tes!C19/SER_hh_num!C19)</f>
        <v>13895.930626527883</v>
      </c>
      <c r="D19" s="130">
        <f>IF(SER_hh_tes!D19=0,0,11630*1000*SER_hh_tes!D19/SER_hh_num!D19)</f>
        <v>13883.61968776846</v>
      </c>
      <c r="E19" s="130">
        <f>IF(SER_hh_tes!E19=0,0,11630*1000*SER_hh_tes!E19/SER_hh_num!E19)</f>
        <v>14043.477586642606</v>
      </c>
      <c r="F19" s="130">
        <f>IF(SER_hh_tes!F19=0,0,11630*1000*SER_hh_tes!F19/SER_hh_num!F19)</f>
        <v>14023.340394278866</v>
      </c>
      <c r="G19" s="130">
        <f>IF(SER_hh_tes!G19=0,0,11630*1000*SER_hh_tes!G19/SER_hh_num!G19)</f>
        <v>14334.912265062412</v>
      </c>
      <c r="H19" s="130">
        <f>IF(SER_hh_tes!H19=0,0,11630*1000*SER_hh_tes!H19/SER_hh_num!H19)</f>
        <v>14288.363203954139</v>
      </c>
      <c r="I19" s="130">
        <f>IF(SER_hh_tes!I19=0,0,11630*1000*SER_hh_tes!I19/SER_hh_num!I19)</f>
        <v>14499.267287695458</v>
      </c>
      <c r="J19" s="130">
        <f>IF(SER_hh_tes!J19=0,0,11630*1000*SER_hh_tes!J19/SER_hh_num!J19)</f>
        <v>14570.627171184062</v>
      </c>
      <c r="K19" s="130">
        <f>IF(SER_hh_tes!K19=0,0,11630*1000*SER_hh_tes!K19/SER_hh_num!K19)</f>
        <v>15204.614676251971</v>
      </c>
      <c r="L19" s="130">
        <f>IF(SER_hh_tes!L19=0,0,11630*1000*SER_hh_tes!L19/SER_hh_num!L19)</f>
        <v>15228.368048085407</v>
      </c>
      <c r="M19" s="130">
        <f>IF(SER_hh_tes!M19=0,0,11630*1000*SER_hh_tes!M19/SER_hh_num!M19)</f>
        <v>15474.99683488709</v>
      </c>
      <c r="N19" s="130">
        <f>IF(SER_hh_tes!N19=0,0,11630*1000*SER_hh_tes!N19/SER_hh_num!N19)</f>
        <v>15428.297019719455</v>
      </c>
      <c r="O19" s="130">
        <f>IF(SER_hh_tes!O19=0,0,11630*1000*SER_hh_tes!O19/SER_hh_num!O19)</f>
        <v>15539.553019163071</v>
      </c>
      <c r="P19" s="130">
        <f>IF(SER_hh_tes!P19=0,0,11630*1000*SER_hh_tes!P19/SER_hh_num!P19)</f>
        <v>15936.355930940341</v>
      </c>
      <c r="Q19" s="130">
        <f>IF(SER_hh_tes!Q19=0,0,11630*1000*SER_hh_tes!Q19/SER_hh_num!Q19)</f>
        <v>15787.893479365681</v>
      </c>
      <c r="R19" s="130">
        <f>IF(SER_hh_tes!R19=0,0,11630*1000*SER_hh_tes!R19/SER_hh_num!R19)</f>
        <v>15755.987900584201</v>
      </c>
      <c r="S19" s="130">
        <f>IF(SER_hh_tes!S19=0,0,11630*1000*SER_hh_tes!S19/SER_hh_num!S19)</f>
        <v>15696.719551985765</v>
      </c>
      <c r="T19" s="130">
        <f>IF(SER_hh_tes!T19=0,0,11630*1000*SER_hh_tes!T19/SER_hh_num!T19)</f>
        <v>15534.745518955795</v>
      </c>
      <c r="U19" s="130">
        <f>IF(SER_hh_tes!U19=0,0,11630*1000*SER_hh_tes!U19/SER_hh_num!U19)</f>
        <v>15211.86398681167</v>
      </c>
      <c r="V19" s="130">
        <f>IF(SER_hh_tes!V19=0,0,11630*1000*SER_hh_tes!V19/SER_hh_num!V19)</f>
        <v>14701.318491408916</v>
      </c>
      <c r="W19" s="130">
        <f>IF(SER_hh_tes!W19=0,0,11630*1000*SER_hh_tes!W19/SER_hh_num!W19)</f>
        <v>14451.81408142339</v>
      </c>
      <c r="X19" s="130">
        <f>IF(SER_hh_tes!X19=0,0,11630*1000*SER_hh_tes!X19/SER_hh_num!X19)</f>
        <v>14761.095648875214</v>
      </c>
      <c r="Y19" s="130">
        <f>IF(SER_hh_tes!Y19=0,0,11630*1000*SER_hh_tes!Y19/SER_hh_num!Y19)</f>
        <v>14928.519027648377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12406.373868824023</v>
      </c>
      <c r="C21" s="132">
        <f>IF(SER_hh_tes!C21=0,0,11630*1000*SER_hh_tes!C21/SER_hh_num!C21)</f>
        <v>13482.486026921195</v>
      </c>
      <c r="D21" s="132">
        <f>IF(SER_hh_tes!D21=0,0,11630*1000*SER_hh_tes!D21/SER_hh_num!D21)</f>
        <v>13104.57636875846</v>
      </c>
      <c r="E21" s="132">
        <f>IF(SER_hh_tes!E21=0,0,11630*1000*SER_hh_tes!E21/SER_hh_num!E21)</f>
        <v>13377.269599479521</v>
      </c>
      <c r="F21" s="132">
        <f>IF(SER_hh_tes!F21=0,0,11630*1000*SER_hh_tes!F21/SER_hh_num!F21)</f>
        <v>13455.204191077151</v>
      </c>
      <c r="G21" s="132">
        <f>IF(SER_hh_tes!G21=0,0,11630*1000*SER_hh_tes!G21/SER_hh_num!G21)</f>
        <v>13624.283923605171</v>
      </c>
      <c r="H21" s="132">
        <f>IF(SER_hh_tes!H21=0,0,11630*1000*SER_hh_tes!H21/SER_hh_num!H21)</f>
        <v>13873.660202365514</v>
      </c>
      <c r="I21" s="132">
        <f>IF(SER_hh_tes!I21=0,0,11630*1000*SER_hh_tes!I21/SER_hh_num!I21)</f>
        <v>14173.326944360251</v>
      </c>
      <c r="J21" s="132">
        <f>IF(SER_hh_tes!J21=0,0,11630*1000*SER_hh_tes!J21/SER_hh_num!J21)</f>
        <v>14414.463425336198</v>
      </c>
      <c r="K21" s="132">
        <f>IF(SER_hh_tes!K21=0,0,11630*1000*SER_hh_tes!K21/SER_hh_num!K21)</f>
        <v>15205.589929012129</v>
      </c>
      <c r="L21" s="132">
        <f>IF(SER_hh_tes!L21=0,0,11630*1000*SER_hh_tes!L21/SER_hh_num!L21)</f>
        <v>14131.448218827616</v>
      </c>
      <c r="M21" s="132">
        <f>IF(SER_hh_tes!M21=0,0,11630*1000*SER_hh_tes!M21/SER_hh_num!M21)</f>
        <v>15608.308212573593</v>
      </c>
      <c r="N21" s="132">
        <f>IF(SER_hh_tes!N21=0,0,11630*1000*SER_hh_tes!N21/SER_hh_num!N21)</f>
        <v>0</v>
      </c>
      <c r="O21" s="132">
        <f>IF(SER_hh_tes!O21=0,0,11630*1000*SER_hh_tes!O21/SER_hh_num!O21)</f>
        <v>0</v>
      </c>
      <c r="P21" s="132">
        <f>IF(SER_hh_tes!P21=0,0,11630*1000*SER_hh_tes!P21/SER_hh_num!P21)</f>
        <v>0</v>
      </c>
      <c r="Q21" s="132">
        <f>IF(SER_hh_tes!Q21=0,0,11630*1000*SER_hh_tes!Q21/SER_hh_num!Q21)</f>
        <v>0</v>
      </c>
      <c r="R21" s="132">
        <f>IF(SER_hh_tes!R21=0,0,11630*1000*SER_hh_tes!R21/SER_hh_num!R21)</f>
        <v>0</v>
      </c>
      <c r="S21" s="132">
        <f>IF(SER_hh_tes!S21=0,0,11630*1000*SER_hh_tes!S21/SER_hh_num!S21)</f>
        <v>0</v>
      </c>
      <c r="T21" s="132">
        <f>IF(SER_hh_tes!T21=0,0,11630*1000*SER_hh_tes!T21/SER_hh_num!T21)</f>
        <v>0</v>
      </c>
      <c r="U21" s="132">
        <f>IF(SER_hh_tes!U21=0,0,11630*1000*SER_hh_tes!U21/SER_hh_num!U21)</f>
        <v>0</v>
      </c>
      <c r="V21" s="132">
        <f>IF(SER_hh_tes!V21=0,0,11630*1000*SER_hh_tes!V21/SER_hh_num!V21)</f>
        <v>0</v>
      </c>
      <c r="W21" s="132">
        <f>IF(SER_hh_tes!W21=0,0,11630*1000*SER_hh_tes!W21/SER_hh_num!W21)</f>
        <v>0</v>
      </c>
      <c r="X21" s="132">
        <f>IF(SER_hh_tes!X21=0,0,11630*1000*SER_hh_tes!X21/SER_hh_num!X21)</f>
        <v>0</v>
      </c>
      <c r="Y21" s="132">
        <f>IF(SER_hh_tes!Y21=0,0,11630*1000*SER_hh_tes!Y21/SER_hh_num!Y21)</f>
        <v>0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13152.480882527785</v>
      </c>
      <c r="C22" s="132">
        <f>IF(SER_hh_tes!C22=0,0,11630*1000*SER_hh_tes!C22/SER_hh_num!C22)</f>
        <v>13139.239986527333</v>
      </c>
      <c r="D22" s="132">
        <f>IF(SER_hh_tes!D22=0,0,11630*1000*SER_hh_tes!D22/SER_hh_num!D22)</f>
        <v>13136.406047216225</v>
      </c>
      <c r="E22" s="132">
        <f>IF(SER_hh_tes!E22=0,0,11630*1000*SER_hh_tes!E22/SER_hh_num!E22)</f>
        <v>13290.429725316631</v>
      </c>
      <c r="F22" s="132">
        <f>IF(SER_hh_tes!F22=0,0,11630*1000*SER_hh_tes!F22/SER_hh_num!F22)</f>
        <v>13563.304218774843</v>
      </c>
      <c r="G22" s="132">
        <f>IF(SER_hh_tes!G22=0,0,11630*1000*SER_hh_tes!G22/SER_hh_num!G22)</f>
        <v>13559.812694661287</v>
      </c>
      <c r="H22" s="132">
        <f>IF(SER_hh_tes!H22=0,0,11630*1000*SER_hh_tes!H22/SER_hh_num!H22)</f>
        <v>13578.29283671319</v>
      </c>
      <c r="I22" s="132">
        <f>IF(SER_hh_tes!I22=0,0,11630*1000*SER_hh_tes!I22/SER_hh_num!I22)</f>
        <v>13995.238871097859</v>
      </c>
      <c r="J22" s="132">
        <f>IF(SER_hh_tes!J22=0,0,11630*1000*SER_hh_tes!J22/SER_hh_num!J22)</f>
        <v>13681.316496343388</v>
      </c>
      <c r="K22" s="132">
        <f>IF(SER_hh_tes!K22=0,0,11630*1000*SER_hh_tes!K22/SER_hh_num!K22)</f>
        <v>14482.370991285938</v>
      </c>
      <c r="L22" s="132">
        <f>IF(SER_hh_tes!L22=0,0,11630*1000*SER_hh_tes!L22/SER_hh_num!L22)</f>
        <v>13452.404811941235</v>
      </c>
      <c r="M22" s="132">
        <f>IF(SER_hh_tes!M22=0,0,11630*1000*SER_hh_tes!M22/SER_hh_num!M22)</f>
        <v>13867.799540064705</v>
      </c>
      <c r="N22" s="132">
        <f>IF(SER_hh_tes!N22=0,0,11630*1000*SER_hh_tes!N22/SER_hh_num!N22)</f>
        <v>13059.906451810593</v>
      </c>
      <c r="O22" s="132">
        <f>IF(SER_hh_tes!O22=0,0,11630*1000*SER_hh_tes!O22/SER_hh_num!O22)</f>
        <v>13919.179911854235</v>
      </c>
      <c r="P22" s="132">
        <f>IF(SER_hh_tes!P22=0,0,11630*1000*SER_hh_tes!P22/SER_hh_num!P22)</f>
        <v>14040.601618899858</v>
      </c>
      <c r="Q22" s="132">
        <f>IF(SER_hh_tes!Q22=0,0,11630*1000*SER_hh_tes!Q22/SER_hh_num!Q22)</f>
        <v>14086.179760967105</v>
      </c>
      <c r="R22" s="132">
        <f>IF(SER_hh_tes!R22=0,0,11630*1000*SER_hh_tes!R22/SER_hh_num!R22)</f>
        <v>14204.254733218602</v>
      </c>
      <c r="S22" s="132">
        <f>IF(SER_hh_tes!S22=0,0,11630*1000*SER_hh_tes!S22/SER_hh_num!S22)</f>
        <v>14368.545865535598</v>
      </c>
      <c r="T22" s="132">
        <f>IF(SER_hh_tes!T22=0,0,11630*1000*SER_hh_tes!T22/SER_hh_num!T22)</f>
        <v>13911.083892954963</v>
      </c>
      <c r="U22" s="132">
        <f>IF(SER_hh_tes!U22=0,0,11630*1000*SER_hh_tes!U22/SER_hh_num!U22)</f>
        <v>13594.076886516606</v>
      </c>
      <c r="V22" s="132">
        <f>IF(SER_hh_tes!V22=0,0,11630*1000*SER_hh_tes!V22/SER_hh_num!V22)</f>
        <v>12305.145221437595</v>
      </c>
      <c r="W22" s="132">
        <f>IF(SER_hh_tes!W22=0,0,11630*1000*SER_hh_tes!W22/SER_hh_num!W22)</f>
        <v>12987.32125868681</v>
      </c>
      <c r="X22" s="132">
        <f>IF(SER_hh_tes!X22=0,0,11630*1000*SER_hh_tes!X22/SER_hh_num!X22)</f>
        <v>13233.032530914583</v>
      </c>
      <c r="Y22" s="132">
        <f>IF(SER_hh_tes!Y22=0,0,11630*1000*SER_hh_tes!Y22/SER_hh_num!Y22)</f>
        <v>13696.916945314328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13038.57979521501</v>
      </c>
      <c r="C23" s="132">
        <f>IF(SER_hh_tes!C23=0,0,11630*1000*SER_hh_tes!C23/SER_hh_num!C23)</f>
        <v>13116.099956516387</v>
      </c>
      <c r="D23" s="132">
        <f>IF(SER_hh_tes!D23=0,0,11630*1000*SER_hh_tes!D23/SER_hh_num!D23)</f>
        <v>13137.273935453477</v>
      </c>
      <c r="E23" s="132">
        <f>IF(SER_hh_tes!E23=0,0,11630*1000*SER_hh_tes!E23/SER_hh_num!E23)</f>
        <v>13143.831117449925</v>
      </c>
      <c r="F23" s="132">
        <f>IF(SER_hh_tes!F23=0,0,11630*1000*SER_hh_tes!F23/SER_hh_num!F23)</f>
        <v>13270.854448144097</v>
      </c>
      <c r="G23" s="132">
        <f>IF(SER_hh_tes!G23=0,0,11630*1000*SER_hh_tes!G23/SER_hh_num!G23)</f>
        <v>13507.363873706119</v>
      </c>
      <c r="H23" s="132">
        <f>IF(SER_hh_tes!H23=0,0,11630*1000*SER_hh_tes!H23/SER_hh_num!H23)</f>
        <v>13744.148857472743</v>
      </c>
      <c r="I23" s="132">
        <f>IF(SER_hh_tes!I23=0,0,11630*1000*SER_hh_tes!I23/SER_hh_num!I23)</f>
        <v>13855.449818618907</v>
      </c>
      <c r="J23" s="132">
        <f>IF(SER_hh_tes!J23=0,0,11630*1000*SER_hh_tes!J23/SER_hh_num!J23)</f>
        <v>13874.106151824164</v>
      </c>
      <c r="K23" s="132">
        <f>IF(SER_hh_tes!K23=0,0,11630*1000*SER_hh_tes!K23/SER_hh_num!K23)</f>
        <v>14094.380496822743</v>
      </c>
      <c r="L23" s="132">
        <f>IF(SER_hh_tes!L23=0,0,11630*1000*SER_hh_tes!L23/SER_hh_num!L23)</f>
        <v>13767.565439532686</v>
      </c>
      <c r="M23" s="132">
        <f>IF(SER_hh_tes!M23=0,0,11630*1000*SER_hh_tes!M23/SER_hh_num!M23)</f>
        <v>13598.815915042553</v>
      </c>
      <c r="N23" s="132">
        <f>IF(SER_hh_tes!N23=0,0,11630*1000*SER_hh_tes!N23/SER_hh_num!N23)</f>
        <v>13640.033067210028</v>
      </c>
      <c r="O23" s="132">
        <f>IF(SER_hh_tes!O23=0,0,11630*1000*SER_hh_tes!O23/SER_hh_num!O23)</f>
        <v>14061.600127630809</v>
      </c>
      <c r="P23" s="132">
        <f>IF(SER_hh_tes!P23=0,0,11630*1000*SER_hh_tes!P23/SER_hh_num!P23)</f>
        <v>14100.788433303625</v>
      </c>
      <c r="Q23" s="132">
        <f>IF(SER_hh_tes!Q23=0,0,11630*1000*SER_hh_tes!Q23/SER_hh_num!Q23)</f>
        <v>14507.195273397274</v>
      </c>
      <c r="R23" s="132">
        <f>IF(SER_hh_tes!R23=0,0,11630*1000*SER_hh_tes!R23/SER_hh_num!R23)</f>
        <v>14496.978573188349</v>
      </c>
      <c r="S23" s="132">
        <f>IF(SER_hh_tes!S23=0,0,11630*1000*SER_hh_tes!S23/SER_hh_num!S23)</f>
        <v>14172.571755202813</v>
      </c>
      <c r="T23" s="132">
        <f>IF(SER_hh_tes!T23=0,0,11630*1000*SER_hh_tes!T23/SER_hh_num!T23)</f>
        <v>13833.542385455616</v>
      </c>
      <c r="U23" s="132">
        <f>IF(SER_hh_tes!U23=0,0,11630*1000*SER_hh_tes!U23/SER_hh_num!U23)</f>
        <v>13396.557308289339</v>
      </c>
      <c r="V23" s="132">
        <f>IF(SER_hh_tes!V23=0,0,11630*1000*SER_hh_tes!V23/SER_hh_num!V23)</f>
        <v>12350.300388173928</v>
      </c>
      <c r="W23" s="132">
        <f>IF(SER_hh_tes!W23=0,0,11630*1000*SER_hh_tes!W23/SER_hh_num!W23)</f>
        <v>12768.278741763152</v>
      </c>
      <c r="X23" s="132">
        <f>IF(SER_hh_tes!X23=0,0,11630*1000*SER_hh_tes!X23/SER_hh_num!X23)</f>
        <v>13416.172755886084</v>
      </c>
      <c r="Y23" s="132">
        <f>IF(SER_hh_tes!Y23=0,0,11630*1000*SER_hh_tes!Y23/SER_hh_num!Y23)</f>
        <v>13745.389721500742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13081.886015482134</v>
      </c>
      <c r="C24" s="132">
        <f>IF(SER_hh_tes!C24=0,0,11630*1000*SER_hh_tes!C24/SER_hh_num!C24)</f>
        <v>13109.907606247794</v>
      </c>
      <c r="D24" s="132">
        <f>IF(SER_hh_tes!D24=0,0,11630*1000*SER_hh_tes!D24/SER_hh_num!D24)</f>
        <v>13144.131794218003</v>
      </c>
      <c r="E24" s="132">
        <f>IF(SER_hh_tes!E24=0,0,11630*1000*SER_hh_tes!E24/SER_hh_num!E24)</f>
        <v>13152.241976097075</v>
      </c>
      <c r="F24" s="132">
        <f>IF(SER_hh_tes!F24=0,0,11630*1000*SER_hh_tes!F24/SER_hh_num!F24)</f>
        <v>13285.666804000904</v>
      </c>
      <c r="G24" s="132">
        <f>IF(SER_hh_tes!G24=0,0,11630*1000*SER_hh_tes!G24/SER_hh_num!G24)</f>
        <v>13494.911519453542</v>
      </c>
      <c r="H24" s="132">
        <f>IF(SER_hh_tes!H24=0,0,11630*1000*SER_hh_tes!H24/SER_hh_num!H24)</f>
        <v>13785.850075994258</v>
      </c>
      <c r="I24" s="132">
        <f>IF(SER_hh_tes!I24=0,0,11630*1000*SER_hh_tes!I24/SER_hh_num!I24)</f>
        <v>13778.457205344494</v>
      </c>
      <c r="J24" s="132">
        <f>IF(SER_hh_tes!J24=0,0,11630*1000*SER_hh_tes!J24/SER_hh_num!J24)</f>
        <v>13776.138981773427</v>
      </c>
      <c r="K24" s="132">
        <f>IF(SER_hh_tes!K24=0,0,11630*1000*SER_hh_tes!K24/SER_hh_num!K24)</f>
        <v>14060.27376692942</v>
      </c>
      <c r="L24" s="132">
        <f>IF(SER_hh_tes!L24=0,0,11630*1000*SER_hh_tes!L24/SER_hh_num!L24)</f>
        <v>13727.231972176838</v>
      </c>
      <c r="M24" s="132">
        <f>IF(SER_hh_tes!M24=0,0,11630*1000*SER_hh_tes!M24/SER_hh_num!M24)</f>
        <v>13655.093268999772</v>
      </c>
      <c r="N24" s="132">
        <f>IF(SER_hh_tes!N24=0,0,11630*1000*SER_hh_tes!N24/SER_hh_num!N24)</f>
        <v>13654.20714960877</v>
      </c>
      <c r="O24" s="132">
        <f>IF(SER_hh_tes!O24=0,0,11630*1000*SER_hh_tes!O24/SER_hh_num!O24)</f>
        <v>13973.203245180701</v>
      </c>
      <c r="P24" s="132">
        <f>IF(SER_hh_tes!P24=0,0,11630*1000*SER_hh_tes!P24/SER_hh_num!P24)</f>
        <v>14200.751238546449</v>
      </c>
      <c r="Q24" s="132">
        <f>IF(SER_hh_tes!Q24=0,0,11630*1000*SER_hh_tes!Q24/SER_hh_num!Q24)</f>
        <v>14543.182934045073</v>
      </c>
      <c r="R24" s="132">
        <f>IF(SER_hh_tes!R24=0,0,11630*1000*SER_hh_tes!R24/SER_hh_num!R24)</f>
        <v>14401.303178241455</v>
      </c>
      <c r="S24" s="132">
        <f>IF(SER_hh_tes!S24=0,0,11630*1000*SER_hh_tes!S24/SER_hh_num!S24)</f>
        <v>14158.956995616456</v>
      </c>
      <c r="T24" s="132">
        <f>IF(SER_hh_tes!T24=0,0,11630*1000*SER_hh_tes!T24/SER_hh_num!T24)</f>
        <v>13779.476212989706</v>
      </c>
      <c r="U24" s="132">
        <f>IF(SER_hh_tes!U24=0,0,11630*1000*SER_hh_tes!U24/SER_hh_num!U24)</f>
        <v>13677.204585105208</v>
      </c>
      <c r="V24" s="132">
        <f>IF(SER_hh_tes!V24=0,0,11630*1000*SER_hh_tes!V24/SER_hh_num!V24)</f>
        <v>12366.674255395841</v>
      </c>
      <c r="W24" s="132">
        <f>IF(SER_hh_tes!W24=0,0,11630*1000*SER_hh_tes!W24/SER_hh_num!W24)</f>
        <v>12724.583474741477</v>
      </c>
      <c r="X24" s="132">
        <f>IF(SER_hh_tes!X24=0,0,11630*1000*SER_hh_tes!X24/SER_hh_num!X24)</f>
        <v>13423.521318907884</v>
      </c>
      <c r="Y24" s="132">
        <f>IF(SER_hh_tes!Y24=0,0,11630*1000*SER_hh_tes!Y24/SER_hh_num!Y24)</f>
        <v>13674.027115763092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13093.73011304483</v>
      </c>
      <c r="C25" s="132">
        <f>IF(SER_hh_tes!C25=0,0,11630*1000*SER_hh_tes!C25/SER_hh_num!C25)</f>
        <v>13115.276997701107</v>
      </c>
      <c r="D25" s="132">
        <f>IF(SER_hh_tes!D25=0,0,11630*1000*SER_hh_tes!D25/SER_hh_num!D25)</f>
        <v>13300.517654833913</v>
      </c>
      <c r="E25" s="132">
        <f>IF(SER_hh_tes!E25=0,0,11630*1000*SER_hh_tes!E25/SER_hh_num!E25)</f>
        <v>13135.184124610274</v>
      </c>
      <c r="F25" s="132">
        <f>IF(SER_hh_tes!F25=0,0,11630*1000*SER_hh_tes!F25/SER_hh_num!F25)</f>
        <v>13014.87145286327</v>
      </c>
      <c r="G25" s="132">
        <f>IF(SER_hh_tes!G25=0,0,11630*1000*SER_hh_tes!G25/SER_hh_num!G25)</f>
        <v>12717.678127656067</v>
      </c>
      <c r="H25" s="132">
        <f>IF(SER_hh_tes!H25=0,0,11630*1000*SER_hh_tes!H25/SER_hh_num!H25)</f>
        <v>13489.078740361583</v>
      </c>
      <c r="I25" s="132">
        <f>IF(SER_hh_tes!I25=0,0,11630*1000*SER_hh_tes!I25/SER_hh_num!I25)</f>
        <v>13949.082459464911</v>
      </c>
      <c r="J25" s="132">
        <f>IF(SER_hh_tes!J25=0,0,11630*1000*SER_hh_tes!J25/SER_hh_num!J25)</f>
        <v>13733.689656001297</v>
      </c>
      <c r="K25" s="132">
        <f>IF(SER_hh_tes!K25=0,0,11630*1000*SER_hh_tes!K25/SER_hh_num!K25)</f>
        <v>14252.460616016811</v>
      </c>
      <c r="L25" s="132">
        <f>IF(SER_hh_tes!L25=0,0,11630*1000*SER_hh_tes!L25/SER_hh_num!L25)</f>
        <v>14123.308470213446</v>
      </c>
      <c r="M25" s="132">
        <f>IF(SER_hh_tes!M25=0,0,11630*1000*SER_hh_tes!M25/SER_hh_num!M25)</f>
        <v>13623.561208319319</v>
      </c>
      <c r="N25" s="132">
        <f>IF(SER_hh_tes!N25=0,0,11630*1000*SER_hh_tes!N25/SER_hh_num!N25)</f>
        <v>13704.505782075634</v>
      </c>
      <c r="O25" s="132">
        <f>IF(SER_hh_tes!O25=0,0,11630*1000*SER_hh_tes!O25/SER_hh_num!O25)</f>
        <v>13898.401296931612</v>
      </c>
      <c r="P25" s="132">
        <f>IF(SER_hh_tes!P25=0,0,11630*1000*SER_hh_tes!P25/SER_hh_num!P25)</f>
        <v>14319.248868556615</v>
      </c>
      <c r="Q25" s="132">
        <f>IF(SER_hh_tes!Q25=0,0,11630*1000*SER_hh_tes!Q25/SER_hh_num!Q25)</f>
        <v>14554.446254544804</v>
      </c>
      <c r="R25" s="132">
        <f>IF(SER_hh_tes!R25=0,0,11630*1000*SER_hh_tes!R25/SER_hh_num!R25)</f>
        <v>14463.866919169794</v>
      </c>
      <c r="S25" s="132">
        <f>IF(SER_hh_tes!S25=0,0,11630*1000*SER_hh_tes!S25/SER_hh_num!S25)</f>
        <v>14041.973561626022</v>
      </c>
      <c r="T25" s="132">
        <f>IF(SER_hh_tes!T25=0,0,11630*1000*SER_hh_tes!T25/SER_hh_num!T25)</f>
        <v>13730.343728092255</v>
      </c>
      <c r="U25" s="132">
        <f>IF(SER_hh_tes!U25=0,0,11630*1000*SER_hh_tes!U25/SER_hh_num!U25)</f>
        <v>13692.829575824144</v>
      </c>
      <c r="V25" s="132">
        <f>IF(SER_hh_tes!V25=0,0,11630*1000*SER_hh_tes!V25/SER_hh_num!V25)</f>
        <v>13265.737704177216</v>
      </c>
      <c r="W25" s="132">
        <f>IF(SER_hh_tes!W25=0,0,11630*1000*SER_hh_tes!W25/SER_hh_num!W25)</f>
        <v>13822.697367677338</v>
      </c>
      <c r="X25" s="132">
        <f>IF(SER_hh_tes!X25=0,0,11630*1000*SER_hh_tes!X25/SER_hh_num!X25)</f>
        <v>13526.515420720951</v>
      </c>
      <c r="Y25" s="132">
        <f>IF(SER_hh_tes!Y25=0,0,11630*1000*SER_hh_tes!Y25/SER_hh_num!Y25)</f>
        <v>13203.335514887222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9003.5882341063843</v>
      </c>
      <c r="C26" s="65">
        <f>IF(SER_hh_tes!C26=0,0,11630*1000*SER_hh_tes!C26/SER_hh_num!C26)</f>
        <v>9094.5231097598607</v>
      </c>
      <c r="D26" s="65">
        <f>IF(SER_hh_tes!D26=0,0,11630*1000*SER_hh_tes!D26/SER_hh_num!D26)</f>
        <v>8980.5253154202292</v>
      </c>
      <c r="E26" s="65">
        <f>IF(SER_hh_tes!E26=0,0,11630*1000*SER_hh_tes!E26/SER_hh_num!E26)</f>
        <v>8324.3578743118342</v>
      </c>
      <c r="F26" s="65">
        <f>IF(SER_hh_tes!F26=0,0,11630*1000*SER_hh_tes!F26/SER_hh_num!F26)</f>
        <v>8116.4382601722755</v>
      </c>
      <c r="G26" s="65">
        <f>IF(SER_hh_tes!G26=0,0,11630*1000*SER_hh_tes!G26/SER_hh_num!G26)</f>
        <v>9912.2156155727571</v>
      </c>
      <c r="H26" s="65">
        <f>IF(SER_hh_tes!H26=0,0,11630*1000*SER_hh_tes!H26/SER_hh_num!H26)</f>
        <v>10702.60302183611</v>
      </c>
      <c r="I26" s="65">
        <f>IF(SER_hh_tes!I26=0,0,11630*1000*SER_hh_tes!I26/SER_hh_num!I26)</f>
        <v>9739.930232079214</v>
      </c>
      <c r="J26" s="65">
        <f>IF(SER_hh_tes!J26=0,0,11630*1000*SER_hh_tes!J26/SER_hh_num!J26)</f>
        <v>8178.186606997675</v>
      </c>
      <c r="K26" s="65">
        <f>IF(SER_hh_tes!K26=0,0,11630*1000*SER_hh_tes!K26/SER_hh_num!K26)</f>
        <v>12189.216535915402</v>
      </c>
      <c r="L26" s="65">
        <f>IF(SER_hh_tes!L26=0,0,11630*1000*SER_hh_tes!L26/SER_hh_num!L26)</f>
        <v>6558.2876235335025</v>
      </c>
      <c r="M26" s="65">
        <f>IF(SER_hh_tes!M26=0,0,11630*1000*SER_hh_tes!M26/SER_hh_num!M26)</f>
        <v>6211.6851262534965</v>
      </c>
      <c r="N26" s="65">
        <f>IF(SER_hh_tes!N26=0,0,11630*1000*SER_hh_tes!N26/SER_hh_num!N26)</f>
        <v>6026.7199788691651</v>
      </c>
      <c r="O26" s="65">
        <f>IF(SER_hh_tes!O26=0,0,11630*1000*SER_hh_tes!O26/SER_hh_num!O26)</f>
        <v>7603.7886166655935</v>
      </c>
      <c r="P26" s="65">
        <f>IF(SER_hh_tes!P26=0,0,11630*1000*SER_hh_tes!P26/SER_hh_num!P26)</f>
        <v>7126.0122688325309</v>
      </c>
      <c r="Q26" s="65">
        <f>IF(SER_hh_tes!Q26=0,0,11630*1000*SER_hh_tes!Q26/SER_hh_num!Q26)</f>
        <v>8204.8030754119391</v>
      </c>
      <c r="R26" s="65">
        <f>IF(SER_hh_tes!R26=0,0,11630*1000*SER_hh_tes!R26/SER_hh_num!R26)</f>
        <v>9125.6864695522072</v>
      </c>
      <c r="S26" s="65">
        <f>IF(SER_hh_tes!S26=0,0,11630*1000*SER_hh_tes!S26/SER_hh_num!S26)</f>
        <v>8090.6348394726256</v>
      </c>
      <c r="T26" s="65">
        <f>IF(SER_hh_tes!T26=0,0,11630*1000*SER_hh_tes!T26/SER_hh_num!T26)</f>
        <v>6487.8034921178978</v>
      </c>
      <c r="U26" s="65">
        <f>IF(SER_hh_tes!U26=0,0,11630*1000*SER_hh_tes!U26/SER_hh_num!U26)</f>
        <v>6595.5897438664788</v>
      </c>
      <c r="V26" s="65">
        <f>IF(SER_hh_tes!V26=0,0,11630*1000*SER_hh_tes!V26/SER_hh_num!V26)</f>
        <v>5487.5173754411226</v>
      </c>
      <c r="W26" s="65">
        <f>IF(SER_hh_tes!W26=0,0,11630*1000*SER_hh_tes!W26/SER_hh_num!W26)</f>
        <v>6620.2910247088112</v>
      </c>
      <c r="X26" s="65">
        <f>IF(SER_hh_tes!X26=0,0,11630*1000*SER_hh_tes!X26/SER_hh_num!X26)</f>
        <v>6189.2041726597572</v>
      </c>
      <c r="Y26" s="65">
        <f>IF(SER_hh_tes!Y26=0,0,11630*1000*SER_hh_tes!Y26/SER_hh_num!Y26)</f>
        <v>7635.6888325699456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2020.7470637351228</v>
      </c>
      <c r="C27" s="145">
        <f>IF(SER_hh_tes!C27=0,0,11630*1000*SER_hh_tes!C27/SER_hh_num!C19)</f>
        <v>2092.6498437861705</v>
      </c>
      <c r="D27" s="145">
        <f>IF(SER_hh_tes!D27=0,0,11630*1000*SER_hh_tes!D27/SER_hh_num!D19)</f>
        <v>2102.8822005040315</v>
      </c>
      <c r="E27" s="145">
        <f>IF(SER_hh_tes!E27=0,0,11630*1000*SER_hh_tes!E27/SER_hh_num!E19)</f>
        <v>2507.538047342262</v>
      </c>
      <c r="F27" s="145">
        <f>IF(SER_hh_tes!F27=0,0,11630*1000*SER_hh_tes!F27/SER_hh_num!F19)</f>
        <v>2578.16828278194</v>
      </c>
      <c r="G27" s="145">
        <f>IF(SER_hh_tes!G27=0,0,11630*1000*SER_hh_tes!G27/SER_hh_num!G19)</f>
        <v>2348.5641220518555</v>
      </c>
      <c r="H27" s="145">
        <f>IF(SER_hh_tes!H27=0,0,11630*1000*SER_hh_tes!H27/SER_hh_num!H19)</f>
        <v>1753.3538894536407</v>
      </c>
      <c r="I27" s="145">
        <f>IF(SER_hh_tes!I27=0,0,11630*1000*SER_hh_tes!I27/SER_hh_num!I19)</f>
        <v>2057.9841141866332</v>
      </c>
      <c r="J27" s="145">
        <f>IF(SER_hh_tes!J27=0,0,11630*1000*SER_hh_tes!J27/SER_hh_num!J19)</f>
        <v>2713.6335173193615</v>
      </c>
      <c r="K27" s="145">
        <f>IF(SER_hh_tes!K27=0,0,11630*1000*SER_hh_tes!K27/SER_hh_num!K19)</f>
        <v>1536.7313656548718</v>
      </c>
      <c r="L27" s="145">
        <f>IF(SER_hh_tes!L27=0,0,11630*1000*SER_hh_tes!L27/SER_hh_num!L19)</f>
        <v>3528.2329908467823</v>
      </c>
      <c r="M27" s="145">
        <f>IF(SER_hh_tes!M27=0,0,11630*1000*SER_hh_tes!M27/SER_hh_num!M19)</f>
        <v>4025.3817392743226</v>
      </c>
      <c r="N27" s="145">
        <f>IF(SER_hh_tes!N27=0,0,11630*1000*SER_hh_tes!N27/SER_hh_num!N19)</f>
        <v>4248.9074816284947</v>
      </c>
      <c r="O27" s="145">
        <f>IF(SER_hh_tes!O27=0,0,11630*1000*SER_hh_tes!O27/SER_hh_num!O19)</f>
        <v>3688.1365650035568</v>
      </c>
      <c r="P27" s="145">
        <f>IF(SER_hh_tes!P27=0,0,11630*1000*SER_hh_tes!P27/SER_hh_num!P19)</f>
        <v>4116.2618175455309</v>
      </c>
      <c r="Q27" s="145">
        <f>IF(SER_hh_tes!Q27=0,0,11630*1000*SER_hh_tes!Q27/SER_hh_num!Q19)</f>
        <v>3513.9332984934758</v>
      </c>
      <c r="R27" s="145">
        <f>IF(SER_hh_tes!R27=0,0,11630*1000*SER_hh_tes!R27/SER_hh_num!R19)</f>
        <v>3226.6697255756071</v>
      </c>
      <c r="S27" s="145">
        <f>IF(SER_hh_tes!S27=0,0,11630*1000*SER_hh_tes!S27/SER_hh_num!S19)</f>
        <v>3744.1793693912973</v>
      </c>
      <c r="T27" s="145">
        <f>IF(SER_hh_tes!T27=0,0,11630*1000*SER_hh_tes!T27/SER_hh_num!T19)</f>
        <v>4303.0490261985151</v>
      </c>
      <c r="U27" s="145">
        <f>IF(SER_hh_tes!U27=0,0,11630*1000*SER_hh_tes!U27/SER_hh_num!U19)</f>
        <v>4006.9927407668592</v>
      </c>
      <c r="V27" s="145">
        <f>IF(SER_hh_tes!V27=0,0,11630*1000*SER_hh_tes!V27/SER_hh_num!V19)</f>
        <v>4337.6774677900203</v>
      </c>
      <c r="W27" s="145">
        <f>IF(SER_hh_tes!W27=0,0,11630*1000*SER_hh_tes!W27/SER_hh_num!W19)</f>
        <v>3300.3388240658933</v>
      </c>
      <c r="X27" s="145">
        <f>IF(SER_hh_tes!X27=0,0,11630*1000*SER_hh_tes!X27/SER_hh_num!X19)</f>
        <v>3711.6455202068669</v>
      </c>
      <c r="Y27" s="145">
        <f>IF(SER_hh_tes!Y27=0,0,11630*1000*SER_hh_tes!Y27/SER_hh_num!Y19)</f>
        <v>3434.4838877348093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8611.8038695357136</v>
      </c>
      <c r="C28" s="146">
        <f>IF(SER_hh_tes!C27=0,0,11630*1000*SER_hh_tes!C27/SER_hh_num!C27)</f>
        <v>8737.2854409131851</v>
      </c>
      <c r="D28" s="146">
        <f>IF(SER_hh_tes!D27=0,0,11630*1000*SER_hh_tes!D27/SER_hh_num!D27)</f>
        <v>8712.6359134594732</v>
      </c>
      <c r="E28" s="146">
        <f>IF(SER_hh_tes!E27=0,0,11630*1000*SER_hh_tes!E27/SER_hh_num!E27)</f>
        <v>8857.6328838959435</v>
      </c>
      <c r="F28" s="146">
        <f>IF(SER_hh_tes!F27=0,0,11630*1000*SER_hh_tes!F27/SER_hh_num!F27)</f>
        <v>8851.5676879557195</v>
      </c>
      <c r="G28" s="146">
        <f>IF(SER_hh_tes!G27=0,0,11630*1000*SER_hh_tes!G27/SER_hh_num!G27)</f>
        <v>9051.7199703885581</v>
      </c>
      <c r="H28" s="146">
        <f>IF(SER_hh_tes!H27=0,0,11630*1000*SER_hh_tes!H27/SER_hh_num!H27)</f>
        <v>9912.212807353475</v>
      </c>
      <c r="I28" s="146">
        <f>IF(SER_hh_tes!I27=0,0,11630*1000*SER_hh_tes!I27/SER_hh_num!I27)</f>
        <v>9810.3482513062499</v>
      </c>
      <c r="J28" s="146">
        <f>IF(SER_hh_tes!J27=0,0,11630*1000*SER_hh_tes!J27/SER_hh_num!J27)</f>
        <v>9798.7223279535647</v>
      </c>
      <c r="K28" s="146">
        <f>IF(SER_hh_tes!K27=0,0,11630*1000*SER_hh_tes!K27/SER_hh_num!K27)</f>
        <v>9725.4533996137561</v>
      </c>
      <c r="L28" s="146">
        <f>IF(SER_hh_tes!L27=0,0,11630*1000*SER_hh_tes!L27/SER_hh_num!L27)</f>
        <v>15025.703455693878</v>
      </c>
      <c r="M28" s="146">
        <f>IF(SER_hh_tes!M27=0,0,11630*1000*SER_hh_tes!M27/SER_hh_num!M27)</f>
        <v>12781.010036960995</v>
      </c>
      <c r="N28" s="146">
        <f>IF(SER_hh_tes!N27=0,0,11630*1000*SER_hh_tes!N27/SER_hh_num!N27)</f>
        <v>10558.410976139314</v>
      </c>
      <c r="O28" s="146">
        <f>IF(SER_hh_tes!O27=0,0,11630*1000*SER_hh_tes!O27/SER_hh_num!O27)</f>
        <v>10995.878601132166</v>
      </c>
      <c r="P28" s="146">
        <f>IF(SER_hh_tes!P27=0,0,11630*1000*SER_hh_tes!P27/SER_hh_num!P27)</f>
        <v>11232.070931392172</v>
      </c>
      <c r="Q28" s="146">
        <f>IF(SER_hh_tes!Q27=0,0,11630*1000*SER_hh_tes!Q27/SER_hh_num!Q27)</f>
        <v>12029.211903493666</v>
      </c>
      <c r="R28" s="146">
        <f>IF(SER_hh_tes!R27=0,0,11630*1000*SER_hh_tes!R27/SER_hh_num!R27)</f>
        <v>12268.862867875341</v>
      </c>
      <c r="S28" s="146">
        <f>IF(SER_hh_tes!S27=0,0,11630*1000*SER_hh_tes!S27/SER_hh_num!S27)</f>
        <v>11789.869446370341</v>
      </c>
      <c r="T28" s="146">
        <f>IF(SER_hh_tes!T27=0,0,11630*1000*SER_hh_tes!T27/SER_hh_num!T27)</f>
        <v>11276.833747822739</v>
      </c>
      <c r="U28" s="146">
        <f>IF(SER_hh_tes!U27=0,0,11630*1000*SER_hh_tes!U27/SER_hh_num!U27)</f>
        <v>10715.075621149294</v>
      </c>
      <c r="V28" s="146">
        <f>IF(SER_hh_tes!V27=0,0,11630*1000*SER_hh_tes!V27/SER_hh_num!V27)</f>
        <v>10366.147192860702</v>
      </c>
      <c r="W28" s="146">
        <f>IF(SER_hh_tes!W27=0,0,11630*1000*SER_hh_tes!W27/SER_hh_num!W27)</f>
        <v>10311.165708632188</v>
      </c>
      <c r="X28" s="146">
        <f>IF(SER_hh_tes!X27=0,0,11630*1000*SER_hh_tes!X27/SER_hh_num!X27)</f>
        <v>9769.9359668911948</v>
      </c>
      <c r="Y28" s="146">
        <f>IF(SER_hh_tes!Y27=0,0,11630*1000*SER_hh_tes!Y27/SER_hh_num!Y27)</f>
        <v>9913.4499676840751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11036.543185762677</v>
      </c>
      <c r="C29" s="130">
        <f>IF(SER_hh_tes!C29=0,0,11630*1000*SER_hh_tes!C29/SER_hh_num!C29)</f>
        <v>11348.333995067474</v>
      </c>
      <c r="D29" s="130">
        <f>IF(SER_hh_tes!D29=0,0,11630*1000*SER_hh_tes!D29/SER_hh_num!D29)</f>
        <v>11808.768239709587</v>
      </c>
      <c r="E29" s="130">
        <f>IF(SER_hh_tes!E29=0,0,11630*1000*SER_hh_tes!E29/SER_hh_num!E29)</f>
        <v>12213.947057163452</v>
      </c>
      <c r="F29" s="130">
        <f>IF(SER_hh_tes!F29=0,0,11630*1000*SER_hh_tes!F29/SER_hh_num!F29)</f>
        <v>12279.176890989556</v>
      </c>
      <c r="G29" s="130">
        <f>IF(SER_hh_tes!G29=0,0,11630*1000*SER_hh_tes!G29/SER_hh_num!G29)</f>
        <v>12268.064339266624</v>
      </c>
      <c r="H29" s="130">
        <f>IF(SER_hh_tes!H29=0,0,11630*1000*SER_hh_tes!H29/SER_hh_num!H29)</f>
        <v>12137.692996664327</v>
      </c>
      <c r="I29" s="130">
        <f>IF(SER_hh_tes!I29=0,0,11630*1000*SER_hh_tes!I29/SER_hh_num!I29)</f>
        <v>11995.37447491907</v>
      </c>
      <c r="J29" s="130">
        <f>IF(SER_hh_tes!J29=0,0,11630*1000*SER_hh_tes!J29/SER_hh_num!J29)</f>
        <v>11948.717589834299</v>
      </c>
      <c r="K29" s="130">
        <f>IF(SER_hh_tes!K29=0,0,11630*1000*SER_hh_tes!K29/SER_hh_num!K29)</f>
        <v>12357.433156937621</v>
      </c>
      <c r="L29" s="130">
        <f>IF(SER_hh_tes!L29=0,0,11630*1000*SER_hh_tes!L29/SER_hh_num!L29)</f>
        <v>12340.963064217152</v>
      </c>
      <c r="M29" s="130">
        <f>IF(SER_hh_tes!M29=0,0,11630*1000*SER_hh_tes!M29/SER_hh_num!M29)</f>
        <v>12365.723579642709</v>
      </c>
      <c r="N29" s="130">
        <f>IF(SER_hh_tes!N29=0,0,11630*1000*SER_hh_tes!N29/SER_hh_num!N29)</f>
        <v>12535.295454343142</v>
      </c>
      <c r="O29" s="130">
        <f>IF(SER_hh_tes!O29=0,0,11630*1000*SER_hh_tes!O29/SER_hh_num!O29)</f>
        <v>12499.847564382833</v>
      </c>
      <c r="P29" s="130">
        <f>IF(SER_hh_tes!P29=0,0,11630*1000*SER_hh_tes!P29/SER_hh_num!P29)</f>
        <v>12589.938299181498</v>
      </c>
      <c r="Q29" s="130">
        <f>IF(SER_hh_tes!Q29=0,0,11630*1000*SER_hh_tes!Q29/SER_hh_num!Q29)</f>
        <v>12580.94836798645</v>
      </c>
      <c r="R29" s="130">
        <f>IF(SER_hh_tes!R29=0,0,11630*1000*SER_hh_tes!R29/SER_hh_num!R29)</f>
        <v>12622.757529966426</v>
      </c>
      <c r="S29" s="130">
        <f>IF(SER_hh_tes!S29=0,0,11630*1000*SER_hh_tes!S29/SER_hh_num!S29)</f>
        <v>12551.843695884614</v>
      </c>
      <c r="T29" s="130">
        <f>IF(SER_hh_tes!T29=0,0,11630*1000*SER_hh_tes!T29/SER_hh_num!T29)</f>
        <v>12494.773520369463</v>
      </c>
      <c r="U29" s="130">
        <f>IF(SER_hh_tes!U29=0,0,11630*1000*SER_hh_tes!U29/SER_hh_num!U29)</f>
        <v>12466.571254539173</v>
      </c>
      <c r="V29" s="130">
        <f>IF(SER_hh_tes!V29=0,0,11630*1000*SER_hh_tes!V29/SER_hh_num!V29)</f>
        <v>11932.320212415358</v>
      </c>
      <c r="W29" s="130">
        <f>IF(SER_hh_tes!W29=0,0,11630*1000*SER_hh_tes!W29/SER_hh_num!W29)</f>
        <v>12435.655478066015</v>
      </c>
      <c r="X29" s="130">
        <f>IF(SER_hh_tes!X29=0,0,11630*1000*SER_hh_tes!X29/SER_hh_num!X29)</f>
        <v>12395.831114343968</v>
      </c>
      <c r="Y29" s="130">
        <f>IF(SER_hh_tes!Y29=0,0,11630*1000*SER_hh_tes!Y29/SER_hh_num!Y29)</f>
        <v>12468.264048919815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4087.7485311931032</v>
      </c>
      <c r="C30" s="132">
        <f>IF(SER_hh_tes!C30=0,0,11630*1000*SER_hh_tes!C30/SER_hh_num!C30)</f>
        <v>6446.1408613531339</v>
      </c>
      <c r="D30" s="132">
        <f>IF(SER_hh_tes!D30=0,0,11630*1000*SER_hh_tes!D30/SER_hh_num!D30)</f>
        <v>13349.696191747844</v>
      </c>
      <c r="E30" s="132">
        <f>IF(SER_hh_tes!E30=0,0,11630*1000*SER_hh_tes!E30/SER_hh_num!E30)</f>
        <v>13980.57238638186</v>
      </c>
      <c r="F30" s="132">
        <f>IF(SER_hh_tes!F30=0,0,11630*1000*SER_hh_tes!F30/SER_hh_num!F30)</f>
        <v>16719.631650552605</v>
      </c>
      <c r="G30" s="132">
        <f>IF(SER_hh_tes!G30=0,0,11630*1000*SER_hh_tes!G30/SER_hh_num!G30)</f>
        <v>12416.682911590724</v>
      </c>
      <c r="H30" s="132">
        <f>IF(SER_hh_tes!H30=0,0,11630*1000*SER_hh_tes!H30/SER_hh_num!H30)</f>
        <v>13213.605353581281</v>
      </c>
      <c r="I30" s="132">
        <f>IF(SER_hh_tes!I30=0,0,11630*1000*SER_hh_tes!I30/SER_hh_num!I30)</f>
        <v>11059.872450877079</v>
      </c>
      <c r="J30" s="132">
        <f>IF(SER_hh_tes!J30=0,0,11630*1000*SER_hh_tes!J30/SER_hh_num!J30)</f>
        <v>8251.8989906787938</v>
      </c>
      <c r="K30" s="132">
        <f>IF(SER_hh_tes!K30=0,0,11630*1000*SER_hh_tes!K30/SER_hh_num!K30)</f>
        <v>10318.096559267484</v>
      </c>
      <c r="L30" s="132">
        <f>IF(SER_hh_tes!L30=0,0,11630*1000*SER_hh_tes!L30/SER_hh_num!L30)</f>
        <v>17201.672475862691</v>
      </c>
      <c r="M30" s="132">
        <f>IF(SER_hh_tes!M30=0,0,11630*1000*SER_hh_tes!M30/SER_hh_num!M30)</f>
        <v>16864.833286616406</v>
      </c>
      <c r="N30" s="132">
        <f>IF(SER_hh_tes!N30=0,0,11630*1000*SER_hh_tes!N30/SER_hh_num!N30)</f>
        <v>2975.9802179292428</v>
      </c>
      <c r="O30" s="132">
        <f>IF(SER_hh_tes!O30=0,0,11630*1000*SER_hh_tes!O30/SER_hh_num!O30)</f>
        <v>6234.6156557256027</v>
      </c>
      <c r="P30" s="132">
        <f>IF(SER_hh_tes!P30=0,0,11630*1000*SER_hh_tes!P30/SER_hh_num!P30)</f>
        <v>11559.620833454133</v>
      </c>
      <c r="Q30" s="132">
        <f>IF(SER_hh_tes!Q30=0,0,11630*1000*SER_hh_tes!Q30/SER_hh_num!Q30)</f>
        <v>11472.816637567897</v>
      </c>
      <c r="R30" s="132">
        <f>IF(SER_hh_tes!R30=0,0,11630*1000*SER_hh_tes!R30/SER_hh_num!R30)</f>
        <v>8451.2854550205266</v>
      </c>
      <c r="S30" s="132">
        <f>IF(SER_hh_tes!S30=0,0,11630*1000*SER_hh_tes!S30/SER_hh_num!S30)</f>
        <v>15571.512334866413</v>
      </c>
      <c r="T30" s="132">
        <f>IF(SER_hh_tes!T30=0,0,11630*1000*SER_hh_tes!T30/SER_hh_num!T30)</f>
        <v>12554.617098255534</v>
      </c>
      <c r="U30" s="132">
        <f>IF(SER_hh_tes!U30=0,0,11630*1000*SER_hh_tes!U30/SER_hh_num!U30)</f>
        <v>12513.963508289116</v>
      </c>
      <c r="V30" s="132">
        <f>IF(SER_hh_tes!V30=0,0,11630*1000*SER_hh_tes!V30/SER_hh_num!V30)</f>
        <v>12016.761300252114</v>
      </c>
      <c r="W30" s="132">
        <f>IF(SER_hh_tes!W30=0,0,11630*1000*SER_hh_tes!W30/SER_hh_num!W30)</f>
        <v>14510.054904024431</v>
      </c>
      <c r="X30" s="132">
        <f>IF(SER_hh_tes!X30=0,0,11630*1000*SER_hh_tes!X30/SER_hh_num!X30)</f>
        <v>13494.263840354159</v>
      </c>
      <c r="Y30" s="132">
        <f>IF(SER_hh_tes!Y30=0,0,11630*1000*SER_hh_tes!Y30/SER_hh_num!Y30)</f>
        <v>8274.140788890918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10678.220772070705</v>
      </c>
      <c r="C31" s="132">
        <f>IF(SER_hh_tes!C31=0,0,11630*1000*SER_hh_tes!C31/SER_hh_num!C31)</f>
        <v>11454.029508951211</v>
      </c>
      <c r="D31" s="132">
        <f>IF(SER_hh_tes!D31=0,0,11630*1000*SER_hh_tes!D31/SER_hh_num!D31)</f>
        <v>11909.500536952379</v>
      </c>
      <c r="E31" s="132">
        <f>IF(SER_hh_tes!E31=0,0,11630*1000*SER_hh_tes!E31/SER_hh_num!E31)</f>
        <v>12072.66678998729</v>
      </c>
      <c r="F31" s="132">
        <f>IF(SER_hh_tes!F31=0,0,11630*1000*SER_hh_tes!F31/SER_hh_num!F31)</f>
        <v>12376.102136551664</v>
      </c>
      <c r="G31" s="132">
        <f>IF(SER_hh_tes!G31=0,0,11630*1000*SER_hh_tes!G31/SER_hh_num!G31)</f>
        <v>12318.317481620039</v>
      </c>
      <c r="H31" s="132">
        <f>IF(SER_hh_tes!H31=0,0,11630*1000*SER_hh_tes!H31/SER_hh_num!H31)</f>
        <v>12159.599598143435</v>
      </c>
      <c r="I31" s="132">
        <f>IF(SER_hh_tes!I31=0,0,11630*1000*SER_hh_tes!I31/SER_hh_num!I31)</f>
        <v>12011.122132559984</v>
      </c>
      <c r="J31" s="132">
        <f>IF(SER_hh_tes!J31=0,0,11630*1000*SER_hh_tes!J31/SER_hh_num!J31)</f>
        <v>12017.342676955794</v>
      </c>
      <c r="K31" s="132">
        <f>IF(SER_hh_tes!K31=0,0,11630*1000*SER_hh_tes!K31/SER_hh_num!K31)</f>
        <v>12321.971418224093</v>
      </c>
      <c r="L31" s="132">
        <f>IF(SER_hh_tes!L31=0,0,11630*1000*SER_hh_tes!L31/SER_hh_num!L31)</f>
        <v>12428.820294121109</v>
      </c>
      <c r="M31" s="132">
        <f>IF(SER_hh_tes!M31=0,0,11630*1000*SER_hh_tes!M31/SER_hh_num!M31)</f>
        <v>12443.133012195522</v>
      </c>
      <c r="N31" s="132">
        <f>IF(SER_hh_tes!N31=0,0,11630*1000*SER_hh_tes!N31/SER_hh_num!N31)</f>
        <v>12457.989916334724</v>
      </c>
      <c r="O31" s="132">
        <f>IF(SER_hh_tes!O31=0,0,11630*1000*SER_hh_tes!O31/SER_hh_num!O31)</f>
        <v>12481.201160936402</v>
      </c>
      <c r="P31" s="132">
        <f>IF(SER_hh_tes!P31=0,0,11630*1000*SER_hh_tes!P31/SER_hh_num!P31)</f>
        <v>12600.0873756126</v>
      </c>
      <c r="Q31" s="132">
        <f>IF(SER_hh_tes!Q31=0,0,11630*1000*SER_hh_tes!Q31/SER_hh_num!Q31)</f>
        <v>12612.226835867319</v>
      </c>
      <c r="R31" s="132">
        <f>IF(SER_hh_tes!R31=0,0,11630*1000*SER_hh_tes!R31/SER_hh_num!R31)</f>
        <v>12568.054267519521</v>
      </c>
      <c r="S31" s="132">
        <f>IF(SER_hh_tes!S31=0,0,11630*1000*SER_hh_tes!S31/SER_hh_num!S31)</f>
        <v>12488.482586706745</v>
      </c>
      <c r="T31" s="132">
        <f>IF(SER_hh_tes!T31=0,0,11630*1000*SER_hh_tes!T31/SER_hh_num!T31)</f>
        <v>12461.19780237257</v>
      </c>
      <c r="U31" s="132">
        <f>IF(SER_hh_tes!U31=0,0,11630*1000*SER_hh_tes!U31/SER_hh_num!U31)</f>
        <v>12719.739431010081</v>
      </c>
      <c r="V31" s="132">
        <f>IF(SER_hh_tes!V31=0,0,11630*1000*SER_hh_tes!V31/SER_hh_num!V31)</f>
        <v>11734.375329626566</v>
      </c>
      <c r="W31" s="132">
        <f>IF(SER_hh_tes!W31=0,0,11630*1000*SER_hh_tes!W31/SER_hh_num!W31)</f>
        <v>11968.827383568843</v>
      </c>
      <c r="X31" s="132">
        <f>IF(SER_hh_tes!X31=0,0,11630*1000*SER_hh_tes!X31/SER_hh_num!X31)</f>
        <v>11695.470997022476</v>
      </c>
      <c r="Y31" s="132">
        <f>IF(SER_hh_tes!Y31=0,0,11630*1000*SER_hh_tes!Y31/SER_hh_num!Y31)</f>
        <v>12898.142527332631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11132.398066368163</v>
      </c>
      <c r="C32" s="132">
        <f>IF(SER_hh_tes!C32=0,0,11630*1000*SER_hh_tes!C32/SER_hh_num!C32)</f>
        <v>11192.752898144898</v>
      </c>
      <c r="D32" s="132">
        <f>IF(SER_hh_tes!D32=0,0,11630*1000*SER_hh_tes!D32/SER_hh_num!D32)</f>
        <v>12018.52090182995</v>
      </c>
      <c r="E32" s="132">
        <f>IF(SER_hh_tes!E32=0,0,11630*1000*SER_hh_tes!E32/SER_hh_num!E32)</f>
        <v>12125.56268348734</v>
      </c>
      <c r="F32" s="132">
        <f>IF(SER_hh_tes!F32=0,0,11630*1000*SER_hh_tes!F32/SER_hh_num!F32)</f>
        <v>12434.226891429671</v>
      </c>
      <c r="G32" s="132">
        <f>IF(SER_hh_tes!G32=0,0,11630*1000*SER_hh_tes!G32/SER_hh_num!G32)</f>
        <v>12281.964252425563</v>
      </c>
      <c r="H32" s="132">
        <f>IF(SER_hh_tes!H32=0,0,11630*1000*SER_hh_tes!H32/SER_hh_num!H32)</f>
        <v>12133.884753371149</v>
      </c>
      <c r="I32" s="132">
        <f>IF(SER_hh_tes!I32=0,0,11630*1000*SER_hh_tes!I32/SER_hh_num!I32)</f>
        <v>12059.881642213733</v>
      </c>
      <c r="J32" s="132">
        <f>IF(SER_hh_tes!J32=0,0,11630*1000*SER_hh_tes!J32/SER_hh_num!J32)</f>
        <v>11947.28539422963</v>
      </c>
      <c r="K32" s="132">
        <f>IF(SER_hh_tes!K32=0,0,11630*1000*SER_hh_tes!K32/SER_hh_num!K32)</f>
        <v>11931.439095138452</v>
      </c>
      <c r="L32" s="132">
        <f>IF(SER_hh_tes!L32=0,0,11630*1000*SER_hh_tes!L32/SER_hh_num!L32)</f>
        <v>12533.395597311237</v>
      </c>
      <c r="M32" s="132">
        <f>IF(SER_hh_tes!M32=0,0,11630*1000*SER_hh_tes!M32/SER_hh_num!M32)</f>
        <v>12154.09524044779</v>
      </c>
      <c r="N32" s="132">
        <f>IF(SER_hh_tes!N32=0,0,11630*1000*SER_hh_tes!N32/SER_hh_num!N32)</f>
        <v>12499.709492814962</v>
      </c>
      <c r="O32" s="132">
        <f>IF(SER_hh_tes!O32=0,0,11630*1000*SER_hh_tes!O32/SER_hh_num!O32)</f>
        <v>12215.340752790156</v>
      </c>
      <c r="P32" s="132">
        <f>IF(SER_hh_tes!P32=0,0,11630*1000*SER_hh_tes!P32/SER_hh_num!P32)</f>
        <v>12404.61830180841</v>
      </c>
      <c r="Q32" s="132">
        <f>IF(SER_hh_tes!Q32=0,0,11630*1000*SER_hh_tes!Q32/SER_hh_num!Q32)</f>
        <v>12759.593776336142</v>
      </c>
      <c r="R32" s="132">
        <f>IF(SER_hh_tes!R32=0,0,11630*1000*SER_hh_tes!R32/SER_hh_num!R32)</f>
        <v>12520.125385476604</v>
      </c>
      <c r="S32" s="132">
        <f>IF(SER_hh_tes!S32=0,0,11630*1000*SER_hh_tes!S32/SER_hh_num!S32)</f>
        <v>12306.452929369365</v>
      </c>
      <c r="T32" s="132">
        <f>IF(SER_hh_tes!T32=0,0,11630*1000*SER_hh_tes!T32/SER_hh_num!T32)</f>
        <v>12297.038907291246</v>
      </c>
      <c r="U32" s="132">
        <f>IF(SER_hh_tes!U32=0,0,11630*1000*SER_hh_tes!U32/SER_hh_num!U32)</f>
        <v>12558.180855553688</v>
      </c>
      <c r="V32" s="132">
        <f>IF(SER_hh_tes!V32=0,0,11630*1000*SER_hh_tes!V32/SER_hh_num!V32)</f>
        <v>12777.282469435853</v>
      </c>
      <c r="W32" s="132">
        <f>IF(SER_hh_tes!W32=0,0,11630*1000*SER_hh_tes!W32/SER_hh_num!W32)</f>
        <v>12717.529242319679</v>
      </c>
      <c r="X32" s="132">
        <f>IF(SER_hh_tes!X32=0,0,11630*1000*SER_hh_tes!X32/SER_hh_num!X32)</f>
        <v>12121.753773586539</v>
      </c>
      <c r="Y32" s="132">
        <f>IF(SER_hh_tes!Y32=0,0,11630*1000*SER_hh_tes!Y32/SER_hh_num!Y32)</f>
        <v>12684.42582625634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12556.37432307712</v>
      </c>
      <c r="C33" s="68">
        <f>IF(SER_hh_tes!C33=0,0,11630*1000*SER_hh_tes!C33/SER_hh_num!C33)</f>
        <v>12372.230686285113</v>
      </c>
      <c r="D33" s="68">
        <f>IF(SER_hh_tes!D33=0,0,11630*1000*SER_hh_tes!D33/SER_hh_num!D33)</f>
        <v>11275.745152466819</v>
      </c>
      <c r="E33" s="68">
        <f>IF(SER_hh_tes!E33=0,0,11630*1000*SER_hh_tes!E33/SER_hh_num!E33)</f>
        <v>11603.506051931849</v>
      </c>
      <c r="F33" s="68">
        <f>IF(SER_hh_tes!F33=0,0,11630*1000*SER_hh_tes!F33/SER_hh_num!F33)</f>
        <v>10431.50993345763</v>
      </c>
      <c r="G33" s="68">
        <f>IF(SER_hh_tes!G33=0,0,11630*1000*SER_hh_tes!G33/SER_hh_num!G33)</f>
        <v>12179.552611617481</v>
      </c>
      <c r="H33" s="68">
        <f>IF(SER_hh_tes!H33=0,0,11630*1000*SER_hh_tes!H33/SER_hh_num!H33)</f>
        <v>11753.780714633282</v>
      </c>
      <c r="I33" s="68">
        <f>IF(SER_hh_tes!I33=0,0,11630*1000*SER_hh_tes!I33/SER_hh_num!I33)</f>
        <v>12216.509102448892</v>
      </c>
      <c r="J33" s="68">
        <f>IF(SER_hh_tes!J33=0,0,11630*1000*SER_hh_tes!J33/SER_hh_num!J33)</f>
        <v>12796.426659804663</v>
      </c>
      <c r="K33" s="68">
        <f>IF(SER_hh_tes!K33=0,0,11630*1000*SER_hh_tes!K33/SER_hh_num!K33)</f>
        <v>12901.135091032871</v>
      </c>
      <c r="L33" s="68">
        <f>IF(SER_hh_tes!L33=0,0,11630*1000*SER_hh_tes!L33/SER_hh_num!L33)</f>
        <v>11107.717422268004</v>
      </c>
      <c r="M33" s="68">
        <f>IF(SER_hh_tes!M33=0,0,11630*1000*SER_hh_tes!M33/SER_hh_num!M33)</f>
        <v>11416.723302937773</v>
      </c>
      <c r="N33" s="68">
        <f>IF(SER_hh_tes!N33=0,0,11630*1000*SER_hh_tes!N33/SER_hh_num!N33)</f>
        <v>13479.106072313916</v>
      </c>
      <c r="O33" s="68">
        <f>IF(SER_hh_tes!O33=0,0,11630*1000*SER_hh_tes!O33/SER_hh_num!O33)</f>
        <v>12772.959819268221</v>
      </c>
      <c r="P33" s="68">
        <f>IF(SER_hh_tes!P33=0,0,11630*1000*SER_hh_tes!P33/SER_hh_num!P33)</f>
        <v>12606.36995328103</v>
      </c>
      <c r="Q33" s="68">
        <f>IF(SER_hh_tes!Q33=0,0,11630*1000*SER_hh_tes!Q33/SER_hh_num!Q33)</f>
        <v>12582.765532529171</v>
      </c>
      <c r="R33" s="68">
        <f>IF(SER_hh_tes!R33=0,0,11630*1000*SER_hh_tes!R33/SER_hh_num!R33)</f>
        <v>12742.118707332927</v>
      </c>
      <c r="S33" s="68">
        <f>IF(SER_hh_tes!S33=0,0,11630*1000*SER_hh_tes!S33/SER_hh_num!S33)</f>
        <v>12497.719924261613</v>
      </c>
      <c r="T33" s="68">
        <f>IF(SER_hh_tes!T33=0,0,11630*1000*SER_hh_tes!T33/SER_hh_num!T33)</f>
        <v>12514.13283497476</v>
      </c>
      <c r="U33" s="68">
        <f>IF(SER_hh_tes!U33=0,0,11630*1000*SER_hh_tes!U33/SER_hh_num!U33)</f>
        <v>12335.735073275197</v>
      </c>
      <c r="V33" s="68">
        <f>IF(SER_hh_tes!V33=0,0,11630*1000*SER_hh_tes!V33/SER_hh_num!V33)</f>
        <v>12005.541796141117</v>
      </c>
      <c r="W33" s="68">
        <f>IF(SER_hh_tes!W33=0,0,11630*1000*SER_hh_tes!W33/SER_hh_num!W33)</f>
        <v>12594.759645672912</v>
      </c>
      <c r="X33" s="68">
        <f>IF(SER_hh_tes!X33=0,0,11630*1000*SER_hh_tes!X33/SER_hh_num!X33)</f>
        <v>12738.27630446028</v>
      </c>
      <c r="Y33" s="68">
        <f>IF(SER_hh_tes!Y33=0,0,11630*1000*SER_hh_tes!Y33/SER_hh_num!Y33)</f>
        <v>12317.123629295043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19839.342001107729</v>
      </c>
      <c r="C3" s="125">
        <f>IF(SER_hh_emi!C3=0,0,1000000*SER_hh_emi!C3/SER_hh_num!C3)</f>
        <v>26382.921307278615</v>
      </c>
      <c r="D3" s="125">
        <f>IF(SER_hh_emi!D3=0,0,1000000*SER_hh_emi!D3/SER_hh_num!D3)</f>
        <v>25200.211132045908</v>
      </c>
      <c r="E3" s="125">
        <f>IF(SER_hh_emi!E3=0,0,1000000*SER_hh_emi!E3/SER_hh_num!E3)</f>
        <v>29329.967261293965</v>
      </c>
      <c r="F3" s="125">
        <f>IF(SER_hh_emi!F3=0,0,1000000*SER_hh_emi!F3/SER_hh_num!F3)</f>
        <v>27846.443308758691</v>
      </c>
      <c r="G3" s="125">
        <f>IF(SER_hh_emi!G3=0,0,1000000*SER_hh_emi!G3/SER_hh_num!G3)</f>
        <v>22764.774038260592</v>
      </c>
      <c r="H3" s="125">
        <f>IF(SER_hh_emi!H3=0,0,1000000*SER_hh_emi!H3/SER_hh_num!H3)</f>
        <v>22407.259216768063</v>
      </c>
      <c r="I3" s="125">
        <f>IF(SER_hh_emi!I3=0,0,1000000*SER_hh_emi!I3/SER_hh_num!I3)</f>
        <v>16010.439986505868</v>
      </c>
      <c r="J3" s="125">
        <f>IF(SER_hh_emi!J3=0,0,1000000*SER_hh_emi!J3/SER_hh_num!J3)</f>
        <v>16962.798046418848</v>
      </c>
      <c r="K3" s="125">
        <f>IF(SER_hh_emi!K3=0,0,1000000*SER_hh_emi!K3/SER_hh_num!K3)</f>
        <v>13818.37623108462</v>
      </c>
      <c r="L3" s="125">
        <f>IF(SER_hh_emi!L3=0,0,1000000*SER_hh_emi!L3/SER_hh_num!L3)</f>
        <v>10608.548364851995</v>
      </c>
      <c r="M3" s="125">
        <f>IF(SER_hh_emi!M3=0,0,1000000*SER_hh_emi!M3/SER_hh_num!M3)</f>
        <v>9416.8108324936584</v>
      </c>
      <c r="N3" s="125">
        <f>IF(SER_hh_emi!N3=0,0,1000000*SER_hh_emi!N3/SER_hh_num!N3)</f>
        <v>8522.0610661742467</v>
      </c>
      <c r="O3" s="125">
        <f>IF(SER_hh_emi!O3=0,0,1000000*SER_hh_emi!O3/SER_hh_num!O3)</f>
        <v>8490.4448350836155</v>
      </c>
      <c r="P3" s="125">
        <f>IF(SER_hh_emi!P3=0,0,1000000*SER_hh_emi!P3/SER_hh_num!P3)</f>
        <v>7705.0807332609011</v>
      </c>
      <c r="Q3" s="125">
        <f>IF(SER_hh_emi!Q3=0,0,1000000*SER_hh_emi!Q3/SER_hh_num!Q3)</f>
        <v>8067.2373412423685</v>
      </c>
      <c r="R3" s="125">
        <f>IF(SER_hh_emi!R3=0,0,1000000*SER_hh_emi!R3/SER_hh_num!R3)</f>
        <v>7427.0157312382034</v>
      </c>
      <c r="S3" s="125">
        <f>IF(SER_hh_emi!S3=0,0,1000000*SER_hh_emi!S3/SER_hh_num!S3)</f>
        <v>8490.133679445551</v>
      </c>
      <c r="T3" s="125">
        <f>IF(SER_hh_emi!T3=0,0,1000000*SER_hh_emi!T3/SER_hh_num!T3)</f>
        <v>7693.065548337695</v>
      </c>
      <c r="U3" s="125">
        <f>IF(SER_hh_emi!U3=0,0,1000000*SER_hh_emi!U3/SER_hh_num!U3)</f>
        <v>7696.7252607249511</v>
      </c>
      <c r="V3" s="125">
        <f>IF(SER_hh_emi!V3=0,0,1000000*SER_hh_emi!V3/SER_hh_num!V3)</f>
        <v>7318.7993470247538</v>
      </c>
      <c r="W3" s="125">
        <f>IF(SER_hh_emi!W3=0,0,1000000*SER_hh_emi!W3/SER_hh_num!W3)</f>
        <v>8573.689949614276</v>
      </c>
      <c r="X3" s="125">
        <f>IF(SER_hh_emi!X3=0,0,1000000*SER_hh_emi!X3/SER_hh_num!X3)</f>
        <v>6819.1518090214031</v>
      </c>
      <c r="Y3" s="125">
        <f>IF(SER_hh_emi!Y3=0,0,1000000*SER_hh_emi!Y3/SER_hh_num!Y3)</f>
        <v>5957.2408644122124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16613.28031120493</v>
      </c>
      <c r="C4" s="130">
        <f>IF(SER_hh_emi!C4=0,0,1000000*SER_hh_emi!C4/SER_hh_num!C4)</f>
        <v>22899.70699751264</v>
      </c>
      <c r="D4" s="130">
        <f>IF(SER_hh_emi!D4=0,0,1000000*SER_hh_emi!D4/SER_hh_num!D4)</f>
        <v>21118.993023167208</v>
      </c>
      <c r="E4" s="130">
        <f>IF(SER_hh_emi!E4=0,0,1000000*SER_hh_emi!E4/SER_hh_num!E4)</f>
        <v>25005.207536336267</v>
      </c>
      <c r="F4" s="130">
        <f>IF(SER_hh_emi!F4=0,0,1000000*SER_hh_emi!F4/SER_hh_num!F4)</f>
        <v>23301.240770685206</v>
      </c>
      <c r="G4" s="130">
        <f>IF(SER_hh_emi!G4=0,0,1000000*SER_hh_emi!G4/SER_hh_num!G4)</f>
        <v>18577.338300643652</v>
      </c>
      <c r="H4" s="130">
        <f>IF(SER_hh_emi!H4=0,0,1000000*SER_hh_emi!H4/SER_hh_num!H4)</f>
        <v>18415.87338303636</v>
      </c>
      <c r="I4" s="130">
        <f>IF(SER_hh_emi!I4=0,0,1000000*SER_hh_emi!I4/SER_hh_num!I4)</f>
        <v>12476.028958663634</v>
      </c>
      <c r="J4" s="130">
        <f>IF(SER_hh_emi!J4=0,0,1000000*SER_hh_emi!J4/SER_hh_num!J4)</f>
        <v>13736.113938031986</v>
      </c>
      <c r="K4" s="130">
        <f>IF(SER_hh_emi!K4=0,0,1000000*SER_hh_emi!K4/SER_hh_num!K4)</f>
        <v>10440.847955116411</v>
      </c>
      <c r="L4" s="130">
        <f>IF(SER_hh_emi!L4=0,0,1000000*SER_hh_emi!L4/SER_hh_num!L4)</f>
        <v>7137.1025638249639</v>
      </c>
      <c r="M4" s="130">
        <f>IF(SER_hh_emi!M4=0,0,1000000*SER_hh_emi!M4/SER_hh_num!M4)</f>
        <v>6188.7017303978946</v>
      </c>
      <c r="N4" s="130">
        <f>IF(SER_hh_emi!N4=0,0,1000000*SER_hh_emi!N4/SER_hh_num!N4)</f>
        <v>6196.933030609106</v>
      </c>
      <c r="O4" s="130">
        <f>IF(SER_hh_emi!O4=0,0,1000000*SER_hh_emi!O4/SER_hh_num!O4)</f>
        <v>6176.9465322210126</v>
      </c>
      <c r="P4" s="130">
        <f>IF(SER_hh_emi!P4=0,0,1000000*SER_hh_emi!P4/SER_hh_num!P4)</f>
        <v>5429.5524261934333</v>
      </c>
      <c r="Q4" s="130">
        <f>IF(SER_hh_emi!Q4=0,0,1000000*SER_hh_emi!Q4/SER_hh_num!Q4)</f>
        <v>5813.33955765254</v>
      </c>
      <c r="R4" s="130">
        <f>IF(SER_hh_emi!R4=0,0,1000000*SER_hh_emi!R4/SER_hh_num!R4)</f>
        <v>5219.9081823358001</v>
      </c>
      <c r="S4" s="130">
        <f>IF(SER_hh_emi!S4=0,0,1000000*SER_hh_emi!S4/SER_hh_num!S4)</f>
        <v>6244.0767384160044</v>
      </c>
      <c r="T4" s="130">
        <f>IF(SER_hh_emi!T4=0,0,1000000*SER_hh_emi!T4/SER_hh_num!T4)</f>
        <v>5499.8598854919046</v>
      </c>
      <c r="U4" s="130">
        <f>IF(SER_hh_emi!U4=0,0,1000000*SER_hh_emi!U4/SER_hh_num!U4)</f>
        <v>5504.7462107128167</v>
      </c>
      <c r="V4" s="130">
        <f>IF(SER_hh_emi!V4=0,0,1000000*SER_hh_emi!V4/SER_hh_num!V4)</f>
        <v>5314.3789051057247</v>
      </c>
      <c r="W4" s="130">
        <f>IF(SER_hh_emi!W4=0,0,1000000*SER_hh_emi!W4/SER_hh_num!W4)</f>
        <v>6468.691658939214</v>
      </c>
      <c r="X4" s="130">
        <f>IF(SER_hh_emi!X4=0,0,1000000*SER_hh_emi!X4/SER_hh_num!X4)</f>
        <v>4693.6588079922458</v>
      </c>
      <c r="Y4" s="130">
        <f>IF(SER_hh_emi!Y4=0,0,1000000*SER_hh_emi!Y4/SER_hh_num!Y4)</f>
        <v>3731.0899338038239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49548.1228955017</v>
      </c>
      <c r="C5" s="132">
        <f>IF(SER_hh_emi!C5=0,0,1000000*SER_hh_emi!C5/SER_hh_num!C5)</f>
        <v>59332.937131406085</v>
      </c>
      <c r="D5" s="132">
        <f>IF(SER_hh_emi!D5=0,0,1000000*SER_hh_emi!D5/SER_hh_num!D5)</f>
        <v>47688.82925391692</v>
      </c>
      <c r="E5" s="132">
        <f>IF(SER_hh_emi!E5=0,0,1000000*SER_hh_emi!E5/SER_hh_num!E5)</f>
        <v>70634.102796942389</v>
      </c>
      <c r="F5" s="132">
        <f>IF(SER_hh_emi!F5=0,0,1000000*SER_hh_emi!F5/SER_hh_num!F5)</f>
        <v>60233.838711611352</v>
      </c>
      <c r="G5" s="132">
        <f>IF(SER_hh_emi!G5=0,0,1000000*SER_hh_emi!G5/SER_hh_num!G5)</f>
        <v>58522.819231170652</v>
      </c>
      <c r="H5" s="132">
        <f>IF(SER_hh_emi!H5=0,0,1000000*SER_hh_emi!H5/SER_hh_num!H5)</f>
        <v>54910.598386030069</v>
      </c>
      <c r="I5" s="132">
        <f>IF(SER_hh_emi!I5=0,0,1000000*SER_hh_emi!I5/SER_hh_num!I5)</f>
        <v>53527.126458714069</v>
      </c>
      <c r="J5" s="132">
        <f>IF(SER_hh_emi!J5=0,0,1000000*SER_hh_emi!J5/SER_hh_num!J5)</f>
        <v>44809.307594172053</v>
      </c>
      <c r="K5" s="132">
        <f>IF(SER_hh_emi!K5=0,0,1000000*SER_hh_emi!K5/SER_hh_num!K5)</f>
        <v>41924.908294147011</v>
      </c>
      <c r="L5" s="132">
        <f>IF(SER_hh_emi!L5=0,0,1000000*SER_hh_emi!L5/SER_hh_num!L5)</f>
        <v>58112.235745611048</v>
      </c>
      <c r="M5" s="132">
        <f>IF(SER_hh_emi!M5=0,0,1000000*SER_hh_emi!M5/SER_hh_num!M5)</f>
        <v>57388.001119207802</v>
      </c>
      <c r="N5" s="132">
        <f>IF(SER_hh_emi!N5=0,0,1000000*SER_hh_emi!N5/SER_hh_num!N5)</f>
        <v>2614.6906339981251</v>
      </c>
      <c r="O5" s="132">
        <f>IF(SER_hh_emi!O5=0,0,1000000*SER_hh_emi!O5/SER_hh_num!O5)</f>
        <v>17832.787057020974</v>
      </c>
      <c r="P5" s="132">
        <f>IF(SER_hh_emi!P5=0,0,1000000*SER_hh_emi!P5/SER_hh_num!P5)</f>
        <v>15517.011091720495</v>
      </c>
      <c r="Q5" s="132">
        <f>IF(SER_hh_emi!Q5=0,0,1000000*SER_hh_emi!Q5/SER_hh_num!Q5)</f>
        <v>19944.706136351015</v>
      </c>
      <c r="R5" s="132">
        <f>IF(SER_hh_emi!R5=0,0,1000000*SER_hh_emi!R5/SER_hh_num!R5)</f>
        <v>0</v>
      </c>
      <c r="S5" s="132">
        <f>IF(SER_hh_emi!S5=0,0,1000000*SER_hh_emi!S5/SER_hh_num!S5)</f>
        <v>0</v>
      </c>
      <c r="T5" s="132">
        <f>IF(SER_hh_emi!T5=0,0,1000000*SER_hh_emi!T5/SER_hh_num!T5)</f>
        <v>0</v>
      </c>
      <c r="U5" s="132">
        <f>IF(SER_hh_emi!U5=0,0,1000000*SER_hh_emi!U5/SER_hh_num!U5)</f>
        <v>0</v>
      </c>
      <c r="V5" s="132">
        <f>IF(SER_hh_emi!V5=0,0,1000000*SER_hh_emi!V5/SER_hh_num!V5)</f>
        <v>0</v>
      </c>
      <c r="W5" s="132">
        <f>IF(SER_hh_emi!W5=0,0,1000000*SER_hh_emi!W5/SER_hh_num!W5)</f>
        <v>0</v>
      </c>
      <c r="X5" s="132">
        <f>IF(SER_hh_emi!X5=0,0,1000000*SER_hh_emi!X5/SER_hh_num!X5)</f>
        <v>0</v>
      </c>
      <c r="Y5" s="132">
        <f>IF(SER_hh_emi!Y5=0,0,1000000*SER_hh_emi!Y5/SER_hh_num!Y5)</f>
        <v>0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41188.11331427886</v>
      </c>
      <c r="C7" s="132">
        <f>IF(SER_hh_emi!C7=0,0,1000000*SER_hh_emi!C7/SER_hh_num!C7)</f>
        <v>52635.208005651373</v>
      </c>
      <c r="D7" s="132">
        <f>IF(SER_hh_emi!D7=0,0,1000000*SER_hh_emi!D7/SER_hh_num!D7)</f>
        <v>50230.92118337821</v>
      </c>
      <c r="E7" s="132">
        <f>IF(SER_hh_emi!E7=0,0,1000000*SER_hh_emi!E7/SER_hh_num!E7)</f>
        <v>60233.903316352538</v>
      </c>
      <c r="F7" s="132">
        <f>IF(SER_hh_emi!F7=0,0,1000000*SER_hh_emi!F7/SER_hh_num!F7)</f>
        <v>42131.927301444055</v>
      </c>
      <c r="G7" s="132">
        <f>IF(SER_hh_emi!G7=0,0,1000000*SER_hh_emi!G7/SER_hh_num!G7)</f>
        <v>53650.156635119718</v>
      </c>
      <c r="H7" s="132">
        <f>IF(SER_hh_emi!H7=0,0,1000000*SER_hh_emi!H7/SER_hh_num!H7)</f>
        <v>54410.134268216818</v>
      </c>
      <c r="I7" s="132">
        <f>IF(SER_hh_emi!I7=0,0,1000000*SER_hh_emi!I7/SER_hh_num!I7)</f>
        <v>38606.954164239927</v>
      </c>
      <c r="J7" s="132">
        <f>IF(SER_hh_emi!J7=0,0,1000000*SER_hh_emi!J7/SER_hh_num!J7)</f>
        <v>49522.991223058169</v>
      </c>
      <c r="K7" s="132">
        <f>IF(SER_hh_emi!K7=0,0,1000000*SER_hh_emi!K7/SER_hh_num!K7)</f>
        <v>45326.479679040276</v>
      </c>
      <c r="L7" s="132">
        <f>IF(SER_hh_emi!L7=0,0,1000000*SER_hh_emi!L7/SER_hh_num!L7)</f>
        <v>28587.502847474963</v>
      </c>
      <c r="M7" s="132">
        <f>IF(SER_hh_emi!M7=0,0,1000000*SER_hh_emi!M7/SER_hh_num!M7)</f>
        <v>35112.318145620688</v>
      </c>
      <c r="N7" s="132">
        <f>IF(SER_hh_emi!N7=0,0,1000000*SER_hh_emi!N7/SER_hh_num!N7)</f>
        <v>34177.745797106916</v>
      </c>
      <c r="O7" s="132">
        <f>IF(SER_hh_emi!O7=0,0,1000000*SER_hh_emi!O7/SER_hh_num!O7)</f>
        <v>32959.465152668243</v>
      </c>
      <c r="P7" s="132">
        <f>IF(SER_hh_emi!P7=0,0,1000000*SER_hh_emi!P7/SER_hh_num!P7)</f>
        <v>33378.183374761938</v>
      </c>
      <c r="Q7" s="132">
        <f>IF(SER_hh_emi!Q7=0,0,1000000*SER_hh_emi!Q7/SER_hh_num!Q7)</f>
        <v>32042.061482246463</v>
      </c>
      <c r="R7" s="132">
        <f>IF(SER_hh_emi!R7=0,0,1000000*SER_hh_emi!R7/SER_hh_num!R7)</f>
        <v>27531.761841425276</v>
      </c>
      <c r="S7" s="132">
        <f>IF(SER_hh_emi!S7=0,0,1000000*SER_hh_emi!S7/SER_hh_num!S7)</f>
        <v>36287.884253519427</v>
      </c>
      <c r="T7" s="132">
        <f>IF(SER_hh_emi!T7=0,0,1000000*SER_hh_emi!T7/SER_hh_num!T7)</f>
        <v>30221.055292076882</v>
      </c>
      <c r="U7" s="132">
        <f>IF(SER_hh_emi!U7=0,0,1000000*SER_hh_emi!U7/SER_hh_num!U7)</f>
        <v>27498.079149026031</v>
      </c>
      <c r="V7" s="132">
        <f>IF(SER_hh_emi!V7=0,0,1000000*SER_hh_emi!V7/SER_hh_num!V7)</f>
        <v>26407.771084349715</v>
      </c>
      <c r="W7" s="132">
        <f>IF(SER_hh_emi!W7=0,0,1000000*SER_hh_emi!W7/SER_hh_num!W7)</f>
        <v>34315.075413792161</v>
      </c>
      <c r="X7" s="132">
        <f>IF(SER_hh_emi!X7=0,0,1000000*SER_hh_emi!X7/SER_hh_num!X7)</f>
        <v>30625.507606384574</v>
      </c>
      <c r="Y7" s="132">
        <f>IF(SER_hh_emi!Y7=0,0,1000000*SER_hh_emi!Y7/SER_hh_num!Y7)</f>
        <v>19890.487723430982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14792.48856242586</v>
      </c>
      <c r="C8" s="132">
        <f>IF(SER_hh_emi!C8=0,0,1000000*SER_hh_emi!C8/SER_hh_num!C8)</f>
        <v>17082.371671597277</v>
      </c>
      <c r="D8" s="132">
        <f>IF(SER_hh_emi!D8=0,0,1000000*SER_hh_emi!D8/SER_hh_num!D8)</f>
        <v>14271.021577581214</v>
      </c>
      <c r="E8" s="132">
        <f>IF(SER_hh_emi!E8=0,0,1000000*SER_hh_emi!E8/SER_hh_num!E8)</f>
        <v>14983.194182616906</v>
      </c>
      <c r="F8" s="132">
        <f>IF(SER_hh_emi!F8=0,0,1000000*SER_hh_emi!F8/SER_hh_num!F8)</f>
        <v>13723.051277802488</v>
      </c>
      <c r="G8" s="132">
        <f>IF(SER_hh_emi!G8=0,0,1000000*SER_hh_emi!G8/SER_hh_num!G8)</f>
        <v>11903.348918189155</v>
      </c>
      <c r="H8" s="132">
        <f>IF(SER_hh_emi!H8=0,0,1000000*SER_hh_emi!H8/SER_hh_num!H8)</f>
        <v>11893.487605555678</v>
      </c>
      <c r="I8" s="132">
        <f>IF(SER_hh_emi!I8=0,0,1000000*SER_hh_emi!I8/SER_hh_num!I8)</f>
        <v>9114.5967052642263</v>
      </c>
      <c r="J8" s="132">
        <f>IF(SER_hh_emi!J8=0,0,1000000*SER_hh_emi!J8/SER_hh_num!J8)</f>
        <v>10056.590183530789</v>
      </c>
      <c r="K8" s="132">
        <f>IF(SER_hh_emi!K8=0,0,1000000*SER_hh_emi!K8/SER_hh_num!K8)</f>
        <v>8198.5599078961532</v>
      </c>
      <c r="L8" s="132">
        <f>IF(SER_hh_emi!L8=0,0,1000000*SER_hh_emi!L8/SER_hh_num!L8)</f>
        <v>7919.4279972544882</v>
      </c>
      <c r="M8" s="132">
        <f>IF(SER_hh_emi!M8=0,0,1000000*SER_hh_emi!M8/SER_hh_num!M8)</f>
        <v>7376.812160346868</v>
      </c>
      <c r="N8" s="132">
        <f>IF(SER_hh_emi!N8=0,0,1000000*SER_hh_emi!N8/SER_hh_num!N8)</f>
        <v>7047.4923534861064</v>
      </c>
      <c r="O8" s="132">
        <f>IF(SER_hh_emi!O8=0,0,1000000*SER_hh_emi!O8/SER_hh_num!O8)</f>
        <v>6449.7154040242267</v>
      </c>
      <c r="P8" s="132">
        <f>IF(SER_hh_emi!P8=0,0,1000000*SER_hh_emi!P8/SER_hh_num!P8)</f>
        <v>5971.4570806860202</v>
      </c>
      <c r="Q8" s="132">
        <f>IF(SER_hh_emi!Q8=0,0,1000000*SER_hh_emi!Q8/SER_hh_num!Q8)</f>
        <v>5814.167332051119</v>
      </c>
      <c r="R8" s="132">
        <f>IF(SER_hh_emi!R8=0,0,1000000*SER_hh_emi!R8/SER_hh_num!R8)</f>
        <v>5680.7203260107835</v>
      </c>
      <c r="S8" s="132">
        <f>IF(SER_hh_emi!S8=0,0,1000000*SER_hh_emi!S8/SER_hh_num!S8)</f>
        <v>6084.9407661433133</v>
      </c>
      <c r="T8" s="132">
        <f>IF(SER_hh_emi!T8=0,0,1000000*SER_hh_emi!T8/SER_hh_num!T8)</f>
        <v>5562.0764273684945</v>
      </c>
      <c r="U8" s="132">
        <f>IF(SER_hh_emi!U8=0,0,1000000*SER_hh_emi!U8/SER_hh_num!U8)</f>
        <v>5606.0798866037048</v>
      </c>
      <c r="V8" s="132">
        <f>IF(SER_hh_emi!V8=0,0,1000000*SER_hh_emi!V8/SER_hh_num!V8)</f>
        <v>4723.5126464428613</v>
      </c>
      <c r="W8" s="132">
        <f>IF(SER_hh_emi!W8=0,0,1000000*SER_hh_emi!W8/SER_hh_num!W8)</f>
        <v>5392.2910246034098</v>
      </c>
      <c r="X8" s="132">
        <f>IF(SER_hh_emi!X8=0,0,1000000*SER_hh_emi!X8/SER_hh_num!X8)</f>
        <v>4746.5986091722571</v>
      </c>
      <c r="Y8" s="132">
        <f>IF(SER_hh_emi!Y8=0,0,1000000*SER_hh_emi!Y8/SER_hh_num!Y8)</f>
        <v>4350.0129879623009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28215.218406782224</v>
      </c>
      <c r="C9" s="132">
        <f>IF(SER_hh_emi!C9=0,0,1000000*SER_hh_emi!C9/SER_hh_num!C9)</f>
        <v>37954.021683676721</v>
      </c>
      <c r="D9" s="132">
        <f>IF(SER_hh_emi!D9=0,0,1000000*SER_hh_emi!D9/SER_hh_num!D9)</f>
        <v>32923.187905504834</v>
      </c>
      <c r="E9" s="132">
        <f>IF(SER_hh_emi!E9=0,0,1000000*SER_hh_emi!E9/SER_hh_num!E9)</f>
        <v>38246.522781000393</v>
      </c>
      <c r="F9" s="132">
        <f>IF(SER_hh_emi!F9=0,0,1000000*SER_hh_emi!F9/SER_hh_num!F9)</f>
        <v>50200.895791457544</v>
      </c>
      <c r="G9" s="132">
        <f>IF(SER_hh_emi!G9=0,0,1000000*SER_hh_emi!G9/SER_hh_num!G9)</f>
        <v>28296.023256738659</v>
      </c>
      <c r="H9" s="132">
        <f>IF(SER_hh_emi!H9=0,0,1000000*SER_hh_emi!H9/SER_hh_num!H9)</f>
        <v>34985.761722223215</v>
      </c>
      <c r="I9" s="132">
        <f>IF(SER_hh_emi!I9=0,0,1000000*SER_hh_emi!I9/SER_hh_num!I9)</f>
        <v>29446.720467136241</v>
      </c>
      <c r="J9" s="132">
        <f>IF(SER_hh_emi!J9=0,0,1000000*SER_hh_emi!J9/SER_hh_num!J9)</f>
        <v>34466.485435280018</v>
      </c>
      <c r="K9" s="132">
        <f>IF(SER_hh_emi!K9=0,0,1000000*SER_hh_emi!K9/SER_hh_num!K9)</f>
        <v>26428.602303684249</v>
      </c>
      <c r="L9" s="132">
        <f>IF(SER_hh_emi!L9=0,0,1000000*SER_hh_emi!L9/SER_hh_num!L9)</f>
        <v>28765.394847630741</v>
      </c>
      <c r="M9" s="132">
        <f>IF(SER_hh_emi!M9=0,0,1000000*SER_hh_emi!M9/SER_hh_num!M9)</f>
        <v>23454.633619384414</v>
      </c>
      <c r="N9" s="132">
        <f>IF(SER_hh_emi!N9=0,0,1000000*SER_hh_emi!N9/SER_hh_num!N9)</f>
        <v>26516.270498747675</v>
      </c>
      <c r="O9" s="132">
        <f>IF(SER_hh_emi!O9=0,0,1000000*SER_hh_emi!O9/SER_hh_num!O9)</f>
        <v>26087.930068595113</v>
      </c>
      <c r="P9" s="132">
        <f>IF(SER_hh_emi!P9=0,0,1000000*SER_hh_emi!P9/SER_hh_num!P9)</f>
        <v>19330.55201148806</v>
      </c>
      <c r="Q9" s="132">
        <f>IF(SER_hh_emi!Q9=0,0,1000000*SER_hh_emi!Q9/SER_hh_num!Q9)</f>
        <v>22316.873359206857</v>
      </c>
      <c r="R9" s="132">
        <f>IF(SER_hh_emi!R9=0,0,1000000*SER_hh_emi!R9/SER_hh_num!R9)</f>
        <v>19841.651881570659</v>
      </c>
      <c r="S9" s="132">
        <f>IF(SER_hh_emi!S9=0,0,1000000*SER_hh_emi!S9/SER_hh_num!S9)</f>
        <v>22072.501689251923</v>
      </c>
      <c r="T9" s="132">
        <f>IF(SER_hh_emi!T9=0,0,1000000*SER_hh_emi!T9/SER_hh_num!T9)</f>
        <v>20498.14109520652</v>
      </c>
      <c r="U9" s="132">
        <f>IF(SER_hh_emi!U9=0,0,1000000*SER_hh_emi!U9/SER_hh_num!U9)</f>
        <v>21893.53225046994</v>
      </c>
      <c r="V9" s="132">
        <f>IF(SER_hh_emi!V9=0,0,1000000*SER_hh_emi!V9/SER_hh_num!V9)</f>
        <v>22942.301251389188</v>
      </c>
      <c r="W9" s="132">
        <f>IF(SER_hh_emi!W9=0,0,1000000*SER_hh_emi!W9/SER_hh_num!W9)</f>
        <v>26199.044913351434</v>
      </c>
      <c r="X9" s="132">
        <f>IF(SER_hh_emi!X9=0,0,1000000*SER_hh_emi!X9/SER_hh_num!X9)</f>
        <v>16265.693573084498</v>
      </c>
      <c r="Y9" s="132">
        <f>IF(SER_hh_emi!Y9=0,0,1000000*SER_hh_emi!Y9/SER_hh_num!Y9)</f>
        <v>19714.419375498201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14958.767416779758</v>
      </c>
      <c r="C10" s="132">
        <f>IF(SER_hh_emi!C10=0,0,1000000*SER_hh_emi!C10/SER_hh_num!C10)</f>
        <v>17498.724112222266</v>
      </c>
      <c r="D10" s="132">
        <f>IF(SER_hh_emi!D10=0,0,1000000*SER_hh_emi!D10/SER_hh_num!D10)</f>
        <v>16614.753559633889</v>
      </c>
      <c r="E10" s="132">
        <f>IF(SER_hh_emi!E10=0,0,1000000*SER_hh_emi!E10/SER_hh_num!E10)</f>
        <v>17441.457376137616</v>
      </c>
      <c r="F10" s="132">
        <f>IF(SER_hh_emi!F10=0,0,1000000*SER_hh_emi!F10/SER_hh_num!F10)</f>
        <v>13651.351253516863</v>
      </c>
      <c r="G10" s="132">
        <f>IF(SER_hh_emi!G10=0,0,1000000*SER_hh_emi!G10/SER_hh_num!G10)</f>
        <v>27516.140262399786</v>
      </c>
      <c r="H10" s="132">
        <f>IF(SER_hh_emi!H10=0,0,1000000*SER_hh_emi!H10/SER_hh_num!H10)</f>
        <v>18699.818504896342</v>
      </c>
      <c r="I10" s="132">
        <f>IF(SER_hh_emi!I10=0,0,1000000*SER_hh_emi!I10/SER_hh_num!I10)</f>
        <v>8427.6595188358151</v>
      </c>
      <c r="J10" s="132">
        <f>IF(SER_hh_emi!J10=0,0,1000000*SER_hh_emi!J10/SER_hh_num!J10)</f>
        <v>1400.7754670704844</v>
      </c>
      <c r="K10" s="132">
        <f>IF(SER_hh_emi!K10=0,0,1000000*SER_hh_emi!K10/SER_hh_num!K10)</f>
        <v>1367.1328530433482</v>
      </c>
      <c r="L10" s="132">
        <f>IF(SER_hh_emi!L10=0,0,1000000*SER_hh_emi!L10/SER_hh_num!L10)</f>
        <v>1545.2531181365607</v>
      </c>
      <c r="M10" s="132">
        <f>IF(SER_hh_emi!M10=0,0,1000000*SER_hh_emi!M10/SER_hh_num!M10)</f>
        <v>1346.8096617636281</v>
      </c>
      <c r="N10" s="132">
        <f>IF(SER_hh_emi!N10=0,0,1000000*SER_hh_emi!N10/SER_hh_num!N10)</f>
        <v>0</v>
      </c>
      <c r="O10" s="132">
        <f>IF(SER_hh_emi!O10=0,0,1000000*SER_hh_emi!O10/SER_hh_num!O10)</f>
        <v>0</v>
      </c>
      <c r="P10" s="132">
        <f>IF(SER_hh_emi!P10=0,0,1000000*SER_hh_emi!P10/SER_hh_num!P10)</f>
        <v>0</v>
      </c>
      <c r="Q10" s="132">
        <f>IF(SER_hh_emi!Q10=0,0,1000000*SER_hh_emi!Q10/SER_hh_num!Q10)</f>
        <v>0</v>
      </c>
      <c r="R10" s="132">
        <f>IF(SER_hh_emi!R10=0,0,1000000*SER_hh_emi!R10/SER_hh_num!R10)</f>
        <v>0</v>
      </c>
      <c r="S10" s="132">
        <f>IF(SER_hh_emi!S10=0,0,1000000*SER_hh_emi!S10/SER_hh_num!S10)</f>
        <v>0</v>
      </c>
      <c r="T10" s="132">
        <f>IF(SER_hh_emi!T10=0,0,1000000*SER_hh_emi!T10/SER_hh_num!T10)</f>
        <v>0</v>
      </c>
      <c r="U10" s="132">
        <f>IF(SER_hh_emi!U10=0,0,1000000*SER_hh_emi!U10/SER_hh_num!U10)</f>
        <v>0</v>
      </c>
      <c r="V10" s="132">
        <f>IF(SER_hh_emi!V10=0,0,1000000*SER_hh_emi!V10/SER_hh_num!V10)</f>
        <v>0</v>
      </c>
      <c r="W10" s="132">
        <f>IF(SER_hh_emi!W10=0,0,1000000*SER_hh_emi!W10/SER_hh_num!W10)</f>
        <v>0</v>
      </c>
      <c r="X10" s="132">
        <f>IF(SER_hh_emi!X10=0,0,1000000*SER_hh_emi!X10/SER_hh_num!X10)</f>
        <v>0</v>
      </c>
      <c r="Y10" s="132">
        <f>IF(SER_hh_emi!Y10=0,0,1000000*SER_hh_emi!Y10/SER_hh_num!Y10)</f>
        <v>0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4.4309146030576105</v>
      </c>
      <c r="C16" s="130">
        <f>IF(SER_hh_emi!C16=0,0,1000000*SER_hh_emi!C16/SER_hh_num!C16)</f>
        <v>4.5693661907198067</v>
      </c>
      <c r="D16" s="130">
        <f>IF(SER_hh_emi!D16=0,0,1000000*SER_hh_emi!D16/SER_hh_num!D16)</f>
        <v>5.1655756465633251</v>
      </c>
      <c r="E16" s="130">
        <f>IF(SER_hh_emi!E16=0,0,1000000*SER_hh_emi!E16/SER_hh_num!E16)</f>
        <v>5.762875446483811</v>
      </c>
      <c r="F16" s="130">
        <f>IF(SER_hh_emi!F16=0,0,1000000*SER_hh_emi!F16/SER_hh_num!F16)</f>
        <v>6.3009963918944667</v>
      </c>
      <c r="G16" s="130">
        <f>IF(SER_hh_emi!G16=0,0,1000000*SER_hh_emi!G16/SER_hh_num!G16)</f>
        <v>6.9399182184016217</v>
      </c>
      <c r="H16" s="130">
        <f>IF(SER_hh_emi!H16=0,0,1000000*SER_hh_emi!H16/SER_hh_num!H16)</f>
        <v>7.7042910914624541</v>
      </c>
      <c r="I16" s="130">
        <f>IF(SER_hh_emi!I16=0,0,1000000*SER_hh_emi!I16/SER_hh_num!I16)</f>
        <v>8.9259034617778248</v>
      </c>
      <c r="J16" s="130">
        <f>IF(SER_hh_emi!J16=0,0,1000000*SER_hh_emi!J16/SER_hh_num!J16)</f>
        <v>9.7058804777047829</v>
      </c>
      <c r="K16" s="130">
        <f>IF(SER_hh_emi!K16=0,0,1000000*SER_hh_emi!K16/SER_hh_num!K16)</f>
        <v>11.320891412425905</v>
      </c>
      <c r="L16" s="130">
        <f>IF(SER_hh_emi!L16=0,0,1000000*SER_hh_emi!L16/SER_hh_num!L16)</f>
        <v>12.165883812204036</v>
      </c>
      <c r="M16" s="130">
        <f>IF(SER_hh_emi!M16=0,0,1000000*SER_hh_emi!M16/SER_hh_num!M16)</f>
        <v>13.510925805859994</v>
      </c>
      <c r="N16" s="130">
        <f>IF(SER_hh_emi!N16=0,0,1000000*SER_hh_emi!N16/SER_hh_num!N16)</f>
        <v>14.395013919745352</v>
      </c>
      <c r="O16" s="130">
        <f>IF(SER_hh_emi!O16=0,0,1000000*SER_hh_emi!O16/SER_hh_num!O16)</f>
        <v>16.74580768690593</v>
      </c>
      <c r="P16" s="130">
        <f>IF(SER_hh_emi!P16=0,0,1000000*SER_hh_emi!P16/SER_hh_num!P16)</f>
        <v>16.199265930865103</v>
      </c>
      <c r="Q16" s="130">
        <f>IF(SER_hh_emi!Q16=0,0,1000000*SER_hh_emi!Q16/SER_hh_num!Q16)</f>
        <v>21.638562535185411</v>
      </c>
      <c r="R16" s="130">
        <f>IF(SER_hh_emi!R16=0,0,1000000*SER_hh_emi!R16/SER_hh_num!R16)</f>
        <v>18.580435738803093</v>
      </c>
      <c r="S16" s="130">
        <f>IF(SER_hh_emi!S16=0,0,1000000*SER_hh_emi!S16/SER_hh_num!S16)</f>
        <v>21.610024285186896</v>
      </c>
      <c r="T16" s="130">
        <f>IF(SER_hh_emi!T16=0,0,1000000*SER_hh_emi!T16/SER_hh_num!T16)</f>
        <v>22.158314430007756</v>
      </c>
      <c r="U16" s="130">
        <f>IF(SER_hh_emi!U16=0,0,1000000*SER_hh_emi!U16/SER_hh_num!U16)</f>
        <v>24.763046562614118</v>
      </c>
      <c r="V16" s="130">
        <f>IF(SER_hh_emi!V16=0,0,1000000*SER_hh_emi!V16/SER_hh_num!V16)</f>
        <v>22.716879128704484</v>
      </c>
      <c r="W16" s="130">
        <f>IF(SER_hh_emi!W16=0,0,1000000*SER_hh_emi!W16/SER_hh_num!W16)</f>
        <v>23.908890033266054</v>
      </c>
      <c r="X16" s="130">
        <f>IF(SER_hh_emi!X16=0,0,1000000*SER_hh_emi!X16/SER_hh_num!X16)</f>
        <v>25.193572406156321</v>
      </c>
      <c r="Y16" s="130">
        <f>IF(SER_hh_emi!Y16=0,0,1000000*SER_hh_emi!Y16/SER_hh_num!Y16)</f>
        <v>26.730105647283175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3695.9322168940284</v>
      </c>
      <c r="C17" s="132">
        <f>IF(SER_hh_emi!C17=0,0,1000000*SER_hh_emi!C17/SER_hh_num!C17)</f>
        <v>3612.9143689157459</v>
      </c>
      <c r="D17" s="132">
        <f>IF(SER_hh_emi!D17=0,0,1000000*SER_hh_emi!D17/SER_hh_num!D17)</f>
        <v>3562.1723132838115</v>
      </c>
      <c r="E17" s="132">
        <f>IF(SER_hh_emi!E17=0,0,1000000*SER_hh_emi!E17/SER_hh_num!E17)</f>
        <v>3940.2253906637434</v>
      </c>
      <c r="F17" s="132">
        <f>IF(SER_hh_emi!F17=0,0,1000000*SER_hh_emi!F17/SER_hh_num!F17)</f>
        <v>3422.0437525128727</v>
      </c>
      <c r="G17" s="132">
        <f>IF(SER_hh_emi!G17=0,0,1000000*SER_hh_emi!G17/SER_hh_num!G17)</f>
        <v>3405.2455889668367</v>
      </c>
      <c r="H17" s="132">
        <f>IF(SER_hh_emi!H17=0,0,1000000*SER_hh_emi!H17/SER_hh_num!H17)</f>
        <v>3522.9796859675707</v>
      </c>
      <c r="I17" s="132">
        <f>IF(SER_hh_emi!I17=0,0,1000000*SER_hh_emi!I17/SER_hh_num!I17)</f>
        <v>3448.7480325591873</v>
      </c>
      <c r="J17" s="132">
        <f>IF(SER_hh_emi!J17=0,0,1000000*SER_hh_emi!J17/SER_hh_num!J17)</f>
        <v>3295.5531445498768</v>
      </c>
      <c r="K17" s="132">
        <f>IF(SER_hh_emi!K17=0,0,1000000*SER_hh_emi!K17/SER_hh_num!K17)</f>
        <v>3299.0494609457915</v>
      </c>
      <c r="L17" s="132">
        <f>IF(SER_hh_emi!L17=0,0,1000000*SER_hh_emi!L17/SER_hh_num!L17)</f>
        <v>3383.9055569930561</v>
      </c>
      <c r="M17" s="132">
        <f>IF(SER_hh_emi!M17=0,0,1000000*SER_hh_emi!M17/SER_hh_num!M17)</f>
        <v>3528.9464580976296</v>
      </c>
      <c r="N17" s="132">
        <f>IF(SER_hh_emi!N17=0,0,1000000*SER_hh_emi!N17/SER_hh_num!N17)</f>
        <v>3359.5723769328715</v>
      </c>
      <c r="O17" s="132">
        <f>IF(SER_hh_emi!O17=0,0,1000000*SER_hh_emi!O17/SER_hh_num!O17)</f>
        <v>3545.5316359506387</v>
      </c>
      <c r="P17" s="132">
        <f>IF(SER_hh_emi!P17=0,0,1000000*SER_hh_emi!P17/SER_hh_num!P17)</f>
        <v>3083.8820825438211</v>
      </c>
      <c r="Q17" s="132">
        <f>IF(SER_hh_emi!Q17=0,0,1000000*SER_hh_emi!Q17/SER_hh_num!Q17)</f>
        <v>3715.4095672176427</v>
      </c>
      <c r="R17" s="132">
        <f>IF(SER_hh_emi!R17=0,0,1000000*SER_hh_emi!R17/SER_hh_num!R17)</f>
        <v>3046.2400895183823</v>
      </c>
      <c r="S17" s="132">
        <f>IF(SER_hh_emi!S17=0,0,1000000*SER_hh_emi!S17/SER_hh_num!S17)</f>
        <v>3215.7674994225554</v>
      </c>
      <c r="T17" s="132">
        <f>IF(SER_hh_emi!T17=0,0,1000000*SER_hh_emi!T17/SER_hh_num!T17)</f>
        <v>3128.3555824630207</v>
      </c>
      <c r="U17" s="132">
        <f>IF(SER_hh_emi!U17=0,0,1000000*SER_hh_emi!U17/SER_hh_num!U17)</f>
        <v>3171.9322158208356</v>
      </c>
      <c r="V17" s="132">
        <f>IF(SER_hh_emi!V17=0,0,1000000*SER_hh_emi!V17/SER_hh_num!V17)</f>
        <v>2794.1211115344522</v>
      </c>
      <c r="W17" s="132">
        <f>IF(SER_hh_emi!W17=0,0,1000000*SER_hh_emi!W17/SER_hh_num!W17)</f>
        <v>2931.4460117011286</v>
      </c>
      <c r="X17" s="132">
        <f>IF(SER_hh_emi!X17=0,0,1000000*SER_hh_emi!X17/SER_hh_num!X17)</f>
        <v>2982.6037611240299</v>
      </c>
      <c r="Y17" s="132">
        <f>IF(SER_hh_emi!Y17=0,0,1000000*SER_hh_emi!Y17/SER_hh_num!Y17)</f>
        <v>3065.4969203884971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2119.3105805268333</v>
      </c>
      <c r="C19" s="130">
        <f>IF(SER_hh_emi!C19=0,0,1000000*SER_hh_emi!C19/SER_hh_num!C19)</f>
        <v>2139.0025345704557</v>
      </c>
      <c r="D19" s="130">
        <f>IF(SER_hh_emi!D19=0,0,1000000*SER_hh_emi!D19/SER_hh_num!D19)</f>
        <v>2114.2305620615739</v>
      </c>
      <c r="E19" s="130">
        <f>IF(SER_hh_emi!E19=0,0,1000000*SER_hh_emi!E19/SER_hh_num!E19)</f>
        <v>2108.8958723566575</v>
      </c>
      <c r="F19" s="130">
        <f>IF(SER_hh_emi!F19=0,0,1000000*SER_hh_emi!F19/SER_hh_num!F19)</f>
        <v>2058.7158553076119</v>
      </c>
      <c r="G19" s="130">
        <f>IF(SER_hh_emi!G19=0,0,1000000*SER_hh_emi!G19/SER_hh_num!G19)</f>
        <v>2006.7787592781795</v>
      </c>
      <c r="H19" s="130">
        <f>IF(SER_hh_emi!H19=0,0,1000000*SER_hh_emi!H19/SER_hh_num!H19)</f>
        <v>1861.65319890452</v>
      </c>
      <c r="I19" s="130">
        <f>IF(SER_hh_emi!I19=0,0,1000000*SER_hh_emi!I19/SER_hh_num!I19)</f>
        <v>1741.5073458099821</v>
      </c>
      <c r="J19" s="130">
        <f>IF(SER_hh_emi!J19=0,0,1000000*SER_hh_emi!J19/SER_hh_num!J19)</f>
        <v>1586.8691121802885</v>
      </c>
      <c r="K19" s="130">
        <f>IF(SER_hh_emi!K19=0,0,1000000*SER_hh_emi!K19/SER_hh_num!K19)</f>
        <v>1548.1106883615028</v>
      </c>
      <c r="L19" s="130">
        <f>IF(SER_hh_emi!L19=0,0,1000000*SER_hh_emi!L19/SER_hh_num!L19)</f>
        <v>1305.8674848515761</v>
      </c>
      <c r="M19" s="130">
        <f>IF(SER_hh_emi!M19=0,0,1000000*SER_hh_emi!M19/SER_hh_num!M19)</f>
        <v>1194.1614531370033</v>
      </c>
      <c r="N19" s="130">
        <f>IF(SER_hh_emi!N19=0,0,1000000*SER_hh_emi!N19/SER_hh_num!N19)</f>
        <v>945.57106053877555</v>
      </c>
      <c r="O19" s="130">
        <f>IF(SER_hh_emi!O19=0,0,1000000*SER_hh_emi!O19/SER_hh_num!O19)</f>
        <v>925.99584870455203</v>
      </c>
      <c r="P19" s="130">
        <f>IF(SER_hh_emi!P19=0,0,1000000*SER_hh_emi!P19/SER_hh_num!P19)</f>
        <v>887.21998438288347</v>
      </c>
      <c r="Q19" s="130">
        <f>IF(SER_hh_emi!Q19=0,0,1000000*SER_hh_emi!Q19/SER_hh_num!Q19)</f>
        <v>859.66186381493299</v>
      </c>
      <c r="R19" s="130">
        <f>IF(SER_hh_emi!R19=0,0,1000000*SER_hh_emi!R19/SER_hh_num!R19)</f>
        <v>836.2023037336528</v>
      </c>
      <c r="S19" s="130">
        <f>IF(SER_hh_emi!S19=0,0,1000000*SER_hh_emi!S19/SER_hh_num!S19)</f>
        <v>816.89368091373865</v>
      </c>
      <c r="T19" s="130">
        <f>IF(SER_hh_emi!T19=0,0,1000000*SER_hh_emi!T19/SER_hh_num!T19)</f>
        <v>782.30570845102568</v>
      </c>
      <c r="U19" s="130">
        <f>IF(SER_hh_emi!U19=0,0,1000000*SER_hh_emi!U19/SER_hh_num!U19)</f>
        <v>744.49239848197237</v>
      </c>
      <c r="V19" s="130">
        <f>IF(SER_hh_emi!V19=0,0,1000000*SER_hh_emi!V19/SER_hh_num!V19)</f>
        <v>671.0885478113272</v>
      </c>
      <c r="W19" s="130">
        <f>IF(SER_hh_emi!W19=0,0,1000000*SER_hh_emi!W19/SER_hh_num!W19)</f>
        <v>710.9823825717458</v>
      </c>
      <c r="X19" s="130">
        <f>IF(SER_hh_emi!X19=0,0,1000000*SER_hh_emi!X19/SER_hh_num!X19)</f>
        <v>771.23488327161624</v>
      </c>
      <c r="Y19" s="130">
        <f>IF(SER_hh_emi!Y19=0,0,1000000*SER_hh_emi!Y19/SER_hh_num!Y19)</f>
        <v>799.3482136042511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4788.4692285569799</v>
      </c>
      <c r="C21" s="132">
        <f>IF(SER_hh_emi!C21=0,0,1000000*SER_hh_emi!C21/SER_hh_num!C21)</f>
        <v>5179.2389587983726</v>
      </c>
      <c r="D21" s="132">
        <f>IF(SER_hh_emi!D21=0,0,1000000*SER_hh_emi!D21/SER_hh_num!D21)</f>
        <v>5007.9230241957712</v>
      </c>
      <c r="E21" s="132">
        <f>IF(SER_hh_emi!E21=0,0,1000000*SER_hh_emi!E21/SER_hh_num!E21)</f>
        <v>5091.1924265343641</v>
      </c>
      <c r="F21" s="132">
        <f>IF(SER_hh_emi!F21=0,0,1000000*SER_hh_emi!F21/SER_hh_num!F21)</f>
        <v>5098.9357561520292</v>
      </c>
      <c r="G21" s="132">
        <f>IF(SER_hh_emi!G21=0,0,1000000*SER_hh_emi!G21/SER_hh_num!G21)</f>
        <v>5141.1226744028036</v>
      </c>
      <c r="H21" s="132">
        <f>IF(SER_hh_emi!H21=0,0,1000000*SER_hh_emi!H21/SER_hh_num!H21)</f>
        <v>5208.9758733710605</v>
      </c>
      <c r="I21" s="132">
        <f>IF(SER_hh_emi!I21=0,0,1000000*SER_hh_emi!I21/SER_hh_num!I21)</f>
        <v>5307.077429369785</v>
      </c>
      <c r="J21" s="132">
        <f>IF(SER_hh_emi!J21=0,0,1000000*SER_hh_emi!J21/SER_hh_num!J21)</f>
        <v>5386.6606610931358</v>
      </c>
      <c r="K21" s="132">
        <f>IF(SER_hh_emi!K21=0,0,1000000*SER_hh_emi!K21/SER_hh_num!K21)</f>
        <v>5654.5021063421173</v>
      </c>
      <c r="L21" s="132">
        <f>IF(SER_hh_emi!L21=0,0,1000000*SER_hh_emi!L21/SER_hh_num!L21)</f>
        <v>5243.4889919244661</v>
      </c>
      <c r="M21" s="132">
        <f>IF(SER_hh_emi!M21=0,0,1000000*SER_hh_emi!M21/SER_hh_num!M21)</f>
        <v>5781.6897488950617</v>
      </c>
      <c r="N21" s="132">
        <f>IF(SER_hh_emi!N21=0,0,1000000*SER_hh_emi!N21/SER_hh_num!N21)</f>
        <v>0</v>
      </c>
      <c r="O21" s="132">
        <f>IF(SER_hh_emi!O21=0,0,1000000*SER_hh_emi!O21/SER_hh_num!O21)</f>
        <v>0</v>
      </c>
      <c r="P21" s="132">
        <f>IF(SER_hh_emi!P21=0,0,1000000*SER_hh_emi!P21/SER_hh_num!P21)</f>
        <v>0</v>
      </c>
      <c r="Q21" s="132">
        <f>IF(SER_hh_emi!Q21=0,0,1000000*SER_hh_emi!Q21/SER_hh_num!Q21)</f>
        <v>0</v>
      </c>
      <c r="R21" s="132">
        <f>IF(SER_hh_emi!R21=0,0,1000000*SER_hh_emi!R21/SER_hh_num!R21)</f>
        <v>0</v>
      </c>
      <c r="S21" s="132">
        <f>IF(SER_hh_emi!S21=0,0,1000000*SER_hh_emi!S21/SER_hh_num!S21)</f>
        <v>0</v>
      </c>
      <c r="T21" s="132">
        <f>IF(SER_hh_emi!T21=0,0,1000000*SER_hh_emi!T21/SER_hh_num!T21)</f>
        <v>0</v>
      </c>
      <c r="U21" s="132">
        <f>IF(SER_hh_emi!U21=0,0,1000000*SER_hh_emi!U21/SER_hh_num!U21)</f>
        <v>0</v>
      </c>
      <c r="V21" s="132">
        <f>IF(SER_hh_emi!V21=0,0,1000000*SER_hh_emi!V21/SER_hh_num!V21)</f>
        <v>0</v>
      </c>
      <c r="W21" s="132">
        <f>IF(SER_hh_emi!W21=0,0,1000000*SER_hh_emi!W21/SER_hh_num!W21)</f>
        <v>0</v>
      </c>
      <c r="X21" s="132">
        <f>IF(SER_hh_emi!X21=0,0,1000000*SER_hh_emi!X21/SER_hh_num!X21)</f>
        <v>0</v>
      </c>
      <c r="Y21" s="132">
        <f>IF(SER_hh_emi!Y21=0,0,1000000*SER_hh_emi!Y21/SER_hh_num!Y21)</f>
        <v>0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6402.6950942667809</v>
      </c>
      <c r="C22" s="132">
        <f>IF(SER_hh_emi!C22=0,0,1000000*SER_hh_emi!C22/SER_hh_num!C22)</f>
        <v>6417.2784010453634</v>
      </c>
      <c r="D22" s="132">
        <f>IF(SER_hh_emi!D22=0,0,1000000*SER_hh_emi!D22/SER_hh_num!D22)</f>
        <v>6393.1667067690314</v>
      </c>
      <c r="E22" s="132">
        <f>IF(SER_hh_emi!E22=0,0,1000000*SER_hh_emi!E22/SER_hh_num!E22)</f>
        <v>6429.0562931089262</v>
      </c>
      <c r="F22" s="132">
        <f>IF(SER_hh_emi!F22=0,0,1000000*SER_hh_emi!F22/SER_hh_num!F22)</f>
        <v>6510.1821562458626</v>
      </c>
      <c r="G22" s="132">
        <f>IF(SER_hh_emi!G22=0,0,1000000*SER_hh_emi!G22/SER_hh_num!G22)</f>
        <v>6480.6139238238993</v>
      </c>
      <c r="H22" s="132">
        <f>IF(SER_hh_emi!H22=0,0,1000000*SER_hh_emi!H22/SER_hh_num!H22)</f>
        <v>6475.5697711683479</v>
      </c>
      <c r="I22" s="132">
        <f>IF(SER_hh_emi!I22=0,0,1000000*SER_hh_emi!I22/SER_hh_num!I22)</f>
        <v>6622.4445438000284</v>
      </c>
      <c r="J22" s="132">
        <f>IF(SER_hh_emi!J22=0,0,1000000*SER_hh_emi!J22/SER_hh_num!J22)</f>
        <v>6448.6075870816976</v>
      </c>
      <c r="K22" s="132">
        <f>IF(SER_hh_emi!K22=0,0,1000000*SER_hh_emi!K22/SER_hh_num!K22)</f>
        <v>6758.6328041435327</v>
      </c>
      <c r="L22" s="132">
        <f>IF(SER_hh_emi!L22=0,0,1000000*SER_hh_emi!L22/SER_hh_num!L22)</f>
        <v>6189.7451776356511</v>
      </c>
      <c r="M22" s="132">
        <f>IF(SER_hh_emi!M22=0,0,1000000*SER_hh_emi!M22/SER_hh_num!M22)</f>
        <v>6346.0466088077974</v>
      </c>
      <c r="N22" s="132">
        <f>IF(SER_hh_emi!N22=0,0,1000000*SER_hh_emi!N22/SER_hh_num!N22)</f>
        <v>5937.1495048751649</v>
      </c>
      <c r="O22" s="132">
        <f>IF(SER_hh_emi!O22=0,0,1000000*SER_hh_emi!O22/SER_hh_num!O22)</f>
        <v>6144.677789491654</v>
      </c>
      <c r="P22" s="132">
        <f>IF(SER_hh_emi!P22=0,0,1000000*SER_hh_emi!P22/SER_hh_num!P22)</f>
        <v>6173.0126791811599</v>
      </c>
      <c r="Q22" s="132">
        <f>IF(SER_hh_emi!Q22=0,0,1000000*SER_hh_emi!Q22/SER_hh_num!Q22)</f>
        <v>6090.3414549638001</v>
      </c>
      <c r="R22" s="132">
        <f>IF(SER_hh_emi!R22=0,0,1000000*SER_hh_emi!R22/SER_hh_num!R22)</f>
        <v>6058.3618838971606</v>
      </c>
      <c r="S22" s="132">
        <f>IF(SER_hh_emi!S22=0,0,1000000*SER_hh_emi!S22/SER_hh_num!S22)</f>
        <v>5960.3465875413513</v>
      </c>
      <c r="T22" s="132">
        <f>IF(SER_hh_emi!T22=0,0,1000000*SER_hh_emi!T22/SER_hh_num!T22)</f>
        <v>5631.0004365065743</v>
      </c>
      <c r="U22" s="132">
        <f>IF(SER_hh_emi!U22=0,0,1000000*SER_hh_emi!U22/SER_hh_num!U22)</f>
        <v>5330.86417887479</v>
      </c>
      <c r="V22" s="132">
        <f>IF(SER_hh_emi!V22=0,0,1000000*SER_hh_emi!V22/SER_hh_num!V22)</f>
        <v>4724.8024752715282</v>
      </c>
      <c r="W22" s="132">
        <f>IF(SER_hh_emi!W22=0,0,1000000*SER_hh_emi!W22/SER_hh_num!W22)</f>
        <v>4768.0859753517898</v>
      </c>
      <c r="X22" s="132">
        <f>IF(SER_hh_emi!X22=0,0,1000000*SER_hh_emi!X22/SER_hh_num!X22)</f>
        <v>4754.9178617669768</v>
      </c>
      <c r="Y22" s="132">
        <f>IF(SER_hh_emi!Y22=0,0,1000000*SER_hh_emi!Y22/SER_hh_num!Y22)</f>
        <v>4761.2445553715816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4643.3995424639852</v>
      </c>
      <c r="C23" s="132">
        <f>IF(SER_hh_emi!C23=0,0,1000000*SER_hh_emi!C23/SER_hh_num!C23)</f>
        <v>4638.5390873408724</v>
      </c>
      <c r="D23" s="132">
        <f>IF(SER_hh_emi!D23=0,0,1000000*SER_hh_emi!D23/SER_hh_num!D23)</f>
        <v>4603.5157247087373</v>
      </c>
      <c r="E23" s="132">
        <f>IF(SER_hh_emi!E23=0,0,1000000*SER_hh_emi!E23/SER_hh_num!E23)</f>
        <v>4570.8768415764107</v>
      </c>
      <c r="F23" s="132">
        <f>IF(SER_hh_emi!F23=0,0,1000000*SER_hh_emi!F23/SER_hh_num!F23)</f>
        <v>4566.882469893224</v>
      </c>
      <c r="G23" s="132">
        <f>IF(SER_hh_emi!G23=0,0,1000000*SER_hh_emi!G23/SER_hh_num!G23)</f>
        <v>4593.2641343714104</v>
      </c>
      <c r="H23" s="132">
        <f>IF(SER_hh_emi!H23=0,0,1000000*SER_hh_emi!H23/SER_hh_num!H23)</f>
        <v>4604.4827104107162</v>
      </c>
      <c r="I23" s="132">
        <f>IF(SER_hh_emi!I23=0,0,1000000*SER_hh_emi!I23/SER_hh_num!I23)</f>
        <v>4594.745011216778</v>
      </c>
      <c r="J23" s="132">
        <f>IF(SER_hh_emi!J23=0,0,1000000*SER_hh_emi!J23/SER_hh_num!J23)</f>
        <v>4555.0116674756946</v>
      </c>
      <c r="K23" s="132">
        <f>IF(SER_hh_emi!K23=0,0,1000000*SER_hh_emi!K23/SER_hh_num!K23)</f>
        <v>4534.4212481779841</v>
      </c>
      <c r="L23" s="132">
        <f>IF(SER_hh_emi!L23=0,0,1000000*SER_hh_emi!L23/SER_hh_num!L23)</f>
        <v>4380.8010425546154</v>
      </c>
      <c r="M23" s="132">
        <f>IF(SER_hh_emi!M23=0,0,1000000*SER_hh_emi!M23/SER_hh_num!M23)</f>
        <v>4258.8068442697358</v>
      </c>
      <c r="N23" s="132">
        <f>IF(SER_hh_emi!N23=0,0,1000000*SER_hh_emi!N23/SER_hh_num!N23)</f>
        <v>4185.9578088533208</v>
      </c>
      <c r="O23" s="132">
        <f>IF(SER_hh_emi!O23=0,0,1000000*SER_hh_emi!O23/SER_hh_num!O23)</f>
        <v>4217.2900801242513</v>
      </c>
      <c r="P23" s="132">
        <f>IF(SER_hh_emi!P23=0,0,1000000*SER_hh_emi!P23/SER_hh_num!P23)</f>
        <v>4204.2667506788603</v>
      </c>
      <c r="Q23" s="132">
        <f>IF(SER_hh_emi!Q23=0,0,1000000*SER_hh_emi!Q23/SER_hh_num!Q23)</f>
        <v>4231.185757849571</v>
      </c>
      <c r="R23" s="132">
        <f>IF(SER_hh_emi!R23=0,0,1000000*SER_hh_emi!R23/SER_hh_num!R23)</f>
        <v>4153.4322021860025</v>
      </c>
      <c r="S23" s="132">
        <f>IF(SER_hh_emi!S23=0,0,1000000*SER_hh_emi!S23/SER_hh_num!S23)</f>
        <v>4006.2584491529801</v>
      </c>
      <c r="T23" s="132">
        <f>IF(SER_hh_emi!T23=0,0,1000000*SER_hh_emi!T23/SER_hh_num!T23)</f>
        <v>3852.5308308678582</v>
      </c>
      <c r="U23" s="132">
        <f>IF(SER_hh_emi!U23=0,0,1000000*SER_hh_emi!U23/SER_hh_num!U23)</f>
        <v>3654.1969623356463</v>
      </c>
      <c r="V23" s="132">
        <f>IF(SER_hh_emi!V23=0,0,1000000*SER_hh_emi!V23/SER_hh_num!V23)</f>
        <v>3308.0965644288394</v>
      </c>
      <c r="W23" s="132">
        <f>IF(SER_hh_emi!W23=0,0,1000000*SER_hh_emi!W23/SER_hh_num!W23)</f>
        <v>3305.2808161352955</v>
      </c>
      <c r="X23" s="132">
        <f>IF(SER_hh_emi!X23=0,0,1000000*SER_hh_emi!X23/SER_hh_num!X23)</f>
        <v>3421.3088535353522</v>
      </c>
      <c r="Y23" s="132">
        <f>IF(SER_hh_emi!Y23=0,0,1000000*SER_hh_emi!Y23/SER_hh_num!Y23)</f>
        <v>3452.3409167794621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2368.4823520569471</v>
      </c>
      <c r="C24" s="132">
        <f>IF(SER_hh_emi!C24=0,0,1000000*SER_hh_emi!C24/SER_hh_num!C24)</f>
        <v>2486.7906379354545</v>
      </c>
      <c r="D24" s="132">
        <f>IF(SER_hh_emi!D24=0,0,1000000*SER_hh_emi!D24/SER_hh_num!D24)</f>
        <v>2420.436731141112</v>
      </c>
      <c r="E24" s="132">
        <f>IF(SER_hh_emi!E24=0,0,1000000*SER_hh_emi!E24/SER_hh_num!E24)</f>
        <v>2178.510311945277</v>
      </c>
      <c r="F24" s="132">
        <f>IF(SER_hh_emi!F24=0,0,1000000*SER_hh_emi!F24/SER_hh_num!F24)</f>
        <v>1616.2262442366462</v>
      </c>
      <c r="G24" s="132">
        <f>IF(SER_hh_emi!G24=0,0,1000000*SER_hh_emi!G24/SER_hh_num!G24)</f>
        <v>4014.5968536054697</v>
      </c>
      <c r="H24" s="132">
        <f>IF(SER_hh_emi!H24=0,0,1000000*SER_hh_emi!H24/SER_hh_num!H24)</f>
        <v>2501.9260510022664</v>
      </c>
      <c r="I24" s="132">
        <f>IF(SER_hh_emi!I24=0,0,1000000*SER_hh_emi!I24/SER_hh_num!I24)</f>
        <v>1197.4362091682181</v>
      </c>
      <c r="J24" s="132">
        <f>IF(SER_hh_emi!J24=0,0,1000000*SER_hh_emi!J24/SER_hh_num!J24)</f>
        <v>232.83126287742067</v>
      </c>
      <c r="K24" s="132">
        <f>IF(SER_hh_emi!K24=0,0,1000000*SER_hh_emi!K24/SER_hh_num!K24)</f>
        <v>232.07331096059661</v>
      </c>
      <c r="L24" s="132">
        <f>IF(SER_hh_emi!L24=0,0,1000000*SER_hh_emi!L24/SER_hh_num!L24)</f>
        <v>201.25523416714753</v>
      </c>
      <c r="M24" s="132">
        <f>IF(SER_hh_emi!M24=0,0,1000000*SER_hh_emi!M24/SER_hh_num!M24)</f>
        <v>201.92185716477726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1106.1370037878953</v>
      </c>
      <c r="C29" s="130">
        <f>IF(SER_hh_emi!C29=0,0,1000000*SER_hh_emi!C29/SER_hh_num!C29)</f>
        <v>1343.5546713140357</v>
      </c>
      <c r="D29" s="130">
        <f>IF(SER_hh_emi!D29=0,0,1000000*SER_hh_emi!D29/SER_hh_num!D29)</f>
        <v>1966.2064214942045</v>
      </c>
      <c r="E29" s="130">
        <f>IF(SER_hh_emi!E29=0,0,1000000*SER_hh_emi!E29/SER_hh_num!E29)</f>
        <v>2214.9726942768716</v>
      </c>
      <c r="F29" s="130">
        <f>IF(SER_hh_emi!F29=0,0,1000000*SER_hh_emi!F29/SER_hh_num!F29)</f>
        <v>2485.4810023386744</v>
      </c>
      <c r="G29" s="130">
        <f>IF(SER_hh_emi!G29=0,0,1000000*SER_hh_emi!G29/SER_hh_num!G29)</f>
        <v>2179.5009837337161</v>
      </c>
      <c r="H29" s="130">
        <f>IF(SER_hh_emi!H29=0,0,1000000*SER_hh_emi!H29/SER_hh_num!H29)</f>
        <v>2128.4085896079096</v>
      </c>
      <c r="I29" s="130">
        <f>IF(SER_hh_emi!I29=0,0,1000000*SER_hh_emi!I29/SER_hh_num!I29)</f>
        <v>1791.2951697874255</v>
      </c>
      <c r="J29" s="130">
        <f>IF(SER_hh_emi!J29=0,0,1000000*SER_hh_emi!J29/SER_hh_num!J29)</f>
        <v>1638.0144519750011</v>
      </c>
      <c r="K29" s="130">
        <f>IF(SER_hh_emi!K29=0,0,1000000*SER_hh_emi!K29/SER_hh_num!K29)</f>
        <v>1827.2175245526057</v>
      </c>
      <c r="L29" s="130">
        <f>IF(SER_hh_emi!L29=0,0,1000000*SER_hh_emi!L29/SER_hh_num!L29)</f>
        <v>2163.1220484660039</v>
      </c>
      <c r="M29" s="130">
        <f>IF(SER_hh_emi!M29=0,0,1000000*SER_hh_emi!M29/SER_hh_num!M29)</f>
        <v>2031.1673477036418</v>
      </c>
      <c r="N29" s="130">
        <f>IF(SER_hh_emi!N29=0,0,1000000*SER_hh_emi!N29/SER_hh_num!N29)</f>
        <v>1376.5218959427139</v>
      </c>
      <c r="O29" s="130">
        <f>IF(SER_hh_emi!O29=0,0,1000000*SER_hh_emi!O29/SER_hh_num!O29)</f>
        <v>1383.8962141394309</v>
      </c>
      <c r="P29" s="130">
        <f>IF(SER_hh_emi!P29=0,0,1000000*SER_hh_emi!P29/SER_hh_num!P29)</f>
        <v>1384.7808710401018</v>
      </c>
      <c r="Q29" s="130">
        <f>IF(SER_hh_emi!Q29=0,0,1000000*SER_hh_emi!Q29/SER_hh_num!Q29)</f>
        <v>1389.4259391109724</v>
      </c>
      <c r="R29" s="130">
        <f>IF(SER_hh_emi!R29=0,0,1000000*SER_hh_emi!R29/SER_hh_num!R29)</f>
        <v>1366.6682000030296</v>
      </c>
      <c r="S29" s="130">
        <f>IF(SER_hh_emi!S29=0,0,1000000*SER_hh_emi!S29/SER_hh_num!S29)</f>
        <v>1424.2038694833234</v>
      </c>
      <c r="T29" s="130">
        <f>IF(SER_hh_emi!T29=0,0,1000000*SER_hh_emi!T29/SER_hh_num!T29)</f>
        <v>1405.7646859016652</v>
      </c>
      <c r="U29" s="130">
        <f>IF(SER_hh_emi!U29=0,0,1000000*SER_hh_emi!U29/SER_hh_num!U29)</f>
        <v>1441.6970284986614</v>
      </c>
      <c r="V29" s="130">
        <f>IF(SER_hh_emi!V29=0,0,1000000*SER_hh_emi!V29/SER_hh_num!V29)</f>
        <v>1327.9829391691278</v>
      </c>
      <c r="W29" s="130">
        <f>IF(SER_hh_emi!W29=0,0,1000000*SER_hh_emi!W29/SER_hh_num!W29)</f>
        <v>1388.3436179850985</v>
      </c>
      <c r="X29" s="130">
        <f>IF(SER_hh_emi!X29=0,0,1000000*SER_hh_emi!X29/SER_hh_num!X29)</f>
        <v>1348.288027806351</v>
      </c>
      <c r="Y29" s="130">
        <f>IF(SER_hh_emi!Y29=0,0,1000000*SER_hh_emi!Y29/SER_hh_num!Y29)</f>
        <v>1420.2832056993564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1562.4185546175872</v>
      </c>
      <c r="C30" s="132">
        <f>IF(SER_hh_emi!C30=0,0,1000000*SER_hh_emi!C30/SER_hh_num!C30)</f>
        <v>2459.6483004467163</v>
      </c>
      <c r="D30" s="132">
        <f>IF(SER_hh_emi!D30=0,0,1000000*SER_hh_emi!D30/SER_hh_num!D30)</f>
        <v>5078.4144594806303</v>
      </c>
      <c r="E30" s="132">
        <f>IF(SER_hh_emi!E30=0,0,1000000*SER_hh_emi!E30/SER_hh_num!E30)</f>
        <v>5309.151390821371</v>
      </c>
      <c r="F30" s="132">
        <f>IF(SER_hh_emi!F30=0,0,1000000*SER_hh_emi!F30/SER_hh_num!F30)</f>
        <v>6343.9309932743981</v>
      </c>
      <c r="G30" s="132">
        <f>IF(SER_hh_emi!G30=0,0,1000000*SER_hh_emi!G30/SER_hh_num!G30)</f>
        <v>4707.9605052245925</v>
      </c>
      <c r="H30" s="132">
        <f>IF(SER_hh_emi!H30=0,0,1000000*SER_hh_emi!H30/SER_hh_num!H30)</f>
        <v>5007.4699704099639</v>
      </c>
      <c r="I30" s="132">
        <f>IF(SER_hh_emi!I30=0,0,1000000*SER_hh_emi!I30/SER_hh_num!I30)</f>
        <v>4188.9026352333012</v>
      </c>
      <c r="J30" s="132">
        <f>IF(SER_hh_emi!J30=0,0,1000000*SER_hh_emi!J30/SER_hh_num!J30)</f>
        <v>3123.2499066688943</v>
      </c>
      <c r="K30" s="132">
        <f>IF(SER_hh_emi!K30=0,0,1000000*SER_hh_emi!K30/SER_hh_num!K30)</f>
        <v>3900.359181216626</v>
      </c>
      <c r="L30" s="132">
        <f>IF(SER_hh_emi!L30=0,0,1000000*SER_hh_emi!L30/SER_hh_num!L30)</f>
        <v>6496.3454321465952</v>
      </c>
      <c r="M30" s="132">
        <f>IF(SER_hh_emi!M30=0,0,1000000*SER_hh_emi!M30/SER_hh_num!M30)</f>
        <v>6368.4249847690753</v>
      </c>
      <c r="N30" s="132">
        <f>IF(SER_hh_emi!N30=0,0,1000000*SER_hh_emi!N30/SER_hh_num!N30)</f>
        <v>1123.5842358465118</v>
      </c>
      <c r="O30" s="132">
        <f>IF(SER_hh_emi!O30=0,0,1000000*SER_hh_emi!O30/SER_hh_num!O30)</f>
        <v>2353.6194031732011</v>
      </c>
      <c r="P30" s="132">
        <f>IF(SER_hh_emi!P30=0,0,1000000*SER_hh_emi!P30/SER_hh_num!P30)</f>
        <v>4362.2457890555852</v>
      </c>
      <c r="Q30" s="132">
        <f>IF(SER_hh_emi!Q30=0,0,1000000*SER_hh_emi!Q30/SER_hh_num!Q30)</f>
        <v>4321.2227361309815</v>
      </c>
      <c r="R30" s="132">
        <f>IF(SER_hh_emi!R30=0,0,1000000*SER_hh_emi!R30/SER_hh_num!R30)</f>
        <v>3177.2787932994429</v>
      </c>
      <c r="S30" s="132">
        <f>IF(SER_hh_emi!S30=0,0,1000000*SER_hh_emi!S30/SER_hh_num!S30)</f>
        <v>5835.3226766136813</v>
      </c>
      <c r="T30" s="132">
        <f>IF(SER_hh_emi!T30=0,0,1000000*SER_hh_emi!T30/SER_hh_num!T30)</f>
        <v>4698.3930853585498</v>
      </c>
      <c r="U30" s="132">
        <f>IF(SER_hh_emi!U30=0,0,1000000*SER_hh_emi!U30/SER_hh_num!U30)</f>
        <v>4676.3373667679416</v>
      </c>
      <c r="V30" s="132">
        <f>IF(SER_hh_emi!V30=0,0,1000000*SER_hh_emi!V30/SER_hh_num!V30)</f>
        <v>4485.1477754219841</v>
      </c>
      <c r="W30" s="132">
        <f>IF(SER_hh_emi!W30=0,0,1000000*SER_hh_emi!W30/SER_hh_num!W30)</f>
        <v>5406.131193977586</v>
      </c>
      <c r="X30" s="132">
        <f>IF(SER_hh_emi!X30=0,0,1000000*SER_hh_emi!X30/SER_hh_num!X30)</f>
        <v>5021.9322466731774</v>
      </c>
      <c r="Y30" s="132">
        <f>IF(SER_hh_emi!Y30=0,0,1000000*SER_hh_emi!Y30/SER_hh_num!Y30)</f>
        <v>3078.7489146847706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3584.3271780205991</v>
      </c>
      <c r="C31" s="132">
        <f>IF(SER_hh_emi!C31=0,0,1000000*SER_hh_emi!C31/SER_hh_num!C31)</f>
        <v>3838.5808192323084</v>
      </c>
      <c r="D31" s="132">
        <f>IF(SER_hh_emi!D31=0,0,1000000*SER_hh_emi!D31/SER_hh_num!D31)</f>
        <v>3985.005732076057</v>
      </c>
      <c r="E31" s="132">
        <f>IF(SER_hh_emi!E31=0,0,1000000*SER_hh_emi!E31/SER_hh_num!E31)</f>
        <v>4033.6709377093102</v>
      </c>
      <c r="F31" s="132">
        <f>IF(SER_hh_emi!F31=0,0,1000000*SER_hh_emi!F31/SER_hh_num!F31)</f>
        <v>4129.1096543397161</v>
      </c>
      <c r="G31" s="132">
        <f>IF(SER_hh_emi!G31=0,0,1000000*SER_hh_emi!G31/SER_hh_num!G31)</f>
        <v>4104.253267875577</v>
      </c>
      <c r="H31" s="132">
        <f>IF(SER_hh_emi!H31=0,0,1000000*SER_hh_emi!H31/SER_hh_num!H31)</f>
        <v>4045.9994604685903</v>
      </c>
      <c r="I31" s="132">
        <f>IF(SER_hh_emi!I31=0,0,1000000*SER_hh_emi!I31/SER_hh_num!I31)</f>
        <v>3991.3895872940966</v>
      </c>
      <c r="J31" s="132">
        <f>IF(SER_hh_emi!J31=0,0,1000000*SER_hh_emi!J31/SER_hh_num!J31)</f>
        <v>3987.6478545891846</v>
      </c>
      <c r="K31" s="132">
        <f>IF(SER_hh_emi!K31=0,0,1000000*SER_hh_emi!K31/SER_hh_num!K31)</f>
        <v>4080.8895301583939</v>
      </c>
      <c r="L31" s="132">
        <f>IF(SER_hh_emi!L31=0,0,1000000*SER_hh_emi!L31/SER_hh_num!L31)</f>
        <v>4111.2376144655746</v>
      </c>
      <c r="M31" s="132">
        <f>IF(SER_hh_emi!M31=0,0,1000000*SER_hh_emi!M31/SER_hh_num!M31)</f>
        <v>4108.4110960723883</v>
      </c>
      <c r="N31" s="132">
        <f>IF(SER_hh_emi!N31=0,0,1000000*SER_hh_emi!N31/SER_hh_num!N31)</f>
        <v>4102.6505579160003</v>
      </c>
      <c r="O31" s="132">
        <f>IF(SER_hh_emi!O31=0,0,1000000*SER_hh_emi!O31/SER_hh_num!O31)</f>
        <v>4123.8621299088218</v>
      </c>
      <c r="P31" s="132">
        <f>IF(SER_hh_emi!P31=0,0,1000000*SER_hh_emi!P31/SER_hh_num!P31)</f>
        <v>4158.8535311080641</v>
      </c>
      <c r="Q31" s="132">
        <f>IF(SER_hh_emi!Q31=0,0,1000000*SER_hh_emi!Q31/SER_hh_num!Q31)</f>
        <v>4158.8214079113968</v>
      </c>
      <c r="R31" s="132">
        <f>IF(SER_hh_emi!R31=0,0,1000000*SER_hh_emi!R31/SER_hh_num!R31)</f>
        <v>4138.0639611562774</v>
      </c>
      <c r="S31" s="132">
        <f>IF(SER_hh_emi!S31=0,0,1000000*SER_hh_emi!S31/SER_hh_num!S31)</f>
        <v>4107.0786372164494</v>
      </c>
      <c r="T31" s="132">
        <f>IF(SER_hh_emi!T31=0,0,1000000*SER_hh_emi!T31/SER_hh_num!T31)</f>
        <v>4086.1307799874849</v>
      </c>
      <c r="U31" s="132">
        <f>IF(SER_hh_emi!U31=0,0,1000000*SER_hh_emi!U31/SER_hh_num!U31)</f>
        <v>4157.2626149660255</v>
      </c>
      <c r="V31" s="132">
        <f>IF(SER_hh_emi!V31=0,0,1000000*SER_hh_emi!V31/SER_hh_num!V31)</f>
        <v>3822.5334072477831</v>
      </c>
      <c r="W31" s="132">
        <f>IF(SER_hh_emi!W31=0,0,1000000*SER_hh_emi!W31/SER_hh_num!W31)</f>
        <v>3884.6672154413413</v>
      </c>
      <c r="X31" s="132">
        <f>IF(SER_hh_emi!X31=0,0,1000000*SER_hh_emi!X31/SER_hh_num!X31)</f>
        <v>3782.2905349380494</v>
      </c>
      <c r="Y31" s="132">
        <f>IF(SER_hh_emi!Y31=0,0,1000000*SER_hh_emi!Y31/SER_hh_num!Y31)</f>
        <v>4158.2127646349727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1733.3823113946271</v>
      </c>
      <c r="C32" s="132">
        <f>IF(SER_hh_emi!C32=0,0,1000000*SER_hh_emi!C32/SER_hh_num!C32)</f>
        <v>1851.615930431539</v>
      </c>
      <c r="D32" s="132">
        <f>IF(SER_hh_emi!D32=0,0,1000000*SER_hh_emi!D32/SER_hh_num!D32)</f>
        <v>1966.2243589821699</v>
      </c>
      <c r="E32" s="132">
        <f>IF(SER_hh_emi!E32=0,0,1000000*SER_hh_emi!E32/SER_hh_num!E32)</f>
        <v>1811.4125900655629</v>
      </c>
      <c r="F32" s="132">
        <f>IF(SER_hh_emi!F32=0,0,1000000*SER_hh_emi!F32/SER_hh_num!F32)</f>
        <v>1394.0422565181625</v>
      </c>
      <c r="G32" s="132">
        <f>IF(SER_hh_emi!G32=0,0,1000000*SER_hh_emi!G32/SER_hh_num!G32)</f>
        <v>3451.4070817394841</v>
      </c>
      <c r="H32" s="132">
        <f>IF(SER_hh_emi!H32=0,0,1000000*SER_hh_emi!H32/SER_hh_num!H32)</f>
        <v>2147.9852239905363</v>
      </c>
      <c r="I32" s="132">
        <f>IF(SER_hh_emi!I32=0,0,1000000*SER_hh_emi!I32/SER_hh_num!I32)</f>
        <v>1044.7158697074424</v>
      </c>
      <c r="J32" s="132">
        <f>IF(SER_hh_emi!J32=0,0,1000000*SER_hh_emi!J32/SER_hh_num!J32)</f>
        <v>205.75818208596559</v>
      </c>
      <c r="K32" s="132">
        <f>IF(SER_hh_emi!K32=0,0,1000000*SER_hh_emi!K32/SER_hh_num!K32)</f>
        <v>209.88889337945082</v>
      </c>
      <c r="L32" s="132">
        <f>IF(SER_hh_emi!L32=0,0,1000000*SER_hh_emi!L32/SER_hh_num!L32)</f>
        <v>200.89861338911854</v>
      </c>
      <c r="M32" s="132">
        <f>IF(SER_hh_emi!M32=0,0,1000000*SER_hh_emi!M32/SER_hh_num!M32)</f>
        <v>203.38780779270894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181.77314047920134</v>
      </c>
      <c r="C3" s="125">
        <f>IF(SER_hh_fech!C3=0,0,SER_hh_fech!C3/SER_summary!C$26)</f>
        <v>214.00218991119627</v>
      </c>
      <c r="D3" s="125">
        <f>IF(SER_hh_fech!D3=0,0,SER_hh_fech!D3/SER_summary!D$26)</f>
        <v>205.40972020279912</v>
      </c>
      <c r="E3" s="125">
        <f>IF(SER_hh_fech!E3=0,0,SER_hh_fech!E3/SER_summary!E$26)</f>
        <v>230.89413754834479</v>
      </c>
      <c r="F3" s="125">
        <f>IF(SER_hh_fech!F3=0,0,SER_hh_fech!F3/SER_summary!F$26)</f>
        <v>222.21064499651467</v>
      </c>
      <c r="G3" s="125">
        <f>IF(SER_hh_fech!G3=0,0,SER_hh_fech!G3/SER_summary!G$26)</f>
        <v>203.69389823463504</v>
      </c>
      <c r="H3" s="125">
        <f>IF(SER_hh_fech!H3=0,0,SER_hh_fech!H3/SER_summary!H$26)</f>
        <v>205.56463616069027</v>
      </c>
      <c r="I3" s="125">
        <f>IF(SER_hh_fech!I3=0,0,SER_hh_fech!I3/SER_summary!I$26)</f>
        <v>169.06039295663598</v>
      </c>
      <c r="J3" s="125">
        <f>IF(SER_hh_fech!J3=0,0,SER_hh_fech!J3/SER_summary!J$26)</f>
        <v>183.25947913557894</v>
      </c>
      <c r="K3" s="125">
        <f>IF(SER_hh_fech!K3=0,0,SER_hh_fech!K3/SER_summary!K$26)</f>
        <v>160.85289397745464</v>
      </c>
      <c r="L3" s="125">
        <f>IF(SER_hh_fech!L3=0,0,SER_hh_fech!L3/SER_summary!L$26)</f>
        <v>155.38700737535012</v>
      </c>
      <c r="M3" s="125">
        <f>IF(SER_hh_fech!M3=0,0,SER_hh_fech!M3/SER_summary!M$26)</f>
        <v>145.95149918285665</v>
      </c>
      <c r="N3" s="125">
        <f>IF(SER_hh_fech!N3=0,0,SER_hh_fech!N3/SER_summary!N$26)</f>
        <v>144.18320038336245</v>
      </c>
      <c r="O3" s="125">
        <f>IF(SER_hh_fech!O3=0,0,SER_hh_fech!O3/SER_summary!O$26)</f>
        <v>141.97080230024085</v>
      </c>
      <c r="P3" s="125">
        <f>IF(SER_hh_fech!P3=0,0,SER_hh_fech!P3/SER_summary!P$26)</f>
        <v>129.44244743427902</v>
      </c>
      <c r="Q3" s="125">
        <f>IF(SER_hh_fech!Q3=0,0,SER_hh_fech!Q3/SER_summary!Q$26)</f>
        <v>132.45010722629374</v>
      </c>
      <c r="R3" s="125">
        <f>IF(SER_hh_fech!R3=0,0,SER_hh_fech!R3/SER_summary!R$26)</f>
        <v>126.08956368109446</v>
      </c>
      <c r="S3" s="125">
        <f>IF(SER_hh_fech!S3=0,0,SER_hh_fech!S3/SER_summary!S$26)</f>
        <v>137.4357366479193</v>
      </c>
      <c r="T3" s="125">
        <f>IF(SER_hh_fech!T3=0,0,SER_hh_fech!T3/SER_summary!T$26)</f>
        <v>130.50303338578271</v>
      </c>
      <c r="U3" s="125">
        <f>IF(SER_hh_fech!U3=0,0,SER_hh_fech!U3/SER_summary!U$26)</f>
        <v>131.00681394576443</v>
      </c>
      <c r="V3" s="125">
        <f>IF(SER_hh_fech!V3=0,0,SER_hh_fech!V3/SER_summary!V$26)</f>
        <v>120.79108434938827</v>
      </c>
      <c r="W3" s="125">
        <f>IF(SER_hh_fech!W3=0,0,SER_hh_fech!W3/SER_summary!W$26)</f>
        <v>132.41519397230644</v>
      </c>
      <c r="X3" s="125">
        <f>IF(SER_hh_fech!X3=0,0,SER_hh_fech!X3/SER_summary!X$26)</f>
        <v>119.32439915468872</v>
      </c>
      <c r="Y3" s="125">
        <f>IF(SER_hh_fech!Y3=0,0,SER_hh_fech!Y3/SER_summary!Y$26)</f>
        <v>108.5720860961994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141.22836678611839</v>
      </c>
      <c r="C4" s="130">
        <f>IF(SER_hh_fech!C4=0,0,SER_hh_fech!C4/SER_summary!C$26)</f>
        <v>172.58905720158478</v>
      </c>
      <c r="D4" s="130">
        <f>IF(SER_hh_fech!D4=0,0,SER_hh_fech!D4/SER_summary!D$26)</f>
        <v>162.70933369036692</v>
      </c>
      <c r="E4" s="130">
        <f>IF(SER_hh_fech!E4=0,0,SER_hh_fech!E4/SER_summary!E$26)</f>
        <v>187.13179465726182</v>
      </c>
      <c r="F4" s="130">
        <f>IF(SER_hh_fech!F4=0,0,SER_hh_fech!F4/SER_summary!F$26)</f>
        <v>178.43479734769952</v>
      </c>
      <c r="G4" s="130">
        <f>IF(SER_hh_fech!G4=0,0,SER_hh_fech!G4/SER_summary!G$26)</f>
        <v>159.96358233492026</v>
      </c>
      <c r="H4" s="130">
        <f>IF(SER_hh_fech!H4=0,0,SER_hh_fech!H4/SER_summary!H$26)</f>
        <v>162.23079697646074</v>
      </c>
      <c r="I4" s="130">
        <f>IF(SER_hh_fech!I4=0,0,SER_hh_fech!I4/SER_summary!I$26)</f>
        <v>126.474745597915</v>
      </c>
      <c r="J4" s="130">
        <f>IF(SER_hh_fech!J4=0,0,SER_hh_fech!J4/SER_summary!J$26)</f>
        <v>141.50347548844624</v>
      </c>
      <c r="K4" s="130">
        <f>IF(SER_hh_fech!K4=0,0,SER_hh_fech!K4/SER_summary!K$26)</f>
        <v>117.2202887889695</v>
      </c>
      <c r="L4" s="130">
        <f>IF(SER_hh_fech!L4=0,0,SER_hh_fech!L4/SER_summary!L$26)</f>
        <v>112.45744027933556</v>
      </c>
      <c r="M4" s="130">
        <f>IF(SER_hh_fech!M4=0,0,SER_hh_fech!M4/SER_summary!M$26)</f>
        <v>103.2652010622876</v>
      </c>
      <c r="N4" s="130">
        <f>IF(SER_hh_fech!N4=0,0,SER_hh_fech!N4/SER_summary!N$26)</f>
        <v>102.58989512546398</v>
      </c>
      <c r="O4" s="130">
        <f>IF(SER_hh_fech!O4=0,0,SER_hh_fech!O4/SER_summary!O$26)</f>
        <v>100.2426279457973</v>
      </c>
      <c r="P4" s="130">
        <f>IF(SER_hh_fech!P4=0,0,SER_hh_fech!P4/SER_summary!P$26)</f>
        <v>87.517857814018583</v>
      </c>
      <c r="Q4" s="130">
        <f>IF(SER_hh_fech!Q4=0,0,SER_hh_fech!Q4/SER_summary!Q$26)</f>
        <v>90.559576298777273</v>
      </c>
      <c r="R4" s="130">
        <f>IF(SER_hh_fech!R4=0,0,SER_hh_fech!R4/SER_summary!R$26)</f>
        <v>84.622671011924425</v>
      </c>
      <c r="S4" s="130">
        <f>IF(SER_hh_fech!S4=0,0,SER_hh_fech!S4/SER_summary!S$26)</f>
        <v>96.345134521087701</v>
      </c>
      <c r="T4" s="130">
        <f>IF(SER_hh_fech!T4=0,0,SER_hh_fech!T4/SER_summary!T$26)</f>
        <v>90.185130230575098</v>
      </c>
      <c r="U4" s="130">
        <f>IF(SER_hh_fech!U4=0,0,SER_hh_fech!U4/SER_summary!U$26)</f>
        <v>91.324872384250398</v>
      </c>
      <c r="V4" s="130">
        <f>IF(SER_hh_fech!V4=0,0,SER_hh_fech!V4/SER_summary!V$26)</f>
        <v>83.154385081370194</v>
      </c>
      <c r="W4" s="130">
        <f>IF(SER_hh_fech!W4=0,0,SER_hh_fech!W4/SER_summary!W$26)</f>
        <v>94.527334722630769</v>
      </c>
      <c r="X4" s="130">
        <f>IF(SER_hh_fech!X4=0,0,SER_hh_fech!X4/SER_summary!X$26)</f>
        <v>81.391991714170018</v>
      </c>
      <c r="Y4" s="130">
        <f>IF(SER_hh_fech!Y4=0,0,SER_hh_fech!Y4/SER_summary!Y$26)</f>
        <v>70.314069278720282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160.64689422639654</v>
      </c>
      <c r="C5" s="132">
        <f>IF(SER_hh_fech!C5=0,0,SER_hh_fech!C5/SER_summary!C$26)</f>
        <v>192.70494775478076</v>
      </c>
      <c r="D5" s="132">
        <f>IF(SER_hh_fech!D5=0,0,SER_hh_fech!D5/SER_summary!D$26)</f>
        <v>153.23648318091861</v>
      </c>
      <c r="E5" s="132">
        <f>IF(SER_hh_fech!E5=0,0,SER_hh_fech!E5/SER_summary!E$26)</f>
        <v>229.90927766516717</v>
      </c>
      <c r="F5" s="132">
        <f>IF(SER_hh_fech!F5=0,0,SER_hh_fech!F5/SER_summary!F$26)</f>
        <v>195.31734888716409</v>
      </c>
      <c r="G5" s="132">
        <f>IF(SER_hh_fech!G5=0,0,SER_hh_fech!G5/SER_summary!G$26)</f>
        <v>190.63443006092848</v>
      </c>
      <c r="H5" s="132">
        <f>IF(SER_hh_fech!H5=0,0,SER_hh_fech!H5/SER_summary!H$26)</f>
        <v>178.12721438952536</v>
      </c>
      <c r="I5" s="132">
        <f>IF(SER_hh_fech!I5=0,0,SER_hh_fech!I5/SER_summary!I$26)</f>
        <v>174.41400388741448</v>
      </c>
      <c r="J5" s="132">
        <f>IF(SER_hh_fech!J5=0,0,SER_hh_fech!J5/SER_summary!J$26)</f>
        <v>145.72762680344172</v>
      </c>
      <c r="K5" s="132">
        <f>IF(SER_hh_fech!K5=0,0,SER_hh_fech!K5/SER_summary!K$26)</f>
        <v>135.39257144293714</v>
      </c>
      <c r="L5" s="132">
        <f>IF(SER_hh_fech!L5=0,0,SER_hh_fech!L5/SER_summary!L$26)</f>
        <v>187.58447001346605</v>
      </c>
      <c r="M5" s="132">
        <f>IF(SER_hh_fech!M5=0,0,SER_hh_fech!M5/SER_summary!M$26)</f>
        <v>183.83573830731933</v>
      </c>
      <c r="N5" s="132">
        <f>IF(SER_hh_fech!N5=0,0,SER_hh_fech!N5/SER_summary!N$26)</f>
        <v>7.5753024624341698</v>
      </c>
      <c r="O5" s="132">
        <f>IF(SER_hh_fech!O5=0,0,SER_hh_fech!O5/SER_summary!O$26)</f>
        <v>59.511572389644677</v>
      </c>
      <c r="P5" s="132">
        <f>IF(SER_hh_fech!P5=0,0,SER_hh_fech!P5/SER_summary!P$26)</f>
        <v>44.355909318414248</v>
      </c>
      <c r="Q5" s="132">
        <f>IF(SER_hh_fech!Q5=0,0,SER_hh_fech!Q5/SER_summary!Q$26)</f>
        <v>56.636452615746343</v>
      </c>
      <c r="R5" s="132">
        <f>IF(SER_hh_fech!R5=0,0,SER_hh_fech!R5/SER_summary!R$26)</f>
        <v>0</v>
      </c>
      <c r="S5" s="132">
        <f>IF(SER_hh_fech!S5=0,0,SER_hh_fech!S5/SER_summary!S$26)</f>
        <v>0</v>
      </c>
      <c r="T5" s="132">
        <f>IF(SER_hh_fech!T5=0,0,SER_hh_fech!T5/SER_summary!T$26)</f>
        <v>0</v>
      </c>
      <c r="U5" s="132">
        <f>IF(SER_hh_fech!U5=0,0,SER_hh_fech!U5/SER_summary!U$26)</f>
        <v>0</v>
      </c>
      <c r="V5" s="132">
        <f>IF(SER_hh_fech!V5=0,0,SER_hh_fech!V5/SER_summary!V$26)</f>
        <v>0</v>
      </c>
      <c r="W5" s="132">
        <f>IF(SER_hh_fech!W5=0,0,SER_hh_fech!W5/SER_summary!W$26)</f>
        <v>0</v>
      </c>
      <c r="X5" s="132">
        <f>IF(SER_hh_fech!X5=0,0,SER_hh_fech!X5/SER_summary!X$26)</f>
        <v>0</v>
      </c>
      <c r="Y5" s="132">
        <f>IF(SER_hh_fech!Y5=0,0,SER_hh_fech!Y5/SER_summary!Y$26)</f>
        <v>0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169.49781561641066</v>
      </c>
      <c r="C7" s="132">
        <f>IF(SER_hh_fech!C7=0,0,SER_hh_fech!C7/SER_summary!C$26)</f>
        <v>215.40451348386554</v>
      </c>
      <c r="D7" s="132">
        <f>IF(SER_hh_fech!D7=0,0,SER_hh_fech!D7/SER_summary!D$26)</f>
        <v>205.71786006354699</v>
      </c>
      <c r="E7" s="132">
        <f>IF(SER_hh_fech!E7=0,0,SER_hh_fech!E7/SER_summary!E$26)</f>
        <v>247.6339639628799</v>
      </c>
      <c r="F7" s="132">
        <f>IF(SER_hh_fech!F7=0,0,SER_hh_fech!F7/SER_summary!F$26)</f>
        <v>174.08721704704206</v>
      </c>
      <c r="G7" s="132">
        <f>IF(SER_hh_fech!G7=0,0,SER_hh_fech!G7/SER_summary!G$26)</f>
        <v>222.08820112198015</v>
      </c>
      <c r="H7" s="132">
        <f>IF(SER_hh_fech!H7=0,0,SER_hh_fech!H7/SER_summary!H$26)</f>
        <v>224.85517825276187</v>
      </c>
      <c r="I7" s="132">
        <f>IF(SER_hh_fech!I7=0,0,SER_hh_fech!I7/SER_summary!I$26)</f>
        <v>160.40565280836722</v>
      </c>
      <c r="J7" s="132">
        <f>IF(SER_hh_fech!J7=0,0,SER_hh_fech!J7/SER_summary!J$26)</f>
        <v>206.0043305595602</v>
      </c>
      <c r="K7" s="132">
        <f>IF(SER_hh_fech!K7=0,0,SER_hh_fech!K7/SER_summary!K$26)</f>
        <v>188.81081594611942</v>
      </c>
      <c r="L7" s="132">
        <f>IF(SER_hh_fech!L7=0,0,SER_hh_fech!L7/SER_summary!L$26)</f>
        <v>120.22987225178014</v>
      </c>
      <c r="M7" s="132">
        <f>IF(SER_hh_fech!M7=0,0,SER_hh_fech!M7/SER_summary!M$26)</f>
        <v>147.27350825377252</v>
      </c>
      <c r="N7" s="132">
        <f>IF(SER_hh_fech!N7=0,0,SER_hh_fech!N7/SER_summary!N$26)</f>
        <v>142.33963703358734</v>
      </c>
      <c r="O7" s="132">
        <f>IF(SER_hh_fech!O7=0,0,SER_hh_fech!O7/SER_summary!O$26)</f>
        <v>137.27314192873635</v>
      </c>
      <c r="P7" s="132">
        <f>IF(SER_hh_fech!P7=0,0,SER_hh_fech!P7/SER_summary!P$26)</f>
        <v>139.29203826842127</v>
      </c>
      <c r="Q7" s="132">
        <f>IF(SER_hh_fech!Q7=0,0,SER_hh_fech!Q7/SER_summary!Q$26)</f>
        <v>134.10100614979143</v>
      </c>
      <c r="R7" s="132">
        <f>IF(SER_hh_fech!R7=0,0,SER_hh_fech!R7/SER_summary!R$26)</f>
        <v>114.51926965020036</v>
      </c>
      <c r="S7" s="132">
        <f>IF(SER_hh_fech!S7=0,0,SER_hh_fech!S7/SER_summary!S$26)</f>
        <v>151.55626779273749</v>
      </c>
      <c r="T7" s="132">
        <f>IF(SER_hh_fech!T7=0,0,SER_hh_fech!T7/SER_summary!T$26)</f>
        <v>126.41997456630243</v>
      </c>
      <c r="U7" s="132">
        <f>IF(SER_hh_fech!U7=0,0,SER_hh_fech!U7/SER_summary!U$26)</f>
        <v>115.28326285324299</v>
      </c>
      <c r="V7" s="132">
        <f>IF(SER_hh_fech!V7=0,0,SER_hh_fech!V7/SER_summary!V$26)</f>
        <v>110.74629944783514</v>
      </c>
      <c r="W7" s="132">
        <f>IF(SER_hh_fech!W7=0,0,SER_hh_fech!W7/SER_summary!W$26)</f>
        <v>143.73176042645878</v>
      </c>
      <c r="X7" s="132">
        <f>IF(SER_hh_fech!X7=0,0,SER_hh_fech!X7/SER_summary!X$26)</f>
        <v>128.39198768259013</v>
      </c>
      <c r="Y7" s="132">
        <f>IF(SER_hh_fech!Y7=0,0,SER_hh_fech!Y7/SER_summary!Y$26)</f>
        <v>84.480011023738015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81.382939209226564</v>
      </c>
      <c r="C8" s="132">
        <f>IF(SER_hh_fech!C8=0,0,SER_hh_fech!C8/SER_summary!C$26)</f>
        <v>93.981050546847982</v>
      </c>
      <c r="D8" s="132">
        <f>IF(SER_hh_fech!D8=0,0,SER_hh_fech!D8/SER_summary!D$26)</f>
        <v>78.514015853420986</v>
      </c>
      <c r="E8" s="132">
        <f>IF(SER_hh_fech!E8=0,0,SER_hh_fech!E8/SER_summary!E$26)</f>
        <v>82.432132779961407</v>
      </c>
      <c r="F8" s="132">
        <f>IF(SER_hh_fech!F8=0,0,SER_hh_fech!F8/SER_summary!F$26)</f>
        <v>75.49928081359613</v>
      </c>
      <c r="G8" s="132">
        <f>IF(SER_hh_fech!G8=0,0,SER_hh_fech!G8/SER_summary!G$26)</f>
        <v>65.48793445450778</v>
      </c>
      <c r="H8" s="132">
        <f>IF(SER_hh_fech!H8=0,0,SER_hh_fech!H8/SER_summary!H$26)</f>
        <v>65.433681067514328</v>
      </c>
      <c r="I8" s="132">
        <f>IF(SER_hh_fech!I8=0,0,SER_hh_fech!I8/SER_summary!I$26)</f>
        <v>50.145225156049719</v>
      </c>
      <c r="J8" s="132">
        <f>IF(SER_hh_fech!J8=0,0,SER_hh_fech!J8/SER_summary!J$26)</f>
        <v>55.334870322588323</v>
      </c>
      <c r="K8" s="132">
        <f>IF(SER_hh_fech!K8=0,0,SER_hh_fech!K8/SER_summary!K$26)</f>
        <v>45.136501483540954</v>
      </c>
      <c r="L8" s="132">
        <f>IF(SER_hh_fech!L8=0,0,SER_hh_fech!L8/SER_summary!L$26)</f>
        <v>43.610786316929676</v>
      </c>
      <c r="M8" s="132">
        <f>IF(SER_hh_fech!M8=0,0,SER_hh_fech!M8/SER_summary!M$26)</f>
        <v>40.683969038246531</v>
      </c>
      <c r="N8" s="132">
        <f>IF(SER_hh_fech!N8=0,0,SER_hh_fech!N8/SER_summary!N$26)</f>
        <v>38.952138951129385</v>
      </c>
      <c r="O8" s="132">
        <f>IF(SER_hh_fech!O8=0,0,SER_hh_fech!O8/SER_summary!O$26)</f>
        <v>35.511192096490127</v>
      </c>
      <c r="P8" s="132">
        <f>IF(SER_hh_fech!P8=0,0,SER_hh_fech!P8/SER_summary!P$26)</f>
        <v>32.894274361292439</v>
      </c>
      <c r="Q8" s="132">
        <f>IF(SER_hh_fech!Q8=0,0,SER_hh_fech!Q8/SER_summary!Q$26)</f>
        <v>32.037511376578394</v>
      </c>
      <c r="R8" s="132">
        <f>IF(SER_hh_fech!R8=0,0,SER_hh_fech!R8/SER_summary!R$26)</f>
        <v>31.313854981232062</v>
      </c>
      <c r="S8" s="132">
        <f>IF(SER_hh_fech!S8=0,0,SER_hh_fech!S8/SER_summary!S$26)</f>
        <v>33.519681624143658</v>
      </c>
      <c r="T8" s="132">
        <f>IF(SER_hh_fech!T8=0,0,SER_hh_fech!T8/SER_summary!T$26)</f>
        <v>30.651022688291643</v>
      </c>
      <c r="U8" s="132">
        <f>IF(SER_hh_fech!U8=0,0,SER_hh_fech!U8/SER_summary!U$26)</f>
        <v>30.897249811361572</v>
      </c>
      <c r="V8" s="132">
        <f>IF(SER_hh_fech!V8=0,0,SER_hh_fech!V8/SER_summary!V$26)</f>
        <v>26.031416406710523</v>
      </c>
      <c r="W8" s="132">
        <f>IF(SER_hh_fech!W8=0,0,SER_hh_fech!W8/SER_summary!W$26)</f>
        <v>29.71302384204764</v>
      </c>
      <c r="X8" s="132">
        <f>IF(SER_hh_fech!X8=0,0,SER_hh_fech!X8/SER_summary!X$26)</f>
        <v>26.16105371795344</v>
      </c>
      <c r="Y8" s="132">
        <f>IF(SER_hh_fech!Y8=0,0,SER_hh_fech!Y8/SER_summary!Y$26)</f>
        <v>23.980815069635561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155.22995976531226</v>
      </c>
      <c r="C9" s="132">
        <f>IF(SER_hh_fech!C9=0,0,SER_hh_fech!C9/SER_summary!C$26)</f>
        <v>208.80934444486653</v>
      </c>
      <c r="D9" s="132">
        <f>IF(SER_hh_fech!D9=0,0,SER_hh_fech!D9/SER_summary!D$26)</f>
        <v>181.13151067045638</v>
      </c>
      <c r="E9" s="132">
        <f>IF(SER_hh_fech!E9=0,0,SER_hh_fech!E9/SER_summary!E$26)</f>
        <v>210.4185800323518</v>
      </c>
      <c r="F9" s="132">
        <f>IF(SER_hh_fech!F9=0,0,SER_hh_fech!F9/SER_summary!F$26)</f>
        <v>276.18723064774946</v>
      </c>
      <c r="G9" s="132">
        <f>IF(SER_hh_fech!G9=0,0,SER_hh_fech!G9/SER_summary!G$26)</f>
        <v>155.67451891870039</v>
      </c>
      <c r="H9" s="132">
        <f>IF(SER_hh_fech!H9=0,0,SER_hh_fech!H9/SER_summary!H$26)</f>
        <v>192.47904822859977</v>
      </c>
      <c r="I9" s="132">
        <f>IF(SER_hh_fech!I9=0,0,SER_hh_fech!I9/SER_summary!I$26)</f>
        <v>162.00524013080823</v>
      </c>
      <c r="J9" s="132">
        <f>IF(SER_hh_fech!J9=0,0,SER_hh_fech!J9/SER_summary!J$26)</f>
        <v>189.64663640762944</v>
      </c>
      <c r="K9" s="132">
        <f>IF(SER_hh_fech!K9=0,0,SER_hh_fech!K9/SER_summary!K$26)</f>
        <v>145.50050990531443</v>
      </c>
      <c r="L9" s="132">
        <f>IF(SER_hh_fech!L9=0,0,SER_hh_fech!L9/SER_summary!L$26)</f>
        <v>158.40556773254821</v>
      </c>
      <c r="M9" s="132">
        <f>IF(SER_hh_fech!M9=0,0,SER_hh_fech!M9/SER_summary!M$26)</f>
        <v>129.35500690986586</v>
      </c>
      <c r="N9" s="132">
        <f>IF(SER_hh_fech!N9=0,0,SER_hh_fech!N9/SER_summary!N$26)</f>
        <v>146.5578678382015</v>
      </c>
      <c r="O9" s="132">
        <f>IF(SER_hh_fech!O9=0,0,SER_hh_fech!O9/SER_summary!O$26)</f>
        <v>143.63633711460457</v>
      </c>
      <c r="P9" s="132">
        <f>IF(SER_hh_fech!P9=0,0,SER_hh_fech!P9/SER_summary!P$26)</f>
        <v>106.48397415058899</v>
      </c>
      <c r="Q9" s="132">
        <f>IF(SER_hh_fech!Q9=0,0,SER_hh_fech!Q9/SER_summary!Q$26)</f>
        <v>122.97153544134748</v>
      </c>
      <c r="R9" s="132">
        <f>IF(SER_hh_fech!R9=0,0,SER_hh_fech!R9/SER_summary!R$26)</f>
        <v>109.37320866910328</v>
      </c>
      <c r="S9" s="132">
        <f>IF(SER_hh_fech!S9=0,0,SER_hh_fech!S9/SER_summary!S$26)</f>
        <v>121.58922456381264</v>
      </c>
      <c r="T9" s="132">
        <f>IF(SER_hh_fech!T9=0,0,SER_hh_fech!T9/SER_summary!T$26)</f>
        <v>112.95943088546012</v>
      </c>
      <c r="U9" s="132">
        <f>IF(SER_hh_fech!U9=0,0,SER_hh_fech!U9/SER_summary!U$26)</f>
        <v>120.66362750418814</v>
      </c>
      <c r="V9" s="132">
        <f>IF(SER_hh_fech!V9=0,0,SER_hh_fech!V9/SER_summary!V$26)</f>
        <v>126.43569349874761</v>
      </c>
      <c r="W9" s="132">
        <f>IF(SER_hh_fech!W9=0,0,SER_hh_fech!W9/SER_summary!W$26)</f>
        <v>144.3640268296798</v>
      </c>
      <c r="X9" s="132">
        <f>IF(SER_hh_fech!X9=0,0,SER_hh_fech!X9/SER_summary!X$26)</f>
        <v>89.648971476743412</v>
      </c>
      <c r="Y9" s="132">
        <f>IF(SER_hh_fech!Y9=0,0,SER_hh_fech!Y9/SER_summary!Y$26)</f>
        <v>108.68193877980204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189.63036440701265</v>
      </c>
      <c r="C10" s="132">
        <f>IF(SER_hh_fech!C10=0,0,SER_hh_fech!C10/SER_summary!C$26)</f>
        <v>208.56685231246234</v>
      </c>
      <c r="D10" s="132">
        <f>IF(SER_hh_fech!D10=0,0,SER_hh_fech!D10/SER_summary!D$26)</f>
        <v>200.01624733259627</v>
      </c>
      <c r="E10" s="132">
        <f>IF(SER_hh_fech!E10=0,0,SER_hh_fech!E10/SER_summary!E$26)</f>
        <v>229.68896928629297</v>
      </c>
      <c r="F10" s="132">
        <f>IF(SER_hh_fech!F10=0,0,SER_hh_fech!F10/SER_summary!F$26)</f>
        <v>239.25540030169503</v>
      </c>
      <c r="G10" s="132">
        <f>IF(SER_hh_fech!G10=0,0,SER_hh_fech!G10/SER_summary!G$26)</f>
        <v>192.16523771070928</v>
      </c>
      <c r="H10" s="132">
        <f>IF(SER_hh_fech!H10=0,0,SER_hh_fech!H10/SER_summary!H$26)</f>
        <v>207.03253271106075</v>
      </c>
      <c r="I10" s="132">
        <f>IF(SER_hh_fech!I10=0,0,SER_hh_fech!I10/SER_summary!I$26)</f>
        <v>190.39135881846465</v>
      </c>
      <c r="J10" s="132">
        <f>IF(SER_hh_fech!J10=0,0,SER_hh_fech!J10/SER_summary!J$26)</f>
        <v>158.90541969840072</v>
      </c>
      <c r="K10" s="132">
        <f>IF(SER_hh_fech!K10=0,0,SER_hh_fech!K10/SER_summary!K$26)</f>
        <v>151.53872741240608</v>
      </c>
      <c r="L10" s="132">
        <f>IF(SER_hh_fech!L10=0,0,SER_hh_fech!L10/SER_summary!L$26)</f>
        <v>187.70162593977813</v>
      </c>
      <c r="M10" s="132">
        <f>IF(SER_hh_fech!M10=0,0,SER_hh_fech!M10/SER_summary!M$26)</f>
        <v>156.65727950026283</v>
      </c>
      <c r="N10" s="132">
        <f>IF(SER_hh_fech!N10=0,0,SER_hh_fech!N10/SER_summary!N$26)</f>
        <v>112.3855076856312</v>
      </c>
      <c r="O10" s="132">
        <f>IF(SER_hh_fech!O10=0,0,SER_hh_fech!O10/SER_summary!O$26)</f>
        <v>150.83357206948196</v>
      </c>
      <c r="P10" s="132">
        <f>IF(SER_hh_fech!P10=0,0,SER_hh_fech!P10/SER_summary!P$26)</f>
        <v>120.80625836757866</v>
      </c>
      <c r="Q10" s="132">
        <f>IF(SER_hh_fech!Q10=0,0,SER_hh_fech!Q10/SER_summary!Q$26)</f>
        <v>149.83930503533168</v>
      </c>
      <c r="R10" s="132">
        <f>IF(SER_hh_fech!R10=0,0,SER_hh_fech!R10/SER_summary!R$26)</f>
        <v>101.70306001749954</v>
      </c>
      <c r="S10" s="132">
        <f>IF(SER_hh_fech!S10=0,0,SER_hh_fech!S10/SER_summary!S$26)</f>
        <v>157.52205198703763</v>
      </c>
      <c r="T10" s="132">
        <f>IF(SER_hh_fech!T10=0,0,SER_hh_fech!T10/SER_summary!T$26)</f>
        <v>145.49787955664289</v>
      </c>
      <c r="U10" s="132">
        <f>IF(SER_hh_fech!U10=0,0,SER_hh_fech!U10/SER_summary!U$26)</f>
        <v>146.97902599326099</v>
      </c>
      <c r="V10" s="132">
        <f>IF(SER_hh_fech!V10=0,0,SER_hh_fech!V10/SER_summary!V$26)</f>
        <v>136.48591088635877</v>
      </c>
      <c r="W10" s="132">
        <f>IF(SER_hh_fech!W10=0,0,SER_hh_fech!W10/SER_summary!W$26)</f>
        <v>163.93257500411437</v>
      </c>
      <c r="X10" s="132">
        <f>IF(SER_hh_fech!X10=0,0,SER_hh_fech!X10/SER_summary!X$26)</f>
        <v>141.98496355634114</v>
      </c>
      <c r="Y10" s="132">
        <f>IF(SER_hh_fech!Y10=0,0,SER_hh_fech!Y10/SER_summary!Y$26)</f>
        <v>104.66285115601211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118.87112014869041</v>
      </c>
      <c r="C11" s="132">
        <f>IF(SER_hh_fech!C11=0,0,SER_hh_fech!C11/SER_summary!C$26)</f>
        <v>104.51182223666032</v>
      </c>
      <c r="D11" s="132">
        <f>IF(SER_hh_fech!D11=0,0,SER_hh_fech!D11/SER_summary!D$26)</f>
        <v>156.22027967079589</v>
      </c>
      <c r="E11" s="132">
        <f>IF(SER_hh_fech!E11=0,0,SER_hh_fech!E11/SER_summary!E$26)</f>
        <v>128.3194507321945</v>
      </c>
      <c r="F11" s="132">
        <f>IF(SER_hh_fech!F11=0,0,SER_hh_fech!F11/SER_summary!F$26)</f>
        <v>126.7076471825936</v>
      </c>
      <c r="G11" s="132">
        <f>IF(SER_hh_fech!G11=0,0,SER_hh_fech!G11/SER_summary!G$26)</f>
        <v>137.51308149997459</v>
      </c>
      <c r="H11" s="132">
        <f>IF(SER_hh_fech!H11=0,0,SER_hh_fech!H11/SER_summary!H$26)</f>
        <v>129.34806921871467</v>
      </c>
      <c r="I11" s="132">
        <f>IF(SER_hh_fech!I11=0,0,SER_hh_fech!I11/SER_summary!I$26)</f>
        <v>108.58004131104146</v>
      </c>
      <c r="J11" s="132">
        <f>IF(SER_hh_fech!J11=0,0,SER_hh_fech!J11/SER_summary!J$26)</f>
        <v>108.78576886156394</v>
      </c>
      <c r="K11" s="132">
        <f>IF(SER_hh_fech!K11=0,0,SER_hh_fech!K11/SER_summary!K$26)</f>
        <v>106.22923874747534</v>
      </c>
      <c r="L11" s="132">
        <f>IF(SER_hh_fech!L11=0,0,SER_hh_fech!L11/SER_summary!L$26)</f>
        <v>109.75341047703273</v>
      </c>
      <c r="M11" s="132">
        <f>IF(SER_hh_fech!M11=0,0,SER_hh_fech!M11/SER_summary!M$26)</f>
        <v>90.62355356171021</v>
      </c>
      <c r="N11" s="132">
        <f>IF(SER_hh_fech!N11=0,0,SER_hh_fech!N11/SER_summary!N$26)</f>
        <v>106.26516647234226</v>
      </c>
      <c r="O11" s="132">
        <f>IF(SER_hh_fech!O11=0,0,SER_hh_fech!O11/SER_summary!O$26)</f>
        <v>100.93885757666641</v>
      </c>
      <c r="P11" s="132">
        <f>IF(SER_hh_fech!P11=0,0,SER_hh_fech!P11/SER_summary!P$26)</f>
        <v>82.452689485601866</v>
      </c>
      <c r="Q11" s="132">
        <f>IF(SER_hh_fech!Q11=0,0,SER_hh_fech!Q11/SER_summary!Q$26)</f>
        <v>86.349496873449922</v>
      </c>
      <c r="R11" s="132">
        <f>IF(SER_hh_fech!R11=0,0,SER_hh_fech!R11/SER_summary!R$26)</f>
        <v>77.115809544870743</v>
      </c>
      <c r="S11" s="132">
        <f>IF(SER_hh_fech!S11=0,0,SER_hh_fech!S11/SER_summary!S$26)</f>
        <v>111.98357627263638</v>
      </c>
      <c r="T11" s="132">
        <f>IF(SER_hh_fech!T11=0,0,SER_hh_fech!T11/SER_summary!T$26)</f>
        <v>95.869713634896314</v>
      </c>
      <c r="U11" s="132">
        <f>IF(SER_hh_fech!U11=0,0,SER_hh_fech!U11/SER_summary!U$26)</f>
        <v>94.296542457346959</v>
      </c>
      <c r="V11" s="132">
        <f>IF(SER_hh_fech!V11=0,0,SER_hh_fech!V11/SER_summary!V$26)</f>
        <v>97.817794151548966</v>
      </c>
      <c r="W11" s="132">
        <f>IF(SER_hh_fech!W11=0,0,SER_hh_fech!W11/SER_summary!W$26)</f>
        <v>87.591753945205539</v>
      </c>
      <c r="X11" s="132">
        <f>IF(SER_hh_fech!X11=0,0,SER_hh_fech!X11/SER_summary!X$26)</f>
        <v>89.042469082459348</v>
      </c>
      <c r="Y11" s="132">
        <f>IF(SER_hh_fech!Y11=0,0,SER_hh_fech!Y11/SER_summary!Y$26)</f>
        <v>84.427208331731137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110.41511825766091</v>
      </c>
      <c r="C12" s="132">
        <f>IF(SER_hh_fech!C12=0,0,SER_hh_fech!C12/SER_summary!C$26)</f>
        <v>119.64973198818463</v>
      </c>
      <c r="D12" s="132">
        <f>IF(SER_hh_fech!D12=0,0,SER_hh_fech!D12/SER_summary!D$26)</f>
        <v>123.66747582024453</v>
      </c>
      <c r="E12" s="132">
        <f>IF(SER_hh_fech!E12=0,0,SER_hh_fech!E12/SER_summary!E$26)</f>
        <v>129.84329118543172</v>
      </c>
      <c r="F12" s="132">
        <f>IF(SER_hh_fech!F12=0,0,SER_hh_fech!F12/SER_summary!F$26)</f>
        <v>125.32545261902941</v>
      </c>
      <c r="G12" s="132">
        <f>IF(SER_hh_fech!G12=0,0,SER_hh_fech!G12/SER_summary!G$26)</f>
        <v>133.63841326872117</v>
      </c>
      <c r="H12" s="132">
        <f>IF(SER_hh_fech!H12=0,0,SER_hh_fech!H12/SER_summary!H$26)</f>
        <v>129.64106751326395</v>
      </c>
      <c r="I12" s="132">
        <f>IF(SER_hh_fech!I12=0,0,SER_hh_fech!I12/SER_summary!I$26)</f>
        <v>103.36050451593488</v>
      </c>
      <c r="J12" s="132">
        <f>IF(SER_hh_fech!J12=0,0,SER_hh_fech!J12/SER_summary!J$26)</f>
        <v>109.40809291271908</v>
      </c>
      <c r="K12" s="132">
        <f>IF(SER_hh_fech!K12=0,0,SER_hh_fech!K12/SER_summary!K$26)</f>
        <v>106.33584152408193</v>
      </c>
      <c r="L12" s="132">
        <f>IF(SER_hh_fech!L12=0,0,SER_hh_fech!L12/SER_summary!L$26)</f>
        <v>105.55239363994903</v>
      </c>
      <c r="M12" s="132">
        <f>IF(SER_hh_fech!M12=0,0,SER_hh_fech!M12/SER_summary!M$26)</f>
        <v>99.586046187354427</v>
      </c>
      <c r="N12" s="132">
        <f>IF(SER_hh_fech!N12=0,0,SER_hh_fech!N12/SER_summary!N$26)</f>
        <v>100.28595291852896</v>
      </c>
      <c r="O12" s="132">
        <f>IF(SER_hh_fech!O12=0,0,SER_hh_fech!O12/SER_summary!O$26)</f>
        <v>97.651085967447486</v>
      </c>
      <c r="P12" s="132">
        <f>IF(SER_hh_fech!P12=0,0,SER_hh_fech!P12/SER_summary!P$26)</f>
        <v>85.907772327520803</v>
      </c>
      <c r="Q12" s="132">
        <f>IF(SER_hh_fech!Q12=0,0,SER_hh_fech!Q12/SER_summary!Q$26)</f>
        <v>88.82670033310302</v>
      </c>
      <c r="R12" s="132">
        <f>IF(SER_hh_fech!R12=0,0,SER_hh_fech!R12/SER_summary!R$26)</f>
        <v>93.994886155052228</v>
      </c>
      <c r="S12" s="132">
        <f>IF(SER_hh_fech!S12=0,0,SER_hh_fech!S12/SER_summary!S$26)</f>
        <v>98.805426681930911</v>
      </c>
      <c r="T12" s="132">
        <f>IF(SER_hh_fech!T12=0,0,SER_hh_fech!T12/SER_summary!T$26)</f>
        <v>91.50988337779016</v>
      </c>
      <c r="U12" s="132">
        <f>IF(SER_hh_fech!U12=0,0,SER_hh_fech!U12/SER_summary!U$26)</f>
        <v>95.184441396404878</v>
      </c>
      <c r="V12" s="132">
        <f>IF(SER_hh_fech!V12=0,0,SER_hh_fech!V12/SER_summary!V$26)</f>
        <v>86.235532296060654</v>
      </c>
      <c r="W12" s="132">
        <f>IF(SER_hh_fech!W12=0,0,SER_hh_fech!W12/SER_summary!W$26)</f>
        <v>100.23174150850183</v>
      </c>
      <c r="X12" s="132">
        <f>IF(SER_hh_fech!X12=0,0,SER_hh_fech!X12/SER_summary!X$26)</f>
        <v>89.389167403754527</v>
      </c>
      <c r="Y12" s="132">
        <f>IF(SER_hh_fech!Y12=0,0,SER_hh_fech!Y12/SER_summary!Y$26)</f>
        <v>84.013114256877188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51.225244055090968</v>
      </c>
      <c r="C13" s="132">
        <f>IF(SER_hh_fech!C13=0,0,SER_hh_fech!C13/SER_summary!C$26)</f>
        <v>49.208613145534166</v>
      </c>
      <c r="D13" s="132">
        <f>IF(SER_hh_fech!D13=0,0,SER_hh_fech!D13/SER_summary!D$26)</f>
        <v>44.44432449839875</v>
      </c>
      <c r="E13" s="132">
        <f>IF(SER_hh_fech!E13=0,0,SER_hh_fech!E13/SER_summary!E$26)</f>
        <v>44.455783810310464</v>
      </c>
      <c r="F13" s="132">
        <f>IF(SER_hh_fech!F13=0,0,SER_hh_fech!F13/SER_summary!F$26)</f>
        <v>42.817360807888456</v>
      </c>
      <c r="G13" s="132">
        <f>IF(SER_hh_fech!G13=0,0,SER_hh_fech!G13/SER_summary!G$26)</f>
        <v>38.209554184822913</v>
      </c>
      <c r="H13" s="132">
        <f>IF(SER_hh_fech!H13=0,0,SER_hh_fech!H13/SER_summary!H$26)</f>
        <v>36.817882413372786</v>
      </c>
      <c r="I13" s="132">
        <f>IF(SER_hh_fech!I13=0,0,SER_hh_fech!I13/SER_summary!I$26)</f>
        <v>31.151249064285079</v>
      </c>
      <c r="J13" s="132">
        <f>IF(SER_hh_fech!J13=0,0,SER_hh_fech!J13/SER_summary!J$26)</f>
        <v>35.285128022187664</v>
      </c>
      <c r="K13" s="132">
        <f>IF(SER_hh_fech!K13=0,0,SER_hh_fech!K13/SER_summary!K$26)</f>
        <v>27.297389677252056</v>
      </c>
      <c r="L13" s="132">
        <f>IF(SER_hh_fech!L13=0,0,SER_hh_fech!L13/SER_summary!L$26)</f>
        <v>26.496311825189458</v>
      </c>
      <c r="M13" s="132">
        <f>IF(SER_hh_fech!M13=0,0,SER_hh_fech!M13/SER_summary!M$26)</f>
        <v>26.508745539127457</v>
      </c>
      <c r="N13" s="132">
        <f>IF(SER_hh_fech!N13=0,0,SER_hh_fech!N13/SER_summary!N$26)</f>
        <v>25.244820703990733</v>
      </c>
      <c r="O13" s="132">
        <f>IF(SER_hh_fech!O13=0,0,SER_hh_fech!O13/SER_summary!O$26)</f>
        <v>24.790606302414904</v>
      </c>
      <c r="P13" s="132">
        <f>IF(SER_hh_fech!P13=0,0,SER_hh_fech!P13/SER_summary!P$26)</f>
        <v>25.541497709576539</v>
      </c>
      <c r="Q13" s="132">
        <f>IF(SER_hh_fech!Q13=0,0,SER_hh_fech!Q13/SER_summary!Q$26)</f>
        <v>21.127513903607017</v>
      </c>
      <c r="R13" s="132">
        <f>IF(SER_hh_fech!R13=0,0,SER_hh_fech!R13/SER_summary!R$26)</f>
        <v>21.422195638833781</v>
      </c>
      <c r="S13" s="132">
        <f>IF(SER_hh_fech!S13=0,0,SER_hh_fech!S13/SER_summary!S$26)</f>
        <v>23.042931705868185</v>
      </c>
      <c r="T13" s="132">
        <f>IF(SER_hh_fech!T13=0,0,SER_hh_fech!T13/SER_summary!T$26)</f>
        <v>22.201111769303921</v>
      </c>
      <c r="U13" s="132">
        <f>IF(SER_hh_fech!U13=0,0,SER_hh_fech!U13/SER_summary!U$26)</f>
        <v>25.035846273277102</v>
      </c>
      <c r="V13" s="132">
        <f>IF(SER_hh_fech!V13=0,0,SER_hh_fech!V13/SER_summary!V$26)</f>
        <v>16.132641774822634</v>
      </c>
      <c r="W13" s="132">
        <f>IF(SER_hh_fech!W13=0,0,SER_hh_fech!W13/SER_summary!W$26)</f>
        <v>13.895680070431229</v>
      </c>
      <c r="X13" s="132">
        <f>IF(SER_hh_fech!X13=0,0,SER_hh_fech!X13/SER_summary!X$26)</f>
        <v>17.907845157045887</v>
      </c>
      <c r="Y13" s="132">
        <f>IF(SER_hh_fech!Y13=0,0,SER_hh_fech!Y13/SER_summary!Y$26)</f>
        <v>19.545352639948959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127.95309076416386</v>
      </c>
      <c r="C14" s="65">
        <f>IF(SER_hh_fech!C14=0,0,SER_hh_fech!C14/SER_summary!C$26)</f>
        <v>137.43788830187114</v>
      </c>
      <c r="D14" s="65">
        <f>IF(SER_hh_fech!D14=0,0,SER_hh_fech!D14/SER_summary!D$26)</f>
        <v>137.81362944275563</v>
      </c>
      <c r="E14" s="65">
        <f>IF(SER_hh_fech!E14=0,0,SER_hh_fech!E14/SER_summary!E$26)</f>
        <v>162.89614066694634</v>
      </c>
      <c r="F14" s="65">
        <f>IF(SER_hh_fech!F14=0,0,SER_hh_fech!F14/SER_summary!F$26)</f>
        <v>120.22073650285732</v>
      </c>
      <c r="G14" s="65">
        <f>IF(SER_hh_fech!G14=0,0,SER_hh_fech!G14/SER_summary!G$26)</f>
        <v>157.21133011296303</v>
      </c>
      <c r="H14" s="65">
        <f>IF(SER_hh_fech!H14=0,0,SER_hh_fech!H14/SER_summary!H$26)</f>
        <v>145.02119032568055</v>
      </c>
      <c r="I14" s="65">
        <f>IF(SER_hh_fech!I14=0,0,SER_hh_fech!I14/SER_summary!I$26)</f>
        <v>123.966117995822</v>
      </c>
      <c r="J14" s="65">
        <f>IF(SER_hh_fech!J14=0,0,SER_hh_fech!J14/SER_summary!J$26)</f>
        <v>147.47686762805168</v>
      </c>
      <c r="K14" s="65">
        <f>IF(SER_hh_fech!K14=0,0,SER_hh_fech!K14/SER_summary!K$26)</f>
        <v>94.014006570889791</v>
      </c>
      <c r="L14" s="65">
        <f>IF(SER_hh_fech!L14=0,0,SER_hh_fech!L14/SER_summary!L$26)</f>
        <v>119.27168679762136</v>
      </c>
      <c r="M14" s="65">
        <f>IF(SER_hh_fech!M14=0,0,SER_hh_fech!M14/SER_summary!M$26)</f>
        <v>109.02030288260768</v>
      </c>
      <c r="N14" s="65">
        <f>IF(SER_hh_fech!N14=0,0,SER_hh_fech!N14/SER_summary!N$26)</f>
        <v>107.90853763260294</v>
      </c>
      <c r="O14" s="65">
        <f>IF(SER_hh_fech!O14=0,0,SER_hh_fech!O14/SER_summary!O$26)</f>
        <v>107.23160988354968</v>
      </c>
      <c r="P14" s="65">
        <f>IF(SER_hh_fech!P14=0,0,SER_hh_fech!P14/SER_summary!P$26)</f>
        <v>102.12569071317066</v>
      </c>
      <c r="Q14" s="65">
        <f>IF(SER_hh_fech!Q14=0,0,SER_hh_fech!Q14/SER_summary!Q$26)</f>
        <v>104.30877615177862</v>
      </c>
      <c r="R14" s="65">
        <f>IF(SER_hh_fech!R14=0,0,SER_hh_fech!R14/SER_summary!R$26)</f>
        <v>78.389180264873289</v>
      </c>
      <c r="S14" s="65">
        <f>IF(SER_hh_fech!S14=0,0,SER_hh_fech!S14/SER_summary!S$26)</f>
        <v>103.53412160636779</v>
      </c>
      <c r="T14" s="65">
        <f>IF(SER_hh_fech!T14=0,0,SER_hh_fech!T14/SER_summary!T$26)</f>
        <v>115.16498967987815</v>
      </c>
      <c r="U14" s="65">
        <f>IF(SER_hh_fech!U14=0,0,SER_hh_fech!U14/SER_summary!U$26)</f>
        <v>106.53225649365002</v>
      </c>
      <c r="V14" s="65">
        <f>IF(SER_hh_fech!V14=0,0,SER_hh_fech!V14/SER_summary!V$26)</f>
        <v>90.444115534492809</v>
      </c>
      <c r="W14" s="65">
        <f>IF(SER_hh_fech!W14=0,0,SER_hh_fech!W14/SER_summary!W$26)</f>
        <v>95.806868387097211</v>
      </c>
      <c r="X14" s="65">
        <f>IF(SER_hh_fech!X14=0,0,SER_hh_fech!X14/SER_summary!X$26)</f>
        <v>110.45547889395404</v>
      </c>
      <c r="Y14" s="65">
        <f>IF(SER_hh_fech!Y14=0,0,SER_hh_fech!Y14/SER_summary!Y$26)</f>
        <v>72.104814068717189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1.1992907835468494</v>
      </c>
      <c r="C15" s="134">
        <f>IF(SER_hh_fech!C15=0,0,SER_hh_fech!C15/SER_summary!C$26)</f>
        <v>1.5578755530522546</v>
      </c>
      <c r="D15" s="134">
        <f>IF(SER_hh_fech!D15=0,0,SER_hh_fech!D15/SER_summary!D$26)</f>
        <v>1.4165682763308325</v>
      </c>
      <c r="E15" s="134">
        <f>IF(SER_hh_fech!E15=0,0,SER_hh_fech!E15/SER_summary!E$26)</f>
        <v>1.6259029255563331</v>
      </c>
      <c r="F15" s="134">
        <f>IF(SER_hh_fech!F15=0,0,SER_hh_fech!F15/SER_summary!F$26)</f>
        <v>1.6044940856772145</v>
      </c>
      <c r="G15" s="134">
        <f>IF(SER_hh_fech!G15=0,0,SER_hh_fech!G15/SER_summary!G$26)</f>
        <v>1.2464823270925773</v>
      </c>
      <c r="H15" s="134">
        <f>IF(SER_hh_fech!H15=0,0,SER_hh_fech!H15/SER_summary!H$26)</f>
        <v>1.2842399785440102</v>
      </c>
      <c r="I15" s="134">
        <f>IF(SER_hh_fech!I15=0,0,SER_hh_fech!I15/SER_summary!I$26)</f>
        <v>0.93697495504215478</v>
      </c>
      <c r="J15" s="134">
        <f>IF(SER_hh_fech!J15=0,0,SER_hh_fech!J15/SER_summary!J$26)</f>
        <v>1.0342565563648729</v>
      </c>
      <c r="K15" s="134">
        <f>IF(SER_hh_fech!K15=0,0,SER_hh_fech!K15/SER_summary!K$26)</f>
        <v>0.84322001711306183</v>
      </c>
      <c r="L15" s="134">
        <f>IF(SER_hh_fech!L15=0,0,SER_hh_fech!L15/SER_summary!L$26)</f>
        <v>0.71394717950755227</v>
      </c>
      <c r="M15" s="134">
        <f>IF(SER_hh_fech!M15=0,0,SER_hh_fech!M15/SER_summary!M$26)</f>
        <v>0.64672426505524794</v>
      </c>
      <c r="N15" s="134">
        <f>IF(SER_hh_fech!N15=0,0,SER_hh_fech!N15/SER_summary!N$26)</f>
        <v>0.67546738059717559</v>
      </c>
      <c r="O15" s="134">
        <f>IF(SER_hh_fech!O15=0,0,SER_hh_fech!O15/SER_summary!O$26)</f>
        <v>0.6886856110740972</v>
      </c>
      <c r="P15" s="134">
        <f>IF(SER_hh_fech!P15=0,0,SER_hh_fech!P15/SER_summary!P$26)</f>
        <v>0.59022206724808413</v>
      </c>
      <c r="Q15" s="134">
        <f>IF(SER_hh_fech!Q15=0,0,SER_hh_fech!Q15/SER_summary!Q$26)</f>
        <v>0.63485523713516245</v>
      </c>
      <c r="R15" s="134">
        <f>IF(SER_hh_fech!R15=0,0,SER_hh_fech!R15/SER_summary!R$26)</f>
        <v>0.60045464528550063</v>
      </c>
      <c r="S15" s="134">
        <f>IF(SER_hh_fech!S15=0,0,SER_hh_fech!S15/SER_summary!S$26)</f>
        <v>0.70513082630840063</v>
      </c>
      <c r="T15" s="134">
        <f>IF(SER_hh_fech!T15=0,0,SER_hh_fech!T15/SER_summary!T$26)</f>
        <v>0.6504712623965454</v>
      </c>
      <c r="U15" s="134">
        <f>IF(SER_hh_fech!U15=0,0,SER_hh_fech!U15/SER_summary!U$26)</f>
        <v>0.67384070766790416</v>
      </c>
      <c r="V15" s="134">
        <f>IF(SER_hh_fech!V15=0,0,SER_hh_fech!V15/SER_summary!V$26)</f>
        <v>0.65026067279707533</v>
      </c>
      <c r="W15" s="134">
        <f>IF(SER_hh_fech!W15=0,0,SER_hh_fech!W15/SER_summary!W$26)</f>
        <v>0.78357409348491913</v>
      </c>
      <c r="X15" s="134">
        <f>IF(SER_hh_fech!X15=0,0,SER_hh_fech!X15/SER_summary!X$26)</f>
        <v>0.61641955747985322</v>
      </c>
      <c r="Y15" s="134">
        <f>IF(SER_hh_fech!Y15=0,0,SER_hh_fech!Y15/SER_summary!Y$26)</f>
        <v>0.55693066580692763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12.07374241604137</v>
      </c>
      <c r="C16" s="130">
        <f>IF(SER_hh_fech!C16=0,0,SER_hh_fech!C16/SER_summary!C$26)</f>
        <v>11.560820930807914</v>
      </c>
      <c r="D16" s="130">
        <f>IF(SER_hh_fech!D16=0,0,SER_hh_fech!D16/SER_summary!D$26)</f>
        <v>11.16352258149206</v>
      </c>
      <c r="E16" s="130">
        <f>IF(SER_hh_fech!E16=0,0,SER_hh_fech!E16/SER_summary!E$26)</f>
        <v>12.024908774761268</v>
      </c>
      <c r="F16" s="130">
        <f>IF(SER_hh_fech!F16=0,0,SER_hh_fech!F16/SER_summary!F$26)</f>
        <v>10.223997536717487</v>
      </c>
      <c r="G16" s="130">
        <f>IF(SER_hh_fech!G16=0,0,SER_hh_fech!G16/SER_summary!G$26)</f>
        <v>9.8490198988945732</v>
      </c>
      <c r="H16" s="130">
        <f>IF(SER_hh_fech!H16=0,0,SER_hh_fech!H16/SER_summary!H$26)</f>
        <v>9.8349183305756505</v>
      </c>
      <c r="I16" s="130">
        <f>IF(SER_hh_fech!I16=0,0,SER_hh_fech!I16/SER_summary!I$26)</f>
        <v>9.2738390550681302</v>
      </c>
      <c r="J16" s="130">
        <f>IF(SER_hh_fech!J16=0,0,SER_hh_fech!J16/SER_summary!J$26)</f>
        <v>8.4959580304593967</v>
      </c>
      <c r="K16" s="130">
        <f>IF(SER_hh_fech!K16=0,0,SER_hh_fech!K16/SER_summary!K$26)</f>
        <v>8.4647751697152351</v>
      </c>
      <c r="L16" s="130">
        <f>IF(SER_hh_fech!L16=0,0,SER_hh_fech!L16/SER_summary!L$26)</f>
        <v>8.5352792245440821</v>
      </c>
      <c r="M16" s="130">
        <f>IF(SER_hh_fech!M16=0,0,SER_hh_fech!M16/SER_summary!M$26)</f>
        <v>8.107120705624471</v>
      </c>
      <c r="N16" s="130">
        <f>IF(SER_hh_fech!N16=0,0,SER_hh_fech!N16/SER_summary!N$26)</f>
        <v>8.1407268523428851</v>
      </c>
      <c r="O16" s="130">
        <f>IF(SER_hh_fech!O16=0,0,SER_hh_fech!O16/SER_summary!O$26)</f>
        <v>8.3644425204533714</v>
      </c>
      <c r="P16" s="130">
        <f>IF(SER_hh_fech!P16=0,0,SER_hh_fech!P16/SER_summary!P$26)</f>
        <v>7.1114422683786653</v>
      </c>
      <c r="Q16" s="130">
        <f>IF(SER_hh_fech!Q16=0,0,SER_hh_fech!Q16/SER_summary!Q$26)</f>
        <v>7.9798986614924567</v>
      </c>
      <c r="R16" s="130">
        <f>IF(SER_hh_fech!R16=0,0,SER_hh_fech!R16/SER_summary!R$26)</f>
        <v>6.6264202443352742</v>
      </c>
      <c r="S16" s="130">
        <f>IF(SER_hh_fech!S16=0,0,SER_hh_fech!S16/SER_summary!S$26)</f>
        <v>6.846711993444897</v>
      </c>
      <c r="T16" s="130">
        <f>IF(SER_hh_fech!T16=0,0,SER_hh_fech!T16/SER_summary!T$26)</f>
        <v>6.5504502868810199</v>
      </c>
      <c r="U16" s="130">
        <f>IF(SER_hh_fech!U16=0,0,SER_hh_fech!U16/SER_summary!U$26)</f>
        <v>6.5975105655828266</v>
      </c>
      <c r="V16" s="130">
        <f>IF(SER_hh_fech!V16=0,0,SER_hh_fech!V16/SER_summary!V$26)</f>
        <v>5.9171593415738259</v>
      </c>
      <c r="W16" s="130">
        <f>IF(SER_hh_fech!W16=0,0,SER_hh_fech!W16/SER_summary!W$26)</f>
        <v>5.986945659266377</v>
      </c>
      <c r="X16" s="130">
        <f>IF(SER_hh_fech!X16=0,0,SER_hh_fech!X16/SER_summary!X$26)</f>
        <v>6.0867790830878947</v>
      </c>
      <c r="Y16" s="130">
        <f>IF(SER_hh_fech!Y16=0,0,SER_hh_fech!Y16/SER_summary!Y$26)</f>
        <v>6.268925495544714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20.33368663153335</v>
      </c>
      <c r="C17" s="132">
        <f>IF(SER_hh_fech!C17=0,0,SER_hh_fech!C17/SER_summary!C$26)</f>
        <v>19.876952360840136</v>
      </c>
      <c r="D17" s="132">
        <f>IF(SER_hh_fech!D17=0,0,SER_hh_fech!D17/SER_summary!D$26)</f>
        <v>19.597787863844385</v>
      </c>
      <c r="E17" s="132">
        <f>IF(SER_hh_fech!E17=0,0,SER_hh_fech!E17/SER_summary!E$26)</f>
        <v>21.677699603132321</v>
      </c>
      <c r="F17" s="132">
        <f>IF(SER_hh_fech!F17=0,0,SER_hh_fech!F17/SER_summary!F$26)</f>
        <v>18.826851040430842</v>
      </c>
      <c r="G17" s="132">
        <f>IF(SER_hh_fech!G17=0,0,SER_hh_fech!G17/SER_summary!G$26)</f>
        <v>18.734433600530554</v>
      </c>
      <c r="H17" s="132">
        <f>IF(SER_hh_fech!H17=0,0,SER_hh_fech!H17/SER_summary!H$26)</f>
        <v>19.382164157740643</v>
      </c>
      <c r="I17" s="132">
        <f>IF(SER_hh_fech!I17=0,0,SER_hh_fech!I17/SER_summary!I$26)</f>
        <v>18.973768362047412</v>
      </c>
      <c r="J17" s="132">
        <f>IF(SER_hh_fech!J17=0,0,SER_hh_fech!J17/SER_summary!J$26)</f>
        <v>18.133284002514742</v>
      </c>
      <c r="K17" s="132">
        <f>IF(SER_hh_fech!K17=0,0,SER_hh_fech!K17/SER_summary!K$26)</f>
        <v>18.162647167442127</v>
      </c>
      <c r="L17" s="132">
        <f>IF(SER_hh_fech!L17=0,0,SER_hh_fech!L17/SER_summary!L$26)</f>
        <v>18.634525399291011</v>
      </c>
      <c r="M17" s="132">
        <f>IF(SER_hh_fech!M17=0,0,SER_hh_fech!M17/SER_summary!M$26)</f>
        <v>19.462546330056309</v>
      </c>
      <c r="N17" s="132">
        <f>IF(SER_hh_fech!N17=0,0,SER_hh_fech!N17/SER_summary!N$26)</f>
        <v>18.56866577200795</v>
      </c>
      <c r="O17" s="132">
        <f>IF(SER_hh_fech!O17=0,0,SER_hh_fech!O17/SER_summary!O$26)</f>
        <v>19.521179946927329</v>
      </c>
      <c r="P17" s="132">
        <f>IF(SER_hh_fech!P17=0,0,SER_hh_fech!P17/SER_summary!P$26)</f>
        <v>16.987824236261002</v>
      </c>
      <c r="Q17" s="132">
        <f>IF(SER_hh_fech!Q17=0,0,SER_hh_fech!Q17/SER_summary!Q$26)</f>
        <v>20.472832906305637</v>
      </c>
      <c r="R17" s="132">
        <f>IF(SER_hh_fech!R17=0,0,SER_hh_fech!R17/SER_summary!R$26)</f>
        <v>16.791800146264219</v>
      </c>
      <c r="S17" s="132">
        <f>IF(SER_hh_fech!S17=0,0,SER_hh_fech!S17/SER_summary!S$26)</f>
        <v>17.714470345819286</v>
      </c>
      <c r="T17" s="132">
        <f>IF(SER_hh_fech!T17=0,0,SER_hh_fech!T17/SER_summary!T$26)</f>
        <v>17.239478670825033</v>
      </c>
      <c r="U17" s="132">
        <f>IF(SER_hh_fech!U17=0,0,SER_hh_fech!U17/SER_summary!U$26)</f>
        <v>17.481731270207625</v>
      </c>
      <c r="V17" s="132">
        <f>IF(SER_hh_fech!V17=0,0,SER_hh_fech!V17/SER_summary!V$26)</f>
        <v>15.398483202941931</v>
      </c>
      <c r="W17" s="132">
        <f>IF(SER_hh_fech!W17=0,0,SER_hh_fech!W17/SER_summary!W$26)</f>
        <v>16.153083140344275</v>
      </c>
      <c r="X17" s="132">
        <f>IF(SER_hh_fech!X17=0,0,SER_hh_fech!X17/SER_summary!X$26)</f>
        <v>16.438730897395761</v>
      </c>
      <c r="Y17" s="132">
        <f>IF(SER_hh_fech!Y17=0,0,SER_hh_fech!Y17/SER_summary!Y$26)</f>
        <v>16.899516150366715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12.063827992491753</v>
      </c>
      <c r="C18" s="132">
        <f>IF(SER_hh_fech!C18=0,0,SER_hh_fech!C18/SER_summary!C$26)</f>
        <v>11.550289939518199</v>
      </c>
      <c r="D18" s="132">
        <f>IF(SER_hh_fech!D18=0,0,SER_hh_fech!D18/SER_summary!D$26)</f>
        <v>11.151274126947911</v>
      </c>
      <c r="E18" s="132">
        <f>IF(SER_hh_fech!E18=0,0,SER_hh_fech!E18/SER_summary!E$26)</f>
        <v>12.010770164712321</v>
      </c>
      <c r="F18" s="132">
        <f>IF(SER_hh_fech!F18=0,0,SER_hh_fech!F18/SER_summary!F$26)</f>
        <v>10.208127913986162</v>
      </c>
      <c r="G18" s="132">
        <f>IF(SER_hh_fech!G18=0,0,SER_hh_fech!G18/SER_summary!G$26)</f>
        <v>9.8308743727411123</v>
      </c>
      <c r="H18" s="132">
        <f>IF(SER_hh_fech!H18=0,0,SER_hh_fech!H18/SER_summary!H$26)</f>
        <v>9.8139940066716296</v>
      </c>
      <c r="I18" s="132">
        <f>IF(SER_hh_fech!I18=0,0,SER_hh_fech!I18/SER_summary!I$26)</f>
        <v>9.2486689650661571</v>
      </c>
      <c r="J18" s="132">
        <f>IF(SER_hh_fech!J18=0,0,SER_hh_fech!J18/SER_summary!J$26)</f>
        <v>8.4674908722222462</v>
      </c>
      <c r="K18" s="132">
        <f>IF(SER_hh_fech!K18=0,0,SER_hh_fech!K18/SER_summary!K$26)</f>
        <v>8.4313817330321523</v>
      </c>
      <c r="L18" s="132">
        <f>IF(SER_hh_fech!L18=0,0,SER_hh_fech!L18/SER_summary!L$26)</f>
        <v>8.4988392061968447</v>
      </c>
      <c r="M18" s="132">
        <f>IF(SER_hh_fech!M18=0,0,SER_hh_fech!M18/SER_summary!M$26)</f>
        <v>8.0634782289821416</v>
      </c>
      <c r="N18" s="132">
        <f>IF(SER_hh_fech!N18=0,0,SER_hh_fech!N18/SER_summary!N$26)</f>
        <v>8.0958532000329733</v>
      </c>
      <c r="O18" s="132">
        <f>IF(SER_hh_fech!O18=0,0,SER_hh_fech!O18/SER_summary!O$26)</f>
        <v>8.3114983667275659</v>
      </c>
      <c r="P18" s="132">
        <f>IF(SER_hh_fech!P18=0,0,SER_hh_fech!P18/SER_summary!P$26)</f>
        <v>7.0592888524302824</v>
      </c>
      <c r="Q18" s="132">
        <f>IF(SER_hh_fech!Q18=0,0,SER_hh_fech!Q18/SER_summary!Q$26)</f>
        <v>7.9067135239834814</v>
      </c>
      <c r="R18" s="132">
        <f>IF(SER_hh_fech!R18=0,0,SER_hh_fech!R18/SER_summary!R$26)</f>
        <v>6.5640363539291879</v>
      </c>
      <c r="S18" s="132">
        <f>IF(SER_hh_fech!S18=0,0,SER_hh_fech!S18/SER_summary!S$26)</f>
        <v>6.7731863380104365</v>
      </c>
      <c r="T18" s="132">
        <f>IF(SER_hh_fech!T18=0,0,SER_hh_fech!T18/SER_summary!T$26)</f>
        <v>6.47419922120653</v>
      </c>
      <c r="U18" s="132">
        <f>IF(SER_hh_fech!U18=0,0,SER_hh_fech!U18/SER_summary!U$26)</f>
        <v>6.51186964524745</v>
      </c>
      <c r="V18" s="132">
        <f>IF(SER_hh_fech!V18=0,0,SER_hh_fech!V18/SER_summary!V$26)</f>
        <v>5.8394420293101312</v>
      </c>
      <c r="W18" s="132">
        <f>IF(SER_hh_fech!W18=0,0,SER_hh_fech!W18/SER_summary!W$26)</f>
        <v>5.9033487685210142</v>
      </c>
      <c r="X18" s="132">
        <f>IF(SER_hh_fech!X18=0,0,SER_hh_fech!X18/SER_summary!X$26)</f>
        <v>5.9985929232600386</v>
      </c>
      <c r="Y18" s="132">
        <f>IF(SER_hh_fech!Y18=0,0,SER_hh_fech!Y18/SER_summary!Y$26)</f>
        <v>6.1754149274030725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21.801318593422348</v>
      </c>
      <c r="C19" s="130">
        <f>IF(SER_hh_fech!C19=0,0,SER_hh_fech!C19/SER_summary!C$26)</f>
        <v>21.97146309824857</v>
      </c>
      <c r="D19" s="130">
        <f>IF(SER_hh_fech!D19=0,0,SER_hh_fech!D19/SER_summary!D$26)</f>
        <v>21.851262149193985</v>
      </c>
      <c r="E19" s="130">
        <f>IF(SER_hh_fech!E19=0,0,SER_hh_fech!E19/SER_summary!E$26)</f>
        <v>21.891359109210093</v>
      </c>
      <c r="F19" s="130">
        <f>IF(SER_hh_fech!F19=0,0,SER_hh_fech!F19/SER_summary!F$26)</f>
        <v>21.735532016194135</v>
      </c>
      <c r="G19" s="130">
        <f>IF(SER_hh_fech!G19=0,0,SER_hh_fech!G19/SER_summary!G$26)</f>
        <v>22.132975811506526</v>
      </c>
      <c r="H19" s="130">
        <f>IF(SER_hh_fech!H19=0,0,SER_hh_fech!H19/SER_summary!H$26)</f>
        <v>21.950238923873915</v>
      </c>
      <c r="I19" s="130">
        <f>IF(SER_hh_fech!I19=0,0,SER_hh_fech!I19/SER_summary!I$26)</f>
        <v>21.857919427530394</v>
      </c>
      <c r="J19" s="130">
        <f>IF(SER_hh_fech!J19=0,0,SER_hh_fech!J19/SER_summary!J$26)</f>
        <v>21.40209453647574</v>
      </c>
      <c r="K19" s="130">
        <f>IF(SER_hh_fech!K19=0,0,SER_hh_fech!K19/SER_summary!K$26)</f>
        <v>22.441232307717684</v>
      </c>
      <c r="L19" s="130">
        <f>IF(SER_hh_fech!L19=0,0,SER_hh_fech!L19/SER_summary!L$26)</f>
        <v>21.292293428498184</v>
      </c>
      <c r="M19" s="130">
        <f>IF(SER_hh_fech!M19=0,0,SER_hh_fech!M19/SER_summary!M$26)</f>
        <v>21.24453721048053</v>
      </c>
      <c r="N19" s="130">
        <f>IF(SER_hh_fech!N19=0,0,SER_hh_fech!N19/SER_summary!N$26)</f>
        <v>20.695738223775511</v>
      </c>
      <c r="O19" s="130">
        <f>IF(SER_hh_fech!O19=0,0,SER_hh_fech!O19/SER_summary!O$26)</f>
        <v>20.818472147033994</v>
      </c>
      <c r="P19" s="130">
        <f>IF(SER_hh_fech!P19=0,0,SER_hh_fech!P19/SER_summary!P$26)</f>
        <v>21.164884108270112</v>
      </c>
      <c r="Q19" s="130">
        <f>IF(SER_hh_fech!Q19=0,0,SER_hh_fech!Q19/SER_summary!Q$26)</f>
        <v>20.941467164961868</v>
      </c>
      <c r="R19" s="130">
        <f>IF(SER_hh_fech!R19=0,0,SER_hh_fech!R19/SER_summary!R$26)</f>
        <v>20.811572070787207</v>
      </c>
      <c r="S19" s="130">
        <f>IF(SER_hh_fech!S19=0,0,SER_hh_fech!S19/SER_summary!S$26)</f>
        <v>20.476134744968945</v>
      </c>
      <c r="T19" s="130">
        <f>IF(SER_hh_fech!T19=0,0,SER_hh_fech!T19/SER_summary!T$26)</f>
        <v>19.950721473061069</v>
      </c>
      <c r="U19" s="130">
        <f>IF(SER_hh_fech!U19=0,0,SER_hh_fech!U19/SER_summary!U$26)</f>
        <v>19.377383311942285</v>
      </c>
      <c r="V19" s="130">
        <f>IF(SER_hh_fech!V19=0,0,SER_hh_fech!V19/SER_summary!V$26)</f>
        <v>18.452836755299444</v>
      </c>
      <c r="W19" s="130">
        <f>IF(SER_hh_fech!W19=0,0,SER_hh_fech!W19/SER_summary!W$26)</f>
        <v>18.032528044391757</v>
      </c>
      <c r="X19" s="130">
        <f>IF(SER_hh_fech!X19=0,0,SER_hh_fech!X19/SER_summary!X$26)</f>
        <v>18.286765205765168</v>
      </c>
      <c r="Y19" s="130">
        <f>IF(SER_hh_fech!Y19=0,0,SER_hh_fech!Y19/SER_summary!Y$26)</f>
        <v>18.432594836395296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23.421911274270606</v>
      </c>
      <c r="C21" s="132">
        <f>IF(SER_hh_fech!C21=0,0,SER_hh_fech!C21/SER_summary!C$26)</f>
        <v>25.333289109968366</v>
      </c>
      <c r="D21" s="132">
        <f>IF(SER_hh_fech!D21=0,0,SER_hh_fech!D21/SER_summary!D$26)</f>
        <v>24.495328912542167</v>
      </c>
      <c r="E21" s="132">
        <f>IF(SER_hh_fech!E21=0,0,SER_hh_fech!E21/SER_summary!E$26)</f>
        <v>24.902625787669802</v>
      </c>
      <c r="F21" s="132">
        <f>IF(SER_hh_fech!F21=0,0,SER_hh_fech!F21/SER_summary!F$26)</f>
        <v>24.940500851832429</v>
      </c>
      <c r="G21" s="132">
        <f>IF(SER_hh_fech!G21=0,0,SER_hh_fech!G21/SER_summary!G$26)</f>
        <v>25.146850357079703</v>
      </c>
      <c r="H21" s="132">
        <f>IF(SER_hh_fech!H21=0,0,SER_hh_fech!H21/SER_summary!H$26)</f>
        <v>25.478741725710019</v>
      </c>
      <c r="I21" s="132">
        <f>IF(SER_hh_fech!I21=0,0,SER_hh_fech!I21/SER_summary!I$26)</f>
        <v>25.958587336237709</v>
      </c>
      <c r="J21" s="132">
        <f>IF(SER_hh_fech!J21=0,0,SER_hh_fech!J21/SER_summary!J$26)</f>
        <v>26.347853989812052</v>
      </c>
      <c r="K21" s="132">
        <f>IF(SER_hh_fech!K21=0,0,SER_hh_fech!K21/SER_summary!K$26)</f>
        <v>27.657950863523087</v>
      </c>
      <c r="L21" s="132">
        <f>IF(SER_hh_fech!L21=0,0,SER_hh_fech!L21/SER_summary!L$26)</f>
        <v>25.647556259535452</v>
      </c>
      <c r="M21" s="132">
        <f>IF(SER_hh_fech!M21=0,0,SER_hh_fech!M21/SER_summary!M$26)</f>
        <v>28.280065684955588</v>
      </c>
      <c r="N21" s="132">
        <f>IF(SER_hh_fech!N21=0,0,SER_hh_fech!N21/SER_summary!N$26)</f>
        <v>0</v>
      </c>
      <c r="O21" s="132">
        <f>IF(SER_hh_fech!O21=0,0,SER_hh_fech!O21/SER_summary!O$26)</f>
        <v>0</v>
      </c>
      <c r="P21" s="132">
        <f>IF(SER_hh_fech!P21=0,0,SER_hh_fech!P21/SER_summary!P$26)</f>
        <v>0</v>
      </c>
      <c r="Q21" s="132">
        <f>IF(SER_hh_fech!Q21=0,0,SER_hh_fech!Q21/SER_summary!Q$26)</f>
        <v>0</v>
      </c>
      <c r="R21" s="132">
        <f>IF(SER_hh_fech!R21=0,0,SER_hh_fech!R21/SER_summary!R$26)</f>
        <v>0</v>
      </c>
      <c r="S21" s="132">
        <f>IF(SER_hh_fech!S21=0,0,SER_hh_fech!S21/SER_summary!S$26)</f>
        <v>0</v>
      </c>
      <c r="T21" s="132">
        <f>IF(SER_hh_fech!T21=0,0,SER_hh_fech!T21/SER_summary!T$26)</f>
        <v>0</v>
      </c>
      <c r="U21" s="132">
        <f>IF(SER_hh_fech!U21=0,0,SER_hh_fech!U21/SER_summary!U$26)</f>
        <v>0</v>
      </c>
      <c r="V21" s="132">
        <f>IF(SER_hh_fech!V21=0,0,SER_hh_fech!V21/SER_summary!V$26)</f>
        <v>0</v>
      </c>
      <c r="W21" s="132">
        <f>IF(SER_hh_fech!W21=0,0,SER_hh_fech!W21/SER_summary!W$26)</f>
        <v>0</v>
      </c>
      <c r="X21" s="132">
        <f>IF(SER_hh_fech!X21=0,0,SER_hh_fech!X21/SER_summary!X$26)</f>
        <v>0</v>
      </c>
      <c r="Y21" s="132">
        <f>IF(SER_hh_fech!Y21=0,0,SER_hh_fech!Y21/SER_summary!Y$26)</f>
        <v>0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26.3484472875795</v>
      </c>
      <c r="C22" s="132">
        <f>IF(SER_hh_fech!C22=0,0,SER_hh_fech!C22/SER_summary!C$26)</f>
        <v>26.262093078824318</v>
      </c>
      <c r="D22" s="132">
        <f>IF(SER_hh_fech!D22=0,0,SER_hh_fech!D22/SER_summary!D$26)</f>
        <v>26.182847994060783</v>
      </c>
      <c r="E22" s="132">
        <f>IF(SER_hh_fech!E22=0,0,SER_hh_fech!E22/SER_summary!E$26)</f>
        <v>26.431172591314457</v>
      </c>
      <c r="F22" s="132">
        <f>IF(SER_hh_fech!F22=0,0,SER_hh_fech!F22/SER_summary!F$26)</f>
        <v>26.899778069523752</v>
      </c>
      <c r="G22" s="132">
        <f>IF(SER_hh_fech!G22=0,0,SER_hh_fech!G22/SER_summary!G$26)</f>
        <v>26.826909347100649</v>
      </c>
      <c r="H22" s="132">
        <f>IF(SER_hh_fech!H22=0,0,SER_hh_fech!H22/SER_summary!H$26)</f>
        <v>26.760922662063756</v>
      </c>
      <c r="I22" s="132">
        <f>IF(SER_hh_fech!I22=0,0,SER_hh_fech!I22/SER_summary!I$26)</f>
        <v>27.515186401816646</v>
      </c>
      <c r="J22" s="132">
        <f>IF(SER_hh_fech!J22=0,0,SER_hh_fech!J22/SER_summary!J$26)</f>
        <v>26.824734455852834</v>
      </c>
      <c r="K22" s="132">
        <f>IF(SER_hh_fech!K22=0,0,SER_hh_fech!K22/SER_summary!K$26)</f>
        <v>28.153586677516476</v>
      </c>
      <c r="L22" s="132">
        <f>IF(SER_hh_fech!L22=0,0,SER_hh_fech!L22/SER_summary!L$26)</f>
        <v>26.032083877656291</v>
      </c>
      <c r="M22" s="132">
        <f>IF(SER_hh_fech!M22=0,0,SER_hh_fech!M22/SER_summary!M$26)</f>
        <v>26.617568904024267</v>
      </c>
      <c r="N22" s="132">
        <f>IF(SER_hh_fech!N22=0,0,SER_hh_fech!N22/SER_summary!N$26)</f>
        <v>24.726373428923139</v>
      </c>
      <c r="O22" s="132">
        <f>IF(SER_hh_fech!O22=0,0,SER_hh_fech!O22/SER_summary!O$26)</f>
        <v>25.592018025661321</v>
      </c>
      <c r="P22" s="132">
        <f>IF(SER_hh_fech!P22=0,0,SER_hh_fech!P22/SER_summary!P$26)</f>
        <v>25.760884248425171</v>
      </c>
      <c r="Q22" s="132">
        <f>IF(SER_hh_fech!Q22=0,0,SER_hh_fech!Q22/SER_summary!Q$26)</f>
        <v>25.489025334994455</v>
      </c>
      <c r="R22" s="132">
        <f>IF(SER_hh_fech!R22=0,0,SER_hh_fech!R22/SER_summary!R$26)</f>
        <v>25.199955680881981</v>
      </c>
      <c r="S22" s="132">
        <f>IF(SER_hh_fech!S22=0,0,SER_hh_fech!S22/SER_summary!S$26)</f>
        <v>24.893374252629116</v>
      </c>
      <c r="T22" s="132">
        <f>IF(SER_hh_fech!T22=0,0,SER_hh_fech!T22/SER_summary!T$26)</f>
        <v>23.555462411421203</v>
      </c>
      <c r="U22" s="132">
        <f>IF(SER_hh_fech!U22=0,0,SER_hh_fech!U22/SER_summary!U$26)</f>
        <v>22.349176211092814</v>
      </c>
      <c r="V22" s="132">
        <f>IF(SER_hh_fech!V22=0,0,SER_hh_fech!V22/SER_summary!V$26)</f>
        <v>19.814409481472467</v>
      </c>
      <c r="W22" s="132">
        <f>IF(SER_hh_fech!W22=0,0,SER_hh_fech!W22/SER_summary!W$26)</f>
        <v>19.971554275721356</v>
      </c>
      <c r="X22" s="132">
        <f>IF(SER_hh_fech!X22=0,0,SER_hh_fech!X22/SER_summary!X$26)</f>
        <v>19.934146509050592</v>
      </c>
      <c r="Y22" s="132">
        <f>IF(SER_hh_fech!Y22=0,0,SER_hh_fech!Y22/SER_summary!Y$26)</f>
        <v>20.222228741564603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25.546310284016553</v>
      </c>
      <c r="C23" s="132">
        <f>IF(SER_hh_fech!C23=0,0,SER_hh_fech!C23/SER_summary!C$26)</f>
        <v>25.51956981217883</v>
      </c>
      <c r="D23" s="132">
        <f>IF(SER_hh_fech!D23=0,0,SER_hh_fech!D23/SER_summary!D$26)</f>
        <v>25.326883897299446</v>
      </c>
      <c r="E23" s="132">
        <f>IF(SER_hh_fech!E23=0,0,SER_hh_fech!E23/SER_summary!E$26)</f>
        <v>25.147316528995898</v>
      </c>
      <c r="F23" s="132">
        <f>IF(SER_hh_fech!F23=0,0,SER_hh_fech!F23/SER_summary!F$26)</f>
        <v>25.125340936011664</v>
      </c>
      <c r="G23" s="132">
        <f>IF(SER_hh_fech!G23=0,0,SER_hh_fech!G23/SER_summary!G$26)</f>
        <v>25.270483343078983</v>
      </c>
      <c r="H23" s="132">
        <f>IF(SER_hh_fech!H23=0,0,SER_hh_fech!H23/SER_summary!H$26)</f>
        <v>25.332203904022329</v>
      </c>
      <c r="I23" s="132">
        <f>IF(SER_hh_fech!I23=0,0,SER_hh_fech!I23/SER_summary!I$26)</f>
        <v>25.278630593609165</v>
      </c>
      <c r="J23" s="132">
        <f>IF(SER_hh_fech!J23=0,0,SER_hh_fech!J23/SER_summary!J$26)</f>
        <v>25.063264519858478</v>
      </c>
      <c r="K23" s="132">
        <f>IF(SER_hh_fech!K23=0,0,SER_hh_fech!K23/SER_summary!K$26)</f>
        <v>24.963885571936419</v>
      </c>
      <c r="L23" s="132">
        <f>IF(SER_hh_fech!L23=0,0,SER_hh_fech!L23/SER_summary!L$26)</f>
        <v>24.124239557461159</v>
      </c>
      <c r="M23" s="132">
        <f>IF(SER_hh_fech!M23=0,0,SER_hh_fech!M23/SER_summary!M$26)</f>
        <v>23.48781045605411</v>
      </c>
      <c r="N23" s="132">
        <f>IF(SER_hh_fech!N23=0,0,SER_hh_fech!N23/SER_summary!N$26)</f>
        <v>23.136174122042778</v>
      </c>
      <c r="O23" s="132">
        <f>IF(SER_hh_fech!O23=0,0,SER_hh_fech!O23/SER_summary!O$26)</f>
        <v>23.219783940927517</v>
      </c>
      <c r="P23" s="132">
        <f>IF(SER_hh_fech!P23=0,0,SER_hh_fech!P23/SER_summary!P$26)</f>
        <v>23.159557561284853</v>
      </c>
      <c r="Q23" s="132">
        <f>IF(SER_hh_fech!Q23=0,0,SER_hh_fech!Q23/SER_summary!Q$26)</f>
        <v>23.314888291269813</v>
      </c>
      <c r="R23" s="132">
        <f>IF(SER_hh_fech!R23=0,0,SER_hh_fech!R23/SER_summary!R$26)</f>
        <v>22.89497919095145</v>
      </c>
      <c r="S23" s="132">
        <f>IF(SER_hh_fech!S23=0,0,SER_hh_fech!S23/SER_summary!S$26)</f>
        <v>22.068991775043454</v>
      </c>
      <c r="T23" s="132">
        <f>IF(SER_hh_fech!T23=0,0,SER_hh_fech!T23/SER_summary!T$26)</f>
        <v>21.230202685320016</v>
      </c>
      <c r="U23" s="132">
        <f>IF(SER_hh_fech!U23=0,0,SER_hh_fech!U23/SER_summary!U$26)</f>
        <v>20.139676688339758</v>
      </c>
      <c r="V23" s="132">
        <f>IF(SER_hh_fech!V23=0,0,SER_hh_fech!V23/SER_summary!V$26)</f>
        <v>18.231016963002286</v>
      </c>
      <c r="W23" s="132">
        <f>IF(SER_hh_fech!W23=0,0,SER_hh_fech!W23/SER_summary!W$26)</f>
        <v>18.213016924789187</v>
      </c>
      <c r="X23" s="132">
        <f>IF(SER_hh_fech!X23=0,0,SER_hh_fech!X23/SER_summary!X$26)</f>
        <v>18.856670233309771</v>
      </c>
      <c r="Y23" s="132">
        <f>IF(SER_hh_fech!Y23=0,0,SER_hh_fech!Y23/SER_summary!Y$26)</f>
        <v>19.032115377983295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30.024945170838475</v>
      </c>
      <c r="C24" s="132">
        <f>IF(SER_hh_fech!C24=0,0,SER_hh_fech!C24/SER_summary!C$26)</f>
        <v>29.639995029810777</v>
      </c>
      <c r="D24" s="132">
        <f>IF(SER_hh_fech!D24=0,0,SER_hh_fech!D24/SER_summary!D$26)</f>
        <v>29.138360080466295</v>
      </c>
      <c r="E24" s="132">
        <f>IF(SER_hh_fech!E24=0,0,SER_hh_fech!E24/SER_summary!E$26)</f>
        <v>28.689104203807048</v>
      </c>
      <c r="F24" s="132">
        <f>IF(SER_hh_fech!F24=0,0,SER_hh_fech!F24/SER_summary!F$26)</f>
        <v>28.326196422740544</v>
      </c>
      <c r="G24" s="132">
        <f>IF(SER_hh_fech!G24=0,0,SER_hh_fech!G24/SER_summary!G$26)</f>
        <v>28.036852237592065</v>
      </c>
      <c r="H24" s="132">
        <f>IF(SER_hh_fech!H24=0,0,SER_hh_fech!H24/SER_summary!H$26)</f>
        <v>27.699738735921656</v>
      </c>
      <c r="I24" s="132">
        <f>IF(SER_hh_fech!I24=0,0,SER_hh_fech!I24/SER_summary!I$26)</f>
        <v>27.051580151337358</v>
      </c>
      <c r="J24" s="132">
        <f>IF(SER_hh_fech!J24=0,0,SER_hh_fech!J24/SER_summary!J$26)</f>
        <v>26.412619592647044</v>
      </c>
      <c r="K24" s="132">
        <f>IF(SER_hh_fech!K24=0,0,SER_hh_fech!K24/SER_summary!K$26)</f>
        <v>25.723977103662879</v>
      </c>
      <c r="L24" s="132">
        <f>IF(SER_hh_fech!L24=0,0,SER_hh_fech!L24/SER_summary!L$26)</f>
        <v>24.446438087514643</v>
      </c>
      <c r="M24" s="132">
        <f>IF(SER_hh_fech!M24=0,0,SER_hh_fech!M24/SER_summary!M$26)</f>
        <v>23.487007639707841</v>
      </c>
      <c r="N24" s="132">
        <f>IF(SER_hh_fech!N24=0,0,SER_hh_fech!N24/SER_summary!N$26)</f>
        <v>22.563554232205739</v>
      </c>
      <c r="O24" s="132">
        <f>IF(SER_hh_fech!O24=0,0,SER_hh_fech!O24/SER_summary!O$26)</f>
        <v>22.138657321475399</v>
      </c>
      <c r="P24" s="132">
        <f>IF(SER_hh_fech!P24=0,0,SER_hh_fech!P24/SER_summary!P$26)</f>
        <v>22.376489136746766</v>
      </c>
      <c r="Q24" s="132">
        <f>IF(SER_hh_fech!Q24=0,0,SER_hh_fech!Q24/SER_summary!Q$26)</f>
        <v>22.574029528737391</v>
      </c>
      <c r="R24" s="132">
        <f>IF(SER_hh_fech!R24=0,0,SER_hh_fech!R24/SER_summary!R$26)</f>
        <v>22.060549402249745</v>
      </c>
      <c r="S24" s="132">
        <f>IF(SER_hh_fech!S24=0,0,SER_hh_fech!S24/SER_summary!S$26)</f>
        <v>21.423363350428257</v>
      </c>
      <c r="T24" s="132">
        <f>IF(SER_hh_fech!T24=0,0,SER_hh_fech!T24/SER_summary!T$26)</f>
        <v>20.592700935877858</v>
      </c>
      <c r="U24" s="132">
        <f>IF(SER_hh_fech!U24=0,0,SER_hh_fech!U24/SER_summary!U$26)</f>
        <v>20.099924143025895</v>
      </c>
      <c r="V24" s="132">
        <f>IF(SER_hh_fech!V24=0,0,SER_hh_fech!V24/SER_summary!V$26)</f>
        <v>17.924281292455255</v>
      </c>
      <c r="W24" s="132">
        <f>IF(SER_hh_fech!W24=0,0,SER_hh_fech!W24/SER_summary!W$26)</f>
        <v>17.947734512695053</v>
      </c>
      <c r="X24" s="132">
        <f>IF(SER_hh_fech!X24=0,0,SER_hh_fech!X24/SER_summary!X$26)</f>
        <v>18.706777498267147</v>
      </c>
      <c r="Y24" s="132">
        <f>IF(SER_hh_fech!Y24=0,0,SER_hh_fech!Y24/SER_summary!Y$26)</f>
        <v>18.802877619808786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17.191756421451974</v>
      </c>
      <c r="C25" s="132">
        <f>IF(SER_hh_fech!C25=0,0,SER_hh_fech!C25/SER_summary!C$26)</f>
        <v>17.182027194179067</v>
      </c>
      <c r="D25" s="132">
        <f>IF(SER_hh_fech!D25=0,0,SER_hh_fech!D25/SER_summary!D$26)</f>
        <v>17.381690262819752</v>
      </c>
      <c r="E25" s="132">
        <f>IF(SER_hh_fech!E25=0,0,SER_hh_fech!E25/SER_summary!E$26)</f>
        <v>17.13323094804084</v>
      </c>
      <c r="F25" s="132">
        <f>IF(SER_hh_fech!F25=0,0,SER_hh_fech!F25/SER_summary!F$26)</f>
        <v>16.923511055913988</v>
      </c>
      <c r="G25" s="132">
        <f>IF(SER_hh_fech!G25=0,0,SER_hh_fech!G25/SER_summary!G$26)</f>
        <v>16.461633251643594</v>
      </c>
      <c r="H25" s="132">
        <f>IF(SER_hh_fech!H25=0,0,SER_hh_fech!H25/SER_summary!H$26)</f>
        <v>17.3440198734414</v>
      </c>
      <c r="I25" s="132">
        <f>IF(SER_hh_fech!I25=0,0,SER_hh_fech!I25/SER_summary!I$26)</f>
        <v>17.848426342965652</v>
      </c>
      <c r="J25" s="132">
        <f>IF(SER_hh_fech!J25=0,0,SER_hh_fech!J25/SER_summary!J$26)</f>
        <v>17.5008650195829</v>
      </c>
      <c r="K25" s="132">
        <f>IF(SER_hh_fech!K25=0,0,SER_hh_fech!K25/SER_summary!K$26)</f>
        <v>18.036129469032648</v>
      </c>
      <c r="L25" s="132">
        <f>IF(SER_hh_fech!L25=0,0,SER_hh_fech!L25/SER_summary!L$26)</f>
        <v>17.819270472571379</v>
      </c>
      <c r="M25" s="132">
        <f>IF(SER_hh_fech!M25=0,0,SER_hh_fech!M25/SER_summary!M$26)</f>
        <v>17.127102956678787</v>
      </c>
      <c r="N25" s="132">
        <f>IF(SER_hh_fech!N25=0,0,SER_hh_fech!N25/SER_summary!N$26)</f>
        <v>17.162292404056366</v>
      </c>
      <c r="O25" s="132">
        <f>IF(SER_hh_fech!O25=0,0,SER_hh_fech!O25/SER_summary!O$26)</f>
        <v>17.318449625689812</v>
      </c>
      <c r="P25" s="132">
        <f>IF(SER_hh_fech!P25=0,0,SER_hh_fech!P25/SER_summary!P$26)</f>
        <v>17.832234950810605</v>
      </c>
      <c r="Q25" s="132">
        <f>IF(SER_hh_fech!Q25=0,0,SER_hh_fech!Q25/SER_summary!Q$26)</f>
        <v>18.051640893183205</v>
      </c>
      <c r="R25" s="132">
        <f>IF(SER_hh_fech!R25=0,0,SER_hh_fech!R25/SER_summary!R$26)</f>
        <v>17.877666997603491</v>
      </c>
      <c r="S25" s="132">
        <f>IF(SER_hh_fech!S25=0,0,SER_hh_fech!S25/SER_summary!S$26)</f>
        <v>17.307542565218231</v>
      </c>
      <c r="T25" s="132">
        <f>IF(SER_hh_fech!T25=0,0,SER_hh_fech!T25/SER_summary!T$26)</f>
        <v>16.867640297590832</v>
      </c>
      <c r="U25" s="132">
        <f>IF(SER_hh_fech!U25=0,0,SER_hh_fech!U25/SER_summary!U$26)</f>
        <v>16.740009304524666</v>
      </c>
      <c r="V25" s="132">
        <f>IF(SER_hh_fech!V25=0,0,SER_hh_fech!V25/SER_summary!V$26)</f>
        <v>16.155201436040326</v>
      </c>
      <c r="W25" s="132">
        <f>IF(SER_hh_fech!W25=0,0,SER_hh_fech!W25/SER_summary!W$26)</f>
        <v>16.665936785493951</v>
      </c>
      <c r="X25" s="132">
        <f>IF(SER_hh_fech!X25=0,0,SER_hh_fech!X25/SER_summary!X$26)</f>
        <v>16.240906370257296</v>
      </c>
      <c r="Y25" s="132">
        <f>IF(SER_hh_fech!Y25=0,0,SER_hh_fech!Y25/SER_summary!Y$26)</f>
        <v>15.752736263046014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14.21491394424554</v>
      </c>
      <c r="C26" s="65">
        <f>IF(SER_hh_fech!C26=0,0,SER_hh_fech!C26/SER_summary!C$26)</f>
        <v>14.309319749359576</v>
      </c>
      <c r="D26" s="65">
        <f>IF(SER_hh_fech!D26=0,0,SER_hh_fech!D26/SER_summary!D$26)</f>
        <v>14.079036991721596</v>
      </c>
      <c r="E26" s="65">
        <f>IF(SER_hh_fech!E26=0,0,SER_hh_fech!E26/SER_summary!E$26)</f>
        <v>13.017147940191053</v>
      </c>
      <c r="F26" s="65">
        <f>IF(SER_hh_fech!F26=0,0,SER_hh_fech!F26/SER_summary!F$26)</f>
        <v>12.63334770540386</v>
      </c>
      <c r="G26" s="65">
        <f>IF(SER_hh_fech!G26=0,0,SER_hh_fech!G26/SER_summary!G$26)</f>
        <v>15.325959157629047</v>
      </c>
      <c r="H26" s="65">
        <f>IF(SER_hh_fech!H26=0,0,SER_hh_fech!H26/SER_summary!H$26)</f>
        <v>16.415545502765056</v>
      </c>
      <c r="I26" s="65">
        <f>IF(SER_hh_fech!I26=0,0,SER_hh_fech!I26/SER_summary!I$26)</f>
        <v>14.910461846821285</v>
      </c>
      <c r="J26" s="65">
        <f>IF(SER_hh_fech!J26=0,0,SER_hh_fech!J26/SER_summary!J$26)</f>
        <v>12.489461609761051</v>
      </c>
      <c r="K26" s="65">
        <f>IF(SER_hh_fech!K26=0,0,SER_hh_fech!K26/SER_summary!K$26)</f>
        <v>18.513129771711366</v>
      </c>
      <c r="L26" s="65">
        <f>IF(SER_hh_fech!L26=0,0,SER_hh_fech!L26/SER_summary!L$26)</f>
        <v>9.943975907914739</v>
      </c>
      <c r="M26" s="65">
        <f>IF(SER_hh_fech!M26=0,0,SER_hh_fech!M26/SER_summary!M$26)</f>
        <v>9.3992471760864724</v>
      </c>
      <c r="N26" s="65">
        <f>IF(SER_hh_fech!N26=0,0,SER_hh_fech!N26/SER_summary!N$26)</f>
        <v>9.0972400038285208</v>
      </c>
      <c r="O26" s="65">
        <f>IF(SER_hh_fech!O26=0,0,SER_hh_fech!O26/SER_summary!O$26)</f>
        <v>11.277490133009618</v>
      </c>
      <c r="P26" s="65">
        <f>IF(SER_hh_fech!P26=0,0,SER_hh_fech!P26/SER_summary!P$26)</f>
        <v>10.54769623300103</v>
      </c>
      <c r="Q26" s="65">
        <f>IF(SER_hh_fech!Q26=0,0,SER_hh_fech!Q26/SER_summary!Q$26)</f>
        <v>11.861481206746921</v>
      </c>
      <c r="R26" s="65">
        <f>IF(SER_hh_fech!R26=0,0,SER_hh_fech!R26/SER_summary!R$26)</f>
        <v>12.965307401553117</v>
      </c>
      <c r="S26" s="65">
        <f>IF(SER_hh_fech!S26=0,0,SER_hh_fech!S26/SER_summary!S$26)</f>
        <v>11.432698048672654</v>
      </c>
      <c r="T26" s="65">
        <f>IF(SER_hh_fech!T26=0,0,SER_hh_fech!T26/SER_summary!T$26)</f>
        <v>9.1140345254983757</v>
      </c>
      <c r="U26" s="65">
        <f>IF(SER_hh_fech!U26=0,0,SER_hh_fech!U26/SER_summary!U$26)</f>
        <v>9.0929446975541524</v>
      </c>
      <c r="V26" s="65">
        <f>IF(SER_hh_fech!V26=0,0,SER_hh_fech!V26/SER_summary!V$26)</f>
        <v>7.4568440674856724</v>
      </c>
      <c r="W26" s="65">
        <f>IF(SER_hh_fech!W26=0,0,SER_hh_fech!W26/SER_summary!W$26)</f>
        <v>8.6379476798924131</v>
      </c>
      <c r="X26" s="65">
        <f>IF(SER_hh_fech!X26=0,0,SER_hh_fech!X26/SER_summary!X$26)</f>
        <v>7.9825054346836923</v>
      </c>
      <c r="Y26" s="65">
        <f>IF(SER_hh_fech!Y26=0,0,SER_hh_fech!Y26/SER_summary!Y$26)</f>
        <v>9.7156424777214081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2.2452745152612472</v>
      </c>
      <c r="C27" s="145">
        <f>IF(SER_hh_fech!C27=0,0,SER_hh_fech!C27/SER_summary!C$26)</f>
        <v>2.3251664930957454</v>
      </c>
      <c r="D27" s="145">
        <f>IF(SER_hh_fech!D27=0,0,SER_hh_fech!D27/SER_summary!D$26)</f>
        <v>2.3365357783378129</v>
      </c>
      <c r="E27" s="145">
        <f>IF(SER_hh_fech!E27=0,0,SER_hh_fech!E27/SER_summary!E$26)</f>
        <v>2.7861533859358469</v>
      </c>
      <c r="F27" s="145">
        <f>IF(SER_hh_fech!F27=0,0,SER_hh_fech!F27/SER_summary!F$26)</f>
        <v>2.8646314253132665</v>
      </c>
      <c r="G27" s="145">
        <f>IF(SER_hh_fech!G27=0,0,SER_hh_fech!G27/SER_summary!G$26)</f>
        <v>2.6095156911687281</v>
      </c>
      <c r="H27" s="145">
        <f>IF(SER_hh_fech!H27=0,0,SER_hh_fech!H27/SER_summary!H$26)</f>
        <v>1.948170988281823</v>
      </c>
      <c r="I27" s="145">
        <f>IF(SER_hh_fech!I27=0,0,SER_hh_fech!I27/SER_summary!I$26)</f>
        <v>2.2866490157629253</v>
      </c>
      <c r="J27" s="145">
        <f>IF(SER_hh_fech!J27=0,0,SER_hh_fech!J27/SER_summary!J$26)</f>
        <v>3.0151483525770688</v>
      </c>
      <c r="K27" s="145">
        <f>IF(SER_hh_fech!K27=0,0,SER_hh_fech!K27/SER_summary!K$26)</f>
        <v>1.7074792951720794</v>
      </c>
      <c r="L27" s="145">
        <f>IF(SER_hh_fech!L27=0,0,SER_hh_fech!L27/SER_summary!L$26)</f>
        <v>3.9202588787186472</v>
      </c>
      <c r="M27" s="145">
        <f>IF(SER_hh_fech!M27=0,0,SER_hh_fech!M27/SER_summary!M$26)</f>
        <v>4.4726463769714693</v>
      </c>
      <c r="N27" s="145">
        <f>IF(SER_hh_fech!N27=0,0,SER_hh_fech!N27/SER_summary!N$26)</f>
        <v>4.7210083129205502</v>
      </c>
      <c r="O27" s="145">
        <f>IF(SER_hh_fech!O27=0,0,SER_hh_fech!O27/SER_summary!O$26)</f>
        <v>4.097929516670618</v>
      </c>
      <c r="P27" s="145">
        <f>IF(SER_hh_fech!P27=0,0,SER_hh_fech!P27/SER_summary!P$26)</f>
        <v>4.5736242417172575</v>
      </c>
      <c r="Q27" s="145">
        <f>IF(SER_hh_fech!Q27=0,0,SER_hh_fech!Q27/SER_summary!Q$26)</f>
        <v>3.9043703316594183</v>
      </c>
      <c r="R27" s="145">
        <f>IF(SER_hh_fech!R27=0,0,SER_hh_fech!R27/SER_summary!R$26)</f>
        <v>3.5851885839728967</v>
      </c>
      <c r="S27" s="145">
        <f>IF(SER_hh_fech!S27=0,0,SER_hh_fech!S27/SER_summary!S$26)</f>
        <v>4.1601992993236641</v>
      </c>
      <c r="T27" s="145">
        <f>IF(SER_hh_fech!T27=0,0,SER_hh_fech!T27/SER_summary!T$26)</f>
        <v>4.7811655846650165</v>
      </c>
      <c r="U27" s="145">
        <f>IF(SER_hh_fech!U27=0,0,SER_hh_fech!U27/SER_summary!U$26)</f>
        <v>4.4522141564076216</v>
      </c>
      <c r="V27" s="145">
        <f>IF(SER_hh_fech!V27=0,0,SER_hh_fech!V27/SER_summary!V$26)</f>
        <v>4.8196416308777996</v>
      </c>
      <c r="W27" s="145">
        <f>IF(SER_hh_fech!W27=0,0,SER_hh_fech!W27/SER_summary!W$26)</f>
        <v>3.6670431378509929</v>
      </c>
      <c r="X27" s="145">
        <f>IF(SER_hh_fech!X27=0,0,SER_hh_fech!X27/SER_summary!X$26)</f>
        <v>4.1240505780076298</v>
      </c>
      <c r="Y27" s="145">
        <f>IF(SER_hh_fech!Y27=0,0,SER_hh_fech!Y27/SER_summary!Y$26)</f>
        <v>3.8160932085942325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9.5686709661507923</v>
      </c>
      <c r="C28" s="146">
        <f>IF(SER_hh_fech!C28=0,0,SER_hh_fech!C28/SER_summary!C$26)</f>
        <v>9.7080949343479848</v>
      </c>
      <c r="D28" s="146">
        <f>IF(SER_hh_fech!D28=0,0,SER_hh_fech!D28/SER_summary!D$26)</f>
        <v>9.6807065705105266</v>
      </c>
      <c r="E28" s="146">
        <f>IF(SER_hh_fech!E28=0,0,SER_hh_fech!E28/SER_summary!E$26)</f>
        <v>9.8418143154399385</v>
      </c>
      <c r="F28" s="146">
        <f>IF(SER_hh_fech!F28=0,0,SER_hh_fech!F28/SER_summary!F$26)</f>
        <v>9.8350752088396884</v>
      </c>
      <c r="G28" s="146">
        <f>IF(SER_hh_fech!G28=0,0,SER_hh_fech!G28/SER_summary!G$26)</f>
        <v>10.057466633765063</v>
      </c>
      <c r="H28" s="146">
        <f>IF(SER_hh_fech!H28=0,0,SER_hh_fech!H28/SER_summary!H$26)</f>
        <v>11.013569785948306</v>
      </c>
      <c r="I28" s="146">
        <f>IF(SER_hh_fech!I28=0,0,SER_hh_fech!I28/SER_summary!I$26)</f>
        <v>10.90038694589583</v>
      </c>
      <c r="J28" s="146">
        <f>IF(SER_hh_fech!J28=0,0,SER_hh_fech!J28/SER_summary!J$26)</f>
        <v>10.88746925328174</v>
      </c>
      <c r="K28" s="146">
        <f>IF(SER_hh_fech!K28=0,0,SER_hh_fech!K28/SER_summary!K$26)</f>
        <v>10.806059332904173</v>
      </c>
      <c r="L28" s="146">
        <f>IF(SER_hh_fech!L28=0,0,SER_hh_fech!L28/SER_summary!L$26)</f>
        <v>16.695226061882085</v>
      </c>
      <c r="M28" s="146">
        <f>IF(SER_hh_fech!M28=0,0,SER_hh_fech!M28/SER_summary!M$26)</f>
        <v>14.201122263289994</v>
      </c>
      <c r="N28" s="146">
        <f>IF(SER_hh_fech!N28=0,0,SER_hh_fech!N28/SER_summary!N$26)</f>
        <v>11.731567751265906</v>
      </c>
      <c r="O28" s="146">
        <f>IF(SER_hh_fech!O28=0,0,SER_hh_fech!O28/SER_summary!O$26)</f>
        <v>12.21764289014685</v>
      </c>
      <c r="P28" s="146">
        <f>IF(SER_hh_fech!P28=0,0,SER_hh_fech!P28/SER_summary!P$26)</f>
        <v>12.480078812657972</v>
      </c>
      <c r="Q28" s="146">
        <f>IF(SER_hh_fech!Q28=0,0,SER_hh_fech!Q28/SER_summary!Q$26)</f>
        <v>13.365791003881853</v>
      </c>
      <c r="R28" s="146">
        <f>IF(SER_hh_fech!R28=0,0,SER_hh_fech!R28/SER_summary!R$26)</f>
        <v>13.632069853194823</v>
      </c>
      <c r="S28" s="146">
        <f>IF(SER_hh_fech!S28=0,0,SER_hh_fech!S28/SER_summary!S$26)</f>
        <v>13.099854940411491</v>
      </c>
      <c r="T28" s="146">
        <f>IF(SER_hh_fech!T28=0,0,SER_hh_fech!T28/SER_summary!T$26)</f>
        <v>12.529815275358599</v>
      </c>
      <c r="U28" s="146">
        <f>IF(SER_hh_fech!U28=0,0,SER_hh_fech!U28/SER_summary!U$26)</f>
        <v>11.905639579054771</v>
      </c>
      <c r="V28" s="146">
        <f>IF(SER_hh_fech!V28=0,0,SER_hh_fech!V28/SER_summary!V$26)</f>
        <v>11.517941325400779</v>
      </c>
      <c r="W28" s="146">
        <f>IF(SER_hh_fech!W28=0,0,SER_hh_fech!W28/SER_summary!W$26)</f>
        <v>11.456850787369099</v>
      </c>
      <c r="X28" s="146">
        <f>IF(SER_hh_fech!X28=0,0,SER_hh_fech!X28/SER_summary!X$26)</f>
        <v>10.855484407656883</v>
      </c>
      <c r="Y28" s="146">
        <f>IF(SER_hh_fech!Y28=0,0,SER_hh_fech!Y28/SER_summary!Y$26)</f>
        <v>11.014944408537861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17.070086653007266</v>
      </c>
      <c r="C29" s="130">
        <f>IF(SER_hh_fech!C29=0,0,SER_hh_fech!C29/SER_summary!C$26)</f>
        <v>17.779150130611413</v>
      </c>
      <c r="D29" s="130">
        <f>IF(SER_hh_fech!D29=0,0,SER_hh_fech!D29/SER_summary!D$26)</f>
        <v>19.161004630217523</v>
      </c>
      <c r="E29" s="130">
        <f>IF(SER_hh_fech!E29=0,0,SER_hh_fech!E29/SER_summary!E$26)</f>
        <v>20.011478461750354</v>
      </c>
      <c r="F29" s="130">
        <f>IF(SER_hh_fech!F29=0,0,SER_hh_fech!F29/SER_summary!F$26)</f>
        <v>20.408498445157978</v>
      </c>
      <c r="G29" s="130">
        <f>IF(SER_hh_fech!G29=0,0,SER_hh_fech!G29/SER_summary!G$26)</f>
        <v>19.956771206881541</v>
      </c>
      <c r="H29" s="130">
        <f>IF(SER_hh_fech!H29=0,0,SER_hh_fech!H29/SER_summary!H$26)</f>
        <v>19.6933893839768</v>
      </c>
      <c r="I29" s="130">
        <f>IF(SER_hh_fech!I29=0,0,SER_hh_fech!I29/SER_summary!I$26)</f>
        <v>19.056515180513895</v>
      </c>
      <c r="J29" s="130">
        <f>IF(SER_hh_fech!J29=0,0,SER_hh_fech!J29/SER_summary!J$26)</f>
        <v>18.77781838312368</v>
      </c>
      <c r="K29" s="130">
        <f>IF(SER_hh_fech!K29=0,0,SER_hh_fech!K29/SER_summary!K$26)</f>
        <v>19.546357622364955</v>
      </c>
      <c r="L29" s="130">
        <f>IF(SER_hh_fech!L29=0,0,SER_hh_fech!L29/SER_summary!L$26)</f>
        <v>19.914017792808551</v>
      </c>
      <c r="M29" s="130">
        <f>IF(SER_hh_fech!M29=0,0,SER_hh_fech!M29/SER_summary!M$26)</f>
        <v>19.773463844651609</v>
      </c>
      <c r="N29" s="130">
        <f>IF(SER_hh_fech!N29=0,0,SER_hh_fech!N29/SER_summary!N$26)</f>
        <v>19.181156759494478</v>
      </c>
      <c r="O29" s="130">
        <f>IF(SER_hh_fech!O29=0,0,SER_hh_fech!O29/SER_summary!O$26)</f>
        <v>19.108404359334212</v>
      </c>
      <c r="P29" s="130">
        <f>IF(SER_hh_fech!P29=0,0,SER_hh_fech!P29/SER_summary!P$26)</f>
        <v>19.211161964936707</v>
      </c>
      <c r="Q29" s="130">
        <f>IF(SER_hh_fech!Q29=0,0,SER_hh_fech!Q29/SER_summary!Q$26)</f>
        <v>19.175232520325469</v>
      </c>
      <c r="R29" s="130">
        <f>IF(SER_hh_fech!R29=0,0,SER_hh_fech!R29/SER_summary!R$26)</f>
        <v>19.144245064042355</v>
      </c>
      <c r="S29" s="130">
        <f>IF(SER_hh_fech!S29=0,0,SER_hh_fech!S29/SER_summary!S$26)</f>
        <v>19.043181812004459</v>
      </c>
      <c r="T29" s="130">
        <f>IF(SER_hh_fech!T29=0,0,SER_hh_fech!T29/SER_summary!T$26)</f>
        <v>18.849091437507926</v>
      </c>
      <c r="U29" s="130">
        <f>IF(SER_hh_fech!U29=0,0,SER_hh_fech!U29/SER_summary!U$26)</f>
        <v>18.762054219443868</v>
      </c>
      <c r="V29" s="130">
        <f>IF(SER_hh_fech!V29=0,0,SER_hh_fech!V29/SER_summary!V$26)</f>
        <v>17.790598125338015</v>
      </c>
      <c r="W29" s="130">
        <f>IF(SER_hh_fech!W29=0,0,SER_hh_fech!W29/SER_summary!W$26)</f>
        <v>18.43495189641143</v>
      </c>
      <c r="X29" s="130">
        <f>IF(SER_hh_fech!X29=0,0,SER_hh_fech!X29/SER_summary!X$26)</f>
        <v>18.203265661347313</v>
      </c>
      <c r="Y29" s="130">
        <f>IF(SER_hh_fech!Y29=0,0,SER_hh_fech!Y29/SER_summary!Y$26)</f>
        <v>18.296422014666113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7.6422812829801172</v>
      </c>
      <c r="C30" s="132">
        <f>IF(SER_hh_fech!C30=0,0,SER_hh_fech!C30/SER_summary!C$26)</f>
        <v>12.0309145802602</v>
      </c>
      <c r="D30" s="132">
        <f>IF(SER_hh_fech!D30=0,0,SER_hh_fech!D30/SER_summary!D$26)</f>
        <v>24.840124725991618</v>
      </c>
      <c r="E30" s="132">
        <f>IF(SER_hh_fech!E30=0,0,SER_hh_fech!E30/SER_summary!E$26)</f>
        <v>25.968731734956126</v>
      </c>
      <c r="F30" s="132">
        <f>IF(SER_hh_fech!F30=0,0,SER_hh_fech!F30/SER_summary!F$26)</f>
        <v>31.03016470659152</v>
      </c>
      <c r="G30" s="132">
        <f>IF(SER_hh_fech!G30=0,0,SER_hh_fech!G30/SER_summary!G$26)</f>
        <v>23.028117749724085</v>
      </c>
      <c r="H30" s="132">
        <f>IF(SER_hh_fech!H30=0,0,SER_hh_fech!H30/SER_summary!H$26)</f>
        <v>24.493112883772397</v>
      </c>
      <c r="I30" s="132">
        <f>IF(SER_hh_fech!I30=0,0,SER_hh_fech!I30/SER_summary!I$26)</f>
        <v>20.489242214167692</v>
      </c>
      <c r="J30" s="132">
        <f>IF(SER_hh_fech!J30=0,0,SER_hh_fech!J30/SER_summary!J$26)</f>
        <v>15.276799058269715</v>
      </c>
      <c r="K30" s="132">
        <f>IF(SER_hh_fech!K30=0,0,SER_hh_fech!K30/SER_summary!K$26)</f>
        <v>19.077885294831958</v>
      </c>
      <c r="L30" s="132">
        <f>IF(SER_hh_fech!L30=0,0,SER_hh_fech!L30/SER_summary!L$26)</f>
        <v>31.77567173478603</v>
      </c>
      <c r="M30" s="132">
        <f>IF(SER_hh_fech!M30=0,0,SER_hh_fech!M30/SER_summary!M$26)</f>
        <v>31.149972534136854</v>
      </c>
      <c r="N30" s="132">
        <f>IF(SER_hh_fech!N30=0,0,SER_hh_fech!N30/SER_summary!N$26)</f>
        <v>5.4958044053457762</v>
      </c>
      <c r="O30" s="132">
        <f>IF(SER_hh_fech!O30=0,0,SER_hh_fech!O30/SER_summary!O$26)</f>
        <v>11.51229384659467</v>
      </c>
      <c r="P30" s="132">
        <f>IF(SER_hh_fech!P30=0,0,SER_hh_fech!P30/SER_summary!P$26)</f>
        <v>21.337118179333139</v>
      </c>
      <c r="Q30" s="132">
        <f>IF(SER_hh_fech!Q30=0,0,SER_hh_fech!Q30/SER_summary!Q$26)</f>
        <v>21.136461505991772</v>
      </c>
      <c r="R30" s="132">
        <f>IF(SER_hh_fech!R30=0,0,SER_hh_fech!R30/SER_summary!R$26)</f>
        <v>15.541071360858925</v>
      </c>
      <c r="S30" s="132">
        <f>IF(SER_hh_fech!S30=0,0,SER_hh_fech!S30/SER_summary!S$26)</f>
        <v>28.542401227786982</v>
      </c>
      <c r="T30" s="132">
        <f>IF(SER_hh_fech!T30=0,0,SER_hh_fech!T30/SER_summary!T$26)</f>
        <v>22.981320485602655</v>
      </c>
      <c r="U30" s="132">
        <f>IF(SER_hh_fech!U30=0,0,SER_hh_fech!U30/SER_summary!U$26)</f>
        <v>22.873439018841058</v>
      </c>
      <c r="V30" s="132">
        <f>IF(SER_hh_fech!V30=0,0,SER_hh_fech!V30/SER_summary!V$26)</f>
        <v>21.938270506456455</v>
      </c>
      <c r="W30" s="132">
        <f>IF(SER_hh_fech!W30=0,0,SER_hh_fech!W30/SER_summary!W$26)</f>
        <v>26.443090499000149</v>
      </c>
      <c r="X30" s="132">
        <f>IF(SER_hh_fech!X30=0,0,SER_hh_fech!X30/SER_summary!X$26)</f>
        <v>24.563852432319738</v>
      </c>
      <c r="Y30" s="132">
        <f>IF(SER_hh_fech!Y30=0,0,SER_hh_fech!Y30/SER_summary!Y$26)</f>
        <v>15.059130689503093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19.719675942544168</v>
      </c>
      <c r="C31" s="132">
        <f>IF(SER_hh_fech!C31=0,0,SER_hh_fech!C31/SER_summary!C$26)</f>
        <v>21.118487815146608</v>
      </c>
      <c r="D31" s="132">
        <f>IF(SER_hh_fech!D31=0,0,SER_hh_fech!D31/SER_summary!D$26)</f>
        <v>21.924064897757841</v>
      </c>
      <c r="E31" s="132">
        <f>IF(SER_hh_fech!E31=0,0,SER_hh_fech!E31/SER_summary!E$26)</f>
        <v>22.191803314789013</v>
      </c>
      <c r="F31" s="132">
        <f>IF(SER_hh_fech!F31=0,0,SER_hh_fech!F31/SER_summary!F$26)</f>
        <v>22.716872726941062</v>
      </c>
      <c r="G31" s="132">
        <f>IF(SER_hh_fech!G31=0,0,SER_hh_fech!G31/SER_summary!G$26)</f>
        <v>22.580121849626853</v>
      </c>
      <c r="H31" s="132">
        <f>IF(SER_hh_fech!H31=0,0,SER_hh_fech!H31/SER_summary!H$26)</f>
        <v>22.259630402437168</v>
      </c>
      <c r="I31" s="132">
        <f>IF(SER_hh_fech!I31=0,0,SER_hh_fech!I31/SER_summary!I$26)</f>
        <v>21.959186567714699</v>
      </c>
      <c r="J31" s="132">
        <f>IF(SER_hh_fech!J31=0,0,SER_hh_fech!J31/SER_summary!J$26)</f>
        <v>21.941430733371046</v>
      </c>
      <c r="K31" s="132">
        <f>IF(SER_hh_fech!K31=0,0,SER_hh_fech!K31/SER_summary!K$26)</f>
        <v>22.467003766692997</v>
      </c>
      <c r="L31" s="132">
        <f>IF(SER_hh_fech!L31=0,0,SER_hh_fech!L31/SER_summary!L$26)</f>
        <v>22.639804941056319</v>
      </c>
      <c r="M31" s="132">
        <f>IF(SER_hh_fech!M31=0,0,SER_hh_fech!M31/SER_summary!M$26)</f>
        <v>22.65836057578807</v>
      </c>
      <c r="N31" s="132">
        <f>IF(SER_hh_fech!N31=0,0,SER_hh_fech!N31/SER_summary!N$26)</f>
        <v>22.675727277777394</v>
      </c>
      <c r="O31" s="132">
        <f>IF(SER_hh_fech!O31=0,0,SER_hh_fech!O31/SER_summary!O$26)</f>
        <v>22.705383276797217</v>
      </c>
      <c r="P31" s="132">
        <f>IF(SER_hh_fech!P31=0,0,SER_hh_fech!P31/SER_summary!P$26)</f>
        <v>22.909395015693924</v>
      </c>
      <c r="Q31" s="132">
        <f>IF(SER_hh_fech!Q31=0,0,SER_hh_fech!Q31/SER_summary!Q$26)</f>
        <v>22.916142683859668</v>
      </c>
      <c r="R31" s="132">
        <f>IF(SER_hh_fech!R31=0,0,SER_hh_fech!R31/SER_summary!R$26)</f>
        <v>22.810264780928843</v>
      </c>
      <c r="S31" s="132">
        <f>IF(SER_hh_fech!S31=0,0,SER_hh_fech!S31/SER_summary!S$26)</f>
        <v>22.624372794358738</v>
      </c>
      <c r="T31" s="132">
        <f>IF(SER_hh_fech!T31=0,0,SER_hh_fech!T31/SER_summary!T$26)</f>
        <v>22.517505625858178</v>
      </c>
      <c r="U31" s="132">
        <f>IF(SER_hh_fech!U31=0,0,SER_hh_fech!U31/SER_summary!U$26)</f>
        <v>22.912263853567083</v>
      </c>
      <c r="V31" s="132">
        <f>IF(SER_hh_fech!V31=0,0,SER_hh_fech!V31/SER_summary!V$26)</f>
        <v>21.066093456437351</v>
      </c>
      <c r="W31" s="132">
        <f>IF(SER_hh_fech!W31=0,0,SER_hh_fech!W31/SER_summary!W$26)</f>
        <v>21.405597187573647</v>
      </c>
      <c r="X31" s="132">
        <f>IF(SER_hh_fech!X31=0,0,SER_hh_fech!X31/SER_summary!X$26)</f>
        <v>20.846234115986586</v>
      </c>
      <c r="Y31" s="132">
        <f>IF(SER_hh_fech!Y31=0,0,SER_hh_fech!Y31/SER_summary!Y$26)</f>
        <v>22.923455999983215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21.973863902564382</v>
      </c>
      <c r="C32" s="132">
        <f>IF(SER_hh_fech!C32=0,0,SER_hh_fech!C32/SER_summary!C$26)</f>
        <v>22.069363676176803</v>
      </c>
      <c r="D32" s="132">
        <f>IF(SER_hh_fech!D32=0,0,SER_hh_fech!D32/SER_summary!D$26)</f>
        <v>23.670337106475817</v>
      </c>
      <c r="E32" s="132">
        <f>IF(SER_hh_fech!E32=0,0,SER_hh_fech!E32/SER_summary!E$26)</f>
        <v>23.854743430649577</v>
      </c>
      <c r="F32" s="132">
        <f>IF(SER_hh_fech!F32=0,0,SER_hh_fech!F32/SER_summary!F$26)</f>
        <v>24.432170261153203</v>
      </c>
      <c r="G32" s="132">
        <f>IF(SER_hh_fech!G32=0,0,SER_hh_fech!G32/SER_summary!G$26)</f>
        <v>24.103688089030321</v>
      </c>
      <c r="H32" s="132">
        <f>IF(SER_hh_fech!H32=0,0,SER_hh_fech!H32/SER_summary!H$26)</f>
        <v>23.781130337294737</v>
      </c>
      <c r="I32" s="132">
        <f>IF(SER_hh_fech!I32=0,0,SER_hh_fech!I32/SER_summary!I$26)</f>
        <v>23.601436860169986</v>
      </c>
      <c r="J32" s="132">
        <f>IF(SER_hh_fech!J32=0,0,SER_hh_fech!J32/SER_summary!J$26)</f>
        <v>23.341421269412553</v>
      </c>
      <c r="K32" s="132">
        <f>IF(SER_hh_fech!K32=0,0,SER_hh_fech!K32/SER_summary!K$26)</f>
        <v>23.264963408579334</v>
      </c>
      <c r="L32" s="132">
        <f>IF(SER_hh_fech!L32=0,0,SER_hh_fech!L32/SER_summary!L$26)</f>
        <v>24.403119423993243</v>
      </c>
      <c r="M32" s="132">
        <f>IF(SER_hh_fech!M32=0,0,SER_hh_fech!M32/SER_summary!M$26)</f>
        <v>23.6575230761302</v>
      </c>
      <c r="N32" s="132">
        <f>IF(SER_hh_fech!N32=0,0,SER_hh_fech!N32/SER_summary!N$26)</f>
        <v>24.318628924827873</v>
      </c>
      <c r="O32" s="132">
        <f>IF(SER_hh_fech!O32=0,0,SER_hh_fech!O32/SER_summary!O$26)</f>
        <v>23.750739855631991</v>
      </c>
      <c r="P32" s="132">
        <f>IF(SER_hh_fech!P32=0,0,SER_hh_fech!P32/SER_summary!P$26)</f>
        <v>24.104122007259367</v>
      </c>
      <c r="Q32" s="132">
        <f>IF(SER_hh_fech!Q32=0,0,SER_hh_fech!Q32/SER_summary!Q$26)</f>
        <v>24.77510629025554</v>
      </c>
      <c r="R32" s="132">
        <f>IF(SER_hh_fech!R32=0,0,SER_hh_fech!R32/SER_summary!R$26)</f>
        <v>24.279033669684758</v>
      </c>
      <c r="S32" s="132">
        <f>IF(SER_hh_fech!S32=0,0,SER_hh_fech!S32/SER_summary!S$26)</f>
        <v>23.814862259693079</v>
      </c>
      <c r="T32" s="132">
        <f>IF(SER_hh_fech!T32=0,0,SER_hh_fech!T32/SER_summary!T$26)</f>
        <v>23.723217441988041</v>
      </c>
      <c r="U32" s="132">
        <f>IF(SER_hh_fech!U32=0,0,SER_hh_fech!U32/SER_summary!U$26)</f>
        <v>24.138083066055081</v>
      </c>
      <c r="V32" s="132">
        <f>IF(SER_hh_fech!V32=0,0,SER_hh_fech!V32/SER_summary!V$26)</f>
        <v>24.479403505979292</v>
      </c>
      <c r="W32" s="132">
        <f>IF(SER_hh_fech!W32=0,0,SER_hh_fech!W32/SER_summary!W$26)</f>
        <v>24.297495038359351</v>
      </c>
      <c r="X32" s="132">
        <f>IF(SER_hh_fech!X32=0,0,SER_hh_fech!X32/SER_summary!X$26)</f>
        <v>23.100451463496913</v>
      </c>
      <c r="Y32" s="132">
        <f>IF(SER_hh_fech!Y32=0,0,SER_hh_fech!Y32/SER_summary!Y$26)</f>
        <v>24.11227041945633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17.741043511169572</v>
      </c>
      <c r="C33" s="68">
        <f>IF(SER_hh_fech!C33=0,0,SER_hh_fech!C33/SER_summary!C$26)</f>
        <v>17.457259532744079</v>
      </c>
      <c r="D33" s="68">
        <f>IF(SER_hh_fech!D33=0,0,SER_hh_fech!D33/SER_summary!D$26)</f>
        <v>15.898648183044656</v>
      </c>
      <c r="E33" s="68">
        <f>IF(SER_hh_fech!E33=0,0,SER_hh_fech!E33/SER_summary!E$26)</f>
        <v>16.342084269032064</v>
      </c>
      <c r="F33" s="68">
        <f>IF(SER_hh_fech!F33=0,0,SER_hh_fech!F33/SER_summary!F$26)</f>
        <v>14.655704866211606</v>
      </c>
      <c r="G33" s="68">
        <f>IF(SER_hh_fech!G33=0,0,SER_hh_fech!G33/SER_summary!G$26)</f>
        <v>17.061877642883264</v>
      </c>
      <c r="H33" s="68">
        <f>IF(SER_hh_fech!H33=0,0,SER_hh_fech!H33/SER_summary!H$26)</f>
        <v>16.409575304296293</v>
      </c>
      <c r="I33" s="68">
        <f>IF(SER_hh_fech!I33=0,0,SER_hh_fech!I33/SER_summary!I$26)</f>
        <v>16.991662605662345</v>
      </c>
      <c r="J33" s="68">
        <f>IF(SER_hh_fech!J33=0,0,SER_hh_fech!J33/SER_summary!J$26)</f>
        <v>17.746199407669984</v>
      </c>
      <c r="K33" s="68">
        <f>IF(SER_hh_fech!K33=0,0,SER_hh_fech!K33/SER_summary!K$26)</f>
        <v>17.841523630784643</v>
      </c>
      <c r="L33" s="68">
        <f>IF(SER_hh_fech!L33=0,0,SER_hh_fech!L33/SER_summary!L$26)</f>
        <v>15.325147299313777</v>
      </c>
      <c r="M33" s="68">
        <f>IF(SER_hh_fech!M33=0,0,SER_hh_fech!M33/SER_summary!M$26)</f>
        <v>15.737705785613889</v>
      </c>
      <c r="N33" s="68">
        <f>IF(SER_hh_fech!N33=0,0,SER_hh_fech!N33/SER_summary!N$26)</f>
        <v>18.546395078245091</v>
      </c>
      <c r="O33" s="68">
        <f>IF(SER_hh_fech!O33=0,0,SER_hh_fech!O33/SER_summary!O$26)</f>
        <v>17.53768639421509</v>
      </c>
      <c r="P33" s="68">
        <f>IF(SER_hh_fech!P33=0,0,SER_hh_fech!P33/SER_summary!P$26)</f>
        <v>17.269389235917536</v>
      </c>
      <c r="Q33" s="68">
        <f>IF(SER_hh_fech!Q33=0,0,SER_hh_fech!Q33/SER_summary!Q$26)</f>
        <v>17.186263349510721</v>
      </c>
      <c r="R33" s="68">
        <f>IF(SER_hh_fech!R33=0,0,SER_hh_fech!R33/SER_summary!R$26)</f>
        <v>17.321355758724103</v>
      </c>
      <c r="S33" s="68">
        <f>IF(SER_hh_fech!S33=0,0,SER_hh_fech!S33/SER_summary!S$26)</f>
        <v>16.885270036624686</v>
      </c>
      <c r="T33" s="68">
        <f>IF(SER_hh_fech!T33=0,0,SER_hh_fech!T33/SER_summary!T$26)</f>
        <v>16.775209712271508</v>
      </c>
      <c r="U33" s="68">
        <f>IF(SER_hh_fech!U33=0,0,SER_hh_fech!U33/SER_summary!U$26)</f>
        <v>16.39392288548262</v>
      </c>
      <c r="V33" s="68">
        <f>IF(SER_hh_fech!V33=0,0,SER_hh_fech!V33/SER_summary!V$26)</f>
        <v>15.821958006837708</v>
      </c>
      <c r="W33" s="68">
        <f>IF(SER_hh_fech!W33=0,0,SER_hh_fech!W33/SER_summary!W$26)</f>
        <v>16.465498665907177</v>
      </c>
      <c r="X33" s="68">
        <f>IF(SER_hh_fech!X33=0,0,SER_hh_fech!X33/SER_summary!X$26)</f>
        <v>16.497288792506019</v>
      </c>
      <c r="Y33" s="68">
        <f>IF(SER_hh_fech!Y33=0,0,SER_hh_fech!Y33/SER_summary!Y$26)</f>
        <v>15.788712437260134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119.58252336528292</v>
      </c>
      <c r="C3" s="125">
        <f>IF(SER_hh_tesh!C3=0,0,SER_hh_tesh!C3/SER_summary!C$26)</f>
        <v>137.72900646419231</v>
      </c>
      <c r="D3" s="125">
        <f>IF(SER_hh_tesh!D3=0,0,SER_hh_tesh!D3/SER_summary!D$26)</f>
        <v>134.22111095016851</v>
      </c>
      <c r="E3" s="125">
        <f>IF(SER_hh_tesh!E3=0,0,SER_hh_tesh!E3/SER_summary!E$26)</f>
        <v>150.97686777594694</v>
      </c>
      <c r="F3" s="125">
        <f>IF(SER_hh_tesh!F3=0,0,SER_hh_tesh!F3/SER_summary!F$26)</f>
        <v>146.82520100037885</v>
      </c>
      <c r="G3" s="125">
        <f>IF(SER_hh_tesh!G3=0,0,SER_hh_tesh!G3/SER_summary!G$26)</f>
        <v>141.81522631977745</v>
      </c>
      <c r="H3" s="125">
        <f>IF(SER_hh_tesh!H3=0,0,SER_hh_tesh!H3/SER_summary!H$26)</f>
        <v>145.12642201262369</v>
      </c>
      <c r="I3" s="125">
        <f>IF(SER_hh_tesh!I3=0,0,SER_hh_tesh!I3/SER_summary!I$26)</f>
        <v>124.29867071181879</v>
      </c>
      <c r="J3" s="125">
        <f>IF(SER_hh_tesh!J3=0,0,SER_hh_tesh!J3/SER_summary!J$26)</f>
        <v>136.98430756930046</v>
      </c>
      <c r="K3" s="125">
        <f>IF(SER_hh_tesh!K3=0,0,SER_hh_tesh!K3/SER_summary!K$26)</f>
        <v>123.47438056667421</v>
      </c>
      <c r="L3" s="125">
        <f>IF(SER_hh_tesh!L3=0,0,SER_hh_tesh!L3/SER_summary!L$26)</f>
        <v>124.80711600816002</v>
      </c>
      <c r="M3" s="125">
        <f>IF(SER_hh_tesh!M3=0,0,SER_hh_tesh!M3/SER_summary!M$26)</f>
        <v>120.89143280712906</v>
      </c>
      <c r="N3" s="125">
        <f>IF(SER_hh_tesh!N3=0,0,SER_hh_tesh!N3/SER_summary!N$26)</f>
        <v>122.9089419860281</v>
      </c>
      <c r="O3" s="125">
        <f>IF(SER_hh_tesh!O3=0,0,SER_hh_tesh!O3/SER_summary!O$26)</f>
        <v>123.40153907465145</v>
      </c>
      <c r="P3" s="125">
        <f>IF(SER_hh_tesh!P3=0,0,SER_hh_tesh!P3/SER_summary!P$26)</f>
        <v>114.87489453493089</v>
      </c>
      <c r="Q3" s="125">
        <f>IF(SER_hh_tesh!Q3=0,0,SER_hh_tesh!Q3/SER_summary!Q$26)</f>
        <v>117.27384732035084</v>
      </c>
      <c r="R3" s="125">
        <f>IF(SER_hh_tesh!R3=0,0,SER_hh_tesh!R3/SER_summary!R$26)</f>
        <v>114.28563165949225</v>
      </c>
      <c r="S3" s="125">
        <f>IF(SER_hh_tesh!S3=0,0,SER_hh_tesh!S3/SER_summary!S$26)</f>
        <v>125.33933427603903</v>
      </c>
      <c r="T3" s="125">
        <f>IF(SER_hh_tesh!T3=0,0,SER_hh_tesh!T3/SER_summary!T$26)</f>
        <v>121.32694592017471</v>
      </c>
      <c r="U3" s="125">
        <f>IF(SER_hh_tesh!U3=0,0,SER_hh_tesh!U3/SER_summary!U$26)</f>
        <v>124.86762368729269</v>
      </c>
      <c r="V3" s="125">
        <f>IF(SER_hh_tesh!V3=0,0,SER_hh_tesh!V3/SER_summary!V$26)</f>
        <v>112.73242402143823</v>
      </c>
      <c r="W3" s="125">
        <f>IF(SER_hh_tesh!W3=0,0,SER_hh_tesh!W3/SER_summary!W$26)</f>
        <v>122.64135535976793</v>
      </c>
      <c r="X3" s="125">
        <f>IF(SER_hh_tesh!X3=0,0,SER_hh_tesh!X3/SER_summary!X$26)</f>
        <v>117.64003549035587</v>
      </c>
      <c r="Y3" s="125">
        <f>IF(SER_hh_tesh!Y3=0,0,SER_hh_tesh!Y3/SER_summary!Y$26)</f>
        <v>114.37785205481367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88.940829822787563</v>
      </c>
      <c r="C4" s="130">
        <f>IF(SER_hh_tesh!C4=0,0,SER_hh_tesh!C4/SER_summary!C$26)</f>
        <v>106.46628757846187</v>
      </c>
      <c r="D4" s="130">
        <f>IF(SER_hh_tesh!D4=0,0,SER_hh_tesh!D4/SER_summary!D$26)</f>
        <v>102.27458435591788</v>
      </c>
      <c r="E4" s="130">
        <f>IF(SER_hh_tesh!E4=0,0,SER_hh_tesh!E4/SER_summary!E$26)</f>
        <v>117.91554914451112</v>
      </c>
      <c r="F4" s="130">
        <f>IF(SER_hh_tesh!F4=0,0,SER_hh_tesh!F4/SER_summary!F$26)</f>
        <v>114.04334367851051</v>
      </c>
      <c r="G4" s="130">
        <f>IF(SER_hh_tesh!G4=0,0,SER_hh_tesh!G4/SER_summary!G$26)</f>
        <v>108.51218231578454</v>
      </c>
      <c r="H4" s="130">
        <f>IF(SER_hh_tesh!H4=0,0,SER_hh_tesh!H4/SER_summary!H$26)</f>
        <v>111.72119379314235</v>
      </c>
      <c r="I4" s="130">
        <f>IF(SER_hh_tesh!I4=0,0,SER_hh_tesh!I4/SER_summary!I$26)</f>
        <v>90.643398714589623</v>
      </c>
      <c r="J4" s="130">
        <f>IF(SER_hh_tesh!J4=0,0,SER_hh_tesh!J4/SER_summary!J$26)</f>
        <v>103.31033674310285</v>
      </c>
      <c r="K4" s="130">
        <f>IF(SER_hh_tesh!K4=0,0,SER_hh_tesh!K4/SER_summary!K$26)</f>
        <v>88.388941266099366</v>
      </c>
      <c r="L4" s="130">
        <f>IF(SER_hh_tesh!L4=0,0,SER_hh_tesh!L4/SER_summary!L$26)</f>
        <v>89.378202218546363</v>
      </c>
      <c r="M4" s="130">
        <f>IF(SER_hh_tesh!M4=0,0,SER_hh_tesh!M4/SER_summary!M$26)</f>
        <v>85.153375002214133</v>
      </c>
      <c r="N4" s="130">
        <f>IF(SER_hh_tesh!N4=0,0,SER_hh_tesh!N4/SER_summary!N$26)</f>
        <v>86.701529465983526</v>
      </c>
      <c r="O4" s="130">
        <f>IF(SER_hh_tesh!O4=0,0,SER_hh_tesh!O4/SER_summary!O$26)</f>
        <v>86.632302298040898</v>
      </c>
      <c r="P4" s="130">
        <f>IF(SER_hh_tesh!P4=0,0,SER_hh_tesh!P4/SER_summary!P$26)</f>
        <v>78.136964958676842</v>
      </c>
      <c r="Q4" s="130">
        <f>IF(SER_hh_tesh!Q4=0,0,SER_hh_tesh!Q4/SER_summary!Q$26)</f>
        <v>79.696608357811741</v>
      </c>
      <c r="R4" s="130">
        <f>IF(SER_hh_tesh!R4=0,0,SER_hh_tesh!R4/SER_summary!R$26)</f>
        <v>77.341257983330138</v>
      </c>
      <c r="S4" s="130">
        <f>IF(SER_hh_tesh!S4=0,0,SER_hh_tesh!S4/SER_summary!S$26)</f>
        <v>88.093528699808445</v>
      </c>
      <c r="T4" s="130">
        <f>IF(SER_hh_tesh!T4=0,0,SER_hh_tesh!T4/SER_summary!T$26)</f>
        <v>84.329916713629345</v>
      </c>
      <c r="U4" s="130">
        <f>IF(SER_hh_tesh!U4=0,0,SER_hh_tesh!U4/SER_summary!U$26)</f>
        <v>88.016110559610311</v>
      </c>
      <c r="V4" s="130">
        <f>IF(SER_hh_tesh!V4=0,0,SER_hh_tesh!V4/SER_summary!V$26)</f>
        <v>77.494500239216194</v>
      </c>
      <c r="W4" s="130">
        <f>IF(SER_hh_tesh!W4=0,0,SER_hh_tesh!W4/SER_summary!W$26)</f>
        <v>86.892984073129668</v>
      </c>
      <c r="X4" s="130">
        <f>IF(SER_hh_tesh!X4=0,0,SER_hh_tesh!X4/SER_summary!X$26)</f>
        <v>81.409072435857809</v>
      </c>
      <c r="Y4" s="130">
        <f>IF(SER_hh_tesh!Y4=0,0,SER_hh_tesh!Y4/SER_summary!Y$26)</f>
        <v>77.43957159896425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91.376301315349323</v>
      </c>
      <c r="C5" s="132">
        <f>IF(SER_hh_tesh!C5=0,0,SER_hh_tesh!C5/SER_summary!C$26)</f>
        <v>109.61099158371496</v>
      </c>
      <c r="D5" s="132">
        <f>IF(SER_hh_tesh!D5=0,0,SER_hh_tesh!D5/SER_summary!D$26)</f>
        <v>87.16124346550437</v>
      </c>
      <c r="E5" s="132">
        <f>IF(SER_hh_tesh!E5=0,0,SER_hh_tesh!E5/SER_summary!E$26)</f>
        <v>130.77289500237768</v>
      </c>
      <c r="F5" s="132">
        <f>IF(SER_hh_tesh!F5=0,0,SER_hh_tesh!F5/SER_summary!F$26)</f>
        <v>111.09693100494528</v>
      </c>
      <c r="G5" s="132">
        <f>IF(SER_hh_tesh!G5=0,0,SER_hh_tesh!G5/SER_summary!G$26)</f>
        <v>108.4332766357647</v>
      </c>
      <c r="H5" s="132">
        <f>IF(SER_hh_tesh!H5=0,0,SER_hh_tesh!H5/SER_summary!H$26)</f>
        <v>101.31914527760986</v>
      </c>
      <c r="I5" s="132">
        <f>IF(SER_hh_tesh!I5=0,0,SER_hh_tesh!I5/SER_summary!I$26)</f>
        <v>99.207063103085943</v>
      </c>
      <c r="J5" s="132">
        <f>IF(SER_hh_tesh!J5=0,0,SER_hh_tesh!J5/SER_summary!J$26)</f>
        <v>82.890189697635975</v>
      </c>
      <c r="K5" s="132">
        <f>IF(SER_hh_tesh!K5=0,0,SER_hh_tesh!K5/SER_summary!K$26)</f>
        <v>77.011587828113434</v>
      </c>
      <c r="L5" s="132">
        <f>IF(SER_hh_tesh!L5=0,0,SER_hh_tesh!L5/SER_summary!L$26)</f>
        <v>106.69845275610757</v>
      </c>
      <c r="M5" s="132">
        <f>IF(SER_hh_tesh!M5=0,0,SER_hh_tesh!M5/SER_summary!M$26)</f>
        <v>104.56616604380726</v>
      </c>
      <c r="N5" s="132">
        <f>IF(SER_hh_tesh!N5=0,0,SER_hh_tesh!N5/SER_summary!N$26)</f>
        <v>4.3088484448805096</v>
      </c>
      <c r="O5" s="132">
        <f>IF(SER_hh_tesh!O5=0,0,SER_hh_tesh!O5/SER_summary!O$26)</f>
        <v>42.669875577729307</v>
      </c>
      <c r="P5" s="132">
        <f>IF(SER_hh_tesh!P5=0,0,SER_hh_tesh!P5/SER_summary!P$26)</f>
        <v>31.803245247190155</v>
      </c>
      <c r="Q5" s="132">
        <f>IF(SER_hh_tesh!Q5=0,0,SER_hh_tesh!Q5/SER_summary!Q$26)</f>
        <v>40.608410923089131</v>
      </c>
      <c r="R5" s="132">
        <f>IF(SER_hh_tesh!R5=0,0,SER_hh_tesh!R5/SER_summary!R$26)</f>
        <v>0</v>
      </c>
      <c r="S5" s="132">
        <f>IF(SER_hh_tesh!S5=0,0,SER_hh_tesh!S5/SER_summary!S$26)</f>
        <v>0</v>
      </c>
      <c r="T5" s="132">
        <f>IF(SER_hh_tesh!T5=0,0,SER_hh_tesh!T5/SER_summary!T$26)</f>
        <v>0</v>
      </c>
      <c r="U5" s="132">
        <f>IF(SER_hh_tesh!U5=0,0,SER_hh_tesh!U5/SER_summary!U$26)</f>
        <v>0</v>
      </c>
      <c r="V5" s="132">
        <f>IF(SER_hh_tesh!V5=0,0,SER_hh_tesh!V5/SER_summary!V$26)</f>
        <v>0</v>
      </c>
      <c r="W5" s="132">
        <f>IF(SER_hh_tesh!W5=0,0,SER_hh_tesh!W5/SER_summary!W$26)</f>
        <v>0</v>
      </c>
      <c r="X5" s="132">
        <f>IF(SER_hh_tesh!X5=0,0,SER_hh_tesh!X5/SER_summary!X$26)</f>
        <v>0</v>
      </c>
      <c r="Y5" s="132">
        <f>IF(SER_hh_tesh!Y5=0,0,SER_hh_tesh!Y5/SER_summary!Y$26)</f>
        <v>0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82.757955144535259</v>
      </c>
      <c r="C7" s="132">
        <f>IF(SER_hh_tesh!C7=0,0,SER_hh_tesh!C7/SER_summary!C$26)</f>
        <v>106.74163814759292</v>
      </c>
      <c r="D7" s="132">
        <f>IF(SER_hh_tesh!D7=0,0,SER_hh_tesh!D7/SER_summary!D$26)</f>
        <v>103.1660560337027</v>
      </c>
      <c r="E7" s="132">
        <f>IF(SER_hh_tesh!E7=0,0,SER_hh_tesh!E7/SER_summary!E$26)</f>
        <v>125.60433732186543</v>
      </c>
      <c r="F7" s="132">
        <f>IF(SER_hh_tesh!F7=0,0,SER_hh_tesh!F7/SER_summary!F$26)</f>
        <v>89.219773509314862</v>
      </c>
      <c r="G7" s="132">
        <f>IF(SER_hh_tesh!G7=0,0,SER_hh_tesh!G7/SER_summary!G$26)</f>
        <v>114.91422707930337</v>
      </c>
      <c r="H7" s="132">
        <f>IF(SER_hh_tesh!H7=0,0,SER_hh_tesh!H7/SER_summary!H$26)</f>
        <v>117.47357461741714</v>
      </c>
      <c r="I7" s="132">
        <f>IF(SER_hh_tesh!I7=0,0,SER_hh_tesh!I7/SER_summary!I$26)</f>
        <v>84.428227640517321</v>
      </c>
      <c r="J7" s="132">
        <f>IF(SER_hh_tesh!J7=0,0,SER_hh_tesh!J7/SER_summary!J$26)</f>
        <v>109.01580449313397</v>
      </c>
      <c r="K7" s="132">
        <f>IF(SER_hh_tesh!K7=0,0,SER_hh_tesh!K7/SER_summary!K$26)</f>
        <v>100.5389774275739</v>
      </c>
      <c r="L7" s="132">
        <f>IF(SER_hh_tesh!L7=0,0,SER_hh_tesh!L7/SER_summary!L$26)</f>
        <v>64.404115933785349</v>
      </c>
      <c r="M7" s="132">
        <f>IF(SER_hh_tesh!M7=0,0,SER_hh_tesh!M7/SER_summary!M$26)</f>
        <v>79.246405537731007</v>
      </c>
      <c r="N7" s="132">
        <f>IF(SER_hh_tesh!N7=0,0,SER_hh_tesh!N7/SER_summary!N$26)</f>
        <v>77.546237360688266</v>
      </c>
      <c r="O7" s="132">
        <f>IF(SER_hh_tesh!O7=0,0,SER_hh_tesh!O7/SER_summary!O$26)</f>
        <v>78.199507436713873</v>
      </c>
      <c r="P7" s="132">
        <f>IF(SER_hh_tesh!P7=0,0,SER_hh_tesh!P7/SER_summary!P$26)</f>
        <v>80.610057092464061</v>
      </c>
      <c r="Q7" s="132">
        <f>IF(SER_hh_tesh!Q7=0,0,SER_hh_tesh!Q7/SER_summary!Q$26)</f>
        <v>79.943776942546364</v>
      </c>
      <c r="R7" s="132">
        <f>IF(SER_hh_tesh!R7=0,0,SER_hh_tesh!R7/SER_summary!R$26)</f>
        <v>70.70964165046756</v>
      </c>
      <c r="S7" s="132">
        <f>IF(SER_hh_tesh!S7=0,0,SER_hh_tesh!S7/SER_summary!S$26)</f>
        <v>97.63019573813159</v>
      </c>
      <c r="T7" s="132">
        <f>IF(SER_hh_tesh!T7=0,0,SER_hh_tesh!T7/SER_summary!T$26)</f>
        <v>84.463058253588272</v>
      </c>
      <c r="U7" s="132">
        <f>IF(SER_hh_tesh!U7=0,0,SER_hh_tesh!U7/SER_summary!U$26)</f>
        <v>79.290496935149861</v>
      </c>
      <c r="V7" s="132">
        <f>IF(SER_hh_tesh!V7=0,0,SER_hh_tesh!V7/SER_summary!V$26)</f>
        <v>77.976070748026217</v>
      </c>
      <c r="W7" s="132">
        <f>IF(SER_hh_tesh!W7=0,0,SER_hh_tesh!W7/SER_summary!W$26)</f>
        <v>102.78564479111894</v>
      </c>
      <c r="X7" s="132">
        <f>IF(SER_hh_tesh!X7=0,0,SER_hh_tesh!X7/SER_summary!X$26)</f>
        <v>92.655312094860278</v>
      </c>
      <c r="Y7" s="132">
        <f>IF(SER_hh_tesh!Y7=0,0,SER_hh_tesh!Y7/SER_summary!Y$26)</f>
        <v>61.196872530889294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82.374773680329142</v>
      </c>
      <c r="C8" s="132">
        <f>IF(SER_hh_tesh!C8=0,0,SER_hh_tesh!C8/SER_summary!C$26)</f>
        <v>105.606127991186</v>
      </c>
      <c r="D8" s="132">
        <f>IF(SER_hh_tesh!D8=0,0,SER_hh_tesh!D8/SER_summary!D$26)</f>
        <v>99.835417540320108</v>
      </c>
      <c r="E8" s="132">
        <f>IF(SER_hh_tesh!E8=0,0,SER_hh_tesh!E8/SER_summary!E$26)</f>
        <v>116.11500343803421</v>
      </c>
      <c r="F8" s="132">
        <f>IF(SER_hh_tesh!F8=0,0,SER_hh_tesh!F8/SER_summary!F$26)</f>
        <v>116.03587563635725</v>
      </c>
      <c r="G8" s="132">
        <f>IF(SER_hh_tesh!G8=0,0,SER_hh_tesh!G8/SER_summary!G$26)</f>
        <v>107.77000668362251</v>
      </c>
      <c r="H8" s="132">
        <f>IF(SER_hh_tesh!H8=0,0,SER_hh_tesh!H8/SER_summary!H$26)</f>
        <v>114.14392077284845</v>
      </c>
      <c r="I8" s="132">
        <f>IF(SER_hh_tesh!I8=0,0,SER_hh_tesh!I8/SER_summary!I$26)</f>
        <v>91.611159817645614</v>
      </c>
      <c r="J8" s="132">
        <f>IF(SER_hh_tesh!J8=0,0,SER_hh_tesh!J8/SER_summary!J$26)</f>
        <v>105.23891440665419</v>
      </c>
      <c r="K8" s="132">
        <f>IF(SER_hh_tesh!K8=0,0,SER_hh_tesh!K8/SER_summary!K$26)</f>
        <v>88.931569938364078</v>
      </c>
      <c r="L8" s="132">
        <f>IF(SER_hh_tesh!L8=0,0,SER_hh_tesh!L8/SER_summary!L$26)</f>
        <v>88.962265800655629</v>
      </c>
      <c r="M8" s="132">
        <f>IF(SER_hh_tesh!M8=0,0,SER_hh_tesh!M8/SER_summary!M$26)</f>
        <v>86.143715864791815</v>
      </c>
      <c r="N8" s="132">
        <f>IF(SER_hh_tesh!N8=0,0,SER_hh_tesh!N8/SER_summary!N$26)</f>
        <v>86.126754049010714</v>
      </c>
      <c r="O8" s="132">
        <f>IF(SER_hh_tesh!O8=0,0,SER_hh_tesh!O8/SER_summary!O$26)</f>
        <v>82.074031933438761</v>
      </c>
      <c r="P8" s="132">
        <f>IF(SER_hh_tesh!P8=0,0,SER_hh_tesh!P8/SER_summary!P$26)</f>
        <v>77.478534652002125</v>
      </c>
      <c r="Q8" s="132">
        <f>IF(SER_hh_tesh!Q8=0,0,SER_hh_tesh!Q8/SER_summary!Q$26)</f>
        <v>77.595891408879524</v>
      </c>
      <c r="R8" s="132">
        <f>IF(SER_hh_tesh!R8=0,0,SER_hh_tesh!R8/SER_summary!R$26)</f>
        <v>78.925809808822706</v>
      </c>
      <c r="S8" s="132">
        <f>IF(SER_hh_tesh!S8=0,0,SER_hh_tesh!S8/SER_summary!S$26)</f>
        <v>88.24070211321839</v>
      </c>
      <c r="T8" s="132">
        <f>IF(SER_hh_tesh!T8=0,0,SER_hh_tesh!T8/SER_summary!T$26)</f>
        <v>84.211733344665134</v>
      </c>
      <c r="U8" s="132">
        <f>IF(SER_hh_tesh!U8=0,0,SER_hh_tesh!U8/SER_summary!U$26)</f>
        <v>88.222222692320358</v>
      </c>
      <c r="V8" s="132">
        <f>IF(SER_hh_tesh!V8=0,0,SER_hh_tesh!V8/SER_summary!V$26)</f>
        <v>76.822973038292503</v>
      </c>
      <c r="W8" s="132">
        <f>IF(SER_hh_tesh!W8=0,0,SER_hh_tesh!W8/SER_summary!W$26)</f>
        <v>90.078533567771018</v>
      </c>
      <c r="X8" s="132">
        <f>IF(SER_hh_tesh!X8=0,0,SER_hh_tesh!X8/SER_summary!X$26)</f>
        <v>80.864069112628314</v>
      </c>
      <c r="Y8" s="132">
        <f>IF(SER_hh_tesh!Y8=0,0,SER_hh_tesh!Y8/SER_summary!Y$26)</f>
        <v>75.11995253180298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81.922738038075337</v>
      </c>
      <c r="C9" s="132">
        <f>IF(SER_hh_tesh!C9=0,0,SER_hh_tesh!C9/SER_summary!C$26)</f>
        <v>111.64634513714465</v>
      </c>
      <c r="D9" s="132">
        <f>IF(SER_hh_tesh!D9=0,0,SER_hh_tesh!D9/SER_summary!D$26)</f>
        <v>97.748760075987889</v>
      </c>
      <c r="E9" s="132">
        <f>IF(SER_hh_tesh!E9=0,0,SER_hh_tesh!E9/SER_summary!E$26)</f>
        <v>114.2847636255475</v>
      </c>
      <c r="F9" s="132">
        <f>IF(SER_hh_tesh!F9=0,0,SER_hh_tesh!F9/SER_summary!F$26)</f>
        <v>150.33904675827679</v>
      </c>
      <c r="G9" s="132">
        <f>IF(SER_hh_tesh!G9=0,0,SER_hh_tesh!G9/SER_summary!G$26)</f>
        <v>84.95394723506918</v>
      </c>
      <c r="H9" s="132">
        <f>IF(SER_hh_tesh!H9=0,0,SER_hh_tesh!H9/SER_summary!H$26)</f>
        <v>105.18641869343615</v>
      </c>
      <c r="I9" s="132">
        <f>IF(SER_hh_tesh!I9=0,0,SER_hh_tesh!I9/SER_summary!I$26)</f>
        <v>88.665517636093213</v>
      </c>
      <c r="J9" s="132">
        <f>IF(SER_hh_tesh!J9=0,0,SER_hh_tesh!J9/SER_summary!J$26)</f>
        <v>103.99196068081886</v>
      </c>
      <c r="K9" s="132">
        <f>IF(SER_hh_tesh!K9=0,0,SER_hh_tesh!K9/SER_summary!K$26)</f>
        <v>80.621297803022046</v>
      </c>
      <c r="L9" s="132">
        <f>IF(SER_hh_tesh!L9=0,0,SER_hh_tesh!L9/SER_summary!L$26)</f>
        <v>89.856892123446698</v>
      </c>
      <c r="M9" s="132">
        <f>IF(SER_hh_tesh!M9=0,0,SER_hh_tesh!M9/SER_summary!M$26)</f>
        <v>75.495600415002784</v>
      </c>
      <c r="N9" s="132">
        <f>IF(SER_hh_tesh!N9=0,0,SER_hh_tesh!N9/SER_summary!N$26)</f>
        <v>89.355984446696709</v>
      </c>
      <c r="O9" s="132">
        <f>IF(SER_hh_tesh!O9=0,0,SER_hh_tesh!O9/SER_summary!O$26)</f>
        <v>91.414541283351141</v>
      </c>
      <c r="P9" s="132">
        <f>IF(SER_hh_tesh!P9=0,0,SER_hh_tesh!P9/SER_summary!P$26)</f>
        <v>68.848325570994561</v>
      </c>
      <c r="Q9" s="132">
        <f>IF(SER_hh_tesh!Q9=0,0,SER_hh_tesh!Q9/SER_summary!Q$26)</f>
        <v>80.48037738380151</v>
      </c>
      <c r="R9" s="132">
        <f>IF(SER_hh_tesh!R9=0,0,SER_hh_tesh!R9/SER_summary!R$26)</f>
        <v>73.589788355905142</v>
      </c>
      <c r="S9" s="132">
        <f>IF(SER_hh_tesh!S9=0,0,SER_hh_tesh!S9/SER_summary!S$26)</f>
        <v>84.041701391353058</v>
      </c>
      <c r="T9" s="132">
        <f>IF(SER_hh_tesh!T9=0,0,SER_hh_tesh!T9/SER_summary!T$26)</f>
        <v>79.504006874320424</v>
      </c>
      <c r="U9" s="132">
        <f>IF(SER_hh_tesh!U9=0,0,SER_hh_tesh!U9/SER_summary!U$26)</f>
        <v>86.309243258004457</v>
      </c>
      <c r="V9" s="132">
        <f>IF(SER_hh_tesh!V9=0,0,SER_hh_tesh!V9/SER_summary!V$26)</f>
        <v>90.671426771922611</v>
      </c>
      <c r="W9" s="132">
        <f>IF(SER_hh_tesh!W9=0,0,SER_hh_tesh!W9/SER_summary!W$26)</f>
        <v>104.70301814667017</v>
      </c>
      <c r="X9" s="132">
        <f>IF(SER_hh_tesh!X9=0,0,SER_hh_tesh!X9/SER_summary!X$26)</f>
        <v>66.024862481484234</v>
      </c>
      <c r="Y9" s="132">
        <f>IF(SER_hh_tesh!Y9=0,0,SER_hh_tesh!Y9/SER_summary!Y$26)</f>
        <v>80.625092729664146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91.244591850513814</v>
      </c>
      <c r="C10" s="132">
        <f>IF(SER_hh_tesh!C10=0,0,SER_hh_tesh!C10/SER_summary!C$26)</f>
        <v>101.20063936621338</v>
      </c>
      <c r="D10" s="132">
        <f>IF(SER_hh_tesh!D10=0,0,SER_hh_tesh!D10/SER_summary!D$26)</f>
        <v>98.995707945328178</v>
      </c>
      <c r="E10" s="132">
        <f>IF(SER_hh_tesh!E10=0,0,SER_hh_tesh!E10/SER_summary!E$26)</f>
        <v>115.77709262875862</v>
      </c>
      <c r="F10" s="132">
        <f>IF(SER_hh_tesh!F10=0,0,SER_hh_tesh!F10/SER_summary!F$26)</f>
        <v>122.98160351058988</v>
      </c>
      <c r="G10" s="132">
        <f>IF(SER_hh_tesh!G10=0,0,SER_hh_tesh!G10/SER_summary!G$26)</f>
        <v>100.09815913493753</v>
      </c>
      <c r="H10" s="132">
        <f>IF(SER_hh_tesh!H10=0,0,SER_hh_tesh!H10/SER_summary!H$26)</f>
        <v>109.44174374570733</v>
      </c>
      <c r="I10" s="132">
        <f>IF(SER_hh_tesh!I10=0,0,SER_hh_tesh!I10/SER_summary!I$26)</f>
        <v>102.18730681637889</v>
      </c>
      <c r="J10" s="132">
        <f>IF(SER_hh_tesh!J10=0,0,SER_hh_tesh!J10/SER_summary!J$26)</f>
        <v>86.295825042898187</v>
      </c>
      <c r="K10" s="132">
        <f>IF(SER_hh_tesh!K10=0,0,SER_hh_tesh!K10/SER_summary!K$26)</f>
        <v>83.819238540936936</v>
      </c>
      <c r="L10" s="132">
        <f>IF(SER_hh_tesh!L10=0,0,SER_hh_tesh!L10/SER_summary!L$26)</f>
        <v>105.56425668020799</v>
      </c>
      <c r="M10" s="132">
        <f>IF(SER_hh_tesh!M10=0,0,SER_hh_tesh!M10/SER_summary!M$26)</f>
        <v>89.315462526812595</v>
      </c>
      <c r="N10" s="132">
        <f>IF(SER_hh_tesh!N10=0,0,SER_hh_tesh!N10/SER_summary!N$26)</f>
        <v>65.12010258886859</v>
      </c>
      <c r="O10" s="132">
        <f>IF(SER_hh_tesh!O10=0,0,SER_hh_tesh!O10/SER_summary!O$26)</f>
        <v>88.866904575872795</v>
      </c>
      <c r="P10" s="132">
        <f>IF(SER_hh_tesh!P10=0,0,SER_hh_tesh!P10/SER_summary!P$26)</f>
        <v>71.189575161790515</v>
      </c>
      <c r="Q10" s="132">
        <f>IF(SER_hh_tesh!Q10=0,0,SER_hh_tesh!Q10/SER_summary!Q$26)</f>
        <v>88.358766784426237</v>
      </c>
      <c r="R10" s="132">
        <f>IF(SER_hh_tesh!R10=0,0,SER_hh_tesh!R10/SER_summary!R$26)</f>
        <v>60.004501281181419</v>
      </c>
      <c r="S10" s="132">
        <f>IF(SER_hh_tesh!S10=0,0,SER_hh_tesh!S10/SER_summary!S$26)</f>
        <v>93.028835092918641</v>
      </c>
      <c r="T10" s="132">
        <f>IF(SER_hh_tesh!T10=0,0,SER_hh_tesh!T10/SER_summary!T$26)</f>
        <v>85.993133437667922</v>
      </c>
      <c r="U10" s="132">
        <f>IF(SER_hh_tesh!U10=0,0,SER_hh_tesh!U10/SER_summary!U$26)</f>
        <v>86.92421011601165</v>
      </c>
      <c r="V10" s="132">
        <f>IF(SER_hh_tesh!V10=0,0,SER_hh_tesh!V10/SER_summary!V$26)</f>
        <v>80.754166376460915</v>
      </c>
      <c r="W10" s="132">
        <f>IF(SER_hh_tesh!W10=0,0,SER_hh_tesh!W10/SER_summary!W$26)</f>
        <v>97.011542114150089</v>
      </c>
      <c r="X10" s="132">
        <f>IF(SER_hh_tesh!X10=0,0,SER_hh_tesh!X10/SER_summary!X$26)</f>
        <v>84.037572483561604</v>
      </c>
      <c r="Y10" s="132">
        <f>IF(SER_hh_tesh!Y10=0,0,SER_hh_tesh!Y10/SER_summary!Y$26)</f>
        <v>61.954653077517499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95.629773862562828</v>
      </c>
      <c r="C11" s="132">
        <f>IF(SER_hh_tesh!C11=0,0,SER_hh_tesh!C11/SER_summary!C$26)</f>
        <v>84.716200605580909</v>
      </c>
      <c r="D11" s="132">
        <f>IF(SER_hh_tesh!D11=0,0,SER_hh_tesh!D11/SER_summary!D$26)</f>
        <v>127.82350654278744</v>
      </c>
      <c r="E11" s="132">
        <f>IF(SER_hh_tesh!E11=0,0,SER_hh_tesh!E11/SER_summary!E$26)</f>
        <v>105.18720700650016</v>
      </c>
      <c r="F11" s="132">
        <f>IF(SER_hh_tesh!F11=0,0,SER_hh_tesh!F11/SER_summary!F$26)</f>
        <v>104.47511163865479</v>
      </c>
      <c r="G11" s="132">
        <f>IF(SER_hh_tesh!G11=0,0,SER_hh_tesh!G11/SER_summary!G$26)</f>
        <v>114.18313740501259</v>
      </c>
      <c r="H11" s="132">
        <f>IF(SER_hh_tesh!H11=0,0,SER_hh_tesh!H11/SER_summary!H$26)</f>
        <v>108.15073039488907</v>
      </c>
      <c r="I11" s="132">
        <f>IF(SER_hh_tesh!I11=0,0,SER_hh_tesh!I11/SER_summary!I$26)</f>
        <v>91.533241643118828</v>
      </c>
      <c r="J11" s="132">
        <f>IF(SER_hh_tesh!J11=0,0,SER_hh_tesh!J11/SER_summary!J$26)</f>
        <v>92.422962245731455</v>
      </c>
      <c r="K11" s="132">
        <f>IF(SER_hh_tesh!K11=0,0,SER_hh_tesh!K11/SER_summary!K$26)</f>
        <v>91.056096049512718</v>
      </c>
      <c r="L11" s="132">
        <f>IF(SER_hh_tesh!L11=0,0,SER_hh_tesh!L11/SER_summary!L$26)</f>
        <v>94.780083088253193</v>
      </c>
      <c r="M11" s="132">
        <f>IF(SER_hh_tesh!M11=0,0,SER_hh_tesh!M11/SER_summary!M$26)</f>
        <v>78.729328377110136</v>
      </c>
      <c r="N11" s="132">
        <f>IF(SER_hh_tesh!N11=0,0,SER_hh_tesh!N11/SER_summary!N$26)</f>
        <v>92.882542207308319</v>
      </c>
      <c r="O11" s="132">
        <f>IF(SER_hh_tesh!O11=0,0,SER_hh_tesh!O11/SER_summary!O$26)</f>
        <v>88.616985741115016</v>
      </c>
      <c r="P11" s="132">
        <f>IF(SER_hh_tesh!P11=0,0,SER_hh_tesh!P11/SER_summary!P$26)</f>
        <v>72.457509100044717</v>
      </c>
      <c r="Q11" s="132">
        <f>IF(SER_hh_tesh!Q11=0,0,SER_hh_tesh!Q11/SER_summary!Q$26)</f>
        <v>76.090422625730014</v>
      </c>
      <c r="R11" s="132">
        <f>IF(SER_hh_tesh!R11=0,0,SER_hh_tesh!R11/SER_summary!R$26)</f>
        <v>68.199931879279887</v>
      </c>
      <c r="S11" s="132">
        <f>IF(SER_hh_tesh!S11=0,0,SER_hh_tesh!S11/SER_summary!S$26)</f>
        <v>99.487356737996222</v>
      </c>
      <c r="T11" s="132">
        <f>IF(SER_hh_tesh!T11=0,0,SER_hh_tesh!T11/SER_summary!T$26)</f>
        <v>85.404556007197129</v>
      </c>
      <c r="U11" s="132">
        <f>IF(SER_hh_tesh!U11=0,0,SER_hh_tesh!U11/SER_summary!U$26)</f>
        <v>84.152233944754471</v>
      </c>
      <c r="V11" s="132">
        <f>IF(SER_hh_tesh!V11=0,0,SER_hh_tesh!V11/SER_summary!V$26)</f>
        <v>87.448555176708453</v>
      </c>
      <c r="W11" s="132">
        <f>IF(SER_hh_tesh!W11=0,0,SER_hh_tesh!W11/SER_summary!W$26)</f>
        <v>78.427588730059256</v>
      </c>
      <c r="X11" s="132">
        <f>IF(SER_hh_tesh!X11=0,0,SER_hh_tesh!X11/SER_summary!X$26)</f>
        <v>79.814680919051824</v>
      </c>
      <c r="Y11" s="132">
        <f>IF(SER_hh_tesh!Y11=0,0,SER_hh_tesh!Y11/SER_summary!Y$26)</f>
        <v>75.739354060311726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92.301803719897947</v>
      </c>
      <c r="C12" s="132">
        <f>IF(SER_hh_tesh!C12=0,0,SER_hh_tesh!C12/SER_summary!C$26)</f>
        <v>100.1697892188304</v>
      </c>
      <c r="D12" s="132">
        <f>IF(SER_hh_tesh!D12=0,0,SER_hh_tesh!D12/SER_summary!D$26)</f>
        <v>103.84896240426878</v>
      </c>
      <c r="E12" s="132">
        <f>IF(SER_hh_tesh!E12=0,0,SER_hh_tesh!E12/SER_summary!E$26)</f>
        <v>109.44203140747841</v>
      </c>
      <c r="F12" s="132">
        <f>IF(SER_hh_tesh!F12=0,0,SER_hh_tesh!F12/SER_summary!F$26)</f>
        <v>106.21774985731193</v>
      </c>
      <c r="G12" s="132">
        <f>IF(SER_hh_tesh!G12=0,0,SER_hh_tesh!G12/SER_summary!G$26)</f>
        <v>113.92668095835424</v>
      </c>
      <c r="H12" s="132">
        <f>IF(SER_hh_tesh!H12=0,0,SER_hh_tesh!H12/SER_summary!H$26)</f>
        <v>111.06774714397534</v>
      </c>
      <c r="I12" s="132">
        <f>IF(SER_hh_tesh!I12=0,0,SER_hh_tesh!I12/SER_summary!I$26)</f>
        <v>88.975373094010536</v>
      </c>
      <c r="J12" s="132">
        <f>IF(SER_hh_tesh!J12=0,0,SER_hh_tesh!J12/SER_summary!J$26)</f>
        <v>94.559775054202021</v>
      </c>
      <c r="K12" s="132">
        <f>IF(SER_hh_tesh!K12=0,0,SER_hh_tesh!K12/SER_summary!K$26)</f>
        <v>92.230609593573988</v>
      </c>
      <c r="L12" s="132">
        <f>IF(SER_hh_tesh!L12=0,0,SER_hh_tesh!L12/SER_summary!L$26)</f>
        <v>91.907235968731115</v>
      </c>
      <c r="M12" s="132">
        <f>IF(SER_hh_tesh!M12=0,0,SER_hh_tesh!M12/SER_summary!M$26)</f>
        <v>86.995765732124354</v>
      </c>
      <c r="N12" s="132">
        <f>IF(SER_hh_tesh!N12=0,0,SER_hh_tesh!N12/SER_summary!N$26)</f>
        <v>87.842036062853325</v>
      </c>
      <c r="O12" s="132">
        <f>IF(SER_hh_tesh!O12=0,0,SER_hh_tesh!O12/SER_summary!O$26)</f>
        <v>85.735359684220029</v>
      </c>
      <c r="P12" s="132">
        <f>IF(SER_hh_tesh!P12=0,0,SER_hh_tesh!P12/SER_summary!P$26)</f>
        <v>75.496144313329353</v>
      </c>
      <c r="Q12" s="132">
        <f>IF(SER_hh_tesh!Q12=0,0,SER_hh_tesh!Q12/SER_summary!Q$26)</f>
        <v>78.233100282739542</v>
      </c>
      <c r="R12" s="132">
        <f>IF(SER_hh_tesh!R12=0,0,SER_hh_tesh!R12/SER_summary!R$26)</f>
        <v>83.04961276219656</v>
      </c>
      <c r="S12" s="132">
        <f>IF(SER_hh_tesh!S12=0,0,SER_hh_tesh!S12/SER_summary!S$26)</f>
        <v>87.610554894896126</v>
      </c>
      <c r="T12" s="132">
        <f>IF(SER_hh_tesh!T12=0,0,SER_hh_tesh!T12/SER_summary!T$26)</f>
        <v>81.468774453577524</v>
      </c>
      <c r="U12" s="132">
        <f>IF(SER_hh_tesh!U12=0,0,SER_hh_tesh!U12/SER_summary!U$26)</f>
        <v>85.207514230497566</v>
      </c>
      <c r="V12" s="132">
        <f>IF(SER_hh_tesh!V12=0,0,SER_hh_tesh!V12/SER_summary!V$26)</f>
        <v>77.759936228874594</v>
      </c>
      <c r="W12" s="132">
        <f>IF(SER_hh_tesh!W12=0,0,SER_hh_tesh!W12/SER_summary!W$26)</f>
        <v>90.983942533882768</v>
      </c>
      <c r="X12" s="132">
        <f>IF(SER_hh_tesh!X12=0,0,SER_hh_tesh!X12/SER_summary!X$26)</f>
        <v>81.693127625043729</v>
      </c>
      <c r="Y12" s="132">
        <f>IF(SER_hh_tesh!Y12=0,0,SER_hh_tesh!Y12/SER_summary!Y$26)</f>
        <v>77.341502544963959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83.716934362304812</v>
      </c>
      <c r="C13" s="132">
        <f>IF(SER_hh_tesh!C13=0,0,SER_hh_tesh!C13/SER_summary!C$26)</f>
        <v>91.792871131569044</v>
      </c>
      <c r="D13" s="132">
        <f>IF(SER_hh_tesh!D13=0,0,SER_hh_tesh!D13/SER_summary!D$26)</f>
        <v>98.314040202428885</v>
      </c>
      <c r="E13" s="132">
        <f>IF(SER_hh_tesh!E13=0,0,SER_hh_tesh!E13/SER_summary!E$26)</f>
        <v>108.73957363775268</v>
      </c>
      <c r="F13" s="132">
        <f>IF(SER_hh_tesh!F13=0,0,SER_hh_tesh!F13/SER_summary!F$26)</f>
        <v>112.7358876857104</v>
      </c>
      <c r="G13" s="132">
        <f>IF(SER_hh_tesh!G13=0,0,SER_hh_tesh!G13/SER_summary!G$26)</f>
        <v>106.03197513187285</v>
      </c>
      <c r="H13" s="132">
        <f>IF(SER_hh_tesh!H13=0,0,SER_hh_tesh!H13/SER_summary!H$26)</f>
        <v>106.3807163328693</v>
      </c>
      <c r="I13" s="132">
        <f>IF(SER_hh_tesh!I13=0,0,SER_hh_tesh!I13/SER_summary!I$26)</f>
        <v>92.958513801695176</v>
      </c>
      <c r="J13" s="132">
        <f>IF(SER_hh_tesh!J13=0,0,SER_hh_tesh!J13/SER_summary!J$26)</f>
        <v>107.93343596989294</v>
      </c>
      <c r="K13" s="132">
        <f>IF(SER_hh_tesh!K13=0,0,SER_hh_tesh!K13/SER_summary!K$26)</f>
        <v>85.281187023638324</v>
      </c>
      <c r="L13" s="132">
        <f>IF(SER_hh_tesh!L13=0,0,SER_hh_tesh!L13/SER_summary!L$26)</f>
        <v>84.602543565772876</v>
      </c>
      <c r="M13" s="132">
        <f>IF(SER_hh_tesh!M13=0,0,SER_hh_tesh!M13/SER_summary!M$26)</f>
        <v>86.770353152684052</v>
      </c>
      <c r="N13" s="132">
        <f>IF(SER_hh_tesh!N13=0,0,SER_hh_tesh!N13/SER_summary!N$26)</f>
        <v>84.799579349850603</v>
      </c>
      <c r="O13" s="132">
        <f>IF(SER_hh_tesh!O13=0,0,SER_hh_tesh!O13/SER_summary!O$26)</f>
        <v>85.340510173661642</v>
      </c>
      <c r="P13" s="132">
        <f>IF(SER_hh_tesh!P13=0,0,SER_hh_tesh!P13/SER_summary!P$26)</f>
        <v>89.413375970436533</v>
      </c>
      <c r="Q13" s="132">
        <f>IF(SER_hh_tesh!Q13=0,0,SER_hh_tesh!Q13/SER_summary!Q$26)</f>
        <v>75.458240145581698</v>
      </c>
      <c r="R13" s="132">
        <f>IF(SER_hh_tesh!R13=0,0,SER_hh_tesh!R13/SER_summary!R$26)</f>
        <v>78.207973703830362</v>
      </c>
      <c r="S13" s="132">
        <f>IF(SER_hh_tesh!S13=0,0,SER_hh_tesh!S13/SER_summary!S$26)</f>
        <v>86.156726312888409</v>
      </c>
      <c r="T13" s="132">
        <f>IF(SER_hh_tesh!T13=0,0,SER_hh_tesh!T13/SER_summary!T$26)</f>
        <v>85.128149001666742</v>
      </c>
      <c r="U13" s="132">
        <f>IF(SER_hh_tesh!U13=0,0,SER_hh_tesh!U13/SER_summary!U$26)</f>
        <v>98.125997817979339</v>
      </c>
      <c r="V13" s="132">
        <f>IF(SER_hh_tesh!V13=0,0,SER_hh_tesh!V13/SER_summary!V$26)</f>
        <v>64.86371116302837</v>
      </c>
      <c r="W13" s="132">
        <f>IF(SER_hh_tesh!W13=0,0,SER_hh_tesh!W13/SER_summary!W$26)</f>
        <v>57.515150053577543</v>
      </c>
      <c r="X13" s="132">
        <f>IF(SER_hh_tesh!X13=0,0,SER_hh_tesh!X13/SER_summary!X$26)</f>
        <v>76.123037820099356</v>
      </c>
      <c r="Y13" s="132">
        <f>IF(SER_hh_tesh!Y13=0,0,SER_hh_tesh!Y13/SER_summary!Y$26)</f>
        <v>85.754051707994662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94.562967835391291</v>
      </c>
      <c r="C14" s="65">
        <f>IF(SER_hh_tesh!C14=0,0,SER_hh_tesh!C14/SER_summary!C$26)</f>
        <v>101.57265083036127</v>
      </c>
      <c r="D14" s="65">
        <f>IF(SER_hh_tesh!D14=0,0,SER_hh_tesh!D14/SER_summary!D$26)</f>
        <v>101.93144274307014</v>
      </c>
      <c r="E14" s="65">
        <f>IF(SER_hh_tesh!E14=0,0,SER_hh_tesh!E14/SER_summary!E$26)</f>
        <v>120.89188786434843</v>
      </c>
      <c r="F14" s="65">
        <f>IF(SER_hh_tesh!F14=0,0,SER_hh_tesh!F14/SER_summary!F$26)</f>
        <v>89.836965260487759</v>
      </c>
      <c r="G14" s="65">
        <f>IF(SER_hh_tesh!G14=0,0,SER_hh_tesh!G14/SER_summary!G$26)</f>
        <v>118.66507267804134</v>
      </c>
      <c r="H14" s="65">
        <f>IF(SER_hh_tesh!H14=0,0,SER_hh_tesh!H14/SER_summary!H$26)</f>
        <v>110.44485369014116</v>
      </c>
      <c r="I14" s="65">
        <f>IF(SER_hh_tesh!I14=0,0,SER_hh_tesh!I14/SER_summary!I$26)</f>
        <v>95.17354972125797</v>
      </c>
      <c r="J14" s="65">
        <f>IF(SER_hh_tesh!J14=0,0,SER_hh_tesh!J14/SER_summary!J$26)</f>
        <v>113.8881813923378</v>
      </c>
      <c r="K14" s="65">
        <f>IF(SER_hh_tesh!K14=0,0,SER_hh_tesh!K14/SER_summary!K$26)</f>
        <v>72.906058655283246</v>
      </c>
      <c r="L14" s="65">
        <f>IF(SER_hh_tesh!L14=0,0,SER_hh_tesh!L14/SER_summary!L$26)</f>
        <v>93.298223681391192</v>
      </c>
      <c r="M14" s="65">
        <f>IF(SER_hh_tesh!M14=0,0,SER_hh_tesh!M14/SER_summary!M$26)</f>
        <v>86.064831475867393</v>
      </c>
      <c r="N14" s="65">
        <f>IF(SER_hh_tesh!N14=0,0,SER_hh_tesh!N14/SER_summary!N$26)</f>
        <v>86.124232272541761</v>
      </c>
      <c r="O14" s="65">
        <f>IF(SER_hh_tesh!O14=0,0,SER_hh_tesh!O14/SER_summary!O$26)</f>
        <v>86.354302630990446</v>
      </c>
      <c r="P14" s="65">
        <f>IF(SER_hh_tesh!P14=0,0,SER_hh_tesh!P14/SER_summary!P$26)</f>
        <v>82.274663656563575</v>
      </c>
      <c r="Q14" s="65">
        <f>IF(SER_hh_tesh!Q14=0,0,SER_hh_tesh!Q14/SER_summary!Q$26)</f>
        <v>84.07332884489864</v>
      </c>
      <c r="R14" s="65">
        <f>IF(SER_hh_tesh!R14=0,0,SER_hh_tesh!R14/SER_summary!R$26)</f>
        <v>63.213078695937206</v>
      </c>
      <c r="S14" s="65">
        <f>IF(SER_hh_tesh!S14=0,0,SER_hh_tesh!S14/SER_summary!S$26)</f>
        <v>83.828462771069667</v>
      </c>
      <c r="T14" s="65">
        <f>IF(SER_hh_tesh!T14=0,0,SER_hh_tesh!T14/SER_summary!T$26)</f>
        <v>94.491035297435403</v>
      </c>
      <c r="U14" s="65">
        <f>IF(SER_hh_tesh!U14=0,0,SER_hh_tesh!U14/SER_summary!U$26)</f>
        <v>88.480841497600778</v>
      </c>
      <c r="V14" s="65">
        <f>IF(SER_hh_tesh!V14=0,0,SER_hh_tesh!V14/SER_summary!V$26)</f>
        <v>76.26852093583507</v>
      </c>
      <c r="W14" s="65">
        <f>IF(SER_hh_tesh!W14=0,0,SER_hh_tesh!W14/SER_summary!W$26)</f>
        <v>81.84158181368592</v>
      </c>
      <c r="X14" s="65">
        <f>IF(SER_hh_tesh!X14=0,0,SER_hh_tesh!X14/SER_summary!X$26)</f>
        <v>95.992671906984242</v>
      </c>
      <c r="Y14" s="65">
        <f>IF(SER_hh_tesh!Y14=0,0,SER_hh_tesh!Y14/SER_summary!Y$26)</f>
        <v>63.097057004002799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1.1992907835468494</v>
      </c>
      <c r="C15" s="134">
        <f>IF(SER_hh_tesh!C15=0,0,SER_hh_tesh!C15/SER_summary!C$26)</f>
        <v>1.5578755530522546</v>
      </c>
      <c r="D15" s="134">
        <f>IF(SER_hh_tesh!D15=0,0,SER_hh_tesh!D15/SER_summary!D$26)</f>
        <v>1.4165682763308325</v>
      </c>
      <c r="E15" s="134">
        <f>IF(SER_hh_tesh!E15=0,0,SER_hh_tesh!E15/SER_summary!E$26)</f>
        <v>1.6259029255563331</v>
      </c>
      <c r="F15" s="134">
        <f>IF(SER_hh_tesh!F15=0,0,SER_hh_tesh!F15/SER_summary!F$26)</f>
        <v>1.6044940856772145</v>
      </c>
      <c r="G15" s="134">
        <f>IF(SER_hh_tesh!G15=0,0,SER_hh_tesh!G15/SER_summary!G$26)</f>
        <v>1.2464823270925773</v>
      </c>
      <c r="H15" s="134">
        <f>IF(SER_hh_tesh!H15=0,0,SER_hh_tesh!H15/SER_summary!H$26)</f>
        <v>1.2842399785440102</v>
      </c>
      <c r="I15" s="134">
        <f>IF(SER_hh_tesh!I15=0,0,SER_hh_tesh!I15/SER_summary!I$26)</f>
        <v>0.93697495504215478</v>
      </c>
      <c r="J15" s="134">
        <f>IF(SER_hh_tesh!J15=0,0,SER_hh_tesh!J15/SER_summary!J$26)</f>
        <v>1.0342565563648729</v>
      </c>
      <c r="K15" s="134">
        <f>IF(SER_hh_tesh!K15=0,0,SER_hh_tesh!K15/SER_summary!K$26)</f>
        <v>0.84322001711306183</v>
      </c>
      <c r="L15" s="134">
        <f>IF(SER_hh_tesh!L15=0,0,SER_hh_tesh!L15/SER_summary!L$26)</f>
        <v>0.71394717950755227</v>
      </c>
      <c r="M15" s="134">
        <f>IF(SER_hh_tesh!M15=0,0,SER_hh_tesh!M15/SER_summary!M$26)</f>
        <v>0.64672426505524794</v>
      </c>
      <c r="N15" s="134">
        <f>IF(SER_hh_tesh!N15=0,0,SER_hh_tesh!N15/SER_summary!N$26)</f>
        <v>0.67546738059717559</v>
      </c>
      <c r="O15" s="134">
        <f>IF(SER_hh_tesh!O15=0,0,SER_hh_tesh!O15/SER_summary!O$26)</f>
        <v>0.6886856110740972</v>
      </c>
      <c r="P15" s="134">
        <f>IF(SER_hh_tesh!P15=0,0,SER_hh_tesh!P15/SER_summary!P$26)</f>
        <v>0.59022206724808413</v>
      </c>
      <c r="Q15" s="134">
        <f>IF(SER_hh_tesh!Q15=0,0,SER_hh_tesh!Q15/SER_summary!Q$26)</f>
        <v>0.63485523713516245</v>
      </c>
      <c r="R15" s="134">
        <f>IF(SER_hh_tesh!R15=0,0,SER_hh_tesh!R15/SER_summary!R$26)</f>
        <v>0.60045464528550063</v>
      </c>
      <c r="S15" s="134">
        <f>IF(SER_hh_tesh!S15=0,0,SER_hh_tesh!S15/SER_summary!S$26)</f>
        <v>0.70513082630840063</v>
      </c>
      <c r="T15" s="134">
        <f>IF(SER_hh_tesh!T15=0,0,SER_hh_tesh!T15/SER_summary!T$26)</f>
        <v>0.6504712623965454</v>
      </c>
      <c r="U15" s="134">
        <f>IF(SER_hh_tesh!U15=0,0,SER_hh_tesh!U15/SER_summary!U$26)</f>
        <v>0.67384070766790416</v>
      </c>
      <c r="V15" s="134">
        <f>IF(SER_hh_tesh!V15=0,0,SER_hh_tesh!V15/SER_summary!V$26)</f>
        <v>0.65026067279707533</v>
      </c>
      <c r="W15" s="134">
        <f>IF(SER_hh_tesh!W15=0,0,SER_hh_tesh!W15/SER_summary!W$26)</f>
        <v>0.78357409348491913</v>
      </c>
      <c r="X15" s="134">
        <f>IF(SER_hh_tesh!X15=0,0,SER_hh_tesh!X15/SER_summary!X$26)</f>
        <v>0.61641955747985322</v>
      </c>
      <c r="Y15" s="134">
        <f>IF(SER_hh_tesh!Y15=0,0,SER_hh_tesh!Y15/SER_summary!Y$26)</f>
        <v>0.55693066580692763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22.512210405158818</v>
      </c>
      <c r="C16" s="130">
        <f>IF(SER_hh_tesh!C16=0,0,SER_hh_tesh!C16/SER_summary!C$26)</f>
        <v>22.346272850888326</v>
      </c>
      <c r="D16" s="130">
        <f>IF(SER_hh_tesh!D16=0,0,SER_hh_tesh!D16/SER_summary!D$26)</f>
        <v>22.480396688757857</v>
      </c>
      <c r="E16" s="130">
        <f>IF(SER_hh_tesh!E16=0,0,SER_hh_tesh!E16/SER_summary!E$26)</f>
        <v>25.132293702947592</v>
      </c>
      <c r="F16" s="130">
        <f>IF(SER_hh_tesh!F16=0,0,SER_hh_tesh!F16/SER_summary!F$26)</f>
        <v>22.285035613070917</v>
      </c>
      <c r="G16" s="130">
        <f>IF(SER_hh_tesh!G16=0,0,SER_hh_tesh!G16/SER_summary!G$26)</f>
        <v>22.477882324897756</v>
      </c>
      <c r="H16" s="130">
        <f>IF(SER_hh_tesh!H16=0,0,SER_hh_tesh!H16/SER_summary!H$26)</f>
        <v>23.524886868252608</v>
      </c>
      <c r="I16" s="130">
        <f>IF(SER_hh_tesh!I16=0,0,SER_hh_tesh!I16/SER_summary!I$26)</f>
        <v>23.3996238352033</v>
      </c>
      <c r="J16" s="130">
        <f>IF(SER_hh_tesh!J16=0,0,SER_hh_tesh!J16/SER_summary!J$26)</f>
        <v>22.683506959105429</v>
      </c>
      <c r="K16" s="130">
        <f>IF(SER_hh_tesh!K16=0,0,SER_hh_tesh!K16/SER_summary!K$26)</f>
        <v>22.954722402572873</v>
      </c>
      <c r="L16" s="130">
        <f>IF(SER_hh_tesh!L16=0,0,SER_hh_tesh!L16/SER_summary!L$26)</f>
        <v>23.756171286854951</v>
      </c>
      <c r="M16" s="130">
        <f>IF(SER_hh_tesh!M16=0,0,SER_hh_tesh!M16/SER_summary!M$26)</f>
        <v>23.344758331495207</v>
      </c>
      <c r="N16" s="130">
        <f>IF(SER_hh_tesh!N16=0,0,SER_hh_tesh!N16/SER_summary!N$26)</f>
        <v>24.363005508870078</v>
      </c>
      <c r="O16" s="130">
        <f>IF(SER_hh_tesh!O16=0,0,SER_hh_tesh!O16/SER_summary!O$26)</f>
        <v>26.070582843075748</v>
      </c>
      <c r="P16" s="130">
        <f>IF(SER_hh_tesh!P16=0,0,SER_hh_tesh!P16/SER_summary!P$26)</f>
        <v>23.154806929724348</v>
      </c>
      <c r="Q16" s="130">
        <f>IF(SER_hh_tesh!Q16=0,0,SER_hh_tesh!Q16/SER_summary!Q$26)</f>
        <v>27.245370164811856</v>
      </c>
      <c r="R16" s="130">
        <f>IF(SER_hh_tesh!R16=0,0,SER_hh_tesh!R16/SER_summary!R$26)</f>
        <v>23.734792510670449</v>
      </c>
      <c r="S16" s="130">
        <f>IF(SER_hh_tesh!S16=0,0,SER_hh_tesh!S16/SER_summary!S$26)</f>
        <v>25.527855997940971</v>
      </c>
      <c r="T16" s="130">
        <f>IF(SER_hh_tesh!T16=0,0,SER_hh_tesh!T16/SER_summary!T$26)</f>
        <v>25.25578847163381</v>
      </c>
      <c r="U16" s="130">
        <f>IF(SER_hh_tesh!U16=0,0,SER_hh_tesh!U16/SER_summary!U$26)</f>
        <v>26.080719578213376</v>
      </c>
      <c r="V16" s="130">
        <f>IF(SER_hh_tesh!V16=0,0,SER_hh_tesh!V16/SER_summary!V$26)</f>
        <v>23.974140724574973</v>
      </c>
      <c r="W16" s="130">
        <f>IF(SER_hh_tesh!W16=0,0,SER_hh_tesh!W16/SER_summary!W$26)</f>
        <v>24.756596357993313</v>
      </c>
      <c r="X16" s="130">
        <f>IF(SER_hh_tesh!X16=0,0,SER_hh_tesh!X16/SER_summary!X$26)</f>
        <v>25.558641743419479</v>
      </c>
      <c r="Y16" s="130">
        <f>IF(SER_hh_tesh!Y16=0,0,SER_hh_tesh!Y16/SER_summary!Y$26)</f>
        <v>26.639491447334624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22.512210405158811</v>
      </c>
      <c r="C17" s="132">
        <f>IF(SER_hh_tesh!C17=0,0,SER_hh_tesh!C17/SER_summary!C$26)</f>
        <v>22.346272850888422</v>
      </c>
      <c r="D17" s="132">
        <f>IF(SER_hh_tesh!D17=0,0,SER_hh_tesh!D17/SER_summary!D$26)</f>
        <v>22.480396688757875</v>
      </c>
      <c r="E17" s="132">
        <f>IF(SER_hh_tesh!E17=0,0,SER_hh_tesh!E17/SER_summary!E$26)</f>
        <v>25.132293702947585</v>
      </c>
      <c r="F17" s="132">
        <f>IF(SER_hh_tesh!F17=0,0,SER_hh_tesh!F17/SER_summary!F$26)</f>
        <v>22.285035613070985</v>
      </c>
      <c r="G17" s="132">
        <f>IF(SER_hh_tesh!G17=0,0,SER_hh_tesh!G17/SER_summary!G$26)</f>
        <v>22.477882324897706</v>
      </c>
      <c r="H17" s="132">
        <f>IF(SER_hh_tesh!H17=0,0,SER_hh_tesh!H17/SER_summary!H$26)</f>
        <v>23.524886868252494</v>
      </c>
      <c r="I17" s="132">
        <f>IF(SER_hh_tesh!I17=0,0,SER_hh_tesh!I17/SER_summary!I$26)</f>
        <v>23.399623835203261</v>
      </c>
      <c r="J17" s="132">
        <f>IF(SER_hh_tesh!J17=0,0,SER_hh_tesh!J17/SER_summary!J$26)</f>
        <v>22.683506959105451</v>
      </c>
      <c r="K17" s="132">
        <f>IF(SER_hh_tesh!K17=0,0,SER_hh_tesh!K17/SER_summary!K$26)</f>
        <v>22.954722402572784</v>
      </c>
      <c r="L17" s="132">
        <f>IF(SER_hh_tesh!L17=0,0,SER_hh_tesh!L17/SER_summary!L$26)</f>
        <v>23.756171286855057</v>
      </c>
      <c r="M17" s="132">
        <f>IF(SER_hh_tesh!M17=0,0,SER_hh_tesh!M17/SER_summary!M$26)</f>
        <v>25.101986216520707</v>
      </c>
      <c r="N17" s="132">
        <f>IF(SER_hh_tesh!N17=0,0,SER_hh_tesh!N17/SER_summary!N$26)</f>
        <v>24.363005508870106</v>
      </c>
      <c r="O17" s="132">
        <f>IF(SER_hh_tesh!O17=0,0,SER_hh_tesh!O17/SER_summary!O$26)</f>
        <v>26.070582843075755</v>
      </c>
      <c r="P17" s="132">
        <f>IF(SER_hh_tesh!P17=0,0,SER_hh_tesh!P17/SER_summary!P$26)</f>
        <v>23.154806929724348</v>
      </c>
      <c r="Q17" s="132">
        <f>IF(SER_hh_tesh!Q17=0,0,SER_hh_tesh!Q17/SER_summary!Q$26)</f>
        <v>28.46481590024537</v>
      </c>
      <c r="R17" s="132">
        <f>IF(SER_hh_tesh!R17=0,0,SER_hh_tesh!R17/SER_summary!R$26)</f>
        <v>23.734792510670392</v>
      </c>
      <c r="S17" s="132">
        <f>IF(SER_hh_tesh!S17=0,0,SER_hh_tesh!S17/SER_summary!S$26)</f>
        <v>25.527855997941014</v>
      </c>
      <c r="T17" s="132">
        <f>IF(SER_hh_tesh!T17=0,0,SER_hh_tesh!T17/SER_summary!T$26)</f>
        <v>25.253558413450055</v>
      </c>
      <c r="U17" s="132">
        <f>IF(SER_hh_tesh!U17=0,0,SER_hh_tesh!U17/SER_summary!U$26)</f>
        <v>26.080719578213397</v>
      </c>
      <c r="V17" s="132">
        <f>IF(SER_hh_tesh!V17=0,0,SER_hh_tesh!V17/SER_summary!V$26)</f>
        <v>23.296890530907671</v>
      </c>
      <c r="W17" s="132">
        <f>IF(SER_hh_tesh!W17=0,0,SER_hh_tesh!W17/SER_summary!W$26)</f>
        <v>24.756596341369111</v>
      </c>
      <c r="X17" s="132">
        <f>IF(SER_hh_tesh!X17=0,0,SER_hh_tesh!X17/SER_summary!X$26)</f>
        <v>25.558641747457202</v>
      </c>
      <c r="Y17" s="132">
        <f>IF(SER_hh_tesh!Y17=0,0,SER_hh_tesh!Y17/SER_summary!Y$26)</f>
        <v>26.639491449258681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22.512210405158818</v>
      </c>
      <c r="C18" s="132">
        <f>IF(SER_hh_tesh!C18=0,0,SER_hh_tesh!C18/SER_summary!C$26)</f>
        <v>22.346272850888326</v>
      </c>
      <c r="D18" s="132">
        <f>IF(SER_hh_tesh!D18=0,0,SER_hh_tesh!D18/SER_summary!D$26)</f>
        <v>22.480396688757857</v>
      </c>
      <c r="E18" s="132">
        <f>IF(SER_hh_tesh!E18=0,0,SER_hh_tesh!E18/SER_summary!E$26)</f>
        <v>25.132293702947596</v>
      </c>
      <c r="F18" s="132">
        <f>IF(SER_hh_tesh!F18=0,0,SER_hh_tesh!F18/SER_summary!F$26)</f>
        <v>22.285035613070917</v>
      </c>
      <c r="G18" s="132">
        <f>IF(SER_hh_tesh!G18=0,0,SER_hh_tesh!G18/SER_summary!G$26)</f>
        <v>22.477882324897756</v>
      </c>
      <c r="H18" s="132">
        <f>IF(SER_hh_tesh!H18=0,0,SER_hh_tesh!H18/SER_summary!H$26)</f>
        <v>23.524886868252608</v>
      </c>
      <c r="I18" s="132">
        <f>IF(SER_hh_tesh!I18=0,0,SER_hh_tesh!I18/SER_summary!I$26)</f>
        <v>23.399623835203297</v>
      </c>
      <c r="J18" s="132">
        <f>IF(SER_hh_tesh!J18=0,0,SER_hh_tesh!J18/SER_summary!J$26)</f>
        <v>22.683506959105429</v>
      </c>
      <c r="K18" s="132">
        <f>IF(SER_hh_tesh!K18=0,0,SER_hh_tesh!K18/SER_summary!K$26)</f>
        <v>22.95472240257287</v>
      </c>
      <c r="L18" s="132">
        <f>IF(SER_hh_tesh!L18=0,0,SER_hh_tesh!L18/SER_summary!L$26)</f>
        <v>23.756171286854947</v>
      </c>
      <c r="M18" s="132">
        <f>IF(SER_hh_tesh!M18=0,0,SER_hh_tesh!M18/SER_summary!M$26)</f>
        <v>23.338004751359691</v>
      </c>
      <c r="N18" s="132">
        <f>IF(SER_hh_tesh!N18=0,0,SER_hh_tesh!N18/SER_summary!N$26)</f>
        <v>24.363005508870078</v>
      </c>
      <c r="O18" s="132">
        <f>IF(SER_hh_tesh!O18=0,0,SER_hh_tesh!O18/SER_summary!O$26)</f>
        <v>26.070582843075741</v>
      </c>
      <c r="P18" s="132">
        <f>IF(SER_hh_tesh!P18=0,0,SER_hh_tesh!P18/SER_summary!P$26)</f>
        <v>23.154806929724341</v>
      </c>
      <c r="Q18" s="132">
        <f>IF(SER_hh_tesh!Q18=0,0,SER_hh_tesh!Q18/SER_summary!Q$26)</f>
        <v>27.238226502475722</v>
      </c>
      <c r="R18" s="132">
        <f>IF(SER_hh_tesh!R18=0,0,SER_hh_tesh!R18/SER_summary!R$26)</f>
        <v>23.734792510670449</v>
      </c>
      <c r="S18" s="132">
        <f>IF(SER_hh_tesh!S18=0,0,SER_hh_tesh!S18/SER_summary!S$26)</f>
        <v>25.527855997940971</v>
      </c>
      <c r="T18" s="132">
        <f>IF(SER_hh_tesh!T18=0,0,SER_hh_tesh!T18/SER_summary!T$26)</f>
        <v>25.25580437993781</v>
      </c>
      <c r="U18" s="132">
        <f>IF(SER_hh_tesh!U18=0,0,SER_hh_tesh!U18/SER_summary!U$26)</f>
        <v>26.080719578213376</v>
      </c>
      <c r="V18" s="132">
        <f>IF(SER_hh_tesh!V18=0,0,SER_hh_tesh!V18/SER_summary!V$26)</f>
        <v>23.979692065880418</v>
      </c>
      <c r="W18" s="132">
        <f>IF(SER_hh_tesh!W18=0,0,SER_hh_tesh!W18/SER_summary!W$26)</f>
        <v>24.756596358130018</v>
      </c>
      <c r="X18" s="132">
        <f>IF(SER_hh_tesh!X18=0,0,SER_hh_tesh!X18/SER_summary!X$26)</f>
        <v>25.558641743385088</v>
      </c>
      <c r="Y18" s="132">
        <f>IF(SER_hh_tesh!Y18=0,0,SER_hh_tesh!Y18/SER_summary!Y$26)</f>
        <v>26.639491447317695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15.258772845733212</v>
      </c>
      <c r="C19" s="130">
        <f>IF(SER_hh_tesh!C19=0,0,SER_hh_tesh!C19/SER_summary!C$26)</f>
        <v>15.439922918364315</v>
      </c>
      <c r="D19" s="130">
        <f>IF(SER_hh_tesh!D19=0,0,SER_hh_tesh!D19/SER_summary!D$26)</f>
        <v>15.426244097520513</v>
      </c>
      <c r="E19" s="130">
        <f>IF(SER_hh_tesh!E19=0,0,SER_hh_tesh!E19/SER_summary!E$26)</f>
        <v>15.603863985158453</v>
      </c>
      <c r="F19" s="130">
        <f>IF(SER_hh_tesh!F19=0,0,SER_hh_tesh!F19/SER_summary!F$26)</f>
        <v>15.581489326976518</v>
      </c>
      <c r="G19" s="130">
        <f>IF(SER_hh_tesh!G19=0,0,SER_hh_tesh!G19/SER_summary!G$26)</f>
        <v>15.92768029451379</v>
      </c>
      <c r="H19" s="130">
        <f>IF(SER_hh_tesh!H19=0,0,SER_hh_tesh!H19/SER_summary!H$26)</f>
        <v>15.8759591155046</v>
      </c>
      <c r="I19" s="130">
        <f>IF(SER_hh_tesh!I19=0,0,SER_hh_tesh!I19/SER_summary!I$26)</f>
        <v>16.110296986328283</v>
      </c>
      <c r="J19" s="130">
        <f>IF(SER_hh_tesh!J19=0,0,SER_hh_tesh!J19/SER_summary!J$26)</f>
        <v>16.18958574576007</v>
      </c>
      <c r="K19" s="130">
        <f>IF(SER_hh_tesh!K19=0,0,SER_hh_tesh!K19/SER_summary!K$26)</f>
        <v>16.894016306946632</v>
      </c>
      <c r="L19" s="130">
        <f>IF(SER_hh_tesh!L19=0,0,SER_hh_tesh!L19/SER_summary!L$26)</f>
        <v>16.92040894231712</v>
      </c>
      <c r="M19" s="130">
        <f>IF(SER_hh_tesh!M19=0,0,SER_hh_tesh!M19/SER_summary!M$26)</f>
        <v>17.194440927652323</v>
      </c>
      <c r="N19" s="130">
        <f>IF(SER_hh_tesh!N19=0,0,SER_hh_tesh!N19/SER_summary!N$26)</f>
        <v>17.14255224413273</v>
      </c>
      <c r="O19" s="130">
        <f>IF(SER_hh_tesh!O19=0,0,SER_hh_tesh!O19/SER_summary!O$26)</f>
        <v>17.2661700212923</v>
      </c>
      <c r="P19" s="130">
        <f>IF(SER_hh_tesh!P19=0,0,SER_hh_tesh!P19/SER_summary!P$26)</f>
        <v>17.707062145489271</v>
      </c>
      <c r="Q19" s="130">
        <f>IF(SER_hh_tesh!Q19=0,0,SER_hh_tesh!Q19/SER_summary!Q$26)</f>
        <v>17.54210386596187</v>
      </c>
      <c r="R19" s="130">
        <f>IF(SER_hh_tesh!R19=0,0,SER_hh_tesh!R19/SER_summary!R$26)</f>
        <v>17.506653222871336</v>
      </c>
      <c r="S19" s="130">
        <f>IF(SER_hh_tesh!S19=0,0,SER_hh_tesh!S19/SER_summary!S$26)</f>
        <v>17.440799502206406</v>
      </c>
      <c r="T19" s="130">
        <f>IF(SER_hh_tesh!T19=0,0,SER_hh_tesh!T19/SER_summary!T$26)</f>
        <v>17.260828354395329</v>
      </c>
      <c r="U19" s="130">
        <f>IF(SER_hh_tesh!U19=0,0,SER_hh_tesh!U19/SER_summary!U$26)</f>
        <v>16.902071096457412</v>
      </c>
      <c r="V19" s="130">
        <f>IF(SER_hh_tesh!V19=0,0,SER_hh_tesh!V19/SER_summary!V$26)</f>
        <v>16.334798323787684</v>
      </c>
      <c r="W19" s="130">
        <f>IF(SER_hh_tesh!W19=0,0,SER_hh_tesh!W19/SER_summary!W$26)</f>
        <v>16.057571201581545</v>
      </c>
      <c r="X19" s="130">
        <f>IF(SER_hh_tesh!X19=0,0,SER_hh_tesh!X19/SER_summary!X$26)</f>
        <v>16.401217387639129</v>
      </c>
      <c r="Y19" s="130">
        <f>IF(SER_hh_tesh!Y19=0,0,SER_hh_tesh!Y19/SER_summary!Y$26)</f>
        <v>16.587243364053752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13.784859854248912</v>
      </c>
      <c r="C21" s="132">
        <f>IF(SER_hh_tesh!C21=0,0,SER_hh_tesh!C21/SER_summary!C$26)</f>
        <v>14.98054002991244</v>
      </c>
      <c r="D21" s="132">
        <f>IF(SER_hh_tesh!D21=0,0,SER_hh_tesh!D21/SER_summary!D$26)</f>
        <v>14.560640409731624</v>
      </c>
      <c r="E21" s="132">
        <f>IF(SER_hh_tesh!E21=0,0,SER_hh_tesh!E21/SER_summary!E$26)</f>
        <v>14.863632888310581</v>
      </c>
      <c r="F21" s="132">
        <f>IF(SER_hh_tesh!F21=0,0,SER_hh_tesh!F21/SER_summary!F$26)</f>
        <v>14.950226878974613</v>
      </c>
      <c r="G21" s="132">
        <f>IF(SER_hh_tesh!G21=0,0,SER_hh_tesh!G21/SER_summary!G$26)</f>
        <v>15.138093248450188</v>
      </c>
      <c r="H21" s="132">
        <f>IF(SER_hh_tesh!H21=0,0,SER_hh_tesh!H21/SER_summary!H$26)</f>
        <v>15.415178002628348</v>
      </c>
      <c r="I21" s="132">
        <f>IF(SER_hh_tesh!I21=0,0,SER_hh_tesh!I21/SER_summary!I$26)</f>
        <v>15.748141049289163</v>
      </c>
      <c r="J21" s="132">
        <f>IF(SER_hh_tesh!J21=0,0,SER_hh_tesh!J21/SER_summary!J$26)</f>
        <v>16.016070472595779</v>
      </c>
      <c r="K21" s="132">
        <f>IF(SER_hh_tesh!K21=0,0,SER_hh_tesh!K21/SER_summary!K$26)</f>
        <v>16.895099921124586</v>
      </c>
      <c r="L21" s="132">
        <f>IF(SER_hh_tesh!L21=0,0,SER_hh_tesh!L21/SER_summary!L$26)</f>
        <v>15.701609132030685</v>
      </c>
      <c r="M21" s="132">
        <f>IF(SER_hh_tesh!M21=0,0,SER_hh_tesh!M21/SER_summary!M$26)</f>
        <v>17.342564680637324</v>
      </c>
      <c r="N21" s="132">
        <f>IF(SER_hh_tesh!N21=0,0,SER_hh_tesh!N21/SER_summary!N$26)</f>
        <v>0</v>
      </c>
      <c r="O21" s="132">
        <f>IF(SER_hh_tesh!O21=0,0,SER_hh_tesh!O21/SER_summary!O$26)</f>
        <v>0</v>
      </c>
      <c r="P21" s="132">
        <f>IF(SER_hh_tesh!P21=0,0,SER_hh_tesh!P21/SER_summary!P$26)</f>
        <v>0</v>
      </c>
      <c r="Q21" s="132">
        <f>IF(SER_hh_tesh!Q21=0,0,SER_hh_tesh!Q21/SER_summary!Q$26)</f>
        <v>0</v>
      </c>
      <c r="R21" s="132">
        <f>IF(SER_hh_tesh!R21=0,0,SER_hh_tesh!R21/SER_summary!R$26)</f>
        <v>0</v>
      </c>
      <c r="S21" s="132">
        <f>IF(SER_hh_tesh!S21=0,0,SER_hh_tesh!S21/SER_summary!S$26)</f>
        <v>0</v>
      </c>
      <c r="T21" s="132">
        <f>IF(SER_hh_tesh!T21=0,0,SER_hh_tesh!T21/SER_summary!T$26)</f>
        <v>0</v>
      </c>
      <c r="U21" s="132">
        <f>IF(SER_hh_tesh!U21=0,0,SER_hh_tesh!U21/SER_summary!U$26)</f>
        <v>0</v>
      </c>
      <c r="V21" s="132">
        <f>IF(SER_hh_tesh!V21=0,0,SER_hh_tesh!V21/SER_summary!V$26)</f>
        <v>0</v>
      </c>
      <c r="W21" s="132">
        <f>IF(SER_hh_tesh!W21=0,0,SER_hh_tesh!W21/SER_summary!W$26)</f>
        <v>0</v>
      </c>
      <c r="X21" s="132">
        <f>IF(SER_hh_tesh!X21=0,0,SER_hh_tesh!X21/SER_summary!X$26)</f>
        <v>0</v>
      </c>
      <c r="Y21" s="132">
        <f>IF(SER_hh_tesh!Y21=0,0,SER_hh_tesh!Y21/SER_summary!Y$26)</f>
        <v>0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14.613867647253093</v>
      </c>
      <c r="C22" s="132">
        <f>IF(SER_hh_tesh!C22=0,0,SER_hh_tesh!C22/SER_summary!C$26)</f>
        <v>14.599155540585928</v>
      </c>
      <c r="D22" s="132">
        <f>IF(SER_hh_tesh!D22=0,0,SER_hh_tesh!D22/SER_summary!D$26)</f>
        <v>14.596006719129141</v>
      </c>
      <c r="E22" s="132">
        <f>IF(SER_hh_tesh!E22=0,0,SER_hh_tesh!E22/SER_summary!E$26)</f>
        <v>14.767144139240704</v>
      </c>
      <c r="F22" s="132">
        <f>IF(SER_hh_tesh!F22=0,0,SER_hh_tesh!F22/SER_summary!F$26)</f>
        <v>15.070338020860937</v>
      </c>
      <c r="G22" s="132">
        <f>IF(SER_hh_tesh!G22=0,0,SER_hh_tesh!G22/SER_summary!G$26)</f>
        <v>15.06645854962365</v>
      </c>
      <c r="H22" s="132">
        <f>IF(SER_hh_tesh!H22=0,0,SER_hh_tesh!H22/SER_summary!H$26)</f>
        <v>15.086992040792433</v>
      </c>
      <c r="I22" s="132">
        <f>IF(SER_hh_tesh!I22=0,0,SER_hh_tesh!I22/SER_summary!I$26)</f>
        <v>15.550265412330951</v>
      </c>
      <c r="J22" s="132">
        <f>IF(SER_hh_tesh!J22=0,0,SER_hh_tesh!J22/SER_summary!J$26)</f>
        <v>15.201462773714878</v>
      </c>
      <c r="K22" s="132">
        <f>IF(SER_hh_tesh!K22=0,0,SER_hh_tesh!K22/SER_summary!K$26)</f>
        <v>16.091523323651039</v>
      </c>
      <c r="L22" s="132">
        <f>IF(SER_hh_tesh!L22=0,0,SER_hh_tesh!L22/SER_summary!L$26)</f>
        <v>14.947116457712482</v>
      </c>
      <c r="M22" s="132">
        <f>IF(SER_hh_tesh!M22=0,0,SER_hh_tesh!M22/SER_summary!M$26)</f>
        <v>15.408666155627451</v>
      </c>
      <c r="N22" s="132">
        <f>IF(SER_hh_tesh!N22=0,0,SER_hh_tesh!N22/SER_summary!N$26)</f>
        <v>14.511007168678439</v>
      </c>
      <c r="O22" s="132">
        <f>IF(SER_hh_tesh!O22=0,0,SER_hh_tesh!O22/SER_summary!O$26)</f>
        <v>15.465755457615815</v>
      </c>
      <c r="P22" s="132">
        <f>IF(SER_hh_tesh!P22=0,0,SER_hh_tesh!P22/SER_summary!P$26)</f>
        <v>15.600668465444288</v>
      </c>
      <c r="Q22" s="132">
        <f>IF(SER_hh_tesh!Q22=0,0,SER_hh_tesh!Q22/SER_summary!Q$26)</f>
        <v>15.651310845519008</v>
      </c>
      <c r="R22" s="132">
        <f>IF(SER_hh_tesh!R22=0,0,SER_hh_tesh!R22/SER_summary!R$26)</f>
        <v>15.78250525913178</v>
      </c>
      <c r="S22" s="132">
        <f>IF(SER_hh_tesh!S22=0,0,SER_hh_tesh!S22/SER_summary!S$26)</f>
        <v>15.965050961706222</v>
      </c>
      <c r="T22" s="132">
        <f>IF(SER_hh_tesh!T22=0,0,SER_hh_tesh!T22/SER_summary!T$26)</f>
        <v>15.456759881061069</v>
      </c>
      <c r="U22" s="132">
        <f>IF(SER_hh_tesh!U22=0,0,SER_hh_tesh!U22/SER_summary!U$26)</f>
        <v>15.104529873907341</v>
      </c>
      <c r="V22" s="132">
        <f>IF(SER_hh_tesh!V22=0,0,SER_hh_tesh!V22/SER_summary!V$26)</f>
        <v>13.672383579375104</v>
      </c>
      <c r="W22" s="132">
        <f>IF(SER_hh_tesh!W22=0,0,SER_hh_tesh!W22/SER_summary!W$26)</f>
        <v>14.430356954096458</v>
      </c>
      <c r="X22" s="132">
        <f>IF(SER_hh_tesh!X22=0,0,SER_hh_tesh!X22/SER_summary!X$26)</f>
        <v>14.703369478793981</v>
      </c>
      <c r="Y22" s="132">
        <f>IF(SER_hh_tesh!Y22=0,0,SER_hh_tesh!Y22/SER_summary!Y$26)</f>
        <v>15.218796605904808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14.487310883572231</v>
      </c>
      <c r="C23" s="132">
        <f>IF(SER_hh_tesh!C23=0,0,SER_hh_tesh!C23/SER_summary!C$26)</f>
        <v>14.573444396129322</v>
      </c>
      <c r="D23" s="132">
        <f>IF(SER_hh_tesh!D23=0,0,SER_hh_tesh!D23/SER_summary!D$26)</f>
        <v>14.596971039392754</v>
      </c>
      <c r="E23" s="132">
        <f>IF(SER_hh_tesh!E23=0,0,SER_hh_tesh!E23/SER_summary!E$26)</f>
        <v>14.604256797166585</v>
      </c>
      <c r="F23" s="132">
        <f>IF(SER_hh_tesh!F23=0,0,SER_hh_tesh!F23/SER_summary!F$26)</f>
        <v>14.745393831271219</v>
      </c>
      <c r="G23" s="132">
        <f>IF(SER_hh_tesh!G23=0,0,SER_hh_tesh!G23/SER_summary!G$26)</f>
        <v>15.008182081895686</v>
      </c>
      <c r="H23" s="132">
        <f>IF(SER_hh_tesh!H23=0,0,SER_hh_tesh!H23/SER_summary!H$26)</f>
        <v>15.271276508303048</v>
      </c>
      <c r="I23" s="132">
        <f>IF(SER_hh_tesh!I23=0,0,SER_hh_tesh!I23/SER_summary!I$26)</f>
        <v>15.394944242909892</v>
      </c>
      <c r="J23" s="132">
        <f>IF(SER_hh_tesh!J23=0,0,SER_hh_tesh!J23/SER_summary!J$26)</f>
        <v>15.41567350202685</v>
      </c>
      <c r="K23" s="132">
        <f>IF(SER_hh_tesh!K23=0,0,SER_hh_tesh!K23/SER_summary!K$26)</f>
        <v>15.66042277424749</v>
      </c>
      <c r="L23" s="132">
        <f>IF(SER_hh_tesh!L23=0,0,SER_hh_tesh!L23/SER_summary!L$26)</f>
        <v>15.297294932814095</v>
      </c>
      <c r="M23" s="132">
        <f>IF(SER_hh_tesh!M23=0,0,SER_hh_tesh!M23/SER_summary!M$26)</f>
        <v>15.109795461158392</v>
      </c>
      <c r="N23" s="132">
        <f>IF(SER_hh_tesh!N23=0,0,SER_hh_tesh!N23/SER_summary!N$26)</f>
        <v>15.155592296900034</v>
      </c>
      <c r="O23" s="132">
        <f>IF(SER_hh_tesh!O23=0,0,SER_hh_tesh!O23/SER_summary!O$26)</f>
        <v>15.624000141812008</v>
      </c>
      <c r="P23" s="132">
        <f>IF(SER_hh_tesh!P23=0,0,SER_hh_tesh!P23/SER_summary!P$26)</f>
        <v>15.667542703670696</v>
      </c>
      <c r="Q23" s="132">
        <f>IF(SER_hh_tesh!Q23=0,0,SER_hh_tesh!Q23/SER_summary!Q$26)</f>
        <v>16.119105859330308</v>
      </c>
      <c r="R23" s="132">
        <f>IF(SER_hh_tesh!R23=0,0,SER_hh_tesh!R23/SER_summary!R$26)</f>
        <v>16.107753970209277</v>
      </c>
      <c r="S23" s="132">
        <f>IF(SER_hh_tesh!S23=0,0,SER_hh_tesh!S23/SER_summary!S$26)</f>
        <v>15.747301950225349</v>
      </c>
      <c r="T23" s="132">
        <f>IF(SER_hh_tesh!T23=0,0,SER_hh_tesh!T23/SER_summary!T$26)</f>
        <v>15.370602650506239</v>
      </c>
      <c r="U23" s="132">
        <f>IF(SER_hh_tesh!U23=0,0,SER_hh_tesh!U23/SER_summary!U$26)</f>
        <v>14.885063675877044</v>
      </c>
      <c r="V23" s="132">
        <f>IF(SER_hh_tesh!V23=0,0,SER_hh_tesh!V23/SER_summary!V$26)</f>
        <v>13.722555986859918</v>
      </c>
      <c r="W23" s="132">
        <f>IF(SER_hh_tesh!W23=0,0,SER_hh_tesh!W23/SER_summary!W$26)</f>
        <v>14.186976379736837</v>
      </c>
      <c r="X23" s="132">
        <f>IF(SER_hh_tesh!X23=0,0,SER_hh_tesh!X23/SER_summary!X$26)</f>
        <v>14.906858617651205</v>
      </c>
      <c r="Y23" s="132">
        <f>IF(SER_hh_tesh!Y23=0,0,SER_hh_tesh!Y23/SER_summary!Y$26)</f>
        <v>15.272655246111935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14.535428906091258</v>
      </c>
      <c r="C24" s="132">
        <f>IF(SER_hh_tesh!C24=0,0,SER_hh_tesh!C24/SER_summary!C$26)</f>
        <v>14.566564006941995</v>
      </c>
      <c r="D24" s="132">
        <f>IF(SER_hh_tesh!D24=0,0,SER_hh_tesh!D24/SER_summary!D$26)</f>
        <v>14.60459088246445</v>
      </c>
      <c r="E24" s="132">
        <f>IF(SER_hh_tesh!E24=0,0,SER_hh_tesh!E24/SER_summary!E$26)</f>
        <v>14.613602195663418</v>
      </c>
      <c r="F24" s="132">
        <f>IF(SER_hh_tesh!F24=0,0,SER_hh_tesh!F24/SER_summary!F$26)</f>
        <v>14.76185200444545</v>
      </c>
      <c r="G24" s="132">
        <f>IF(SER_hh_tesh!G24=0,0,SER_hh_tesh!G24/SER_summary!G$26)</f>
        <v>14.994346132726156</v>
      </c>
      <c r="H24" s="132">
        <f>IF(SER_hh_tesh!H24=0,0,SER_hh_tesh!H24/SER_summary!H$26)</f>
        <v>15.317611195549176</v>
      </c>
      <c r="I24" s="132">
        <f>IF(SER_hh_tesh!I24=0,0,SER_hh_tesh!I24/SER_summary!I$26)</f>
        <v>15.309396894827211</v>
      </c>
      <c r="J24" s="132">
        <f>IF(SER_hh_tesh!J24=0,0,SER_hh_tesh!J24/SER_summary!J$26)</f>
        <v>15.306821090859366</v>
      </c>
      <c r="K24" s="132">
        <f>IF(SER_hh_tesh!K24=0,0,SER_hh_tesh!K24/SER_summary!K$26)</f>
        <v>15.622526407699354</v>
      </c>
      <c r="L24" s="132">
        <f>IF(SER_hh_tesh!L24=0,0,SER_hh_tesh!L24/SER_summary!L$26)</f>
        <v>15.252479969085377</v>
      </c>
      <c r="M24" s="132">
        <f>IF(SER_hh_tesh!M24=0,0,SER_hh_tesh!M24/SER_summary!M$26)</f>
        <v>15.172325854444191</v>
      </c>
      <c r="N24" s="132">
        <f>IF(SER_hh_tesh!N24=0,0,SER_hh_tesh!N24/SER_summary!N$26)</f>
        <v>15.17134127734308</v>
      </c>
      <c r="O24" s="132">
        <f>IF(SER_hh_tesh!O24=0,0,SER_hh_tesh!O24/SER_summary!O$26)</f>
        <v>15.52578138353411</v>
      </c>
      <c r="P24" s="132">
        <f>IF(SER_hh_tesh!P24=0,0,SER_hh_tesh!P24/SER_summary!P$26)</f>
        <v>15.778612487273834</v>
      </c>
      <c r="Q24" s="132">
        <f>IF(SER_hh_tesh!Q24=0,0,SER_hh_tesh!Q24/SER_summary!Q$26)</f>
        <v>16.159092148938971</v>
      </c>
      <c r="R24" s="132">
        <f>IF(SER_hh_tesh!R24=0,0,SER_hh_tesh!R24/SER_summary!R$26)</f>
        <v>16.00144797582384</v>
      </c>
      <c r="S24" s="132">
        <f>IF(SER_hh_tesh!S24=0,0,SER_hh_tesh!S24/SER_summary!S$26)</f>
        <v>15.732174439573843</v>
      </c>
      <c r="T24" s="132">
        <f>IF(SER_hh_tesh!T24=0,0,SER_hh_tesh!T24/SER_summary!T$26)</f>
        <v>15.310529125544118</v>
      </c>
      <c r="U24" s="132">
        <f>IF(SER_hh_tesh!U24=0,0,SER_hh_tesh!U24/SER_summary!U$26)</f>
        <v>15.196893983450231</v>
      </c>
      <c r="V24" s="132">
        <f>IF(SER_hh_tesh!V24=0,0,SER_hh_tesh!V24/SER_summary!V$26)</f>
        <v>13.740749172662044</v>
      </c>
      <c r="W24" s="132">
        <f>IF(SER_hh_tesh!W24=0,0,SER_hh_tesh!W24/SER_summary!W$26)</f>
        <v>14.138426083046088</v>
      </c>
      <c r="X24" s="132">
        <f>IF(SER_hh_tesh!X24=0,0,SER_hh_tesh!X24/SER_summary!X$26)</f>
        <v>14.915023687675427</v>
      </c>
      <c r="Y24" s="132">
        <f>IF(SER_hh_tesh!Y24=0,0,SER_hh_tesh!Y24/SER_summary!Y$26)</f>
        <v>15.193363461958992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14.548589014494254</v>
      </c>
      <c r="C25" s="132">
        <f>IF(SER_hh_tesh!C25=0,0,SER_hh_tesh!C25/SER_summary!C$26)</f>
        <v>14.572529997445676</v>
      </c>
      <c r="D25" s="132">
        <f>IF(SER_hh_tesh!D25=0,0,SER_hh_tesh!D25/SER_summary!D$26)</f>
        <v>14.778352949815462</v>
      </c>
      <c r="E25" s="132">
        <f>IF(SER_hh_tesh!E25=0,0,SER_hh_tesh!E25/SER_summary!E$26)</f>
        <v>14.594649027344751</v>
      </c>
      <c r="F25" s="132">
        <f>IF(SER_hh_tesh!F25=0,0,SER_hh_tesh!F25/SER_summary!F$26)</f>
        <v>14.46096828095919</v>
      </c>
      <c r="G25" s="132">
        <f>IF(SER_hh_tesh!G25=0,0,SER_hh_tesh!G25/SER_summary!G$26)</f>
        <v>14.130753475173405</v>
      </c>
      <c r="H25" s="132">
        <f>IF(SER_hh_tesh!H25=0,0,SER_hh_tesh!H25/SER_summary!H$26)</f>
        <v>14.987865267068425</v>
      </c>
      <c r="I25" s="132">
        <f>IF(SER_hh_tesh!I25=0,0,SER_hh_tesh!I25/SER_summary!I$26)</f>
        <v>15.498980510516564</v>
      </c>
      <c r="J25" s="132">
        <f>IF(SER_hh_tesh!J25=0,0,SER_hh_tesh!J25/SER_summary!J$26)</f>
        <v>15.259655173334776</v>
      </c>
      <c r="K25" s="132">
        <f>IF(SER_hh_tesh!K25=0,0,SER_hh_tesh!K25/SER_summary!K$26)</f>
        <v>15.836067351129788</v>
      </c>
      <c r="L25" s="132">
        <f>IF(SER_hh_tesh!L25=0,0,SER_hh_tesh!L25/SER_summary!L$26)</f>
        <v>15.692564966903829</v>
      </c>
      <c r="M25" s="132">
        <f>IF(SER_hh_tesh!M25=0,0,SER_hh_tesh!M25/SER_summary!M$26)</f>
        <v>15.13729023146591</v>
      </c>
      <c r="N25" s="132">
        <f>IF(SER_hh_tesh!N25=0,0,SER_hh_tesh!N25/SER_summary!N$26)</f>
        <v>15.227228646750707</v>
      </c>
      <c r="O25" s="132">
        <f>IF(SER_hh_tesh!O25=0,0,SER_hh_tesh!O25/SER_summary!O$26)</f>
        <v>15.442668107701788</v>
      </c>
      <c r="P25" s="132">
        <f>IF(SER_hh_tesh!P25=0,0,SER_hh_tesh!P25/SER_summary!P$26)</f>
        <v>15.910276520618464</v>
      </c>
      <c r="Q25" s="132">
        <f>IF(SER_hh_tesh!Q25=0,0,SER_hh_tesh!Q25/SER_summary!Q$26)</f>
        <v>16.17160694949423</v>
      </c>
      <c r="R25" s="132">
        <f>IF(SER_hh_tesh!R25=0,0,SER_hh_tesh!R25/SER_summary!R$26)</f>
        <v>16.070963243521994</v>
      </c>
      <c r="S25" s="132">
        <f>IF(SER_hh_tesh!S25=0,0,SER_hh_tesh!S25/SER_summary!S$26)</f>
        <v>15.602192846251137</v>
      </c>
      <c r="T25" s="132">
        <f>IF(SER_hh_tesh!T25=0,0,SER_hh_tesh!T25/SER_summary!T$26)</f>
        <v>15.255937475658062</v>
      </c>
      <c r="U25" s="132">
        <f>IF(SER_hh_tesh!U25=0,0,SER_hh_tesh!U25/SER_summary!U$26)</f>
        <v>15.214255084249048</v>
      </c>
      <c r="V25" s="132">
        <f>IF(SER_hh_tesh!V25=0,0,SER_hh_tesh!V25/SER_summary!V$26)</f>
        <v>14.739708560196904</v>
      </c>
      <c r="W25" s="132">
        <f>IF(SER_hh_tesh!W25=0,0,SER_hh_tesh!W25/SER_summary!W$26)</f>
        <v>15.3585526307526</v>
      </c>
      <c r="X25" s="132">
        <f>IF(SER_hh_tesh!X25=0,0,SER_hh_tesh!X25/SER_summary!X$26)</f>
        <v>15.029461578578834</v>
      </c>
      <c r="Y25" s="132">
        <f>IF(SER_hh_tesh!Y25=0,0,SER_hh_tesh!Y25/SER_summary!Y$26)</f>
        <v>14.670372794319135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10.00398692678487</v>
      </c>
      <c r="C26" s="65">
        <f>IF(SER_hh_tesh!C26=0,0,SER_hh_tesh!C26/SER_summary!C$26)</f>
        <v>10.105025677510957</v>
      </c>
      <c r="D26" s="65">
        <f>IF(SER_hh_tesh!D26=0,0,SER_hh_tesh!D26/SER_summary!D$26)</f>
        <v>9.9783614615780341</v>
      </c>
      <c r="E26" s="65">
        <f>IF(SER_hh_tesh!E26=0,0,SER_hh_tesh!E26/SER_summary!E$26)</f>
        <v>9.249286527013151</v>
      </c>
      <c r="F26" s="65">
        <f>IF(SER_hh_tesh!F26=0,0,SER_hh_tesh!F26/SER_summary!F$26)</f>
        <v>9.0182647335247506</v>
      </c>
      <c r="G26" s="65">
        <f>IF(SER_hh_tesh!G26=0,0,SER_hh_tesh!G26/SER_summary!G$26)</f>
        <v>11.013572906191952</v>
      </c>
      <c r="H26" s="65">
        <f>IF(SER_hh_tesh!H26=0,0,SER_hh_tesh!H26/SER_summary!H$26)</f>
        <v>11.891781135373456</v>
      </c>
      <c r="I26" s="65">
        <f>IF(SER_hh_tesh!I26=0,0,SER_hh_tesh!I26/SER_summary!I$26)</f>
        <v>10.822144702310235</v>
      </c>
      <c r="J26" s="65">
        <f>IF(SER_hh_tesh!J26=0,0,SER_hh_tesh!J26/SER_summary!J$26)</f>
        <v>9.0868740077751955</v>
      </c>
      <c r="K26" s="65">
        <f>IF(SER_hh_tesh!K26=0,0,SER_hh_tesh!K26/SER_summary!K$26)</f>
        <v>13.54357392879489</v>
      </c>
      <c r="L26" s="65">
        <f>IF(SER_hh_tesh!L26=0,0,SER_hh_tesh!L26/SER_summary!L$26)</f>
        <v>7.2869862483705585</v>
      </c>
      <c r="M26" s="65">
        <f>IF(SER_hh_tesh!M26=0,0,SER_hh_tesh!M26/SER_summary!M$26)</f>
        <v>6.9018723625038847</v>
      </c>
      <c r="N26" s="65">
        <f>IF(SER_hh_tesh!N26=0,0,SER_hh_tesh!N26/SER_summary!N$26)</f>
        <v>6.6963555320768506</v>
      </c>
      <c r="O26" s="65">
        <f>IF(SER_hh_tesh!O26=0,0,SER_hh_tesh!O26/SER_summary!O$26)</f>
        <v>8.4486540185173258</v>
      </c>
      <c r="P26" s="65">
        <f>IF(SER_hh_tesh!P26=0,0,SER_hh_tesh!P26/SER_summary!P$26)</f>
        <v>7.9177914098139244</v>
      </c>
      <c r="Q26" s="65">
        <f>IF(SER_hh_tesh!Q26=0,0,SER_hh_tesh!Q26/SER_summary!Q$26)</f>
        <v>9.1164478615688225</v>
      </c>
      <c r="R26" s="65">
        <f>IF(SER_hh_tesh!R26=0,0,SER_hh_tesh!R26/SER_summary!R$26)</f>
        <v>10.139651632835786</v>
      </c>
      <c r="S26" s="65">
        <f>IF(SER_hh_tesh!S26=0,0,SER_hh_tesh!S26/SER_summary!S$26)</f>
        <v>8.9895942660806956</v>
      </c>
      <c r="T26" s="65">
        <f>IF(SER_hh_tesh!T26=0,0,SER_hh_tesh!T26/SER_summary!T$26)</f>
        <v>7.2086705467976646</v>
      </c>
      <c r="U26" s="65">
        <f>IF(SER_hh_tesh!U26=0,0,SER_hh_tesh!U26/SER_summary!U$26)</f>
        <v>7.328433048740532</v>
      </c>
      <c r="V26" s="65">
        <f>IF(SER_hh_tesh!V26=0,0,SER_hh_tesh!V26/SER_summary!V$26)</f>
        <v>6.0972415282679133</v>
      </c>
      <c r="W26" s="65">
        <f>IF(SER_hh_tesh!W26=0,0,SER_hh_tesh!W26/SER_summary!W$26)</f>
        <v>7.3558789163431246</v>
      </c>
      <c r="X26" s="65">
        <f>IF(SER_hh_tesh!X26=0,0,SER_hh_tesh!X26/SER_summary!X$26)</f>
        <v>6.8768935251775076</v>
      </c>
      <c r="Y26" s="65">
        <f>IF(SER_hh_tesh!Y26=0,0,SER_hh_tesh!Y26/SER_summary!Y$26)</f>
        <v>8.4840987028554959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2.2452745152612472</v>
      </c>
      <c r="C27" s="145">
        <f>IF(SER_hh_tesh!C27=0,0,SER_hh_tesh!C27/SER_summary!C$26)</f>
        <v>2.3251664930957454</v>
      </c>
      <c r="D27" s="145">
        <f>IF(SER_hh_tesh!D27=0,0,SER_hh_tesh!D27/SER_summary!D$26)</f>
        <v>2.3365357783378129</v>
      </c>
      <c r="E27" s="145">
        <f>IF(SER_hh_tesh!E27=0,0,SER_hh_tesh!E27/SER_summary!E$26)</f>
        <v>2.7861533859358469</v>
      </c>
      <c r="F27" s="145">
        <f>IF(SER_hh_tesh!F27=0,0,SER_hh_tesh!F27/SER_summary!F$26)</f>
        <v>2.8646314253132665</v>
      </c>
      <c r="G27" s="145">
        <f>IF(SER_hh_tesh!G27=0,0,SER_hh_tesh!G27/SER_summary!G$26)</f>
        <v>2.6095156911687281</v>
      </c>
      <c r="H27" s="145">
        <f>IF(SER_hh_tesh!H27=0,0,SER_hh_tesh!H27/SER_summary!H$26)</f>
        <v>1.948170988281823</v>
      </c>
      <c r="I27" s="145">
        <f>IF(SER_hh_tesh!I27=0,0,SER_hh_tesh!I27/SER_summary!I$26)</f>
        <v>2.2866490157629253</v>
      </c>
      <c r="J27" s="145">
        <f>IF(SER_hh_tesh!J27=0,0,SER_hh_tesh!J27/SER_summary!J$26)</f>
        <v>3.0151483525770688</v>
      </c>
      <c r="K27" s="145">
        <f>IF(SER_hh_tesh!K27=0,0,SER_hh_tesh!K27/SER_summary!K$26)</f>
        <v>1.7074792951720794</v>
      </c>
      <c r="L27" s="145">
        <f>IF(SER_hh_tesh!L27=0,0,SER_hh_tesh!L27/SER_summary!L$26)</f>
        <v>3.9202588787186472</v>
      </c>
      <c r="M27" s="145">
        <f>IF(SER_hh_tesh!M27=0,0,SER_hh_tesh!M27/SER_summary!M$26)</f>
        <v>4.4726463769714693</v>
      </c>
      <c r="N27" s="145">
        <f>IF(SER_hh_tesh!N27=0,0,SER_hh_tesh!N27/SER_summary!N$26)</f>
        <v>4.7210083129205502</v>
      </c>
      <c r="O27" s="145">
        <f>IF(SER_hh_tesh!O27=0,0,SER_hh_tesh!O27/SER_summary!O$26)</f>
        <v>4.097929516670618</v>
      </c>
      <c r="P27" s="145">
        <f>IF(SER_hh_tesh!P27=0,0,SER_hh_tesh!P27/SER_summary!P$26)</f>
        <v>4.5736242417172575</v>
      </c>
      <c r="Q27" s="145">
        <f>IF(SER_hh_tesh!Q27=0,0,SER_hh_tesh!Q27/SER_summary!Q$26)</f>
        <v>3.9043703316594183</v>
      </c>
      <c r="R27" s="145">
        <f>IF(SER_hh_tesh!R27=0,0,SER_hh_tesh!R27/SER_summary!R$26)</f>
        <v>3.5851885839728967</v>
      </c>
      <c r="S27" s="145">
        <f>IF(SER_hh_tesh!S27=0,0,SER_hh_tesh!S27/SER_summary!S$26)</f>
        <v>4.1601992993236641</v>
      </c>
      <c r="T27" s="145">
        <f>IF(SER_hh_tesh!T27=0,0,SER_hh_tesh!T27/SER_summary!T$26)</f>
        <v>4.7811655846650165</v>
      </c>
      <c r="U27" s="145">
        <f>IF(SER_hh_tesh!U27=0,0,SER_hh_tesh!U27/SER_summary!U$26)</f>
        <v>4.4522141564076216</v>
      </c>
      <c r="V27" s="145">
        <f>IF(SER_hh_tesh!V27=0,0,SER_hh_tesh!V27/SER_summary!V$26)</f>
        <v>4.8196416308777996</v>
      </c>
      <c r="W27" s="145">
        <f>IF(SER_hh_tesh!W27=0,0,SER_hh_tesh!W27/SER_summary!W$26)</f>
        <v>3.6670431378509929</v>
      </c>
      <c r="X27" s="145">
        <f>IF(SER_hh_tesh!X27=0,0,SER_hh_tesh!X27/SER_summary!X$26)</f>
        <v>4.1240505780076298</v>
      </c>
      <c r="Y27" s="145">
        <f>IF(SER_hh_tesh!Y27=0,0,SER_hh_tesh!Y27/SER_summary!Y$26)</f>
        <v>3.8160932085942325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9.5686709661507923</v>
      </c>
      <c r="C28" s="146">
        <f>IF(SER_hh_tesh!C28=0,0,SER_hh_tesh!C28/SER_summary!C$26)</f>
        <v>9.7080949343479848</v>
      </c>
      <c r="D28" s="146">
        <f>IF(SER_hh_tesh!D28=0,0,SER_hh_tesh!D28/SER_summary!D$26)</f>
        <v>9.6807065705105266</v>
      </c>
      <c r="E28" s="146">
        <f>IF(SER_hh_tesh!E28=0,0,SER_hh_tesh!E28/SER_summary!E$26)</f>
        <v>9.8418143154399385</v>
      </c>
      <c r="F28" s="146">
        <f>IF(SER_hh_tesh!F28=0,0,SER_hh_tesh!F28/SER_summary!F$26)</f>
        <v>9.8350752088396884</v>
      </c>
      <c r="G28" s="146">
        <f>IF(SER_hh_tesh!G28=0,0,SER_hh_tesh!G28/SER_summary!G$26)</f>
        <v>10.057466633765063</v>
      </c>
      <c r="H28" s="146">
        <f>IF(SER_hh_tesh!H28=0,0,SER_hh_tesh!H28/SER_summary!H$26)</f>
        <v>11.013569785948306</v>
      </c>
      <c r="I28" s="146">
        <f>IF(SER_hh_tesh!I28=0,0,SER_hh_tesh!I28/SER_summary!I$26)</f>
        <v>10.90038694589583</v>
      </c>
      <c r="J28" s="146">
        <f>IF(SER_hh_tesh!J28=0,0,SER_hh_tesh!J28/SER_summary!J$26)</f>
        <v>10.88746925328174</v>
      </c>
      <c r="K28" s="146">
        <f>IF(SER_hh_tesh!K28=0,0,SER_hh_tesh!K28/SER_summary!K$26)</f>
        <v>10.806059332904173</v>
      </c>
      <c r="L28" s="146">
        <f>IF(SER_hh_tesh!L28=0,0,SER_hh_tesh!L28/SER_summary!L$26)</f>
        <v>16.695226061882085</v>
      </c>
      <c r="M28" s="146">
        <f>IF(SER_hh_tesh!M28=0,0,SER_hh_tesh!M28/SER_summary!M$26)</f>
        <v>14.201122263289994</v>
      </c>
      <c r="N28" s="146">
        <f>IF(SER_hh_tesh!N28=0,0,SER_hh_tesh!N28/SER_summary!N$26)</f>
        <v>11.731567751265906</v>
      </c>
      <c r="O28" s="146">
        <f>IF(SER_hh_tesh!O28=0,0,SER_hh_tesh!O28/SER_summary!O$26)</f>
        <v>12.21764289014685</v>
      </c>
      <c r="P28" s="146">
        <f>IF(SER_hh_tesh!P28=0,0,SER_hh_tesh!P28/SER_summary!P$26)</f>
        <v>12.480078812657972</v>
      </c>
      <c r="Q28" s="146">
        <f>IF(SER_hh_tesh!Q28=0,0,SER_hh_tesh!Q28/SER_summary!Q$26)</f>
        <v>13.365791003881853</v>
      </c>
      <c r="R28" s="146">
        <f>IF(SER_hh_tesh!R28=0,0,SER_hh_tesh!R28/SER_summary!R$26)</f>
        <v>13.632069853194823</v>
      </c>
      <c r="S28" s="146">
        <f>IF(SER_hh_tesh!S28=0,0,SER_hh_tesh!S28/SER_summary!S$26)</f>
        <v>13.099854940411491</v>
      </c>
      <c r="T28" s="146">
        <f>IF(SER_hh_tesh!T28=0,0,SER_hh_tesh!T28/SER_summary!T$26)</f>
        <v>12.529815275358599</v>
      </c>
      <c r="U28" s="146">
        <f>IF(SER_hh_tesh!U28=0,0,SER_hh_tesh!U28/SER_summary!U$26)</f>
        <v>11.905639579054771</v>
      </c>
      <c r="V28" s="146">
        <f>IF(SER_hh_tesh!V28=0,0,SER_hh_tesh!V28/SER_summary!V$26)</f>
        <v>11.517941325400779</v>
      </c>
      <c r="W28" s="146">
        <f>IF(SER_hh_tesh!W28=0,0,SER_hh_tesh!W28/SER_summary!W$26)</f>
        <v>11.456850787369099</v>
      </c>
      <c r="X28" s="146">
        <f>IF(SER_hh_tesh!X28=0,0,SER_hh_tesh!X28/SER_summary!X$26)</f>
        <v>10.855484407656883</v>
      </c>
      <c r="Y28" s="146">
        <f>IF(SER_hh_tesh!Y28=0,0,SER_hh_tesh!Y28/SER_summary!Y$26)</f>
        <v>11.014944408537861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12.262825761958529</v>
      </c>
      <c r="C29" s="130">
        <f>IF(SER_hh_tesh!C29=0,0,SER_hh_tesh!C29/SER_summary!C$26)</f>
        <v>12.609259994519418</v>
      </c>
      <c r="D29" s="130">
        <f>IF(SER_hh_tesh!D29=0,0,SER_hh_tesh!D29/SER_summary!D$26)</f>
        <v>13.12085359967732</v>
      </c>
      <c r="E29" s="130">
        <f>IF(SER_hh_tesh!E29=0,0,SER_hh_tesh!E29/SER_summary!E$26)</f>
        <v>13.571052285737171</v>
      </c>
      <c r="F29" s="130">
        <f>IF(SER_hh_tesh!F29=0,0,SER_hh_tesh!F29/SER_summary!F$26)</f>
        <v>13.643529878877285</v>
      </c>
      <c r="G29" s="130">
        <f>IF(SER_hh_tesh!G29=0,0,SER_hh_tesh!G29/SER_summary!G$26)</f>
        <v>13.631182599185136</v>
      </c>
      <c r="H29" s="130">
        <f>IF(SER_hh_tesh!H29=0,0,SER_hh_tesh!H29/SER_summary!H$26)</f>
        <v>13.486325551849253</v>
      </c>
      <c r="I29" s="130">
        <f>IF(SER_hh_tesh!I29=0,0,SER_hh_tesh!I29/SER_summary!I$26)</f>
        <v>13.328193861021186</v>
      </c>
      <c r="J29" s="130">
        <f>IF(SER_hh_tesh!J29=0,0,SER_hh_tesh!J29/SER_summary!J$26)</f>
        <v>13.276352877593668</v>
      </c>
      <c r="K29" s="130">
        <f>IF(SER_hh_tesh!K29=0,0,SER_hh_tesh!K29/SER_summary!K$26)</f>
        <v>13.730481285486244</v>
      </c>
      <c r="L29" s="130">
        <f>IF(SER_hh_tesh!L29=0,0,SER_hh_tesh!L29/SER_summary!L$26)</f>
        <v>13.712181182463503</v>
      </c>
      <c r="M29" s="130">
        <f>IF(SER_hh_tesh!M29=0,0,SER_hh_tesh!M29/SER_summary!M$26)</f>
        <v>13.739692866269676</v>
      </c>
      <c r="N29" s="130">
        <f>IF(SER_hh_tesh!N29=0,0,SER_hh_tesh!N29/SER_summary!N$26)</f>
        <v>13.928106060381271</v>
      </c>
      <c r="O29" s="130">
        <f>IF(SER_hh_tesh!O29=0,0,SER_hh_tesh!O29/SER_summary!O$26)</f>
        <v>13.888719515980924</v>
      </c>
      <c r="P29" s="130">
        <f>IF(SER_hh_tesh!P29=0,0,SER_hh_tesh!P29/SER_summary!P$26)</f>
        <v>13.988820332423888</v>
      </c>
      <c r="Q29" s="130">
        <f>IF(SER_hh_tesh!Q29=0,0,SER_hh_tesh!Q29/SER_summary!Q$26)</f>
        <v>13.978831519984945</v>
      </c>
      <c r="R29" s="130">
        <f>IF(SER_hh_tesh!R29=0,0,SER_hh_tesh!R29/SER_summary!R$26)</f>
        <v>14.02528614440714</v>
      </c>
      <c r="S29" s="130">
        <f>IF(SER_hh_tesh!S29=0,0,SER_hh_tesh!S29/SER_summary!S$26)</f>
        <v>13.94649299542735</v>
      </c>
      <c r="T29" s="130">
        <f>IF(SER_hh_tesh!T29=0,0,SER_hh_tesh!T29/SER_summary!T$26)</f>
        <v>13.883081689299404</v>
      </c>
      <c r="U29" s="130">
        <f>IF(SER_hh_tesh!U29=0,0,SER_hh_tesh!U29/SER_summary!U$26)</f>
        <v>13.851745838376859</v>
      </c>
      <c r="V29" s="130">
        <f>IF(SER_hh_tesh!V29=0,0,SER_hh_tesh!V29/SER_summary!V$26)</f>
        <v>13.258133569350395</v>
      </c>
      <c r="W29" s="130">
        <f>IF(SER_hh_tesh!W29=0,0,SER_hh_tesh!W29/SER_summary!W$26)</f>
        <v>13.817394975628908</v>
      </c>
      <c r="X29" s="130">
        <f>IF(SER_hh_tesh!X29=0,0,SER_hh_tesh!X29/SER_summary!X$26)</f>
        <v>13.773145682604408</v>
      </c>
      <c r="Y29" s="130">
        <f>IF(SER_hh_tesh!Y29=0,0,SER_hh_tesh!Y29/SER_summary!Y$26)</f>
        <v>13.853626721022016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4.5419428124367807</v>
      </c>
      <c r="C30" s="132">
        <f>IF(SER_hh_tesh!C30=0,0,SER_hh_tesh!C30/SER_summary!C$26)</f>
        <v>7.1623787348368166</v>
      </c>
      <c r="D30" s="132">
        <f>IF(SER_hh_tesh!D30=0,0,SER_hh_tesh!D30/SER_summary!D$26)</f>
        <v>14.832995768608717</v>
      </c>
      <c r="E30" s="132">
        <f>IF(SER_hh_tesh!E30=0,0,SER_hh_tesh!E30/SER_summary!E$26)</f>
        <v>15.533969318202068</v>
      </c>
      <c r="F30" s="132">
        <f>IF(SER_hh_tesh!F30=0,0,SER_hh_tesh!F30/SER_summary!F$26)</f>
        <v>18.577368500614003</v>
      </c>
      <c r="G30" s="132">
        <f>IF(SER_hh_tesh!G30=0,0,SER_hh_tesh!G30/SER_summary!G$26)</f>
        <v>13.796314346211913</v>
      </c>
      <c r="H30" s="132">
        <f>IF(SER_hh_tesh!H30=0,0,SER_hh_tesh!H30/SER_summary!H$26)</f>
        <v>14.681783726201424</v>
      </c>
      <c r="I30" s="132">
        <f>IF(SER_hh_tesh!I30=0,0,SER_hh_tesh!I30/SER_summary!I$26)</f>
        <v>12.288747167641196</v>
      </c>
      <c r="J30" s="132">
        <f>IF(SER_hh_tesh!J30=0,0,SER_hh_tesh!J30/SER_summary!J$26)</f>
        <v>9.1687766563097721</v>
      </c>
      <c r="K30" s="132">
        <f>IF(SER_hh_tesh!K30=0,0,SER_hh_tesh!K30/SER_summary!K$26)</f>
        <v>11.464551732519425</v>
      </c>
      <c r="L30" s="132">
        <f>IF(SER_hh_tesh!L30=0,0,SER_hh_tesh!L30/SER_summary!L$26)</f>
        <v>19.112969417625212</v>
      </c>
      <c r="M30" s="132">
        <f>IF(SER_hh_tesh!M30=0,0,SER_hh_tesh!M30/SER_summary!M$26)</f>
        <v>18.738703651796005</v>
      </c>
      <c r="N30" s="132">
        <f>IF(SER_hh_tesh!N30=0,0,SER_hh_tesh!N30/SER_summary!N$26)</f>
        <v>3.3066446865880481</v>
      </c>
      <c r="O30" s="132">
        <f>IF(SER_hh_tesh!O30=0,0,SER_hh_tesh!O30/SER_summary!O$26)</f>
        <v>6.9273507285840017</v>
      </c>
      <c r="P30" s="132">
        <f>IF(SER_hh_tesh!P30=0,0,SER_hh_tesh!P30/SER_summary!P$26)</f>
        <v>12.844023148282371</v>
      </c>
      <c r="Q30" s="132">
        <f>IF(SER_hh_tesh!Q30=0,0,SER_hh_tesh!Q30/SER_summary!Q$26)</f>
        <v>12.74757404174211</v>
      </c>
      <c r="R30" s="132">
        <f>IF(SER_hh_tesh!R30=0,0,SER_hh_tesh!R30/SER_summary!R$26)</f>
        <v>9.3903171722450303</v>
      </c>
      <c r="S30" s="132">
        <f>IF(SER_hh_tesh!S30=0,0,SER_hh_tesh!S30/SER_summary!S$26)</f>
        <v>17.301680372073793</v>
      </c>
      <c r="T30" s="132">
        <f>IF(SER_hh_tesh!T30=0,0,SER_hh_tesh!T30/SER_summary!T$26)</f>
        <v>13.949574553617261</v>
      </c>
      <c r="U30" s="132">
        <f>IF(SER_hh_tesh!U30=0,0,SER_hh_tesh!U30/SER_summary!U$26)</f>
        <v>13.904403898099018</v>
      </c>
      <c r="V30" s="132">
        <f>IF(SER_hh_tesh!V30=0,0,SER_hh_tesh!V30/SER_summary!V$26)</f>
        <v>13.351957000280125</v>
      </c>
      <c r="W30" s="132">
        <f>IF(SER_hh_tesh!W30=0,0,SER_hh_tesh!W30/SER_summary!W$26)</f>
        <v>16.122283226693813</v>
      </c>
      <c r="X30" s="132">
        <f>IF(SER_hh_tesh!X30=0,0,SER_hh_tesh!X30/SER_summary!X$26)</f>
        <v>14.993626489282398</v>
      </c>
      <c r="Y30" s="132">
        <f>IF(SER_hh_tesh!Y30=0,0,SER_hh_tesh!Y30/SER_summary!Y$26)</f>
        <v>9.1934897654343537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11.864689746745226</v>
      </c>
      <c r="C31" s="132">
        <f>IF(SER_hh_tesh!C31=0,0,SER_hh_tesh!C31/SER_summary!C$26)</f>
        <v>12.726699454390236</v>
      </c>
      <c r="D31" s="132">
        <f>IF(SER_hh_tesh!D31=0,0,SER_hh_tesh!D31/SER_summary!D$26)</f>
        <v>13.232778374391534</v>
      </c>
      <c r="E31" s="132">
        <f>IF(SER_hh_tesh!E31=0,0,SER_hh_tesh!E31/SER_summary!E$26)</f>
        <v>13.41407421109699</v>
      </c>
      <c r="F31" s="132">
        <f>IF(SER_hh_tesh!F31=0,0,SER_hh_tesh!F31/SER_summary!F$26)</f>
        <v>13.751224596168516</v>
      </c>
      <c r="G31" s="132">
        <f>IF(SER_hh_tesh!G31=0,0,SER_hh_tesh!G31/SER_summary!G$26)</f>
        <v>13.687019424022264</v>
      </c>
      <c r="H31" s="132">
        <f>IF(SER_hh_tesh!H31=0,0,SER_hh_tesh!H31/SER_summary!H$26)</f>
        <v>13.510666220159372</v>
      </c>
      <c r="I31" s="132">
        <f>IF(SER_hh_tesh!I31=0,0,SER_hh_tesh!I31/SER_summary!I$26)</f>
        <v>13.345691258399979</v>
      </c>
      <c r="J31" s="132">
        <f>IF(SER_hh_tesh!J31=0,0,SER_hh_tesh!J31/SER_summary!J$26)</f>
        <v>13.352602974395328</v>
      </c>
      <c r="K31" s="132">
        <f>IF(SER_hh_tesh!K31=0,0,SER_hh_tesh!K31/SER_summary!K$26)</f>
        <v>13.691079353582325</v>
      </c>
      <c r="L31" s="132">
        <f>IF(SER_hh_tesh!L31=0,0,SER_hh_tesh!L31/SER_summary!L$26)</f>
        <v>13.809800326801232</v>
      </c>
      <c r="M31" s="132">
        <f>IF(SER_hh_tesh!M31=0,0,SER_hh_tesh!M31/SER_summary!M$26)</f>
        <v>13.825703346883913</v>
      </c>
      <c r="N31" s="132">
        <f>IF(SER_hh_tesh!N31=0,0,SER_hh_tesh!N31/SER_summary!N$26)</f>
        <v>13.842211018149694</v>
      </c>
      <c r="O31" s="132">
        <f>IF(SER_hh_tesh!O31=0,0,SER_hh_tesh!O31/SER_summary!O$26)</f>
        <v>13.868001289929333</v>
      </c>
      <c r="P31" s="132">
        <f>IF(SER_hh_tesh!P31=0,0,SER_hh_tesh!P31/SER_summary!P$26)</f>
        <v>14.000097084014001</v>
      </c>
      <c r="Q31" s="132">
        <f>IF(SER_hh_tesh!Q31=0,0,SER_hh_tesh!Q31/SER_summary!Q$26)</f>
        <v>14.013585373185911</v>
      </c>
      <c r="R31" s="132">
        <f>IF(SER_hh_tesh!R31=0,0,SER_hh_tesh!R31/SER_summary!R$26)</f>
        <v>13.964504741688357</v>
      </c>
      <c r="S31" s="132">
        <f>IF(SER_hh_tesh!S31=0,0,SER_hh_tesh!S31/SER_summary!S$26)</f>
        <v>13.876091763007496</v>
      </c>
      <c r="T31" s="132">
        <f>IF(SER_hh_tesh!T31=0,0,SER_hh_tesh!T31/SER_summary!T$26)</f>
        <v>13.845775335969522</v>
      </c>
      <c r="U31" s="132">
        <f>IF(SER_hh_tesh!U31=0,0,SER_hh_tesh!U31/SER_summary!U$26)</f>
        <v>14.133043812233423</v>
      </c>
      <c r="V31" s="132">
        <f>IF(SER_hh_tesh!V31=0,0,SER_hh_tesh!V31/SER_summary!V$26)</f>
        <v>13.038194810696183</v>
      </c>
      <c r="W31" s="132">
        <f>IF(SER_hh_tesh!W31=0,0,SER_hh_tesh!W31/SER_summary!W$26)</f>
        <v>13.298697092854272</v>
      </c>
      <c r="X31" s="132">
        <f>IF(SER_hh_tesh!X31=0,0,SER_hh_tesh!X31/SER_summary!X$26)</f>
        <v>12.994967774469417</v>
      </c>
      <c r="Y31" s="132">
        <f>IF(SER_hh_tesh!Y31=0,0,SER_hh_tesh!Y31/SER_summary!Y$26)</f>
        <v>14.331269474814034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12.369331184853513</v>
      </c>
      <c r="C32" s="132">
        <f>IF(SER_hh_tesh!C32=0,0,SER_hh_tesh!C32/SER_summary!C$26)</f>
        <v>12.436392109049889</v>
      </c>
      <c r="D32" s="132">
        <f>IF(SER_hh_tesh!D32=0,0,SER_hh_tesh!D32/SER_summary!D$26)</f>
        <v>13.353912113144391</v>
      </c>
      <c r="E32" s="132">
        <f>IF(SER_hh_tesh!E32=0,0,SER_hh_tesh!E32/SER_summary!E$26)</f>
        <v>13.472847426097045</v>
      </c>
      <c r="F32" s="132">
        <f>IF(SER_hh_tesh!F32=0,0,SER_hh_tesh!F32/SER_summary!F$26)</f>
        <v>13.815807657144079</v>
      </c>
      <c r="G32" s="132">
        <f>IF(SER_hh_tesh!G32=0,0,SER_hh_tesh!G32/SER_summary!G$26)</f>
        <v>13.646626947139513</v>
      </c>
      <c r="H32" s="132">
        <f>IF(SER_hh_tesh!H32=0,0,SER_hh_tesh!H32/SER_summary!H$26)</f>
        <v>13.482094170412388</v>
      </c>
      <c r="I32" s="132">
        <f>IF(SER_hh_tesh!I32=0,0,SER_hh_tesh!I32/SER_summary!I$26)</f>
        <v>13.39986849134859</v>
      </c>
      <c r="J32" s="132">
        <f>IF(SER_hh_tesh!J32=0,0,SER_hh_tesh!J32/SER_summary!J$26)</f>
        <v>13.274761549144035</v>
      </c>
      <c r="K32" s="132">
        <f>IF(SER_hh_tesh!K32=0,0,SER_hh_tesh!K32/SER_summary!K$26)</f>
        <v>13.257154550153833</v>
      </c>
      <c r="L32" s="132">
        <f>IF(SER_hh_tesh!L32=0,0,SER_hh_tesh!L32/SER_summary!L$26)</f>
        <v>13.925995108123598</v>
      </c>
      <c r="M32" s="132">
        <f>IF(SER_hh_tesh!M32=0,0,SER_hh_tesh!M32/SER_summary!M$26)</f>
        <v>13.504550267164211</v>
      </c>
      <c r="N32" s="132">
        <f>IF(SER_hh_tesh!N32=0,0,SER_hh_tesh!N32/SER_summary!N$26)</f>
        <v>13.888566103127737</v>
      </c>
      <c r="O32" s="132">
        <f>IF(SER_hh_tesh!O32=0,0,SER_hh_tesh!O32/SER_summary!O$26)</f>
        <v>13.572600836433505</v>
      </c>
      <c r="P32" s="132">
        <f>IF(SER_hh_tesh!P32=0,0,SER_hh_tesh!P32/SER_summary!P$26)</f>
        <v>13.782909224231569</v>
      </c>
      <c r="Q32" s="132">
        <f>IF(SER_hh_tesh!Q32=0,0,SER_hh_tesh!Q32/SER_summary!Q$26)</f>
        <v>14.177326418151271</v>
      </c>
      <c r="R32" s="132">
        <f>IF(SER_hh_tesh!R32=0,0,SER_hh_tesh!R32/SER_summary!R$26)</f>
        <v>13.911250428307337</v>
      </c>
      <c r="S32" s="132">
        <f>IF(SER_hh_tesh!S32=0,0,SER_hh_tesh!S32/SER_summary!S$26)</f>
        <v>13.673836588188186</v>
      </c>
      <c r="T32" s="132">
        <f>IF(SER_hh_tesh!T32=0,0,SER_hh_tesh!T32/SER_summary!T$26)</f>
        <v>13.663376563656939</v>
      </c>
      <c r="U32" s="132">
        <f>IF(SER_hh_tesh!U32=0,0,SER_hh_tesh!U32/SER_summary!U$26)</f>
        <v>13.953534283948542</v>
      </c>
      <c r="V32" s="132">
        <f>IF(SER_hh_tesh!V32=0,0,SER_hh_tesh!V32/SER_summary!V$26)</f>
        <v>14.196980521595391</v>
      </c>
      <c r="W32" s="132">
        <f>IF(SER_hh_tesh!W32=0,0,SER_hh_tesh!W32/SER_summary!W$26)</f>
        <v>14.130588047021867</v>
      </c>
      <c r="X32" s="132">
        <f>IF(SER_hh_tesh!X32=0,0,SER_hh_tesh!X32/SER_summary!X$26)</f>
        <v>13.468615303985043</v>
      </c>
      <c r="Y32" s="132">
        <f>IF(SER_hh_tesh!Y32=0,0,SER_hh_tesh!Y32/SER_summary!Y$26)</f>
        <v>14.093806473618155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13.951527025641242</v>
      </c>
      <c r="C33" s="68">
        <f>IF(SER_hh_tesh!C33=0,0,SER_hh_tesh!C33/SER_summary!C$26)</f>
        <v>13.746922984761238</v>
      </c>
      <c r="D33" s="68">
        <f>IF(SER_hh_tesh!D33=0,0,SER_hh_tesh!D33/SER_summary!D$26)</f>
        <v>12.528605724963134</v>
      </c>
      <c r="E33" s="68">
        <f>IF(SER_hh_tesh!E33=0,0,SER_hh_tesh!E33/SER_summary!E$26)</f>
        <v>12.892784502146499</v>
      </c>
      <c r="F33" s="68">
        <f>IF(SER_hh_tesh!F33=0,0,SER_hh_tesh!F33/SER_summary!F$26)</f>
        <v>11.590566592730699</v>
      </c>
      <c r="G33" s="68">
        <f>IF(SER_hh_tesh!G33=0,0,SER_hh_tesh!G33/SER_summary!G$26)</f>
        <v>13.532836235130532</v>
      </c>
      <c r="H33" s="68">
        <f>IF(SER_hh_tesh!H33=0,0,SER_hh_tesh!H33/SER_summary!H$26)</f>
        <v>13.059756349592535</v>
      </c>
      <c r="I33" s="68">
        <f>IF(SER_hh_tesh!I33=0,0,SER_hh_tesh!I33/SER_summary!I$26)</f>
        <v>13.573899002720987</v>
      </c>
      <c r="J33" s="68">
        <f>IF(SER_hh_tesh!J33=0,0,SER_hh_tesh!J33/SER_summary!J$26)</f>
        <v>14.218251844227405</v>
      </c>
      <c r="K33" s="68">
        <f>IF(SER_hh_tesh!K33=0,0,SER_hh_tesh!K33/SER_summary!K$26)</f>
        <v>14.334594545592077</v>
      </c>
      <c r="L33" s="68">
        <f>IF(SER_hh_tesh!L33=0,0,SER_hh_tesh!L33/SER_summary!L$26)</f>
        <v>12.341908246964449</v>
      </c>
      <c r="M33" s="68">
        <f>IF(SER_hh_tesh!M33=0,0,SER_hh_tesh!M33/SER_summary!M$26)</f>
        <v>12.685248114375304</v>
      </c>
      <c r="N33" s="68">
        <f>IF(SER_hh_tesh!N33=0,0,SER_hh_tesh!N33/SER_summary!N$26)</f>
        <v>14.976784524793242</v>
      </c>
      <c r="O33" s="68">
        <f>IF(SER_hh_tesh!O33=0,0,SER_hh_tesh!O33/SER_summary!O$26)</f>
        <v>14.192177576964689</v>
      </c>
      <c r="P33" s="68">
        <f>IF(SER_hh_tesh!P33=0,0,SER_hh_tesh!P33/SER_summary!P$26)</f>
        <v>14.007077725867813</v>
      </c>
      <c r="Q33" s="68">
        <f>IF(SER_hh_tesh!Q33=0,0,SER_hh_tesh!Q33/SER_summary!Q$26)</f>
        <v>13.980850591699081</v>
      </c>
      <c r="R33" s="68">
        <f>IF(SER_hh_tesh!R33=0,0,SER_hh_tesh!R33/SER_summary!R$26)</f>
        <v>14.157909674814364</v>
      </c>
      <c r="S33" s="68">
        <f>IF(SER_hh_tesh!S33=0,0,SER_hh_tesh!S33/SER_summary!S$26)</f>
        <v>13.886355471401794</v>
      </c>
      <c r="T33" s="68">
        <f>IF(SER_hh_tesh!T33=0,0,SER_hh_tesh!T33/SER_summary!T$26)</f>
        <v>13.904592038860844</v>
      </c>
      <c r="U33" s="68">
        <f>IF(SER_hh_tesh!U33=0,0,SER_hh_tesh!U33/SER_summary!U$26)</f>
        <v>13.706372303639107</v>
      </c>
      <c r="V33" s="68">
        <f>IF(SER_hh_tesh!V33=0,0,SER_hh_tesh!V33/SER_summary!V$26)</f>
        <v>13.33949088460124</v>
      </c>
      <c r="W33" s="68">
        <f>IF(SER_hh_tesh!W33=0,0,SER_hh_tesh!W33/SER_summary!W$26)</f>
        <v>13.994177384081015</v>
      </c>
      <c r="X33" s="68">
        <f>IF(SER_hh_tesh!X33=0,0,SER_hh_tesh!X33/SER_summary!X$26)</f>
        <v>14.1536403382892</v>
      </c>
      <c r="Y33" s="68">
        <f>IF(SER_hh_tesh!Y33=0,0,SER_hh_tesh!Y33/SER_summary!Y$26)</f>
        <v>13.685692921438937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22.043713334564139</v>
      </c>
      <c r="C3" s="125">
        <f>IF(SER_hh_emih!C3=0,0,SER_hh_emih!C3/SER_summary!C$26)</f>
        <v>29.314357008087352</v>
      </c>
      <c r="D3" s="125">
        <f>IF(SER_hh_emih!D3=0,0,SER_hh_emih!D3/SER_summary!D$26)</f>
        <v>28.000234591162123</v>
      </c>
      <c r="E3" s="125">
        <f>IF(SER_hh_emih!E3=0,0,SER_hh_emih!E3/SER_summary!E$26)</f>
        <v>32.588852512548854</v>
      </c>
      <c r="F3" s="125">
        <f>IF(SER_hh_emih!F3=0,0,SER_hh_emih!F3/SER_summary!F$26)</f>
        <v>30.940492565287435</v>
      </c>
      <c r="G3" s="125">
        <f>IF(SER_hh_emih!G3=0,0,SER_hh_emih!G3/SER_summary!G$26)</f>
        <v>25.294193375845097</v>
      </c>
      <c r="H3" s="125">
        <f>IF(SER_hh_emih!H3=0,0,SER_hh_emih!H3/SER_summary!H$26)</f>
        <v>24.89695468529785</v>
      </c>
      <c r="I3" s="125">
        <f>IF(SER_hh_emih!I3=0,0,SER_hh_emih!I3/SER_summary!I$26)</f>
        <v>17.789377762784294</v>
      </c>
      <c r="J3" s="125">
        <f>IF(SER_hh_emih!J3=0,0,SER_hh_emih!J3/SER_summary!J$26)</f>
        <v>18.847553384909833</v>
      </c>
      <c r="K3" s="125">
        <f>IF(SER_hh_emih!K3=0,0,SER_hh_emih!K3/SER_summary!K$26)</f>
        <v>15.353751367871798</v>
      </c>
      <c r="L3" s="125">
        <f>IF(SER_hh_emih!L3=0,0,SER_hh_emih!L3/SER_summary!L$26)</f>
        <v>11.78727596094666</v>
      </c>
      <c r="M3" s="125">
        <f>IF(SER_hh_emih!M3=0,0,SER_hh_emih!M3/SER_summary!M$26)</f>
        <v>10.463123147215176</v>
      </c>
      <c r="N3" s="125">
        <f>IF(SER_hh_emih!N3=0,0,SER_hh_emih!N3/SER_summary!N$26)</f>
        <v>9.4689567401936081</v>
      </c>
      <c r="O3" s="125">
        <f>IF(SER_hh_emih!O3=0,0,SER_hh_emih!O3/SER_summary!O$26)</f>
        <v>9.43382759453735</v>
      </c>
      <c r="P3" s="125">
        <f>IF(SER_hh_emih!P3=0,0,SER_hh_emih!P3/SER_summary!P$26)</f>
        <v>8.5612008147343364</v>
      </c>
      <c r="Q3" s="125">
        <f>IF(SER_hh_emih!Q3=0,0,SER_hh_emih!Q3/SER_summary!Q$26)</f>
        <v>8.9635970458248551</v>
      </c>
      <c r="R3" s="125">
        <f>IF(SER_hh_emih!R3=0,0,SER_hh_emih!R3/SER_summary!R$26)</f>
        <v>8.2522397013757818</v>
      </c>
      <c r="S3" s="125">
        <f>IF(SER_hh_emih!S3=0,0,SER_hh_emih!S3/SER_summary!S$26)</f>
        <v>9.433481866050613</v>
      </c>
      <c r="T3" s="125">
        <f>IF(SER_hh_emih!T3=0,0,SER_hh_emih!T3/SER_summary!T$26)</f>
        <v>8.5478506092641062</v>
      </c>
      <c r="U3" s="125">
        <f>IF(SER_hh_emih!U3=0,0,SER_hh_emih!U3/SER_summary!U$26)</f>
        <v>8.5519169563610564</v>
      </c>
      <c r="V3" s="125">
        <f>IF(SER_hh_emih!V3=0,0,SER_hh_emih!V3/SER_summary!V$26)</f>
        <v>8.1319992744719478</v>
      </c>
      <c r="W3" s="125">
        <f>IF(SER_hh_emih!W3=0,0,SER_hh_emih!W3/SER_summary!W$26)</f>
        <v>9.526322166238085</v>
      </c>
      <c r="X3" s="125">
        <f>IF(SER_hh_emih!X3=0,0,SER_hh_emih!X3/SER_summary!X$26)</f>
        <v>7.5768353433571143</v>
      </c>
      <c r="Y3" s="125">
        <f>IF(SER_hh_emih!Y3=0,0,SER_hh_emih!Y3/SER_summary!Y$26)</f>
        <v>6.619156516013569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18.459200345783252</v>
      </c>
      <c r="C4" s="130">
        <f>IF(SER_hh_emih!C4=0,0,SER_hh_emih!C4/SER_summary!C$26)</f>
        <v>25.444118886125157</v>
      </c>
      <c r="D4" s="130">
        <f>IF(SER_hh_emih!D4=0,0,SER_hh_emih!D4/SER_summary!D$26)</f>
        <v>23.465547803519122</v>
      </c>
      <c r="E4" s="130">
        <f>IF(SER_hh_emih!E4=0,0,SER_hh_emih!E4/SER_summary!E$26)</f>
        <v>27.783563929262524</v>
      </c>
      <c r="F4" s="130">
        <f>IF(SER_hh_emih!F4=0,0,SER_hh_emih!F4/SER_summary!F$26)</f>
        <v>25.890267522983564</v>
      </c>
      <c r="G4" s="130">
        <f>IF(SER_hh_emih!G4=0,0,SER_hh_emih!G4/SER_summary!G$26)</f>
        <v>20.641487000715166</v>
      </c>
      <c r="H4" s="130">
        <f>IF(SER_hh_emih!H4=0,0,SER_hh_emih!H4/SER_summary!H$26)</f>
        <v>20.462081536707068</v>
      </c>
      <c r="I4" s="130">
        <f>IF(SER_hh_emih!I4=0,0,SER_hh_emih!I4/SER_summary!I$26)</f>
        <v>13.862254398515145</v>
      </c>
      <c r="J4" s="130">
        <f>IF(SER_hh_emih!J4=0,0,SER_hh_emih!J4/SER_summary!J$26)</f>
        <v>15.262348820035541</v>
      </c>
      <c r="K4" s="130">
        <f>IF(SER_hh_emih!K4=0,0,SER_hh_emih!K4/SER_summary!K$26)</f>
        <v>11.600942172351566</v>
      </c>
      <c r="L4" s="130">
        <f>IF(SER_hh_emih!L4=0,0,SER_hh_emih!L4/SER_summary!L$26)</f>
        <v>7.9301139598055155</v>
      </c>
      <c r="M4" s="130">
        <f>IF(SER_hh_emih!M4=0,0,SER_hh_emih!M4/SER_summary!M$26)</f>
        <v>6.8763352559976605</v>
      </c>
      <c r="N4" s="130">
        <f>IF(SER_hh_emih!N4=0,0,SER_hh_emih!N4/SER_summary!N$26)</f>
        <v>6.8854811451212301</v>
      </c>
      <c r="O4" s="130">
        <f>IF(SER_hh_emih!O4=0,0,SER_hh_emih!O4/SER_summary!O$26)</f>
        <v>6.863273924690013</v>
      </c>
      <c r="P4" s="130">
        <f>IF(SER_hh_emih!P4=0,0,SER_hh_emih!P4/SER_summary!P$26)</f>
        <v>6.0328360291038159</v>
      </c>
      <c r="Q4" s="130">
        <f>IF(SER_hh_emih!Q4=0,0,SER_hh_emih!Q4/SER_summary!Q$26)</f>
        <v>6.45926617516949</v>
      </c>
      <c r="R4" s="130">
        <f>IF(SER_hh_emih!R4=0,0,SER_hh_emih!R4/SER_summary!R$26)</f>
        <v>5.7998979803731112</v>
      </c>
      <c r="S4" s="130">
        <f>IF(SER_hh_emih!S4=0,0,SER_hh_emih!S4/SER_summary!S$26)</f>
        <v>6.9378630426844499</v>
      </c>
      <c r="T4" s="130">
        <f>IF(SER_hh_emih!T4=0,0,SER_hh_emih!T4/SER_summary!T$26)</f>
        <v>6.1109554283243384</v>
      </c>
      <c r="U4" s="130">
        <f>IF(SER_hh_emih!U4=0,0,SER_hh_emih!U4/SER_summary!U$26)</f>
        <v>6.116384678569796</v>
      </c>
      <c r="V4" s="130">
        <f>IF(SER_hh_emih!V4=0,0,SER_hh_emih!V4/SER_summary!V$26)</f>
        <v>5.9048654501174713</v>
      </c>
      <c r="W4" s="130">
        <f>IF(SER_hh_emih!W4=0,0,SER_hh_emih!W4/SER_summary!W$26)</f>
        <v>7.187435176599128</v>
      </c>
      <c r="X4" s="130">
        <f>IF(SER_hh_emih!X4=0,0,SER_hh_emih!X4/SER_summary!X$26)</f>
        <v>5.2151764533247178</v>
      </c>
      <c r="Y4" s="130">
        <f>IF(SER_hh_emih!Y4=0,0,SER_hh_emih!Y4/SER_summary!Y$26)</f>
        <v>4.1456554820042486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55.05346988389077</v>
      </c>
      <c r="C5" s="132">
        <f>IF(SER_hh_emih!C5=0,0,SER_hh_emih!C5/SER_summary!C$26)</f>
        <v>65.925485701562323</v>
      </c>
      <c r="D5" s="132">
        <f>IF(SER_hh_emih!D5=0,0,SER_hh_emih!D5/SER_summary!D$26)</f>
        <v>52.987588059907694</v>
      </c>
      <c r="E5" s="132">
        <f>IF(SER_hh_emih!E5=0,0,SER_hh_emih!E5/SER_summary!E$26)</f>
        <v>78.48233644104711</v>
      </c>
      <c r="F5" s="132">
        <f>IF(SER_hh_emih!F5=0,0,SER_hh_emih!F5/SER_summary!F$26)</f>
        <v>66.926487457345942</v>
      </c>
      <c r="G5" s="132">
        <f>IF(SER_hh_emih!G5=0,0,SER_hh_emih!G5/SER_summary!G$26)</f>
        <v>65.025354701300714</v>
      </c>
      <c r="H5" s="132">
        <f>IF(SER_hh_emih!H5=0,0,SER_hh_emih!H5/SER_summary!H$26)</f>
        <v>61.011775984477858</v>
      </c>
      <c r="I5" s="132">
        <f>IF(SER_hh_emih!I5=0,0,SER_hh_emih!I5/SER_summary!I$26)</f>
        <v>59.474584954126726</v>
      </c>
      <c r="J5" s="132">
        <f>IF(SER_hh_emih!J5=0,0,SER_hh_emih!J5/SER_summary!J$26)</f>
        <v>49.788119549080065</v>
      </c>
      <c r="K5" s="132">
        <f>IF(SER_hh_emih!K5=0,0,SER_hh_emih!K5/SER_summary!K$26)</f>
        <v>46.583231437941116</v>
      </c>
      <c r="L5" s="132">
        <f>IF(SER_hh_emih!L5=0,0,SER_hh_emih!L5/SER_summary!L$26)</f>
        <v>64.569150828456713</v>
      </c>
      <c r="M5" s="132">
        <f>IF(SER_hh_emih!M5=0,0,SER_hh_emih!M5/SER_summary!M$26)</f>
        <v>63.764445688008671</v>
      </c>
      <c r="N5" s="132">
        <f>IF(SER_hh_emih!N5=0,0,SER_hh_emih!N5/SER_summary!N$26)</f>
        <v>2.9052118155534727</v>
      </c>
      <c r="O5" s="132">
        <f>IF(SER_hh_emih!O5=0,0,SER_hh_emih!O5/SER_summary!O$26)</f>
        <v>19.814207841134415</v>
      </c>
      <c r="P5" s="132">
        <f>IF(SER_hh_emih!P5=0,0,SER_hh_emih!P5/SER_summary!P$26)</f>
        <v>17.241123435244997</v>
      </c>
      <c r="Q5" s="132">
        <f>IF(SER_hh_emih!Q5=0,0,SER_hh_emih!Q5/SER_summary!Q$26)</f>
        <v>22.160784595945575</v>
      </c>
      <c r="R5" s="132">
        <f>IF(SER_hh_emih!R5=0,0,SER_hh_emih!R5/SER_summary!R$26)</f>
        <v>0</v>
      </c>
      <c r="S5" s="132">
        <f>IF(SER_hh_emih!S5=0,0,SER_hh_emih!S5/SER_summary!S$26)</f>
        <v>0</v>
      </c>
      <c r="T5" s="132">
        <f>IF(SER_hh_emih!T5=0,0,SER_hh_emih!T5/SER_summary!T$26)</f>
        <v>0</v>
      </c>
      <c r="U5" s="132">
        <f>IF(SER_hh_emih!U5=0,0,SER_hh_emih!U5/SER_summary!U$26)</f>
        <v>0</v>
      </c>
      <c r="V5" s="132">
        <f>IF(SER_hh_emih!V5=0,0,SER_hh_emih!V5/SER_summary!V$26)</f>
        <v>0</v>
      </c>
      <c r="W5" s="132">
        <f>IF(SER_hh_emih!W5=0,0,SER_hh_emih!W5/SER_summary!W$26)</f>
        <v>0</v>
      </c>
      <c r="X5" s="132">
        <f>IF(SER_hh_emih!X5=0,0,SER_hh_emih!X5/SER_summary!X$26)</f>
        <v>0</v>
      </c>
      <c r="Y5" s="132">
        <f>IF(SER_hh_emih!Y5=0,0,SER_hh_emih!Y5/SER_summary!Y$26)</f>
        <v>0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45.764570349198728</v>
      </c>
      <c r="C7" s="132">
        <f>IF(SER_hh_emih!C7=0,0,SER_hh_emih!C7/SER_summary!C$26)</f>
        <v>58.483564450723755</v>
      </c>
      <c r="D7" s="132">
        <f>IF(SER_hh_emih!D7=0,0,SER_hh_emih!D7/SER_summary!D$26)</f>
        <v>55.812134648198018</v>
      </c>
      <c r="E7" s="132">
        <f>IF(SER_hh_emih!E7=0,0,SER_hh_emih!E7/SER_summary!E$26)</f>
        <v>66.926559240391711</v>
      </c>
      <c r="F7" s="132">
        <f>IF(SER_hh_emih!F7=0,0,SER_hh_emih!F7/SER_summary!F$26)</f>
        <v>46.813252557160062</v>
      </c>
      <c r="G7" s="132">
        <f>IF(SER_hh_emih!G7=0,0,SER_hh_emih!G7/SER_summary!G$26)</f>
        <v>59.611285150133014</v>
      </c>
      <c r="H7" s="132">
        <f>IF(SER_hh_emih!H7=0,0,SER_hh_emih!H7/SER_summary!H$26)</f>
        <v>60.455704742463134</v>
      </c>
      <c r="I7" s="132">
        <f>IF(SER_hh_emih!I7=0,0,SER_hh_emih!I7/SER_summary!I$26)</f>
        <v>42.896615738044353</v>
      </c>
      <c r="J7" s="132">
        <f>IF(SER_hh_emih!J7=0,0,SER_hh_emih!J7/SER_summary!J$26)</f>
        <v>55.025545803397975</v>
      </c>
      <c r="K7" s="132">
        <f>IF(SER_hh_emih!K7=0,0,SER_hh_emih!K7/SER_summary!K$26)</f>
        <v>50.362755198933634</v>
      </c>
      <c r="L7" s="132">
        <f>IF(SER_hh_emih!L7=0,0,SER_hh_emih!L7/SER_summary!L$26)</f>
        <v>31.763892052749959</v>
      </c>
      <c r="M7" s="132">
        <f>IF(SER_hh_emih!M7=0,0,SER_hh_emih!M7/SER_summary!M$26)</f>
        <v>39.013686828467428</v>
      </c>
      <c r="N7" s="132">
        <f>IF(SER_hh_emih!N7=0,0,SER_hh_emih!N7/SER_summary!N$26)</f>
        <v>37.975273107896577</v>
      </c>
      <c r="O7" s="132">
        <f>IF(SER_hh_emih!O7=0,0,SER_hh_emih!O7/SER_summary!O$26)</f>
        <v>36.621627947409152</v>
      </c>
      <c r="P7" s="132">
        <f>IF(SER_hh_emih!P7=0,0,SER_hh_emih!P7/SER_summary!P$26)</f>
        <v>37.086870416402157</v>
      </c>
      <c r="Q7" s="132">
        <f>IF(SER_hh_emih!Q7=0,0,SER_hh_emih!Q7/SER_summary!Q$26)</f>
        <v>35.602290535829411</v>
      </c>
      <c r="R7" s="132">
        <f>IF(SER_hh_emih!R7=0,0,SER_hh_emih!R7/SER_summary!R$26)</f>
        <v>30.590846490472529</v>
      </c>
      <c r="S7" s="132">
        <f>IF(SER_hh_emih!S7=0,0,SER_hh_emih!S7/SER_summary!S$26)</f>
        <v>40.319871392799371</v>
      </c>
      <c r="T7" s="132">
        <f>IF(SER_hh_emih!T7=0,0,SER_hh_emih!T7/SER_summary!T$26)</f>
        <v>33.57895032452987</v>
      </c>
      <c r="U7" s="132">
        <f>IF(SER_hh_emih!U7=0,0,SER_hh_emih!U7/SER_summary!U$26)</f>
        <v>30.553421276695591</v>
      </c>
      <c r="V7" s="132">
        <f>IF(SER_hh_emih!V7=0,0,SER_hh_emih!V7/SER_summary!V$26)</f>
        <v>29.34196787149968</v>
      </c>
      <c r="W7" s="132">
        <f>IF(SER_hh_emih!W7=0,0,SER_hh_emih!W7/SER_summary!W$26)</f>
        <v>38.127861570880185</v>
      </c>
      <c r="X7" s="132">
        <f>IF(SER_hh_emih!X7=0,0,SER_hh_emih!X7/SER_summary!X$26)</f>
        <v>34.028341784871749</v>
      </c>
      <c r="Y7" s="132">
        <f>IF(SER_hh_emih!Y7=0,0,SER_hh_emih!Y7/SER_summary!Y$26)</f>
        <v>22.100541914923316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16.4360984026954</v>
      </c>
      <c r="C8" s="132">
        <f>IF(SER_hh_emih!C8=0,0,SER_hh_emih!C8/SER_summary!C$26)</f>
        <v>18.980412968441421</v>
      </c>
      <c r="D8" s="132">
        <f>IF(SER_hh_emih!D8=0,0,SER_hh_emih!D8/SER_summary!D$26)</f>
        <v>15.856690641756906</v>
      </c>
      <c r="E8" s="132">
        <f>IF(SER_hh_emih!E8=0,0,SER_hh_emih!E8/SER_summary!E$26)</f>
        <v>16.64799353624101</v>
      </c>
      <c r="F8" s="132">
        <f>IF(SER_hh_emih!F8=0,0,SER_hh_emih!F8/SER_summary!F$26)</f>
        <v>15.247834753113874</v>
      </c>
      <c r="G8" s="132">
        <f>IF(SER_hh_emih!G8=0,0,SER_hh_emih!G8/SER_summary!G$26)</f>
        <v>13.225943242432392</v>
      </c>
      <c r="H8" s="132">
        <f>IF(SER_hh_emih!H8=0,0,SER_hh_emih!H8/SER_summary!H$26)</f>
        <v>13.214986228395198</v>
      </c>
      <c r="I8" s="132">
        <f>IF(SER_hh_emih!I8=0,0,SER_hh_emih!I8/SER_summary!I$26)</f>
        <v>10.127329672515804</v>
      </c>
      <c r="J8" s="132">
        <f>IF(SER_hh_emih!J8=0,0,SER_hh_emih!J8/SER_summary!J$26)</f>
        <v>11.173989092811988</v>
      </c>
      <c r="K8" s="132">
        <f>IF(SER_hh_emih!K8=0,0,SER_hh_emih!K8/SER_summary!K$26)</f>
        <v>9.1095110087735023</v>
      </c>
      <c r="L8" s="132">
        <f>IF(SER_hh_emih!L8=0,0,SER_hh_emih!L8/SER_summary!L$26)</f>
        <v>8.799364441393875</v>
      </c>
      <c r="M8" s="132">
        <f>IF(SER_hh_emih!M8=0,0,SER_hh_emih!M8/SER_summary!M$26)</f>
        <v>8.1964579559409643</v>
      </c>
      <c r="N8" s="132">
        <f>IF(SER_hh_emih!N8=0,0,SER_hh_emih!N8/SER_summary!N$26)</f>
        <v>7.8305470594290076</v>
      </c>
      <c r="O8" s="132">
        <f>IF(SER_hh_emih!O8=0,0,SER_hh_emih!O8/SER_summary!O$26)</f>
        <v>7.1663504489158063</v>
      </c>
      <c r="P8" s="132">
        <f>IF(SER_hh_emih!P8=0,0,SER_hh_emih!P8/SER_summary!P$26)</f>
        <v>6.6349523118733567</v>
      </c>
      <c r="Q8" s="132">
        <f>IF(SER_hh_emih!Q8=0,0,SER_hh_emih!Q8/SER_summary!Q$26)</f>
        <v>6.4601859245012445</v>
      </c>
      <c r="R8" s="132">
        <f>IF(SER_hh_emih!R8=0,0,SER_hh_emih!R8/SER_summary!R$26)</f>
        <v>6.3119114733453152</v>
      </c>
      <c r="S8" s="132">
        <f>IF(SER_hh_emih!S8=0,0,SER_hh_emih!S8/SER_summary!S$26)</f>
        <v>6.7610452957147933</v>
      </c>
      <c r="T8" s="132">
        <f>IF(SER_hh_emih!T8=0,0,SER_hh_emih!T8/SER_summary!T$26)</f>
        <v>6.1800849192983272</v>
      </c>
      <c r="U8" s="132">
        <f>IF(SER_hh_emih!U8=0,0,SER_hh_emih!U8/SER_summary!U$26)</f>
        <v>6.2289776517818947</v>
      </c>
      <c r="V8" s="132">
        <f>IF(SER_hh_emih!V8=0,0,SER_hh_emih!V8/SER_summary!V$26)</f>
        <v>5.2483473849365119</v>
      </c>
      <c r="W8" s="132">
        <f>IF(SER_hh_emih!W8=0,0,SER_hh_emih!W8/SER_summary!W$26)</f>
        <v>5.9914344717815675</v>
      </c>
      <c r="X8" s="132">
        <f>IF(SER_hh_emih!X8=0,0,SER_hh_emih!X8/SER_summary!X$26)</f>
        <v>5.2739984546358416</v>
      </c>
      <c r="Y8" s="132">
        <f>IF(SER_hh_emih!Y8=0,0,SER_hh_emih!Y8/SER_summary!Y$26)</f>
        <v>4.8333477644025562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31.350242674202466</v>
      </c>
      <c r="C9" s="132">
        <f>IF(SER_hh_emih!C9=0,0,SER_hh_emih!C9/SER_summary!C$26)</f>
        <v>42.171135204085253</v>
      </c>
      <c r="D9" s="132">
        <f>IF(SER_hh_emih!D9=0,0,SER_hh_emih!D9/SER_summary!D$26)</f>
        <v>36.581319895005379</v>
      </c>
      <c r="E9" s="132">
        <f>IF(SER_hh_emih!E9=0,0,SER_hh_emih!E9/SER_summary!E$26)</f>
        <v>42.496136423333773</v>
      </c>
      <c r="F9" s="132">
        <f>IF(SER_hh_emih!F9=0,0,SER_hh_emih!F9/SER_summary!F$26)</f>
        <v>55.778773101619493</v>
      </c>
      <c r="G9" s="132">
        <f>IF(SER_hh_emih!G9=0,0,SER_hh_emih!G9/SER_summary!G$26)</f>
        <v>31.440025840820727</v>
      </c>
      <c r="H9" s="132">
        <f>IF(SER_hh_emih!H9=0,0,SER_hh_emih!H9/SER_summary!H$26)</f>
        <v>38.873068580248017</v>
      </c>
      <c r="I9" s="132">
        <f>IF(SER_hh_emih!I9=0,0,SER_hh_emih!I9/SER_summary!I$26)</f>
        <v>32.718578296818038</v>
      </c>
      <c r="J9" s="132">
        <f>IF(SER_hh_emih!J9=0,0,SER_hh_emih!J9/SER_summary!J$26)</f>
        <v>38.296094928088912</v>
      </c>
      <c r="K9" s="132">
        <f>IF(SER_hh_emih!K9=0,0,SER_hh_emih!K9/SER_summary!K$26)</f>
        <v>29.365113670760273</v>
      </c>
      <c r="L9" s="132">
        <f>IF(SER_hh_emih!L9=0,0,SER_hh_emih!L9/SER_summary!L$26)</f>
        <v>31.961549830700825</v>
      </c>
      <c r="M9" s="132">
        <f>IF(SER_hh_emih!M9=0,0,SER_hh_emih!M9/SER_summary!M$26)</f>
        <v>26.060704021538239</v>
      </c>
      <c r="N9" s="132">
        <f>IF(SER_hh_emih!N9=0,0,SER_hh_emih!N9/SER_summary!N$26)</f>
        <v>29.462522776386308</v>
      </c>
      <c r="O9" s="132">
        <f>IF(SER_hh_emih!O9=0,0,SER_hh_emih!O9/SER_summary!O$26)</f>
        <v>28.986588965105678</v>
      </c>
      <c r="P9" s="132">
        <f>IF(SER_hh_emih!P9=0,0,SER_hh_emih!P9/SER_summary!P$26)</f>
        <v>21.478391123875625</v>
      </c>
      <c r="Q9" s="132">
        <f>IF(SER_hh_emih!Q9=0,0,SER_hh_emih!Q9/SER_summary!Q$26)</f>
        <v>24.796525954674287</v>
      </c>
      <c r="R9" s="132">
        <f>IF(SER_hh_emih!R9=0,0,SER_hh_emih!R9/SER_summary!R$26)</f>
        <v>22.046279868411844</v>
      </c>
      <c r="S9" s="132">
        <f>IF(SER_hh_emih!S9=0,0,SER_hh_emih!S9/SER_summary!S$26)</f>
        <v>24.525001876946586</v>
      </c>
      <c r="T9" s="132">
        <f>IF(SER_hh_emih!T9=0,0,SER_hh_emih!T9/SER_summary!T$26)</f>
        <v>22.775712328007245</v>
      </c>
      <c r="U9" s="132">
        <f>IF(SER_hh_emih!U9=0,0,SER_hh_emih!U9/SER_summary!U$26)</f>
        <v>24.326146944966599</v>
      </c>
      <c r="V9" s="132">
        <f>IF(SER_hh_emih!V9=0,0,SER_hh_emih!V9/SER_summary!V$26)</f>
        <v>25.491445834876874</v>
      </c>
      <c r="W9" s="132">
        <f>IF(SER_hh_emih!W9=0,0,SER_hh_emih!W9/SER_summary!W$26)</f>
        <v>29.110049903723819</v>
      </c>
      <c r="X9" s="132">
        <f>IF(SER_hh_emih!X9=0,0,SER_hh_emih!X9/SER_summary!X$26)</f>
        <v>18.072992858982776</v>
      </c>
      <c r="Y9" s="132">
        <f>IF(SER_hh_emih!Y9=0,0,SER_hh_emih!Y9/SER_summary!Y$26)</f>
        <v>21.904910417220222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16.62085268531084</v>
      </c>
      <c r="C10" s="132">
        <f>IF(SER_hh_emih!C10=0,0,SER_hh_emih!C10/SER_summary!C$26)</f>
        <v>19.443026791358076</v>
      </c>
      <c r="D10" s="132">
        <f>IF(SER_hh_emih!D10=0,0,SER_hh_emih!D10/SER_summary!D$26)</f>
        <v>18.4608372884821</v>
      </c>
      <c r="E10" s="132">
        <f>IF(SER_hh_emih!E10=0,0,SER_hh_emih!E10/SER_summary!E$26)</f>
        <v>19.379397084597354</v>
      </c>
      <c r="F10" s="132">
        <f>IF(SER_hh_emih!F10=0,0,SER_hh_emih!F10/SER_summary!F$26)</f>
        <v>15.168168059463181</v>
      </c>
      <c r="G10" s="132">
        <f>IF(SER_hh_emih!G10=0,0,SER_hh_emih!G10/SER_summary!G$26)</f>
        <v>30.573489180444202</v>
      </c>
      <c r="H10" s="132">
        <f>IF(SER_hh_emih!H10=0,0,SER_hh_emih!H10/SER_summary!H$26)</f>
        <v>20.77757611655149</v>
      </c>
      <c r="I10" s="132">
        <f>IF(SER_hh_emih!I10=0,0,SER_hh_emih!I10/SER_summary!I$26)</f>
        <v>9.3640661320397918</v>
      </c>
      <c r="J10" s="132">
        <f>IF(SER_hh_emih!J10=0,0,SER_hh_emih!J10/SER_summary!J$26)</f>
        <v>1.5564171856338718</v>
      </c>
      <c r="K10" s="132">
        <f>IF(SER_hh_emih!K10=0,0,SER_hh_emih!K10/SER_summary!K$26)</f>
        <v>1.5190365033814979</v>
      </c>
      <c r="L10" s="132">
        <f>IF(SER_hh_emih!L10=0,0,SER_hh_emih!L10/SER_summary!L$26)</f>
        <v>1.716947909040623</v>
      </c>
      <c r="M10" s="132">
        <f>IF(SER_hh_emih!M10=0,0,SER_hh_emih!M10/SER_summary!M$26)</f>
        <v>1.4964551797373646</v>
      </c>
      <c r="N10" s="132">
        <f>IF(SER_hh_emih!N10=0,0,SER_hh_emih!N10/SER_summary!N$26)</f>
        <v>0</v>
      </c>
      <c r="O10" s="132">
        <f>IF(SER_hh_emih!O10=0,0,SER_hh_emih!O10/SER_summary!O$26)</f>
        <v>0</v>
      </c>
      <c r="P10" s="132">
        <f>IF(SER_hh_emih!P10=0,0,SER_hh_emih!P10/SER_summary!P$26)</f>
        <v>0</v>
      </c>
      <c r="Q10" s="132">
        <f>IF(SER_hh_emih!Q10=0,0,SER_hh_emih!Q10/SER_summary!Q$26)</f>
        <v>0</v>
      </c>
      <c r="R10" s="132">
        <f>IF(SER_hh_emih!R10=0,0,SER_hh_emih!R10/SER_summary!R$26)</f>
        <v>0</v>
      </c>
      <c r="S10" s="132">
        <f>IF(SER_hh_emih!S10=0,0,SER_hh_emih!S10/SER_summary!S$26)</f>
        <v>0</v>
      </c>
      <c r="T10" s="132">
        <f>IF(SER_hh_emih!T10=0,0,SER_hh_emih!T10/SER_summary!T$26)</f>
        <v>0</v>
      </c>
      <c r="U10" s="132">
        <f>IF(SER_hh_emih!U10=0,0,SER_hh_emih!U10/SER_summary!U$26)</f>
        <v>0</v>
      </c>
      <c r="V10" s="132">
        <f>IF(SER_hh_emih!V10=0,0,SER_hh_emih!V10/SER_summary!V$26)</f>
        <v>0</v>
      </c>
      <c r="W10" s="132">
        <f>IF(SER_hh_emih!W10=0,0,SER_hh_emih!W10/SER_summary!W$26)</f>
        <v>0</v>
      </c>
      <c r="X10" s="132">
        <f>IF(SER_hh_emih!X10=0,0,SER_hh_emih!X10/SER_summary!X$26)</f>
        <v>0</v>
      </c>
      <c r="Y10" s="132">
        <f>IF(SER_hh_emih!Y10=0,0,SER_hh_emih!Y10/SER_summary!Y$26)</f>
        <v>0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4.9232384478417887E-3</v>
      </c>
      <c r="C16" s="130">
        <f>IF(SER_hh_emih!C16=0,0,SER_hh_emih!C16/SER_summary!C$26)</f>
        <v>5.0770735452442305E-3</v>
      </c>
      <c r="D16" s="130">
        <f>IF(SER_hh_emih!D16=0,0,SER_hh_emih!D16/SER_summary!D$26)</f>
        <v>5.7395284961814733E-3</v>
      </c>
      <c r="E16" s="130">
        <f>IF(SER_hh_emih!E16=0,0,SER_hh_emih!E16/SER_summary!E$26)</f>
        <v>6.4031949405375689E-3</v>
      </c>
      <c r="F16" s="130">
        <f>IF(SER_hh_emih!F16=0,0,SER_hh_emih!F16/SER_summary!F$26)</f>
        <v>7.0011071021049628E-3</v>
      </c>
      <c r="G16" s="130">
        <f>IF(SER_hh_emih!G16=0,0,SER_hh_emih!G16/SER_summary!G$26)</f>
        <v>7.7110202426684676E-3</v>
      </c>
      <c r="H16" s="130">
        <f>IF(SER_hh_emih!H16=0,0,SER_hh_emih!H16/SER_summary!H$26)</f>
        <v>8.5603234349582828E-3</v>
      </c>
      <c r="I16" s="130">
        <f>IF(SER_hh_emih!I16=0,0,SER_hh_emih!I16/SER_summary!I$26)</f>
        <v>9.9176705130864691E-3</v>
      </c>
      <c r="J16" s="130">
        <f>IF(SER_hh_emih!J16=0,0,SER_hh_emih!J16/SER_summary!J$26)</f>
        <v>1.0784311641894204E-2</v>
      </c>
      <c r="K16" s="130">
        <f>IF(SER_hh_emih!K16=0,0,SER_hh_emih!K16/SER_summary!K$26)</f>
        <v>1.257876823602878E-2</v>
      </c>
      <c r="L16" s="130">
        <f>IF(SER_hh_emih!L16=0,0,SER_hh_emih!L16/SER_summary!L$26)</f>
        <v>1.3517648680226707E-2</v>
      </c>
      <c r="M16" s="130">
        <f>IF(SER_hh_emih!M16=0,0,SER_hh_emih!M16/SER_summary!M$26)</f>
        <v>1.5012139784288883E-2</v>
      </c>
      <c r="N16" s="130">
        <f>IF(SER_hh_emih!N16=0,0,SER_hh_emih!N16/SER_summary!N$26)</f>
        <v>1.5994459910828172E-2</v>
      </c>
      <c r="O16" s="130">
        <f>IF(SER_hh_emih!O16=0,0,SER_hh_emih!O16/SER_summary!O$26)</f>
        <v>1.8606452985451032E-2</v>
      </c>
      <c r="P16" s="130">
        <f>IF(SER_hh_emih!P16=0,0,SER_hh_emih!P16/SER_summary!P$26)</f>
        <v>1.7999184367627895E-2</v>
      </c>
      <c r="Q16" s="130">
        <f>IF(SER_hh_emih!Q16=0,0,SER_hh_emih!Q16/SER_summary!Q$26)</f>
        <v>2.4042847261317127E-2</v>
      </c>
      <c r="R16" s="130">
        <f>IF(SER_hh_emih!R16=0,0,SER_hh_emih!R16/SER_summary!R$26)</f>
        <v>2.0644928598670103E-2</v>
      </c>
      <c r="S16" s="130">
        <f>IF(SER_hh_emih!S16=0,0,SER_hh_emih!S16/SER_summary!S$26)</f>
        <v>2.401113809465211E-2</v>
      </c>
      <c r="T16" s="130">
        <f>IF(SER_hh_emih!T16=0,0,SER_hh_emih!T16/SER_summary!T$26)</f>
        <v>2.4620349366675284E-2</v>
      </c>
      <c r="U16" s="130">
        <f>IF(SER_hh_emih!U16=0,0,SER_hh_emih!U16/SER_summary!U$26)</f>
        <v>2.7514496180682354E-2</v>
      </c>
      <c r="V16" s="130">
        <f>IF(SER_hh_emih!V16=0,0,SER_hh_emih!V16/SER_summary!V$26)</f>
        <v>2.5240976809671644E-2</v>
      </c>
      <c r="W16" s="130">
        <f>IF(SER_hh_emih!W16=0,0,SER_hh_emih!W16/SER_summary!W$26)</f>
        <v>2.656543337029562E-2</v>
      </c>
      <c r="X16" s="130">
        <f>IF(SER_hh_emih!X16=0,0,SER_hh_emih!X16/SER_summary!X$26)</f>
        <v>2.7992858229062577E-2</v>
      </c>
      <c r="Y16" s="130">
        <f>IF(SER_hh_emih!Y16=0,0,SER_hh_emih!Y16/SER_summary!Y$26)</f>
        <v>2.9700117385870195E-2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4.1065913521044752</v>
      </c>
      <c r="C17" s="132">
        <f>IF(SER_hh_emih!C17=0,0,SER_hh_emih!C17/SER_summary!C$26)</f>
        <v>4.014349298795274</v>
      </c>
      <c r="D17" s="132">
        <f>IF(SER_hh_emih!D17=0,0,SER_hh_emih!D17/SER_summary!D$26)</f>
        <v>3.9579692369820134</v>
      </c>
      <c r="E17" s="132">
        <f>IF(SER_hh_emih!E17=0,0,SER_hh_emih!E17/SER_summary!E$26)</f>
        <v>4.378028211848604</v>
      </c>
      <c r="F17" s="132">
        <f>IF(SER_hh_emih!F17=0,0,SER_hh_emih!F17/SER_summary!F$26)</f>
        <v>3.8022708361254143</v>
      </c>
      <c r="G17" s="132">
        <f>IF(SER_hh_emih!G17=0,0,SER_hh_emih!G17/SER_summary!G$26)</f>
        <v>3.7836062099631516</v>
      </c>
      <c r="H17" s="132">
        <f>IF(SER_hh_emih!H17=0,0,SER_hh_emih!H17/SER_summary!H$26)</f>
        <v>3.9144218732973006</v>
      </c>
      <c r="I17" s="132">
        <f>IF(SER_hh_emih!I17=0,0,SER_hh_emih!I17/SER_summary!I$26)</f>
        <v>3.8319422583990961</v>
      </c>
      <c r="J17" s="132">
        <f>IF(SER_hh_emih!J17=0,0,SER_hh_emih!J17/SER_summary!J$26)</f>
        <v>3.6617257161665302</v>
      </c>
      <c r="K17" s="132">
        <f>IF(SER_hh_emih!K17=0,0,SER_hh_emih!K17/SER_summary!K$26)</f>
        <v>3.6656105121619902</v>
      </c>
      <c r="L17" s="132">
        <f>IF(SER_hh_emih!L17=0,0,SER_hh_emih!L17/SER_summary!L$26)</f>
        <v>3.7598950633256178</v>
      </c>
      <c r="M17" s="132">
        <f>IF(SER_hh_emih!M17=0,0,SER_hh_emih!M17/SER_summary!M$26)</f>
        <v>3.9210516201084773</v>
      </c>
      <c r="N17" s="132">
        <f>IF(SER_hh_emih!N17=0,0,SER_hh_emih!N17/SER_summary!N$26)</f>
        <v>3.7328581965920797</v>
      </c>
      <c r="O17" s="132">
        <f>IF(SER_hh_emih!O17=0,0,SER_hh_emih!O17/SER_summary!O$26)</f>
        <v>3.9394795955007091</v>
      </c>
      <c r="P17" s="132">
        <f>IF(SER_hh_emih!P17=0,0,SER_hh_emih!P17/SER_summary!P$26)</f>
        <v>3.4265356472709128</v>
      </c>
      <c r="Q17" s="132">
        <f>IF(SER_hh_emih!Q17=0,0,SER_hh_emih!Q17/SER_summary!Q$26)</f>
        <v>4.1282328524640484</v>
      </c>
      <c r="R17" s="132">
        <f>IF(SER_hh_emih!R17=0,0,SER_hh_emih!R17/SER_summary!R$26)</f>
        <v>3.3847112105759805</v>
      </c>
      <c r="S17" s="132">
        <f>IF(SER_hh_emih!S17=0,0,SER_hh_emih!S17/SER_summary!S$26)</f>
        <v>3.5730749993583952</v>
      </c>
      <c r="T17" s="132">
        <f>IF(SER_hh_emih!T17=0,0,SER_hh_emih!T17/SER_summary!T$26)</f>
        <v>3.4759506471811341</v>
      </c>
      <c r="U17" s="132">
        <f>IF(SER_hh_emih!U17=0,0,SER_hh_emih!U17/SER_summary!U$26)</f>
        <v>3.5243691286898176</v>
      </c>
      <c r="V17" s="132">
        <f>IF(SER_hh_emih!V17=0,0,SER_hh_emih!V17/SER_summary!V$26)</f>
        <v>3.1045790128160577</v>
      </c>
      <c r="W17" s="132">
        <f>IF(SER_hh_emih!W17=0,0,SER_hh_emih!W17/SER_summary!W$26)</f>
        <v>3.2571622352234764</v>
      </c>
      <c r="X17" s="132">
        <f>IF(SER_hh_emih!X17=0,0,SER_hh_emih!X17/SER_summary!X$26)</f>
        <v>3.3140041790266999</v>
      </c>
      <c r="Y17" s="132">
        <f>IF(SER_hh_emih!Y17=0,0,SER_hh_emih!Y17/SER_summary!Y$26)</f>
        <v>3.4061076893205522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2.3547895339187033</v>
      </c>
      <c r="C19" s="130">
        <f>IF(SER_hh_emih!C19=0,0,SER_hh_emih!C19/SER_summary!C$26)</f>
        <v>2.3766694828560624</v>
      </c>
      <c r="D19" s="130">
        <f>IF(SER_hh_emih!D19=0,0,SER_hh_emih!D19/SER_summary!D$26)</f>
        <v>2.3491450689573048</v>
      </c>
      <c r="E19" s="130">
        <f>IF(SER_hh_emih!E19=0,0,SER_hh_emih!E19/SER_summary!E$26)</f>
        <v>2.343217635951842</v>
      </c>
      <c r="F19" s="130">
        <f>IF(SER_hh_emih!F19=0,0,SER_hh_emih!F19/SER_summary!F$26)</f>
        <v>2.287462061452902</v>
      </c>
      <c r="G19" s="130">
        <f>IF(SER_hh_emih!G19=0,0,SER_hh_emih!G19/SER_summary!G$26)</f>
        <v>2.2297541769757547</v>
      </c>
      <c r="H19" s="130">
        <f>IF(SER_hh_emih!H19=0,0,SER_hh_emih!H19/SER_summary!H$26)</f>
        <v>2.0685035543383554</v>
      </c>
      <c r="I19" s="130">
        <f>IF(SER_hh_emih!I19=0,0,SER_hh_emih!I19/SER_summary!I$26)</f>
        <v>1.9350081620110908</v>
      </c>
      <c r="J19" s="130">
        <f>IF(SER_hh_emih!J19=0,0,SER_hh_emih!J19/SER_summary!J$26)</f>
        <v>1.763187902422543</v>
      </c>
      <c r="K19" s="130">
        <f>IF(SER_hh_emih!K19=0,0,SER_hh_emih!K19/SER_summary!K$26)</f>
        <v>1.7201229870683361</v>
      </c>
      <c r="L19" s="130">
        <f>IF(SER_hh_emih!L19=0,0,SER_hh_emih!L19/SER_summary!L$26)</f>
        <v>1.4509638720573068</v>
      </c>
      <c r="M19" s="130">
        <f>IF(SER_hh_emih!M19=0,0,SER_hh_emih!M19/SER_summary!M$26)</f>
        <v>1.3268460590411146</v>
      </c>
      <c r="N19" s="130">
        <f>IF(SER_hh_emih!N19=0,0,SER_hh_emih!N19/SER_summary!N$26)</f>
        <v>1.0506345117097506</v>
      </c>
      <c r="O19" s="130">
        <f>IF(SER_hh_emih!O19=0,0,SER_hh_emih!O19/SER_summary!O$26)</f>
        <v>1.028884276338391</v>
      </c>
      <c r="P19" s="130">
        <f>IF(SER_hh_emih!P19=0,0,SER_hh_emih!P19/SER_summary!P$26)</f>
        <v>0.98579998264764845</v>
      </c>
      <c r="Q19" s="130">
        <f>IF(SER_hh_emih!Q19=0,0,SER_hh_emih!Q19/SER_summary!Q$26)</f>
        <v>0.955179848683259</v>
      </c>
      <c r="R19" s="130">
        <f>IF(SER_hh_emih!R19=0,0,SER_hh_emih!R19/SER_summary!R$26)</f>
        <v>0.92911367081516982</v>
      </c>
      <c r="S19" s="130">
        <f>IF(SER_hh_emih!S19=0,0,SER_hh_emih!S19/SER_summary!S$26)</f>
        <v>0.90765964545970967</v>
      </c>
      <c r="T19" s="130">
        <f>IF(SER_hh_emih!T19=0,0,SER_hh_emih!T19/SER_summary!T$26)</f>
        <v>0.86922856494558409</v>
      </c>
      <c r="U19" s="130">
        <f>IF(SER_hh_emih!U19=0,0,SER_hh_emih!U19/SER_summary!U$26)</f>
        <v>0.82721377609108038</v>
      </c>
      <c r="V19" s="130">
        <f>IF(SER_hh_emih!V19=0,0,SER_hh_emih!V19/SER_summary!V$26)</f>
        <v>0.74565394201258572</v>
      </c>
      <c r="W19" s="130">
        <f>IF(SER_hh_emih!W19=0,0,SER_hh_emih!W19/SER_summary!W$26)</f>
        <v>0.78998042507971766</v>
      </c>
      <c r="X19" s="130">
        <f>IF(SER_hh_emih!X19=0,0,SER_hh_emih!X19/SER_summary!X$26)</f>
        <v>0.85692764807957356</v>
      </c>
      <c r="Y19" s="130">
        <f>IF(SER_hh_emih!Y19=0,0,SER_hh_emih!Y19/SER_summary!Y$26)</f>
        <v>0.88816468178250119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5.3205213650633105</v>
      </c>
      <c r="C21" s="132">
        <f>IF(SER_hh_emih!C21=0,0,SER_hh_emih!C21/SER_summary!C$26)</f>
        <v>5.7547099542204148</v>
      </c>
      <c r="D21" s="132">
        <f>IF(SER_hh_emih!D21=0,0,SER_hh_emih!D21/SER_summary!D$26)</f>
        <v>5.5643589157730799</v>
      </c>
      <c r="E21" s="132">
        <f>IF(SER_hh_emih!E21=0,0,SER_hh_emih!E21/SER_summary!E$26)</f>
        <v>5.6568804739270719</v>
      </c>
      <c r="F21" s="132">
        <f>IF(SER_hh_emih!F21=0,0,SER_hh_emih!F21/SER_summary!F$26)</f>
        <v>5.6654841735022545</v>
      </c>
      <c r="G21" s="132">
        <f>IF(SER_hh_emih!G21=0,0,SER_hh_emih!G21/SER_summary!G$26)</f>
        <v>5.7123585271142252</v>
      </c>
      <c r="H21" s="132">
        <f>IF(SER_hh_emih!H21=0,0,SER_hh_emih!H21/SER_summary!H$26)</f>
        <v>5.7877509704122891</v>
      </c>
      <c r="I21" s="132">
        <f>IF(SER_hh_emih!I21=0,0,SER_hh_emih!I21/SER_summary!I$26)</f>
        <v>5.8967526992997596</v>
      </c>
      <c r="J21" s="132">
        <f>IF(SER_hh_emih!J21=0,0,SER_hh_emih!J21/SER_summary!J$26)</f>
        <v>5.9851785123257075</v>
      </c>
      <c r="K21" s="132">
        <f>IF(SER_hh_emih!K21=0,0,SER_hh_emih!K21/SER_summary!K$26)</f>
        <v>6.2827801181579073</v>
      </c>
      <c r="L21" s="132">
        <f>IF(SER_hh_emih!L21=0,0,SER_hh_emih!L21/SER_summary!L$26)</f>
        <v>5.8260988799160733</v>
      </c>
      <c r="M21" s="132">
        <f>IF(SER_hh_emih!M21=0,0,SER_hh_emih!M21/SER_summary!M$26)</f>
        <v>6.424099720994513</v>
      </c>
      <c r="N21" s="132">
        <f>IF(SER_hh_emih!N21=0,0,SER_hh_emih!N21/SER_summary!N$26)</f>
        <v>0</v>
      </c>
      <c r="O21" s="132">
        <f>IF(SER_hh_emih!O21=0,0,SER_hh_emih!O21/SER_summary!O$26)</f>
        <v>0</v>
      </c>
      <c r="P21" s="132">
        <f>IF(SER_hh_emih!P21=0,0,SER_hh_emih!P21/SER_summary!P$26)</f>
        <v>0</v>
      </c>
      <c r="Q21" s="132">
        <f>IF(SER_hh_emih!Q21=0,0,SER_hh_emih!Q21/SER_summary!Q$26)</f>
        <v>0</v>
      </c>
      <c r="R21" s="132">
        <f>IF(SER_hh_emih!R21=0,0,SER_hh_emih!R21/SER_summary!R$26)</f>
        <v>0</v>
      </c>
      <c r="S21" s="132">
        <f>IF(SER_hh_emih!S21=0,0,SER_hh_emih!S21/SER_summary!S$26)</f>
        <v>0</v>
      </c>
      <c r="T21" s="132">
        <f>IF(SER_hh_emih!T21=0,0,SER_hh_emih!T21/SER_summary!T$26)</f>
        <v>0</v>
      </c>
      <c r="U21" s="132">
        <f>IF(SER_hh_emih!U21=0,0,SER_hh_emih!U21/SER_summary!U$26)</f>
        <v>0</v>
      </c>
      <c r="V21" s="132">
        <f>IF(SER_hh_emih!V21=0,0,SER_hh_emih!V21/SER_summary!V$26)</f>
        <v>0</v>
      </c>
      <c r="W21" s="132">
        <f>IF(SER_hh_emih!W21=0,0,SER_hh_emih!W21/SER_summary!W$26)</f>
        <v>0</v>
      </c>
      <c r="X21" s="132">
        <f>IF(SER_hh_emih!X21=0,0,SER_hh_emih!X21/SER_summary!X$26)</f>
        <v>0</v>
      </c>
      <c r="Y21" s="132">
        <f>IF(SER_hh_emih!Y21=0,0,SER_hh_emih!Y21/SER_summary!Y$26)</f>
        <v>0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7.1141056602964223</v>
      </c>
      <c r="C22" s="132">
        <f>IF(SER_hh_emih!C22=0,0,SER_hh_emih!C22/SER_summary!C$26)</f>
        <v>7.1303093344948492</v>
      </c>
      <c r="D22" s="132">
        <f>IF(SER_hh_emih!D22=0,0,SER_hh_emih!D22/SER_summary!D$26)</f>
        <v>7.1035185630767028</v>
      </c>
      <c r="E22" s="132">
        <f>IF(SER_hh_emih!E22=0,0,SER_hh_emih!E22/SER_summary!E$26)</f>
        <v>7.1433958812321414</v>
      </c>
      <c r="F22" s="132">
        <f>IF(SER_hh_emih!F22=0,0,SER_hh_emih!F22/SER_summary!F$26)</f>
        <v>7.2335357291620692</v>
      </c>
      <c r="G22" s="132">
        <f>IF(SER_hh_emih!G22=0,0,SER_hh_emih!G22/SER_summary!G$26)</f>
        <v>7.2006821375821097</v>
      </c>
      <c r="H22" s="132">
        <f>IF(SER_hh_emih!H22=0,0,SER_hh_emih!H22/SER_summary!H$26)</f>
        <v>7.1950775235203865</v>
      </c>
      <c r="I22" s="132">
        <f>IF(SER_hh_emih!I22=0,0,SER_hh_emih!I22/SER_summary!I$26)</f>
        <v>7.3582717153333634</v>
      </c>
      <c r="J22" s="132">
        <f>IF(SER_hh_emih!J22=0,0,SER_hh_emih!J22/SER_summary!J$26)</f>
        <v>7.1651195412018875</v>
      </c>
      <c r="K22" s="132">
        <f>IF(SER_hh_emih!K22=0,0,SER_hh_emih!K22/SER_summary!K$26)</f>
        <v>7.509592004603924</v>
      </c>
      <c r="L22" s="132">
        <f>IF(SER_hh_emih!L22=0,0,SER_hh_emih!L22/SER_summary!L$26)</f>
        <v>6.8774946418173899</v>
      </c>
      <c r="M22" s="132">
        <f>IF(SER_hh_emih!M22=0,0,SER_hh_emih!M22/SER_summary!M$26)</f>
        <v>7.0511628986753303</v>
      </c>
      <c r="N22" s="132">
        <f>IF(SER_hh_emih!N22=0,0,SER_hh_emih!N22/SER_summary!N$26)</f>
        <v>6.5968327831946283</v>
      </c>
      <c r="O22" s="132">
        <f>IF(SER_hh_emih!O22=0,0,SER_hh_emih!O22/SER_summary!O$26)</f>
        <v>6.827419766101837</v>
      </c>
      <c r="P22" s="132">
        <f>IF(SER_hh_emih!P22=0,0,SER_hh_emih!P22/SER_summary!P$26)</f>
        <v>6.8589029768679559</v>
      </c>
      <c r="Q22" s="132">
        <f>IF(SER_hh_emih!Q22=0,0,SER_hh_emih!Q22/SER_summary!Q$26)</f>
        <v>6.7670460610708902</v>
      </c>
      <c r="R22" s="132">
        <f>IF(SER_hh_emih!R22=0,0,SER_hh_emih!R22/SER_summary!R$26)</f>
        <v>6.7315132043301782</v>
      </c>
      <c r="S22" s="132">
        <f>IF(SER_hh_emih!S22=0,0,SER_hh_emih!S22/SER_summary!S$26)</f>
        <v>6.6226073194903909</v>
      </c>
      <c r="T22" s="132">
        <f>IF(SER_hh_emih!T22=0,0,SER_hh_emih!T22/SER_summary!T$26)</f>
        <v>6.2566671516739714</v>
      </c>
      <c r="U22" s="132">
        <f>IF(SER_hh_emih!U22=0,0,SER_hh_emih!U22/SER_summary!U$26)</f>
        <v>5.9231824209719885</v>
      </c>
      <c r="V22" s="132">
        <f>IF(SER_hh_emih!V22=0,0,SER_hh_emih!V22/SER_summary!V$26)</f>
        <v>5.2497805280794756</v>
      </c>
      <c r="W22" s="132">
        <f>IF(SER_hh_emih!W22=0,0,SER_hh_emih!W22/SER_summary!W$26)</f>
        <v>5.2978733059464336</v>
      </c>
      <c r="X22" s="132">
        <f>IF(SER_hh_emih!X22=0,0,SER_hh_emih!X22/SER_summary!X$26)</f>
        <v>5.2832420686299741</v>
      </c>
      <c r="Y22" s="132">
        <f>IF(SER_hh_emih!Y22=0,0,SER_hh_emih!Y22/SER_summary!Y$26)</f>
        <v>5.2902717281906462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5.159332824959983</v>
      </c>
      <c r="C23" s="132">
        <f>IF(SER_hh_emih!C23=0,0,SER_hh_emih!C23/SER_summary!C$26)</f>
        <v>5.1539323192676365</v>
      </c>
      <c r="D23" s="132">
        <f>IF(SER_hh_emih!D23=0,0,SER_hh_emih!D23/SER_summary!D$26)</f>
        <v>5.1150174718985975</v>
      </c>
      <c r="E23" s="132">
        <f>IF(SER_hh_emih!E23=0,0,SER_hh_emih!E23/SER_summary!E$26)</f>
        <v>5.0787520461960129</v>
      </c>
      <c r="F23" s="132">
        <f>IF(SER_hh_emih!F23=0,0,SER_hh_emih!F23/SER_summary!F$26)</f>
        <v>5.0743138554369152</v>
      </c>
      <c r="G23" s="132">
        <f>IF(SER_hh_emih!G23=0,0,SER_hh_emih!G23/SER_summary!G$26)</f>
        <v>5.1036268159682328</v>
      </c>
      <c r="H23" s="132">
        <f>IF(SER_hh_emih!H23=0,0,SER_hh_emih!H23/SER_summary!H$26)</f>
        <v>5.1160919004563512</v>
      </c>
      <c r="I23" s="132">
        <f>IF(SER_hh_emih!I23=0,0,SER_hh_emih!I23/SER_summary!I$26)</f>
        <v>5.1052722346853079</v>
      </c>
      <c r="J23" s="132">
        <f>IF(SER_hh_emih!J23=0,0,SER_hh_emih!J23/SER_summary!J$26)</f>
        <v>5.0611240749729944</v>
      </c>
      <c r="K23" s="132">
        <f>IF(SER_hh_emih!K23=0,0,SER_hh_emih!K23/SER_summary!K$26)</f>
        <v>5.0382458313088705</v>
      </c>
      <c r="L23" s="132">
        <f>IF(SER_hh_emih!L23=0,0,SER_hh_emih!L23/SER_summary!L$26)</f>
        <v>4.8675567139495728</v>
      </c>
      <c r="M23" s="132">
        <f>IF(SER_hh_emih!M23=0,0,SER_hh_emih!M23/SER_summary!M$26)</f>
        <v>4.7320076047441511</v>
      </c>
      <c r="N23" s="132">
        <f>IF(SER_hh_emih!N23=0,0,SER_hh_emih!N23/SER_summary!N$26)</f>
        <v>4.6510642320592455</v>
      </c>
      <c r="O23" s="132">
        <f>IF(SER_hh_emih!O23=0,0,SER_hh_emih!O23/SER_summary!O$26)</f>
        <v>4.6858778668047227</v>
      </c>
      <c r="P23" s="132">
        <f>IF(SER_hh_emih!P23=0,0,SER_hh_emih!P23/SER_summary!P$26)</f>
        <v>4.6714075007542899</v>
      </c>
      <c r="Q23" s="132">
        <f>IF(SER_hh_emih!Q23=0,0,SER_hh_emih!Q23/SER_summary!Q$26)</f>
        <v>4.701317508721746</v>
      </c>
      <c r="R23" s="132">
        <f>IF(SER_hh_emih!R23=0,0,SER_hh_emih!R23/SER_summary!R$26)</f>
        <v>4.6149246690955588</v>
      </c>
      <c r="S23" s="132">
        <f>IF(SER_hh_emih!S23=0,0,SER_hh_emih!S23/SER_summary!S$26)</f>
        <v>4.4513982768366454</v>
      </c>
      <c r="T23" s="132">
        <f>IF(SER_hh_emih!T23=0,0,SER_hh_emih!T23/SER_summary!T$26)</f>
        <v>4.280589812075398</v>
      </c>
      <c r="U23" s="132">
        <f>IF(SER_hh_emih!U23=0,0,SER_hh_emih!U23/SER_summary!U$26)</f>
        <v>4.0602188470396072</v>
      </c>
      <c r="V23" s="132">
        <f>IF(SER_hh_emih!V23=0,0,SER_hh_emih!V23/SER_summary!V$26)</f>
        <v>3.6756628493653767</v>
      </c>
      <c r="W23" s="132">
        <f>IF(SER_hh_emih!W23=0,0,SER_hh_emih!W23/SER_summary!W$26)</f>
        <v>3.6725342401503287</v>
      </c>
      <c r="X23" s="132">
        <f>IF(SER_hh_emih!X23=0,0,SER_hh_emih!X23/SER_summary!X$26)</f>
        <v>3.8014542817059471</v>
      </c>
      <c r="Y23" s="132">
        <f>IF(SER_hh_emih!Y23=0,0,SER_hh_emih!Y23/SER_summary!Y$26)</f>
        <v>3.8359343519771802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2.631647057841052</v>
      </c>
      <c r="C24" s="132">
        <f>IF(SER_hh_emih!C24=0,0,SER_hh_emih!C24/SER_summary!C$26)</f>
        <v>2.7631007088171722</v>
      </c>
      <c r="D24" s="132">
        <f>IF(SER_hh_emih!D24=0,0,SER_hh_emih!D24/SER_summary!D$26)</f>
        <v>2.689374145712347</v>
      </c>
      <c r="E24" s="132">
        <f>IF(SER_hh_emih!E24=0,0,SER_hh_emih!E24/SER_summary!E$26)</f>
        <v>2.4205670132725303</v>
      </c>
      <c r="F24" s="132">
        <f>IF(SER_hh_emih!F24=0,0,SER_hh_emih!F24/SER_summary!F$26)</f>
        <v>1.795806938040718</v>
      </c>
      <c r="G24" s="132">
        <f>IF(SER_hh_emih!G24=0,0,SER_hh_emih!G24/SER_summary!G$26)</f>
        <v>4.4606631706727438</v>
      </c>
      <c r="H24" s="132">
        <f>IF(SER_hh_emih!H24=0,0,SER_hh_emih!H24/SER_summary!H$26)</f>
        <v>2.7799178344469628</v>
      </c>
      <c r="I24" s="132">
        <f>IF(SER_hh_emih!I24=0,0,SER_hh_emih!I24/SER_summary!I$26)</f>
        <v>1.3304846768535752</v>
      </c>
      <c r="J24" s="132">
        <f>IF(SER_hh_emih!J24=0,0,SER_hh_emih!J24/SER_summary!J$26)</f>
        <v>0.25870140319713408</v>
      </c>
      <c r="K24" s="132">
        <f>IF(SER_hh_emih!K24=0,0,SER_hh_emih!K24/SER_summary!K$26)</f>
        <v>0.25785923440066288</v>
      </c>
      <c r="L24" s="132">
        <f>IF(SER_hh_emih!L24=0,0,SER_hh_emih!L24/SER_summary!L$26)</f>
        <v>0.22361692685238616</v>
      </c>
      <c r="M24" s="132">
        <f>IF(SER_hh_emih!M24=0,0,SER_hh_emih!M24/SER_summary!M$26)</f>
        <v>0.22435761907197474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1.2290411153198835</v>
      </c>
      <c r="C29" s="130">
        <f>IF(SER_hh_emih!C29=0,0,SER_hh_emih!C29/SER_summary!C$26)</f>
        <v>1.4928385236822621</v>
      </c>
      <c r="D29" s="130">
        <f>IF(SER_hh_emih!D29=0,0,SER_hh_emih!D29/SER_summary!D$26)</f>
        <v>2.1846738016602276</v>
      </c>
      <c r="E29" s="130">
        <f>IF(SER_hh_emih!E29=0,0,SER_hh_emih!E29/SER_summary!E$26)</f>
        <v>2.4610807714187466</v>
      </c>
      <c r="F29" s="130">
        <f>IF(SER_hh_emih!F29=0,0,SER_hh_emih!F29/SER_summary!F$26)</f>
        <v>2.7616455581540826</v>
      </c>
      <c r="G29" s="130">
        <f>IF(SER_hh_emih!G29=0,0,SER_hh_emih!G29/SER_summary!G$26)</f>
        <v>2.4216677597041287</v>
      </c>
      <c r="H29" s="130">
        <f>IF(SER_hh_emih!H29=0,0,SER_hh_emih!H29/SER_summary!H$26)</f>
        <v>2.3648984328976774</v>
      </c>
      <c r="I29" s="130">
        <f>IF(SER_hh_emih!I29=0,0,SER_hh_emih!I29/SER_summary!I$26)</f>
        <v>1.9903279664304723</v>
      </c>
      <c r="J29" s="130">
        <f>IF(SER_hh_emih!J29=0,0,SER_hh_emih!J29/SER_summary!J$26)</f>
        <v>1.8200160577500013</v>
      </c>
      <c r="K29" s="130">
        <f>IF(SER_hh_emih!K29=0,0,SER_hh_emih!K29/SER_summary!K$26)</f>
        <v>2.0302416939473393</v>
      </c>
      <c r="L29" s="130">
        <f>IF(SER_hh_emih!L29=0,0,SER_hh_emih!L29/SER_summary!L$26)</f>
        <v>2.4034689427400044</v>
      </c>
      <c r="M29" s="130">
        <f>IF(SER_hh_emih!M29=0,0,SER_hh_emih!M29/SER_summary!M$26)</f>
        <v>2.2568526085596021</v>
      </c>
      <c r="N29" s="130">
        <f>IF(SER_hh_emih!N29=0,0,SER_hh_emih!N29/SER_summary!N$26)</f>
        <v>1.5294687732696823</v>
      </c>
      <c r="O29" s="130">
        <f>IF(SER_hh_emih!O29=0,0,SER_hh_emih!O29/SER_summary!O$26)</f>
        <v>1.5376624601549229</v>
      </c>
      <c r="P29" s="130">
        <f>IF(SER_hh_emih!P29=0,0,SER_hh_emih!P29/SER_summary!P$26)</f>
        <v>1.5386454122667801</v>
      </c>
      <c r="Q29" s="130">
        <f>IF(SER_hh_emih!Q29=0,0,SER_hh_emih!Q29/SER_summary!Q$26)</f>
        <v>1.5438065990121919</v>
      </c>
      <c r="R29" s="130">
        <f>IF(SER_hh_emih!R29=0,0,SER_hh_emih!R29/SER_summary!R$26)</f>
        <v>1.5185202222255885</v>
      </c>
      <c r="S29" s="130">
        <f>IF(SER_hh_emih!S29=0,0,SER_hh_emih!S29/SER_summary!S$26)</f>
        <v>1.5824487438703596</v>
      </c>
      <c r="T29" s="130">
        <f>IF(SER_hh_emih!T29=0,0,SER_hh_emih!T29/SER_summary!T$26)</f>
        <v>1.5619607621129614</v>
      </c>
      <c r="U29" s="130">
        <f>IF(SER_hh_emih!U29=0,0,SER_hh_emih!U29/SER_summary!U$26)</f>
        <v>1.6018855872207349</v>
      </c>
      <c r="V29" s="130">
        <f>IF(SER_hh_emih!V29=0,0,SER_hh_emih!V29/SER_summary!V$26)</f>
        <v>1.4755365990768086</v>
      </c>
      <c r="W29" s="130">
        <f>IF(SER_hh_emih!W29=0,0,SER_hh_emih!W29/SER_summary!W$26)</f>
        <v>1.542604019983443</v>
      </c>
      <c r="X29" s="130">
        <f>IF(SER_hh_emih!X29=0,0,SER_hh_emih!X29/SER_summary!X$26)</f>
        <v>1.4980978086737233</v>
      </c>
      <c r="Y29" s="130">
        <f>IF(SER_hh_emih!Y29=0,0,SER_hh_emih!Y29/SER_summary!Y$26)</f>
        <v>1.5780924507770626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1.7360206162417633</v>
      </c>
      <c r="C30" s="132">
        <f>IF(SER_hh_emih!C30=0,0,SER_hh_emih!C30/SER_summary!C$26)</f>
        <v>2.7329425560519076</v>
      </c>
      <c r="D30" s="132">
        <f>IF(SER_hh_emih!D30=0,0,SER_hh_emih!D30/SER_summary!D$26)</f>
        <v>5.6426827327562563</v>
      </c>
      <c r="E30" s="132">
        <f>IF(SER_hh_emih!E30=0,0,SER_hh_emih!E30/SER_summary!E$26)</f>
        <v>5.8990571009126356</v>
      </c>
      <c r="F30" s="132">
        <f>IF(SER_hh_emih!F30=0,0,SER_hh_emih!F30/SER_summary!F$26)</f>
        <v>7.0488122147493311</v>
      </c>
      <c r="G30" s="132">
        <f>IF(SER_hh_emih!G30=0,0,SER_hh_emih!G30/SER_summary!G$26)</f>
        <v>5.2310672280273245</v>
      </c>
      <c r="H30" s="132">
        <f>IF(SER_hh_emih!H30=0,0,SER_hh_emih!H30/SER_summary!H$26)</f>
        <v>5.5638555226777378</v>
      </c>
      <c r="I30" s="132">
        <f>IF(SER_hh_emih!I30=0,0,SER_hh_emih!I30/SER_summary!I$26)</f>
        <v>4.6543362613703332</v>
      </c>
      <c r="J30" s="132">
        <f>IF(SER_hh_emih!J30=0,0,SER_hh_emih!J30/SER_summary!J$26)</f>
        <v>3.4702776740765495</v>
      </c>
      <c r="K30" s="132">
        <f>IF(SER_hh_emih!K30=0,0,SER_hh_emih!K30/SER_summary!K$26)</f>
        <v>4.3337324235740287</v>
      </c>
      <c r="L30" s="132">
        <f>IF(SER_hh_emih!L30=0,0,SER_hh_emih!L30/SER_summary!L$26)</f>
        <v>7.2181615912739945</v>
      </c>
      <c r="M30" s="132">
        <f>IF(SER_hh_emih!M30=0,0,SER_hh_emih!M30/SER_summary!M$26)</f>
        <v>7.0760277608545286</v>
      </c>
      <c r="N30" s="132">
        <f>IF(SER_hh_emih!N30=0,0,SER_hh_emih!N30/SER_summary!N$26)</f>
        <v>1.2484269287183465</v>
      </c>
      <c r="O30" s="132">
        <f>IF(SER_hh_emih!O30=0,0,SER_hh_emih!O30/SER_summary!O$26)</f>
        <v>2.6151326701924456</v>
      </c>
      <c r="P30" s="132">
        <f>IF(SER_hh_emih!P30=0,0,SER_hh_emih!P30/SER_summary!P$26)</f>
        <v>4.8469397656173179</v>
      </c>
      <c r="Q30" s="132">
        <f>IF(SER_hh_emih!Q30=0,0,SER_hh_emih!Q30/SER_summary!Q$26)</f>
        <v>4.8013585957010916</v>
      </c>
      <c r="R30" s="132">
        <f>IF(SER_hh_emih!R30=0,0,SER_hh_emih!R30/SER_summary!R$26)</f>
        <v>3.5303097703327144</v>
      </c>
      <c r="S30" s="132">
        <f>IF(SER_hh_emih!S30=0,0,SER_hh_emih!S30/SER_summary!S$26)</f>
        <v>6.4836918629040916</v>
      </c>
      <c r="T30" s="132">
        <f>IF(SER_hh_emih!T30=0,0,SER_hh_emih!T30/SER_summary!T$26)</f>
        <v>5.2204367615095002</v>
      </c>
      <c r="U30" s="132">
        <f>IF(SER_hh_emih!U30=0,0,SER_hh_emih!U30/SER_summary!U$26)</f>
        <v>5.1959304075199348</v>
      </c>
      <c r="V30" s="132">
        <f>IF(SER_hh_emih!V30=0,0,SER_hh_emih!V30/SER_summary!V$26)</f>
        <v>4.983497528246648</v>
      </c>
      <c r="W30" s="132">
        <f>IF(SER_hh_emih!W30=0,0,SER_hh_emih!W30/SER_summary!W$26)</f>
        <v>6.006812437752874</v>
      </c>
      <c r="X30" s="132">
        <f>IF(SER_hh_emih!X30=0,0,SER_hh_emih!X30/SER_summary!X$26)</f>
        <v>5.5799247185257528</v>
      </c>
      <c r="Y30" s="132">
        <f>IF(SER_hh_emih!Y30=0,0,SER_hh_emih!Y30/SER_summary!Y$26)</f>
        <v>3.4208321274275231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3.9825857533562208</v>
      </c>
      <c r="C31" s="132">
        <f>IF(SER_hh_emih!C31=0,0,SER_hh_emih!C31/SER_summary!C$26)</f>
        <v>4.2650897991470096</v>
      </c>
      <c r="D31" s="132">
        <f>IF(SER_hh_emih!D31=0,0,SER_hh_emih!D31/SER_summary!D$26)</f>
        <v>4.4277841467511747</v>
      </c>
      <c r="E31" s="132">
        <f>IF(SER_hh_emih!E31=0,0,SER_hh_emih!E31/SER_summary!E$26)</f>
        <v>4.4818565974547901</v>
      </c>
      <c r="F31" s="132">
        <f>IF(SER_hh_emih!F31=0,0,SER_hh_emih!F31/SER_summary!F$26)</f>
        <v>4.5878996159330176</v>
      </c>
      <c r="G31" s="132">
        <f>IF(SER_hh_emih!G31=0,0,SER_hh_emih!G31/SER_summary!G$26)</f>
        <v>4.5602814087506403</v>
      </c>
      <c r="H31" s="132">
        <f>IF(SER_hh_emih!H31=0,0,SER_hh_emih!H31/SER_summary!H$26)</f>
        <v>4.4955549560762114</v>
      </c>
      <c r="I31" s="132">
        <f>IF(SER_hh_emih!I31=0,0,SER_hh_emih!I31/SER_summary!I$26)</f>
        <v>4.4348773192156621</v>
      </c>
      <c r="J31" s="132">
        <f>IF(SER_hh_emih!J31=0,0,SER_hh_emih!J31/SER_summary!J$26)</f>
        <v>4.4307198384324282</v>
      </c>
      <c r="K31" s="132">
        <f>IF(SER_hh_emih!K31=0,0,SER_hh_emih!K31/SER_summary!K$26)</f>
        <v>4.534321700175993</v>
      </c>
      <c r="L31" s="132">
        <f>IF(SER_hh_emih!L31=0,0,SER_hh_emih!L31/SER_summary!L$26)</f>
        <v>4.5680417938506386</v>
      </c>
      <c r="M31" s="132">
        <f>IF(SER_hh_emih!M31=0,0,SER_hh_emih!M31/SER_summary!M$26)</f>
        <v>4.5649012178582096</v>
      </c>
      <c r="N31" s="132">
        <f>IF(SER_hh_emih!N31=0,0,SER_hh_emih!N31/SER_summary!N$26)</f>
        <v>4.5585006199066678</v>
      </c>
      <c r="O31" s="132">
        <f>IF(SER_hh_emih!O31=0,0,SER_hh_emih!O31/SER_summary!O$26)</f>
        <v>4.582069033232024</v>
      </c>
      <c r="P31" s="132">
        <f>IF(SER_hh_emih!P31=0,0,SER_hh_emih!P31/SER_summary!P$26)</f>
        <v>4.6209483678978494</v>
      </c>
      <c r="Q31" s="132">
        <f>IF(SER_hh_emih!Q31=0,0,SER_hh_emih!Q31/SER_summary!Q$26)</f>
        <v>4.6209126754571086</v>
      </c>
      <c r="R31" s="132">
        <f>IF(SER_hh_emih!R31=0,0,SER_hh_emih!R31/SER_summary!R$26)</f>
        <v>4.5978488457291968</v>
      </c>
      <c r="S31" s="132">
        <f>IF(SER_hh_emih!S31=0,0,SER_hh_emih!S31/SER_summary!S$26)</f>
        <v>4.5634207080182776</v>
      </c>
      <c r="T31" s="132">
        <f>IF(SER_hh_emih!T31=0,0,SER_hh_emih!T31/SER_summary!T$26)</f>
        <v>4.5401453110972056</v>
      </c>
      <c r="U31" s="132">
        <f>IF(SER_hh_emih!U31=0,0,SER_hh_emih!U31/SER_summary!U$26)</f>
        <v>4.6191806832955837</v>
      </c>
      <c r="V31" s="132">
        <f>IF(SER_hh_emih!V31=0,0,SER_hh_emih!V31/SER_summary!V$26)</f>
        <v>4.2472593413864255</v>
      </c>
      <c r="W31" s="132">
        <f>IF(SER_hh_emih!W31=0,0,SER_hh_emih!W31/SER_summary!W$26)</f>
        <v>4.3162969060459355</v>
      </c>
      <c r="X31" s="132">
        <f>IF(SER_hh_emih!X31=0,0,SER_hh_emih!X31/SER_summary!X$26)</f>
        <v>4.2025450388200545</v>
      </c>
      <c r="Y31" s="132">
        <f>IF(SER_hh_emih!Y31=0,0,SER_hh_emih!Y31/SER_summary!Y$26)</f>
        <v>4.6202364051499698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1.9259803459940299</v>
      </c>
      <c r="C32" s="132">
        <f>IF(SER_hh_emih!C32=0,0,SER_hh_emih!C32/SER_summary!C$26)</f>
        <v>2.0573510338128216</v>
      </c>
      <c r="D32" s="132">
        <f>IF(SER_hh_emih!D32=0,0,SER_hh_emih!D32/SER_summary!D$26)</f>
        <v>2.1846937322024114</v>
      </c>
      <c r="E32" s="132">
        <f>IF(SER_hh_emih!E32=0,0,SER_hh_emih!E32/SER_summary!E$26)</f>
        <v>2.0126806556284036</v>
      </c>
      <c r="F32" s="132">
        <f>IF(SER_hh_emih!F32=0,0,SER_hh_emih!F32/SER_summary!F$26)</f>
        <v>1.5489358405757361</v>
      </c>
      <c r="G32" s="132">
        <f>IF(SER_hh_emih!G32=0,0,SER_hh_emih!G32/SER_summary!G$26)</f>
        <v>3.8348967574883153</v>
      </c>
      <c r="H32" s="132">
        <f>IF(SER_hh_emih!H32=0,0,SER_hh_emih!H32/SER_summary!H$26)</f>
        <v>2.3866502488783738</v>
      </c>
      <c r="I32" s="132">
        <f>IF(SER_hh_emih!I32=0,0,SER_hh_emih!I32/SER_summary!I$26)</f>
        <v>1.1607954107860468</v>
      </c>
      <c r="J32" s="132">
        <f>IF(SER_hh_emih!J32=0,0,SER_hh_emih!J32/SER_summary!J$26)</f>
        <v>0.22862020231773958</v>
      </c>
      <c r="K32" s="132">
        <f>IF(SER_hh_emih!K32=0,0,SER_hh_emih!K32/SER_summary!K$26)</f>
        <v>0.2332098815327231</v>
      </c>
      <c r="L32" s="132">
        <f>IF(SER_hh_emih!L32=0,0,SER_hh_emih!L32/SER_summary!L$26)</f>
        <v>0.22322068154346505</v>
      </c>
      <c r="M32" s="132">
        <f>IF(SER_hh_emih!M32=0,0,SER_hh_emih!M32/SER_summary!M$26)</f>
        <v>0.22598645310300994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1710.5999254616538</v>
      </c>
      <c r="D3" s="124">
        <f t="shared" si="0"/>
        <v>2247.5588347711182</v>
      </c>
      <c r="E3" s="124">
        <f t="shared" si="0"/>
        <v>1793.9499334723828</v>
      </c>
      <c r="F3" s="124">
        <f t="shared" si="0"/>
        <v>3098.2546496834671</v>
      </c>
      <c r="G3" s="124">
        <f t="shared" si="0"/>
        <v>3306.0407621243635</v>
      </c>
      <c r="H3" s="124">
        <f t="shared" si="0"/>
        <v>4290.3040178439996</v>
      </c>
      <c r="I3" s="124">
        <f t="shared" si="0"/>
        <v>4277.8147664064354</v>
      </c>
      <c r="J3" s="124">
        <f t="shared" si="0"/>
        <v>2615.2013343841027</v>
      </c>
      <c r="K3" s="124">
        <f t="shared" si="0"/>
        <v>669.80447990512425</v>
      </c>
      <c r="L3" s="124">
        <f t="shared" si="0"/>
        <v>2670.6564877414858</v>
      </c>
      <c r="M3" s="124">
        <f t="shared" si="0"/>
        <v>2140.6407984527791</v>
      </c>
      <c r="N3" s="124">
        <f t="shared" si="0"/>
        <v>1245.9168603672076</v>
      </c>
      <c r="O3" s="124">
        <f t="shared" si="0"/>
        <v>1390.9938253792488</v>
      </c>
      <c r="P3" s="124">
        <f t="shared" si="0"/>
        <v>1664.2350825860694</v>
      </c>
      <c r="Q3" s="124">
        <f t="shared" si="0"/>
        <v>2005.4848936911067</v>
      </c>
      <c r="R3" s="124">
        <f t="shared" si="0"/>
        <v>3282.3252169919197</v>
      </c>
      <c r="S3" s="124">
        <f t="shared" si="0"/>
        <v>3468.6529322356882</v>
      </c>
      <c r="T3" s="124">
        <f t="shared" si="0"/>
        <v>3455.1491662872468</v>
      </c>
      <c r="U3" s="124">
        <f t="shared" si="0"/>
        <v>3158.3375004088807</v>
      </c>
      <c r="V3" s="124">
        <f t="shared" si="0"/>
        <v>3082.4367013761698</v>
      </c>
      <c r="W3" s="124">
        <f t="shared" si="0"/>
        <v>2997.2833891080663</v>
      </c>
      <c r="X3" s="124">
        <f t="shared" si="0"/>
        <v>2967.042110477948</v>
      </c>
      <c r="Y3" s="124">
        <f t="shared" si="0"/>
        <v>2942.1296080173097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1710.5999254616538</v>
      </c>
      <c r="D4" s="139">
        <f t="shared" si="1"/>
        <v>2247.5588347711182</v>
      </c>
      <c r="E4" s="139">
        <f t="shared" si="1"/>
        <v>1793.9499334723828</v>
      </c>
      <c r="F4" s="139">
        <f t="shared" si="1"/>
        <v>3098.2546496834671</v>
      </c>
      <c r="G4" s="139">
        <f t="shared" si="1"/>
        <v>3306.0407621243635</v>
      </c>
      <c r="H4" s="139">
        <f t="shared" si="1"/>
        <v>4290.3040178439996</v>
      </c>
      <c r="I4" s="139">
        <f t="shared" si="1"/>
        <v>4277.8147664064354</v>
      </c>
      <c r="J4" s="139">
        <f t="shared" si="1"/>
        <v>2615.2013343841027</v>
      </c>
      <c r="K4" s="139">
        <f t="shared" si="1"/>
        <v>669.80447990512425</v>
      </c>
      <c r="L4" s="139">
        <f t="shared" si="1"/>
        <v>2670.6564877414858</v>
      </c>
      <c r="M4" s="139">
        <f t="shared" si="1"/>
        <v>2140.6407984527791</v>
      </c>
      <c r="N4" s="139">
        <f t="shared" si="1"/>
        <v>1245.9168603672076</v>
      </c>
      <c r="O4" s="139">
        <f t="shared" si="1"/>
        <v>1390.9938253792488</v>
      </c>
      <c r="P4" s="139">
        <f t="shared" si="1"/>
        <v>1664.2350825860694</v>
      </c>
      <c r="Q4" s="139">
        <f t="shared" si="1"/>
        <v>2005.4848936911067</v>
      </c>
      <c r="R4" s="139">
        <f t="shared" ref="R4:W4" si="2">SUM(R5:R14)</f>
        <v>3282.3252169919197</v>
      </c>
      <c r="S4" s="139">
        <f t="shared" si="2"/>
        <v>3468.6529322356882</v>
      </c>
      <c r="T4" s="139">
        <f t="shared" si="2"/>
        <v>3455.1491662872468</v>
      </c>
      <c r="U4" s="139">
        <f t="shared" si="2"/>
        <v>3158.3375004088807</v>
      </c>
      <c r="V4" s="139">
        <f t="shared" si="2"/>
        <v>3082.4367013761698</v>
      </c>
      <c r="W4" s="139">
        <f t="shared" si="2"/>
        <v>2997.2833891080663</v>
      </c>
      <c r="X4" s="139">
        <f t="shared" ref="X4:Y4" si="3">SUM(X5:X14)</f>
        <v>2967.042110477948</v>
      </c>
      <c r="Y4" s="139">
        <f t="shared" si="3"/>
        <v>2942.1296080173097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3.9254371570605899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541.41982673762323</v>
      </c>
      <c r="D7" s="140">
        <v>575.49523499047234</v>
      </c>
      <c r="E7" s="140">
        <v>440.37897213961918</v>
      </c>
      <c r="F7" s="140">
        <v>584.08411496595261</v>
      </c>
      <c r="G7" s="140">
        <v>430.73908619721595</v>
      </c>
      <c r="H7" s="140">
        <v>527.11125951334122</v>
      </c>
      <c r="I7" s="140">
        <v>250.4295542270757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40">
        <v>185.62539304136772</v>
      </c>
      <c r="P7" s="140">
        <v>249.49591582797751</v>
      </c>
      <c r="Q7" s="140">
        <v>358.71584496763973</v>
      </c>
      <c r="R7" s="140">
        <v>514.80936436777984</v>
      </c>
      <c r="S7" s="140">
        <v>573.71335663137938</v>
      </c>
      <c r="T7" s="140">
        <v>513.67642767142524</v>
      </c>
      <c r="U7" s="140">
        <v>358.34665358158605</v>
      </c>
      <c r="V7" s="140">
        <v>289.56359880269946</v>
      </c>
      <c r="W7" s="140">
        <v>145.58114621285088</v>
      </c>
      <c r="X7" s="140">
        <v>0</v>
      </c>
      <c r="Y7" s="140">
        <v>0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13.826120430896593</v>
      </c>
      <c r="D8" s="140">
        <v>26.431167271206036</v>
      </c>
      <c r="E8" s="140">
        <v>22.609293005436012</v>
      </c>
      <c r="F8" s="140">
        <v>36.708178631674009</v>
      </c>
      <c r="G8" s="140">
        <v>29.242805488898703</v>
      </c>
      <c r="H8" s="140">
        <v>36.692643901197044</v>
      </c>
      <c r="I8" s="140">
        <v>27.460722446644407</v>
      </c>
      <c r="J8" s="140">
        <v>16.599001640843269</v>
      </c>
      <c r="K8" s="140">
        <v>2.8666736948708871</v>
      </c>
      <c r="L8" s="140">
        <v>4.8652177044235678</v>
      </c>
      <c r="M8" s="140">
        <v>3.8491701711183306</v>
      </c>
      <c r="N8" s="140">
        <v>2.7932236647727353</v>
      </c>
      <c r="O8" s="140">
        <v>4.7718744608667283</v>
      </c>
      <c r="P8" s="140">
        <v>18.635980222956061</v>
      </c>
      <c r="Q8" s="140">
        <v>22.430978686901234</v>
      </c>
      <c r="R8" s="140">
        <v>37.912593477122506</v>
      </c>
      <c r="S8" s="140">
        <v>35.835307541976434</v>
      </c>
      <c r="T8" s="140">
        <v>31.451105381419264</v>
      </c>
      <c r="U8" s="140">
        <v>25.057483039047867</v>
      </c>
      <c r="V8" s="140">
        <v>18.246710978444778</v>
      </c>
      <c r="W8" s="140">
        <v>14.809184947222777</v>
      </c>
      <c r="X8" s="140">
        <v>6.2729326300832415</v>
      </c>
      <c r="Y8" s="140">
        <v>1.6961359252677877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844.76414529549129</v>
      </c>
      <c r="D9" s="140">
        <v>757.29842659221299</v>
      </c>
      <c r="E9" s="140">
        <v>354.47636330358773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54.906283520058281</v>
      </c>
      <c r="L9" s="140">
        <v>414.58214082774123</v>
      </c>
      <c r="M9" s="140">
        <v>408.84070446648599</v>
      </c>
      <c r="N9" s="140">
        <v>412.42629801604539</v>
      </c>
      <c r="O9" s="140">
        <v>406.5461711153277</v>
      </c>
      <c r="P9" s="140">
        <v>418.41459949828703</v>
      </c>
      <c r="Q9" s="140">
        <v>134.07745423704847</v>
      </c>
      <c r="R9" s="140">
        <v>596.15513669567213</v>
      </c>
      <c r="S9" s="140">
        <v>401.37024237497013</v>
      </c>
      <c r="T9" s="140">
        <v>257.1844256381039</v>
      </c>
      <c r="U9" s="140">
        <v>330.92778074113409</v>
      </c>
      <c r="V9" s="140">
        <v>0</v>
      </c>
      <c r="W9" s="140">
        <v>257.3280207783688</v>
      </c>
      <c r="X9" s="140">
        <v>292.36400830104003</v>
      </c>
      <c r="Y9" s="140">
        <v>5.0011461140030633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26.71141693510506</v>
      </c>
      <c r="D10" s="140">
        <v>84.77940243371404</v>
      </c>
      <c r="E10" s="140">
        <v>65.902836301088826</v>
      </c>
      <c r="F10" s="140">
        <v>116.71480308078425</v>
      </c>
      <c r="G10" s="140">
        <v>60.189815497459954</v>
      </c>
      <c r="H10" s="140">
        <v>93.048141547980791</v>
      </c>
      <c r="I10" s="140">
        <v>98.267777082545351</v>
      </c>
      <c r="J10" s="140">
        <v>34.136380906900413</v>
      </c>
      <c r="K10" s="140">
        <v>31.461074052417771</v>
      </c>
      <c r="L10" s="140">
        <v>66.001693491816354</v>
      </c>
      <c r="M10" s="140">
        <v>7.9793565672741114</v>
      </c>
      <c r="N10" s="140">
        <v>0</v>
      </c>
      <c r="O10" s="140">
        <v>26.474778795803747</v>
      </c>
      <c r="P10" s="140">
        <v>27.443585046995537</v>
      </c>
      <c r="Q10" s="140">
        <v>133.82751320294301</v>
      </c>
      <c r="R10" s="140">
        <v>113.83608994687019</v>
      </c>
      <c r="S10" s="140">
        <v>280.5985337235125</v>
      </c>
      <c r="T10" s="140">
        <v>219.59918804763822</v>
      </c>
      <c r="U10" s="140">
        <v>190.54806850286366</v>
      </c>
      <c r="V10" s="140">
        <v>108.92176051977637</v>
      </c>
      <c r="W10" s="140">
        <v>5.7515982718556629</v>
      </c>
      <c r="X10" s="140">
        <v>0</v>
      </c>
      <c r="Y10" s="140">
        <v>0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8.9219755144749175</v>
      </c>
      <c r="D11" s="140">
        <v>15.903340244055784</v>
      </c>
      <c r="E11" s="140">
        <v>0.94223923841405011</v>
      </c>
      <c r="F11" s="140">
        <v>10.664983194108164</v>
      </c>
      <c r="G11" s="140">
        <v>12.198267806001287</v>
      </c>
      <c r="H11" s="140">
        <v>16.550708681606647</v>
      </c>
      <c r="I11" s="140">
        <v>23.118570187390262</v>
      </c>
      <c r="J11" s="140">
        <v>19.301691444260399</v>
      </c>
      <c r="K11" s="140">
        <v>8.206794344554881</v>
      </c>
      <c r="L11" s="140">
        <v>19.519219141386042</v>
      </c>
      <c r="M11" s="140">
        <v>13.524152767703367</v>
      </c>
      <c r="N11" s="140">
        <v>9.617513519670343</v>
      </c>
      <c r="O11" s="140">
        <v>6.1829309877085254</v>
      </c>
      <c r="P11" s="140">
        <v>6.2659372388422439</v>
      </c>
      <c r="Q11" s="140">
        <v>22.952151262365771</v>
      </c>
      <c r="R11" s="140">
        <v>42.633899448722133</v>
      </c>
      <c r="S11" s="140">
        <v>64.546684170898473</v>
      </c>
      <c r="T11" s="140">
        <v>36.802414995181444</v>
      </c>
      <c r="U11" s="140">
        <v>19.901607122753074</v>
      </c>
      <c r="V11" s="140">
        <v>14.13618949201876</v>
      </c>
      <c r="W11" s="140">
        <v>9.1530922754996897</v>
      </c>
      <c r="X11" s="140">
        <v>0</v>
      </c>
      <c r="Y11" s="140">
        <v>0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224.26263271318203</v>
      </c>
      <c r="D12" s="140">
        <v>569.51973589170609</v>
      </c>
      <c r="E12" s="140">
        <v>567.16747012324572</v>
      </c>
      <c r="F12" s="140">
        <v>1467.5137416334981</v>
      </c>
      <c r="G12" s="140">
        <v>1664.4379601947701</v>
      </c>
      <c r="H12" s="140">
        <v>2190.1001093915684</v>
      </c>
      <c r="I12" s="140">
        <v>2535.363181871096</v>
      </c>
      <c r="J12" s="140">
        <v>1858.8255265090656</v>
      </c>
      <c r="K12" s="140">
        <v>474.63947215345871</v>
      </c>
      <c r="L12" s="140">
        <v>1547.5900518124965</v>
      </c>
      <c r="M12" s="140">
        <v>1061.7215902036889</v>
      </c>
      <c r="N12" s="140">
        <v>316.09893431495908</v>
      </c>
      <c r="O12" s="140">
        <v>240.48275048724386</v>
      </c>
      <c r="P12" s="140">
        <v>414.1484449282176</v>
      </c>
      <c r="Q12" s="140">
        <v>800.51271556136589</v>
      </c>
      <c r="R12" s="140">
        <v>1329.8383546782611</v>
      </c>
      <c r="S12" s="140">
        <v>1214.6713118761365</v>
      </c>
      <c r="T12" s="140">
        <v>1102.5937454856751</v>
      </c>
      <c r="U12" s="140">
        <v>1348.0262310402995</v>
      </c>
      <c r="V12" s="140">
        <v>1674.1757672682668</v>
      </c>
      <c r="W12" s="140">
        <v>1440.4130649934609</v>
      </c>
      <c r="X12" s="140">
        <v>1407.0987574722405</v>
      </c>
      <c r="Y12" s="140">
        <v>1519.5724047920987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50.693807834880836</v>
      </c>
      <c r="D13" s="140">
        <v>153.61616964784901</v>
      </c>
      <c r="E13" s="140">
        <v>142.88531267475491</v>
      </c>
      <c r="F13" s="140">
        <v>285.07918539539287</v>
      </c>
      <c r="G13" s="140">
        <v>293.89535271591762</v>
      </c>
      <c r="H13" s="140">
        <v>451.04618147603156</v>
      </c>
      <c r="I13" s="140">
        <v>498.1591009804373</v>
      </c>
      <c r="J13" s="140">
        <v>366.44814337836414</v>
      </c>
      <c r="K13" s="140">
        <v>97.724182139763641</v>
      </c>
      <c r="L13" s="140">
        <v>291.51852817830479</v>
      </c>
      <c r="M13" s="140">
        <v>367.52108444982969</v>
      </c>
      <c r="N13" s="140">
        <v>262.64740205901529</v>
      </c>
      <c r="O13" s="140">
        <v>316.28091726786545</v>
      </c>
      <c r="P13" s="140">
        <v>529.83061982279321</v>
      </c>
      <c r="Q13" s="140">
        <v>532.96823577284238</v>
      </c>
      <c r="R13" s="140">
        <v>647.13977837749167</v>
      </c>
      <c r="S13" s="140">
        <v>646.01504685369207</v>
      </c>
      <c r="T13" s="140">
        <v>647.40578092304406</v>
      </c>
      <c r="U13" s="140">
        <v>486.16724226619016</v>
      </c>
      <c r="V13" s="140">
        <v>597.252645957499</v>
      </c>
      <c r="W13" s="140">
        <v>894.93389580332735</v>
      </c>
      <c r="X13" s="140">
        <v>896.4747779512079</v>
      </c>
      <c r="Y13" s="140">
        <v>1415.85992118594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0</v>
      </c>
      <c r="D14" s="141">
        <v>64.515357699902381</v>
      </c>
      <c r="E14" s="141">
        <v>199.58744668623615</v>
      </c>
      <c r="F14" s="141">
        <v>597.4896427820571</v>
      </c>
      <c r="G14" s="141">
        <v>815.33747422409999</v>
      </c>
      <c r="H14" s="141">
        <v>975.75497333227361</v>
      </c>
      <c r="I14" s="141">
        <v>845.01585961124613</v>
      </c>
      <c r="J14" s="141">
        <v>319.89059050466886</v>
      </c>
      <c r="K14" s="141">
        <v>0</v>
      </c>
      <c r="L14" s="141">
        <v>326.57963658531776</v>
      </c>
      <c r="M14" s="141">
        <v>277.20473982667863</v>
      </c>
      <c r="N14" s="141">
        <v>242.33348879274465</v>
      </c>
      <c r="O14" s="141">
        <v>200.70357206600434</v>
      </c>
      <c r="P14" s="141">
        <v>0</v>
      </c>
      <c r="Q14" s="141">
        <v>0</v>
      </c>
      <c r="R14" s="141">
        <v>0</v>
      </c>
      <c r="S14" s="141">
        <v>251.90244906312293</v>
      </c>
      <c r="T14" s="141">
        <v>646.4360781447599</v>
      </c>
      <c r="U14" s="141">
        <v>399.36243411500607</v>
      </c>
      <c r="V14" s="141">
        <v>380.14002835746459</v>
      </c>
      <c r="W14" s="141">
        <v>229.31338582548062</v>
      </c>
      <c r="X14" s="141">
        <v>364.83163412337643</v>
      </c>
      <c r="Y14" s="141">
        <v>0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1659.906117626773</v>
      </c>
      <c r="D15" s="143">
        <f t="shared" si="4"/>
        <v>2029.427307423367</v>
      </c>
      <c r="E15" s="143">
        <f t="shared" si="4"/>
        <v>1451.4771741113916</v>
      </c>
      <c r="F15" s="143">
        <f t="shared" si="4"/>
        <v>2215.685821506017</v>
      </c>
      <c r="G15" s="143">
        <f t="shared" si="4"/>
        <v>2196.8079351843458</v>
      </c>
      <c r="H15" s="143">
        <f t="shared" si="4"/>
        <v>2863.5028630356942</v>
      </c>
      <c r="I15" s="143">
        <f t="shared" si="4"/>
        <v>2934.6398058147515</v>
      </c>
      <c r="J15" s="143">
        <f t="shared" si="4"/>
        <v>1928.8626005010697</v>
      </c>
      <c r="K15" s="143">
        <f t="shared" si="4"/>
        <v>572.08029776536057</v>
      </c>
      <c r="L15" s="143">
        <f t="shared" si="4"/>
        <v>2052.5583229778636</v>
      </c>
      <c r="M15" s="143">
        <f t="shared" si="4"/>
        <v>1495.9149741762708</v>
      </c>
      <c r="N15" s="143">
        <f t="shared" si="4"/>
        <v>740.9359695154476</v>
      </c>
      <c r="O15" s="143">
        <f t="shared" si="4"/>
        <v>874.00933604537897</v>
      </c>
      <c r="P15" s="143">
        <f t="shared" si="4"/>
        <v>1134.4044627632761</v>
      </c>
      <c r="Q15" s="143">
        <f t="shared" si="4"/>
        <v>1472.5166579182642</v>
      </c>
      <c r="R15" s="143">
        <f t="shared" ref="R15:W15" si="5">SUM(R5:R12)</f>
        <v>2635.1854386144278</v>
      </c>
      <c r="S15" s="143">
        <f t="shared" si="5"/>
        <v>2570.7354363188733</v>
      </c>
      <c r="T15" s="143">
        <f t="shared" si="5"/>
        <v>2161.3073072194429</v>
      </c>
      <c r="U15" s="143">
        <f t="shared" si="5"/>
        <v>2272.8078240276845</v>
      </c>
      <c r="V15" s="143">
        <f t="shared" si="5"/>
        <v>2105.0440270612062</v>
      </c>
      <c r="W15" s="143">
        <f t="shared" si="5"/>
        <v>1873.0361074792586</v>
      </c>
      <c r="X15" s="143">
        <f t="shared" ref="X15:Y15" si="6">SUM(X5:X12)</f>
        <v>1705.7356984033638</v>
      </c>
      <c r="Y15" s="143">
        <f t="shared" si="6"/>
        <v>1526.2696868313697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1710.5999254616536</v>
      </c>
      <c r="D16" s="139">
        <f t="shared" si="7"/>
        <v>2247.5588347711187</v>
      </c>
      <c r="E16" s="139">
        <f t="shared" si="7"/>
        <v>1793.949933472383</v>
      </c>
      <c r="F16" s="139">
        <f t="shared" si="7"/>
        <v>3098.2546496834671</v>
      </c>
      <c r="G16" s="139">
        <f t="shared" si="7"/>
        <v>3306.040762124363</v>
      </c>
      <c r="H16" s="139">
        <f t="shared" si="7"/>
        <v>4290.3040178439987</v>
      </c>
      <c r="I16" s="139">
        <f t="shared" si="7"/>
        <v>4277.8147664064354</v>
      </c>
      <c r="J16" s="139">
        <f t="shared" si="7"/>
        <v>2615.2013343841027</v>
      </c>
      <c r="K16" s="139">
        <f t="shared" si="7"/>
        <v>669.80447990512425</v>
      </c>
      <c r="L16" s="139">
        <f t="shared" si="7"/>
        <v>2670.6564877414858</v>
      </c>
      <c r="M16" s="139">
        <f t="shared" si="7"/>
        <v>2140.6407984527796</v>
      </c>
      <c r="N16" s="139">
        <f t="shared" si="7"/>
        <v>1245.9168603672074</v>
      </c>
      <c r="O16" s="139">
        <f t="shared" si="7"/>
        <v>1390.9938253792488</v>
      </c>
      <c r="P16" s="139">
        <f t="shared" si="7"/>
        <v>1664.235082586069</v>
      </c>
      <c r="Q16" s="139">
        <f t="shared" si="7"/>
        <v>2005.4848936911064</v>
      </c>
      <c r="R16" s="139">
        <f t="shared" ref="R16:W16" si="8">SUM(R17:R18)</f>
        <v>3282.3252169919192</v>
      </c>
      <c r="S16" s="139">
        <f t="shared" si="8"/>
        <v>3468.6529322356878</v>
      </c>
      <c r="T16" s="139">
        <f t="shared" si="8"/>
        <v>3455.1491662872477</v>
      </c>
      <c r="U16" s="139">
        <f t="shared" si="8"/>
        <v>3158.3375004088803</v>
      </c>
      <c r="V16" s="139">
        <f t="shared" si="8"/>
        <v>3082.4367013761698</v>
      </c>
      <c r="W16" s="139">
        <f t="shared" si="8"/>
        <v>2997.2833891080672</v>
      </c>
      <c r="X16" s="139">
        <f t="shared" ref="X16:Y16" si="9">SUM(X17:X18)</f>
        <v>2967.0421104779484</v>
      </c>
      <c r="Y16" s="139">
        <f t="shared" si="9"/>
        <v>2942.1296080173097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2.7422206485669709</v>
      </c>
      <c r="D17" s="140">
        <v>5.1695240441769243</v>
      </c>
      <c r="E17" s="140">
        <v>2.4135684012091421</v>
      </c>
      <c r="F17" s="140">
        <v>11.596737212748797</v>
      </c>
      <c r="G17" s="140">
        <v>8.7682875083079619</v>
      </c>
      <c r="H17" s="140">
        <v>10.576166040325306</v>
      </c>
      <c r="I17" s="140">
        <v>16.735074958692913</v>
      </c>
      <c r="J17" s="140">
        <v>10.30037288453495</v>
      </c>
      <c r="K17" s="140">
        <v>5.3348421999218072</v>
      </c>
      <c r="L17" s="140">
        <v>10.54686312647217</v>
      </c>
      <c r="M17" s="140">
        <v>9.1970115919296056</v>
      </c>
      <c r="N17" s="140">
        <v>7.7224527694164902</v>
      </c>
      <c r="O17" s="140">
        <v>8.9527761251041813</v>
      </c>
      <c r="P17" s="140">
        <v>12.698413836718212</v>
      </c>
      <c r="Q17" s="140">
        <v>15.6172259412479</v>
      </c>
      <c r="R17" s="140">
        <v>20.57268984967887</v>
      </c>
      <c r="S17" s="140">
        <v>32.962403194591047</v>
      </c>
      <c r="T17" s="140">
        <v>28.534648503946247</v>
      </c>
      <c r="U17" s="140">
        <v>37.950337477698703</v>
      </c>
      <c r="V17" s="140">
        <v>25.820436066199608</v>
      </c>
      <c r="W17" s="140">
        <v>20.247387693032859</v>
      </c>
      <c r="X17" s="140">
        <v>28.145334295262636</v>
      </c>
      <c r="Y17" s="140">
        <v>28.059622089646201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1707.8577048130867</v>
      </c>
      <c r="D18" s="140">
        <v>2242.3893107269419</v>
      </c>
      <c r="E18" s="140">
        <v>1791.5363650711738</v>
      </c>
      <c r="F18" s="140">
        <v>3086.6579124707182</v>
      </c>
      <c r="G18" s="140">
        <v>3297.2724746160552</v>
      </c>
      <c r="H18" s="140">
        <v>4279.7278518036737</v>
      </c>
      <c r="I18" s="140">
        <v>4261.0796914477423</v>
      </c>
      <c r="J18" s="140">
        <v>2604.9009614995675</v>
      </c>
      <c r="K18" s="140">
        <v>664.46963770520244</v>
      </c>
      <c r="L18" s="140">
        <v>2660.1096246150137</v>
      </c>
      <c r="M18" s="140">
        <v>2131.4437868608497</v>
      </c>
      <c r="N18" s="140">
        <v>1238.1944075977908</v>
      </c>
      <c r="O18" s="140">
        <v>1382.0410492541446</v>
      </c>
      <c r="P18" s="140">
        <v>1651.5366687493508</v>
      </c>
      <c r="Q18" s="140">
        <v>1989.8676677498586</v>
      </c>
      <c r="R18" s="140">
        <v>3261.7525271422405</v>
      </c>
      <c r="S18" s="140">
        <v>3435.6905290410969</v>
      </c>
      <c r="T18" s="140">
        <v>3426.6145177833014</v>
      </c>
      <c r="U18" s="140">
        <v>3120.3871629311816</v>
      </c>
      <c r="V18" s="140">
        <v>3056.61626530997</v>
      </c>
      <c r="W18" s="140">
        <v>2977.0360014150342</v>
      </c>
      <c r="X18" s="140">
        <v>2938.8967761826857</v>
      </c>
      <c r="Y18" s="140">
        <v>2914.0699859276633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1710.5999254616536</v>
      </c>
      <c r="D19" s="139">
        <f t="shared" si="10"/>
        <v>2247.5588347711182</v>
      </c>
      <c r="E19" s="139">
        <f t="shared" si="10"/>
        <v>1793.9499334723828</v>
      </c>
      <c r="F19" s="139">
        <f t="shared" si="10"/>
        <v>3098.2546496834666</v>
      </c>
      <c r="G19" s="139">
        <f t="shared" si="10"/>
        <v>3306.040762124363</v>
      </c>
      <c r="H19" s="139">
        <f t="shared" si="10"/>
        <v>4290.3040178439987</v>
      </c>
      <c r="I19" s="139">
        <f t="shared" si="10"/>
        <v>4277.8147664064354</v>
      </c>
      <c r="J19" s="139">
        <f t="shared" si="10"/>
        <v>2615.2013343841022</v>
      </c>
      <c r="K19" s="139">
        <f t="shared" si="10"/>
        <v>669.80447990512425</v>
      </c>
      <c r="L19" s="139">
        <f t="shared" si="10"/>
        <v>2670.6564877414862</v>
      </c>
      <c r="M19" s="139">
        <f t="shared" si="10"/>
        <v>2140.6407984527796</v>
      </c>
      <c r="N19" s="139">
        <f t="shared" si="10"/>
        <v>1245.9168603672076</v>
      </c>
      <c r="O19" s="139">
        <f t="shared" si="10"/>
        <v>1390.9938253792486</v>
      </c>
      <c r="P19" s="139">
        <f t="shared" si="10"/>
        <v>1664.2350825860694</v>
      </c>
      <c r="Q19" s="139">
        <f t="shared" si="10"/>
        <v>2005.4848936911067</v>
      </c>
      <c r="R19" s="139">
        <f t="shared" ref="R19:W19" si="11">SUM(R20:R26)</f>
        <v>3282.3252169919192</v>
      </c>
      <c r="S19" s="139">
        <f t="shared" si="11"/>
        <v>3468.6529322356887</v>
      </c>
      <c r="T19" s="139">
        <f t="shared" si="11"/>
        <v>3455.1491662872472</v>
      </c>
      <c r="U19" s="139">
        <f t="shared" si="11"/>
        <v>3158.3375004088803</v>
      </c>
      <c r="V19" s="139">
        <f t="shared" si="11"/>
        <v>3082.4367013761698</v>
      </c>
      <c r="W19" s="139">
        <f t="shared" si="11"/>
        <v>2997.2833891080672</v>
      </c>
      <c r="X19" s="139">
        <f t="shared" ref="X19:Y19" si="12">SUM(X20:X26)</f>
        <v>2967.0421104779484</v>
      </c>
      <c r="Y19" s="139">
        <f t="shared" si="12"/>
        <v>2942.1296080173097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176.15674532614619</v>
      </c>
      <c r="D21" s="140">
        <v>233.02481838789691</v>
      </c>
      <c r="E21" s="140">
        <v>184.98271138045615</v>
      </c>
      <c r="F21" s="140">
        <v>233.00481735866575</v>
      </c>
      <c r="G21" s="140">
        <v>181.23258203641686</v>
      </c>
      <c r="H21" s="140">
        <v>199.60101720811397</v>
      </c>
      <c r="I21" s="140">
        <v>116.20708331985868</v>
      </c>
      <c r="J21" s="140">
        <v>0</v>
      </c>
      <c r="K21" s="140">
        <v>11.556578392170721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286.64284290270376</v>
      </c>
      <c r="D22" s="140">
        <v>373.73640780348069</v>
      </c>
      <c r="E22" s="140">
        <v>276.14520669480243</v>
      </c>
      <c r="F22" s="140">
        <v>335.2256648899758</v>
      </c>
      <c r="G22" s="140">
        <v>175.15998993271251</v>
      </c>
      <c r="H22" s="140">
        <v>266.03400165056604</v>
      </c>
      <c r="I22" s="140">
        <v>158.00809661450714</v>
      </c>
      <c r="J22" s="140">
        <v>111.50372502573158</v>
      </c>
      <c r="K22" s="140">
        <v>47.775464742895245</v>
      </c>
      <c r="L22" s="140">
        <v>153.89927258816704</v>
      </c>
      <c r="M22" s="140">
        <v>168.24913421387322</v>
      </c>
      <c r="N22" s="140">
        <v>84.337014845021372</v>
      </c>
      <c r="O22" s="140">
        <v>122.60991449750576</v>
      </c>
      <c r="P22" s="140">
        <v>0</v>
      </c>
      <c r="Q22" s="140">
        <v>76.283525048809608</v>
      </c>
      <c r="R22" s="140">
        <v>201.685829651007</v>
      </c>
      <c r="S22" s="140">
        <v>363.07476891369362</v>
      </c>
      <c r="T22" s="140">
        <v>319.8960302847911</v>
      </c>
      <c r="U22" s="140">
        <v>242.95708502019122</v>
      </c>
      <c r="V22" s="140">
        <v>167.51650500214279</v>
      </c>
      <c r="W22" s="140">
        <v>244.74118383899801</v>
      </c>
      <c r="X22" s="140">
        <v>318.43346695011286</v>
      </c>
      <c r="Y22" s="140">
        <v>237.47682842330747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144.42961870460763</v>
      </c>
      <c r="D23" s="140">
        <v>213.65216860743641</v>
      </c>
      <c r="E23" s="140">
        <v>174.7281146121158</v>
      </c>
      <c r="F23" s="140">
        <v>280.31426497966288</v>
      </c>
      <c r="G23" s="140">
        <v>261.39857771589448</v>
      </c>
      <c r="H23" s="140">
        <v>311.95109902952061</v>
      </c>
      <c r="I23" s="140">
        <v>382.9211245163346</v>
      </c>
      <c r="J23" s="140">
        <v>282.97617786251624</v>
      </c>
      <c r="K23" s="140">
        <v>58.184530935221638</v>
      </c>
      <c r="L23" s="140">
        <v>340.54005747036138</v>
      </c>
      <c r="M23" s="140">
        <v>233.06669141014251</v>
      </c>
      <c r="N23" s="140">
        <v>116.28891707606603</v>
      </c>
      <c r="O23" s="140">
        <v>148.32999831419286</v>
      </c>
      <c r="P23" s="140">
        <v>171.67289955430888</v>
      </c>
      <c r="Q23" s="140">
        <v>214.25366294758408</v>
      </c>
      <c r="R23" s="140">
        <v>339.95339543739919</v>
      </c>
      <c r="S23" s="140">
        <v>383.22662293579481</v>
      </c>
      <c r="T23" s="140">
        <v>404.68777008578576</v>
      </c>
      <c r="U23" s="140">
        <v>368.06974373187353</v>
      </c>
      <c r="V23" s="140">
        <v>411.92921840595818</v>
      </c>
      <c r="W23" s="140">
        <v>428.27465102282997</v>
      </c>
      <c r="X23" s="140">
        <v>687.3439287657053</v>
      </c>
      <c r="Y23" s="140">
        <v>494.49045857891031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34.344291358832514</v>
      </c>
      <c r="D24" s="140">
        <v>49.736204375993054</v>
      </c>
      <c r="E24" s="140">
        <v>40.250667128294452</v>
      </c>
      <c r="F24" s="140">
        <v>64.420351540653769</v>
      </c>
      <c r="G24" s="140">
        <v>58.507508847377736</v>
      </c>
      <c r="H24" s="140">
        <v>71.717005158708204</v>
      </c>
      <c r="I24" s="140">
        <v>85.35721291807009</v>
      </c>
      <c r="J24" s="140">
        <v>68.439657360243856</v>
      </c>
      <c r="K24" s="140">
        <v>14.635246134471927</v>
      </c>
      <c r="L24" s="140">
        <v>91.608768044795625</v>
      </c>
      <c r="M24" s="140">
        <v>63.775817224979782</v>
      </c>
      <c r="N24" s="140">
        <v>31.696817808817951</v>
      </c>
      <c r="O24" s="140">
        <v>38.180787260530998</v>
      </c>
      <c r="P24" s="140">
        <v>46.48296191930234</v>
      </c>
      <c r="Q24" s="140">
        <v>54.60519346132515</v>
      </c>
      <c r="R24" s="140">
        <v>83.093573313261501</v>
      </c>
      <c r="S24" s="140">
        <v>97.874627541101589</v>
      </c>
      <c r="T24" s="140">
        <v>101.59926056348738</v>
      </c>
      <c r="U24" s="140">
        <v>91.193183739358318</v>
      </c>
      <c r="V24" s="140">
        <v>88.122607590149116</v>
      </c>
      <c r="W24" s="140">
        <v>94.194362368763436</v>
      </c>
      <c r="X24" s="140">
        <v>141.67990873167244</v>
      </c>
      <c r="Y24" s="140">
        <v>108.53918466870326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440.03759121224488</v>
      </c>
      <c r="D25" s="140">
        <v>541.15383927089056</v>
      </c>
      <c r="E25" s="140">
        <v>398.92711853553135</v>
      </c>
      <c r="F25" s="140">
        <v>762.84931963086763</v>
      </c>
      <c r="G25" s="140">
        <v>997.66464917495671</v>
      </c>
      <c r="H25" s="140">
        <v>1526.342699041259</v>
      </c>
      <c r="I25" s="140">
        <v>2840.2453466948791</v>
      </c>
      <c r="J25" s="140">
        <v>2002.4322162697654</v>
      </c>
      <c r="K25" s="140">
        <v>391.10831919043659</v>
      </c>
      <c r="L25" s="140">
        <v>1909.2515695432339</v>
      </c>
      <c r="M25" s="140">
        <v>1210.5427362367907</v>
      </c>
      <c r="N25" s="140">
        <v>485.17348000692925</v>
      </c>
      <c r="O25" s="140">
        <v>546.20860026530511</v>
      </c>
      <c r="P25" s="140">
        <v>297.202504489425</v>
      </c>
      <c r="Q25" s="140">
        <v>766.97091252517055</v>
      </c>
      <c r="R25" s="140">
        <v>1217.8026415837307</v>
      </c>
      <c r="S25" s="140">
        <v>1363.7912973345292</v>
      </c>
      <c r="T25" s="140">
        <v>1690.0002872388302</v>
      </c>
      <c r="U25" s="140">
        <v>1316.0738108020948</v>
      </c>
      <c r="V25" s="140">
        <v>1036.2830132179427</v>
      </c>
      <c r="W25" s="140">
        <v>1292.2835228790834</v>
      </c>
      <c r="X25" s="140">
        <v>1204.4534409284499</v>
      </c>
      <c r="Y25" s="140">
        <v>1462.5982061932834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628.98883595711879</v>
      </c>
      <c r="D26" s="141">
        <v>836.25539632542086</v>
      </c>
      <c r="E26" s="141">
        <v>718.91611512118254</v>
      </c>
      <c r="F26" s="141">
        <v>1422.440231283641</v>
      </c>
      <c r="G26" s="141">
        <v>1632.0774544170049</v>
      </c>
      <c r="H26" s="141">
        <v>1914.6581957558312</v>
      </c>
      <c r="I26" s="141">
        <v>695.07590234278598</v>
      </c>
      <c r="J26" s="141">
        <v>149.8495578658455</v>
      </c>
      <c r="K26" s="141">
        <v>146.54434050992811</v>
      </c>
      <c r="L26" s="141">
        <v>175.35682009492811</v>
      </c>
      <c r="M26" s="141">
        <v>465.00641936699333</v>
      </c>
      <c r="N26" s="141">
        <v>528.42063063037301</v>
      </c>
      <c r="O26" s="141">
        <v>535.66452504171389</v>
      </c>
      <c r="P26" s="141">
        <v>1148.8767166230332</v>
      </c>
      <c r="Q26" s="141">
        <v>893.3715997082171</v>
      </c>
      <c r="R26" s="141">
        <v>1439.7897770065208</v>
      </c>
      <c r="S26" s="141">
        <v>1260.6856155105693</v>
      </c>
      <c r="T26" s="141">
        <v>938.96581811435283</v>
      </c>
      <c r="U26" s="141">
        <v>1140.0436771153625</v>
      </c>
      <c r="V26" s="141">
        <v>1378.5853571599771</v>
      </c>
      <c r="W26" s="141">
        <v>937.78966899839224</v>
      </c>
      <c r="X26" s="141">
        <v>615.13136510200763</v>
      </c>
      <c r="Y26" s="141">
        <v>639.0249301531054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1473.2314781018943</v>
      </c>
      <c r="D27" s="150">
        <v>1093.1491482402537</v>
      </c>
      <c r="E27" s="150">
        <v>1700.9228621591337</v>
      </c>
      <c r="F27" s="150">
        <v>1814.5640181945737</v>
      </c>
      <c r="G27" s="150">
        <v>6.5990855189351705E-12</v>
      </c>
      <c r="H27" s="150">
        <v>0</v>
      </c>
      <c r="I27" s="150">
        <v>2194.8786004062899</v>
      </c>
      <c r="J27" s="150">
        <v>2615.2013343841027</v>
      </c>
      <c r="K27" s="150">
        <v>0</v>
      </c>
      <c r="L27" s="150">
        <v>2670.6564877414862</v>
      </c>
      <c r="M27" s="150">
        <v>2140.6407984527791</v>
      </c>
      <c r="N27" s="150">
        <v>1245.9168603672074</v>
      </c>
      <c r="O27" s="150">
        <v>1.0923300084016095E-11</v>
      </c>
      <c r="P27" s="150">
        <v>1558.0168312831076</v>
      </c>
      <c r="Q27" s="150">
        <v>6.0393139559868965E-12</v>
      </c>
      <c r="R27" s="150">
        <v>6.653476539887459E-12</v>
      </c>
      <c r="S27" s="150">
        <v>3035.337901631653</v>
      </c>
      <c r="T27" s="150">
        <v>3455.1491662872472</v>
      </c>
      <c r="U27" s="150">
        <v>1170.7227960429441</v>
      </c>
      <c r="V27" s="150">
        <v>2401.3763578414473</v>
      </c>
      <c r="W27" s="150">
        <v>0</v>
      </c>
      <c r="X27" s="150">
        <v>2746.5432440405675</v>
      </c>
      <c r="Y27" s="150">
        <v>0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1710.5999254616538</v>
      </c>
      <c r="D29" s="139">
        <f t="shared" si="13"/>
        <v>2247.5588347711187</v>
      </c>
      <c r="E29" s="139">
        <f t="shared" si="13"/>
        <v>1793.9499334723828</v>
      </c>
      <c r="F29" s="139">
        <f t="shared" si="13"/>
        <v>3098.2546496834675</v>
      </c>
      <c r="G29" s="139">
        <f t="shared" si="13"/>
        <v>3306.040762124363</v>
      </c>
      <c r="H29" s="139">
        <f t="shared" si="13"/>
        <v>4290.3040178439987</v>
      </c>
      <c r="I29" s="139">
        <f t="shared" si="13"/>
        <v>4277.8147664064354</v>
      </c>
      <c r="J29" s="139">
        <f t="shared" si="13"/>
        <v>2615.2013343841027</v>
      </c>
      <c r="K29" s="139">
        <f t="shared" si="13"/>
        <v>669.80447990512403</v>
      </c>
      <c r="L29" s="139">
        <f t="shared" si="13"/>
        <v>2670.6564877414858</v>
      </c>
      <c r="M29" s="139">
        <f t="shared" si="13"/>
        <v>2140.6407984527791</v>
      </c>
      <c r="N29" s="139">
        <f t="shared" si="13"/>
        <v>1245.9168603672074</v>
      </c>
      <c r="O29" s="139">
        <f t="shared" si="13"/>
        <v>1390.9938253792486</v>
      </c>
      <c r="P29" s="139">
        <f t="shared" si="13"/>
        <v>1664.235082586069</v>
      </c>
      <c r="Q29" s="139">
        <f t="shared" si="13"/>
        <v>2005.4848936911067</v>
      </c>
      <c r="R29" s="139">
        <f t="shared" ref="R29:W29" si="14">SUM(R30:R33)</f>
        <v>3282.3252169919197</v>
      </c>
      <c r="S29" s="139">
        <f t="shared" si="14"/>
        <v>3468.6529322356882</v>
      </c>
      <c r="T29" s="139">
        <f t="shared" si="14"/>
        <v>3455.1491662872477</v>
      </c>
      <c r="U29" s="139">
        <f t="shared" si="14"/>
        <v>3158.3375004088812</v>
      </c>
      <c r="V29" s="139">
        <f t="shared" si="14"/>
        <v>3082.4367013761694</v>
      </c>
      <c r="W29" s="139">
        <f t="shared" si="14"/>
        <v>2997.2833891080672</v>
      </c>
      <c r="X29" s="139">
        <f t="shared" ref="X29:Y29" si="15">SUM(X30:X33)</f>
        <v>2967.0421104779489</v>
      </c>
      <c r="Y29" s="139">
        <f t="shared" si="15"/>
        <v>2942.1296080173097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325.33731268949083</v>
      </c>
      <c r="D30" s="140">
        <v>1053.8299200298743</v>
      </c>
      <c r="E30" s="140">
        <v>702.37722865945682</v>
      </c>
      <c r="F30" s="140">
        <v>448.8599464382483</v>
      </c>
      <c r="G30" s="140">
        <v>285.53638279860911</v>
      </c>
      <c r="H30" s="140">
        <v>39.483547819140888</v>
      </c>
      <c r="I30" s="140">
        <v>0</v>
      </c>
      <c r="J30" s="140">
        <v>112.03779460173067</v>
      </c>
      <c r="K30" s="140">
        <v>88.162547838791042</v>
      </c>
      <c r="L30" s="140">
        <v>307.41947282157668</v>
      </c>
      <c r="M30" s="140">
        <v>0</v>
      </c>
      <c r="N30" s="140">
        <v>0</v>
      </c>
      <c r="O30" s="140">
        <v>0</v>
      </c>
      <c r="P30" s="140">
        <v>0</v>
      </c>
      <c r="Q30" s="140">
        <v>85.380102034795144</v>
      </c>
      <c r="R30" s="140">
        <v>104.45469928918324</v>
      </c>
      <c r="S30" s="140">
        <v>191.54917597229226</v>
      </c>
      <c r="T30" s="140">
        <v>76.242914184413394</v>
      </c>
      <c r="U30" s="140">
        <v>67.443856770361762</v>
      </c>
      <c r="V30" s="140">
        <v>40.207360568997096</v>
      </c>
      <c r="W30" s="140">
        <v>37.465724416005628</v>
      </c>
      <c r="X30" s="140">
        <v>0</v>
      </c>
      <c r="Y30" s="140">
        <v>0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604.29340548728737</v>
      </c>
      <c r="D31" s="140">
        <v>785.38099421887489</v>
      </c>
      <c r="E31" s="140">
        <v>630.00893802572352</v>
      </c>
      <c r="F31" s="140">
        <v>1030.2536764705335</v>
      </c>
      <c r="G31" s="140">
        <v>1035.5106402561198</v>
      </c>
      <c r="H31" s="140">
        <v>1252.1693805560776</v>
      </c>
      <c r="I31" s="140">
        <v>1029.1745153783734</v>
      </c>
      <c r="J31" s="140">
        <v>852.14944627312195</v>
      </c>
      <c r="K31" s="140">
        <v>266.89973222258629</v>
      </c>
      <c r="L31" s="140">
        <v>824.23476569952641</v>
      </c>
      <c r="M31" s="140">
        <v>689.65064641491415</v>
      </c>
      <c r="N31" s="140">
        <v>293.61654973115213</v>
      </c>
      <c r="O31" s="140">
        <v>438.6277384377575</v>
      </c>
      <c r="P31" s="140">
        <v>588.87531315648073</v>
      </c>
      <c r="Q31" s="140">
        <v>708.67618338446516</v>
      </c>
      <c r="R31" s="140">
        <v>1008.2728256335556</v>
      </c>
      <c r="S31" s="140">
        <v>1075.7728555966908</v>
      </c>
      <c r="T31" s="140">
        <v>1070.710939923423</v>
      </c>
      <c r="U31" s="140">
        <v>1021.9484259322902</v>
      </c>
      <c r="V31" s="140">
        <v>1027.8250307463425</v>
      </c>
      <c r="W31" s="140">
        <v>1196.7073977679395</v>
      </c>
      <c r="X31" s="140">
        <v>1068.6353188126914</v>
      </c>
      <c r="Y31" s="140">
        <v>892.30664256543662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25.165353329613716</v>
      </c>
      <c r="D32" s="140">
        <v>32.354005443878705</v>
      </c>
      <c r="E32" s="140">
        <v>23.083498231883254</v>
      </c>
      <c r="F32" s="140">
        <v>37.926901848547836</v>
      </c>
      <c r="G32" s="140">
        <v>34.336736052078798</v>
      </c>
      <c r="H32" s="140">
        <v>42.122402043081578</v>
      </c>
      <c r="I32" s="140">
        <v>34.203770034686038</v>
      </c>
      <c r="J32" s="140">
        <v>30.224664364522095</v>
      </c>
      <c r="K32" s="140">
        <v>10.167515549443621</v>
      </c>
      <c r="L32" s="140">
        <v>34.249350983307167</v>
      </c>
      <c r="M32" s="140">
        <v>19.996359689252326</v>
      </c>
      <c r="N32" s="140">
        <v>12.290983346293645</v>
      </c>
      <c r="O32" s="140">
        <v>18.972375587778462</v>
      </c>
      <c r="P32" s="140">
        <v>29.363350542274638</v>
      </c>
      <c r="Q32" s="140">
        <v>37.600963990007912</v>
      </c>
      <c r="R32" s="140">
        <v>54.002466160564289</v>
      </c>
      <c r="S32" s="140">
        <v>60.046388737642225</v>
      </c>
      <c r="T32" s="140">
        <v>69.207004506573597</v>
      </c>
      <c r="U32" s="140">
        <v>69.414353752740396</v>
      </c>
      <c r="V32" s="140">
        <v>59.305961204324923</v>
      </c>
      <c r="W32" s="140">
        <v>46.202386193776491</v>
      </c>
      <c r="X32" s="140">
        <v>40.458666066671846</v>
      </c>
      <c r="Y32" s="140">
        <v>41.654882101560425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755.80385395526196</v>
      </c>
      <c r="D33" s="152">
        <v>375.99391507849072</v>
      </c>
      <c r="E33" s="152">
        <v>438.48026855531901</v>
      </c>
      <c r="F33" s="152">
        <v>1581.2141249261379</v>
      </c>
      <c r="G33" s="152">
        <v>1950.6570030175551</v>
      </c>
      <c r="H33" s="152">
        <v>2956.528687425699</v>
      </c>
      <c r="I33" s="152">
        <v>3214.4364809933763</v>
      </c>
      <c r="J33" s="152">
        <v>1620.7894291447278</v>
      </c>
      <c r="K33" s="152">
        <v>304.5746842943031</v>
      </c>
      <c r="L33" s="152">
        <v>1504.7528982370759</v>
      </c>
      <c r="M33" s="152">
        <v>1430.9937923486127</v>
      </c>
      <c r="N33" s="152">
        <v>940.0093272897617</v>
      </c>
      <c r="O33" s="152">
        <v>933.39371135371266</v>
      </c>
      <c r="P33" s="152">
        <v>1045.9964188873137</v>
      </c>
      <c r="Q33" s="152">
        <v>1173.8276442818383</v>
      </c>
      <c r="R33" s="152">
        <v>2115.5952259086162</v>
      </c>
      <c r="S33" s="152">
        <v>2141.2845119290628</v>
      </c>
      <c r="T33" s="152">
        <v>2238.9883076728379</v>
      </c>
      <c r="U33" s="152">
        <v>1999.5308639534885</v>
      </c>
      <c r="V33" s="152">
        <v>1955.098348856505</v>
      </c>
      <c r="W33" s="152">
        <v>1716.9078807303458</v>
      </c>
      <c r="X33" s="152">
        <v>1857.9481255985854</v>
      </c>
      <c r="Y33" s="152">
        <v>2008.1680833503128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29.424343108801246</v>
      </c>
      <c r="D3" s="125">
        <f t="shared" si="0"/>
        <v>34.486758743469672</v>
      </c>
      <c r="E3" s="125">
        <f t="shared" si="0"/>
        <v>28.893454604909607</v>
      </c>
      <c r="F3" s="125">
        <f t="shared" si="0"/>
        <v>39.487671748922288</v>
      </c>
      <c r="G3" s="125">
        <f t="shared" si="0"/>
        <v>45.529546822378968</v>
      </c>
      <c r="H3" s="125">
        <f t="shared" si="0"/>
        <v>56.217663586552774</v>
      </c>
      <c r="I3" s="125">
        <f t="shared" si="0"/>
        <v>45.614428980479694</v>
      </c>
      <c r="J3" s="125">
        <f t="shared" si="0"/>
        <v>27.852933535160872</v>
      </c>
      <c r="K3" s="125">
        <f t="shared" si="0"/>
        <v>6.9692726554819906</v>
      </c>
      <c r="L3" s="125">
        <f t="shared" si="0"/>
        <v>28.666336900079195</v>
      </c>
      <c r="M3" s="125">
        <f t="shared" si="0"/>
        <v>20.499390957059386</v>
      </c>
      <c r="N3" s="125">
        <f t="shared" si="0"/>
        <v>12.206439158101897</v>
      </c>
      <c r="O3" s="125">
        <f t="shared" si="0"/>
        <v>13.169354740176246</v>
      </c>
      <c r="P3" s="125">
        <f t="shared" si="0"/>
        <v>13.288077233005406</v>
      </c>
      <c r="Q3" s="125">
        <f t="shared" si="0"/>
        <v>16.175266383977927</v>
      </c>
      <c r="R3" s="125">
        <f t="shared" ref="R3:W3" si="1">SUM(R4,R16,R19,R29)</f>
        <v>25.717654351558025</v>
      </c>
      <c r="S3" s="125">
        <f t="shared" si="1"/>
        <v>30.962021666727885</v>
      </c>
      <c r="T3" s="125">
        <f t="shared" si="1"/>
        <v>28.495896059487258</v>
      </c>
      <c r="U3" s="125">
        <f t="shared" si="1"/>
        <v>25.751440988273881</v>
      </c>
      <c r="V3" s="125">
        <f t="shared" si="1"/>
        <v>21.548034667042263</v>
      </c>
      <c r="W3" s="125">
        <f t="shared" si="1"/>
        <v>20.516649598249852</v>
      </c>
      <c r="X3" s="125">
        <f t="shared" ref="X3:Y3" si="2">SUM(X4,X16,X19,X29)</f>
        <v>19.383809343276102</v>
      </c>
      <c r="Y3" s="125">
        <f t="shared" si="2"/>
        <v>16.8544747989374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23.409449448801812</v>
      </c>
      <c r="D4" s="130">
        <f t="shared" si="3"/>
        <v>25.574152169674704</v>
      </c>
      <c r="E4" s="130">
        <f t="shared" si="3"/>
        <v>21.915991495416471</v>
      </c>
      <c r="F4" s="130">
        <f t="shared" si="3"/>
        <v>28.19599102484538</v>
      </c>
      <c r="G4" s="130">
        <f t="shared" si="3"/>
        <v>33.118517624146016</v>
      </c>
      <c r="H4" s="130">
        <f t="shared" si="3"/>
        <v>40.585974042309488</v>
      </c>
      <c r="I4" s="130">
        <f t="shared" si="3"/>
        <v>30.803132359232453</v>
      </c>
      <c r="J4" s="130">
        <f t="shared" si="3"/>
        <v>18.748882127718279</v>
      </c>
      <c r="K4" s="130">
        <f t="shared" si="3"/>
        <v>4.5003149309015109</v>
      </c>
      <c r="L4" s="130">
        <f t="shared" si="3"/>
        <v>19.040497933029915</v>
      </c>
      <c r="M4" s="130">
        <f t="shared" si="3"/>
        <v>12.920186128381166</v>
      </c>
      <c r="N4" s="130">
        <f t="shared" si="3"/>
        <v>7.8009469011996897</v>
      </c>
      <c r="O4" s="130">
        <f t="shared" si="3"/>
        <v>8.428515659033339</v>
      </c>
      <c r="P4" s="130">
        <f t="shared" si="3"/>
        <v>7.4681992436549312</v>
      </c>
      <c r="Q4" s="130">
        <f t="shared" si="3"/>
        <v>9.5396974792420401</v>
      </c>
      <c r="R4" s="130">
        <f t="shared" ref="R4:W4" si="4">SUM(R5:R15)</f>
        <v>15.248280614411987</v>
      </c>
      <c r="S4" s="130">
        <f t="shared" si="4"/>
        <v>18.994247324293372</v>
      </c>
      <c r="T4" s="130">
        <f t="shared" si="4"/>
        <v>17.055782078365556</v>
      </c>
      <c r="U4" s="130">
        <f t="shared" si="4"/>
        <v>15.33007698431962</v>
      </c>
      <c r="V4" s="130">
        <f t="shared" si="4"/>
        <v>12.138085411988774</v>
      </c>
      <c r="W4" s="130">
        <f t="shared" si="4"/>
        <v>11.574063166169809</v>
      </c>
      <c r="X4" s="130">
        <f t="shared" ref="X4:Y4" si="5">SUM(X5:X15)</f>
        <v>10.149861113103</v>
      </c>
      <c r="Y4" s="130">
        <f t="shared" si="5"/>
        <v>7.8432282974664327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1.5082744870662529E-2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8.1473180448594356</v>
      </c>
      <c r="D7" s="132">
        <v>8.2121414545307392</v>
      </c>
      <c r="E7" s="132">
        <v>7.4983312229040289</v>
      </c>
      <c r="F7" s="132">
        <v>6.9213073465525827</v>
      </c>
      <c r="G7" s="132">
        <v>6.4334139858770092</v>
      </c>
      <c r="H7" s="132">
        <v>7.870020880549931</v>
      </c>
      <c r="I7" s="132">
        <v>2.6234577748900056</v>
      </c>
      <c r="J7" s="132">
        <v>0</v>
      </c>
      <c r="K7" s="132">
        <v>0</v>
      </c>
      <c r="L7" s="132">
        <v>0</v>
      </c>
      <c r="M7" s="132">
        <v>0</v>
      </c>
      <c r="N7" s="132">
        <v>0</v>
      </c>
      <c r="O7" s="132">
        <v>1.4056055797308089</v>
      </c>
      <c r="P7" s="132">
        <v>1.8139261614863538</v>
      </c>
      <c r="Q7" s="132">
        <v>2.4382216793146703</v>
      </c>
      <c r="R7" s="132">
        <v>2.9920677168444882</v>
      </c>
      <c r="S7" s="132">
        <v>4.4816330082883278</v>
      </c>
      <c r="T7" s="132">
        <v>3.3819877511134639</v>
      </c>
      <c r="U7" s="132">
        <v>2.1510685524043831</v>
      </c>
      <c r="V7" s="132">
        <v>1.651152282205631</v>
      </c>
      <c r="W7" s="132">
        <v>1.04659141397901</v>
      </c>
      <c r="X7" s="132">
        <v>0</v>
      </c>
      <c r="Y7" s="132">
        <v>0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5.3587862513442469E-2</v>
      </c>
      <c r="D8" s="132">
        <v>9.381063418433859E-2</v>
      </c>
      <c r="E8" s="132">
        <v>9.0344479779300726E-2</v>
      </c>
      <c r="F8" s="132">
        <v>0.14193133719668805</v>
      </c>
      <c r="G8" s="132">
        <v>0.10158115756209581</v>
      </c>
      <c r="H8" s="132">
        <v>0.13056585973629395</v>
      </c>
      <c r="I8" s="132">
        <v>7.5763471902265039E-2</v>
      </c>
      <c r="J8" s="132">
        <v>5.0739932891241089E-2</v>
      </c>
      <c r="K8" s="132">
        <v>7.1263485529464337E-3</v>
      </c>
      <c r="L8" s="132">
        <v>1.163055547339282E-2</v>
      </c>
      <c r="M8" s="132">
        <v>8.5119750405689264E-3</v>
      </c>
      <c r="N8" s="132">
        <v>5.8551192762275866E-3</v>
      </c>
      <c r="O8" s="132">
        <v>8.9712029781557779E-3</v>
      </c>
      <c r="P8" s="132">
        <v>3.1107176208999533E-2</v>
      </c>
      <c r="Q8" s="132">
        <v>3.5584703180933888E-2</v>
      </c>
      <c r="R8" s="132">
        <v>5.7382179138390783E-2</v>
      </c>
      <c r="S8" s="132">
        <v>5.7682386114639571E-2</v>
      </c>
      <c r="T8" s="132">
        <v>4.6314181024552176E-2</v>
      </c>
      <c r="U8" s="132">
        <v>3.7126243756517699E-2</v>
      </c>
      <c r="V8" s="132">
        <v>2.2544180240581923E-2</v>
      </c>
      <c r="W8" s="132">
        <v>2.0387026604172149E-2</v>
      </c>
      <c r="X8" s="132">
        <v>7.7140190134457644E-3</v>
      </c>
      <c r="Y8" s="132">
        <v>1.9286350509515543E-3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12.431270806854959</v>
      </c>
      <c r="D9" s="132">
        <v>9.5763029409639042</v>
      </c>
      <c r="E9" s="132">
        <v>5.1371691239045978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0.48505427210485519</v>
      </c>
      <c r="L9" s="132">
        <v>3.966085948266608</v>
      </c>
      <c r="M9" s="132">
        <v>3.155913353693657</v>
      </c>
      <c r="N9" s="132">
        <v>3.5678465746185264</v>
      </c>
      <c r="O9" s="132">
        <v>3.3583466502705157</v>
      </c>
      <c r="P9" s="132">
        <v>2.4127474074599609</v>
      </c>
      <c r="Q9" s="132">
        <v>0.844004837841275</v>
      </c>
      <c r="R9" s="132">
        <v>3.2852593048923384</v>
      </c>
      <c r="S9" s="132">
        <v>2.4245072909409773</v>
      </c>
      <c r="T9" s="132">
        <v>1.409505654832321</v>
      </c>
      <c r="U9" s="132">
        <v>1.8868518746898502</v>
      </c>
      <c r="V9" s="132">
        <v>0</v>
      </c>
      <c r="W9" s="132">
        <v>1.6147101680954288</v>
      </c>
      <c r="X9" s="132">
        <v>1.157148478521957</v>
      </c>
      <c r="Y9" s="132">
        <v>2.4145450914124657E-2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0.35252470517977025</v>
      </c>
      <c r="D10" s="132">
        <v>1.0826432252661489</v>
      </c>
      <c r="E10" s="132">
        <v>0.97289924352660684</v>
      </c>
      <c r="F10" s="132">
        <v>1.8087215021581851</v>
      </c>
      <c r="G10" s="132">
        <v>0.74941593849479815</v>
      </c>
      <c r="H10" s="132">
        <v>1.2500013163912183</v>
      </c>
      <c r="I10" s="132">
        <v>1.2156411566402898</v>
      </c>
      <c r="J10" s="132">
        <v>0.35109306699332726</v>
      </c>
      <c r="K10" s="132">
        <v>0.30899139981003665</v>
      </c>
      <c r="L10" s="132">
        <v>0.8025938689011114</v>
      </c>
      <c r="M10" s="132">
        <v>8.0537901535249326E-2</v>
      </c>
      <c r="N10" s="132">
        <v>0</v>
      </c>
      <c r="O10" s="132">
        <v>0.25502995757261504</v>
      </c>
      <c r="P10" s="132">
        <v>0.20701296020034859</v>
      </c>
      <c r="Q10" s="132">
        <v>1.2287218639342468</v>
      </c>
      <c r="R10" s="132">
        <v>0.69407922721577198</v>
      </c>
      <c r="S10" s="132">
        <v>2.6022463238537639</v>
      </c>
      <c r="T10" s="132">
        <v>1.8362325455739703</v>
      </c>
      <c r="U10" s="132">
        <v>1.5639298058267548</v>
      </c>
      <c r="V10" s="132">
        <v>0.80246948975726407</v>
      </c>
      <c r="W10" s="132">
        <v>4.8711295448444381E-2</v>
      </c>
      <c r="X10" s="132">
        <v>0</v>
      </c>
      <c r="Y10" s="132">
        <v>0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6.7512210019489788E-2</v>
      </c>
      <c r="D11" s="132">
        <v>0.17914603818782068</v>
      </c>
      <c r="E11" s="132">
        <v>8.6074379279243874E-3</v>
      </c>
      <c r="F11" s="132">
        <v>9.5350304429807978E-2</v>
      </c>
      <c r="G11" s="132">
        <v>0.11738591914353208</v>
      </c>
      <c r="H11" s="132">
        <v>0.14853544248882777</v>
      </c>
      <c r="I11" s="132">
        <v>0.17287869654692148</v>
      </c>
      <c r="J11" s="132">
        <v>0.1432771707720667</v>
      </c>
      <c r="K11" s="132">
        <v>5.883092209659771E-2</v>
      </c>
      <c r="L11" s="132">
        <v>0.14285453741516382</v>
      </c>
      <c r="M11" s="132">
        <v>8.0495748141749451E-2</v>
      </c>
      <c r="N11" s="132">
        <v>6.5979527615221717E-2</v>
      </c>
      <c r="O11" s="132">
        <v>3.9481485589341128E-2</v>
      </c>
      <c r="P11" s="132">
        <v>3.1874963247639727E-2</v>
      </c>
      <c r="Q11" s="132">
        <v>0.11962611376803672</v>
      </c>
      <c r="R11" s="132">
        <v>0.19463488256008366</v>
      </c>
      <c r="S11" s="132">
        <v>0.42000182916988099</v>
      </c>
      <c r="T11" s="132">
        <v>0.19961517053816458</v>
      </c>
      <c r="U11" s="132">
        <v>0.10281607226841923</v>
      </c>
      <c r="V11" s="132">
        <v>7.31378590232626E-2</v>
      </c>
      <c r="W11" s="132">
        <v>4.0620687978929856E-2</v>
      </c>
      <c r="X11" s="132">
        <v>0</v>
      </c>
      <c r="Y11" s="132">
        <v>0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1.9931848177466505</v>
      </c>
      <c r="D12" s="132">
        <v>5.1814686213768359</v>
      </c>
      <c r="E12" s="132">
        <v>5.3658126222537037</v>
      </c>
      <c r="F12" s="132">
        <v>13.298337105404013</v>
      </c>
      <c r="G12" s="132">
        <v>15.955634524382878</v>
      </c>
      <c r="H12" s="132">
        <v>20.183284000803727</v>
      </c>
      <c r="I12" s="132">
        <v>18.445136364541948</v>
      </c>
      <c r="J12" s="132">
        <v>14.134703279883858</v>
      </c>
      <c r="K12" s="132">
        <v>3.4515575070929305</v>
      </c>
      <c r="L12" s="132">
        <v>10.9981012862148</v>
      </c>
      <c r="M12" s="132">
        <v>6.9850650483546524</v>
      </c>
      <c r="N12" s="132">
        <v>2.046691108585887</v>
      </c>
      <c r="O12" s="132">
        <v>1.4768202578376519</v>
      </c>
      <c r="P12" s="132">
        <v>2.1711187157139351</v>
      </c>
      <c r="Q12" s="132">
        <v>4.2147262933901564</v>
      </c>
      <c r="R12" s="132">
        <v>7.2144824718384539</v>
      </c>
      <c r="S12" s="132">
        <v>6.7349691821747539</v>
      </c>
      <c r="T12" s="132">
        <v>5.4975561030709335</v>
      </c>
      <c r="U12" s="132">
        <v>6.7899180094594804</v>
      </c>
      <c r="V12" s="132">
        <v>7.4238176933364235</v>
      </c>
      <c r="W12" s="132">
        <v>7.157250402760722</v>
      </c>
      <c r="X12" s="132">
        <v>6.3001426341886004</v>
      </c>
      <c r="Y12" s="132">
        <v>6.4661672753905606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0.12450302889209594</v>
      </c>
      <c r="D13" s="132">
        <v>0.39104784841242429</v>
      </c>
      <c r="E13" s="132">
        <v>0.38894686261964712</v>
      </c>
      <c r="F13" s="132">
        <v>0.7783944590355637</v>
      </c>
      <c r="G13" s="132">
        <v>0.72942703459743519</v>
      </c>
      <c r="H13" s="132">
        <v>1.0858777195518581</v>
      </c>
      <c r="I13" s="132">
        <v>1.0122683105315033</v>
      </c>
      <c r="J13" s="132">
        <v>0.83324362334542856</v>
      </c>
      <c r="K13" s="132">
        <v>0.16863860794960031</v>
      </c>
      <c r="L13" s="132">
        <v>0.47953585677292931</v>
      </c>
      <c r="M13" s="132">
        <v>0.59252320501293143</v>
      </c>
      <c r="N13" s="132">
        <v>0.39230977083530238</v>
      </c>
      <c r="O13" s="132">
        <v>0.44795269564949297</v>
      </c>
      <c r="P13" s="132">
        <v>0.74092511043675069</v>
      </c>
      <c r="Q13" s="132">
        <v>0.59733416983612608</v>
      </c>
      <c r="R13" s="132">
        <v>0.70143303482848329</v>
      </c>
      <c r="S13" s="132">
        <v>0.73075750261753936</v>
      </c>
      <c r="T13" s="132">
        <v>0.69169144854719777</v>
      </c>
      <c r="U13" s="132">
        <v>0.57372242457773104</v>
      </c>
      <c r="V13" s="132">
        <v>0.44594220897072939</v>
      </c>
      <c r="W13" s="132">
        <v>0.56394256489889116</v>
      </c>
      <c r="X13" s="132">
        <v>0.74571792361172917</v>
      </c>
      <c r="Y13" s="132">
        <v>1.3263627334882409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0.63407714971330431</v>
      </c>
      <c r="E14" s="65">
        <v>2.2902667931101139</v>
      </c>
      <c r="F14" s="65">
        <v>5.0153221225866416</v>
      </c>
      <c r="G14" s="65">
        <v>8.8966550731386871</v>
      </c>
      <c r="H14" s="65">
        <v>9.7498000058828698</v>
      </c>
      <c r="I14" s="65">
        <v>7.1522997349181185</v>
      </c>
      <c r="J14" s="65">
        <v>3.1789742015687907</v>
      </c>
      <c r="K14" s="65">
        <v>0</v>
      </c>
      <c r="L14" s="65">
        <v>2.5512013662612021</v>
      </c>
      <c r="M14" s="65">
        <v>1.956037870382054</v>
      </c>
      <c r="N14" s="65">
        <v>1.6744838171166887</v>
      </c>
      <c r="O14" s="65">
        <v>1.3598406534943397</v>
      </c>
      <c r="P14" s="65">
        <v>0</v>
      </c>
      <c r="Q14" s="65">
        <v>0</v>
      </c>
      <c r="R14" s="65">
        <v>0</v>
      </c>
      <c r="S14" s="65">
        <v>1.4184423503572139</v>
      </c>
      <c r="T14" s="65">
        <v>3.9041016797746089</v>
      </c>
      <c r="U14" s="65">
        <v>2.1408693954215754</v>
      </c>
      <c r="V14" s="65">
        <v>1.6675199086606809</v>
      </c>
      <c r="W14" s="65">
        <v>1.0204027841999161</v>
      </c>
      <c r="X14" s="65">
        <v>1.8998038349850896</v>
      </c>
      <c r="Y14" s="65">
        <v>0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0.23954797273596323</v>
      </c>
      <c r="D15" s="134">
        <v>0.22351425703919053</v>
      </c>
      <c r="E15" s="134">
        <v>0.16361370939054512</v>
      </c>
      <c r="F15" s="134">
        <v>0.13662684748189552</v>
      </c>
      <c r="G15" s="134">
        <v>0.13500399094957777</v>
      </c>
      <c r="H15" s="134">
        <v>0.16788881690476185</v>
      </c>
      <c r="I15" s="134">
        <v>0.10568684926139968</v>
      </c>
      <c r="J15" s="134">
        <v>5.6850852263563997E-2</v>
      </c>
      <c r="K15" s="134">
        <v>2.0115873294544222E-2</v>
      </c>
      <c r="L15" s="134">
        <v>8.8494513724703711E-2</v>
      </c>
      <c r="M15" s="134">
        <v>6.1101026220302862E-2</v>
      </c>
      <c r="N15" s="134">
        <v>4.7780983151836466E-2</v>
      </c>
      <c r="O15" s="134">
        <v>6.1384431039755896E-2</v>
      </c>
      <c r="P15" s="134">
        <v>5.9486748900942611E-2</v>
      </c>
      <c r="Q15" s="134">
        <v>6.1477817976595323E-2</v>
      </c>
      <c r="R15" s="134">
        <v>0.1089417970939781</v>
      </c>
      <c r="S15" s="134">
        <v>0.12400745077627719</v>
      </c>
      <c r="T15" s="134">
        <v>8.8777543890341357E-2</v>
      </c>
      <c r="U15" s="134">
        <v>8.377460591490743E-2</v>
      </c>
      <c r="V15" s="134">
        <v>5.150178979420024E-2</v>
      </c>
      <c r="W15" s="134">
        <v>6.1446822204294399E-2</v>
      </c>
      <c r="X15" s="134">
        <v>3.9334222782179525E-2</v>
      </c>
      <c r="Y15" s="134">
        <v>2.4624202622555765E-2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1.2318519351956934</v>
      </c>
      <c r="D16" s="130">
        <f t="shared" si="6"/>
        <v>1.5731746073975772</v>
      </c>
      <c r="E16" s="130">
        <f t="shared" si="6"/>
        <v>1.3540471595684769</v>
      </c>
      <c r="F16" s="130">
        <f t="shared" si="6"/>
        <v>2.0118701050030579</v>
      </c>
      <c r="G16" s="130">
        <f t="shared" si="6"/>
        <v>2.0943690162759676</v>
      </c>
      <c r="H16" s="130">
        <f t="shared" si="6"/>
        <v>2.7607128827831522</v>
      </c>
      <c r="I16" s="130">
        <f t="shared" si="6"/>
        <v>2.6278811875455368</v>
      </c>
      <c r="J16" s="130">
        <f t="shared" si="6"/>
        <v>1.4846693406295748</v>
      </c>
      <c r="K16" s="130">
        <f t="shared" si="6"/>
        <v>0.36786255316818284</v>
      </c>
      <c r="L16" s="130">
        <f t="shared" si="6"/>
        <v>1.4437875409631886</v>
      </c>
      <c r="M16" s="130">
        <f t="shared" si="6"/>
        <v>1.0792307161774566</v>
      </c>
      <c r="N16" s="130">
        <f t="shared" si="6"/>
        <v>0.61312745793443646</v>
      </c>
      <c r="O16" s="130">
        <f t="shared" si="6"/>
        <v>0.68036403605572371</v>
      </c>
      <c r="P16" s="130">
        <f t="shared" si="6"/>
        <v>0.67775282814271687</v>
      </c>
      <c r="Q16" s="130">
        <f t="shared" si="6"/>
        <v>0.91459574742039795</v>
      </c>
      <c r="R16" s="130">
        <f t="shared" ref="R16:W16" si="7">SUM(R17:R18)</f>
        <v>1.2598309703555026</v>
      </c>
      <c r="S16" s="130">
        <f t="shared" si="7"/>
        <v>1.4164591743864159</v>
      </c>
      <c r="T16" s="130">
        <f t="shared" si="7"/>
        <v>1.3749923668501762</v>
      </c>
      <c r="U16" s="130">
        <f t="shared" si="7"/>
        <v>1.2934961137741023</v>
      </c>
      <c r="V16" s="130">
        <f t="shared" si="7"/>
        <v>1.1406075694914612</v>
      </c>
      <c r="W16" s="130">
        <f t="shared" si="7"/>
        <v>1.1159874751153618</v>
      </c>
      <c r="X16" s="130">
        <f t="shared" ref="X16:Y16" si="8">SUM(X17:X18)</f>
        <v>1.1583505064500093</v>
      </c>
      <c r="Y16" s="130">
        <f t="shared" si="8"/>
        <v>1.2056868225575954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3.9383866679378902E-3</v>
      </c>
      <c r="D17" s="132">
        <v>7.354390103225499E-3</v>
      </c>
      <c r="E17" s="132">
        <v>3.7751855404172816E-3</v>
      </c>
      <c r="F17" s="132">
        <v>1.5908337018541819E-2</v>
      </c>
      <c r="G17" s="132">
        <v>1.1967142717369044E-2</v>
      </c>
      <c r="H17" s="132">
        <v>1.4924680503807821E-2</v>
      </c>
      <c r="I17" s="132">
        <v>2.3080797096425177E-2</v>
      </c>
      <c r="J17" s="132">
        <v>1.3432714497060282E-2</v>
      </c>
      <c r="K17" s="132">
        <v>6.8414349358084615E-3</v>
      </c>
      <c r="L17" s="132">
        <v>1.3687365194819239E-2</v>
      </c>
      <c r="M17" s="132">
        <v>1.2263002907247815E-2</v>
      </c>
      <c r="N17" s="132">
        <v>9.6254031969817098E-3</v>
      </c>
      <c r="O17" s="132">
        <v>1.1486371154793999E-2</v>
      </c>
      <c r="P17" s="132">
        <v>1.4000634981355746E-2</v>
      </c>
      <c r="Q17" s="132">
        <v>2.0613819918791951E-2</v>
      </c>
      <c r="R17" s="132">
        <v>2.2170590606438782E-2</v>
      </c>
      <c r="S17" s="132">
        <v>3.7463739951572678E-2</v>
      </c>
      <c r="T17" s="132">
        <v>3.1293210028701827E-2</v>
      </c>
      <c r="U17" s="132">
        <v>4.2139886729944585E-2</v>
      </c>
      <c r="V17" s="132">
        <v>2.4959751211007984E-2</v>
      </c>
      <c r="W17" s="132">
        <v>2.0137909884180856E-2</v>
      </c>
      <c r="X17" s="132">
        <v>2.9246843471428832E-2</v>
      </c>
      <c r="Y17" s="132">
        <v>3.0705611729850021E-2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1.2279135485277555</v>
      </c>
      <c r="D18" s="132">
        <v>1.5658202172943516</v>
      </c>
      <c r="E18" s="132">
        <v>1.3502719740280595</v>
      </c>
      <c r="F18" s="132">
        <v>1.9959617679845159</v>
      </c>
      <c r="G18" s="132">
        <v>2.0824018735585987</v>
      </c>
      <c r="H18" s="132">
        <v>2.7457882022793445</v>
      </c>
      <c r="I18" s="132">
        <v>2.6048003904491117</v>
      </c>
      <c r="J18" s="132">
        <v>1.4712366261325145</v>
      </c>
      <c r="K18" s="132">
        <v>0.36102111823237437</v>
      </c>
      <c r="L18" s="132">
        <v>1.4301001757683693</v>
      </c>
      <c r="M18" s="132">
        <v>1.0669677132702087</v>
      </c>
      <c r="N18" s="132">
        <v>0.60350205473745477</v>
      </c>
      <c r="O18" s="132">
        <v>0.6688776649009297</v>
      </c>
      <c r="P18" s="132">
        <v>0.66375219316136114</v>
      </c>
      <c r="Q18" s="132">
        <v>0.89398192750160599</v>
      </c>
      <c r="R18" s="132">
        <v>1.2376603797490637</v>
      </c>
      <c r="S18" s="132">
        <v>1.3789954344348432</v>
      </c>
      <c r="T18" s="132">
        <v>1.3436991568214744</v>
      </c>
      <c r="U18" s="132">
        <v>1.2513562270441578</v>
      </c>
      <c r="V18" s="132">
        <v>1.1156478182804532</v>
      </c>
      <c r="W18" s="132">
        <v>1.0958495652311808</v>
      </c>
      <c r="X18" s="132">
        <v>1.1291036629785804</v>
      </c>
      <c r="Y18" s="132">
        <v>1.1749812108277453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2.4559118340389805</v>
      </c>
      <c r="D19" s="130">
        <f t="shared" si="9"/>
        <v>3.4904195926757975</v>
      </c>
      <c r="E19" s="130">
        <f t="shared" si="9"/>
        <v>2.5566936876285853</v>
      </c>
      <c r="F19" s="130">
        <f t="shared" si="9"/>
        <v>4.5689419729666358</v>
      </c>
      <c r="G19" s="130">
        <f t="shared" si="9"/>
        <v>5.4051268963764763</v>
      </c>
      <c r="H19" s="130">
        <f t="shared" si="9"/>
        <v>6.8599486639762013</v>
      </c>
      <c r="I19" s="130">
        <f t="shared" si="9"/>
        <v>6.1897187469162418</v>
      </c>
      <c r="J19" s="130">
        <f t="shared" si="9"/>
        <v>3.7816735246289559</v>
      </c>
      <c r="K19" s="130">
        <f t="shared" si="9"/>
        <v>1.0724280531415693</v>
      </c>
      <c r="L19" s="130">
        <f t="shared" si="9"/>
        <v>4.1484726700896344</v>
      </c>
      <c r="M19" s="130">
        <f t="shared" si="9"/>
        <v>3.5272566685312294</v>
      </c>
      <c r="N19" s="130">
        <f t="shared" si="9"/>
        <v>1.9182164493758016</v>
      </c>
      <c r="O19" s="130">
        <f t="shared" si="9"/>
        <v>2.0045275498718564</v>
      </c>
      <c r="P19" s="130">
        <f t="shared" si="9"/>
        <v>2.6695619441647334</v>
      </c>
      <c r="Q19" s="130">
        <f t="shared" si="9"/>
        <v>2.7282404868129926</v>
      </c>
      <c r="R19" s="130">
        <f t="shared" ref="R19:W19" si="10">SUM(R20:R27)</f>
        <v>4.4562704358651519</v>
      </c>
      <c r="S19" s="130">
        <f t="shared" si="10"/>
        <v>5.4567459441541422</v>
      </c>
      <c r="T19" s="130">
        <f t="shared" si="10"/>
        <v>5.1809982738894256</v>
      </c>
      <c r="U19" s="130">
        <f t="shared" si="10"/>
        <v>4.683750664990602</v>
      </c>
      <c r="V19" s="130">
        <f t="shared" si="10"/>
        <v>4.1717120960378287</v>
      </c>
      <c r="W19" s="130">
        <f t="shared" si="10"/>
        <v>3.6386803836813897</v>
      </c>
      <c r="X19" s="130">
        <f t="shared" ref="X19:Y19" si="11">SUM(X20:X27)</f>
        <v>4.0476072318595966</v>
      </c>
      <c r="Y19" s="130">
        <f t="shared" si="11"/>
        <v>3.8207838404395353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0.15125654012776149</v>
      </c>
      <c r="D21" s="132">
        <v>0.40996860241427036</v>
      </c>
      <c r="E21" s="132">
        <v>0.26173791611662817</v>
      </c>
      <c r="F21" s="132">
        <v>0.42241023163721958</v>
      </c>
      <c r="G21" s="132">
        <v>0.36930181125782574</v>
      </c>
      <c r="H21" s="132">
        <v>0.40407972359063243</v>
      </c>
      <c r="I21" s="132">
        <v>0.18794105716693474</v>
      </c>
      <c r="J21" s="132">
        <v>0</v>
      </c>
      <c r="K21" s="132">
        <v>2.4424851208243944E-2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0.33440568420826378</v>
      </c>
      <c r="D22" s="132">
        <v>0.68868020620508152</v>
      </c>
      <c r="E22" s="132">
        <v>0.25791127458256058</v>
      </c>
      <c r="F22" s="132">
        <v>0.62868230211726384</v>
      </c>
      <c r="G22" s="132">
        <v>0.37095351573950341</v>
      </c>
      <c r="H22" s="132">
        <v>0.55249648645043237</v>
      </c>
      <c r="I22" s="132">
        <v>0.2606379100028291</v>
      </c>
      <c r="J22" s="132">
        <v>0.11028193363050406</v>
      </c>
      <c r="K22" s="132">
        <v>0.10114330848446518</v>
      </c>
      <c r="L22" s="132">
        <v>9.1175742699449683E-2</v>
      </c>
      <c r="M22" s="132">
        <v>0.14009451592816211</v>
      </c>
      <c r="N22" s="132">
        <v>8.3092051727340036E-2</v>
      </c>
      <c r="O22" s="132">
        <v>0.245212160046021</v>
      </c>
      <c r="P22" s="132">
        <v>0</v>
      </c>
      <c r="Q22" s="132">
        <v>0.13743809206159732</v>
      </c>
      <c r="R22" s="132">
        <v>0.35012266843777667</v>
      </c>
      <c r="S22" s="132">
        <v>0.4104276340077001</v>
      </c>
      <c r="T22" s="132">
        <v>0.30623663653822009</v>
      </c>
      <c r="U22" s="132">
        <v>0.39840953204671237</v>
      </c>
      <c r="V22" s="132">
        <v>0.18160325260431465</v>
      </c>
      <c r="W22" s="132">
        <v>0.36197386000234139</v>
      </c>
      <c r="X22" s="132">
        <v>0.29571373384416588</v>
      </c>
      <c r="Y22" s="132">
        <v>0.372053378109091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0.15060615123864285</v>
      </c>
      <c r="D23" s="132">
        <v>0.36340216158766825</v>
      </c>
      <c r="E23" s="132">
        <v>0.17784500184850233</v>
      </c>
      <c r="F23" s="132">
        <v>0.47668052737877958</v>
      </c>
      <c r="G23" s="132">
        <v>0.50313995075299223</v>
      </c>
      <c r="H23" s="132">
        <v>0.59333470115018849</v>
      </c>
      <c r="I23" s="132">
        <v>0.57352319318988032</v>
      </c>
      <c r="J23" s="132">
        <v>0.29629735788291323</v>
      </c>
      <c r="K23" s="132">
        <v>0.10881780261216303</v>
      </c>
      <c r="L23" s="132">
        <v>0.27165142072667064</v>
      </c>
      <c r="M23" s="132">
        <v>0.22163188146828025</v>
      </c>
      <c r="N23" s="132">
        <v>0.12628725999141324</v>
      </c>
      <c r="O23" s="132">
        <v>0.2784973127569958</v>
      </c>
      <c r="P23" s="132">
        <v>0.20558618429072356</v>
      </c>
      <c r="Q23" s="132">
        <v>0.37669903683160422</v>
      </c>
      <c r="R23" s="132">
        <v>0.57362916572661082</v>
      </c>
      <c r="S23" s="132">
        <v>0.41129474780988257</v>
      </c>
      <c r="T23" s="132">
        <v>0.3692461600688553</v>
      </c>
      <c r="U23" s="132">
        <v>0.57507097789288564</v>
      </c>
      <c r="V23" s="132">
        <v>0.43731662761915147</v>
      </c>
      <c r="W23" s="132">
        <v>0.60592629316512503</v>
      </c>
      <c r="X23" s="132">
        <v>0.63796190220135718</v>
      </c>
      <c r="Y23" s="132">
        <v>0.75781388449415998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3.6842077038216792E-2</v>
      </c>
      <c r="D24" s="132">
        <v>8.5043208016498076E-2</v>
      </c>
      <c r="E24" s="132">
        <v>3.5736602926304303E-2</v>
      </c>
      <c r="F24" s="132">
        <v>0.10761285859217376</v>
      </c>
      <c r="G24" s="132">
        <v>0.10945641129303886</v>
      </c>
      <c r="H24" s="132">
        <v>0.13187332095204862</v>
      </c>
      <c r="I24" s="132">
        <v>0.12118865758470675</v>
      </c>
      <c r="J24" s="132">
        <v>6.7392788843573984E-2</v>
      </c>
      <c r="K24" s="132">
        <v>2.5662822147773184E-2</v>
      </c>
      <c r="L24" s="132">
        <v>7.0199332643159071E-2</v>
      </c>
      <c r="M24" s="132">
        <v>5.9047908775077269E-2</v>
      </c>
      <c r="N24" s="132">
        <v>3.3644295409700001E-2</v>
      </c>
      <c r="O24" s="132">
        <v>6.9334518115844276E-2</v>
      </c>
      <c r="P24" s="132">
        <v>5.6865940744009809E-2</v>
      </c>
      <c r="Q24" s="132">
        <v>9.8179051044145038E-2</v>
      </c>
      <c r="R24" s="132">
        <v>0.14233785327541307</v>
      </c>
      <c r="S24" s="132">
        <v>0.10806467269951134</v>
      </c>
      <c r="T24" s="132">
        <v>9.472445307569663E-2</v>
      </c>
      <c r="U24" s="132">
        <v>0.14652624771552825</v>
      </c>
      <c r="V24" s="132">
        <v>9.4069624721644152E-2</v>
      </c>
      <c r="W24" s="132">
        <v>0.13247423523397042</v>
      </c>
      <c r="X24" s="132">
        <v>0.13037487051555746</v>
      </c>
      <c r="Y24" s="132">
        <v>0.16321480865031585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0.33501208576775032</v>
      </c>
      <c r="D25" s="132">
        <v>0.66800392372543793</v>
      </c>
      <c r="E25" s="132">
        <v>0.24704986597568029</v>
      </c>
      <c r="F25" s="132">
        <v>0.91558750796000798</v>
      </c>
      <c r="G25" s="132">
        <v>1.3158808818825252</v>
      </c>
      <c r="H25" s="132">
        <v>2.0839848270800263</v>
      </c>
      <c r="I25" s="132">
        <v>3.205408216329515</v>
      </c>
      <c r="J25" s="132">
        <v>1.7119491107704097</v>
      </c>
      <c r="K25" s="132">
        <v>0.56271844043546793</v>
      </c>
      <c r="L25" s="132">
        <v>1.314553304652105</v>
      </c>
      <c r="M25" s="132">
        <v>0.94720049484835322</v>
      </c>
      <c r="N25" s="132">
        <v>0.4258174254371026</v>
      </c>
      <c r="O25" s="132">
        <v>0.82453191447853791</v>
      </c>
      <c r="P25" s="132">
        <v>0.30328302874718543</v>
      </c>
      <c r="Q25" s="132">
        <v>1.157392531735596</v>
      </c>
      <c r="R25" s="132">
        <v>1.7775634767733037</v>
      </c>
      <c r="S25" s="132">
        <v>1.2738888673140993</v>
      </c>
      <c r="T25" s="132">
        <v>1.3505757734379402</v>
      </c>
      <c r="U25" s="132">
        <v>1.8616778400188383</v>
      </c>
      <c r="V25" s="132">
        <v>1.0524857266921879</v>
      </c>
      <c r="W25" s="132">
        <v>1.7693811502424586</v>
      </c>
      <c r="X25" s="132">
        <v>0.99173614575896407</v>
      </c>
      <c r="Y25" s="132">
        <v>1.9068175354471273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0.36572887045207836</v>
      </c>
      <c r="D26" s="65">
        <v>0.45671056445825303</v>
      </c>
      <c r="E26" s="65">
        <v>0.34112332504968051</v>
      </c>
      <c r="F26" s="65">
        <v>0.61487181620877507</v>
      </c>
      <c r="G26" s="65">
        <v>2.7363943254505849</v>
      </c>
      <c r="H26" s="65">
        <v>3.0941796047528727</v>
      </c>
      <c r="I26" s="65">
        <v>0.17535174759898656</v>
      </c>
      <c r="J26" s="65">
        <v>2.110484908226515E-3</v>
      </c>
      <c r="K26" s="65">
        <v>0.24966082825345606</v>
      </c>
      <c r="L26" s="65">
        <v>1.6536590363553888E-3</v>
      </c>
      <c r="M26" s="65">
        <v>4.3427468944038563E-3</v>
      </c>
      <c r="N26" s="65">
        <v>5.340259056719707E-3</v>
      </c>
      <c r="O26" s="65">
        <v>0.58695164447443782</v>
      </c>
      <c r="P26" s="65">
        <v>1.234986995350958E-2</v>
      </c>
      <c r="Q26" s="65">
        <v>0.95853177514003907</v>
      </c>
      <c r="R26" s="65">
        <v>1.6126172716520342</v>
      </c>
      <c r="S26" s="65">
        <v>1.3298288920221181E-2</v>
      </c>
      <c r="T26" s="65">
        <v>8.3499444077842627E-3</v>
      </c>
      <c r="U26" s="65">
        <v>1.0105483700242082E-2</v>
      </c>
      <c r="V26" s="65">
        <v>1.0970236462025851E-2</v>
      </c>
      <c r="W26" s="65">
        <v>0.76892484503749414</v>
      </c>
      <c r="X26" s="65">
        <v>5.0272761780205261E-3</v>
      </c>
      <c r="Y26" s="65">
        <v>0.62088423373884083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1.0820604252062669</v>
      </c>
      <c r="D27" s="147">
        <v>0.81861092626858822</v>
      </c>
      <c r="E27" s="147">
        <v>1.2352897011292294</v>
      </c>
      <c r="F27" s="147">
        <v>1.4030967290724159</v>
      </c>
      <c r="G27" s="147">
        <v>5.6731610344409436E-15</v>
      </c>
      <c r="H27" s="147">
        <v>0</v>
      </c>
      <c r="I27" s="147">
        <v>1.6656679650433901</v>
      </c>
      <c r="J27" s="147">
        <v>1.5936418485933286</v>
      </c>
      <c r="K27" s="147">
        <v>0</v>
      </c>
      <c r="L27" s="147">
        <v>2.3992392103318947</v>
      </c>
      <c r="M27" s="147">
        <v>2.1549391206169526</v>
      </c>
      <c r="N27" s="147">
        <v>1.244035157753526</v>
      </c>
      <c r="O27" s="147">
        <v>1.9619563703781315E-14</v>
      </c>
      <c r="P27" s="147">
        <v>2.0914769204293049</v>
      </c>
      <c r="Q27" s="147">
        <v>1.1086853537017336E-14</v>
      </c>
      <c r="R27" s="147">
        <v>1.3009410879703194E-14</v>
      </c>
      <c r="S27" s="147">
        <v>3.2397717334027276</v>
      </c>
      <c r="T27" s="147">
        <v>3.0518653063609285</v>
      </c>
      <c r="U27" s="147">
        <v>1.6919605836163953</v>
      </c>
      <c r="V27" s="147">
        <v>2.3952666279385046</v>
      </c>
      <c r="W27" s="147">
        <v>0</v>
      </c>
      <c r="X27" s="147">
        <v>1.9867933033615315</v>
      </c>
      <c r="Y27" s="147">
        <v>0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2.3271298907647582</v>
      </c>
      <c r="D29" s="130">
        <f t="shared" si="12"/>
        <v>3.8490123737215893</v>
      </c>
      <c r="E29" s="130">
        <f t="shared" si="12"/>
        <v>3.0667222622960764</v>
      </c>
      <c r="F29" s="130">
        <f t="shared" si="12"/>
        <v>4.7108686461072153</v>
      </c>
      <c r="G29" s="130">
        <f t="shared" si="12"/>
        <v>4.9115332855805107</v>
      </c>
      <c r="H29" s="130">
        <f t="shared" si="12"/>
        <v>6.011027997483934</v>
      </c>
      <c r="I29" s="130">
        <f t="shared" si="12"/>
        <v>5.993696686785464</v>
      </c>
      <c r="J29" s="130">
        <f t="shared" si="12"/>
        <v>3.8377085421840622</v>
      </c>
      <c r="K29" s="130">
        <f t="shared" si="12"/>
        <v>1.0286671182707265</v>
      </c>
      <c r="L29" s="130">
        <f t="shared" si="12"/>
        <v>4.0335787559964551</v>
      </c>
      <c r="M29" s="130">
        <f t="shared" si="12"/>
        <v>2.9727174439695356</v>
      </c>
      <c r="N29" s="130">
        <f t="shared" si="12"/>
        <v>1.8741483495919691</v>
      </c>
      <c r="O29" s="130">
        <f t="shared" si="12"/>
        <v>2.0559474952153285</v>
      </c>
      <c r="P29" s="130">
        <f t="shared" si="12"/>
        <v>2.4725632170430254</v>
      </c>
      <c r="Q29" s="130">
        <f t="shared" si="12"/>
        <v>2.9927326705024946</v>
      </c>
      <c r="R29" s="130">
        <f t="shared" ref="R29:W29" si="13">SUM(R30:R33)</f>
        <v>4.7532723309253848</v>
      </c>
      <c r="S29" s="130">
        <f t="shared" si="13"/>
        <v>5.0945692238939557</v>
      </c>
      <c r="T29" s="130">
        <f t="shared" si="13"/>
        <v>4.8841233403821018</v>
      </c>
      <c r="U29" s="130">
        <f t="shared" si="13"/>
        <v>4.444117225189558</v>
      </c>
      <c r="V29" s="130">
        <f t="shared" si="13"/>
        <v>4.0976295895242005</v>
      </c>
      <c r="W29" s="130">
        <f t="shared" si="13"/>
        <v>4.1879185732832918</v>
      </c>
      <c r="X29" s="130">
        <f t="shared" ref="X29:Y29" si="14">SUM(X30:X33)</f>
        <v>4.0279904918634948</v>
      </c>
      <c r="Y29" s="130">
        <f t="shared" si="14"/>
        <v>3.9847758384738357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0.30024254064217548</v>
      </c>
      <c r="D30" s="132">
        <v>2.0131784865534645</v>
      </c>
      <c r="E30" s="132">
        <v>1.4045513958599962</v>
      </c>
      <c r="F30" s="132">
        <v>1.0729557042422662</v>
      </c>
      <c r="G30" s="132">
        <v>0.50665615928269958</v>
      </c>
      <c r="H30" s="132">
        <v>7.4522241190573699E-2</v>
      </c>
      <c r="I30" s="132">
        <v>0</v>
      </c>
      <c r="J30" s="132">
        <v>0.13193842938070224</v>
      </c>
      <c r="K30" s="132">
        <v>0.12975941375405389</v>
      </c>
      <c r="L30" s="132">
        <v>0.75397951065391611</v>
      </c>
      <c r="M30" s="132">
        <v>0</v>
      </c>
      <c r="N30" s="132">
        <v>0</v>
      </c>
      <c r="O30" s="132">
        <v>0</v>
      </c>
      <c r="P30" s="132">
        <v>0</v>
      </c>
      <c r="Q30" s="132">
        <v>0.13934517891600781</v>
      </c>
      <c r="R30" s="132">
        <v>0.12514867302781069</v>
      </c>
      <c r="S30" s="132">
        <v>0.42081750075599766</v>
      </c>
      <c r="T30" s="132">
        <v>0.13433866207166481</v>
      </c>
      <c r="U30" s="132">
        <v>0.11788606264670209</v>
      </c>
      <c r="V30" s="132">
        <v>6.7259453801666674E-2</v>
      </c>
      <c r="W30" s="132">
        <v>7.5554661837178058E-2</v>
      </c>
      <c r="X30" s="132">
        <v>0</v>
      </c>
      <c r="Y30" s="132">
        <v>0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0.97866906857794234</v>
      </c>
      <c r="D31" s="132">
        <v>1.3217053702859385</v>
      </c>
      <c r="E31" s="132">
        <v>1.0740927749799873</v>
      </c>
      <c r="F31" s="132">
        <v>1.799497478477996</v>
      </c>
      <c r="G31" s="132">
        <v>1.7991219481184035</v>
      </c>
      <c r="H31" s="132">
        <v>2.1461921459142821</v>
      </c>
      <c r="I31" s="132">
        <v>1.741368159372793</v>
      </c>
      <c r="J31" s="132">
        <v>1.4416972544830207</v>
      </c>
      <c r="K31" s="132">
        <v>0.46271136638488619</v>
      </c>
      <c r="L31" s="132">
        <v>1.4404385785242522</v>
      </c>
      <c r="M31" s="132">
        <v>1.2060614438486743</v>
      </c>
      <c r="N31" s="132">
        <v>0.51395538311885058</v>
      </c>
      <c r="O31" s="132">
        <v>0.76909765897279403</v>
      </c>
      <c r="P31" s="132">
        <v>1.041925131901893</v>
      </c>
      <c r="Q31" s="132">
        <v>1.2528790483178853</v>
      </c>
      <c r="R31" s="132">
        <v>1.7680695172499341</v>
      </c>
      <c r="S31" s="132">
        <v>1.8623232683645625</v>
      </c>
      <c r="T31" s="132">
        <v>1.8364308081789718</v>
      </c>
      <c r="U31" s="132">
        <v>1.7776982480793346</v>
      </c>
      <c r="V31" s="132">
        <v>1.6419502184866737</v>
      </c>
      <c r="W31" s="132">
        <v>1.9457039419133288</v>
      </c>
      <c r="X31" s="132">
        <v>1.6967070088226892</v>
      </c>
      <c r="Y31" s="132">
        <v>1.56233141210092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4.256850958596628E-2</v>
      </c>
      <c r="D32" s="132">
        <v>5.8730073203753758E-2</v>
      </c>
      <c r="E32" s="132">
        <v>4.2249162045889618E-2</v>
      </c>
      <c r="F32" s="132">
        <v>7.1140022440006709E-2</v>
      </c>
      <c r="G32" s="132">
        <v>6.357818005955311E-2</v>
      </c>
      <c r="H32" s="132">
        <v>7.7006573979007606E-2</v>
      </c>
      <c r="I32" s="132">
        <v>6.2110571324637931E-2</v>
      </c>
      <c r="J32" s="132">
        <v>5.4339174801229358E-2</v>
      </c>
      <c r="K32" s="132">
        <v>1.8244161357432998E-2</v>
      </c>
      <c r="L32" s="132">
        <v>6.4516580439681406E-2</v>
      </c>
      <c r="M32" s="132">
        <v>3.6510848930079089E-2</v>
      </c>
      <c r="N32" s="132">
        <v>2.3073958061807461E-2</v>
      </c>
      <c r="O32" s="132">
        <v>3.4801297927840188E-2</v>
      </c>
      <c r="P32" s="132">
        <v>5.4672523782127586E-2</v>
      </c>
      <c r="Q32" s="132">
        <v>7.1887177022996962E-2</v>
      </c>
      <c r="R32" s="132">
        <v>0.10084075680091455</v>
      </c>
      <c r="S32" s="132">
        <v>0.10950286280281879</v>
      </c>
      <c r="T32" s="132">
        <v>0.12522641617320299</v>
      </c>
      <c r="U32" s="132">
        <v>0.12745281214976528</v>
      </c>
      <c r="V32" s="132">
        <v>0.11029455546440486</v>
      </c>
      <c r="W32" s="132">
        <v>8.5338961530802615E-2</v>
      </c>
      <c r="X32" s="132">
        <v>7.1182846220682841E-2</v>
      </c>
      <c r="Y32" s="132">
        <v>7.668437405105176E-2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1.0056497719586739</v>
      </c>
      <c r="D33" s="68">
        <v>0.45539844367843257</v>
      </c>
      <c r="E33" s="68">
        <v>0.54582892941020311</v>
      </c>
      <c r="F33" s="68">
        <v>1.7672754409469462</v>
      </c>
      <c r="G33" s="68">
        <v>2.5421769981198539</v>
      </c>
      <c r="H33" s="68">
        <v>3.7133070364000704</v>
      </c>
      <c r="I33" s="68">
        <v>4.1902179560880333</v>
      </c>
      <c r="J33" s="68">
        <v>2.2097336835191097</v>
      </c>
      <c r="K33" s="68">
        <v>0.41795217677435342</v>
      </c>
      <c r="L33" s="68">
        <v>1.7746440863786053</v>
      </c>
      <c r="M33" s="68">
        <v>1.7301451511907822</v>
      </c>
      <c r="N33" s="68">
        <v>1.3371190084113111</v>
      </c>
      <c r="O33" s="68">
        <v>1.2520485383146944</v>
      </c>
      <c r="P33" s="68">
        <v>1.3759655613590052</v>
      </c>
      <c r="Q33" s="68">
        <v>1.5286212662456045</v>
      </c>
      <c r="R33" s="68">
        <v>2.7592133838467254</v>
      </c>
      <c r="S33" s="68">
        <v>2.7019255919705762</v>
      </c>
      <c r="T33" s="68">
        <v>2.7881274539582628</v>
      </c>
      <c r="U33" s="68">
        <v>2.4210801023137565</v>
      </c>
      <c r="V33" s="68">
        <v>2.2781253617714552</v>
      </c>
      <c r="W33" s="68">
        <v>2.0813210080019822</v>
      </c>
      <c r="X33" s="68">
        <v>2.2601006368201224</v>
      </c>
      <c r="Y33" s="68">
        <v>2.345760052321864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20.932195844295141</v>
      </c>
      <c r="D3" s="125">
        <f t="shared" si="0"/>
        <v>26.394296455898846</v>
      </c>
      <c r="E3" s="125">
        <f t="shared" si="0"/>
        <v>23.278767225276702</v>
      </c>
      <c r="F3" s="125">
        <f t="shared" si="0"/>
        <v>35.455997912752217</v>
      </c>
      <c r="G3" s="125">
        <f t="shared" si="0"/>
        <v>40.882290618600038</v>
      </c>
      <c r="H3" s="125">
        <f t="shared" si="0"/>
        <v>51.836946669280678</v>
      </c>
      <c r="I3" s="125">
        <f t="shared" si="0"/>
        <v>45.179694484069266</v>
      </c>
      <c r="J3" s="125">
        <f t="shared" si="0"/>
        <v>28.871387314344723</v>
      </c>
      <c r="K3" s="125">
        <f t="shared" si="0"/>
        <v>6.8817981408285522</v>
      </c>
      <c r="L3" s="125">
        <f t="shared" si="0"/>
        <v>27.980080357478617</v>
      </c>
      <c r="M3" s="125">
        <f t="shared" si="0"/>
        <v>21.226356285208244</v>
      </c>
      <c r="N3" s="125">
        <f t="shared" si="0"/>
        <v>12.555819966019307</v>
      </c>
      <c r="O3" s="125">
        <f t="shared" si="0"/>
        <v>13.456970178460931</v>
      </c>
      <c r="P3" s="125">
        <f t="shared" si="0"/>
        <v>15.363584113397463</v>
      </c>
      <c r="Q3" s="125">
        <f t="shared" si="0"/>
        <v>17.993938987658542</v>
      </c>
      <c r="R3" s="125">
        <f t="shared" ref="R3:W3" si="1">SUM(R4,R16,R19,R29)</f>
        <v>28.060652403487737</v>
      </c>
      <c r="S3" s="125">
        <f t="shared" si="1"/>
        <v>33.124570369019033</v>
      </c>
      <c r="T3" s="125">
        <f t="shared" si="1"/>
        <v>31.366767308819256</v>
      </c>
      <c r="U3" s="125">
        <f t="shared" si="1"/>
        <v>28.525378111098579</v>
      </c>
      <c r="V3" s="125">
        <f t="shared" si="1"/>
        <v>24.469044714612579</v>
      </c>
      <c r="W3" s="125">
        <f t="shared" si="1"/>
        <v>24.010914994518011</v>
      </c>
      <c r="X3" s="125">
        <f t="shared" ref="X3:Y3" si="2">SUM(X4,X16,X19,X29)</f>
        <v>24.325603416572726</v>
      </c>
      <c r="Y3" s="125">
        <f t="shared" si="2"/>
        <v>24.427015977690406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14.349668818119508</v>
      </c>
      <c r="D4" s="130">
        <f t="shared" si="3"/>
        <v>17.459437342207412</v>
      </c>
      <c r="E4" s="130">
        <f t="shared" si="3"/>
        <v>15.756220941608548</v>
      </c>
      <c r="F4" s="130">
        <f t="shared" si="3"/>
        <v>23.392206722431304</v>
      </c>
      <c r="G4" s="130">
        <f t="shared" si="3"/>
        <v>27.815390319539326</v>
      </c>
      <c r="H4" s="130">
        <f t="shared" si="3"/>
        <v>34.731062395440411</v>
      </c>
      <c r="I4" s="130">
        <f t="shared" si="3"/>
        <v>27.882672732628805</v>
      </c>
      <c r="J4" s="130">
        <f t="shared" si="3"/>
        <v>18.285082442197041</v>
      </c>
      <c r="K4" s="130">
        <f t="shared" si="3"/>
        <v>4.1936726399650093</v>
      </c>
      <c r="L4" s="130">
        <f t="shared" si="3"/>
        <v>16.707279048598387</v>
      </c>
      <c r="M4" s="130">
        <f t="shared" si="3"/>
        <v>12.181902176911482</v>
      </c>
      <c r="N4" s="130">
        <f t="shared" si="3"/>
        <v>7.1862129283637293</v>
      </c>
      <c r="O4" s="130">
        <f t="shared" si="3"/>
        <v>7.7658718483483602</v>
      </c>
      <c r="P4" s="130">
        <f t="shared" si="3"/>
        <v>8.3156465424753652</v>
      </c>
      <c r="Q4" s="130">
        <f t="shared" si="3"/>
        <v>9.739678052751696</v>
      </c>
      <c r="R4" s="130">
        <f t="shared" ref="R4:W4" si="4">SUM(R5:R15)</f>
        <v>15.350847321593418</v>
      </c>
      <c r="S4" s="130">
        <f t="shared" si="4"/>
        <v>18.197571873188942</v>
      </c>
      <c r="T4" s="130">
        <f t="shared" si="4"/>
        <v>16.858016360158661</v>
      </c>
      <c r="U4" s="130">
        <f t="shared" si="4"/>
        <v>15.289066036218177</v>
      </c>
      <c r="V4" s="130">
        <f t="shared" si="4"/>
        <v>12.449865768147124</v>
      </c>
      <c r="W4" s="130">
        <f t="shared" si="4"/>
        <v>12.67459563241122</v>
      </c>
      <c r="X4" s="130">
        <f t="shared" ref="X4:Y4" si="5">SUM(X5:X15)</f>
        <v>12.325291788726075</v>
      </c>
      <c r="Y4" s="130">
        <f t="shared" si="5"/>
        <v>12.495723297793974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1.0814347884946677E-2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4.4284163630062716</v>
      </c>
      <c r="D7" s="132">
        <v>4.5024696232411028</v>
      </c>
      <c r="E7" s="132">
        <v>4.1484406688914559</v>
      </c>
      <c r="F7" s="132">
        <v>3.8634736664206919</v>
      </c>
      <c r="G7" s="132">
        <v>3.6244111032257846</v>
      </c>
      <c r="H7" s="132">
        <v>4.475944907298878</v>
      </c>
      <c r="I7" s="132">
        <v>1.5067562152914817</v>
      </c>
      <c r="J7" s="132">
        <v>0</v>
      </c>
      <c r="K7" s="132">
        <v>0</v>
      </c>
      <c r="L7" s="132">
        <v>0</v>
      </c>
      <c r="M7" s="132">
        <v>0</v>
      </c>
      <c r="N7" s="132">
        <v>0</v>
      </c>
      <c r="O7" s="132">
        <v>0.92705168638075286</v>
      </c>
      <c r="P7" s="132">
        <v>1.2587245443010642</v>
      </c>
      <c r="Q7" s="132">
        <v>1.7588807065742236</v>
      </c>
      <c r="R7" s="132">
        <v>2.1897103931094226</v>
      </c>
      <c r="S7" s="132">
        <v>3.3018966982451148</v>
      </c>
      <c r="T7" s="132">
        <v>2.4972471749223057</v>
      </c>
      <c r="U7" s="132">
        <v>1.5893713881641927</v>
      </c>
      <c r="V7" s="132">
        <v>1.2222669249342974</v>
      </c>
      <c r="W7" s="132">
        <v>0.7767323244908948</v>
      </c>
      <c r="X7" s="132">
        <v>0</v>
      </c>
      <c r="Y7" s="132">
        <v>0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0.1118915465396129</v>
      </c>
      <c r="D8" s="132">
        <v>0.2002020041703747</v>
      </c>
      <c r="E8" s="132">
        <v>0.19704378251831722</v>
      </c>
      <c r="F8" s="132">
        <v>0.31625294726470249</v>
      </c>
      <c r="G8" s="132">
        <v>0.23121510392219818</v>
      </c>
      <c r="H8" s="132">
        <v>0.30354210247294244</v>
      </c>
      <c r="I8" s="132">
        <v>0.1798862007280779</v>
      </c>
      <c r="J8" s="132">
        <v>0.12305215703468964</v>
      </c>
      <c r="K8" s="132">
        <v>1.7657543445683817E-2</v>
      </c>
      <c r="L8" s="132">
        <v>2.9452312783466005E-2</v>
      </c>
      <c r="M8" s="132">
        <v>2.2140029417105495E-2</v>
      </c>
      <c r="N8" s="132">
        <v>1.5739280971737706E-2</v>
      </c>
      <c r="O8" s="132">
        <v>2.5076458221905702E-2</v>
      </c>
      <c r="P8" s="132">
        <v>9.0560394635539984E-2</v>
      </c>
      <c r="Q8" s="132">
        <v>0.10684073104628089</v>
      </c>
      <c r="R8" s="132">
        <v>0.17996647324845746</v>
      </c>
      <c r="S8" s="132">
        <v>0.18594746497609541</v>
      </c>
      <c r="T8" s="132">
        <v>0.15186685246785095</v>
      </c>
      <c r="U8" s="132">
        <v>0.12315383053166137</v>
      </c>
      <c r="V8" s="132">
        <v>7.5571925359655803E-2</v>
      </c>
      <c r="W8" s="132">
        <v>6.9037324558000379E-2</v>
      </c>
      <c r="X8" s="132">
        <v>2.6337720780366558E-2</v>
      </c>
      <c r="Y8" s="132">
        <v>6.6305952690174832E-3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7.2270012977599931</v>
      </c>
      <c r="D9" s="132">
        <v>5.6133469470651081</v>
      </c>
      <c r="E9" s="132">
        <v>3.0375433668005001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0.30417993841768598</v>
      </c>
      <c r="L9" s="132">
        <v>2.519819632360373</v>
      </c>
      <c r="M9" s="132">
        <v>2.0531643926603236</v>
      </c>
      <c r="N9" s="132">
        <v>2.4072539357230212</v>
      </c>
      <c r="O9" s="132">
        <v>2.3810545622081909</v>
      </c>
      <c r="P9" s="132">
        <v>1.808051641248589</v>
      </c>
      <c r="Q9" s="132">
        <v>0.66120031104025678</v>
      </c>
      <c r="R9" s="132">
        <v>2.630378055432419</v>
      </c>
      <c r="S9" s="132">
        <v>1.9731646650931416</v>
      </c>
      <c r="T9" s="132">
        <v>1.1621780899252379</v>
      </c>
      <c r="U9" s="132">
        <v>1.5732806446089274</v>
      </c>
      <c r="V9" s="132">
        <v>0</v>
      </c>
      <c r="W9" s="132">
        <v>1.3700682778429145</v>
      </c>
      <c r="X9" s="132">
        <v>0.98587487242613003</v>
      </c>
      <c r="Y9" s="132">
        <v>2.0629198047241868E-2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0.2071116180772879</v>
      </c>
      <c r="D10" s="132">
        <v>0.63638446608357357</v>
      </c>
      <c r="E10" s="132">
        <v>0.57216772013079731</v>
      </c>
      <c r="F10" s="132">
        <v>1.0642660882992525</v>
      </c>
      <c r="G10" s="132">
        <v>0.44119036245279553</v>
      </c>
      <c r="H10" s="132">
        <v>0.73627389611129379</v>
      </c>
      <c r="I10" s="132">
        <v>0.71640910746750075</v>
      </c>
      <c r="J10" s="132">
        <v>0.20701647902172388</v>
      </c>
      <c r="K10" s="132">
        <v>0.18228680531981292</v>
      </c>
      <c r="L10" s="132">
        <v>0.47372817112283361</v>
      </c>
      <c r="M10" s="132">
        <v>4.7559779476814432E-2</v>
      </c>
      <c r="N10" s="132">
        <v>0</v>
      </c>
      <c r="O10" s="132">
        <v>0.15071456603185676</v>
      </c>
      <c r="P10" s="132">
        <v>0.12237348645457657</v>
      </c>
      <c r="Q10" s="132">
        <v>0.72659666849871229</v>
      </c>
      <c r="R10" s="132">
        <v>0.41065155716542312</v>
      </c>
      <c r="S10" s="132">
        <v>1.5405134312914588</v>
      </c>
      <c r="T10" s="132">
        <v>1.0876758070520514</v>
      </c>
      <c r="U10" s="132">
        <v>0.92688145606576411</v>
      </c>
      <c r="V10" s="132">
        <v>0.47580895986858457</v>
      </c>
      <c r="W10" s="132">
        <v>2.8892962698636223E-2</v>
      </c>
      <c r="X10" s="132">
        <v>0</v>
      </c>
      <c r="Y10" s="132">
        <v>0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5.7915465015375603E-2</v>
      </c>
      <c r="D11" s="132">
        <v>0.15417554398977035</v>
      </c>
      <c r="E11" s="132">
        <v>7.4314571401925831E-3</v>
      </c>
      <c r="F11" s="132">
        <v>8.2586591280877295E-2</v>
      </c>
      <c r="G11" s="132">
        <v>0.10199681653430988</v>
      </c>
      <c r="H11" s="132">
        <v>0.12947312879461756</v>
      </c>
      <c r="I11" s="132">
        <v>0.15117006961875179</v>
      </c>
      <c r="J11" s="132">
        <v>0.12568173120629778</v>
      </c>
      <c r="K11" s="132">
        <v>5.1768769019149029E-2</v>
      </c>
      <c r="L11" s="132">
        <v>0.12610128418365954</v>
      </c>
      <c r="M11" s="132">
        <v>7.1280696122077561E-2</v>
      </c>
      <c r="N11" s="132">
        <v>5.8613416720201976E-2</v>
      </c>
      <c r="O11" s="132">
        <v>3.5186740437624431E-2</v>
      </c>
      <c r="P11" s="132">
        <v>2.8497886626846894E-2</v>
      </c>
      <c r="Q11" s="132">
        <v>0.10726686662181716</v>
      </c>
      <c r="R11" s="132">
        <v>0.17497298687494933</v>
      </c>
      <c r="S11" s="132">
        <v>0.37846162331149075</v>
      </c>
      <c r="T11" s="132">
        <v>0.18026550149865586</v>
      </c>
      <c r="U11" s="132">
        <v>9.3041099162693638E-2</v>
      </c>
      <c r="V11" s="132">
        <v>6.6315528722478839E-2</v>
      </c>
      <c r="W11" s="132">
        <v>3.6899632161736841E-2</v>
      </c>
      <c r="X11" s="132">
        <v>0</v>
      </c>
      <c r="Y11" s="132">
        <v>0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1.7211475966943313</v>
      </c>
      <c r="D12" s="132">
        <v>4.4843025279302378</v>
      </c>
      <c r="E12" s="132">
        <v>4.6544995480721614</v>
      </c>
      <c r="F12" s="132">
        <v>11.561962737501636</v>
      </c>
      <c r="G12" s="132">
        <v>13.904863309384714</v>
      </c>
      <c r="H12" s="132">
        <v>17.631201980637652</v>
      </c>
      <c r="I12" s="132">
        <v>16.152260037064611</v>
      </c>
      <c r="J12" s="132">
        <v>12.409195510745368</v>
      </c>
      <c r="K12" s="132">
        <v>3.0383563973563388</v>
      </c>
      <c r="L12" s="132">
        <v>9.7089727302714408</v>
      </c>
      <c r="M12" s="132">
        <v>6.1905050394831491</v>
      </c>
      <c r="N12" s="132">
        <v>1.8234649500137992</v>
      </c>
      <c r="O12" s="132">
        <v>1.3248075241869945</v>
      </c>
      <c r="P12" s="132">
        <v>1.9631647754836536</v>
      </c>
      <c r="Q12" s="132">
        <v>3.8394657191893482</v>
      </c>
      <c r="R12" s="132">
        <v>6.6094322048273453</v>
      </c>
      <c r="S12" s="132">
        <v>6.2040044161700889</v>
      </c>
      <c r="T12" s="132">
        <v>5.090836036208608</v>
      </c>
      <c r="U12" s="132">
        <v>6.3191417732876536</v>
      </c>
      <c r="V12" s="132">
        <v>6.9418005938193206</v>
      </c>
      <c r="W12" s="132">
        <v>6.7215916459020928</v>
      </c>
      <c r="X12" s="132">
        <v>5.9350048194460978</v>
      </c>
      <c r="Y12" s="132">
        <v>6.1095043634948034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0.35663695829067127</v>
      </c>
      <c r="D13" s="132">
        <v>1.1466025983687662</v>
      </c>
      <c r="E13" s="132">
        <v>1.1671953006025169</v>
      </c>
      <c r="F13" s="132">
        <v>2.389804156974022</v>
      </c>
      <c r="G13" s="132">
        <v>2.2907729897925524</v>
      </c>
      <c r="H13" s="132">
        <v>3.4876833502370532</v>
      </c>
      <c r="I13" s="132">
        <v>3.3246537708759369</v>
      </c>
      <c r="J13" s="132">
        <v>2.7985602131923892</v>
      </c>
      <c r="K13" s="132">
        <v>0.57930731311179506</v>
      </c>
      <c r="L13" s="132">
        <v>1.6851855939018059</v>
      </c>
      <c r="M13" s="132">
        <v>2.1394851988524612</v>
      </c>
      <c r="N13" s="132">
        <v>1.4634085528946961</v>
      </c>
      <c r="O13" s="132">
        <v>1.7355021782772651</v>
      </c>
      <c r="P13" s="132">
        <v>2.9847870648241521</v>
      </c>
      <c r="Q13" s="132">
        <v>2.477949231804462</v>
      </c>
      <c r="R13" s="132">
        <v>3.046793853841423</v>
      </c>
      <c r="S13" s="132">
        <v>3.2666093754089287</v>
      </c>
      <c r="T13" s="132">
        <v>3.1465217641665144</v>
      </c>
      <c r="U13" s="132">
        <v>2.6403124834847986</v>
      </c>
      <c r="V13" s="132">
        <v>2.0740204932553064</v>
      </c>
      <c r="W13" s="132">
        <v>2.6503613622305324</v>
      </c>
      <c r="X13" s="132">
        <v>3.5351659593931752</v>
      </c>
      <c r="Y13" s="132">
        <v>6.334334938360354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0.49843937431928442</v>
      </c>
      <c r="E14" s="65">
        <v>1.8082853880620617</v>
      </c>
      <c r="F14" s="65">
        <v>3.9772336872082237</v>
      </c>
      <c r="G14" s="65">
        <v>7.0859366432773925</v>
      </c>
      <c r="H14" s="65">
        <v>7.7990542129832088</v>
      </c>
      <c r="I14" s="65">
        <v>5.7458504823210461</v>
      </c>
      <c r="J14" s="65">
        <v>2.5647254987330088</v>
      </c>
      <c r="K14" s="65">
        <v>0</v>
      </c>
      <c r="L14" s="65">
        <v>2.0755248102501032</v>
      </c>
      <c r="M14" s="65">
        <v>1.5966660146792475</v>
      </c>
      <c r="N14" s="65">
        <v>1.3699518088884368</v>
      </c>
      <c r="O14" s="65">
        <v>1.1142793536790663</v>
      </c>
      <c r="P14" s="65">
        <v>0</v>
      </c>
      <c r="Q14" s="65">
        <v>0</v>
      </c>
      <c r="R14" s="65">
        <v>0</v>
      </c>
      <c r="S14" s="65">
        <v>1.222966747916344</v>
      </c>
      <c r="T14" s="65">
        <v>3.4526475900270928</v>
      </c>
      <c r="U14" s="65">
        <v>1.9401087549975784</v>
      </c>
      <c r="V14" s="65">
        <v>1.5425795523932815</v>
      </c>
      <c r="W14" s="65">
        <v>0.95956528032211885</v>
      </c>
      <c r="X14" s="65">
        <v>1.8035741938981253</v>
      </c>
      <c r="Y14" s="65">
        <v>0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0.23954797273596323</v>
      </c>
      <c r="D15" s="134">
        <v>0.22351425703919053</v>
      </c>
      <c r="E15" s="134">
        <v>0.16361370939054512</v>
      </c>
      <c r="F15" s="134">
        <v>0.13662684748189552</v>
      </c>
      <c r="G15" s="134">
        <v>0.13500399094957777</v>
      </c>
      <c r="H15" s="134">
        <v>0.16788881690476185</v>
      </c>
      <c r="I15" s="134">
        <v>0.10568684926139968</v>
      </c>
      <c r="J15" s="134">
        <v>5.6850852263563997E-2</v>
      </c>
      <c r="K15" s="134">
        <v>2.0115873294544222E-2</v>
      </c>
      <c r="L15" s="134">
        <v>8.8494513724703711E-2</v>
      </c>
      <c r="M15" s="134">
        <v>6.1101026220302862E-2</v>
      </c>
      <c r="N15" s="134">
        <v>4.7780983151836466E-2</v>
      </c>
      <c r="O15" s="134">
        <v>6.1384431039755896E-2</v>
      </c>
      <c r="P15" s="134">
        <v>5.9486748900942611E-2</v>
      </c>
      <c r="Q15" s="134">
        <v>6.1477817976595323E-2</v>
      </c>
      <c r="R15" s="134">
        <v>0.1089417970939781</v>
      </c>
      <c r="S15" s="134">
        <v>0.12400745077627719</v>
      </c>
      <c r="T15" s="134">
        <v>8.8777543890341357E-2</v>
      </c>
      <c r="U15" s="134">
        <v>8.377460591490743E-2</v>
      </c>
      <c r="V15" s="134">
        <v>5.150178979420024E-2</v>
      </c>
      <c r="W15" s="134">
        <v>6.1446822204294399E-2</v>
      </c>
      <c r="X15" s="134">
        <v>3.9334222782179525E-2</v>
      </c>
      <c r="Y15" s="134">
        <v>2.4624202622555765E-2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2.9363185333743629</v>
      </c>
      <c r="D16" s="130">
        <f t="shared" si="6"/>
        <v>3.854072449187727</v>
      </c>
      <c r="E16" s="130">
        <f t="shared" si="6"/>
        <v>3.4140890881077146</v>
      </c>
      <c r="F16" s="130">
        <f t="shared" si="6"/>
        <v>5.1992230091291534</v>
      </c>
      <c r="G16" s="130">
        <f t="shared" si="6"/>
        <v>5.5667656563705536</v>
      </c>
      <c r="H16" s="130">
        <f t="shared" si="6"/>
        <v>7.5368961187224901</v>
      </c>
      <c r="I16" s="130">
        <f t="shared" si="6"/>
        <v>7.4489007007091548</v>
      </c>
      <c r="J16" s="130">
        <f t="shared" si="6"/>
        <v>4.3835835201005127</v>
      </c>
      <c r="K16" s="130">
        <f t="shared" si="6"/>
        <v>1.1220847341844897</v>
      </c>
      <c r="L16" s="130">
        <f t="shared" si="6"/>
        <v>4.5952544662993402</v>
      </c>
      <c r="M16" s="130">
        <f t="shared" si="6"/>
        <v>3.5877333973974985</v>
      </c>
      <c r="N16" s="130">
        <f t="shared" si="6"/>
        <v>2.1515109502842109</v>
      </c>
      <c r="O16" s="130">
        <f t="shared" si="6"/>
        <v>2.5377720227838725</v>
      </c>
      <c r="P16" s="130">
        <f t="shared" si="6"/>
        <v>2.6647700222938804</v>
      </c>
      <c r="Q16" s="130">
        <f t="shared" si="6"/>
        <v>3.735351907956459</v>
      </c>
      <c r="R16" s="130">
        <f t="shared" ref="R16:W16" si="7">SUM(R17:R18)</f>
        <v>5.2855223279073007</v>
      </c>
      <c r="S16" s="130">
        <f t="shared" si="7"/>
        <v>5.9694515805346811</v>
      </c>
      <c r="T16" s="130">
        <f t="shared" si="7"/>
        <v>5.8442217363420541</v>
      </c>
      <c r="U16" s="130">
        <f t="shared" si="7"/>
        <v>5.4686364025846963</v>
      </c>
      <c r="V16" s="130">
        <f t="shared" si="7"/>
        <v>4.8575040078472593</v>
      </c>
      <c r="W16" s="130">
        <f t="shared" si="7"/>
        <v>4.8099127536081179</v>
      </c>
      <c r="X16" s="130">
        <f t="shared" ref="X16:Y16" si="8">SUM(X17:X18)</f>
        <v>5.0115465007515496</v>
      </c>
      <c r="Y16" s="130">
        <f t="shared" si="8"/>
        <v>5.2521376427790987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4.7079378587452691E-3</v>
      </c>
      <c r="D17" s="132">
        <v>8.8735651410412758E-3</v>
      </c>
      <c r="E17" s="132">
        <v>4.5969655193949851E-3</v>
      </c>
      <c r="F17" s="132">
        <v>1.9545843661243473E-2</v>
      </c>
      <c r="G17" s="132">
        <v>1.4834157271646451E-2</v>
      </c>
      <c r="H17" s="132">
        <v>1.8662364922898168E-2</v>
      </c>
      <c r="I17" s="132">
        <v>2.9303845912431591E-2</v>
      </c>
      <c r="J17" s="132">
        <v>1.733059648018466E-2</v>
      </c>
      <c r="K17" s="132">
        <v>8.9576176358340098E-3</v>
      </c>
      <c r="L17" s="132">
        <v>1.8180889156217871E-2</v>
      </c>
      <c r="M17" s="132">
        <v>1.6588285334406996E-2</v>
      </c>
      <c r="N17" s="132">
        <v>1.3335963952189328E-2</v>
      </c>
      <c r="O17" s="132">
        <v>1.6334863509019269E-2</v>
      </c>
      <c r="P17" s="132">
        <v>2.0368892871441259E-2</v>
      </c>
      <c r="Q17" s="132">
        <v>3.0480017120441915E-2</v>
      </c>
      <c r="R17" s="132">
        <v>3.3213349285209817E-2</v>
      </c>
      <c r="S17" s="132">
        <v>5.7107226517587595E-2</v>
      </c>
      <c r="T17" s="132">
        <v>4.8610923457473351E-2</v>
      </c>
      <c r="U17" s="132">
        <v>6.6491558225671724E-2</v>
      </c>
      <c r="V17" s="132">
        <v>3.9913144605766449E-2</v>
      </c>
      <c r="W17" s="132">
        <v>3.2657343173406836E-2</v>
      </c>
      <c r="X17" s="132">
        <v>4.7739254071776718E-2</v>
      </c>
      <c r="Y17" s="132">
        <v>5.0227970503121576E-2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2.9316105955156178</v>
      </c>
      <c r="D18" s="132">
        <v>3.8451988840466855</v>
      </c>
      <c r="E18" s="132">
        <v>3.4094921225883197</v>
      </c>
      <c r="F18" s="132">
        <v>5.1796771654679095</v>
      </c>
      <c r="G18" s="132">
        <v>5.5519314990989068</v>
      </c>
      <c r="H18" s="132">
        <v>7.518233753799592</v>
      </c>
      <c r="I18" s="132">
        <v>7.4195968547967235</v>
      </c>
      <c r="J18" s="132">
        <v>4.366252923620328</v>
      </c>
      <c r="K18" s="132">
        <v>1.1131271165486558</v>
      </c>
      <c r="L18" s="132">
        <v>4.5770735771431221</v>
      </c>
      <c r="M18" s="132">
        <v>3.5711451120630917</v>
      </c>
      <c r="N18" s="132">
        <v>2.1381749863320216</v>
      </c>
      <c r="O18" s="132">
        <v>2.521437159274853</v>
      </c>
      <c r="P18" s="132">
        <v>2.6444011294224392</v>
      </c>
      <c r="Q18" s="132">
        <v>3.7048718908360172</v>
      </c>
      <c r="R18" s="132">
        <v>5.2523089786220911</v>
      </c>
      <c r="S18" s="132">
        <v>5.912344354017093</v>
      </c>
      <c r="T18" s="132">
        <v>5.7956108128845809</v>
      </c>
      <c r="U18" s="132">
        <v>5.4021448443590243</v>
      </c>
      <c r="V18" s="132">
        <v>4.8175908632414925</v>
      </c>
      <c r="W18" s="132">
        <v>4.7772554104347114</v>
      </c>
      <c r="X18" s="132">
        <v>4.9638072466797727</v>
      </c>
      <c r="Y18" s="132">
        <v>5.2019096722759768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2.0424755727929078</v>
      </c>
      <c r="D19" s="130">
        <f t="shared" si="9"/>
        <v>2.6688981435644905</v>
      </c>
      <c r="E19" s="130">
        <f t="shared" si="9"/>
        <v>2.1485833756191353</v>
      </c>
      <c r="F19" s="130">
        <f t="shared" si="9"/>
        <v>3.6641090025455179</v>
      </c>
      <c r="G19" s="130">
        <f t="shared" si="9"/>
        <v>4.0193938251998338</v>
      </c>
      <c r="H19" s="130">
        <f t="shared" si="9"/>
        <v>5.1829953300181479</v>
      </c>
      <c r="I19" s="130">
        <f t="shared" si="9"/>
        <v>5.3732090346037902</v>
      </c>
      <c r="J19" s="130">
        <f t="shared" si="9"/>
        <v>3.428300696485775</v>
      </c>
      <c r="K19" s="130">
        <f t="shared" si="9"/>
        <v>0.85674817911184686</v>
      </c>
      <c r="L19" s="130">
        <f t="shared" si="9"/>
        <v>3.8679143820472039</v>
      </c>
      <c r="M19" s="130">
        <f t="shared" si="9"/>
        <v>3.2932028638761768</v>
      </c>
      <c r="N19" s="130">
        <f t="shared" si="9"/>
        <v>1.800899942183702</v>
      </c>
      <c r="O19" s="130">
        <f t="shared" si="9"/>
        <v>1.6375433802795598</v>
      </c>
      <c r="P19" s="130">
        <f t="shared" si="9"/>
        <v>2.5800429242986742</v>
      </c>
      <c r="Q19" s="130">
        <f t="shared" si="9"/>
        <v>2.354910223607805</v>
      </c>
      <c r="R19" s="130">
        <f t="shared" ref="R19:W19" si="10">SUM(R20:R27)</f>
        <v>3.8827447296973667</v>
      </c>
      <c r="S19" s="130">
        <f t="shared" si="10"/>
        <v>5.181311911375877</v>
      </c>
      <c r="T19" s="130">
        <f t="shared" si="10"/>
        <v>4.9526135002946248</v>
      </c>
      <c r="U19" s="130">
        <f t="shared" si="10"/>
        <v>4.3815786242099088</v>
      </c>
      <c r="V19" s="130">
        <f t="shared" si="10"/>
        <v>3.9996946377045575</v>
      </c>
      <c r="W19" s="130">
        <f t="shared" si="10"/>
        <v>3.3382349593271927</v>
      </c>
      <c r="X19" s="130">
        <f t="shared" ref="X19:Y19" si="11">SUM(X20:X27)</f>
        <v>3.8369439792993525</v>
      </c>
      <c r="Y19" s="130">
        <f t="shared" si="11"/>
        <v>3.5173045584205456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9.2493204615820307E-2</v>
      </c>
      <c r="D21" s="132">
        <v>0.25159272162285001</v>
      </c>
      <c r="E21" s="132">
        <v>0.16127791767320415</v>
      </c>
      <c r="F21" s="132">
        <v>0.26135180398226648</v>
      </c>
      <c r="G21" s="132">
        <v>0.22953233269750498</v>
      </c>
      <c r="H21" s="132">
        <v>0.25238672034886539</v>
      </c>
      <c r="I21" s="132">
        <v>0.11802172796624213</v>
      </c>
      <c r="J21" s="132">
        <v>0</v>
      </c>
      <c r="K21" s="132">
        <v>1.5548387522236298E-2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0.19279366571480344</v>
      </c>
      <c r="D22" s="132">
        <v>0.39863955031502835</v>
      </c>
      <c r="E22" s="132">
        <v>0.14997216880411779</v>
      </c>
      <c r="F22" s="132">
        <v>0.36725935036851842</v>
      </c>
      <c r="G22" s="132">
        <v>0.2178075311836922</v>
      </c>
      <c r="H22" s="132">
        <v>0.32619640279835732</v>
      </c>
      <c r="I22" s="132">
        <v>0.15481406808860312</v>
      </c>
      <c r="J22" s="132">
        <v>6.5964246789357459E-2</v>
      </c>
      <c r="K22" s="132">
        <v>6.0999848267046526E-2</v>
      </c>
      <c r="L22" s="132">
        <v>5.55190243272176E-2</v>
      </c>
      <c r="M22" s="132">
        <v>8.6968953991410872E-2</v>
      </c>
      <c r="N22" s="132">
        <v>5.3207583128653722E-2</v>
      </c>
      <c r="O22" s="132">
        <v>0.16403141246806821</v>
      </c>
      <c r="P22" s="132">
        <v>0</v>
      </c>
      <c r="Q22" s="132">
        <v>0.10099268841545975</v>
      </c>
      <c r="R22" s="132">
        <v>0.26436899680364856</v>
      </c>
      <c r="S22" s="132">
        <v>0.3176431219179256</v>
      </c>
      <c r="T22" s="132">
        <v>0.2421833779607272</v>
      </c>
      <c r="U22" s="132">
        <v>0.32081336452983122</v>
      </c>
      <c r="V22" s="132">
        <v>0.14829166984986325</v>
      </c>
      <c r="W22" s="132">
        <v>0.29809854784001044</v>
      </c>
      <c r="X22" s="132">
        <v>0.24448096472810343</v>
      </c>
      <c r="Y22" s="132">
        <v>0.30819993018496317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9.4022101487383589E-2</v>
      </c>
      <c r="D23" s="132">
        <v>0.2288211701619958</v>
      </c>
      <c r="E23" s="132">
        <v>0.11298130380991958</v>
      </c>
      <c r="F23" s="132">
        <v>0.30552301357764045</v>
      </c>
      <c r="G23" s="132">
        <v>0.32544109369755225</v>
      </c>
      <c r="H23" s="132">
        <v>0.38738840050608447</v>
      </c>
      <c r="I23" s="132">
        <v>0.37807863662430341</v>
      </c>
      <c r="J23" s="132">
        <v>0.19732224120316108</v>
      </c>
      <c r="K23" s="132">
        <v>7.3263276296217816E-2</v>
      </c>
      <c r="L23" s="132">
        <v>0.18504147234698143</v>
      </c>
      <c r="M23" s="132">
        <v>0.15367322929974936</v>
      </c>
      <c r="N23" s="132">
        <v>8.9790503657964343E-2</v>
      </c>
      <c r="O23" s="132">
        <v>0.20466141222382553</v>
      </c>
      <c r="P23" s="132">
        <v>0.15678789874452839</v>
      </c>
      <c r="Q23" s="132">
        <v>0.29644088072013919</v>
      </c>
      <c r="R23" s="132">
        <v>0.45993627250584984</v>
      </c>
      <c r="S23" s="132">
        <v>0.33498034580575919</v>
      </c>
      <c r="T23" s="132">
        <v>0.3046649290136646</v>
      </c>
      <c r="U23" s="132">
        <v>0.47956861679654689</v>
      </c>
      <c r="V23" s="132">
        <v>0.36783054334073007</v>
      </c>
      <c r="W23" s="132">
        <v>0.51252816366131915</v>
      </c>
      <c r="X23" s="132">
        <v>0.5412593831091671</v>
      </c>
      <c r="Y23" s="132">
        <v>0.64408193317077933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2.2601162122233731E-2</v>
      </c>
      <c r="D24" s="132">
        <v>5.3234311858561312E-2</v>
      </c>
      <c r="E24" s="132">
        <v>2.2821184872804542E-2</v>
      </c>
      <c r="F24" s="132">
        <v>7.0091177071764738E-2</v>
      </c>
      <c r="G24" s="132">
        <v>7.269595011193361E-2</v>
      </c>
      <c r="H24" s="132">
        <v>8.928626620554786E-2</v>
      </c>
      <c r="I24" s="132">
        <v>8.3623477425665033E-2</v>
      </c>
      <c r="J24" s="132">
        <v>4.7377894280697275E-2</v>
      </c>
      <c r="K24" s="132">
        <v>1.8373486051689796E-2</v>
      </c>
      <c r="L24" s="132">
        <v>5.1162384684963598E-2</v>
      </c>
      <c r="M24" s="132">
        <v>4.3732499102857932E-2</v>
      </c>
      <c r="N24" s="132">
        <v>2.5262394904608743E-2</v>
      </c>
      <c r="O24" s="132">
        <v>5.2640969272906644E-2</v>
      </c>
      <c r="P24" s="132">
        <v>4.3584674113877411E-2</v>
      </c>
      <c r="Q24" s="132">
        <v>7.609406317369885E-2</v>
      </c>
      <c r="R24" s="132">
        <v>0.11215476403493752</v>
      </c>
      <c r="S24" s="132">
        <v>8.6717484377916168E-2</v>
      </c>
      <c r="T24" s="132">
        <v>7.7399036997783138E-2</v>
      </c>
      <c r="U24" s="132">
        <v>0.1217073548916542</v>
      </c>
      <c r="V24" s="132">
        <v>7.9202878129776222E-2</v>
      </c>
      <c r="W24" s="132">
        <v>0.11274505416650216</v>
      </c>
      <c r="X24" s="132">
        <v>0.11171664514496833</v>
      </c>
      <c r="Y24" s="132">
        <v>0.14075142081545422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0.29287502891540834</v>
      </c>
      <c r="D25" s="132">
        <v>0.58533510129054356</v>
      </c>
      <c r="E25" s="132">
        <v>0.21698941621723183</v>
      </c>
      <c r="F25" s="132">
        <v>0.80608976150411693</v>
      </c>
      <c r="G25" s="132">
        <v>1.1613203990180905</v>
      </c>
      <c r="H25" s="132">
        <v>1.8437478755798464</v>
      </c>
      <c r="I25" s="132">
        <v>2.8430625781353909</v>
      </c>
      <c r="J25" s="132">
        <v>1.5224236977108256</v>
      </c>
      <c r="K25" s="132">
        <v>0.5018113794450858</v>
      </c>
      <c r="L25" s="132">
        <v>1.1757081807411591</v>
      </c>
      <c r="M25" s="132">
        <v>0.85058622138968076</v>
      </c>
      <c r="N25" s="132">
        <v>0.38447057165499493</v>
      </c>
      <c r="O25" s="132">
        <v>0.74976053110051299</v>
      </c>
      <c r="P25" s="132">
        <v>0.27804865320905436</v>
      </c>
      <c r="Q25" s="132">
        <v>1.0692600760926656</v>
      </c>
      <c r="R25" s="132">
        <v>1.6518183475831787</v>
      </c>
      <c r="S25" s="132">
        <v>1.1904748733198689</v>
      </c>
      <c r="T25" s="132">
        <v>1.2689989791517291</v>
      </c>
      <c r="U25" s="132">
        <v>1.7582795490497654</v>
      </c>
      <c r="V25" s="132">
        <v>0.99888094000632166</v>
      </c>
      <c r="W25" s="132">
        <v>1.6867757588417827</v>
      </c>
      <c r="X25" s="132">
        <v>0.94789446062458327</v>
      </c>
      <c r="Y25" s="132">
        <v>1.8270652877149089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0.26562998473099175</v>
      </c>
      <c r="D26" s="65">
        <v>0.33266436204692346</v>
      </c>
      <c r="E26" s="65">
        <v>0.24925168311262791</v>
      </c>
      <c r="F26" s="65">
        <v>0.45069716696879497</v>
      </c>
      <c r="G26" s="65">
        <v>2.0125965184910548</v>
      </c>
      <c r="H26" s="65">
        <v>2.2839896645794471</v>
      </c>
      <c r="I26" s="65">
        <v>0.12994058132019556</v>
      </c>
      <c r="J26" s="65">
        <v>1.5707679084046152E-3</v>
      </c>
      <c r="K26" s="65">
        <v>0.18675180152957058</v>
      </c>
      <c r="L26" s="65">
        <v>1.2441096149875402E-3</v>
      </c>
      <c r="M26" s="65">
        <v>3.3028394755253206E-3</v>
      </c>
      <c r="N26" s="65">
        <v>4.1337310839543616E-3</v>
      </c>
      <c r="O26" s="65">
        <v>0.46644905521422697</v>
      </c>
      <c r="P26" s="65">
        <v>1.0144777801909243E-2</v>
      </c>
      <c r="Q26" s="65">
        <v>0.81212251520583023</v>
      </c>
      <c r="R26" s="65">
        <v>1.3944663487697393</v>
      </c>
      <c r="S26" s="65">
        <v>1.1724352551679026E-2</v>
      </c>
      <c r="T26" s="65">
        <v>7.501870809792169E-3</v>
      </c>
      <c r="U26" s="65">
        <v>9.2491553257153334E-3</v>
      </c>
      <c r="V26" s="65">
        <v>1.0221978439361656E-2</v>
      </c>
      <c r="W26" s="65">
        <v>0.72808743481757854</v>
      </c>
      <c r="X26" s="65">
        <v>4.7992223309989744E-3</v>
      </c>
      <c r="Y26" s="65">
        <v>0.59720598653443968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1.0820604252062669</v>
      </c>
      <c r="D27" s="147">
        <v>0.81861092626858822</v>
      </c>
      <c r="E27" s="147">
        <v>1.2352897011292294</v>
      </c>
      <c r="F27" s="147">
        <v>1.4030967290724159</v>
      </c>
      <c r="G27" s="147">
        <v>5.6731610344409436E-15</v>
      </c>
      <c r="H27" s="147">
        <v>0</v>
      </c>
      <c r="I27" s="147">
        <v>1.6656679650433901</v>
      </c>
      <c r="J27" s="147">
        <v>1.5936418485933286</v>
      </c>
      <c r="K27" s="147">
        <v>0</v>
      </c>
      <c r="L27" s="147">
        <v>2.3992392103318947</v>
      </c>
      <c r="M27" s="147">
        <v>2.1549391206169526</v>
      </c>
      <c r="N27" s="147">
        <v>1.244035157753526</v>
      </c>
      <c r="O27" s="147">
        <v>1.9619563703781315E-14</v>
      </c>
      <c r="P27" s="147">
        <v>2.0914769204293049</v>
      </c>
      <c r="Q27" s="147">
        <v>1.1086853537017336E-14</v>
      </c>
      <c r="R27" s="147">
        <v>1.3009410879703194E-14</v>
      </c>
      <c r="S27" s="147">
        <v>3.2397717334027276</v>
      </c>
      <c r="T27" s="147">
        <v>3.0518653063609285</v>
      </c>
      <c r="U27" s="147">
        <v>1.6919605836163953</v>
      </c>
      <c r="V27" s="147">
        <v>2.3952666279385046</v>
      </c>
      <c r="W27" s="147">
        <v>0</v>
      </c>
      <c r="X27" s="147">
        <v>1.9867933033615315</v>
      </c>
      <c r="Y27" s="147">
        <v>0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1.6037329200083641</v>
      </c>
      <c r="D29" s="130">
        <f t="shared" si="12"/>
        <v>2.4118885209392191</v>
      </c>
      <c r="E29" s="130">
        <f t="shared" si="12"/>
        <v>1.9598738199413035</v>
      </c>
      <c r="F29" s="130">
        <f t="shared" si="12"/>
        <v>3.2004591786462431</v>
      </c>
      <c r="G29" s="130">
        <f t="shared" si="12"/>
        <v>3.4807408174903207</v>
      </c>
      <c r="H29" s="130">
        <f t="shared" si="12"/>
        <v>4.385992825099633</v>
      </c>
      <c r="I29" s="130">
        <f t="shared" si="12"/>
        <v>4.4749120161275187</v>
      </c>
      <c r="J29" s="130">
        <f t="shared" si="12"/>
        <v>2.7744206555613968</v>
      </c>
      <c r="K29" s="130">
        <f t="shared" si="12"/>
        <v>0.70929258756720648</v>
      </c>
      <c r="L29" s="130">
        <f t="shared" si="12"/>
        <v>2.8096324605336847</v>
      </c>
      <c r="M29" s="130">
        <f t="shared" si="12"/>
        <v>2.1635178470230878</v>
      </c>
      <c r="N29" s="130">
        <f t="shared" si="12"/>
        <v>1.4171961451876638</v>
      </c>
      <c r="O29" s="130">
        <f t="shared" si="12"/>
        <v>1.5157829270491388</v>
      </c>
      <c r="P29" s="130">
        <f t="shared" si="12"/>
        <v>1.8031246243295438</v>
      </c>
      <c r="Q29" s="130">
        <f t="shared" si="12"/>
        <v>2.1639988033425803</v>
      </c>
      <c r="R29" s="130">
        <f t="shared" ref="R29:W29" si="13">SUM(R30:R33)</f>
        <v>3.5415380242896486</v>
      </c>
      <c r="S29" s="130">
        <f t="shared" si="13"/>
        <v>3.776235003919532</v>
      </c>
      <c r="T29" s="130">
        <f t="shared" si="13"/>
        <v>3.7119157120239161</v>
      </c>
      <c r="U29" s="130">
        <f t="shared" si="13"/>
        <v>3.3860970480857966</v>
      </c>
      <c r="V29" s="130">
        <f t="shared" si="13"/>
        <v>3.1619803009136418</v>
      </c>
      <c r="W29" s="130">
        <f t="shared" si="13"/>
        <v>3.188171649171478</v>
      </c>
      <c r="X29" s="130">
        <f t="shared" ref="X29:Y29" si="14">SUM(X30:X33)</f>
        <v>3.1518211477957458</v>
      </c>
      <c r="Y29" s="130">
        <f t="shared" si="14"/>
        <v>3.1618504786967869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0.180324174123005</v>
      </c>
      <c r="D30" s="132">
        <v>1.2096568590002359</v>
      </c>
      <c r="E30" s="132">
        <v>0.84433668854856614</v>
      </c>
      <c r="F30" s="132">
        <v>0.64529432219555305</v>
      </c>
      <c r="G30" s="132">
        <v>0.30485079320145458</v>
      </c>
      <c r="H30" s="132">
        <v>4.4859846847926273E-2</v>
      </c>
      <c r="I30" s="132">
        <v>0</v>
      </c>
      <c r="J30" s="132">
        <v>7.9494803455881252E-2</v>
      </c>
      <c r="K30" s="132">
        <v>7.8217513457582544E-2</v>
      </c>
      <c r="L30" s="132">
        <v>0.45469725573337355</v>
      </c>
      <c r="M30" s="132">
        <v>0</v>
      </c>
      <c r="N30" s="132">
        <v>0</v>
      </c>
      <c r="O30" s="132">
        <v>0</v>
      </c>
      <c r="P30" s="132">
        <v>0</v>
      </c>
      <c r="Q30" s="132">
        <v>8.4226161233193667E-2</v>
      </c>
      <c r="R30" s="132">
        <v>7.590511442916742E-2</v>
      </c>
      <c r="S30" s="132">
        <v>0.25646692660241144</v>
      </c>
      <c r="T30" s="132">
        <v>8.2304436288948055E-2</v>
      </c>
      <c r="U30" s="132">
        <v>7.2570074160153486E-2</v>
      </c>
      <c r="V30" s="132">
        <v>4.1544475878831227E-2</v>
      </c>
      <c r="W30" s="132">
        <v>4.674374189985301E-2</v>
      </c>
      <c r="X30" s="132">
        <v>0</v>
      </c>
      <c r="Y30" s="132">
        <v>0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0.59514999987239969</v>
      </c>
      <c r="D31" s="132">
        <v>0.80425583597264672</v>
      </c>
      <c r="E31" s="132">
        <v>0.65398864862410311</v>
      </c>
      <c r="F31" s="132">
        <v>1.0963477838828184</v>
      </c>
      <c r="G31" s="132">
        <v>1.0967969752597175</v>
      </c>
      <c r="H31" s="132">
        <v>1.3091898793307992</v>
      </c>
      <c r="I31" s="132">
        <v>1.0629011865802125</v>
      </c>
      <c r="J31" s="132">
        <v>0.88053068855049299</v>
      </c>
      <c r="K31" s="132">
        <v>0.2827799545983124</v>
      </c>
      <c r="L31" s="132">
        <v>0.88084830464715647</v>
      </c>
      <c r="M31" s="132">
        <v>0.73786884998171942</v>
      </c>
      <c r="N31" s="132">
        <v>0.31452037969214869</v>
      </c>
      <c r="O31" s="132">
        <v>0.47073095771352036</v>
      </c>
      <c r="P31" s="132">
        <v>0.63799487524616427</v>
      </c>
      <c r="Q31" s="132">
        <v>0.7685283558058108</v>
      </c>
      <c r="R31" s="132">
        <v>1.0895982449722934</v>
      </c>
      <c r="S31" s="132">
        <v>1.1551823365753273</v>
      </c>
      <c r="T31" s="132">
        <v>1.1472348075279475</v>
      </c>
      <c r="U31" s="132">
        <v>1.1177057342897365</v>
      </c>
      <c r="V31" s="132">
        <v>1.0370494139262716</v>
      </c>
      <c r="W31" s="132">
        <v>1.2315721644474911</v>
      </c>
      <c r="X31" s="132">
        <v>1.0746511932560374</v>
      </c>
      <c r="Y31" s="132">
        <v>0.98960432105715024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2.4219224541089792E-2</v>
      </c>
      <c r="D32" s="132">
        <v>3.3434848726154445E-2</v>
      </c>
      <c r="E32" s="132">
        <v>2.4067102731287149E-2</v>
      </c>
      <c r="F32" s="132">
        <v>4.0549587521395307E-2</v>
      </c>
      <c r="G32" s="132">
        <v>3.6261613476922083E-2</v>
      </c>
      <c r="H32" s="132">
        <v>4.3947409451927516E-2</v>
      </c>
      <c r="I32" s="132">
        <v>3.5468049727928649E-2</v>
      </c>
      <c r="J32" s="132">
        <v>3.1049242571603419E-2</v>
      </c>
      <c r="K32" s="132">
        <v>1.0431048368620792E-2</v>
      </c>
      <c r="L32" s="132">
        <v>3.6909773415730818E-2</v>
      </c>
      <c r="M32" s="132">
        <v>2.0897477224885972E-2</v>
      </c>
      <c r="N32" s="132">
        <v>1.3210122202037598E-2</v>
      </c>
      <c r="O32" s="132">
        <v>1.9927259904955398E-2</v>
      </c>
      <c r="P32" s="132">
        <v>3.1319101938015112E-2</v>
      </c>
      <c r="Q32" s="132">
        <v>4.1253054695713186E-2</v>
      </c>
      <c r="R32" s="132">
        <v>5.8135653263561578E-2</v>
      </c>
      <c r="S32" s="132">
        <v>6.3538955853689474E-2</v>
      </c>
      <c r="T32" s="132">
        <v>7.3176373781119186E-2</v>
      </c>
      <c r="U32" s="132">
        <v>7.4954256956001317E-2</v>
      </c>
      <c r="V32" s="132">
        <v>6.5156407431561675E-2</v>
      </c>
      <c r="W32" s="132">
        <v>5.0522802879131488E-2</v>
      </c>
      <c r="X32" s="132">
        <v>4.2169388483917228E-2</v>
      </c>
      <c r="Y32" s="132">
        <v>4.54314928906875E-2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0.80403952147186952</v>
      </c>
      <c r="D33" s="68">
        <v>0.36454097724018175</v>
      </c>
      <c r="E33" s="68">
        <v>0.4374813800373471</v>
      </c>
      <c r="F33" s="68">
        <v>1.4182674850464765</v>
      </c>
      <c r="G33" s="68">
        <v>2.0428314355522268</v>
      </c>
      <c r="H33" s="68">
        <v>2.9879956894689799</v>
      </c>
      <c r="I33" s="68">
        <v>3.3765427798193777</v>
      </c>
      <c r="J33" s="68">
        <v>1.7833459209834193</v>
      </c>
      <c r="K33" s="68">
        <v>0.33786407114269068</v>
      </c>
      <c r="L33" s="68">
        <v>1.4371771267374238</v>
      </c>
      <c r="M33" s="68">
        <v>1.4047515198164824</v>
      </c>
      <c r="N33" s="68">
        <v>1.0894656432934775</v>
      </c>
      <c r="O33" s="68">
        <v>1.025124709430663</v>
      </c>
      <c r="P33" s="68">
        <v>1.1338106471453644</v>
      </c>
      <c r="Q33" s="68">
        <v>1.2699912316078625</v>
      </c>
      <c r="R33" s="68">
        <v>2.3178990116246263</v>
      </c>
      <c r="S33" s="68">
        <v>2.3010467848881038</v>
      </c>
      <c r="T33" s="68">
        <v>2.4092000944259016</v>
      </c>
      <c r="U33" s="68">
        <v>2.1208669826799054</v>
      </c>
      <c r="V33" s="68">
        <v>2.0182300036769774</v>
      </c>
      <c r="W33" s="68">
        <v>1.8593329399450025</v>
      </c>
      <c r="X33" s="68">
        <v>2.0350005660557913</v>
      </c>
      <c r="Y33" s="68">
        <v>2.1268146647489492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0.7113904214240222</v>
      </c>
      <c r="D3" s="126">
        <f>IF(SER_hh_tes_in!D3=0,"",SER_hh_tes_in!D3/SER_hh_fec_in!D3)</f>
        <v>0.7653458143814923</v>
      </c>
      <c r="E3" s="126">
        <f>IF(SER_hh_tes_in!E3=0,"",SER_hh_tes_in!E3/SER_hh_fec_in!E3)</f>
        <v>0.80567614858076364</v>
      </c>
      <c r="F3" s="126">
        <f>IF(SER_hh_tes_in!F3=0,"",SER_hh_tes_in!F3/SER_hh_fec_in!F3)</f>
        <v>0.89790044189475149</v>
      </c>
      <c r="G3" s="126">
        <f>IF(SER_hh_tes_in!G3=0,"",SER_hh_tes_in!G3/SER_hh_fec_in!G3)</f>
        <v>0.89792878409466881</v>
      </c>
      <c r="H3" s="126">
        <f>IF(SER_hh_tes_in!H3=0,"",SER_hh_tes_in!H3/SER_hh_fec_in!H3)</f>
        <v>0.92207579188118449</v>
      </c>
      <c r="I3" s="126">
        <f>IF(SER_hh_tes_in!I3=0,"",SER_hh_tes_in!I3/SER_hh_fec_in!I3)</f>
        <v>0.99046936449436929</v>
      </c>
      <c r="J3" s="126">
        <f>IF(SER_hh_tes_in!J3=0,"",SER_hh_tes_in!J3/SER_hh_fec_in!J3)</f>
        <v>1.0365654044267252</v>
      </c>
      <c r="K3" s="126">
        <f>IF(SER_hh_tes_in!K3=0,"",SER_hh_tes_in!K3/SER_hh_fec_in!K3)</f>
        <v>0.98744854463619935</v>
      </c>
      <c r="L3" s="126">
        <f>IF(SER_hh_tes_in!L3=0,"",SER_hh_tes_in!L3/SER_hh_fec_in!L3)</f>
        <v>0.97606054289417488</v>
      </c>
      <c r="M3" s="126">
        <f>IF(SER_hh_tes_in!M3=0,"",SER_hh_tes_in!M3/SER_hh_fec_in!M3)</f>
        <v>1.0354627769025748</v>
      </c>
      <c r="N3" s="126">
        <f>IF(SER_hh_tes_in!N3=0,"",SER_hh_tes_in!N3/SER_hh_fec_in!N3)</f>
        <v>1.0286226641031109</v>
      </c>
      <c r="O3" s="126">
        <f>IF(SER_hh_tes_in!O3=0,"",SER_hh_tes_in!O3/SER_hh_fec_in!O3)</f>
        <v>1.0218397517539144</v>
      </c>
      <c r="P3" s="126">
        <f>IF(SER_hh_tes_in!P3=0,"",SER_hh_tes_in!P3/SER_hh_fec_in!P3)</f>
        <v>1.1561931680557092</v>
      </c>
      <c r="Q3" s="126">
        <f>IF(SER_hh_tes_in!Q3=0,"",SER_hh_tes_in!Q3/SER_hh_fec_in!Q3)</f>
        <v>1.1124354035666493</v>
      </c>
      <c r="R3" s="126">
        <f>IF(SER_hh_tes_in!R3=0,"",SER_hh_tes_in!R3/SER_hh_fec_in!R3)</f>
        <v>1.0911046559651645</v>
      </c>
      <c r="S3" s="126">
        <f>IF(SER_hh_tes_in!S3=0,"",SER_hh_tes_in!S3/SER_hh_fec_in!S3)</f>
        <v>1.0698452034420944</v>
      </c>
      <c r="T3" s="126">
        <f>IF(SER_hh_tes_in!T3=0,"",SER_hh_tes_in!T3/SER_hh_fec_in!T3)</f>
        <v>1.1007468318714682</v>
      </c>
      <c r="U3" s="126">
        <f>IF(SER_hh_tes_in!U3=0,"",SER_hh_tes_in!U3/SER_hh_fec_in!U3)</f>
        <v>1.1077196854377132</v>
      </c>
      <c r="V3" s="126">
        <f>IF(SER_hh_tes_in!V3=0,"",SER_hh_tes_in!V3/SER_hh_fec_in!V3)</f>
        <v>1.1355580725901655</v>
      </c>
      <c r="W3" s="126">
        <f>IF(SER_hh_tes_in!W3=0,"",SER_hh_tes_in!W3/SER_hh_fec_in!W3)</f>
        <v>1.170313645974937</v>
      </c>
      <c r="X3" s="126">
        <f>IF(SER_hh_tes_in!X3=0,"",SER_hh_tes_in!X3/SER_hh_fec_in!X3)</f>
        <v>1.2549444222123884</v>
      </c>
      <c r="Y3" s="126">
        <f>IF(SER_hh_tes_in!Y3=0,"",SER_hh_tes_in!Y3/SER_hh_fec_in!Y3)</f>
        <v>1.4492896556604908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0.61298617250710186</v>
      </c>
      <c r="D4" s="135">
        <f>IF(SER_hh_tes_in!D4=0,"",SER_hh_tes_in!D4/SER_hh_fec_in!D4)</f>
        <v>0.68269857887646612</v>
      </c>
      <c r="E4" s="135">
        <f>IF(SER_hh_tes_in!E4=0,"",SER_hh_tes_in!E4/SER_hh_fec_in!E4)</f>
        <v>0.71893717174072724</v>
      </c>
      <c r="F4" s="135">
        <f>IF(SER_hh_tes_in!F4=0,"",SER_hh_tes_in!F4/SER_hh_fec_in!F4)</f>
        <v>0.82962881857278437</v>
      </c>
      <c r="G4" s="135">
        <f>IF(SER_hh_tes_in!G4=0,"",SER_hh_tes_in!G4/SER_hh_fec_in!G4)</f>
        <v>0.83987425509829305</v>
      </c>
      <c r="H4" s="135">
        <f>IF(SER_hh_tes_in!H4=0,"",SER_hh_tes_in!H4/SER_hh_fec_in!H4)</f>
        <v>0.85574051664337214</v>
      </c>
      <c r="I4" s="135">
        <f>IF(SER_hh_tes_in!I4=0,"",SER_hh_tes_in!I4/SER_hh_fec_in!I4)</f>
        <v>0.90518952447612633</v>
      </c>
      <c r="J4" s="135">
        <f>IF(SER_hh_tes_in!J4=0,"",SER_hh_tes_in!J4/SER_hh_fec_in!J4)</f>
        <v>0.97526254192853679</v>
      </c>
      <c r="K4" s="135">
        <f>IF(SER_hh_tes_in!K4=0,"",SER_hh_tes_in!K4/SER_hh_fec_in!K4)</f>
        <v>0.93186203729189354</v>
      </c>
      <c r="L4" s="135">
        <f>IF(SER_hh_tes_in!L4=0,"",SER_hh_tes_in!L4/SER_hh_fec_in!L4)</f>
        <v>0.87746019601808578</v>
      </c>
      <c r="M4" s="135">
        <f>IF(SER_hh_tes_in!M4=0,"",SER_hh_tes_in!M4/SER_hh_fec_in!M4)</f>
        <v>0.94285810249684165</v>
      </c>
      <c r="N4" s="135">
        <f>IF(SER_hh_tes_in!N4=0,"",SER_hh_tes_in!N4/SER_hh_fec_in!N4)</f>
        <v>0.92119751863181865</v>
      </c>
      <c r="O4" s="135">
        <f>IF(SER_hh_tes_in!O4=0,"",SER_hh_tes_in!O4/SER_hh_fec_in!O4)</f>
        <v>0.92138072259796011</v>
      </c>
      <c r="P4" s="135">
        <f>IF(SER_hh_tes_in!P4=0,"",SER_hh_tes_in!P4/SER_hh_fec_in!P4)</f>
        <v>1.1134741148665035</v>
      </c>
      <c r="Q4" s="135">
        <f>IF(SER_hh_tes_in!Q4=0,"",SER_hh_tes_in!Q4/SER_hh_fec_in!Q4)</f>
        <v>1.0209629890198095</v>
      </c>
      <c r="R4" s="135">
        <f>IF(SER_hh_tes_in!R4=0,"",SER_hh_tes_in!R4/SER_hh_fec_in!R4)</f>
        <v>1.0067264441004902</v>
      </c>
      <c r="S4" s="135">
        <f>IF(SER_hh_tes_in!S4=0,"",SER_hh_tes_in!S4/SER_hh_fec_in!S4)</f>
        <v>0.95805701392097309</v>
      </c>
      <c r="T4" s="135">
        <f>IF(SER_hh_tes_in!T4=0,"",SER_hh_tes_in!T4/SER_hh_fec_in!T4)</f>
        <v>0.98840476987227976</v>
      </c>
      <c r="U4" s="135">
        <f>IF(SER_hh_tes_in!U4=0,"",SER_hh_tes_in!U4/SER_hh_fec_in!U4)</f>
        <v>0.99732480481713226</v>
      </c>
      <c r="V4" s="135">
        <f>IF(SER_hh_tes_in!V4=0,"",SER_hh_tes_in!V4/SER_hh_fec_in!V4)</f>
        <v>1.0256861231055767</v>
      </c>
      <c r="W4" s="135">
        <f>IF(SER_hh_tes_in!W4=0,"",SER_hh_tes_in!W4/SER_hh_fec_in!W4)</f>
        <v>1.0950860946964756</v>
      </c>
      <c r="X4" s="135">
        <f>IF(SER_hh_tes_in!X4=0,"",SER_hh_tes_in!X4/SER_hh_fec_in!X4)</f>
        <v>1.2143310781676306</v>
      </c>
      <c r="Y4" s="135">
        <f>IF(SER_hh_tes_in!Y4=0,"",SER_hh_tes_in!Y4/SER_hh_fec_in!Y4)</f>
        <v>1.5931862268793602</v>
      </c>
      <c r="DA4" s="162" t="s">
        <v>663</v>
      </c>
    </row>
    <row r="5" spans="1:105" ht="12" customHeight="1" x14ac:dyDescent="0.25">
      <c r="A5" s="131" t="s">
        <v>29</v>
      </c>
      <c r="B5" s="136"/>
      <c r="C5" s="136" t="str">
        <f>IF(SER_hh_tes_in!C5=0,"",SER_hh_tes_in!C5/SER_hh_fec_in!C5)</f>
        <v/>
      </c>
      <c r="D5" s="136" t="str">
        <f>IF(SER_hh_tes_in!D5=0,"",SER_hh_tes_in!D5/SER_hh_fec_in!D5)</f>
        <v/>
      </c>
      <c r="E5" s="136" t="str">
        <f>IF(SER_hh_tes_in!E5=0,"",SER_hh_tes_in!E5/SER_hh_fec_in!E5)</f>
        <v/>
      </c>
      <c r="F5" s="136" t="str">
        <f>IF(SER_hh_tes_in!F5=0,"",SER_hh_tes_in!F5/SER_hh_fec_in!F5)</f>
        <v/>
      </c>
      <c r="G5" s="136" t="str">
        <f>IF(SER_hh_tes_in!G5=0,"",SER_hh_tes_in!G5/SER_hh_fec_in!G5)</f>
        <v/>
      </c>
      <c r="H5" s="136" t="str">
        <f>IF(SER_hh_tes_in!H5=0,"",SER_hh_tes_in!H5/SER_hh_fec_in!H5)</f>
        <v/>
      </c>
      <c r="I5" s="136" t="str">
        <f>IF(SER_hh_tes_in!I5=0,"",SER_hh_tes_in!I5/SER_hh_fec_in!I5)</f>
        <v/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 t="str">
        <f>IF(SER_hh_tes_in!M5=0,"",SER_hh_tes_in!M5/SER_hh_fec_in!M5)</f>
        <v/>
      </c>
      <c r="N5" s="136" t="str">
        <f>IF(SER_hh_tes_in!N5=0,"",SER_hh_tes_in!N5/SER_hh_fec_in!N5)</f>
        <v/>
      </c>
      <c r="O5" s="136">
        <f>IF(SER_hh_tes_in!O5=0,"",SER_hh_tes_in!O5/SER_hh_fec_in!O5)</f>
        <v>0.71700131359920316</v>
      </c>
      <c r="P5" s="136" t="str">
        <f>IF(SER_hh_tes_in!P5=0,"",SER_hh_tes_in!P5/SER_hh_fec_in!P5)</f>
        <v/>
      </c>
      <c r="Q5" s="136" t="str">
        <f>IF(SER_hh_tes_in!Q5=0,"",SER_hh_tes_in!Q5/SER_hh_fec_in!Q5)</f>
        <v/>
      </c>
      <c r="R5" s="136" t="str">
        <f>IF(SER_hh_tes_in!R5=0,"",SER_hh_tes_in!R5/SER_hh_fec_in!R5)</f>
        <v/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 t="str">
        <f>IF(SER_hh_tes_in!U5=0,"",SER_hh_tes_in!U5/SER_hh_fec_in!U5)</f>
        <v/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0.54354283687260607</v>
      </c>
      <c r="D7" s="136">
        <f>IF(SER_hh_tes_in!D7=0,"",SER_hh_tes_in!D7/SER_hh_fec_in!D7)</f>
        <v>0.54826985728028776</v>
      </c>
      <c r="E7" s="136">
        <f>IF(SER_hh_tes_in!E7=0,"",SER_hh_tes_in!E7/SER_hh_fec_in!E7)</f>
        <v>0.5532485223138498</v>
      </c>
      <c r="F7" s="136">
        <f>IF(SER_hh_tes_in!F7=0,"",SER_hh_tes_in!F7/SER_hh_fec_in!F7)</f>
        <v>0.55819998635735202</v>
      </c>
      <c r="G7" s="136">
        <f>IF(SER_hh_tes_in!G7=0,"",SER_hh_tes_in!G7/SER_hh_fec_in!G7)</f>
        <v>0.56337290141475349</v>
      </c>
      <c r="H7" s="136">
        <f>IF(SER_hh_tes_in!H7=0,"",SER_hh_tes_in!H7/SER_hh_fec_in!H7)</f>
        <v>0.56873354915242791</v>
      </c>
      <c r="I7" s="136">
        <f>IF(SER_hh_tes_in!I7=0,"",SER_hh_tes_in!I7/SER_hh_fec_in!I7)</f>
        <v>0.57433980059185663</v>
      </c>
      <c r="J7" s="136" t="str">
        <f>IF(SER_hh_tes_in!J7=0,"",SER_hh_tes_in!J7/SER_hh_fec_in!J7)</f>
        <v/>
      </c>
      <c r="K7" s="136" t="str">
        <f>IF(SER_hh_tes_in!K7=0,"",SER_hh_tes_in!K7/SER_hh_fec_in!K7)</f>
        <v/>
      </c>
      <c r="L7" s="136" t="str">
        <f>IF(SER_hh_tes_in!L7=0,"",SER_hh_tes_in!L7/SER_hh_fec_in!L7)</f>
        <v/>
      </c>
      <c r="M7" s="136" t="str">
        <f>IF(SER_hh_tes_in!M7=0,"",SER_hh_tes_in!M7/SER_hh_fec_in!M7)</f>
        <v/>
      </c>
      <c r="N7" s="136" t="str">
        <f>IF(SER_hh_tes_in!N7=0,"",SER_hh_tes_in!N7/SER_hh_fec_in!N7)</f>
        <v/>
      </c>
      <c r="O7" s="136">
        <f>IF(SER_hh_tes_in!O7=0,"",SER_hh_tes_in!O7/SER_hh_fec_in!O7)</f>
        <v>0.65953899141343397</v>
      </c>
      <c r="P7" s="136">
        <f>IF(SER_hh_tes_in!P7=0,"",SER_hh_tes_in!P7/SER_hh_fec_in!P7)</f>
        <v>0.69392270260309252</v>
      </c>
      <c r="Q7" s="136">
        <f>IF(SER_hh_tes_in!Q7=0,"",SER_hh_tes_in!Q7/SER_hh_fec_in!Q7)</f>
        <v>0.72137850364311651</v>
      </c>
      <c r="R7" s="136">
        <f>IF(SER_hh_tes_in!R7=0,"",SER_hh_tes_in!R7/SER_hh_fec_in!R7)</f>
        <v>0.73183851447678716</v>
      </c>
      <c r="S7" s="136">
        <f>IF(SER_hh_tes_in!S7=0,"",SER_hh_tes_in!S7/SER_hh_fec_in!S7)</f>
        <v>0.73676195532712974</v>
      </c>
      <c r="T7" s="136">
        <f>IF(SER_hh_tes_in!T7=0,"",SER_hh_tes_in!T7/SER_hh_fec_in!T7)</f>
        <v>0.73839628014623293</v>
      </c>
      <c r="U7" s="136">
        <f>IF(SER_hh_tes_in!U7=0,"",SER_hh_tes_in!U7/SER_hh_fec_in!U7)</f>
        <v>0.7388752842802957</v>
      </c>
      <c r="V7" s="136">
        <f>IF(SER_hh_tes_in!V7=0,"",SER_hh_tes_in!V7/SER_hh_fec_in!V7)</f>
        <v>0.74025087698245318</v>
      </c>
      <c r="W7" s="136">
        <f>IF(SER_hh_tes_in!W7=0,"",SER_hh_tes_in!W7/SER_hh_fec_in!W7)</f>
        <v>0.74215430598446763</v>
      </c>
      <c r="X7" s="136" t="str">
        <f>IF(SER_hh_tes_in!X7=0,"",SER_hh_tes_in!X7/SER_hh_fec_in!X7)</f>
        <v/>
      </c>
      <c r="Y7" s="136" t="str">
        <f>IF(SER_hh_tes_in!Y7=0,"",SER_hh_tes_in!Y7/SER_hh_fec_in!Y7)</f>
        <v/>
      </c>
      <c r="DA7" s="163" t="s">
        <v>666</v>
      </c>
    </row>
    <row r="8" spans="1:105" ht="12" customHeight="1" x14ac:dyDescent="0.25">
      <c r="A8" s="131" t="s">
        <v>73</v>
      </c>
      <c r="B8" s="136"/>
      <c r="C8" s="136">
        <f>IF(SER_hh_tes_in!C8=0,"",SER_hh_tes_in!C8/SER_hh_fec_in!C8)</f>
        <v>2.0880016722358539</v>
      </c>
      <c r="D8" s="136">
        <f>IF(SER_hh_tes_in!D8=0,"",SER_hh_tes_in!D8/SER_hh_fec_in!D8)</f>
        <v>2.1341077790496148</v>
      </c>
      <c r="E8" s="136">
        <f>IF(SER_hh_tes_in!E8=0,"",SER_hh_tes_in!E8/SER_hh_fec_in!E8)</f>
        <v>2.1810273632619102</v>
      </c>
      <c r="F8" s="136">
        <f>IF(SER_hh_tes_in!F8=0,"",SER_hh_tes_in!F8/SER_hh_fec_in!F8)</f>
        <v>2.2282108624569643</v>
      </c>
      <c r="G8" s="136">
        <f>IF(SER_hh_tes_in!G8=0,"",SER_hh_tes_in!G8/SER_hh_fec_in!G8)</f>
        <v>2.2761613420368647</v>
      </c>
      <c r="H8" s="136">
        <f>IF(SER_hh_tes_in!H8=0,"",SER_hh_tes_in!H8/SER_hh_fec_in!H8)</f>
        <v>2.324819850196763</v>
      </c>
      <c r="I8" s="136">
        <f>IF(SER_hh_tes_in!I8=0,"",SER_hh_tes_in!I8/SER_hh_fec_in!I8)</f>
        <v>2.3743130589386308</v>
      </c>
      <c r="J8" s="136">
        <f>IF(SER_hh_tes_in!J8=0,"",SER_hh_tes_in!J8/SER_hh_fec_in!J8)</f>
        <v>2.425154114776753</v>
      </c>
      <c r="K8" s="136">
        <f>IF(SER_hh_tes_in!K8=0,"",SER_hh_tes_in!K8/SER_hh_fec_in!K8)</f>
        <v>2.4777827402763219</v>
      </c>
      <c r="L8" s="136">
        <f>IF(SER_hh_tes_in!L8=0,"",SER_hh_tes_in!L8/SER_hh_fec_in!L8)</f>
        <v>2.5323221105684897</v>
      </c>
      <c r="M8" s="136">
        <f>IF(SER_hh_tes_in!M8=0,"",SER_hh_tes_in!M8/SER_hh_fec_in!M8)</f>
        <v>2.6010449174937538</v>
      </c>
      <c r="N8" s="136">
        <f>IF(SER_hh_tes_in!N8=0,"",SER_hh_tes_in!N8/SER_hh_fec_in!N8)</f>
        <v>2.6881230303267909</v>
      </c>
      <c r="O8" s="136">
        <f>IF(SER_hh_tes_in!O8=0,"",SER_hh_tes_in!O8/SER_hh_fec_in!O8)</f>
        <v>2.7952169049084099</v>
      </c>
      <c r="P8" s="136">
        <f>IF(SER_hh_tes_in!P8=0,"",SER_hh_tes_in!P8/SER_hh_fec_in!P8)</f>
        <v>2.9112380380363874</v>
      </c>
      <c r="Q8" s="136">
        <f>IF(SER_hh_tes_in!Q8=0,"",SER_hh_tes_in!Q8/SER_hh_fec_in!Q8)</f>
        <v>3.0024342342561856</v>
      </c>
      <c r="R8" s="136">
        <f>IF(SER_hh_tes_in!R8=0,"",SER_hh_tes_in!R8/SER_hh_fec_in!R8)</f>
        <v>3.1362781259043069</v>
      </c>
      <c r="S8" s="136">
        <f>IF(SER_hh_tes_in!S8=0,"",SER_hh_tes_in!S8/SER_hh_fec_in!S8)</f>
        <v>3.2236437758753298</v>
      </c>
      <c r="T8" s="136">
        <f>IF(SER_hh_tes_in!T8=0,"",SER_hh_tes_in!T8/SER_hh_fec_in!T8)</f>
        <v>3.2790572802602935</v>
      </c>
      <c r="U8" s="136">
        <f>IF(SER_hh_tes_in!U8=0,"",SER_hh_tes_in!U8/SER_hh_fec_in!U8)</f>
        <v>3.3171637653227739</v>
      </c>
      <c r="V8" s="136">
        <f>IF(SER_hh_tes_in!V8=0,"",SER_hh_tes_in!V8/SER_hh_fec_in!V8)</f>
        <v>3.3521700302776276</v>
      </c>
      <c r="W8" s="136">
        <f>IF(SER_hh_tes_in!W8=0,"",SER_hh_tes_in!W8/SER_hh_fec_in!W8)</f>
        <v>3.3863361194551089</v>
      </c>
      <c r="X8" s="136">
        <f>IF(SER_hh_tes_in!X8=0,"",SER_hh_tes_in!X8/SER_hh_fec_in!X8)</f>
        <v>3.4142670292177306</v>
      </c>
      <c r="Y8" s="136">
        <f>IF(SER_hh_tes_in!Y8=0,"",SER_hh_tes_in!Y8/SER_hh_fec_in!Y8)</f>
        <v>3.4379730191806197</v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0.58135659741036427</v>
      </c>
      <c r="D9" s="136">
        <f>IF(SER_hh_tes_in!D9=0,"",SER_hh_tes_in!D9/SER_hh_fec_in!D9)</f>
        <v>0.58617056933874478</v>
      </c>
      <c r="E9" s="136">
        <f>IF(SER_hh_tes_in!E9=0,"",SER_hh_tes_in!E9/SER_hh_fec_in!E9)</f>
        <v>0.59128739847516654</v>
      </c>
      <c r="F9" s="136" t="str">
        <f>IF(SER_hh_tes_in!F9=0,"",SER_hh_tes_in!F9/SER_hh_fec_in!F9)</f>
        <v/>
      </c>
      <c r="G9" s="136" t="str">
        <f>IF(SER_hh_tes_in!G9=0,"",SER_hh_tes_in!G9/SER_hh_fec_in!G9)</f>
        <v/>
      </c>
      <c r="H9" s="136" t="str">
        <f>IF(SER_hh_tes_in!H9=0,"",SER_hh_tes_in!H9/SER_hh_fec_in!H9)</f>
        <v/>
      </c>
      <c r="I9" s="136" t="str">
        <f>IF(SER_hh_tes_in!I9=0,"",SER_hh_tes_in!I9/SER_hh_fec_in!I9)</f>
        <v/>
      </c>
      <c r="J9" s="136" t="str">
        <f>IF(SER_hh_tes_in!J9=0,"",SER_hh_tes_in!J9/SER_hh_fec_in!J9)</f>
        <v/>
      </c>
      <c r="K9" s="136">
        <f>IF(SER_hh_tes_in!K9=0,"",SER_hh_tes_in!K9/SER_hh_fec_in!K9)</f>
        <v>0.62710495693135715</v>
      </c>
      <c r="L9" s="136">
        <f>IF(SER_hh_tes_in!L9=0,"",SER_hh_tes_in!L9/SER_hh_fec_in!L9)</f>
        <v>0.63534166057638497</v>
      </c>
      <c r="M9" s="136">
        <f>IF(SER_hh_tes_in!M9=0,"",SER_hh_tes_in!M9/SER_hh_fec_in!M9)</f>
        <v>0.65057692102266229</v>
      </c>
      <c r="N9" s="136">
        <f>IF(SER_hh_tes_in!N9=0,"",SER_hh_tes_in!N9/SER_hh_fec_in!N9)</f>
        <v>0.67470780634125349</v>
      </c>
      <c r="O9" s="136">
        <f>IF(SER_hh_tes_in!O9=0,"",SER_hh_tes_in!O9/SER_hh_fec_in!O9)</f>
        <v>0.70899606567308837</v>
      </c>
      <c r="P9" s="136">
        <f>IF(SER_hh_tes_in!P9=0,"",SER_hh_tes_in!P9/SER_hh_fec_in!P9)</f>
        <v>0.74937460741156892</v>
      </c>
      <c r="Q9" s="136">
        <f>IF(SER_hh_tes_in!Q9=0,"",SER_hh_tes_in!Q9/SER_hh_fec_in!Q9)</f>
        <v>0.78340820027930125</v>
      </c>
      <c r="R9" s="136">
        <f>IF(SER_hh_tes_in!R9=0,"",SER_hh_tes_in!R9/SER_hh_fec_in!R9)</f>
        <v>0.80066071238739533</v>
      </c>
      <c r="S9" s="136">
        <f>IF(SER_hh_tes_in!S9=0,"",SER_hh_tes_in!S9/SER_hh_fec_in!S9)</f>
        <v>0.81384150605186889</v>
      </c>
      <c r="T9" s="136">
        <f>IF(SER_hh_tes_in!T9=0,"",SER_hh_tes_in!T9/SER_hh_fec_in!T9)</f>
        <v>0.8245288594202157</v>
      </c>
      <c r="U9" s="136">
        <f>IF(SER_hh_tes_in!U9=0,"",SER_hh_tes_in!U9/SER_hh_fec_in!U9)</f>
        <v>0.83381248189794133</v>
      </c>
      <c r="V9" s="136" t="str">
        <f>IF(SER_hh_tes_in!V9=0,"",SER_hh_tes_in!V9/SER_hh_fec_in!V9)</f>
        <v/>
      </c>
      <c r="W9" s="136">
        <f>IF(SER_hh_tes_in!W9=0,"",SER_hh_tes_in!W9/SER_hh_fec_in!W9)</f>
        <v>0.84849176336018717</v>
      </c>
      <c r="X9" s="136">
        <f>IF(SER_hh_tes_in!X9=0,"",SER_hh_tes_in!X9/SER_hh_fec_in!X9)</f>
        <v>0.85198649155672979</v>
      </c>
      <c r="Y9" s="136">
        <f>IF(SER_hh_tes_in!Y9=0,"",SER_hh_tes_in!Y9/SER_hh_fec_in!Y9)</f>
        <v>0.85437203556940644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0.58750951361457393</v>
      </c>
      <c r="D10" s="136">
        <f>IF(SER_hh_tes_in!D10=0,"",SER_hh_tes_in!D10/SER_hh_fec_in!D10)</f>
        <v>0.58780626085489018</v>
      </c>
      <c r="E10" s="136">
        <f>IF(SER_hh_tes_in!E10=0,"",SER_hh_tes_in!E10/SER_hh_fec_in!E10)</f>
        <v>0.5881058330940615</v>
      </c>
      <c r="F10" s="136">
        <f>IF(SER_hh_tes_in!F10=0,"",SER_hh_tes_in!F10/SER_hh_fec_in!F10)</f>
        <v>0.58840793733549324</v>
      </c>
      <c r="G10" s="136">
        <f>IF(SER_hh_tes_in!G10=0,"",SER_hh_tes_in!G10/SER_hh_fec_in!G10)</f>
        <v>0.58871227550741223</v>
      </c>
      <c r="H10" s="136">
        <f>IF(SER_hh_tes_in!H10=0,"",SER_hh_tes_in!H10/SER_hh_fec_in!H10)</f>
        <v>0.58901849658601402</v>
      </c>
      <c r="I10" s="136">
        <f>IF(SER_hh_tes_in!I10=0,"",SER_hh_tes_in!I10/SER_hh_fec_in!I10)</f>
        <v>0.58932613753179086</v>
      </c>
      <c r="J10" s="136">
        <f>IF(SER_hh_tes_in!J10=0,"",SER_hh_tes_in!J10/SER_hh_fec_in!J10)</f>
        <v>0.58963419811892315</v>
      </c>
      <c r="K10" s="136">
        <f>IF(SER_hh_tes_in!K10=0,"",SER_hh_tes_in!K10/SER_hh_fec_in!K10)</f>
        <v>0.58994135575255546</v>
      </c>
      <c r="L10" s="136">
        <f>IF(SER_hh_tes_in!L10=0,"",SER_hh_tes_in!L10/SER_hh_fec_in!L10)</f>
        <v>0.59024643655881481</v>
      </c>
      <c r="M10" s="136">
        <f>IF(SER_hh_tes_in!M10=0,"",SER_hh_tes_in!M10/SER_hh_fec_in!M10)</f>
        <v>0.59052667837389283</v>
      </c>
      <c r="N10" s="136" t="str">
        <f>IF(SER_hh_tes_in!N10=0,"",SER_hh_tes_in!N10/SER_hh_fec_in!N10)</f>
        <v/>
      </c>
      <c r="O10" s="136">
        <f>IF(SER_hh_tes_in!O10=0,"",SER_hh_tes_in!O10/SER_hh_fec_in!O10)</f>
        <v>0.59096808651957522</v>
      </c>
      <c r="P10" s="136">
        <f>IF(SER_hh_tes_in!P10=0,"",SER_hh_tes_in!P10/SER_hh_fec_in!P10)</f>
        <v>0.59113925203592399</v>
      </c>
      <c r="Q10" s="136">
        <f>IF(SER_hh_tes_in!Q10=0,"",SER_hh_tes_in!Q10/SER_hh_fec_in!Q10)</f>
        <v>0.59134348449877916</v>
      </c>
      <c r="R10" s="136">
        <f>IF(SER_hh_tes_in!R10=0,"",SER_hh_tes_in!R10/SER_hh_fec_in!R10)</f>
        <v>0.5916493983153911</v>
      </c>
      <c r="S10" s="136">
        <f>IF(SER_hh_tes_in!S10=0,"",SER_hh_tes_in!S10/SER_hh_fec_in!S10)</f>
        <v>0.59199370066168633</v>
      </c>
      <c r="T10" s="136">
        <f>IF(SER_hh_tes_in!T10=0,"",SER_hh_tes_in!T10/SER_hh_fec_in!T10)</f>
        <v>0.59234099170814181</v>
      </c>
      <c r="U10" s="136">
        <f>IF(SER_hh_tes_in!U10=0,"",SER_hh_tes_in!U10/SER_hh_fec_in!U10)</f>
        <v>0.59266180145200198</v>
      </c>
      <c r="V10" s="136">
        <f>IF(SER_hh_tes_in!V10=0,"",SER_hh_tes_in!V10/SER_hh_fec_in!V10)</f>
        <v>0.59293090384347225</v>
      </c>
      <c r="W10" s="136">
        <f>IF(SER_hh_tes_in!W10=0,"",SER_hh_tes_in!W10/SER_hh_fec_in!W10)</f>
        <v>0.59314708082884571</v>
      </c>
      <c r="X10" s="136" t="str">
        <f>IF(SER_hh_tes_in!X10=0,"",SER_hh_tes_in!X10/SER_hh_fec_in!X10)</f>
        <v/>
      </c>
      <c r="Y10" s="136" t="str">
        <f>IF(SER_hh_tes_in!Y10=0,"",SER_hh_tes_in!Y10/SER_hh_fec_in!Y10)</f>
        <v/>
      </c>
      <c r="DA10" s="163" t="s">
        <v>669</v>
      </c>
    </row>
    <row r="11" spans="1:105" ht="12" customHeight="1" x14ac:dyDescent="0.25">
      <c r="A11" s="131" t="s">
        <v>25</v>
      </c>
      <c r="B11" s="136"/>
      <c r="C11" s="136">
        <f>IF(SER_hh_tes_in!C11=0,"",SER_hh_tes_in!C11/SER_hh_fec_in!C11)</f>
        <v>0.85785171302578089</v>
      </c>
      <c r="D11" s="136">
        <f>IF(SER_hh_tes_in!D11=0,"",SER_hh_tes_in!D11/SER_hh_fec_in!D11)</f>
        <v>0.86061375149211661</v>
      </c>
      <c r="E11" s="136">
        <f>IF(SER_hh_tes_in!E11=0,"",SER_hh_tes_in!E11/SER_hh_fec_in!E11)</f>
        <v>0.86337621048457769</v>
      </c>
      <c r="F11" s="136">
        <f>IF(SER_hh_tes_in!F11=0,"",SER_hh_tes_in!F11/SER_hh_fec_in!F11)</f>
        <v>0.86613872682151027</v>
      </c>
      <c r="G11" s="136">
        <f>IF(SER_hh_tes_in!G11=0,"",SER_hh_tes_in!G11/SER_hh_fec_in!G11)</f>
        <v>0.86890163043826929</v>
      </c>
      <c r="H11" s="136">
        <f>IF(SER_hh_tes_in!H11=0,"",SER_hh_tes_in!H11/SER_hh_fec_in!H11)</f>
        <v>0.87166488095496797</v>
      </c>
      <c r="I11" s="136">
        <f>IF(SER_hh_tes_in!I11=0,"",SER_hh_tes_in!I11/SER_hh_fec_in!I11)</f>
        <v>0.87442855966768762</v>
      </c>
      <c r="J11" s="136">
        <f>IF(SER_hh_tes_in!J11=0,"",SER_hh_tes_in!J11/SER_hh_fec_in!J11)</f>
        <v>0.87719299961777775</v>
      </c>
      <c r="K11" s="136">
        <f>IF(SER_hh_tes_in!K11=0,"",SER_hh_tes_in!K11/SER_hh_fec_in!K11)</f>
        <v>0.87995848397798448</v>
      </c>
      <c r="L11" s="136">
        <f>IF(SER_hh_tes_in!L11=0,"",SER_hh_tes_in!L11/SER_hh_fec_in!L11)</f>
        <v>0.88272508850862763</v>
      </c>
      <c r="M11" s="136">
        <f>IF(SER_hh_tes_in!M11=0,"",SER_hh_tes_in!M11/SER_hh_fec_in!M11)</f>
        <v>0.885521257552081</v>
      </c>
      <c r="N11" s="136">
        <f>IF(SER_hh_tes_in!N11=0,"",SER_hh_tes_in!N11/SER_hh_fec_in!N11)</f>
        <v>0.88835762908189797</v>
      </c>
      <c r="O11" s="136">
        <f>IF(SER_hh_tes_in!O11=0,"",SER_hh_tes_in!O11/SER_hh_fec_in!O11)</f>
        <v>0.89122128796297995</v>
      </c>
      <c r="P11" s="136">
        <f>IF(SER_hh_tes_in!P11=0,"",SER_hh_tes_in!P11/SER_hh_fec_in!P11)</f>
        <v>0.89405237601198184</v>
      </c>
      <c r="Q11" s="136">
        <f>IF(SER_hh_tes_in!Q11=0,"",SER_hh_tes_in!Q11/SER_hh_fec_in!Q11)</f>
        <v>0.89668437135569745</v>
      </c>
      <c r="R11" s="136">
        <f>IF(SER_hh_tes_in!R11=0,"",SER_hh_tes_in!R11/SER_hh_fec_in!R11)</f>
        <v>0.89898061731527124</v>
      </c>
      <c r="S11" s="136">
        <f>IF(SER_hh_tes_in!S11=0,"",SER_hh_tes_in!S11/SER_hh_fec_in!S11)</f>
        <v>0.90109517870316658</v>
      </c>
      <c r="T11" s="136">
        <f>IF(SER_hh_tes_in!T11=0,"",SER_hh_tes_in!T11/SER_hh_fec_in!T11)</f>
        <v>0.90306513784828168</v>
      </c>
      <c r="U11" s="136">
        <f>IF(SER_hh_tes_in!U11=0,"",SER_hh_tes_in!U11/SER_hh_fec_in!U11)</f>
        <v>0.90492757707952198</v>
      </c>
      <c r="V11" s="136">
        <f>IF(SER_hh_tes_in!V11=0,"",SER_hh_tes_in!V11/SER_hh_fec_in!V11)</f>
        <v>0.90671957872578934</v>
      </c>
      <c r="W11" s="136">
        <f>IF(SER_hh_tes_in!W11=0,"",SER_hh_tes_in!W11/SER_hh_fec_in!W11)</f>
        <v>0.90839505674736121</v>
      </c>
      <c r="X11" s="136" t="str">
        <f>IF(SER_hh_tes_in!X11=0,"",SER_hh_tes_in!X11/SER_hh_fec_in!X11)</f>
        <v/>
      </c>
      <c r="Y11" s="136" t="str">
        <f>IF(SER_hh_tes_in!Y11=0,"",SER_hh_tes_in!Y11/SER_hh_fec_in!Y11)</f>
        <v/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0.86351630885897246</v>
      </c>
      <c r="D12" s="136">
        <f>IF(SER_hh_tes_in!D12=0,"",SER_hh_tes_in!D12/SER_hh_fec_in!D12)</f>
        <v>0.86545009834270792</v>
      </c>
      <c r="E12" s="136">
        <f>IF(SER_hh_tes_in!E12=0,"",SER_hh_tes_in!E12/SER_hh_fec_in!E12)</f>
        <v>0.86743609509741271</v>
      </c>
      <c r="F12" s="136">
        <f>IF(SER_hh_tes_in!F12=0,"",SER_hh_tes_in!F12/SER_hh_fec_in!F12)</f>
        <v>0.86942921102543191</v>
      </c>
      <c r="G12" s="136">
        <f>IF(SER_hh_tes_in!G12=0,"",SER_hh_tes_in!G12/SER_hh_fec_in!G12)</f>
        <v>0.8714704067792326</v>
      </c>
      <c r="H12" s="136">
        <f>IF(SER_hh_tes_in!H12=0,"",SER_hh_tes_in!H12/SER_hh_fec_in!H12)</f>
        <v>0.87355466929641146</v>
      </c>
      <c r="I12" s="136">
        <f>IF(SER_hh_tes_in!I12=0,"",SER_hh_tes_in!I12/SER_hh_fec_in!I12)</f>
        <v>0.87569209128293279</v>
      </c>
      <c r="J12" s="136">
        <f>IF(SER_hh_tes_in!J12=0,"",SER_hh_tes_in!J12/SER_hh_fec_in!J12)</f>
        <v>0.87792401899273065</v>
      </c>
      <c r="K12" s="136">
        <f>IF(SER_hh_tes_in!K12=0,"",SER_hh_tes_in!K12/SER_hh_fec_in!K12)</f>
        <v>0.88028560761700603</v>
      </c>
      <c r="L12" s="136">
        <f>IF(SER_hh_tes_in!L12=0,"",SER_hh_tes_in!L12/SER_hh_fec_in!L12)</f>
        <v>0.88278626261069504</v>
      </c>
      <c r="M12" s="136">
        <f>IF(SER_hh_tes_in!M12=0,"",SER_hh_tes_in!M12/SER_hh_fec_in!M12)</f>
        <v>0.88624873163369267</v>
      </c>
      <c r="N12" s="136">
        <f>IF(SER_hh_tes_in!N12=0,"",SER_hh_tes_in!N12/SER_hh_fec_in!N12)</f>
        <v>0.89093314685559921</v>
      </c>
      <c r="O12" s="136">
        <f>IF(SER_hh_tes_in!O12=0,"",SER_hh_tes_in!O12/SER_hh_fec_in!O12)</f>
        <v>0.89706754573286174</v>
      </c>
      <c r="P12" s="136">
        <f>IF(SER_hh_tes_in!P12=0,"",SER_hh_tes_in!P12/SER_hh_fec_in!P12)</f>
        <v>0.90421807028553047</v>
      </c>
      <c r="Q12" s="136">
        <f>IF(SER_hh_tes_in!Q12=0,"",SER_hh_tes_in!Q12/SER_hh_fec_in!Q12)</f>
        <v>0.91096442613857997</v>
      </c>
      <c r="R12" s="136">
        <f>IF(SER_hh_tes_in!R12=0,"",SER_hh_tes_in!R12/SER_hh_fec_in!R12)</f>
        <v>0.91613393346329319</v>
      </c>
      <c r="S12" s="136">
        <f>IF(SER_hh_tes_in!S12=0,"",SER_hh_tes_in!S12/SER_hh_fec_in!S12)</f>
        <v>0.92116299991246375</v>
      </c>
      <c r="T12" s="136">
        <f>IF(SER_hh_tes_in!T12=0,"",SER_hh_tes_in!T12/SER_hh_fec_in!T12)</f>
        <v>0.92601802342041917</v>
      </c>
      <c r="U12" s="136">
        <f>IF(SER_hh_tes_in!U12=0,"",SER_hh_tes_in!U12/SER_hh_fec_in!U12)</f>
        <v>0.93066540192150216</v>
      </c>
      <c r="V12" s="136">
        <f>IF(SER_hh_tes_in!V12=0,"",SER_hh_tes_in!V12/SER_hh_fec_in!V12)</f>
        <v>0.93507153335005</v>
      </c>
      <c r="W12" s="136">
        <f>IF(SER_hh_tes_in!W12=0,"",SER_hh_tes_in!W12/SER_hh_fec_in!W12)</f>
        <v>0.93913042965625659</v>
      </c>
      <c r="X12" s="136">
        <f>IF(SER_hh_tes_in!X12=0,"",SER_hh_tes_in!X12/SER_hh_fec_in!X12)</f>
        <v>0.94204292887576357</v>
      </c>
      <c r="Y12" s="136">
        <f>IF(SER_hh_tes_in!Y12=0,"",SER_hh_tes_in!Y12/SER_hh_fec_in!Y12)</f>
        <v>0.94484168183319783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2.8644841933906742</v>
      </c>
      <c r="D13" s="136">
        <f>IF(SER_hh_tes_in!D13=0,"",SER_hh_tes_in!D13/SER_hh_fec_in!D13)</f>
        <v>2.9321286462097733</v>
      </c>
      <c r="E13" s="136">
        <f>IF(SER_hh_tes_in!E13=0,"",SER_hh_tes_in!E13/SER_hh_fec_in!E13)</f>
        <v>3.0009119825294039</v>
      </c>
      <c r="F13" s="136">
        <f>IF(SER_hh_tes_in!F13=0,"",SER_hh_tes_in!F13/SER_hh_fec_in!F13)</f>
        <v>3.0701710800138615</v>
      </c>
      <c r="G13" s="136">
        <f>IF(SER_hh_tes_in!G13=0,"",SER_hh_tes_in!G13/SER_hh_fec_in!G13)</f>
        <v>3.1405101280031542</v>
      </c>
      <c r="H13" s="136">
        <f>IF(SER_hh_tes_in!H13=0,"",SER_hh_tes_in!H13/SER_hh_fec_in!H13)</f>
        <v>3.2118564433538803</v>
      </c>
      <c r="I13" s="136">
        <f>IF(SER_hh_tes_in!I13=0,"",SER_hh_tes_in!I13/SER_hh_fec_in!I13)</f>
        <v>3.2843602198020885</v>
      </c>
      <c r="J13" s="136">
        <f>IF(SER_hh_tes_in!J13=0,"",SER_hh_tes_in!J13/SER_hh_fec_in!J13)</f>
        <v>3.358633819430048</v>
      </c>
      <c r="K13" s="136">
        <f>IF(SER_hh_tes_in!K13=0,"",SER_hh_tes_in!K13/SER_hh_fec_in!K13)</f>
        <v>3.435199804809395</v>
      </c>
      <c r="L13" s="136">
        <f>IF(SER_hh_tes_in!L13=0,"",SER_hh_tes_in!L13/SER_hh_fec_in!L13)</f>
        <v>3.5142014306133067</v>
      </c>
      <c r="M13" s="136">
        <f>IF(SER_hh_tes_in!M13=0,"",SER_hh_tes_in!M13/SER_hh_fec_in!M13)</f>
        <v>3.6108040676748994</v>
      </c>
      <c r="N13" s="136">
        <f>IF(SER_hh_tes_in!N13=0,"",SER_hh_tes_in!N13/SER_hh_fec_in!N13)</f>
        <v>3.7302373320420235</v>
      </c>
      <c r="O13" s="136">
        <f>IF(SER_hh_tes_in!O13=0,"",SER_hh_tes_in!O13/SER_hh_fec_in!O13)</f>
        <v>3.8742978781742474</v>
      </c>
      <c r="P13" s="136">
        <f>IF(SER_hh_tes_in!P13=0,"",SER_hh_tes_in!P13/SER_hh_fec_in!P13)</f>
        <v>4.0284598575215238</v>
      </c>
      <c r="Q13" s="136">
        <f>IF(SER_hh_tes_in!Q13=0,"",SER_hh_tes_in!Q13/SER_hh_fec_in!Q13)</f>
        <v>4.1483466992759981</v>
      </c>
      <c r="R13" s="136">
        <f>IF(SER_hh_tes_in!R13=0,"",SER_hh_tes_in!R13/SER_hh_fec_in!R13)</f>
        <v>4.3436703185592549</v>
      </c>
      <c r="S13" s="136">
        <f>IF(SER_hh_tes_in!S13=0,"",SER_hh_tes_in!S13/SER_hh_fec_in!S13)</f>
        <v>4.4701687819941442</v>
      </c>
      <c r="T13" s="136">
        <f>IF(SER_hh_tes_in!T13=0,"",SER_hh_tes_in!T13/SER_hh_fec_in!T13)</f>
        <v>4.5490251047274741</v>
      </c>
      <c r="U13" s="136">
        <f>IF(SER_hh_tes_in!U13=0,"",SER_hh_tes_in!U13/SER_hh_fec_in!U13)</f>
        <v>4.6020730066950257</v>
      </c>
      <c r="V13" s="136">
        <f>IF(SER_hh_tes_in!V13=0,"",SER_hh_tes_in!V13/SER_hh_fec_in!V13)</f>
        <v>4.6508728071341645</v>
      </c>
      <c r="W13" s="136">
        <f>IF(SER_hh_tes_in!W13=0,"",SER_hh_tes_in!W13/SER_hh_fec_in!W13)</f>
        <v>4.6997008688388568</v>
      </c>
      <c r="X13" s="136">
        <f>IF(SER_hh_tes_in!X13=0,"",SER_hh_tes_in!X13/SER_hh_fec_in!X13)</f>
        <v>4.7406208801732115</v>
      </c>
      <c r="Y13" s="136">
        <f>IF(SER_hh_tes_in!Y13=0,"",SER_hh_tes_in!Y13/SER_hh_fec_in!Y13)</f>
        <v>4.775718420330989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 t="str">
        <f>IF(SER_hh_tes_in!C14=0,"",SER_hh_tes_in!C14/SER_hh_fec_in!C14)</f>
        <v/>
      </c>
      <c r="D14" s="137">
        <f>IF(SER_hh_tes_in!D14=0,"",SER_hh_tes_in!D14/SER_hh_fec_in!D14)</f>
        <v>0.78608632174279103</v>
      </c>
      <c r="E14" s="137">
        <f>IF(SER_hh_tes_in!E14=0,"",SER_hh_tes_in!E14/SER_hh_fec_in!E14)</f>
        <v>0.78955228862505755</v>
      </c>
      <c r="F14" s="137">
        <f>IF(SER_hh_tes_in!F14=0,"",SER_hh_tes_in!F14/SER_hh_fec_in!F14)</f>
        <v>0.79301659793628054</v>
      </c>
      <c r="G14" s="137">
        <f>IF(SER_hh_tes_in!G14=0,"",SER_hh_tes_in!G14/SER_hh_fec_in!G14)</f>
        <v>0.79647199818633818</v>
      </c>
      <c r="H14" s="137">
        <f>IF(SER_hh_tes_in!H14=0,"",SER_hh_tes_in!H14/SER_hh_fec_in!H14)</f>
        <v>0.79991940432392328</v>
      </c>
      <c r="I14" s="137">
        <f>IF(SER_hh_tes_in!I14=0,"",SER_hh_tes_in!I14/SER_hh_fec_in!I14)</f>
        <v>0.80335705930629964</v>
      </c>
      <c r="J14" s="137">
        <f>IF(SER_hh_tes_in!J14=0,"",SER_hh_tes_in!J14/SER_hh_fec_in!J14)</f>
        <v>0.8067777012683347</v>
      </c>
      <c r="K14" s="137" t="str">
        <f>IF(SER_hh_tes_in!K14=0,"",SER_hh_tes_in!K14/SER_hh_fec_in!K14)</f>
        <v/>
      </c>
      <c r="L14" s="137">
        <f>IF(SER_hh_tes_in!L14=0,"",SER_hh_tes_in!L14/SER_hh_fec_in!L14)</f>
        <v>0.81354801612222194</v>
      </c>
      <c r="M14" s="137">
        <f>IF(SER_hh_tes_in!M14=0,"",SER_hh_tes_in!M14/SER_hh_fec_in!M14)</f>
        <v>0.81627561452447039</v>
      </c>
      <c r="N14" s="137">
        <f>IF(SER_hh_tes_in!N14=0,"",SER_hh_tes_in!N14/SER_hh_fec_in!N14)</f>
        <v>0.81813380032980632</v>
      </c>
      <c r="O14" s="137">
        <f>IF(SER_hh_tes_in!O14=0,"",SER_hh_tes_in!O14/SER_hh_fec_in!O14)</f>
        <v>0.8194190626789527</v>
      </c>
      <c r="P14" s="137" t="str">
        <f>IF(SER_hh_tes_in!P14=0,"",SER_hh_tes_in!P14/SER_hh_fec_in!P14)</f>
        <v/>
      </c>
      <c r="Q14" s="137" t="str">
        <f>IF(SER_hh_tes_in!Q14=0,"",SER_hh_tes_in!Q14/SER_hh_fec_in!Q14)</f>
        <v/>
      </c>
      <c r="R14" s="137" t="str">
        <f>IF(SER_hh_tes_in!R14=0,"",SER_hh_tes_in!R14/SER_hh_fec_in!R14)</f>
        <v/>
      </c>
      <c r="S14" s="137">
        <f>IF(SER_hh_tes_in!S14=0,"",SER_hh_tes_in!S14/SER_hh_fec_in!S14)</f>
        <v>0.86218995619269101</v>
      </c>
      <c r="T14" s="137">
        <f>IF(SER_hh_tes_in!T14=0,"",SER_hh_tes_in!T14/SER_hh_fec_in!T14)</f>
        <v>0.88436415678252023</v>
      </c>
      <c r="U14" s="137">
        <f>IF(SER_hh_tes_in!U14=0,"",SER_hh_tes_in!U14/SER_hh_fec_in!U14)</f>
        <v>0.90622471372922608</v>
      </c>
      <c r="V14" s="137">
        <f>IF(SER_hh_tes_in!V14=0,"",SER_hh_tes_in!V14/SER_hh_fec_in!V14)</f>
        <v>0.92507414417153855</v>
      </c>
      <c r="W14" s="137">
        <f>IF(SER_hh_tes_in!W14=0,"",SER_hh_tes_in!W14/SER_hh_fec_in!W14)</f>
        <v>0.94037893190824728</v>
      </c>
      <c r="X14" s="137">
        <f>IF(SER_hh_tes_in!X14=0,"",SER_hh_tes_in!X14/SER_hh_fec_in!X14)</f>
        <v>0.94934759088549814</v>
      </c>
      <c r="Y14" s="137" t="str">
        <f>IF(SER_hh_tes_in!Y14=0,"",SER_hh_tes_in!Y14/SER_hh_fec_in!Y14)</f>
        <v/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2.3836619073118523</v>
      </c>
      <c r="D16" s="135">
        <f>IF(SER_hh_tes_in!D16=0,"",SER_hh_tes_in!D16/SER_hh_fec_in!D16)</f>
        <v>2.4498694747961407</v>
      </c>
      <c r="E16" s="135">
        <f>IF(SER_hh_tes_in!E16=0,"",SER_hh_tes_in!E16/SER_hh_fec_in!E16)</f>
        <v>2.5213959971643494</v>
      </c>
      <c r="F16" s="135">
        <f>IF(SER_hh_tes_in!F16=0,"",SER_hh_tes_in!F16/SER_hh_fec_in!F16)</f>
        <v>2.5842737044503434</v>
      </c>
      <c r="G16" s="135">
        <f>IF(SER_hh_tes_in!G16=0,"",SER_hh_tes_in!G16/SER_hh_fec_in!G16)</f>
        <v>2.6579679192680725</v>
      </c>
      <c r="H16" s="135">
        <f>IF(SER_hh_tes_in!H16=0,"",SER_hh_tes_in!H16/SER_hh_fec_in!H16)</f>
        <v>2.7300543152188768</v>
      </c>
      <c r="I16" s="135">
        <f>IF(SER_hh_tes_in!I16=0,"",SER_hh_tes_in!I16/SER_hh_fec_in!I16)</f>
        <v>2.8345652520411284</v>
      </c>
      <c r="J16" s="135">
        <f>IF(SER_hh_tes_in!J16=0,"",SER_hh_tes_in!J16/SER_hh_fec_in!J16)</f>
        <v>2.9525655310169281</v>
      </c>
      <c r="K16" s="135">
        <f>IF(SER_hh_tes_in!K16=0,"",SER_hh_tes_in!K16/SER_hh_fec_in!K16)</f>
        <v>3.0502825702715235</v>
      </c>
      <c r="L16" s="135">
        <f>IF(SER_hh_tes_in!L16=0,"",SER_hh_tes_in!L16/SER_hh_fec_in!L16)</f>
        <v>3.1827774765487482</v>
      </c>
      <c r="M16" s="135">
        <f>IF(SER_hh_tes_in!M16=0,"",SER_hh_tes_in!M16/SER_hh_fec_in!M16)</f>
        <v>3.3243432971449747</v>
      </c>
      <c r="N16" s="135">
        <f>IF(SER_hh_tes_in!N16=0,"",SER_hh_tes_in!N16/SER_hh_fec_in!N16)</f>
        <v>3.5090761675107989</v>
      </c>
      <c r="O16" s="135">
        <f>IF(SER_hh_tes_in!O16=0,"",SER_hh_tes_in!O16/SER_hh_fec_in!O16)</f>
        <v>3.7300208245810658</v>
      </c>
      <c r="P16" s="135">
        <f>IF(SER_hh_tes_in!P16=0,"",SER_hh_tes_in!P16/SER_hh_fec_in!P16)</f>
        <v>3.9317726339796994</v>
      </c>
      <c r="Q16" s="135">
        <f>IF(SER_hh_tes_in!Q16=0,"",SER_hh_tes_in!Q16/SER_hh_fec_in!Q16)</f>
        <v>4.0841562170958667</v>
      </c>
      <c r="R16" s="135">
        <f>IF(SER_hh_tes_in!R16=0,"",SER_hh_tes_in!R16/SER_hh_fec_in!R16)</f>
        <v>4.1954218083841974</v>
      </c>
      <c r="S16" s="135">
        <f>IF(SER_hh_tes_in!S16=0,"",SER_hh_tes_in!S16/SER_hh_fec_in!S16)</f>
        <v>4.2143477824700017</v>
      </c>
      <c r="T16" s="135">
        <f>IF(SER_hh_tes_in!T16=0,"",SER_hh_tes_in!T16/SER_hh_fec_in!T16)</f>
        <v>4.2503666763837824</v>
      </c>
      <c r="U16" s="135">
        <f>IF(SER_hh_tes_in!U16=0,"",SER_hh_tes_in!U16/SER_hh_fec_in!U16)</f>
        <v>4.2277950001941367</v>
      </c>
      <c r="V16" s="135">
        <f>IF(SER_hh_tes_in!V16=0,"",SER_hh_tes_in!V16/SER_hh_fec_in!V16)</f>
        <v>4.2586987301977777</v>
      </c>
      <c r="W16" s="135">
        <f>IF(SER_hh_tes_in!W16=0,"",SER_hh_tes_in!W16/SER_hh_fec_in!W16)</f>
        <v>4.3100060357854</v>
      </c>
      <c r="X16" s="135">
        <f>IF(SER_hh_tes_in!X16=0,"",SER_hh_tes_in!X16/SER_hh_fec_in!X16)</f>
        <v>4.3264508219626974</v>
      </c>
      <c r="Y16" s="135">
        <f>IF(SER_hh_tes_in!Y16=0,"",SER_hh_tes_in!Y16/SER_hh_fec_in!Y16)</f>
        <v>4.3561375512405958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>
        <f>IF(SER_hh_tes_in!C17=0,"",SER_hh_tes_in!C17/SER_hh_fec_in!C17)</f>
        <v>1.1953975715671183</v>
      </c>
      <c r="D17" s="136">
        <f>IF(SER_hh_tes_in!D17=0,"",SER_hh_tes_in!D17/SER_hh_fec_in!D17)</f>
        <v>1.2065671002615832</v>
      </c>
      <c r="E17" s="136">
        <f>IF(SER_hh_tes_in!E17=0,"",SER_hh_tes_in!E17/SER_hh_fec_in!E17)</f>
        <v>1.217679361763732</v>
      </c>
      <c r="F17" s="136">
        <f>IF(SER_hh_tes_in!F17=0,"",SER_hh_tes_in!F17/SER_hh_fec_in!F17)</f>
        <v>1.2286541100092354</v>
      </c>
      <c r="G17" s="136">
        <f>IF(SER_hh_tes_in!G17=0,"",SER_hh_tes_in!G17/SER_hh_fec_in!G17)</f>
        <v>1.2395738583543621</v>
      </c>
      <c r="H17" s="136">
        <f>IF(SER_hh_tes_in!H17=0,"",SER_hh_tes_in!H17/SER_hh_fec_in!H17)</f>
        <v>1.2504364778955723</v>
      </c>
      <c r="I17" s="136">
        <f>IF(SER_hh_tes_in!I17=0,"",SER_hh_tes_in!I17/SER_hh_fec_in!I17)</f>
        <v>1.2696201864263283</v>
      </c>
      <c r="J17" s="136">
        <f>IF(SER_hh_tes_in!J17=0,"",SER_hh_tes_in!J17/SER_hh_fec_in!J17)</f>
        <v>1.2901782796007031</v>
      </c>
      <c r="K17" s="136">
        <f>IF(SER_hh_tes_in!K17=0,"",SER_hh_tes_in!K17/SER_hh_fec_in!K17)</f>
        <v>1.3093185449954843</v>
      </c>
      <c r="L17" s="136">
        <f>IF(SER_hh_tes_in!L17=0,"",SER_hh_tes_in!L17/SER_hh_fec_in!L17)</f>
        <v>1.3282972213746047</v>
      </c>
      <c r="M17" s="136">
        <f>IF(SER_hh_tes_in!M17=0,"",SER_hh_tes_in!M17/SER_hh_fec_in!M17)</f>
        <v>1.3527098916858942</v>
      </c>
      <c r="N17" s="136">
        <f>IF(SER_hh_tes_in!N17=0,"",SER_hh_tes_in!N17/SER_hh_fec_in!N17)</f>
        <v>1.3854966570513285</v>
      </c>
      <c r="O17" s="136">
        <f>IF(SER_hh_tes_in!O17=0,"",SER_hh_tes_in!O17/SER_hh_fec_in!O17)</f>
        <v>1.4221082784880832</v>
      </c>
      <c r="P17" s="136">
        <f>IF(SER_hh_tes_in!P17=0,"",SER_hh_tes_in!P17/SER_hh_fec_in!P17)</f>
        <v>1.4548549332630945</v>
      </c>
      <c r="Q17" s="136">
        <f>IF(SER_hh_tes_in!Q17=0,"",SER_hh_tes_in!Q17/SER_hh_fec_in!Q17)</f>
        <v>1.4786205196570943</v>
      </c>
      <c r="R17" s="136">
        <f>IF(SER_hh_tes_in!R17=0,"",SER_hh_tes_in!R17/SER_hh_fec_in!R17)</f>
        <v>1.4980813941674607</v>
      </c>
      <c r="S17" s="136">
        <f>IF(SER_hh_tes_in!S17=0,"",SER_hh_tes_in!S17/SER_hh_fec_in!S17)</f>
        <v>1.5243333044540395</v>
      </c>
      <c r="T17" s="136">
        <f>IF(SER_hh_tes_in!T17=0,"",SER_hh_tes_in!T17/SER_hh_fec_in!T17)</f>
        <v>1.5534016297109783</v>
      </c>
      <c r="U17" s="136">
        <f>IF(SER_hh_tes_in!U17=0,"",SER_hh_tes_in!U17/SER_hh_fec_in!U17)</f>
        <v>1.5778770040789609</v>
      </c>
      <c r="V17" s="136">
        <f>IF(SER_hh_tes_in!V17=0,"",SER_hh_tes_in!V17/SER_hh_fec_in!V17)</f>
        <v>1.5991002581854092</v>
      </c>
      <c r="W17" s="136">
        <f>IF(SER_hh_tes_in!W17=0,"",SER_hh_tes_in!W17/SER_hh_fec_in!W17)</f>
        <v>1.6216848402455362</v>
      </c>
      <c r="X17" s="136">
        <f>IF(SER_hh_tes_in!X17=0,"",SER_hh_tes_in!X17/SER_hh_fec_in!X17)</f>
        <v>1.632287399438954</v>
      </c>
      <c r="Y17" s="136">
        <f>IF(SER_hh_tes_in!Y17=0,"",SER_hh_tes_in!Y17/SER_hh_fec_in!Y17)</f>
        <v>1.635791234026879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2.3874731238453735</v>
      </c>
      <c r="D18" s="136">
        <f>IF(SER_hh_tes_in!D18=0,"",SER_hh_tes_in!D18/SER_hh_fec_in!D18)</f>
        <v>2.455709053681125</v>
      </c>
      <c r="E18" s="136">
        <f>IF(SER_hh_tes_in!E18=0,"",SER_hh_tes_in!E18/SER_hh_fec_in!E18)</f>
        <v>2.5250410200082167</v>
      </c>
      <c r="F18" s="136">
        <f>IF(SER_hh_tes_in!F18=0,"",SER_hh_tes_in!F18/SER_hh_fec_in!F18)</f>
        <v>2.595078346965658</v>
      </c>
      <c r="G18" s="136">
        <f>IF(SER_hh_tes_in!G18=0,"",SER_hh_tes_in!G18/SER_hh_fec_in!G18)</f>
        <v>2.6661191432810512</v>
      </c>
      <c r="H18" s="136">
        <f>IF(SER_hh_tes_in!H18=0,"",SER_hh_tes_in!H18/SER_hh_fec_in!H18)</f>
        <v>2.7380967503460485</v>
      </c>
      <c r="I18" s="136">
        <f>IF(SER_hh_tes_in!I18=0,"",SER_hh_tes_in!I18/SER_hh_fec_in!I18)</f>
        <v>2.8484320265006793</v>
      </c>
      <c r="J18" s="136">
        <f>IF(SER_hh_tes_in!J18=0,"",SER_hh_tes_in!J18/SER_hh_fec_in!J18)</f>
        <v>2.9677434928316275</v>
      </c>
      <c r="K18" s="136">
        <f>IF(SER_hh_tes_in!K18=0,"",SER_hh_tes_in!K18/SER_hh_fec_in!K18)</f>
        <v>3.0832742472205794</v>
      </c>
      <c r="L18" s="136">
        <f>IF(SER_hh_tes_in!L18=0,"",SER_hh_tes_in!L18/SER_hh_fec_in!L18)</f>
        <v>3.2005265468091673</v>
      </c>
      <c r="M18" s="136">
        <f>IF(SER_hh_tes_in!M18=0,"",SER_hh_tes_in!M18/SER_hh_fec_in!M18)</f>
        <v>3.3470039136589151</v>
      </c>
      <c r="N18" s="136">
        <f>IF(SER_hh_tes_in!N18=0,"",SER_hh_tes_in!N18/SER_hh_fec_in!N18)</f>
        <v>3.5429456611580306</v>
      </c>
      <c r="O18" s="136">
        <f>IF(SER_hh_tes_in!O18=0,"",SER_hh_tes_in!O18/SER_hh_fec_in!O18)</f>
        <v>3.7696536924256749</v>
      </c>
      <c r="P18" s="136">
        <f>IF(SER_hh_tes_in!P18=0,"",SER_hh_tes_in!P18/SER_hh_fec_in!P18)</f>
        <v>3.9840186694186537</v>
      </c>
      <c r="Q18" s="136">
        <f>IF(SER_hh_tes_in!Q18=0,"",SER_hh_tes_in!Q18/SER_hh_fec_in!Q18)</f>
        <v>4.1442357802354586</v>
      </c>
      <c r="R18" s="136">
        <f>IF(SER_hh_tes_in!R18=0,"",SER_hh_tes_in!R18/SER_hh_fec_in!R18)</f>
        <v>4.2437400958791294</v>
      </c>
      <c r="S18" s="136">
        <f>IF(SER_hh_tes_in!S18=0,"",SER_hh_tes_in!S18/SER_hh_fec_in!S18)</f>
        <v>4.2874285196166459</v>
      </c>
      <c r="T18" s="136">
        <f>IF(SER_hh_tes_in!T18=0,"",SER_hh_tes_in!T18/SER_hh_fec_in!T18)</f>
        <v>4.3131758946653811</v>
      </c>
      <c r="U18" s="136">
        <f>IF(SER_hh_tes_in!U18=0,"",SER_hh_tes_in!U18/SER_hh_fec_in!U18)</f>
        <v>4.3170319750751469</v>
      </c>
      <c r="V18" s="136">
        <f>IF(SER_hh_tes_in!V18=0,"",SER_hh_tes_in!V18/SER_hh_fec_in!V18)</f>
        <v>4.3182004072457563</v>
      </c>
      <c r="W18" s="136">
        <f>IF(SER_hh_tes_in!W18=0,"",SER_hh_tes_in!W18/SER_hh_fec_in!W18)</f>
        <v>4.3594080446862247</v>
      </c>
      <c r="X18" s="136">
        <f>IF(SER_hh_tes_in!X18=0,"",SER_hh_tes_in!X18/SER_hh_fec_in!X18)</f>
        <v>4.3962369527570457</v>
      </c>
      <c r="Y18" s="136">
        <f>IF(SER_hh_tes_in!Y18=0,"",SER_hh_tes_in!Y18/SER_hh_fec_in!Y18)</f>
        <v>4.4272279627444933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0.83165671685935993</v>
      </c>
      <c r="D19" s="135">
        <f>IF(SER_hh_tes_in!D19=0,"",SER_hh_tes_in!D19/SER_hh_fec_in!D19)</f>
        <v>0.76463533185661536</v>
      </c>
      <c r="E19" s="135">
        <f>IF(SER_hh_tes_in!E19=0,"",SER_hh_tes_in!E19/SER_hh_fec_in!E19)</f>
        <v>0.84037575014002353</v>
      </c>
      <c r="F19" s="135">
        <f>IF(SER_hh_tes_in!F19=0,"",SER_hh_tes_in!F19/SER_hh_fec_in!F19)</f>
        <v>0.80196006520222762</v>
      </c>
      <c r="G19" s="135">
        <f>IF(SER_hh_tes_in!G19=0,"",SER_hh_tes_in!G19/SER_hh_fec_in!G19)</f>
        <v>0.74362617238355322</v>
      </c>
      <c r="H19" s="135">
        <f>IF(SER_hh_tes_in!H19=0,"",SER_hh_tes_in!H19/SER_hh_fec_in!H19)</f>
        <v>0.75554433187462833</v>
      </c>
      <c r="I19" s="135">
        <f>IF(SER_hh_tes_in!I19=0,"",SER_hh_tes_in!I19/SER_hh_fec_in!I19)</f>
        <v>0.86808613675391277</v>
      </c>
      <c r="J19" s="135">
        <f>IF(SER_hh_tes_in!J19=0,"",SER_hh_tes_in!J19/SER_hh_fec_in!J19)</f>
        <v>0.906556495201988</v>
      </c>
      <c r="K19" s="135">
        <f>IF(SER_hh_tes_in!K19=0,"",SER_hh_tes_in!K19/SER_hh_fec_in!K19)</f>
        <v>0.79888639298654107</v>
      </c>
      <c r="L19" s="135">
        <f>IF(SER_hh_tes_in!L19=0,"",SER_hh_tes_in!L19/SER_hh_fec_in!L19)</f>
        <v>0.93237070354464491</v>
      </c>
      <c r="M19" s="135">
        <f>IF(SER_hh_tes_in!M19=0,"",SER_hh_tes_in!M19/SER_hh_fec_in!M19)</f>
        <v>0.93364423781711525</v>
      </c>
      <c r="N19" s="135">
        <f>IF(SER_hh_tes_in!N19=0,"",SER_hh_tes_in!N19/SER_hh_fec_in!N19)</f>
        <v>0.93884083976535859</v>
      </c>
      <c r="O19" s="135">
        <f>IF(SER_hh_tes_in!O19=0,"",SER_hh_tes_in!O19/SER_hh_fec_in!O19)</f>
        <v>0.8169223617725998</v>
      </c>
      <c r="P19" s="135">
        <f>IF(SER_hh_tes_in!P19=0,"",SER_hh_tes_in!P19/SER_hh_fec_in!P19)</f>
        <v>0.96646677554655191</v>
      </c>
      <c r="Q19" s="135">
        <f>IF(SER_hh_tes_in!Q19=0,"",SER_hh_tes_in!Q19/SER_hh_fec_in!Q19)</f>
        <v>0.86316079355552155</v>
      </c>
      <c r="R19" s="135">
        <f>IF(SER_hh_tes_in!R19=0,"",SER_hh_tes_in!R19/SER_hh_fec_in!R19)</f>
        <v>0.87129916946873098</v>
      </c>
      <c r="S19" s="135">
        <f>IF(SER_hh_tes_in!S19=0,"",SER_hh_tes_in!S19/SER_hh_fec_in!S19)</f>
        <v>0.94952412379151718</v>
      </c>
      <c r="T19" s="135">
        <f>IF(SER_hh_tes_in!T19=0,"",SER_hh_tes_in!T19/SER_hh_fec_in!T19)</f>
        <v>0.95591877056863983</v>
      </c>
      <c r="U19" s="135">
        <f>IF(SER_hh_tes_in!U19=0,"",SER_hh_tes_in!U19/SER_hh_fec_in!U19)</f>
        <v>0.93548502847529369</v>
      </c>
      <c r="V19" s="135">
        <f>IF(SER_hh_tes_in!V19=0,"",SER_hh_tes_in!V19/SER_hh_fec_in!V19)</f>
        <v>0.95876574069033949</v>
      </c>
      <c r="W19" s="135">
        <f>IF(SER_hh_tes_in!W19=0,"",SER_hh_tes_in!W19/SER_hh_fec_in!W19)</f>
        <v>0.91743011403210273</v>
      </c>
      <c r="X19" s="135">
        <f>IF(SER_hh_tes_in!X19=0,"",SER_hh_tes_in!X19/SER_hh_fec_in!X19)</f>
        <v>0.94795363272847533</v>
      </c>
      <c r="Y19" s="135">
        <f>IF(SER_hh_tes_in!Y19=0,"",SER_hh_tes_in!Y19/SER_hh_fec_in!Y19)</f>
        <v>0.9205714600216488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>
        <f>IF(SER_hh_tes_in!C21=0,"",SER_hh_tes_in!C21/SER_hh_fec_in!C21)</f>
        <v>0.61149887824813587</v>
      </c>
      <c r="D21" s="136">
        <f>IF(SER_hh_tes_in!D21=0,"",SER_hh_tes_in!D21/SER_hh_fec_in!D21)</f>
        <v>0.613687780335474</v>
      </c>
      <c r="E21" s="136">
        <f>IF(SER_hh_tes_in!E21=0,"",SER_hh_tes_in!E21/SER_hh_fec_in!E21)</f>
        <v>0.61618094950117996</v>
      </c>
      <c r="F21" s="136">
        <f>IF(SER_hh_tes_in!F21=0,"",SER_hh_tes_in!F21/SER_hh_fec_in!F21)</f>
        <v>0.61871560963211802</v>
      </c>
      <c r="G21" s="136">
        <f>IF(SER_hh_tes_in!G21=0,"",SER_hh_tes_in!G21/SER_hh_fec_in!G21)</f>
        <v>0.62153048184553428</v>
      </c>
      <c r="H21" s="136">
        <f>IF(SER_hh_tes_in!H21=0,"",SER_hh_tes_in!H21/SER_hh_fec_in!H21)</f>
        <v>0.62459634971576772</v>
      </c>
      <c r="I21" s="136">
        <f>IF(SER_hh_tes_in!I21=0,"",SER_hh_tes_in!I21/SER_hh_fec_in!I21)</f>
        <v>0.62797203413308345</v>
      </c>
      <c r="J21" s="136" t="str">
        <f>IF(SER_hh_tes_in!J21=0,"",SER_hh_tes_in!J21/SER_hh_fec_in!J21)</f>
        <v/>
      </c>
      <c r="K21" s="136">
        <f>IF(SER_hh_tes_in!K21=0,"",SER_hh_tes_in!K21/SER_hh_fec_in!K21)</f>
        <v>0.63658064442940654</v>
      </c>
      <c r="L21" s="136" t="str">
        <f>IF(SER_hh_tes_in!L21=0,"",SER_hh_tes_in!L21/SER_hh_fec_in!L21)</f>
        <v/>
      </c>
      <c r="M21" s="136" t="str">
        <f>IF(SER_hh_tes_in!M21=0,"",SER_hh_tes_in!M21/SER_hh_fec_in!M21)</f>
        <v/>
      </c>
      <c r="N21" s="136" t="str">
        <f>IF(SER_hh_tes_in!N21=0,"",SER_hh_tes_in!N21/SER_hh_fec_in!N21)</f>
        <v/>
      </c>
      <c r="O21" s="136" t="str">
        <f>IF(SER_hh_tes_in!O21=0,"",SER_hh_tes_in!O21/SER_hh_fec_in!O21)</f>
        <v/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 t="str">
        <f>IF(SER_hh_tes_in!R21=0,"",SER_hh_tes_in!R21/SER_hh_fec_in!R21)</f>
        <v/>
      </c>
      <c r="S21" s="136" t="str">
        <f>IF(SER_hh_tes_in!S21=0,"",SER_hh_tes_in!S21/SER_hh_fec_in!S21)</f>
        <v/>
      </c>
      <c r="T21" s="136" t="str">
        <f>IF(SER_hh_tes_in!T21=0,"",SER_hh_tes_in!T21/SER_hh_fec_in!T21)</f>
        <v/>
      </c>
      <c r="U21" s="136" t="str">
        <f>IF(SER_hh_tes_in!U21=0,"",SER_hh_tes_in!U21/SER_hh_fec_in!U21)</f>
        <v/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 t="str">
        <f>IF(SER_hh_tes_in!X21=0,"",SER_hh_tes_in!X21/SER_hh_fec_in!X21)</f>
        <v/>
      </c>
      <c r="Y21" s="136" t="str">
        <f>IF(SER_hh_tes_in!Y21=0,"",SER_hh_tes_in!Y21/SER_hh_fec_in!Y21)</f>
        <v/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0.57652628175642462</v>
      </c>
      <c r="D22" s="136">
        <f>IF(SER_hh_tes_in!D22=0,"",SER_hh_tes_in!D22/SER_hh_fec_in!D22)</f>
        <v>0.57884566265044912</v>
      </c>
      <c r="E22" s="136">
        <f>IF(SER_hh_tes_in!E22=0,"",SER_hh_tes_in!E22/SER_hh_fec_in!E22)</f>
        <v>0.58148744775447903</v>
      </c>
      <c r="F22" s="136">
        <f>IF(SER_hh_tes_in!F22=0,"",SER_hh_tes_in!F22/SER_hh_fec_in!F22)</f>
        <v>0.5841731970689642</v>
      </c>
      <c r="G22" s="136">
        <f>IF(SER_hh_tes_in!G22=0,"",SER_hh_tes_in!G22/SER_hh_fec_in!G22)</f>
        <v>0.58715586169735701</v>
      </c>
      <c r="H22" s="136">
        <f>IF(SER_hh_tes_in!H22=0,"",SER_hh_tes_in!H22/SER_hh_fec_in!H22)</f>
        <v>0.59040448364484266</v>
      </c>
      <c r="I22" s="136">
        <f>IF(SER_hh_tes_in!I22=0,"",SER_hh_tes_in!I22/SER_hh_fec_in!I22)</f>
        <v>0.59398139007070261</v>
      </c>
      <c r="J22" s="136">
        <f>IF(SER_hh_tes_in!J22=0,"",SER_hh_tes_in!J22/SER_hh_fec_in!J22)</f>
        <v>0.59814191334700806</v>
      </c>
      <c r="K22" s="136">
        <f>IF(SER_hh_tes_in!K22=0,"",SER_hh_tes_in!K22/SER_hh_fec_in!K22)</f>
        <v>0.60310315315041951</v>
      </c>
      <c r="L22" s="136">
        <f>IF(SER_hh_tes_in!L22=0,"",SER_hh_tes_in!L22/SER_hh_fec_in!L22)</f>
        <v>0.60892319254507921</v>
      </c>
      <c r="M22" s="136">
        <f>IF(SER_hh_tes_in!M22=0,"",SER_hh_tes_in!M22/SER_hh_fec_in!M22)</f>
        <v>0.62078771189021387</v>
      </c>
      <c r="N22" s="136">
        <f>IF(SER_hh_tes_in!N22=0,"",SER_hh_tes_in!N22/SER_hh_fec_in!N22)</f>
        <v>0.64034503929750319</v>
      </c>
      <c r="O22" s="136">
        <f>IF(SER_hh_tes_in!O22=0,"",SER_hh_tes_in!O22/SER_hh_fec_in!O22)</f>
        <v>0.6689366972554831</v>
      </c>
      <c r="P22" s="136" t="str">
        <f>IF(SER_hh_tes_in!P22=0,"",SER_hh_tes_in!P22/SER_hh_fec_in!P22)</f>
        <v/>
      </c>
      <c r="Q22" s="136">
        <f>IF(SER_hh_tes_in!Q22=0,"",SER_hh_tes_in!Q22/SER_hh_fec_in!Q22)</f>
        <v>0.73482312582014464</v>
      </c>
      <c r="R22" s="136">
        <f>IF(SER_hh_tes_in!R22=0,"",SER_hh_tes_in!R22/SER_hh_fec_in!R22)</f>
        <v>0.75507535111406776</v>
      </c>
      <c r="S22" s="136">
        <f>IF(SER_hh_tes_in!S22=0,"",SER_hh_tes_in!S22/SER_hh_fec_in!S22)</f>
        <v>0.77393210300251425</v>
      </c>
      <c r="T22" s="136">
        <f>IF(SER_hh_tes_in!T22=0,"",SER_hh_tes_in!T22/SER_hh_fec_in!T22)</f>
        <v>0.79083737562700573</v>
      </c>
      <c r="U22" s="136">
        <f>IF(SER_hh_tes_in!U22=0,"",SER_hh_tes_in!U22/SER_hh_fec_in!U22)</f>
        <v>0.80523516312912102</v>
      </c>
      <c r="V22" s="136">
        <f>IF(SER_hh_tes_in!V22=0,"",SER_hh_tes_in!V22/SER_hh_fec_in!V22)</f>
        <v>0.81656945965041616</v>
      </c>
      <c r="W22" s="136">
        <f>IF(SER_hh_tes_in!W22=0,"",SER_hh_tes_in!W22/SER_hh_fec_in!W22)</f>
        <v>0.82353611898406764</v>
      </c>
      <c r="X22" s="136">
        <f>IF(SER_hh_tes_in!X22=0,"",SER_hh_tes_in!X22/SER_hh_fec_in!X22)</f>
        <v>0.82674876661947361</v>
      </c>
      <c r="Y22" s="136">
        <f>IF(SER_hh_tes_in!Y22=0,"",SER_hh_tes_in!Y22/SER_hh_fec_in!Y22)</f>
        <v>0.8283755727507327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0.6242912438443563</v>
      </c>
      <c r="D23" s="136">
        <f>IF(SER_hh_tes_in!D23=0,"",SER_hh_tes_in!D23/SER_hh_fec_in!D23)</f>
        <v>0.62966375643529093</v>
      </c>
      <c r="E23" s="136">
        <f>IF(SER_hh_tes_in!E23=0,"",SER_hh_tes_in!E23/SER_hh_fec_in!E23)</f>
        <v>0.63527961222189966</v>
      </c>
      <c r="F23" s="136">
        <f>IF(SER_hh_tes_in!F23=0,"",SER_hh_tes_in!F23/SER_hh_fec_in!F23)</f>
        <v>0.64093873365812137</v>
      </c>
      <c r="G23" s="136">
        <f>IF(SER_hh_tes_in!G23=0,"",SER_hh_tes_in!G23/SER_hh_fec_in!G23)</f>
        <v>0.64682022012066753</v>
      </c>
      <c r="H23" s="136">
        <f>IF(SER_hh_tes_in!H23=0,"",SER_hh_tes_in!H23/SER_hh_fec_in!H23)</f>
        <v>0.65290029346863765</v>
      </c>
      <c r="I23" s="136">
        <f>IF(SER_hh_tes_in!I23=0,"",SER_hh_tes_in!I23/SER_hh_fec_in!I23)</f>
        <v>0.65922118078863867</v>
      </c>
      <c r="J23" s="136">
        <f>IF(SER_hh_tes_in!J23=0,"",SER_hh_tes_in!J23/SER_hh_fec_in!J23)</f>
        <v>0.66596017802202678</v>
      </c>
      <c r="K23" s="136">
        <f>IF(SER_hh_tes_in!K23=0,"",SER_hh_tes_in!K23/SER_hh_fec_in!K23)</f>
        <v>0.67326553686564583</v>
      </c>
      <c r="L23" s="136">
        <f>IF(SER_hh_tes_in!L23=0,"",SER_hh_tes_in!L23/SER_hh_fec_in!L23)</f>
        <v>0.68117248145433362</v>
      </c>
      <c r="M23" s="136">
        <f>IF(SER_hh_tes_in!M23=0,"",SER_hh_tes_in!M23/SER_hh_fec_in!M23)</f>
        <v>0.69337149638258577</v>
      </c>
      <c r="N23" s="136">
        <f>IF(SER_hh_tes_in!N23=0,"",SER_hh_tes_in!N23/SER_hh_fec_in!N23)</f>
        <v>0.71100207308377383</v>
      </c>
      <c r="O23" s="136">
        <f>IF(SER_hh_tes_in!O23=0,"",SER_hh_tes_in!O23/SER_hh_fec_in!O23)</f>
        <v>0.73487751173528859</v>
      </c>
      <c r="P23" s="136">
        <f>IF(SER_hh_tes_in!P23=0,"",SER_hh_tes_in!P23/SER_hh_fec_in!P23)</f>
        <v>0.76263830317902814</v>
      </c>
      <c r="Q23" s="136">
        <f>IF(SER_hh_tes_in!Q23=0,"",SER_hh_tes_in!Q23/SER_hh_fec_in!Q23)</f>
        <v>0.7869435590106304</v>
      </c>
      <c r="R23" s="136">
        <f>IF(SER_hh_tes_in!R23=0,"",SER_hh_tes_in!R23/SER_hh_fec_in!R23)</f>
        <v>0.80180071026070088</v>
      </c>
      <c r="S23" s="136">
        <f>IF(SER_hh_tes_in!S23=0,"",SER_hh_tes_in!S23/SER_hh_fec_in!S23)</f>
        <v>0.81445325424043824</v>
      </c>
      <c r="T23" s="136">
        <f>IF(SER_hh_tes_in!T23=0,"",SER_hh_tes_in!T23/SER_hh_fec_in!T23)</f>
        <v>0.82509978968190789</v>
      </c>
      <c r="U23" s="136">
        <f>IF(SER_hh_tes_in!U23=0,"",SER_hh_tes_in!U23/SER_hh_fec_in!U23)</f>
        <v>0.83392943694312582</v>
      </c>
      <c r="V23" s="136">
        <f>IF(SER_hh_tes_in!V23=0,"",SER_hh_tes_in!V23/SER_hh_fec_in!V23)</f>
        <v>0.84110806703893459</v>
      </c>
      <c r="W23" s="136">
        <f>IF(SER_hh_tes_in!W23=0,"",SER_hh_tes_in!W23/SER_hh_fec_in!W23)</f>
        <v>0.84585892614771652</v>
      </c>
      <c r="X23" s="136">
        <f>IF(SER_hh_tes_in!X23=0,"",SER_hh_tes_in!X23/SER_hh_fec_in!X23)</f>
        <v>0.84841960192527566</v>
      </c>
      <c r="Y23" s="136">
        <f>IF(SER_hh_tes_in!Y23=0,"",SER_hh_tes_in!Y23/SER_hh_fec_in!Y23)</f>
        <v>0.84992099821541722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>
        <f>IF(SER_hh_tes_in!C24=0,"",SER_hh_tes_in!C24/SER_hh_fec_in!C24)</f>
        <v>0.61346058472189924</v>
      </c>
      <c r="D24" s="136">
        <f>IF(SER_hh_tes_in!D24=0,"",SER_hh_tes_in!D24/SER_hh_fec_in!D24)</f>
        <v>0.62596782388822925</v>
      </c>
      <c r="E24" s="136">
        <f>IF(SER_hh_tes_in!E24=0,"",SER_hh_tes_in!E24/SER_hh_fec_in!E24)</f>
        <v>0.63859413050160874</v>
      </c>
      <c r="F24" s="136">
        <f>IF(SER_hh_tes_in!F24=0,"",SER_hh_tes_in!F24/SER_hh_fec_in!F24)</f>
        <v>0.65132715540429087</v>
      </c>
      <c r="G24" s="136">
        <f>IF(SER_hh_tes_in!G24=0,"",SER_hh_tes_in!G24/SER_hh_fec_in!G24)</f>
        <v>0.66415433553097758</v>
      </c>
      <c r="H24" s="136">
        <f>IF(SER_hh_tes_in!H24=0,"",SER_hh_tes_in!H24/SER_hh_fec_in!H24)</f>
        <v>0.67706087600549514</v>
      </c>
      <c r="I24" s="136">
        <f>IF(SER_hh_tes_in!I24=0,"",SER_hh_tes_in!I24/SER_hh_fec_in!I24)</f>
        <v>0.69002726073778864</v>
      </c>
      <c r="J24" s="136">
        <f>IF(SER_hh_tes_in!J24=0,"",SER_hh_tes_in!J24/SER_hh_fec_in!J24)</f>
        <v>0.70301133242410452</v>
      </c>
      <c r="K24" s="136">
        <f>IF(SER_hh_tes_in!K24=0,"",SER_hh_tes_in!K24/SER_hh_fec_in!K24)</f>
        <v>0.71595734661957677</v>
      </c>
      <c r="L24" s="136">
        <f>IF(SER_hh_tes_in!L24=0,"",SER_hh_tes_in!L24/SER_hh_fec_in!L24)</f>
        <v>0.72881582713948168</v>
      </c>
      <c r="M24" s="136">
        <f>IF(SER_hh_tes_in!M24=0,"",SER_hh_tes_in!M24/SER_hh_fec_in!M24)</f>
        <v>0.7406273991758433</v>
      </c>
      <c r="N24" s="136">
        <f>IF(SER_hh_tes_in!N24=0,"",SER_hh_tes_in!N24/SER_hh_fec_in!N24)</f>
        <v>0.75086711125849082</v>
      </c>
      <c r="O24" s="136">
        <f>IF(SER_hh_tes_in!O24=0,"",SER_hh_tes_in!O24/SER_hh_fec_in!O24)</f>
        <v>0.75923177521698482</v>
      </c>
      <c r="P24" s="136">
        <f>IF(SER_hh_tes_in!P24=0,"",SER_hh_tes_in!P24/SER_hh_fec_in!P24)</f>
        <v>0.76644602276220264</v>
      </c>
      <c r="Q24" s="136">
        <f>IF(SER_hh_tes_in!Q24=0,"",SER_hh_tes_in!Q24/SER_hh_fec_in!Q24)</f>
        <v>0.77505396889081835</v>
      </c>
      <c r="R24" s="136">
        <f>IF(SER_hh_tes_in!R24=0,"",SER_hh_tes_in!R24/SER_hh_fec_in!R24)</f>
        <v>0.7879475589527577</v>
      </c>
      <c r="S24" s="136">
        <f>IF(SER_hh_tes_in!S24=0,"",SER_hh_tes_in!S24/SER_hh_fec_in!S24)</f>
        <v>0.80245914054675427</v>
      </c>
      <c r="T24" s="136">
        <f>IF(SER_hh_tes_in!T24=0,"",SER_hh_tes_in!T24/SER_hh_fec_in!T24)</f>
        <v>0.81709668923537271</v>
      </c>
      <c r="U24" s="136">
        <f>IF(SER_hh_tes_in!U24=0,"",SER_hh_tes_in!U24/SER_hh_fec_in!U24)</f>
        <v>0.83061810965050842</v>
      </c>
      <c r="V24" s="136">
        <f>IF(SER_hh_tes_in!V24=0,"",SER_hh_tes_in!V24/SER_hh_fec_in!V24)</f>
        <v>0.84196017964503167</v>
      </c>
      <c r="W24" s="136">
        <f>IF(SER_hh_tes_in!W24=0,"",SER_hh_tes_in!W24/SER_hh_fec_in!W24)</f>
        <v>0.85107156095203407</v>
      </c>
      <c r="X24" s="136">
        <f>IF(SER_hh_tes_in!X24=0,"",SER_hh_tes_in!X24/SER_hh_fec_in!X24)</f>
        <v>0.85688787036331004</v>
      </c>
      <c r="Y24" s="136">
        <f>IF(SER_hh_tes_in!Y24=0,"",SER_hh_tes_in!Y24/SER_hh_fec_in!Y24)</f>
        <v>0.86236918070964419</v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0.87422227841190836</v>
      </c>
      <c r="D25" s="136">
        <f>IF(SER_hh_tes_in!D25=0,"",SER_hh_tes_in!D25/SER_hh_fec_in!D25)</f>
        <v>0.87624500470917477</v>
      </c>
      <c r="E25" s="136">
        <f>IF(SER_hh_tes_in!E25=0,"",SER_hh_tes_in!E25/SER_hh_fec_in!E25)</f>
        <v>0.87832233933934767</v>
      </c>
      <c r="F25" s="136">
        <f>IF(SER_hh_tes_in!F25=0,"",SER_hh_tes_in!F25/SER_hh_fec_in!F25)</f>
        <v>0.88040712056037163</v>
      </c>
      <c r="G25" s="136">
        <f>IF(SER_hh_tes_in!G25=0,"",SER_hh_tes_in!G25/SER_hh_fec_in!G25)</f>
        <v>0.88254219284399249</v>
      </c>
      <c r="H25" s="136">
        <f>IF(SER_hh_tes_in!H25=0,"",SER_hh_tes_in!H25/SER_hh_fec_in!H25)</f>
        <v>0.88472231257231004</v>
      </c>
      <c r="I25" s="136">
        <f>IF(SER_hh_tes_in!I25=0,"",SER_hh_tes_in!I25/SER_hh_fec_in!I25)</f>
        <v>0.88695803662441375</v>
      </c>
      <c r="J25" s="136">
        <f>IF(SER_hh_tes_in!J25=0,"",SER_hh_tes_in!J25/SER_hh_fec_in!J25)</f>
        <v>0.88929261280769378</v>
      </c>
      <c r="K25" s="136">
        <f>IF(SER_hh_tes_in!K25=0,"",SER_hh_tes_in!K25/SER_hh_fec_in!K25)</f>
        <v>0.89176281313395689</v>
      </c>
      <c r="L25" s="136">
        <f>IF(SER_hh_tes_in!L25=0,"",SER_hh_tes_in!L25/SER_hh_fec_in!L25)</f>
        <v>0.89437847562393746</v>
      </c>
      <c r="M25" s="136">
        <f>IF(SER_hh_tes_in!M25=0,"",SER_hh_tes_in!M25/SER_hh_fec_in!M25)</f>
        <v>0.89800018688320005</v>
      </c>
      <c r="N25" s="136">
        <f>IF(SER_hh_tes_in!N25=0,"",SER_hh_tes_in!N25/SER_hh_fec_in!N25)</f>
        <v>0.90290004280669112</v>
      </c>
      <c r="O25" s="136">
        <f>IF(SER_hh_tes_in!O25=0,"",SER_hh_tes_in!O25/SER_hh_fec_in!O25)</f>
        <v>0.90931656850988851</v>
      </c>
      <c r="P25" s="136">
        <f>IF(SER_hh_tes_in!P25=0,"",SER_hh_tes_in!P25/SER_hh_fec_in!P25)</f>
        <v>0.91679595247261181</v>
      </c>
      <c r="Q25" s="136">
        <f>IF(SER_hh_tes_in!Q25=0,"",SER_hh_tes_in!Q25/SER_hh_fec_in!Q25)</f>
        <v>0.92385257963366219</v>
      </c>
      <c r="R25" s="136">
        <f>IF(SER_hh_tes_in!R25=0,"",SER_hh_tes_in!R25/SER_hh_fec_in!R25)</f>
        <v>0.92925983750612262</v>
      </c>
      <c r="S25" s="136">
        <f>IF(SER_hh_tes_in!S25=0,"",SER_hh_tes_in!S25/SER_hh_fec_in!S25)</f>
        <v>0.9345201954938952</v>
      </c>
      <c r="T25" s="136">
        <f>IF(SER_hh_tes_in!T25=0,"",SER_hh_tes_in!T25/SER_hh_fec_in!T25)</f>
        <v>0.93959850614041862</v>
      </c>
      <c r="U25" s="136">
        <f>IF(SER_hh_tes_in!U25=0,"",SER_hh_tes_in!U25/SER_hh_fec_in!U25)</f>
        <v>0.9444596219891479</v>
      </c>
      <c r="V25" s="136">
        <f>IF(SER_hh_tes_in!V25=0,"",SER_hh_tes_in!V25/SER_hh_fec_in!V25)</f>
        <v>0.94906839558353118</v>
      </c>
      <c r="W25" s="136">
        <f>IF(SER_hh_tes_in!W25=0,"",SER_hh_tes_in!W25/SER_hh_fec_in!W25)</f>
        <v>0.95331396438276939</v>
      </c>
      <c r="X25" s="136">
        <f>IF(SER_hh_tes_in!X25=0,"",SER_hh_tes_in!X25/SER_hh_fec_in!X25)</f>
        <v>0.95579299461669887</v>
      </c>
      <c r="Y25" s="136">
        <f>IF(SER_hh_tes_in!Y25=0,"",SER_hh_tes_in!Y25/SER_hh_fec_in!Y25)</f>
        <v>0.95817520751217689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0.72630302443076444</v>
      </c>
      <c r="D26" s="137">
        <f>IF(SER_hh_tes_in!D26=0,"",SER_hh_tes_in!D26/SER_hh_fec_in!D26)</f>
        <v>0.72839208885287698</v>
      </c>
      <c r="E26" s="137">
        <f>IF(SER_hh_tes_in!E26=0,"",SER_hh_tes_in!E26/SER_hh_fec_in!E26)</f>
        <v>0.73067909699909084</v>
      </c>
      <c r="F26" s="137">
        <f>IF(SER_hh_tes_in!F26=0,"",SER_hh_tes_in!F26/SER_hh_fec_in!F26)</f>
        <v>0.73299369899199307</v>
      </c>
      <c r="G26" s="137">
        <f>IF(SER_hh_tes_in!G26=0,"",SER_hh_tes_in!G26/SER_hh_fec_in!G26)</f>
        <v>0.73549214006634556</v>
      </c>
      <c r="H26" s="137">
        <f>IF(SER_hh_tes_in!H26=0,"",SER_hh_tes_in!H26/SER_hh_fec_in!H26)</f>
        <v>0.73815678348828939</v>
      </c>
      <c r="I26" s="137">
        <f>IF(SER_hh_tes_in!I26=0,"",SER_hh_tes_in!I26/SER_hh_fec_in!I26)</f>
        <v>0.74102815112717224</v>
      </c>
      <c r="J26" s="137">
        <f>IF(SER_hh_tes_in!J26=0,"",SER_hh_tes_in!J26/SER_hh_fec_in!J26)</f>
        <v>0.74426872340184824</v>
      </c>
      <c r="K26" s="137">
        <f>IF(SER_hh_tes_in!K26=0,"",SER_hh_tes_in!K26/SER_hh_fec_in!K26)</f>
        <v>0.74802203788245014</v>
      </c>
      <c r="L26" s="137">
        <f>IF(SER_hh_tes_in!L26=0,"",SER_hh_tes_in!L26/SER_hh_fec_in!L26)</f>
        <v>0.75233744540804359</v>
      </c>
      <c r="M26" s="137">
        <f>IF(SER_hh_tes_in!M26=0,"",SER_hh_tes_in!M26/SER_hh_fec_in!M26)</f>
        <v>0.76054155488117914</v>
      </c>
      <c r="N26" s="137">
        <f>IF(SER_hh_tes_in!N26=0,"",SER_hh_tes_in!N26/SER_hh_fec_in!N26)</f>
        <v>0.77406939252372819</v>
      </c>
      <c r="O26" s="137">
        <f>IF(SER_hh_tes_in!O26=0,"",SER_hh_tes_in!O26/SER_hh_fec_in!O26)</f>
        <v>0.79469758642875932</v>
      </c>
      <c r="P26" s="137">
        <f>IF(SER_hh_tes_in!P26=0,"",SER_hh_tes_in!P26/SER_hh_fec_in!P26)</f>
        <v>0.82144814804517885</v>
      </c>
      <c r="Q26" s="137">
        <f>IF(SER_hh_tes_in!Q26=0,"",SER_hh_tes_in!Q26/SER_hh_fec_in!Q26)</f>
        <v>0.84725674856963529</v>
      </c>
      <c r="R26" s="137">
        <f>IF(SER_hh_tes_in!R26=0,"",SER_hh_tes_in!R26/SER_hh_fec_in!R26)</f>
        <v>0.86472244424195477</v>
      </c>
      <c r="S26" s="137">
        <f>IF(SER_hh_tes_in!S26=0,"",SER_hh_tes_in!S26/SER_hh_fec_in!S26)</f>
        <v>0.88164369281006894</v>
      </c>
      <c r="T26" s="137">
        <f>IF(SER_hh_tes_in!T26=0,"",SER_hh_tes_in!T26/SER_hh_fec_in!T26)</f>
        <v>0.89843362343808253</v>
      </c>
      <c r="U26" s="137">
        <f>IF(SER_hh_tes_in!U26=0,"",SER_hh_tes_in!U26/SER_hh_fec_in!U26)</f>
        <v>0.91526102065690984</v>
      </c>
      <c r="V26" s="137">
        <f>IF(SER_hh_tes_in!V26=0,"",SER_hh_tes_in!V26/SER_hh_fec_in!V26)</f>
        <v>0.93179198777944883</v>
      </c>
      <c r="W26" s="137">
        <f>IF(SER_hh_tes_in!W26=0,"",SER_hh_tes_in!W26/SER_hh_fec_in!W26)</f>
        <v>0.94689024488742546</v>
      </c>
      <c r="X26" s="137">
        <f>IF(SER_hh_tes_in!X26=0,"",SER_hh_tes_in!X26/SER_hh_fec_in!X26)</f>
        <v>0.95463669809535967</v>
      </c>
      <c r="Y26" s="137">
        <f>IF(SER_hh_tes_in!Y26=0,"",SER_hh_tes_in!Y26/SER_hh_fec_in!Y26)</f>
        <v>0.96186366810795709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>
        <f>IF(SER_hh_tes_in!C27=0,"",SER_hh_tes_in!C27/SER_hh_fec_in!C27)</f>
        <v>1</v>
      </c>
      <c r="D27" s="148">
        <f>IF(SER_hh_tes_in!D27=0,"",SER_hh_tes_in!D27/SER_hh_fec_in!D27)</f>
        <v>1</v>
      </c>
      <c r="E27" s="148">
        <f>IF(SER_hh_tes_in!E27=0,"",SER_hh_tes_in!E27/SER_hh_fec_in!E27)</f>
        <v>1</v>
      </c>
      <c r="F27" s="148">
        <f>IF(SER_hh_tes_in!F27=0,"",SER_hh_tes_in!F27/SER_hh_fec_in!F27)</f>
        <v>1</v>
      </c>
      <c r="G27" s="148">
        <f>IF(SER_hh_tes_in!G27=0,"",SER_hh_tes_in!G27/SER_hh_fec_in!G27)</f>
        <v>1</v>
      </c>
      <c r="H27" s="148" t="str">
        <f>IF(SER_hh_tes_in!H27=0,"",SER_hh_tes_in!H27/SER_hh_fec_in!H27)</f>
        <v/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 t="str">
        <f>IF(SER_hh_tes_in!K27=0,"",SER_hh_tes_in!K27/SER_hh_fec_in!K27)</f>
        <v/>
      </c>
      <c r="L27" s="148">
        <f>IF(SER_hh_tes_in!L27=0,"",SER_hh_tes_in!L27/SER_hh_fec_in!L27)</f>
        <v>1</v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>
        <f>IF(SER_hh_tes_in!P27=0,"",SER_hh_tes_in!P27/SER_hh_fec_in!P27)</f>
        <v>1</v>
      </c>
      <c r="Q27" s="148">
        <f>IF(SER_hh_tes_in!Q27=0,"",SER_hh_tes_in!Q27/SER_hh_fec_in!Q27)</f>
        <v>1</v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 t="str">
        <f>IF(SER_hh_tes_in!W27=0,"",SER_hh_tes_in!W27/SER_hh_fec_in!W27)</f>
        <v/>
      </c>
      <c r="X27" s="148">
        <f>IF(SER_hh_tes_in!X27=0,"",SER_hh_tes_in!X27/SER_hh_fec_in!X27)</f>
        <v>1</v>
      </c>
      <c r="Y27" s="148" t="str">
        <f>IF(SER_hh_tes_in!Y27=0,"",SER_hh_tes_in!Y27/SER_hh_fec_in!Y27)</f>
        <v/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0.68914628546210366</v>
      </c>
      <c r="D29" s="135">
        <f>IF(SER_hh_tes_in!D29=0,"",SER_hh_tes_in!D29/SER_hh_fec_in!D29)</f>
        <v>0.62662529676597978</v>
      </c>
      <c r="E29" s="135">
        <f>IF(SER_hh_tes_in!E29=0,"",SER_hh_tes_in!E29/SER_hh_fec_in!E29)</f>
        <v>0.6390777032654833</v>
      </c>
      <c r="F29" s="135">
        <f>IF(SER_hh_tes_in!F29=0,"",SER_hh_tes_in!F29/SER_hh_fec_in!F29)</f>
        <v>0.67937771546462333</v>
      </c>
      <c r="G29" s="135">
        <f>IF(SER_hh_tes_in!G29=0,"",SER_hh_tes_in!G29/SER_hh_fec_in!G29)</f>
        <v>0.70868720928945517</v>
      </c>
      <c r="H29" s="135">
        <f>IF(SER_hh_tes_in!H29=0,"",SER_hh_tes_in!H29/SER_hh_fec_in!H29)</f>
        <v>0.72965769364832433</v>
      </c>
      <c r="I29" s="135">
        <f>IF(SER_hh_tes_in!I29=0,"",SER_hh_tes_in!I29/SER_hh_fec_in!I29)</f>
        <v>0.7466030147961159</v>
      </c>
      <c r="J29" s="135">
        <f>IF(SER_hh_tes_in!J29=0,"",SER_hh_tes_in!J29/SER_hh_fec_in!J29)</f>
        <v>0.72293677986876459</v>
      </c>
      <c r="K29" s="135">
        <f>IF(SER_hh_tes_in!K29=0,"",SER_hh_tes_in!K29/SER_hh_fec_in!K29)</f>
        <v>0.68952586795968096</v>
      </c>
      <c r="L29" s="135">
        <f>IF(SER_hh_tes_in!L29=0,"",SER_hh_tes_in!L29/SER_hh_fec_in!L29)</f>
        <v>0.69656070464889019</v>
      </c>
      <c r="M29" s="135">
        <f>IF(SER_hh_tes_in!M29=0,"",SER_hh_tes_in!M29/SER_hh_fec_in!M29)</f>
        <v>0.727791284507045</v>
      </c>
      <c r="N29" s="135">
        <f>IF(SER_hh_tes_in!N29=0,"",SER_hh_tes_in!N29/SER_hh_fec_in!N29)</f>
        <v>0.75618141194436883</v>
      </c>
      <c r="O29" s="135">
        <f>IF(SER_hh_tes_in!O29=0,"",SER_hh_tes_in!O29/SER_hh_fec_in!O29)</f>
        <v>0.73726733322554239</v>
      </c>
      <c r="P29" s="135">
        <f>IF(SER_hh_tes_in!P29=0,"",SER_hh_tes_in!P29/SER_hh_fec_in!P29)</f>
        <v>0.72925319437774661</v>
      </c>
      <c r="Q29" s="135">
        <f>IF(SER_hh_tes_in!Q29=0,"",SER_hh_tes_in!Q29/SER_hh_fec_in!Q29)</f>
        <v>0.72308456571205681</v>
      </c>
      <c r="R29" s="135">
        <f>IF(SER_hh_tes_in!R29=0,"",SER_hh_tes_in!R29/SER_hh_fec_in!R29)</f>
        <v>0.74507366246363771</v>
      </c>
      <c r="S29" s="135">
        <f>IF(SER_hh_tes_in!S29=0,"",SER_hh_tes_in!S29/SER_hh_fec_in!S29)</f>
        <v>0.74122753818098575</v>
      </c>
      <c r="T29" s="135">
        <f>IF(SER_hh_tes_in!T29=0,"",SER_hh_tes_in!T29/SER_hh_fec_in!T29)</f>
        <v>0.75999630912955607</v>
      </c>
      <c r="U29" s="135">
        <f>IF(SER_hh_tes_in!U29=0,"",SER_hh_tes_in!U29/SER_hh_fec_in!U29)</f>
        <v>0.76192793225461486</v>
      </c>
      <c r="V29" s="135">
        <f>IF(SER_hh_tes_in!V29=0,"",SER_hh_tes_in!V29/SER_hh_fec_in!V29)</f>
        <v>0.77166084240444921</v>
      </c>
      <c r="W29" s="135">
        <f>IF(SER_hh_tes_in!W29=0,"",SER_hh_tes_in!W29/SER_hh_fec_in!W29)</f>
        <v>0.76127832797665385</v>
      </c>
      <c r="X29" s="135">
        <f>IF(SER_hh_tes_in!X29=0,"",SER_hh_tes_in!X29/SER_hh_fec_in!X29)</f>
        <v>0.78247978841121812</v>
      </c>
      <c r="Y29" s="135">
        <f>IF(SER_hh_tes_in!Y29=0,"",SER_hh_tes_in!Y29/SER_hh_fec_in!Y29)</f>
        <v>0.79348264666947288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0.60059501807211468</v>
      </c>
      <c r="D30" s="136">
        <f>IF(SER_hh_tes_in!D30=0,"",SER_hh_tes_in!D30/SER_hh_fec_in!D30)</f>
        <v>0.60086915645077887</v>
      </c>
      <c r="E30" s="136">
        <f>IF(SER_hh_tes_in!E30=0,"",SER_hh_tes_in!E30/SER_hh_fec_in!E30)</f>
        <v>0.6011433195234448</v>
      </c>
      <c r="F30" s="136">
        <f>IF(SER_hh_tes_in!F30=0,"",SER_hh_tes_in!F30/SER_hh_fec_in!F30)</f>
        <v>0.60141748596347455</v>
      </c>
      <c r="G30" s="136">
        <f>IF(SER_hh_tes_in!G30=0,"",SER_hh_tes_in!G30/SER_hh_fec_in!G30)</f>
        <v>0.60169167514522726</v>
      </c>
      <c r="H30" s="136">
        <f>IF(SER_hh_tes_in!H30=0,"",SER_hh_tes_in!H30/SER_hh_fec_in!H30)</f>
        <v>0.60196588469752821</v>
      </c>
      <c r="I30" s="136" t="str">
        <f>IF(SER_hh_tes_in!I30=0,"",SER_hh_tes_in!I30/SER_hh_fec_in!I30)</f>
        <v/>
      </c>
      <c r="J30" s="136">
        <f>IF(SER_hh_tes_in!J30=0,"",SER_hh_tes_in!J30/SER_hh_fec_in!J30)</f>
        <v>0.60251439879205071</v>
      </c>
      <c r="K30" s="136">
        <f>IF(SER_hh_tes_in!K30=0,"",SER_hh_tes_in!K30/SER_hh_fec_in!K30)</f>
        <v>0.60278873951940082</v>
      </c>
      <c r="L30" s="136">
        <f>IF(SER_hh_tes_in!L30=0,"",SER_hh_tes_in!L30/SER_hh_fec_in!L30)</f>
        <v>0.60306314602504363</v>
      </c>
      <c r="M30" s="136" t="str">
        <f>IF(SER_hh_tes_in!M30=0,"",SER_hh_tes_in!M30/SER_hh_fec_in!M30)</f>
        <v/>
      </c>
      <c r="N30" s="136" t="str">
        <f>IF(SER_hh_tes_in!N30=0,"",SER_hh_tes_in!N30/SER_hh_fec_in!N30)</f>
        <v/>
      </c>
      <c r="O30" s="136" t="str">
        <f>IF(SER_hh_tes_in!O30=0,"",SER_hh_tes_in!O30/SER_hh_fec_in!O30)</f>
        <v/>
      </c>
      <c r="P30" s="136" t="str">
        <f>IF(SER_hh_tes_in!P30=0,"",SER_hh_tes_in!P30/SER_hh_fec_in!P30)</f>
        <v/>
      </c>
      <c r="Q30" s="136">
        <f>IF(SER_hh_tes_in!Q30=0,"",SER_hh_tes_in!Q30/SER_hh_fec_in!Q30)</f>
        <v>0.60444259276427581</v>
      </c>
      <c r="R30" s="136">
        <f>IF(SER_hh_tes_in!R30=0,"",SER_hh_tes_in!R30/SER_hh_fec_in!R30)</f>
        <v>0.60651953067292763</v>
      </c>
      <c r="S30" s="136">
        <f>IF(SER_hh_tes_in!S30=0,"",SER_hh_tes_in!S30/SER_hh_fec_in!S30)</f>
        <v>0.60944928892374772</v>
      </c>
      <c r="T30" s="136">
        <f>IF(SER_hh_tes_in!T30=0,"",SER_hh_tes_in!T30/SER_hh_fec_in!T30)</f>
        <v>0.6126638081674628</v>
      </c>
      <c r="U30" s="136">
        <f>IF(SER_hh_tes_in!U30=0,"",SER_hh_tes_in!U30/SER_hh_fec_in!U30)</f>
        <v>0.6155950290548079</v>
      </c>
      <c r="V30" s="136">
        <f>IF(SER_hh_tes_in!V30=0,"",SER_hh_tes_in!V30/SER_hh_fec_in!V30)</f>
        <v>0.61767489223651362</v>
      </c>
      <c r="W30" s="136">
        <f>IF(SER_hh_tes_in!W30=0,"",SER_hh_tes_in!W30/SER_hh_fec_in!W30)</f>
        <v>0.61867449027284105</v>
      </c>
      <c r="X30" s="136" t="str">
        <f>IF(SER_hh_tes_in!X30=0,"",SER_hh_tes_in!X30/SER_hh_fec_in!X30)</f>
        <v/>
      </c>
      <c r="Y30" s="136" t="str">
        <f>IF(SER_hh_tes_in!Y30=0,"",SER_hh_tes_in!Y30/SER_hh_fec_in!Y30)</f>
        <v/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0.60812180437784136</v>
      </c>
      <c r="D31" s="136">
        <f>IF(SER_hh_tes_in!D31=0,"",SER_hh_tes_in!D31/SER_hh_fec_in!D31)</f>
        <v>0.60849857619830472</v>
      </c>
      <c r="E31" s="136">
        <f>IF(SER_hh_tes_in!E31=0,"",SER_hh_tes_in!E31/SER_hh_fec_in!E31)</f>
        <v>0.60887538195784652</v>
      </c>
      <c r="F31" s="136">
        <f>IF(SER_hh_tes_in!F31=0,"",SER_hh_tes_in!F31/SER_hh_fec_in!F31)</f>
        <v>0.60925219234544448</v>
      </c>
      <c r="G31" s="136">
        <f>IF(SER_hh_tes_in!G31=0,"",SER_hh_tes_in!G31/SER_hh_fec_in!G31)</f>
        <v>0.60962903398893742</v>
      </c>
      <c r="H31" s="136">
        <f>IF(SER_hh_tes_in!H31=0,"",SER_hh_tes_in!H31/SER_hh_fec_in!H31)</f>
        <v>0.61000590362941698</v>
      </c>
      <c r="I31" s="136">
        <f>IF(SER_hh_tes_in!I31=0,"",SER_hh_tes_in!I31/SER_hh_fec_in!I31)</f>
        <v>0.61038280782798326</v>
      </c>
      <c r="J31" s="136">
        <f>IF(SER_hh_tes_in!J31=0,"",SER_hh_tes_in!J31/SER_hh_fec_in!J31)</f>
        <v>0.61075977346314858</v>
      </c>
      <c r="K31" s="136">
        <f>IF(SER_hh_tes_in!K31=0,"",SER_hh_tes_in!K31/SER_hh_fec_in!K31)</f>
        <v>0.61113682338871766</v>
      </c>
      <c r="L31" s="136">
        <f>IF(SER_hh_tes_in!L31=0,"",SER_hh_tes_in!L31/SER_hh_fec_in!L31)</f>
        <v>0.61151396371902011</v>
      </c>
      <c r="M31" s="136">
        <f>IF(SER_hh_tes_in!M31=0,"",SER_hh_tes_in!M31/SER_hh_fec_in!M31)</f>
        <v>0.61180038027507044</v>
      </c>
      <c r="N31" s="136">
        <f>IF(SER_hh_tes_in!N31=0,"",SER_hh_tes_in!N31/SER_hh_fec_in!N31)</f>
        <v>0.61196047365733464</v>
      </c>
      <c r="O31" s="136">
        <f>IF(SER_hh_tes_in!O31=0,"",SER_hh_tes_in!O31/SER_hh_fec_in!O31)</f>
        <v>0.61205615726646223</v>
      </c>
      <c r="P31" s="136">
        <f>IF(SER_hh_tes_in!P31=0,"",SER_hh_tes_in!P31/SER_hh_fec_in!P31)</f>
        <v>0.61232314656005193</v>
      </c>
      <c r="Q31" s="136">
        <f>IF(SER_hh_tes_in!Q31=0,"",SER_hh_tes_in!Q31/SER_hh_fec_in!Q31)</f>
        <v>0.6134098553548617</v>
      </c>
      <c r="R31" s="136">
        <f>IF(SER_hh_tes_in!R31=0,"",SER_hh_tes_in!R31/SER_hh_fec_in!R31)</f>
        <v>0.61626436876026292</v>
      </c>
      <c r="S31" s="136">
        <f>IF(SER_hh_tes_in!S31=0,"",SER_hh_tes_in!S31/SER_hh_fec_in!S31)</f>
        <v>0.62029098610241518</v>
      </c>
      <c r="T31" s="136">
        <f>IF(SER_hh_tes_in!T31=0,"",SER_hh_tes_in!T31/SER_hh_fec_in!T31)</f>
        <v>0.62470897483230536</v>
      </c>
      <c r="U31" s="136">
        <f>IF(SER_hh_tes_in!U31=0,"",SER_hh_tes_in!U31/SER_hh_fec_in!U31)</f>
        <v>0.62873760240093113</v>
      </c>
      <c r="V31" s="136">
        <f>IF(SER_hh_tes_in!V31=0,"",SER_hh_tes_in!V31/SER_hh_fec_in!V31)</f>
        <v>0.63159613625928479</v>
      </c>
      <c r="W31" s="136">
        <f>IF(SER_hh_tes_in!W31=0,"",SER_hh_tes_in!W31/SER_hh_fec_in!W31)</f>
        <v>0.63296996933480609</v>
      </c>
      <c r="X31" s="136">
        <f>IF(SER_hh_tes_in!X31=0,"",SER_hh_tes_in!X31/SER_hh_fec_in!X31)</f>
        <v>0.6333746413894501</v>
      </c>
      <c r="Y31" s="136">
        <f>IF(SER_hh_tes_in!Y31=0,"",SER_hh_tes_in!Y31/SER_hh_fec_in!Y31)</f>
        <v>0.63341510859491446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>
        <f>IF(SER_hh_tes_in!C32=0,"",SER_hh_tes_in!C32/SER_hh_fec_in!C32)</f>
        <v>0.56894696987639504</v>
      </c>
      <c r="D32" s="136">
        <f>IF(SER_hh_tes_in!D32=0,"",SER_hh_tes_in!D32/SER_hh_fec_in!D32)</f>
        <v>0.56929690194933114</v>
      </c>
      <c r="E32" s="136">
        <f>IF(SER_hh_tes_in!E32=0,"",SER_hh_tes_in!E32/SER_hh_fec_in!E32)</f>
        <v>0.56964686554365906</v>
      </c>
      <c r="F32" s="136">
        <f>IF(SER_hh_tes_in!F32=0,"",SER_hh_tes_in!F32/SER_hh_fec_in!F32)</f>
        <v>0.56999683343635843</v>
      </c>
      <c r="G32" s="136">
        <f>IF(SER_hh_tes_in!G32=0,"",SER_hh_tes_in!G32/SER_hh_fec_in!G32)</f>
        <v>0.57034683035840528</v>
      </c>
      <c r="H32" s="136">
        <f>IF(SER_hh_tes_in!H32=0,"",SER_hh_tes_in!H32/SER_hh_fec_in!H32)</f>
        <v>0.5706968532830432</v>
      </c>
      <c r="I32" s="136">
        <f>IF(SER_hh_tes_in!I32=0,"",SER_hh_tes_in!I32/SER_hh_fec_in!I32)</f>
        <v>0.57104690830398519</v>
      </c>
      <c r="J32" s="136">
        <f>IF(SER_hh_tes_in!J32=0,"",SER_hh_tes_in!J32/SER_hh_fec_in!J32)</f>
        <v>0.57139702038502371</v>
      </c>
      <c r="K32" s="136">
        <f>IF(SER_hh_tes_in!K32=0,"",SER_hh_tes_in!K32/SER_hh_fec_in!K32)</f>
        <v>0.57174721075194812</v>
      </c>
      <c r="L32" s="136">
        <f>IF(SER_hh_tes_in!L32=0,"",SER_hh_tes_in!L32/SER_hh_fec_in!L32)</f>
        <v>0.5720974850835272</v>
      </c>
      <c r="M32" s="136">
        <f>IF(SER_hh_tes_in!M32=0,"",SER_hh_tes_in!M32/SER_hh_fec_in!M32)</f>
        <v>0.57236349844689038</v>
      </c>
      <c r="N32" s="136">
        <f>IF(SER_hh_tes_in!N32=0,"",SER_hh_tes_in!N32/SER_hh_fec_in!N32)</f>
        <v>0.57251218740417542</v>
      </c>
      <c r="O32" s="136">
        <f>IF(SER_hh_tes_in!O32=0,"",SER_hh_tes_in!O32/SER_hh_fec_in!O32)</f>
        <v>0.57260105488807289</v>
      </c>
      <c r="P32" s="136">
        <f>IF(SER_hh_tes_in!P32=0,"",SER_hh_tes_in!P32/SER_hh_fec_in!P32)</f>
        <v>0.57284902491099754</v>
      </c>
      <c r="Q32" s="136">
        <f>IF(SER_hh_tes_in!Q32=0,"",SER_hh_tes_in!Q32/SER_hh_fec_in!Q32)</f>
        <v>0.57385832083121291</v>
      </c>
      <c r="R32" s="136">
        <f>IF(SER_hh_tes_in!R32=0,"",SER_hh_tes_in!R32/SER_hh_fec_in!R32)</f>
        <v>0.5765094898914358</v>
      </c>
      <c r="S32" s="136">
        <f>IF(SER_hh_tes_in!S32=0,"",SER_hh_tes_in!S32/SER_hh_fec_in!S32)</f>
        <v>0.5802492667986564</v>
      </c>
      <c r="T32" s="136">
        <f>IF(SER_hh_tes_in!T32=0,"",SER_hh_tes_in!T32/SER_hh_fec_in!T32)</f>
        <v>0.58435253533014619</v>
      </c>
      <c r="U32" s="136">
        <f>IF(SER_hh_tes_in!U32=0,"",SER_hh_tes_in!U32/SER_hh_fec_in!U32)</f>
        <v>0.58809417926318663</v>
      </c>
      <c r="V32" s="136">
        <f>IF(SER_hh_tes_in!V32=0,"",SER_hh_tes_in!V32/SER_hh_fec_in!V32)</f>
        <v>0.59074908237505408</v>
      </c>
      <c r="W32" s="136">
        <f>IF(SER_hh_tes_in!W32=0,"",SER_hh_tes_in!W32/SER_hh_fec_in!W32)</f>
        <v>0.59202504896776331</v>
      </c>
      <c r="X32" s="136">
        <f>IF(SER_hh_tes_in!X32=0,"",SER_hh_tes_in!X32/SER_hh_fec_in!X32)</f>
        <v>0.59240941775751188</v>
      </c>
      <c r="Y32" s="136">
        <f>IF(SER_hh_tes_in!Y32=0,"",SER_hh_tes_in!Y32/SER_hh_fec_in!Y32)</f>
        <v>0.59244785463648686</v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0.79952240222345583</v>
      </c>
      <c r="D33" s="149">
        <f>IF(SER_hh_tes_in!D33=0,"",SER_hh_tes_in!D33/SER_hh_fec_in!D33)</f>
        <v>0.80048797333526378</v>
      </c>
      <c r="E33" s="149">
        <f>IF(SER_hh_tes_in!E33=0,"",SER_hh_tes_in!E33/SER_hh_fec_in!E33)</f>
        <v>0.80149907134835952</v>
      </c>
      <c r="F33" s="149">
        <f>IF(SER_hh_tes_in!F33=0,"",SER_hh_tes_in!F33/SER_hh_fec_in!F33)</f>
        <v>0.80251637757526728</v>
      </c>
      <c r="G33" s="149">
        <f>IF(SER_hh_tes_in!G33=0,"",SER_hh_tes_in!G33/SER_hh_fec_in!G33)</f>
        <v>0.80357561140041245</v>
      </c>
      <c r="H33" s="149">
        <f>IF(SER_hh_tes_in!H33=0,"",SER_hh_tes_in!H33/SER_hh_fec_in!H33)</f>
        <v>0.80467240122587436</v>
      </c>
      <c r="I33" s="149">
        <f>IF(SER_hh_tes_in!I33=0,"",SER_hh_tes_in!I33/SER_hh_fec_in!I33)</f>
        <v>0.80581554830901958</v>
      </c>
      <c r="J33" s="149">
        <f>IF(SER_hh_tes_in!J33=0,"",SER_hh_tes_in!J33/SER_hh_fec_in!J33)</f>
        <v>0.80704110829471232</v>
      </c>
      <c r="K33" s="149">
        <f>IF(SER_hh_tes_in!K33=0,"",SER_hh_tes_in!K33/SER_hh_fec_in!K33)</f>
        <v>0.80837973796485052</v>
      </c>
      <c r="L33" s="149">
        <f>IF(SER_hh_tes_in!L33=0,"",SER_hh_tes_in!L33/SER_hh_fec_in!L33)</f>
        <v>0.80983963926545566</v>
      </c>
      <c r="M33" s="149">
        <f>IF(SER_hh_tes_in!M33=0,"",SER_hh_tes_in!M33/SER_hh_fec_in!M33)</f>
        <v>0.81192697551974424</v>
      </c>
      <c r="N33" s="149">
        <f>IF(SER_hh_tes_in!N33=0,"",SER_hh_tes_in!N33/SER_hh_fec_in!N33)</f>
        <v>0.81478584661504339</v>
      </c>
      <c r="O33" s="149">
        <f>IF(SER_hh_tes_in!O33=0,"",SER_hh_tes_in!O33/SER_hh_fec_in!O33)</f>
        <v>0.81875796190019945</v>
      </c>
      <c r="P33" s="149">
        <f>IF(SER_hh_tes_in!P33=0,"",SER_hh_tes_in!P33/SER_hh_fec_in!P33)</f>
        <v>0.82401091930348114</v>
      </c>
      <c r="Q33" s="149">
        <f>IF(SER_hh_tes_in!Q33=0,"",SER_hh_tes_in!Q33/SER_hh_fec_in!Q33)</f>
        <v>0.83080829741891893</v>
      </c>
      <c r="R33" s="149">
        <f>IF(SER_hh_tes_in!R33=0,"",SER_hh_tes_in!R33/SER_hh_fec_in!R33)</f>
        <v>0.84005790389185275</v>
      </c>
      <c r="S33" s="149">
        <f>IF(SER_hh_tes_in!S33=0,"",SER_hh_tes_in!S33/SER_hh_fec_in!S33)</f>
        <v>0.85163218103645022</v>
      </c>
      <c r="T33" s="149">
        <f>IF(SER_hh_tes_in!T33=0,"",SER_hh_tes_in!T33/SER_hh_fec_in!T33)</f>
        <v>0.86409252597315678</v>
      </c>
      <c r="U33" s="149">
        <f>IF(SER_hh_tes_in!U33=0,"",SER_hh_tes_in!U33/SER_hh_fec_in!U33)</f>
        <v>0.87600033582245129</v>
      </c>
      <c r="V33" s="149">
        <f>IF(SER_hh_tes_in!V33=0,"",SER_hh_tes_in!V33/SER_hh_fec_in!V33)</f>
        <v>0.88591700770479775</v>
      </c>
      <c r="W33" s="149">
        <f>IF(SER_hh_tes_in!W33=0,"",SER_hh_tes_in!W33/SER_hh_fec_in!W33)</f>
        <v>0.89334270532824589</v>
      </c>
      <c r="X33" s="149">
        <f>IF(SER_hh_tes_in!X33=0,"",SER_hh_tes_in!X33/SER_hh_fec_in!X33)</f>
        <v>0.90040263380437846</v>
      </c>
      <c r="Y33" s="149">
        <f>IF(SER_hh_tes_in!Y33=0,"",SER_hh_tes_in!Y33/SER_hh_fec_in!Y33)</f>
        <v>0.90666334889785516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60.42914361768176</v>
      </c>
      <c r="D3" s="125">
        <f t="shared" si="0"/>
        <v>62.490932158127144</v>
      </c>
      <c r="E3" s="125">
        <f t="shared" si="0"/>
        <v>45.040267404079046</v>
      </c>
      <c r="F3" s="125">
        <f t="shared" si="0"/>
        <v>34.744700375066209</v>
      </c>
      <c r="G3" s="125">
        <f t="shared" si="0"/>
        <v>30.936031552694612</v>
      </c>
      <c r="H3" s="125">
        <f t="shared" si="0"/>
        <v>36.079864813033325</v>
      </c>
      <c r="I3" s="125">
        <f t="shared" si="0"/>
        <v>15.936087425330239</v>
      </c>
      <c r="J3" s="125">
        <f t="shared" si="0"/>
        <v>4.9773875446315117</v>
      </c>
      <c r="K3" s="125">
        <f t="shared" si="0"/>
        <v>3.2750164577716498</v>
      </c>
      <c r="L3" s="125">
        <f t="shared" si="0"/>
        <v>15.755531058075318</v>
      </c>
      <c r="M3" s="125">
        <f t="shared" si="0"/>
        <v>11.239497825105529</v>
      </c>
      <c r="N3" s="125">
        <f t="shared" si="0"/>
        <v>10.132433729173375</v>
      </c>
      <c r="O3" s="125">
        <f t="shared" si="0"/>
        <v>15.56904583356434</v>
      </c>
      <c r="P3" s="125">
        <f t="shared" si="0"/>
        <v>14.309028468141571</v>
      </c>
      <c r="Q3" s="125">
        <f t="shared" si="0"/>
        <v>14.253476243775005</v>
      </c>
      <c r="R3" s="125">
        <f t="shared" ref="R3:W3" si="1">SUM(R4,R16,R19,R29)</f>
        <v>24.091142408256196</v>
      </c>
      <c r="S3" s="125">
        <f t="shared" si="1"/>
        <v>27.492068727212434</v>
      </c>
      <c r="T3" s="125">
        <f t="shared" si="1"/>
        <v>20.407497660229375</v>
      </c>
      <c r="U3" s="125">
        <f t="shared" si="1"/>
        <v>18.295914300118284</v>
      </c>
      <c r="V3" s="125">
        <f t="shared" si="1"/>
        <v>10.811872113083275</v>
      </c>
      <c r="W3" s="125">
        <f t="shared" si="1"/>
        <v>14.410744498452175</v>
      </c>
      <c r="X3" s="125">
        <f t="shared" ref="X3:Y3" si="2">SUM(X4,X16,X19,X29)</f>
        <v>9.1849864923597906</v>
      </c>
      <c r="Y3" s="125">
        <f t="shared" si="2"/>
        <v>6.7035592966263424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55.432637029271461</v>
      </c>
      <c r="D4" s="130">
        <f t="shared" si="3"/>
        <v>49.786746007652162</v>
      </c>
      <c r="E4" s="130">
        <f t="shared" si="3"/>
        <v>36.80155146045842</v>
      </c>
      <c r="F4" s="130">
        <f t="shared" si="3"/>
        <v>23.312566749281576</v>
      </c>
      <c r="G4" s="130">
        <f t="shared" si="3"/>
        <v>21.708059960494722</v>
      </c>
      <c r="H4" s="130">
        <f t="shared" si="3"/>
        <v>26.374417698735751</v>
      </c>
      <c r="I4" s="130">
        <f t="shared" si="3"/>
        <v>9.0326809789941027</v>
      </c>
      <c r="J4" s="130">
        <f t="shared" si="3"/>
        <v>0.15915580736443524</v>
      </c>
      <c r="K4" s="130">
        <f t="shared" si="3"/>
        <v>1.1912600491899992</v>
      </c>
      <c r="L4" s="130">
        <f t="shared" si="3"/>
        <v>9.4194490118564982</v>
      </c>
      <c r="M4" s="130">
        <f t="shared" si="3"/>
        <v>7.4233721644430348</v>
      </c>
      <c r="N4" s="130">
        <f t="shared" si="3"/>
        <v>8.3552376252232143</v>
      </c>
      <c r="O4" s="130">
        <f t="shared" si="3"/>
        <v>12.32257950955556</v>
      </c>
      <c r="P4" s="130">
        <f t="shared" si="3"/>
        <v>11.349731294781016</v>
      </c>
      <c r="Q4" s="130">
        <f t="shared" si="3"/>
        <v>9.5910799970579035</v>
      </c>
      <c r="R4" s="130">
        <f t="shared" ref="R4:W4" si="4">SUM(R5:R15)</f>
        <v>17.131303914474778</v>
      </c>
      <c r="S4" s="130">
        <f t="shared" si="4"/>
        <v>19.689077383453878</v>
      </c>
      <c r="T4" s="130">
        <f t="shared" si="4"/>
        <v>13.861068411556255</v>
      </c>
      <c r="U4" s="130">
        <f t="shared" si="4"/>
        <v>11.141255305126656</v>
      </c>
      <c r="V4" s="130">
        <f t="shared" si="4"/>
        <v>5.1406242592298028</v>
      </c>
      <c r="W4" s="130">
        <f t="shared" si="4"/>
        <v>7.0633272831542122</v>
      </c>
      <c r="X4" s="130">
        <f t="shared" ref="X4:Y4" si="5">SUM(X5:X15)</f>
        <v>2.7311096945210838</v>
      </c>
      <c r="Y4" s="130">
        <f t="shared" si="5"/>
        <v>6.1118531657562869E-2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5.8403031262668104E-2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25.726068391545251</v>
      </c>
      <c r="D7" s="132">
        <v>25.911512934129309</v>
      </c>
      <c r="E7" s="132">
        <v>23.568536940055434</v>
      </c>
      <c r="F7" s="132">
        <v>21.645607723108736</v>
      </c>
      <c r="G7" s="132">
        <v>20.08279763043133</v>
      </c>
      <c r="H7" s="132">
        <v>24.608774916137019</v>
      </c>
      <c r="I7" s="132">
        <v>8.1593799080719336</v>
      </c>
      <c r="J7" s="132">
        <v>0</v>
      </c>
      <c r="K7" s="132">
        <v>0</v>
      </c>
      <c r="L7" s="132">
        <v>0</v>
      </c>
      <c r="M7" s="132">
        <v>0</v>
      </c>
      <c r="N7" s="132">
        <v>0</v>
      </c>
      <c r="O7" s="132">
        <v>4.3610921093071893</v>
      </c>
      <c r="P7" s="132">
        <v>5.6168549991378791</v>
      </c>
      <c r="Q7" s="132">
        <v>7.5283327549115455</v>
      </c>
      <c r="R7" s="132">
        <v>9.2953138513105724</v>
      </c>
      <c r="S7" s="132">
        <v>13.866320728793882</v>
      </c>
      <c r="T7" s="132">
        <v>10.447278266969365</v>
      </c>
      <c r="U7" s="132">
        <v>6.6302141251208289</v>
      </c>
      <c r="V7" s="132">
        <v>5.0877628257083645</v>
      </c>
      <c r="W7" s="132">
        <v>3.2288404526585666</v>
      </c>
      <c r="X7" s="132">
        <v>0</v>
      </c>
      <c r="Y7" s="132">
        <v>0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0.12586689281468863</v>
      </c>
      <c r="D8" s="132">
        <v>0.22034192975687675</v>
      </c>
      <c r="E8" s="132">
        <v>0.21220064431432673</v>
      </c>
      <c r="F8" s="132">
        <v>0.33336758676462752</v>
      </c>
      <c r="G8" s="132">
        <v>0.23859329465983134</v>
      </c>
      <c r="H8" s="132">
        <v>0.30667241240613663</v>
      </c>
      <c r="I8" s="132">
        <v>0.17795284883398627</v>
      </c>
      <c r="J8" s="132">
        <v>0.11916231994297116</v>
      </c>
      <c r="K8" s="132">
        <v>1.6726841660514462E-2</v>
      </c>
      <c r="L8" s="132">
        <v>2.7292138071682223E-2</v>
      </c>
      <c r="M8" s="132">
        <v>1.994403173621432E-2</v>
      </c>
      <c r="N8" s="132">
        <v>1.3689142818070692E-2</v>
      </c>
      <c r="O8" s="132">
        <v>2.1055385062404747E-2</v>
      </c>
      <c r="P8" s="132">
        <v>7.2972260421990925E-2</v>
      </c>
      <c r="Q8" s="132">
        <v>8.3450569755256734E-2</v>
      </c>
      <c r="R8" s="132">
        <v>0.13451822089784277</v>
      </c>
      <c r="S8" s="132">
        <v>0.13531218049544697</v>
      </c>
      <c r="T8" s="132">
        <v>0.10860333871132488</v>
      </c>
      <c r="U8" s="132">
        <v>8.7047775044253525E-2</v>
      </c>
      <c r="V8" s="132">
        <v>5.2861433521438191E-2</v>
      </c>
      <c r="W8" s="132">
        <v>4.7809870434659084E-2</v>
      </c>
      <c r="X8" s="132">
        <v>1.808611072630175E-2</v>
      </c>
      <c r="Y8" s="132">
        <v>4.5207852185250481E-3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29.198504228532737</v>
      </c>
      <c r="D9" s="132">
        <v>22.492770550960728</v>
      </c>
      <c r="E9" s="132">
        <v>12.066156124947677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1.1385109703761911</v>
      </c>
      <c r="L9" s="132">
        <v>9.3067752053526611</v>
      </c>
      <c r="M9" s="132">
        <v>7.3944808088396305</v>
      </c>
      <c r="N9" s="132">
        <v>8.3415484824051429</v>
      </c>
      <c r="O9" s="132">
        <v>7.8820289839232967</v>
      </c>
      <c r="P9" s="132">
        <v>5.6599040352211469</v>
      </c>
      <c r="Q9" s="132">
        <v>1.979296672391101</v>
      </c>
      <c r="R9" s="132">
        <v>7.7014718422663631</v>
      </c>
      <c r="S9" s="132">
        <v>5.6874444741645478</v>
      </c>
      <c r="T9" s="132">
        <v>3.3051868058755658</v>
      </c>
      <c r="U9" s="132">
        <v>4.4239934049615739</v>
      </c>
      <c r="V9" s="132">
        <v>0</v>
      </c>
      <c r="W9" s="132">
        <v>3.7866769600609862</v>
      </c>
      <c r="X9" s="132">
        <v>2.713023583794782</v>
      </c>
      <c r="Y9" s="132">
        <v>5.6597746439037824E-2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0.38219751637878036</v>
      </c>
      <c r="D10" s="132">
        <v>1.1621205928052454</v>
      </c>
      <c r="E10" s="132">
        <v>0.9546577511409865</v>
      </c>
      <c r="F10" s="132">
        <v>1.3335914394082122</v>
      </c>
      <c r="G10" s="132">
        <v>1.3866690354035609</v>
      </c>
      <c r="H10" s="132">
        <v>1.4589703701925969</v>
      </c>
      <c r="I10" s="132">
        <v>0.69534822208818392</v>
      </c>
      <c r="J10" s="132">
        <v>3.9993487421464073E-2</v>
      </c>
      <c r="K10" s="132">
        <v>3.602223715329373E-2</v>
      </c>
      <c r="L10" s="132">
        <v>8.5381668432153127E-2</v>
      </c>
      <c r="M10" s="132">
        <v>8.9473238671896899E-3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9.2504621260418446E-3</v>
      </c>
      <c r="D16" s="130">
        <f t="shared" si="6"/>
        <v>1.7273953231627517E-2</v>
      </c>
      <c r="E16" s="130">
        <f t="shared" si="6"/>
        <v>8.8671361663673013E-3</v>
      </c>
      <c r="F16" s="130">
        <f t="shared" si="6"/>
        <v>3.7365419265798533E-2</v>
      </c>
      <c r="G16" s="130">
        <f t="shared" si="6"/>
        <v>2.8108362585414284E-2</v>
      </c>
      <c r="H16" s="130">
        <f t="shared" si="6"/>
        <v>3.5055011959005192E-2</v>
      </c>
      <c r="I16" s="130">
        <f t="shared" si="6"/>
        <v>5.421205619993856E-2</v>
      </c>
      <c r="J16" s="130">
        <f t="shared" si="6"/>
        <v>3.1546620805200126E-2</v>
      </c>
      <c r="K16" s="130">
        <f t="shared" si="6"/>
        <v>1.6058097362451621E-2</v>
      </c>
      <c r="L16" s="130">
        <f t="shared" si="6"/>
        <v>3.2118625940878776E-2</v>
      </c>
      <c r="M16" s="130">
        <f t="shared" si="6"/>
        <v>2.8732899003788902E-2</v>
      </c>
      <c r="N16" s="130">
        <f t="shared" si="6"/>
        <v>2.2503985457644031E-2</v>
      </c>
      <c r="O16" s="130">
        <f t="shared" si="6"/>
        <v>2.6958476831119897E-2</v>
      </c>
      <c r="P16" s="130">
        <f t="shared" si="6"/>
        <v>3.2843160532107528E-2</v>
      </c>
      <c r="Q16" s="130">
        <f t="shared" si="6"/>
        <v>4.8341980212923123E-2</v>
      </c>
      <c r="R16" s="130">
        <f t="shared" ref="R16:W16" si="7">SUM(R17:R18)</f>
        <v>5.197342536329836E-2</v>
      </c>
      <c r="S16" s="130">
        <f t="shared" si="7"/>
        <v>8.7882986190738047E-2</v>
      </c>
      <c r="T16" s="130">
        <f t="shared" si="7"/>
        <v>7.338026956171563E-2</v>
      </c>
      <c r="U16" s="130">
        <f t="shared" si="7"/>
        <v>9.8802976258932002E-2</v>
      </c>
      <c r="V16" s="130">
        <f t="shared" si="7"/>
        <v>5.8525447156302438E-2</v>
      </c>
      <c r="W16" s="130">
        <f t="shared" si="7"/>
        <v>4.7225663706667982E-2</v>
      </c>
      <c r="X16" s="130">
        <f t="shared" ref="X16:Y16" si="8">SUM(X17:X18)</f>
        <v>6.8571473378154946E-2</v>
      </c>
      <c r="Y16" s="130">
        <f t="shared" si="8"/>
        <v>7.1974983325947137E-2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9.2504621260418446E-3</v>
      </c>
      <c r="D17" s="132">
        <v>1.7273953231627517E-2</v>
      </c>
      <c r="E17" s="132">
        <v>8.8671361663673013E-3</v>
      </c>
      <c r="F17" s="132">
        <v>3.7365419265798533E-2</v>
      </c>
      <c r="G17" s="132">
        <v>2.8108362585414284E-2</v>
      </c>
      <c r="H17" s="132">
        <v>3.5055011959005192E-2</v>
      </c>
      <c r="I17" s="132">
        <v>5.421205619993856E-2</v>
      </c>
      <c r="J17" s="132">
        <v>3.1546620805200126E-2</v>
      </c>
      <c r="K17" s="132">
        <v>1.6058097362451621E-2</v>
      </c>
      <c r="L17" s="132">
        <v>3.2118625940878776E-2</v>
      </c>
      <c r="M17" s="132">
        <v>2.8732899003788902E-2</v>
      </c>
      <c r="N17" s="132">
        <v>2.2503985457644031E-2</v>
      </c>
      <c r="O17" s="132">
        <v>2.6958476831119897E-2</v>
      </c>
      <c r="P17" s="132">
        <v>3.2843160532107528E-2</v>
      </c>
      <c r="Q17" s="132">
        <v>4.8341980212923123E-2</v>
      </c>
      <c r="R17" s="132">
        <v>5.197342536329836E-2</v>
      </c>
      <c r="S17" s="132">
        <v>8.7882986190738047E-2</v>
      </c>
      <c r="T17" s="132">
        <v>7.338026956171563E-2</v>
      </c>
      <c r="U17" s="132">
        <v>9.8802976258932002E-2</v>
      </c>
      <c r="V17" s="132">
        <v>5.8525447156302438E-2</v>
      </c>
      <c r="W17" s="132">
        <v>4.7225663706667982E-2</v>
      </c>
      <c r="X17" s="132">
        <v>6.8571473378154946E-2</v>
      </c>
      <c r="Y17" s="132">
        <v>7.1974983325947137E-2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1.8492097075899567</v>
      </c>
      <c r="D19" s="130">
        <f t="shared" si="9"/>
        <v>4.2008985610296525</v>
      </c>
      <c r="E19" s="130">
        <f t="shared" si="9"/>
        <v>1.9549249567849181</v>
      </c>
      <c r="F19" s="130">
        <f t="shared" si="9"/>
        <v>4.2810551742316303</v>
      </c>
      <c r="G19" s="130">
        <f t="shared" si="9"/>
        <v>3.5179340363509644</v>
      </c>
      <c r="H19" s="130">
        <f t="shared" si="9"/>
        <v>4.3426688641199505</v>
      </c>
      <c r="I19" s="130">
        <f t="shared" si="9"/>
        <v>2.7235505900756678</v>
      </c>
      <c r="J19" s="130">
        <f t="shared" si="9"/>
        <v>1.0461167004252736</v>
      </c>
      <c r="K19" s="130">
        <f t="shared" si="9"/>
        <v>0.63669570971432798</v>
      </c>
      <c r="L19" s="130">
        <f t="shared" si="9"/>
        <v>0.92506566911048749</v>
      </c>
      <c r="M19" s="130">
        <f t="shared" si="9"/>
        <v>0.95746744983939902</v>
      </c>
      <c r="N19" s="130">
        <f t="shared" si="9"/>
        <v>0.55307549725722982</v>
      </c>
      <c r="O19" s="130">
        <f t="shared" si="9"/>
        <v>1.4144380700589658</v>
      </c>
      <c r="P19" s="130">
        <f t="shared" si="9"/>
        <v>0.48227098719702777</v>
      </c>
      <c r="Q19" s="130">
        <f t="shared" si="9"/>
        <v>1.307764585755649</v>
      </c>
      <c r="R19" s="130">
        <f t="shared" ref="R19:W19" si="10">SUM(R20:R27)</f>
        <v>2.4324400155542572</v>
      </c>
      <c r="S19" s="130">
        <f t="shared" si="10"/>
        <v>2.234697874687626</v>
      </c>
      <c r="T19" s="130">
        <f t="shared" si="10"/>
        <v>1.8118487868396458</v>
      </c>
      <c r="U19" s="130">
        <f t="shared" si="10"/>
        <v>2.5763491169564245</v>
      </c>
      <c r="V19" s="130">
        <f t="shared" si="10"/>
        <v>1.5849984229118035</v>
      </c>
      <c r="W19" s="130">
        <f t="shared" si="10"/>
        <v>2.5376913082141606</v>
      </c>
      <c r="X19" s="130">
        <f t="shared" ref="X19:Y19" si="11">SUM(X20:X27)</f>
        <v>2.4072452784363794</v>
      </c>
      <c r="Y19" s="130">
        <f t="shared" si="11"/>
        <v>2.9083085732179081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0.39960023667256145</v>
      </c>
      <c r="D21" s="132">
        <v>1.0830840796350705</v>
      </c>
      <c r="E21" s="132">
        <v>0.69147775784136956</v>
      </c>
      <c r="F21" s="132">
        <v>1.1159532565836068</v>
      </c>
      <c r="G21" s="132">
        <v>0.97564767154916121</v>
      </c>
      <c r="H21" s="132">
        <v>1.0675264226261632</v>
      </c>
      <c r="I21" s="132">
        <v>0.49651599105045574</v>
      </c>
      <c r="J21" s="132">
        <v>0</v>
      </c>
      <c r="K21" s="132">
        <v>6.4527301201404416E-2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1.0559233670632657</v>
      </c>
      <c r="D22" s="132">
        <v>2.1729711025273004</v>
      </c>
      <c r="E22" s="132">
        <v>0.81065922824114478</v>
      </c>
      <c r="F22" s="132">
        <v>1.9661329590961316</v>
      </c>
      <c r="G22" s="132">
        <v>1.1579830558468107</v>
      </c>
      <c r="H22" s="132">
        <v>1.7276017285566814</v>
      </c>
      <c r="I22" s="132">
        <v>0.81062624545123796</v>
      </c>
      <c r="J22" s="132">
        <v>0.34258795998691738</v>
      </c>
      <c r="K22" s="132">
        <v>0.3137613770809447</v>
      </c>
      <c r="L22" s="132">
        <v>0.28014337094674074</v>
      </c>
      <c r="M22" s="132">
        <v>0.43161170180691893</v>
      </c>
      <c r="N22" s="132">
        <v>0.25781860212543467</v>
      </c>
      <c r="O22" s="132">
        <v>0.76080575639695158</v>
      </c>
      <c r="P22" s="132">
        <v>0</v>
      </c>
      <c r="Q22" s="132">
        <v>0.4243583341981837</v>
      </c>
      <c r="R22" s="132">
        <v>1.0877093694322413</v>
      </c>
      <c r="S22" s="132">
        <v>1.2698766718706431</v>
      </c>
      <c r="T22" s="132">
        <v>0.94599377434238585</v>
      </c>
      <c r="U22" s="132">
        <v>1.2280131676911357</v>
      </c>
      <c r="V22" s="132">
        <v>0.55958150413220975</v>
      </c>
      <c r="W22" s="132">
        <v>1.1167259986751321</v>
      </c>
      <c r="X22" s="132">
        <v>0.91149454431654864</v>
      </c>
      <c r="Y22" s="132">
        <v>1.1319674216226585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0.35374294487733793</v>
      </c>
      <c r="D23" s="132">
        <v>0.85355710744587499</v>
      </c>
      <c r="E23" s="132">
        <v>0.41772141554775266</v>
      </c>
      <c r="F23" s="132">
        <v>1.1196247439685352</v>
      </c>
      <c r="G23" s="132">
        <v>1.1817725000008843</v>
      </c>
      <c r="H23" s="132">
        <v>1.393621460721117</v>
      </c>
      <c r="I23" s="132">
        <v>1.3470882938437865</v>
      </c>
      <c r="J23" s="132">
        <v>0.69585193646158006</v>
      </c>
      <c r="K23" s="132">
        <v>0.25541525798456827</v>
      </c>
      <c r="L23" s="132">
        <v>0.637454341609203</v>
      </c>
      <c r="M23" s="132">
        <v>0.51929584575765286</v>
      </c>
      <c r="N23" s="132">
        <v>0.29525689513179515</v>
      </c>
      <c r="O23" s="132">
        <v>0.65363231366201413</v>
      </c>
      <c r="P23" s="132">
        <v>0.48227098719702777</v>
      </c>
      <c r="Q23" s="132">
        <v>0.88340625155746522</v>
      </c>
      <c r="R23" s="132">
        <v>1.3447306461220156</v>
      </c>
      <c r="S23" s="132">
        <v>0.96482120281698269</v>
      </c>
      <c r="T23" s="132">
        <v>0.86585501249725982</v>
      </c>
      <c r="U23" s="132">
        <v>1.3483359492652889</v>
      </c>
      <c r="V23" s="132">
        <v>1.0254169187795938</v>
      </c>
      <c r="W23" s="132">
        <v>1.4209653095390284</v>
      </c>
      <c r="X23" s="132">
        <v>1.4957507341198306</v>
      </c>
      <c r="Y23" s="132">
        <v>1.7763411515952496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3.9943158976791598E-2</v>
      </c>
      <c r="D24" s="132">
        <v>9.1286271421406426E-2</v>
      </c>
      <c r="E24" s="132">
        <v>3.5066555154651069E-2</v>
      </c>
      <c r="F24" s="132">
        <v>7.9344214583356207E-2</v>
      </c>
      <c r="G24" s="132">
        <v>0.20253080895410816</v>
      </c>
      <c r="H24" s="132">
        <v>0.15391925221598846</v>
      </c>
      <c r="I24" s="132">
        <v>6.9320059730187858E-2</v>
      </c>
      <c r="J24" s="132">
        <v>7.6768039767760093E-3</v>
      </c>
      <c r="K24" s="132">
        <v>2.9917734474105484E-3</v>
      </c>
      <c r="L24" s="132">
        <v>7.4679565545436866E-3</v>
      </c>
      <c r="M24" s="132">
        <v>6.5599022748271656E-3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3.1380464186942998</v>
      </c>
      <c r="D29" s="130">
        <f t="shared" si="12"/>
        <v>8.4860136362136966</v>
      </c>
      <c r="E29" s="130">
        <f t="shared" si="12"/>
        <v>6.274923850669337</v>
      </c>
      <c r="F29" s="130">
        <f t="shared" si="12"/>
        <v>7.1137130322871984</v>
      </c>
      <c r="G29" s="130">
        <f t="shared" si="12"/>
        <v>5.6819291932635094</v>
      </c>
      <c r="H29" s="130">
        <f t="shared" si="12"/>
        <v>5.3277232382186197</v>
      </c>
      <c r="I29" s="130">
        <f t="shared" si="12"/>
        <v>4.1256438000605309</v>
      </c>
      <c r="J29" s="130">
        <f t="shared" si="12"/>
        <v>3.7405684160366026</v>
      </c>
      <c r="K29" s="130">
        <f t="shared" si="12"/>
        <v>1.4310026015048714</v>
      </c>
      <c r="L29" s="130">
        <f t="shared" si="12"/>
        <v>5.3788977511674538</v>
      </c>
      <c r="M29" s="130">
        <f t="shared" si="12"/>
        <v>2.8299253118193057</v>
      </c>
      <c r="N29" s="130">
        <f t="shared" si="12"/>
        <v>1.2016166212352857</v>
      </c>
      <c r="O29" s="130">
        <f t="shared" si="12"/>
        <v>1.8050697771186957</v>
      </c>
      <c r="P29" s="130">
        <f t="shared" si="12"/>
        <v>2.4441830256314194</v>
      </c>
      <c r="Q29" s="130">
        <f t="shared" si="12"/>
        <v>3.3062896807485296</v>
      </c>
      <c r="R29" s="130">
        <f t="shared" ref="R29:W29" si="13">SUM(R30:R33)</f>
        <v>4.4754250528638675</v>
      </c>
      <c r="S29" s="130">
        <f t="shared" si="13"/>
        <v>5.4804104828801936</v>
      </c>
      <c r="T29" s="130">
        <f t="shared" si="13"/>
        <v>4.6612001922717567</v>
      </c>
      <c r="U29" s="130">
        <f t="shared" si="13"/>
        <v>4.4795069017762721</v>
      </c>
      <c r="V29" s="130">
        <f t="shared" si="13"/>
        <v>4.0277239837853651</v>
      </c>
      <c r="W29" s="130">
        <f t="shared" si="13"/>
        <v>4.7625002433771337</v>
      </c>
      <c r="X29" s="130">
        <f t="shared" ref="X29:Y29" si="14">SUM(X30:X33)</f>
        <v>3.9780600460241722</v>
      </c>
      <c r="Y29" s="130">
        <f t="shared" si="14"/>
        <v>3.6621572084249241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0.79320200104037675</v>
      </c>
      <c r="D30" s="132">
        <v>5.3185574588137916</v>
      </c>
      <c r="E30" s="132">
        <v>3.7106433198217657</v>
      </c>
      <c r="F30" s="132">
        <v>2.8346103447310798</v>
      </c>
      <c r="G30" s="132">
        <v>1.3385201128491131</v>
      </c>
      <c r="H30" s="132">
        <v>0.19687813295193393</v>
      </c>
      <c r="I30" s="132">
        <v>0</v>
      </c>
      <c r="J30" s="132">
        <v>0.3485642839787394</v>
      </c>
      <c r="K30" s="132">
        <v>0.3428076062219535</v>
      </c>
      <c r="L30" s="132">
        <v>1.9919164529948701</v>
      </c>
      <c r="M30" s="132">
        <v>0</v>
      </c>
      <c r="N30" s="132">
        <v>0</v>
      </c>
      <c r="O30" s="132">
        <v>0</v>
      </c>
      <c r="P30" s="132">
        <v>0</v>
      </c>
      <c r="Q30" s="132">
        <v>0.36813195929897674</v>
      </c>
      <c r="R30" s="132">
        <v>0.33062662493092071</v>
      </c>
      <c r="S30" s="132">
        <v>1.1117454673762484</v>
      </c>
      <c r="T30" s="132">
        <v>0.35490538863819882</v>
      </c>
      <c r="U30" s="132">
        <v>0.31143974663329305</v>
      </c>
      <c r="V30" s="132">
        <v>0.17769078702257221</v>
      </c>
      <c r="W30" s="132">
        <v>0.19960565491151511</v>
      </c>
      <c r="X30" s="132">
        <v>0</v>
      </c>
      <c r="Y30" s="132">
        <v>0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2.2986928191967144</v>
      </c>
      <c r="D31" s="132">
        <v>3.1044147008596874</v>
      </c>
      <c r="E31" s="132">
        <v>2.5228235245905646</v>
      </c>
      <c r="F31" s="132">
        <v>4.2266503200622294</v>
      </c>
      <c r="G31" s="132">
        <v>4.2257682763063764</v>
      </c>
      <c r="H31" s="132">
        <v>5.0409649521243081</v>
      </c>
      <c r="I31" s="132">
        <v>4.0901164776203878</v>
      </c>
      <c r="J31" s="132">
        <v>3.3858142829602533</v>
      </c>
      <c r="K31" s="132">
        <v>1.0860680897849513</v>
      </c>
      <c r="L31" s="132">
        <v>3.3801178850655043</v>
      </c>
      <c r="M31" s="132">
        <v>2.8258691546086481</v>
      </c>
      <c r="N31" s="132">
        <v>1.2016166212352857</v>
      </c>
      <c r="O31" s="132">
        <v>1.8050697771186957</v>
      </c>
      <c r="P31" s="132">
        <v>2.4441830256314194</v>
      </c>
      <c r="Q31" s="132">
        <v>2.9381577214495529</v>
      </c>
      <c r="R31" s="132">
        <v>4.1447984279329466</v>
      </c>
      <c r="S31" s="132">
        <v>4.3686650155039448</v>
      </c>
      <c r="T31" s="132">
        <v>4.3062948036335582</v>
      </c>
      <c r="U31" s="132">
        <v>4.1680671551429791</v>
      </c>
      <c r="V31" s="132">
        <v>3.850033196762793</v>
      </c>
      <c r="W31" s="132">
        <v>4.5628945884656185</v>
      </c>
      <c r="X31" s="132">
        <v>3.9780600460241722</v>
      </c>
      <c r="Y31" s="132">
        <v>3.6621572084249241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4.6151598457208641E-2</v>
      </c>
      <c r="D32" s="132">
        <v>6.3041476540217897E-2</v>
      </c>
      <c r="E32" s="132">
        <v>4.1457006257007191E-2</v>
      </c>
      <c r="F32" s="132">
        <v>5.2452367493889554E-2</v>
      </c>
      <c r="G32" s="132">
        <v>0.11764080410801987</v>
      </c>
      <c r="H32" s="132">
        <v>8.9880153142377628E-2</v>
      </c>
      <c r="I32" s="132">
        <v>3.5527322440143297E-2</v>
      </c>
      <c r="J32" s="132">
        <v>6.1898490976098003E-3</v>
      </c>
      <c r="K32" s="132">
        <v>2.1269054979667487E-3</v>
      </c>
      <c r="L32" s="132">
        <v>6.8634131070791013E-3</v>
      </c>
      <c r="M32" s="132">
        <v>4.0561572106578535E-3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200049.76339689991</v>
      </c>
      <c r="D3" s="125">
        <f>IF(SER_hh_fec_in!D3=0,0,11630*1000*SER_hh_fec_in!D3/SER_hh_num_in!D3)</f>
        <v>178451.83760335096</v>
      </c>
      <c r="E3" s="125">
        <f>IF(SER_hh_fec_in!E3=0,0,11630*1000*SER_hh_fec_in!E3/SER_hh_num_in!E3)</f>
        <v>187313.40868843248</v>
      </c>
      <c r="F3" s="125">
        <f>IF(SER_hh_fec_in!F3=0,0,11630*1000*SER_hh_fec_in!F3/SER_hh_num_in!F3)</f>
        <v>148225.91244618469</v>
      </c>
      <c r="G3" s="125">
        <f>IF(SER_hh_fec_in!G3=0,0,11630*1000*SER_hh_fec_in!G3/SER_hh_num_in!G3)</f>
        <v>160163.97487005603</v>
      </c>
      <c r="H3" s="125">
        <f>IF(SER_hh_fec_in!H3=0,0,11630*1000*SER_hh_fec_in!H3/SER_hh_num_in!H3)</f>
        <v>152392.79659257518</v>
      </c>
      <c r="I3" s="125">
        <f>IF(SER_hh_fec_in!I3=0,0,11630*1000*SER_hh_fec_in!I3/SER_hh_num_in!I3)</f>
        <v>124010.93502433723</v>
      </c>
      <c r="J3" s="125">
        <f>IF(SER_hh_fec_in!J3=0,0,11630*1000*SER_hh_fec_in!J3/SER_hh_num_in!J3)</f>
        <v>123864.12195304593</v>
      </c>
      <c r="K3" s="125">
        <f>IF(SER_hh_fec_in!K3=0,0,11630*1000*SER_hh_fec_in!K3/SER_hh_num_in!K3)</f>
        <v>121009.4041095939</v>
      </c>
      <c r="L3" s="125">
        <f>IF(SER_hh_fec_in!L3=0,0,11630*1000*SER_hh_fec_in!L3/SER_hh_num_in!L3)</f>
        <v>124834.28687972561</v>
      </c>
      <c r="M3" s="125">
        <f>IF(SER_hh_fec_in!M3=0,0,11630*1000*SER_hh_fec_in!M3/SER_hh_num_in!M3)</f>
        <v>111372.21947882058</v>
      </c>
      <c r="N3" s="125">
        <f>IF(SER_hh_fec_in!N3=0,0,11630*1000*SER_hh_fec_in!N3/SER_hh_num_in!N3)</f>
        <v>113940.89920806199</v>
      </c>
      <c r="O3" s="125">
        <f>IF(SER_hh_fec_in!O3=0,0,11630*1000*SER_hh_fec_in!O3/SER_hh_num_in!O3)</f>
        <v>110108.03415068459</v>
      </c>
      <c r="P3" s="125">
        <f>IF(SER_hh_fec_in!P3=0,0,11630*1000*SER_hh_fec_in!P3/SER_hh_num_in!P3)</f>
        <v>92859.680604564157</v>
      </c>
      <c r="Q3" s="125">
        <f>IF(SER_hh_fec_in!Q3=0,0,11630*1000*SER_hh_fec_in!Q3/SER_hh_num_in!Q3)</f>
        <v>93801.927223410981</v>
      </c>
      <c r="R3" s="125">
        <f>IF(SER_hh_fec_in!R3=0,0,11630*1000*SER_hh_fec_in!R3/SER_hh_num_in!R3)</f>
        <v>91123.304467290422</v>
      </c>
      <c r="S3" s="125">
        <f>IF(SER_hh_fec_in!S3=0,0,11630*1000*SER_hh_fec_in!S3/SER_hh_num_in!S3)</f>
        <v>103812.14812170721</v>
      </c>
      <c r="T3" s="125">
        <f>IF(SER_hh_fec_in!T3=0,0,11630*1000*SER_hh_fec_in!T3/SER_hh_num_in!T3)</f>
        <v>95916.92144740386</v>
      </c>
      <c r="U3" s="125">
        <f>IF(SER_hh_fec_in!U3=0,0,11630*1000*SER_hh_fec_in!U3/SER_hh_num_in!U3)</f>
        <v>94824.969989702848</v>
      </c>
      <c r="V3" s="125">
        <f>IF(SER_hh_fec_in!V3=0,0,11630*1000*SER_hh_fec_in!V3/SER_hh_num_in!V3)</f>
        <v>81300.499395759922</v>
      </c>
      <c r="W3" s="125">
        <f>IF(SER_hh_fec_in!W3=0,0,11630*1000*SER_hh_fec_in!W3/SER_hh_num_in!W3)</f>
        <v>79608.299867384616</v>
      </c>
      <c r="X3" s="125">
        <f>IF(SER_hh_fec_in!X3=0,0,11630*1000*SER_hh_fec_in!X3/SER_hh_num_in!X3)</f>
        <v>75979.273049814219</v>
      </c>
      <c r="Y3" s="125">
        <f>IF(SER_hh_fec_in!Y3=0,0,11630*1000*SER_hh_fec_in!Y3/SER_hh_num_in!Y3)</f>
        <v>66624.373507371565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159155.79852260908</v>
      </c>
      <c r="D4" s="130">
        <f>IF(SER_hh_fec_in!D4=0,0,11630*1000*SER_hh_fec_in!D4/SER_hh_num_in!D4)</f>
        <v>132333.52788453503</v>
      </c>
      <c r="E4" s="130">
        <f>IF(SER_hh_fec_in!E4=0,0,11630*1000*SER_hh_fec_in!E4/SER_hh_num_in!E4)</f>
        <v>142079.20540922799</v>
      </c>
      <c r="F4" s="130">
        <f>IF(SER_hh_fec_in!F4=0,0,11630*1000*SER_hh_fec_in!F4/SER_hh_num_in!F4)</f>
        <v>105840.03340476021</v>
      </c>
      <c r="G4" s="130">
        <f>IF(SER_hh_fec_in!G4=0,0,11630*1000*SER_hh_fec_in!G4/SER_hh_num_in!G4)</f>
        <v>116504.41954058681</v>
      </c>
      <c r="H4" s="130">
        <f>IF(SER_hh_fec_in!H4=0,0,11630*1000*SER_hh_fec_in!H4/SER_hh_num_in!H4)</f>
        <v>110018.98144021512</v>
      </c>
      <c r="I4" s="130">
        <f>IF(SER_hh_fec_in!I4=0,0,11630*1000*SER_hh_fec_in!I4/SER_hh_num_in!I4)</f>
        <v>83743.791842303675</v>
      </c>
      <c r="J4" s="130">
        <f>IF(SER_hh_fec_in!J4=0,0,11630*1000*SER_hh_fec_in!J4/SER_hh_num_in!J4)</f>
        <v>83377.710265934715</v>
      </c>
      <c r="K4" s="130">
        <f>IF(SER_hh_fec_in!K4=0,0,11630*1000*SER_hh_fec_in!K4/SER_hh_num_in!K4)</f>
        <v>78140.209891994426</v>
      </c>
      <c r="L4" s="130">
        <f>IF(SER_hh_fec_in!L4=0,0,11630*1000*SER_hh_fec_in!L4/SER_hh_num_in!L4)</f>
        <v>82916.31363957467</v>
      </c>
      <c r="M4" s="130">
        <f>IF(SER_hh_fec_in!M4=0,0,11630*1000*SER_hh_fec_in!M4/SER_hh_num_in!M4)</f>
        <v>70194.758869250625</v>
      </c>
      <c r="N4" s="130">
        <f>IF(SER_hh_fec_in!N4=0,0,11630*1000*SER_hh_fec_in!N4/SER_hh_num_in!N4)</f>
        <v>72817.870394829646</v>
      </c>
      <c r="O4" s="130">
        <f>IF(SER_hh_fec_in!O4=0,0,11630*1000*SER_hh_fec_in!O4/SER_hh_num_in!O4)</f>
        <v>70470.21728355407</v>
      </c>
      <c r="P4" s="130">
        <f>IF(SER_hh_fec_in!P4=0,0,11630*1000*SER_hh_fec_in!P4/SER_hh_num_in!P4)</f>
        <v>52189.235831239574</v>
      </c>
      <c r="Q4" s="130">
        <f>IF(SER_hh_fec_in!Q4=0,0,11630*1000*SER_hh_fec_in!Q4/SER_hh_num_in!Q4)</f>
        <v>55321.624227937667</v>
      </c>
      <c r="R4" s="130">
        <f>IF(SER_hh_fec_in!R4=0,0,11630*1000*SER_hh_fec_in!R4/SER_hh_num_in!R4)</f>
        <v>54028.01118779205</v>
      </c>
      <c r="S4" s="130">
        <f>IF(SER_hh_fec_in!S4=0,0,11630*1000*SER_hh_fec_in!S4/SER_hh_num_in!S4)</f>
        <v>63685.557678193785</v>
      </c>
      <c r="T4" s="130">
        <f>IF(SER_hh_fec_in!T4=0,0,11630*1000*SER_hh_fec_in!T4/SER_hh_num_in!T4)</f>
        <v>57409.604050333699</v>
      </c>
      <c r="U4" s="130">
        <f>IF(SER_hh_fec_in!U4=0,0,11630*1000*SER_hh_fec_in!U4/SER_hh_num_in!U4)</f>
        <v>56450.203724128842</v>
      </c>
      <c r="V4" s="130">
        <f>IF(SER_hh_fec_in!V4=0,0,11630*1000*SER_hh_fec_in!V4/SER_hh_num_in!V4)</f>
        <v>45796.863656082598</v>
      </c>
      <c r="W4" s="130">
        <f>IF(SER_hh_fec_in!W4=0,0,11630*1000*SER_hh_fec_in!W4/SER_hh_num_in!W4)</f>
        <v>44909.452043041922</v>
      </c>
      <c r="X4" s="130">
        <f>IF(SER_hh_fec_in!X4=0,0,11630*1000*SER_hh_fec_in!X4/SER_hh_num_in!X4)</f>
        <v>39784.70151418676</v>
      </c>
      <c r="Y4" s="130">
        <f>IF(SER_hh_fec_in!Y4=0,0,11630*1000*SER_hh_fec_in!Y4/SER_hh_num_in!Y4)</f>
        <v>31003.646083764896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0</v>
      </c>
      <c r="D5" s="132">
        <f>IF(SER_hh_fec_in!D5=0,0,11630*1000*SER_hh_fec_in!D5/SER_hh_num_in!D5)</f>
        <v>0</v>
      </c>
      <c r="E5" s="132">
        <f>IF(SER_hh_fec_in!E5=0,0,11630*1000*SER_hh_fec_in!E5/SER_hh_num_in!E5)</f>
        <v>0</v>
      </c>
      <c r="F5" s="132">
        <f>IF(SER_hh_fec_in!F5=0,0,11630*1000*SER_hh_fec_in!F5/SER_hh_num_in!F5)</f>
        <v>0</v>
      </c>
      <c r="G5" s="132">
        <f>IF(SER_hh_fec_in!G5=0,0,11630*1000*SER_hh_fec_in!G5/SER_hh_num_in!G5)</f>
        <v>0</v>
      </c>
      <c r="H5" s="132">
        <f>IF(SER_hh_fec_in!H5=0,0,11630*1000*SER_hh_fec_in!H5/SER_hh_num_in!H5)</f>
        <v>0</v>
      </c>
      <c r="I5" s="132">
        <f>IF(SER_hh_fec_in!I5=0,0,11630*1000*SER_hh_fec_in!I5/SER_hh_num_in!I5)</f>
        <v>0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0</v>
      </c>
      <c r="N5" s="132">
        <f>IF(SER_hh_fec_in!N5=0,0,11630*1000*SER_hh_fec_in!N5/SER_hh_num_in!N5)</f>
        <v>0</v>
      </c>
      <c r="O5" s="132">
        <f>IF(SER_hh_fec_in!O5=0,0,11630*1000*SER_hh_fec_in!O5/SER_hh_num_in!O5)</f>
        <v>44686.060641754324</v>
      </c>
      <c r="P5" s="132">
        <f>IF(SER_hh_fec_in!P5=0,0,11630*1000*SER_hh_fec_in!P5/SER_hh_num_in!P5)</f>
        <v>0</v>
      </c>
      <c r="Q5" s="132">
        <f>IF(SER_hh_fec_in!Q5=0,0,11630*1000*SER_hh_fec_in!Q5/SER_hh_num_in!Q5)</f>
        <v>0</v>
      </c>
      <c r="R5" s="132">
        <f>IF(SER_hh_fec_in!R5=0,0,11630*1000*SER_hh_fec_in!R5/SER_hh_num_in!R5)</f>
        <v>0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0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175008.93794869009</v>
      </c>
      <c r="D7" s="132">
        <f>IF(SER_hh_fec_in!D7=0,0,11630*1000*SER_hh_fec_in!D7/SER_hh_num_in!D7)</f>
        <v>165956.5523905227</v>
      </c>
      <c r="E7" s="132">
        <f>IF(SER_hh_fec_in!E7=0,0,11630*1000*SER_hh_fec_in!E7/SER_hh_num_in!E7)</f>
        <v>198023.96944313205</v>
      </c>
      <c r="F7" s="132">
        <f>IF(SER_hh_fec_in!F7=0,0,11630*1000*SER_hh_fec_in!F7/SER_hh_num_in!F7)</f>
        <v>137813.71959601869</v>
      </c>
      <c r="G7" s="132">
        <f>IF(SER_hh_fec_in!G7=0,0,11630*1000*SER_hh_fec_in!G7/SER_hh_num_in!G7)</f>
        <v>173702.84483886528</v>
      </c>
      <c r="H7" s="132">
        <f>IF(SER_hh_fec_in!H7=0,0,11630*1000*SER_hh_fec_in!H7/SER_hh_num_in!H7)</f>
        <v>173641.41097137597</v>
      </c>
      <c r="I7" s="132">
        <f>IF(SER_hh_fec_in!I7=0,0,11630*1000*SER_hh_fec_in!I7/SER_hh_num_in!I7)</f>
        <v>121833.91858895872</v>
      </c>
      <c r="J7" s="132">
        <f>IF(SER_hh_fec_in!J7=0,0,11630*1000*SER_hh_fec_in!J7/SER_hh_num_in!J7)</f>
        <v>0</v>
      </c>
      <c r="K7" s="132">
        <f>IF(SER_hh_fec_in!K7=0,0,11630*1000*SER_hh_fec_in!K7/SER_hh_num_in!K7)</f>
        <v>0</v>
      </c>
      <c r="L7" s="132">
        <f>IF(SER_hh_fec_in!L7=0,0,11630*1000*SER_hh_fec_in!L7/SER_hh_num_in!L7)</f>
        <v>0</v>
      </c>
      <c r="M7" s="132">
        <f>IF(SER_hh_fec_in!M7=0,0,11630*1000*SER_hh_fec_in!M7/SER_hh_num_in!M7)</f>
        <v>0</v>
      </c>
      <c r="N7" s="132">
        <f>IF(SER_hh_fec_in!N7=0,0,11630*1000*SER_hh_fec_in!N7/SER_hh_num_in!N7)</f>
        <v>0</v>
      </c>
      <c r="O7" s="132">
        <f>IF(SER_hh_fec_in!O7=0,0,11630*1000*SER_hh_fec_in!O7/SER_hh_num_in!O7)</f>
        <v>88065.499145508817</v>
      </c>
      <c r="P7" s="132">
        <f>IF(SER_hh_fec_in!P7=0,0,11630*1000*SER_hh_fec_in!P7/SER_hh_num_in!P7)</f>
        <v>84554.335040223828</v>
      </c>
      <c r="Q7" s="132">
        <f>IF(SER_hh_fec_in!Q7=0,0,11630*1000*SER_hh_fec_in!Q7/SER_hh_num_in!Q7)</f>
        <v>79050.085264529363</v>
      </c>
      <c r="R7" s="132">
        <f>IF(SER_hh_fec_in!R7=0,0,11630*1000*SER_hh_fec_in!R7/SER_hh_num_in!R7)</f>
        <v>67593.462659008437</v>
      </c>
      <c r="S7" s="132">
        <f>IF(SER_hh_fec_in!S7=0,0,11630*1000*SER_hh_fec_in!S7/SER_hh_num_in!S7)</f>
        <v>90849.18676537303</v>
      </c>
      <c r="T7" s="132">
        <f>IF(SER_hh_fec_in!T7=0,0,11630*1000*SER_hh_fec_in!T7/SER_hh_num_in!T7)</f>
        <v>76570.610264811985</v>
      </c>
      <c r="U7" s="132">
        <f>IF(SER_hh_fec_in!U7=0,0,11630*1000*SER_hh_fec_in!U7/SER_hh_num_in!U7)</f>
        <v>69812.085628329383</v>
      </c>
      <c r="V7" s="132">
        <f>IF(SER_hh_fec_in!V7=0,0,11630*1000*SER_hh_fec_in!V7/SER_hh_num_in!V7)</f>
        <v>66316.695611784438</v>
      </c>
      <c r="W7" s="132">
        <f>IF(SER_hh_fec_in!W7=0,0,11630*1000*SER_hh_fec_in!W7/SER_hh_num_in!W7)</f>
        <v>83608.753339389776</v>
      </c>
      <c r="X7" s="132">
        <f>IF(SER_hh_fec_in!X7=0,0,11630*1000*SER_hh_fec_in!X7/SER_hh_num_in!X7)</f>
        <v>0</v>
      </c>
      <c r="Y7" s="132">
        <f>IF(SER_hh_fec_in!Y7=0,0,11630*1000*SER_hh_fec_in!Y7/SER_hh_num_in!Y7)</f>
        <v>0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45076.04603520158</v>
      </c>
      <c r="D8" s="132">
        <f>IF(SER_hh_fec_in!D8=0,0,11630*1000*SER_hh_fec_in!D8/SER_hh_num_in!D8)</f>
        <v>41277.695546666466</v>
      </c>
      <c r="E8" s="132">
        <f>IF(SER_hh_fec_in!E8=0,0,11630*1000*SER_hh_fec_in!E8/SER_hh_num_in!E8)</f>
        <v>46472.32001375025</v>
      </c>
      <c r="F8" s="132">
        <f>IF(SER_hh_fec_in!F8=0,0,11630*1000*SER_hh_fec_in!F8/SER_hh_num_in!F8)</f>
        <v>44967.130299763572</v>
      </c>
      <c r="G8" s="132">
        <f>IF(SER_hh_fec_in!G8=0,0,11630*1000*SER_hh_fec_in!G8/SER_hh_num_in!G8)</f>
        <v>40399.299680588403</v>
      </c>
      <c r="H8" s="132">
        <f>IF(SER_hh_fec_in!H8=0,0,11630*1000*SER_hh_fec_in!H8/SER_hh_num_in!H8)</f>
        <v>41383.797603190986</v>
      </c>
      <c r="I8" s="132">
        <f>IF(SER_hh_fec_in!I8=0,0,11630*1000*SER_hh_fec_in!I8/SER_hh_num_in!I8)</f>
        <v>32086.889918331806</v>
      </c>
      <c r="J8" s="132">
        <f>IF(SER_hh_fec_in!J8=0,0,11630*1000*SER_hh_fec_in!J8/SER_hh_num_in!J8)</f>
        <v>35550.657340326354</v>
      </c>
      <c r="K8" s="132">
        <f>IF(SER_hh_fec_in!K8=0,0,11630*1000*SER_hh_fec_in!K8/SER_hh_num_in!K8)</f>
        <v>28911.359468312232</v>
      </c>
      <c r="L8" s="132">
        <f>IF(SER_hh_fec_in!L8=0,0,11630*1000*SER_hh_fec_in!L8/SER_hh_num_in!L8)</f>
        <v>27802.118707365131</v>
      </c>
      <c r="M8" s="132">
        <f>IF(SER_hh_fec_in!M8=0,0,11630*1000*SER_hh_fec_in!M8/SER_hh_num_in!M8)</f>
        <v>25718.340660697526</v>
      </c>
      <c r="N8" s="132">
        <f>IF(SER_hh_fec_in!N8=0,0,11630*1000*SER_hh_fec_in!N8/SER_hh_num_in!N8)</f>
        <v>24378.655401398817</v>
      </c>
      <c r="O8" s="132">
        <f>IF(SER_hh_fec_in!O8=0,0,11630*1000*SER_hh_fec_in!O8/SER_hh_num_in!O8)</f>
        <v>21864.592518429548</v>
      </c>
      <c r="P8" s="132">
        <f>IF(SER_hh_fec_in!P8=0,0,11630*1000*SER_hh_fec_in!P8/SER_hh_num_in!P8)</f>
        <v>19412.794764883001</v>
      </c>
      <c r="Q8" s="132">
        <f>IF(SER_hh_fec_in!Q8=0,0,11630*1000*SER_hh_fec_in!Q8/SER_hh_num_in!Q8)</f>
        <v>18449.934965875229</v>
      </c>
      <c r="R8" s="132">
        <f>IF(SER_hh_fec_in!R8=0,0,11630*1000*SER_hh_fec_in!R8/SER_hh_num_in!R8)</f>
        <v>17602.455600463865</v>
      </c>
      <c r="S8" s="132">
        <f>IF(SER_hh_fec_in!S8=0,0,11630*1000*SER_hh_fec_in!S8/SER_hh_num_in!S8)</f>
        <v>18720.256543841533</v>
      </c>
      <c r="T8" s="132">
        <f>IF(SER_hh_fec_in!T8=0,0,11630*1000*SER_hh_fec_in!T8/SER_hh_num_in!T8)</f>
        <v>17126.07295620703</v>
      </c>
      <c r="U8" s="132">
        <f>IF(SER_hh_fec_in!U8=0,0,11630*1000*SER_hh_fec_in!U8/SER_hh_num_in!U8)</f>
        <v>17231.507818061666</v>
      </c>
      <c r="V8" s="132">
        <f>IF(SER_hh_fec_in!V8=0,0,11630*1000*SER_hh_fec_in!V8/SER_hh_num_in!V8)</f>
        <v>14369.100080978807</v>
      </c>
      <c r="W8" s="132">
        <f>IF(SER_hh_fec_in!W8=0,0,11630*1000*SER_hh_fec_in!W8/SER_hh_num_in!W8)</f>
        <v>16010.40977282052</v>
      </c>
      <c r="X8" s="132">
        <f>IF(SER_hh_fec_in!X8=0,0,11630*1000*SER_hh_fec_in!X8/SER_hh_num_in!X8)</f>
        <v>14301.770227234809</v>
      </c>
      <c r="Y8" s="132">
        <f>IF(SER_hh_fec_in!Y8=0,0,11630*1000*SER_hh_fec_in!Y8/SER_hh_num_in!Y8)</f>
        <v>13224.191120782552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171143.24783890042</v>
      </c>
      <c r="D9" s="132">
        <f>IF(SER_hh_fec_in!D9=0,0,11630*1000*SER_hh_fec_in!D9/SER_hh_num_in!D9)</f>
        <v>147065.4094774471</v>
      </c>
      <c r="E9" s="132">
        <f>IF(SER_hh_fec_in!E9=0,0,11630*1000*SER_hh_fec_in!E9/SER_hh_num_in!E9)</f>
        <v>168545.16434948368</v>
      </c>
      <c r="F9" s="132">
        <f>IF(SER_hh_fec_in!F9=0,0,11630*1000*SER_hh_fec_in!F9/SER_hh_num_in!F9)</f>
        <v>0</v>
      </c>
      <c r="G9" s="132">
        <f>IF(SER_hh_fec_in!G9=0,0,11630*1000*SER_hh_fec_in!G9/SER_hh_num_in!G9)</f>
        <v>0</v>
      </c>
      <c r="H9" s="132">
        <f>IF(SER_hh_fec_in!H9=0,0,11630*1000*SER_hh_fec_in!H9/SER_hh_num_in!H9)</f>
        <v>0</v>
      </c>
      <c r="I9" s="132">
        <f>IF(SER_hh_fec_in!I9=0,0,11630*1000*SER_hh_fec_in!I9/SER_hh_num_in!I9)</f>
        <v>0</v>
      </c>
      <c r="J9" s="132">
        <f>IF(SER_hh_fec_in!J9=0,0,11630*1000*SER_hh_fec_in!J9/SER_hh_num_in!J9)</f>
        <v>0</v>
      </c>
      <c r="K9" s="132">
        <f>IF(SER_hh_fec_in!K9=0,0,11630*1000*SER_hh_fec_in!K9/SER_hh_num_in!K9)</f>
        <v>102741.99641501209</v>
      </c>
      <c r="L9" s="132">
        <f>IF(SER_hh_fec_in!L9=0,0,11630*1000*SER_hh_fec_in!L9/SER_hh_num_in!L9)</f>
        <v>111257.99940693977</v>
      </c>
      <c r="M9" s="132">
        <f>IF(SER_hh_fec_in!M9=0,0,11630*1000*SER_hh_fec_in!M9/SER_hh_num_in!M9)</f>
        <v>89774.016878659197</v>
      </c>
      <c r="N9" s="132">
        <f>IF(SER_hh_fec_in!N9=0,0,11630*1000*SER_hh_fec_in!N9/SER_hh_num_in!N9)</f>
        <v>100609.6261621007</v>
      </c>
      <c r="O9" s="132">
        <f>IF(SER_hh_fec_in!O9=0,0,11630*1000*SER_hh_fec_in!O9/SER_hh_num_in!O9)</f>
        <v>96071.674800170164</v>
      </c>
      <c r="P9" s="132">
        <f>IF(SER_hh_fec_in!P9=0,0,11630*1000*SER_hh_fec_in!P9/SER_hh_num_in!P9)</f>
        <v>67063.272606658225</v>
      </c>
      <c r="Q9" s="132">
        <f>IF(SER_hh_fec_in!Q9=0,0,11630*1000*SER_hh_fec_in!Q9/SER_hh_num_in!Q9)</f>
        <v>73209.745217415679</v>
      </c>
      <c r="R9" s="132">
        <f>IF(SER_hh_fec_in!R9=0,0,11630*1000*SER_hh_fec_in!R9/SER_hh_num_in!R9)</f>
        <v>64089.971492441</v>
      </c>
      <c r="S9" s="132">
        <f>IF(SER_hh_fec_in!S9=0,0,11630*1000*SER_hh_fec_in!S9/SER_hh_num_in!S9)</f>
        <v>70251.894178296367</v>
      </c>
      <c r="T9" s="132">
        <f>IF(SER_hh_fec_in!T9=0,0,11630*1000*SER_hh_fec_in!T9/SER_hh_num_in!T9)</f>
        <v>63738.504868745862</v>
      </c>
      <c r="U9" s="132">
        <f>IF(SER_hh_fec_in!U9=0,0,11630*1000*SER_hh_fec_in!U9/SER_hh_num_in!U9)</f>
        <v>66310.804289376247</v>
      </c>
      <c r="V9" s="132">
        <f>IF(SER_hh_fec_in!V9=0,0,11630*1000*SER_hh_fec_in!V9/SER_hh_num_in!V9)</f>
        <v>0</v>
      </c>
      <c r="W9" s="132">
        <f>IF(SER_hh_fec_in!W9=0,0,11630*1000*SER_hh_fec_in!W9/SER_hh_num_in!W9)</f>
        <v>72977.203174946364</v>
      </c>
      <c r="X9" s="132">
        <f>IF(SER_hh_fec_in!X9=0,0,11630*1000*SER_hh_fec_in!X9/SER_hh_num_in!X9)</f>
        <v>46030.415588478871</v>
      </c>
      <c r="Y9" s="132">
        <f>IF(SER_hh_fec_in!Y9=0,0,11630*1000*SER_hh_fec_in!Y9/SER_hh_num_in!Y9)</f>
        <v>56149.448092509338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153487.26468540679</v>
      </c>
      <c r="D10" s="132">
        <f>IF(SER_hh_fec_in!D10=0,0,11630*1000*SER_hh_fec_in!D10/SER_hh_num_in!D10)</f>
        <v>148516.50693916922</v>
      </c>
      <c r="E10" s="132">
        <f>IF(SER_hh_fec_in!E10=0,0,11630*1000*SER_hh_fec_in!E10/SER_hh_num_in!E10)</f>
        <v>171689.39665237893</v>
      </c>
      <c r="F10" s="132">
        <f>IF(SER_hh_fec_in!F10=0,0,11630*1000*SER_hh_fec_in!F10/SER_hh_num_in!F10)</f>
        <v>180229.33265405931</v>
      </c>
      <c r="G10" s="132">
        <f>IF(SER_hh_fec_in!G10=0,0,11630*1000*SER_hh_fec_in!G10/SER_hh_num_in!G10)</f>
        <v>144803.68967175702</v>
      </c>
      <c r="H10" s="132">
        <f>IF(SER_hh_fec_in!H10=0,0,11630*1000*SER_hh_fec_in!H10/SER_hh_num_in!H10)</f>
        <v>156236.49293557915</v>
      </c>
      <c r="I10" s="132">
        <f>IF(SER_hh_fec_in!I10=0,0,11630*1000*SER_hh_fec_in!I10/SER_hh_num_in!I10)</f>
        <v>143871.23705719595</v>
      </c>
      <c r="J10" s="132">
        <f>IF(SER_hh_fec_in!J10=0,0,11630*1000*SER_hh_fec_in!J10/SER_hh_num_in!J10)</f>
        <v>119614.68265392496</v>
      </c>
      <c r="K10" s="132">
        <f>IF(SER_hh_fec_in!K10=0,0,11630*1000*SER_hh_fec_in!K10/SER_hh_num_in!K10)</f>
        <v>114222.73676364083</v>
      </c>
      <c r="L10" s="132">
        <f>IF(SER_hh_fec_in!L10=0,0,11630*1000*SER_hh_fec_in!L10/SER_hh_num_in!L10)</f>
        <v>141423.13933925473</v>
      </c>
      <c r="M10" s="132">
        <f>IF(SER_hh_fec_in!M10=0,0,11630*1000*SER_hh_fec_in!M10/SER_hh_num_in!M10)</f>
        <v>117384.87771012442</v>
      </c>
      <c r="N10" s="132">
        <f>IF(SER_hh_fec_in!N10=0,0,11630*1000*SER_hh_fec_in!N10/SER_hh_num_in!N10)</f>
        <v>0</v>
      </c>
      <c r="O10" s="132">
        <f>IF(SER_hh_fec_in!O10=0,0,11630*1000*SER_hh_fec_in!O10/SER_hh_num_in!O10)</f>
        <v>112031.09304315034</v>
      </c>
      <c r="P10" s="132">
        <f>IF(SER_hh_fec_in!P10=0,0,11630*1000*SER_hh_fec_in!P10/SER_hh_num_in!P10)</f>
        <v>87727.631904040478</v>
      </c>
      <c r="Q10" s="132">
        <f>IF(SER_hh_fec_in!Q10=0,0,11630*1000*SER_hh_fec_in!Q10/SER_hh_num_in!Q10)</f>
        <v>106779.50247708135</v>
      </c>
      <c r="R10" s="132">
        <f>IF(SER_hh_fec_in!R10=0,0,11630*1000*SER_hh_fec_in!R10/SER_hh_num_in!R10)</f>
        <v>70910.213239815901</v>
      </c>
      <c r="S10" s="132">
        <f>IF(SER_hh_fec_in!S10=0,0,11630*1000*SER_hh_fec_in!S10/SER_hh_num_in!S10)</f>
        <v>107855.60546171635</v>
      </c>
      <c r="T10" s="132">
        <f>IF(SER_hh_fec_in!T10=0,0,11630*1000*SER_hh_fec_in!T10/SER_hh_num_in!T10)</f>
        <v>97247.101389066142</v>
      </c>
      <c r="U10" s="132">
        <f>IF(SER_hh_fec_in!U10=0,0,11630*1000*SER_hh_fec_in!U10/SER_hh_num_in!U10)</f>
        <v>95453.6237741597</v>
      </c>
      <c r="V10" s="132">
        <f>IF(SER_hh_fec_in!V10=0,0,11630*1000*SER_hh_fec_in!V10/SER_hh_num_in!V10)</f>
        <v>85682.788465234975</v>
      </c>
      <c r="W10" s="132">
        <f>IF(SER_hh_fec_in!W10=0,0,11630*1000*SER_hh_fec_in!W10/SER_hh_num_in!W10)</f>
        <v>98496.511628346358</v>
      </c>
      <c r="X10" s="132">
        <f>IF(SER_hh_fec_in!X10=0,0,11630*1000*SER_hh_fec_in!X10/SER_hh_num_in!X10)</f>
        <v>0</v>
      </c>
      <c r="Y10" s="132">
        <f>IF(SER_hh_fec_in!Y10=0,0,11630*1000*SER_hh_fec_in!Y10/SER_hh_num_in!Y10)</f>
        <v>0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88003.716357752797</v>
      </c>
      <c r="D11" s="132">
        <f>IF(SER_hh_fec_in!D11=0,0,11630*1000*SER_hh_fec_in!D11/SER_hh_num_in!D11)</f>
        <v>131008.2279666434</v>
      </c>
      <c r="E11" s="132">
        <f>IF(SER_hh_fec_in!E11=0,0,11630*1000*SER_hh_fec_in!E11/SER_hh_num_in!E11)</f>
        <v>106241.06810734568</v>
      </c>
      <c r="F11" s="132">
        <f>IF(SER_hh_fec_in!F11=0,0,11630*1000*SER_hh_fec_in!F11/SER_hh_num_in!F11)</f>
        <v>103978.03919009346</v>
      </c>
      <c r="G11" s="132">
        <f>IF(SER_hh_fec_in!G11=0,0,11630*1000*SER_hh_fec_in!G11/SER_hh_num_in!G11)</f>
        <v>111917.38543136671</v>
      </c>
      <c r="H11" s="132">
        <f>IF(SER_hh_fec_in!H11=0,0,11630*1000*SER_hh_fec_in!H11/SER_hh_num_in!H11)</f>
        <v>104374.21317582967</v>
      </c>
      <c r="I11" s="132">
        <f>IF(SER_hh_fec_in!I11=0,0,11630*1000*SER_hh_fec_in!I11/SER_hh_num_in!I11)</f>
        <v>86968.14831296714</v>
      </c>
      <c r="J11" s="132">
        <f>IF(SER_hh_fec_in!J11=0,0,11630*1000*SER_hh_fec_in!J11/SER_hh_num_in!J11)</f>
        <v>86329.920923828409</v>
      </c>
      <c r="K11" s="132">
        <f>IF(SER_hh_fec_in!K11=0,0,11630*1000*SER_hh_fec_in!K11/SER_hh_num_in!K11)</f>
        <v>83370.387420198123</v>
      </c>
      <c r="L11" s="132">
        <f>IF(SER_hh_fec_in!L11=0,0,11630*1000*SER_hh_fec_in!L11/SER_hh_num_in!L11)</f>
        <v>85116.021194502595</v>
      </c>
      <c r="M11" s="132">
        <f>IF(SER_hh_fec_in!M11=0,0,11630*1000*SER_hh_fec_in!M11/SER_hh_num_in!M11)</f>
        <v>69221.752147326799</v>
      </c>
      <c r="N11" s="132">
        <f>IF(SER_hh_fec_in!N11=0,0,11630*1000*SER_hh_fec_in!N11/SER_hh_num_in!N11)</f>
        <v>79785.893162054068</v>
      </c>
      <c r="O11" s="132">
        <f>IF(SER_hh_fec_in!O11=0,0,11630*1000*SER_hh_fec_in!O11/SER_hh_num_in!O11)</f>
        <v>74264.079336620824</v>
      </c>
      <c r="P11" s="132">
        <f>IF(SER_hh_fec_in!P11=0,0,11630*1000*SER_hh_fec_in!P11/SER_hh_num_in!P11)</f>
        <v>59162.070802762348</v>
      </c>
      <c r="Q11" s="132">
        <f>IF(SER_hh_fec_in!Q11=0,0,11630*1000*SER_hh_fec_in!Q11/SER_hh_num_in!Q11)</f>
        <v>60615.307350447685</v>
      </c>
      <c r="R11" s="132">
        <f>IF(SER_hh_fec_in!R11=0,0,11630*1000*SER_hh_fec_in!R11/SER_hh_num_in!R11)</f>
        <v>53093.986556315809</v>
      </c>
      <c r="S11" s="132">
        <f>IF(SER_hh_fec_in!S11=0,0,11630*1000*SER_hh_fec_in!S11/SER_hh_num_in!S11)</f>
        <v>75675.789329670893</v>
      </c>
      <c r="T11" s="132">
        <f>IF(SER_hh_fec_in!T11=0,0,11630*1000*SER_hh_fec_in!T11/SER_hh_num_in!T11)</f>
        <v>63080.763413564368</v>
      </c>
      <c r="U11" s="132">
        <f>IF(SER_hh_fec_in!U11=0,0,11630*1000*SER_hh_fec_in!U11/SER_hh_num_in!U11)</f>
        <v>60083.133643746769</v>
      </c>
      <c r="V11" s="132">
        <f>IF(SER_hh_fec_in!V11=0,0,11630*1000*SER_hh_fec_in!V11/SER_hh_num_in!V11)</f>
        <v>60171.328413557691</v>
      </c>
      <c r="W11" s="132">
        <f>IF(SER_hh_fec_in!W11=0,0,11630*1000*SER_hh_fec_in!W11/SER_hh_num_in!W11)</f>
        <v>51613.005416703694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0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103364.2526619237</v>
      </c>
      <c r="D12" s="132">
        <f>IF(SER_hh_fec_in!D12=0,0,11630*1000*SER_hh_fec_in!D12/SER_hh_num_in!D12)</f>
        <v>105809.29205598435</v>
      </c>
      <c r="E12" s="132">
        <f>IF(SER_hh_fec_in!E12=0,0,11630*1000*SER_hh_fec_in!E12/SER_hh_num_in!E12)</f>
        <v>110028.17348331009</v>
      </c>
      <c r="F12" s="132">
        <f>IF(SER_hh_fec_in!F12=0,0,11630*1000*SER_hh_fec_in!F12/SER_hh_num_in!F12)</f>
        <v>105388.90106997984</v>
      </c>
      <c r="G12" s="132">
        <f>IF(SER_hh_fec_in!G12=0,0,11630*1000*SER_hh_fec_in!G12/SER_hh_num_in!G12)</f>
        <v>111487.50146076844</v>
      </c>
      <c r="H12" s="132">
        <f>IF(SER_hh_fec_in!H12=0,0,11630*1000*SER_hh_fec_in!H12/SER_hh_num_in!H12)</f>
        <v>107178.47641885106</v>
      </c>
      <c r="I12" s="132">
        <f>IF(SER_hh_fec_in!I12=0,0,11630*1000*SER_hh_fec_in!I12/SER_hh_num_in!I12)</f>
        <v>84609.943637861594</v>
      </c>
      <c r="J12" s="132">
        <f>IF(SER_hh_fec_in!J12=0,0,11630*1000*SER_hh_fec_in!J12/SER_hh_num_in!J12)</f>
        <v>88435.733639709913</v>
      </c>
      <c r="K12" s="132">
        <f>IF(SER_hh_fec_in!K12=0,0,11630*1000*SER_hh_fec_in!K12/SER_hh_num_in!K12)</f>
        <v>84572.851948799449</v>
      </c>
      <c r="L12" s="132">
        <f>IF(SER_hh_fec_in!L12=0,0,11630*1000*SER_hh_fec_in!L12/SER_hh_num_in!L12)</f>
        <v>82649.741647586678</v>
      </c>
      <c r="M12" s="132">
        <f>IF(SER_hh_fec_in!M12=0,0,11630*1000*SER_hh_fec_in!M12/SER_hh_num_in!M12)</f>
        <v>76513.755830075577</v>
      </c>
      <c r="N12" s="132">
        <f>IF(SER_hh_fec_in!N12=0,0,11630*1000*SER_hh_fec_in!N12/SER_hh_num_in!N12)</f>
        <v>75302.429109541641</v>
      </c>
      <c r="O12" s="132">
        <f>IF(SER_hh_fec_in!O12=0,0,11630*1000*SER_hh_fec_in!O12/SER_hh_num_in!O12)</f>
        <v>71420.588644518779</v>
      </c>
      <c r="P12" s="132">
        <f>IF(SER_hh_fec_in!P12=0,0,11630*1000*SER_hh_fec_in!P12/SER_hh_num_in!P12)</f>
        <v>60968.744354767645</v>
      </c>
      <c r="Q12" s="132">
        <f>IF(SER_hh_fec_in!Q12=0,0,11630*1000*SER_hh_fec_in!Q12/SER_hh_num_in!Q12)</f>
        <v>61232.340023173492</v>
      </c>
      <c r="R12" s="132">
        <f>IF(SER_hh_fec_in!R12=0,0,11630*1000*SER_hh_fec_in!R12/SER_hh_num_in!R12)</f>
        <v>63093.706729327205</v>
      </c>
      <c r="S12" s="132">
        <f>IF(SER_hh_fec_in!S12=0,0,11630*1000*SER_hh_fec_in!S12/SER_hh_num_in!S12)</f>
        <v>64484.680606896291</v>
      </c>
      <c r="T12" s="132">
        <f>IF(SER_hh_fec_in!T12=0,0,11630*1000*SER_hh_fec_in!T12/SER_hh_num_in!T12)</f>
        <v>57987.429858448821</v>
      </c>
      <c r="U12" s="132">
        <f>IF(SER_hh_fec_in!U12=0,0,11630*1000*SER_hh_fec_in!U12/SER_hh_num_in!U12)</f>
        <v>58579.532528141899</v>
      </c>
      <c r="V12" s="132">
        <f>IF(SER_hh_fec_in!V12=0,0,11630*1000*SER_hh_fec_in!V12/SER_hh_num_in!V12)</f>
        <v>51571.04854909049</v>
      </c>
      <c r="W12" s="132">
        <f>IF(SER_hh_fec_in!W12=0,0,11630*1000*SER_hh_fec_in!W12/SER_hh_num_in!W12)</f>
        <v>57788.161053985634</v>
      </c>
      <c r="X12" s="132">
        <f>IF(SER_hh_fec_in!X12=0,0,11630*1000*SER_hh_fec_in!X12/SER_hh_num_in!X12)</f>
        <v>52072.150903778282</v>
      </c>
      <c r="Y12" s="132">
        <f>IF(SER_hh_fec_in!Y12=0,0,11630*1000*SER_hh_fec_in!Y12/SER_hh_num_in!Y12)</f>
        <v>49488.609542814753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28563.059037336163</v>
      </c>
      <c r="D13" s="132">
        <f>IF(SER_hh_fec_in!D13=0,0,11630*1000*SER_hh_fec_in!D13/SER_hh_num_in!D13)</f>
        <v>29605.51931129456</v>
      </c>
      <c r="E13" s="132">
        <f>IF(SER_hh_fec_in!E13=0,0,11630*1000*SER_hh_fec_in!E13/SER_hh_num_in!E13)</f>
        <v>31657.921500742905</v>
      </c>
      <c r="F13" s="132">
        <f>IF(SER_hh_fec_in!F13=0,0,11630*1000*SER_hh_fec_in!F13/SER_hh_num_in!F13)</f>
        <v>31755.133388738475</v>
      </c>
      <c r="G13" s="132">
        <f>IF(SER_hh_fec_in!G13=0,0,11630*1000*SER_hh_fec_in!G13/SER_hh_num_in!G13)</f>
        <v>28864.819855005186</v>
      </c>
      <c r="H13" s="132">
        <f>IF(SER_hh_fec_in!H13=0,0,11630*1000*SER_hh_fec_in!H13/SER_hh_num_in!H13)</f>
        <v>27998.813418752325</v>
      </c>
      <c r="I13" s="132">
        <f>IF(SER_hh_fec_in!I13=0,0,11630*1000*SER_hh_fec_in!I13/SER_hh_num_in!I13)</f>
        <v>23632.370518397285</v>
      </c>
      <c r="J13" s="132">
        <f>IF(SER_hh_fec_in!J13=0,0,11630*1000*SER_hh_fec_in!J13/SER_hh_num_in!J13)</f>
        <v>26444.733080559221</v>
      </c>
      <c r="K13" s="132">
        <f>IF(SER_hh_fec_in!K13=0,0,11630*1000*SER_hh_fec_in!K13/SER_hh_num_in!K13)</f>
        <v>20069.413399120367</v>
      </c>
      <c r="L13" s="132">
        <f>IF(SER_hh_fec_in!L13=0,0,11630*1000*SER_hh_fec_in!L13/SER_hh_num_in!L13)</f>
        <v>19130.866395078814</v>
      </c>
      <c r="M13" s="132">
        <f>IF(SER_hh_fec_in!M13=0,0,11630*1000*SER_hh_fec_in!M13/SER_hh_num_in!M13)</f>
        <v>18750.066774035895</v>
      </c>
      <c r="N13" s="132">
        <f>IF(SER_hh_fec_in!N13=0,0,11630*1000*SER_hh_fec_in!N13/SER_hh_num_in!N13)</f>
        <v>17371.436378378443</v>
      </c>
      <c r="O13" s="132">
        <f>IF(SER_hh_fec_in!O13=0,0,11630*1000*SER_hh_fec_in!O13/SER_hh_num_in!O13)</f>
        <v>16471.717280342269</v>
      </c>
      <c r="P13" s="132">
        <f>IF(SER_hh_fec_in!P13=0,0,11630*1000*SER_hh_fec_in!P13/SER_hh_num_in!P13)</f>
        <v>16263.610882401308</v>
      </c>
      <c r="Q13" s="132">
        <f>IF(SER_hh_fec_in!Q13=0,0,11630*1000*SER_hh_fec_in!Q13/SER_hh_num_in!Q13)</f>
        <v>13034.541139436764</v>
      </c>
      <c r="R13" s="132">
        <f>IF(SER_hh_fec_in!R13=0,0,11630*1000*SER_hh_fec_in!R13/SER_hh_num_in!R13)</f>
        <v>12605.725173482851</v>
      </c>
      <c r="S13" s="132">
        <f>IF(SER_hh_fec_in!S13=0,0,11630*1000*SER_hh_fec_in!S13/SER_hh_num_in!S13)</f>
        <v>13155.591029703601</v>
      </c>
      <c r="T13" s="132">
        <f>IF(SER_hh_fec_in!T13=0,0,11630*1000*SER_hh_fec_in!T13/SER_hh_num_in!T13)</f>
        <v>12425.547907735056</v>
      </c>
      <c r="U13" s="132">
        <f>IF(SER_hh_fec_in!U13=0,0,11630*1000*SER_hh_fec_in!U13/SER_hh_num_in!U13)</f>
        <v>13724.478364146325</v>
      </c>
      <c r="V13" s="132">
        <f>IF(SER_hh_fec_in!V13=0,0,11630*1000*SER_hh_fec_in!V13/SER_hh_num_in!V13)</f>
        <v>8683.6080600614787</v>
      </c>
      <c r="W13" s="132">
        <f>IF(SER_hh_fec_in!W13=0,0,11630*1000*SER_hh_fec_in!W13/SER_hh_num_in!W13)</f>
        <v>7328.6441160961995</v>
      </c>
      <c r="X13" s="132">
        <f>IF(SER_hh_fec_in!X13=0,0,11630*1000*SER_hh_fec_in!X13/SER_hh_num_in!X13)</f>
        <v>9674.2258286673587</v>
      </c>
      <c r="Y13" s="132">
        <f>IF(SER_hh_fec_in!Y13=0,0,11630*1000*SER_hh_fec_in!Y13/SER_hh_num_in!Y13)</f>
        <v>10894.8620973377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0</v>
      </c>
      <c r="D14" s="65">
        <f>IF(SER_hh_fec_in!D14=0,0,11630*1000*SER_hh_fec_in!D14/SER_hh_num_in!D14)</f>
        <v>114303.28396329867</v>
      </c>
      <c r="E14" s="65">
        <f>IF(SER_hh_fec_in!E14=0,0,11630*1000*SER_hh_fec_in!E14/SER_hh_num_in!E14)</f>
        <v>133454.29908597289</v>
      </c>
      <c r="F14" s="65">
        <f>IF(SER_hh_fec_in!F14=0,0,11630*1000*SER_hh_fec_in!F14/SER_hh_num_in!F14)</f>
        <v>97622.104400157245</v>
      </c>
      <c r="G14" s="65">
        <f>IF(SER_hh_fec_in!G14=0,0,11630*1000*SER_hh_fec_in!G14/SER_hh_num_in!G14)</f>
        <v>126902.17458613236</v>
      </c>
      <c r="H14" s="65">
        <f>IF(SER_hh_fec_in!H14=0,0,11630*1000*SER_hh_fec_in!H14/SER_hh_num_in!H14)</f>
        <v>116207.63118550362</v>
      </c>
      <c r="I14" s="65">
        <f>IF(SER_hh_fec_in!I14=0,0,11630*1000*SER_hh_fec_in!I14/SER_hh_num_in!I14)</f>
        <v>98437.496729784078</v>
      </c>
      <c r="J14" s="65">
        <f>IF(SER_hh_fec_in!J14=0,0,11630*1000*SER_hh_fec_in!J14/SER_hh_num_in!J14)</f>
        <v>115575.35939371568</v>
      </c>
      <c r="K14" s="65">
        <f>IF(SER_hh_fec_in!K14=0,0,11630*1000*SER_hh_fec_in!K14/SER_hh_num_in!K14)</f>
        <v>0</v>
      </c>
      <c r="L14" s="65">
        <f>IF(SER_hh_fec_in!L14=0,0,11630*1000*SER_hh_fec_in!L14/SER_hh_num_in!L14)</f>
        <v>90852.179884358702</v>
      </c>
      <c r="M14" s="65">
        <f>IF(SER_hh_fec_in!M14=0,0,11630*1000*SER_hh_fec_in!M14/SER_hh_num_in!M14)</f>
        <v>82064.687807166832</v>
      </c>
      <c r="N14" s="65">
        <f>IF(SER_hh_fec_in!N14=0,0,11630*1000*SER_hh_fec_in!N14/SER_hh_num_in!N14)</f>
        <v>80361.351995069941</v>
      </c>
      <c r="O14" s="65">
        <f>IF(SER_hh_fec_in!O14=0,0,11630*1000*SER_hh_fec_in!O14/SER_hh_num_in!O14)</f>
        <v>78797.53527724056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65487.59091469027</v>
      </c>
      <c r="T14" s="65">
        <f>IF(SER_hh_fec_in!T14=0,0,11630*1000*SER_hh_fec_in!T14/SER_hh_num_in!T14)</f>
        <v>70238.503188262621</v>
      </c>
      <c r="U14" s="65">
        <f>IF(SER_hh_fec_in!U14=0,0,11630*1000*SER_hh_fec_in!U14/SER_hh_num_in!U14)</f>
        <v>62345.150524555473</v>
      </c>
      <c r="V14" s="65">
        <f>IF(SER_hh_fec_in!V14=0,0,11630*1000*SER_hh_fec_in!V14/SER_hh_num_in!V14)</f>
        <v>51016.086418258681</v>
      </c>
      <c r="W14" s="65">
        <f>IF(SER_hh_fec_in!W14=0,0,11630*1000*SER_hh_fec_in!W14/SER_hh_num_in!W14)</f>
        <v>51751.380921463708</v>
      </c>
      <c r="X14" s="65">
        <f>IF(SER_hh_fec_in!X14=0,0,11630*1000*SER_hh_fec_in!X14/SER_hh_num_in!X14)</f>
        <v>60561.411167006263</v>
      </c>
      <c r="Y14" s="65">
        <f>IF(SER_hh_fec_in!Y14=0,0,11630*1000*SER_hh_fec_in!Y14/SER_hh_num_in!Y14)</f>
        <v>0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1678.3737907433069</v>
      </c>
      <c r="D15" s="134">
        <f>IF(SER_hh_fec_in!D15=0,0,11630*1000*SER_hh_fec_in!D15/SER_hh_num_in!D15)</f>
        <v>1280.8888497051744</v>
      </c>
      <c r="E15" s="134">
        <f>IF(SER_hh_fec_in!E15=0,0,11630*1000*SER_hh_fec_in!E15/SER_hh_num_in!E15)</f>
        <v>1310.9592587130894</v>
      </c>
      <c r="F15" s="134">
        <f>IF(SER_hh_fec_in!F15=0,0,11630*1000*SER_hh_fec_in!F15/SER_hh_num_in!F15)</f>
        <v>717.14600544512712</v>
      </c>
      <c r="G15" s="134">
        <f>IF(SER_hh_fec_in!G15=0,0,11630*1000*SER_hh_fec_in!G15/SER_hh_num_in!G15)</f>
        <v>714.71719925840239</v>
      </c>
      <c r="H15" s="134">
        <f>IF(SER_hh_fec_in!H15=0,0,11630*1000*SER_hh_fec_in!H15/SER_hh_num_in!H15)</f>
        <v>681.87357722157844</v>
      </c>
      <c r="I15" s="134">
        <f>IF(SER_hh_fec_in!I15=0,0,11630*1000*SER_hh_fec_in!I15/SER_hh_num_in!I15)</f>
        <v>418.83779211153632</v>
      </c>
      <c r="J15" s="134">
        <f>IF(SER_hh_fec_in!J15=0,0,11630*1000*SER_hh_fec_in!J15/SER_hh_num_in!J15)</f>
        <v>342.77994277741334</v>
      </c>
      <c r="K15" s="134">
        <f>IF(SER_hh_fec_in!K15=0,0,11630*1000*SER_hh_fec_in!K15/SER_hh_num_in!K15)</f>
        <v>408.94190436095596</v>
      </c>
      <c r="L15" s="134">
        <f>IF(SER_hh_fec_in!L15=0,0,11630*1000*SER_hh_fec_in!L15/SER_hh_num_in!L15)</f>
        <v>501.41873343951931</v>
      </c>
      <c r="M15" s="134">
        <f>IF(SER_hh_fec_in!M15=0,0,11630*1000*SER_hh_fec_in!M15/SER_hh_num_in!M15)</f>
        <v>475.03029731580745</v>
      </c>
      <c r="N15" s="134">
        <f>IF(SER_hh_fec_in!N15=0,0,11630*1000*SER_hh_fec_in!N15/SER_hh_num_in!N15)</f>
        <v>749.98766009330927</v>
      </c>
      <c r="O15" s="134">
        <f>IF(SER_hh_fec_in!O15=0,0,11630*1000*SER_hh_fec_in!O15/SER_hh_num_in!O15)</f>
        <v>816.81156430495491</v>
      </c>
      <c r="P15" s="134">
        <f>IF(SER_hh_fec_in!P15=0,0,11630*1000*SER_hh_fec_in!P15/SER_hh_num_in!P15)</f>
        <v>609.86263050547575</v>
      </c>
      <c r="Q15" s="134">
        <f>IF(SER_hh_fec_in!Q15=0,0,11630*1000*SER_hh_fec_in!Q15/SER_hh_num_in!Q15)</f>
        <v>485.55445483285718</v>
      </c>
      <c r="R15" s="134">
        <f>IF(SER_hh_fec_in!R15=0,0,11630*1000*SER_hh_fec_in!R15/SER_hh_num_in!R15)</f>
        <v>480.7984598112937</v>
      </c>
      <c r="S15" s="134">
        <f>IF(SER_hh_fec_in!S15=0,0,11630*1000*SER_hh_fec_in!S15/SER_hh_num_in!S15)</f>
        <v>561.00936415038109</v>
      </c>
      <c r="T15" s="134">
        <f>IF(SER_hh_fec_in!T15=0,0,11630*1000*SER_hh_fec_in!T15/SER_hh_num_in!T15)</f>
        <v>477.71218465595064</v>
      </c>
      <c r="U15" s="134">
        <f>IF(SER_hh_fec_in!U15=0,0,11630*1000*SER_hh_fec_in!U15/SER_hh_num_in!U15)</f>
        <v>428.67621999989456</v>
      </c>
      <c r="V15" s="134">
        <f>IF(SER_hh_fec_in!V15=0,0,11630*1000*SER_hh_fec_in!V15/SER_hh_num_in!V15)</f>
        <v>284.53837905839356</v>
      </c>
      <c r="W15" s="134">
        <f>IF(SER_hh_fec_in!W15=0,0,11630*1000*SER_hh_fec_in!W15/SER_hh_num_in!W15)</f>
        <v>381.53377790334849</v>
      </c>
      <c r="X15" s="134">
        <f>IF(SER_hh_fec_in!X15=0,0,11630*1000*SER_hh_fec_in!X15/SER_hh_num_in!X15)</f>
        <v>268.18751075265982</v>
      </c>
      <c r="Y15" s="134">
        <f>IF(SER_hh_fec_in!Y15=0,0,11630*1000*SER_hh_fec_in!Y15/SER_hh_num_in!Y15)</f>
        <v>187.63360038609238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8375.0956568406964</v>
      </c>
      <c r="D16" s="130">
        <f>IF(SER_hh_fec_in!D16=0,0,11630*1000*SER_hh_fec_in!D16/SER_hh_num_in!D16)</f>
        <v>8140.3967722593598</v>
      </c>
      <c r="E16" s="130">
        <f>IF(SER_hh_fec_in!E16=0,0,11630*1000*SER_hh_fec_in!E16/SER_hh_num_in!E16)</f>
        <v>8778.1538224426786</v>
      </c>
      <c r="F16" s="130">
        <f>IF(SER_hh_fec_in!F16=0,0,11630*1000*SER_hh_fec_in!F16/SER_hh_num_in!F16)</f>
        <v>7552.0097496104854</v>
      </c>
      <c r="G16" s="130">
        <f>IF(SER_hh_fec_in!G16=0,0,11630*1000*SER_hh_fec_in!G16/SER_hh_num_in!G16)</f>
        <v>7367.5775381662543</v>
      </c>
      <c r="H16" s="130">
        <f>IF(SER_hh_fec_in!H16=0,0,11630*1000*SER_hh_fec_in!H16/SER_hh_num_in!H16)</f>
        <v>7483.6400155396905</v>
      </c>
      <c r="I16" s="130">
        <f>IF(SER_hh_fec_in!I16=0,0,11630*1000*SER_hh_fec_in!I16/SER_hh_num_in!I16)</f>
        <v>7144.3622223101347</v>
      </c>
      <c r="J16" s="130">
        <f>IF(SER_hh_fec_in!J16=0,0,11630*1000*SER_hh_fec_in!J16/SER_hh_num_in!J16)</f>
        <v>6602.4379096565353</v>
      </c>
      <c r="K16" s="130">
        <f>IF(SER_hh_fec_in!K16=0,0,11630*1000*SER_hh_fec_in!K16/SER_hh_num_in!K16)</f>
        <v>6387.2990129178688</v>
      </c>
      <c r="L16" s="130">
        <f>IF(SER_hh_fec_in!L16=0,0,11630*1000*SER_hh_fec_in!L16/SER_hh_num_in!L16)</f>
        <v>6287.3114451352994</v>
      </c>
      <c r="M16" s="130">
        <f>IF(SER_hh_fec_in!M16=0,0,11630*1000*SER_hh_fec_in!M16/SER_hh_num_in!M16)</f>
        <v>5863.4093296810033</v>
      </c>
      <c r="N16" s="130">
        <f>IF(SER_hh_fec_in!N16=0,0,11630*1000*SER_hh_fec_in!N16/SER_hh_num_in!N16)</f>
        <v>5723.2328758083286</v>
      </c>
      <c r="O16" s="130">
        <f>IF(SER_hh_fec_in!O16=0,0,11630*1000*SER_hh_fec_in!O16/SER_hh_num_in!O16)</f>
        <v>5688.4750995718614</v>
      </c>
      <c r="P16" s="130">
        <f>IF(SER_hh_fec_in!P16=0,0,11630*1000*SER_hh_fec_in!P16/SER_hh_num_in!P16)</f>
        <v>4736.2692168773883</v>
      </c>
      <c r="Q16" s="130">
        <f>IF(SER_hh_fec_in!Q16=0,0,11630*1000*SER_hh_fec_in!Q16/SER_hh_num_in!Q16)</f>
        <v>5303.8288026803484</v>
      </c>
      <c r="R16" s="130">
        <f>IF(SER_hh_fec_in!R16=0,0,11630*1000*SER_hh_fec_in!R16/SER_hh_num_in!R16)</f>
        <v>4463.8581543915816</v>
      </c>
      <c r="S16" s="130">
        <f>IF(SER_hh_fec_in!S16=0,0,11630*1000*SER_hh_fec_in!S16/SER_hh_num_in!S16)</f>
        <v>4749.2270111602747</v>
      </c>
      <c r="T16" s="130">
        <f>IF(SER_hh_fec_in!T16=0,0,11630*1000*SER_hh_fec_in!T16/SER_hh_num_in!T16)</f>
        <v>4628.2115349743217</v>
      </c>
      <c r="U16" s="130">
        <f>IF(SER_hh_fec_in!U16=0,0,11630*1000*SER_hh_fec_in!U16/SER_hh_num_in!U16)</f>
        <v>4763.0627826333593</v>
      </c>
      <c r="V16" s="130">
        <f>IF(SER_hh_fec_in!V16=0,0,11630*1000*SER_hh_fec_in!V16/SER_hh_num_in!V16)</f>
        <v>4303.4998990452414</v>
      </c>
      <c r="W16" s="130">
        <f>IF(SER_hh_fec_in!W16=0,0,11630*1000*SER_hh_fec_in!W16/SER_hh_num_in!W16)</f>
        <v>4330.2326309071277</v>
      </c>
      <c r="X16" s="130">
        <f>IF(SER_hh_fec_in!X16=0,0,11630*1000*SER_hh_fec_in!X16/SER_hh_num_in!X16)</f>
        <v>4540.4196800710461</v>
      </c>
      <c r="Y16" s="130">
        <f>IF(SER_hh_fec_in!Y16=0,0,11630*1000*SER_hh_fec_in!Y16/SER_hh_num_in!Y16)</f>
        <v>4765.9823374655143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16703.045749456236</v>
      </c>
      <c r="D17" s="132">
        <f>IF(SER_hh_fec_in!D17=0,0,11630*1000*SER_hh_fec_in!D17/SER_hh_num_in!D17)</f>
        <v>16545.344633198361</v>
      </c>
      <c r="E17" s="132">
        <f>IF(SER_hh_fec_in!E17=0,0,11630*1000*SER_hh_fec_in!E17/SER_hh_num_in!E17)</f>
        <v>18191.076670152535</v>
      </c>
      <c r="F17" s="132">
        <f>IF(SER_hh_fec_in!F17=0,0,11630*1000*SER_hh_fec_in!F17/SER_hh_num_in!F17)</f>
        <v>15953.966717659814</v>
      </c>
      <c r="G17" s="132">
        <f>IF(SER_hh_fec_in!G17=0,0,11630*1000*SER_hh_fec_in!G17/SER_hh_num_in!G17)</f>
        <v>15872.867954105155</v>
      </c>
      <c r="H17" s="132">
        <f>IF(SER_hh_fec_in!H17=0,0,11630*1000*SER_hh_fec_in!H17/SER_hh_num_in!H17)</f>
        <v>16411.810631326483</v>
      </c>
      <c r="I17" s="132">
        <f>IF(SER_hh_fec_in!I17=0,0,11630*1000*SER_hh_fec_in!I17/SER_hh_num_in!I17)</f>
        <v>16039.944302250702</v>
      </c>
      <c r="J17" s="132">
        <f>IF(SER_hh_fec_in!J17=0,0,11630*1000*SER_hh_fec_in!J17/SER_hh_num_in!J17)</f>
        <v>15166.680988351845</v>
      </c>
      <c r="K17" s="132">
        <f>IF(SER_hh_fec_in!K17=0,0,11630*1000*SER_hh_fec_in!K17/SER_hh_num_in!K17)</f>
        <v>14914.384591285307</v>
      </c>
      <c r="L17" s="132">
        <f>IF(SER_hh_fec_in!L17=0,0,11630*1000*SER_hh_fec_in!L17/SER_hh_num_in!L17)</f>
        <v>15093.023897902178</v>
      </c>
      <c r="M17" s="132">
        <f>IF(SER_hh_fec_in!M17=0,0,11630*1000*SER_hh_fec_in!M17/SER_hh_num_in!M17)</f>
        <v>15507.072312101931</v>
      </c>
      <c r="N17" s="132">
        <f>IF(SER_hh_fec_in!N17=0,0,11630*1000*SER_hh_fec_in!N17/SER_hh_num_in!N17)</f>
        <v>14495.839925914594</v>
      </c>
      <c r="O17" s="132">
        <f>IF(SER_hh_fec_in!O17=0,0,11630*1000*SER_hh_fec_in!O17/SER_hh_num_in!O17)</f>
        <v>14921.237241224959</v>
      </c>
      <c r="P17" s="132">
        <f>IF(SER_hh_fec_in!P17=0,0,11630*1000*SER_hh_fec_in!P17/SER_hh_num_in!P17)</f>
        <v>12822.655406169104</v>
      </c>
      <c r="Q17" s="132">
        <f>IF(SER_hh_fec_in!Q17=0,0,11630*1000*SER_hh_fec_in!Q17/SER_hh_num_in!Q17)</f>
        <v>15350.916133085924</v>
      </c>
      <c r="R17" s="132">
        <f>IF(SER_hh_fec_in!R17=0,0,11630*1000*SER_hh_fec_in!R17/SER_hh_num_in!R17)</f>
        <v>12533.313370147747</v>
      </c>
      <c r="S17" s="132">
        <f>IF(SER_hh_fec_in!S17=0,0,11630*1000*SER_hh_fec_in!S17/SER_hh_num_in!S17)</f>
        <v>13218.189616353178</v>
      </c>
      <c r="T17" s="132">
        <f>IF(SER_hh_fec_in!T17=0,0,11630*1000*SER_hh_fec_in!T17/SER_hh_num_in!T17)</f>
        <v>12754.31980819636</v>
      </c>
      <c r="U17" s="132">
        <f>IF(SER_hh_fec_in!U17=0,0,11630*1000*SER_hh_fec_in!U17/SER_hh_num_in!U17)</f>
        <v>12913.900514251087</v>
      </c>
      <c r="V17" s="132">
        <f>IF(SER_hh_fec_in!V17=0,0,11630*1000*SER_hh_fec_in!V17/SER_hh_num_in!V17)</f>
        <v>11242.331687961618</v>
      </c>
      <c r="W17" s="132">
        <f>IF(SER_hh_fec_in!W17=0,0,11630*1000*SER_hh_fec_in!W17/SER_hh_num_in!W17)</f>
        <v>11567.116484543489</v>
      </c>
      <c r="X17" s="132">
        <f>IF(SER_hh_fec_in!X17=0,0,11630*1000*SER_hh_fec_in!X17/SER_hh_num_in!X17)</f>
        <v>12085.157205966074</v>
      </c>
      <c r="Y17" s="132">
        <f>IF(SER_hh_fec_in!Y17=0,0,11630*1000*SER_hh_fec_in!Y17/SER_hh_num_in!Y17)</f>
        <v>12726.695437210661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8361.7238890172721</v>
      </c>
      <c r="D18" s="132">
        <f>IF(SER_hh_fec_in!D18=0,0,11630*1000*SER_hh_fec_in!D18/SER_hh_num_in!D18)</f>
        <v>8121.0203063400268</v>
      </c>
      <c r="E18" s="132">
        <f>IF(SER_hh_fec_in!E18=0,0,11630*1000*SER_hh_fec_in!E18/SER_hh_num_in!E18)</f>
        <v>8765.472677035199</v>
      </c>
      <c r="F18" s="132">
        <f>IF(SER_hh_fec_in!F18=0,0,11630*1000*SER_hh_fec_in!F18/SER_hh_num_in!F18)</f>
        <v>7520.4431524059046</v>
      </c>
      <c r="G18" s="132">
        <f>IF(SER_hh_fec_in!G18=0,0,11630*1000*SER_hh_fec_in!G18/SER_hh_num_in!G18)</f>
        <v>7344.9598041807458</v>
      </c>
      <c r="H18" s="132">
        <f>IF(SER_hh_fec_in!H18=0,0,11630*1000*SER_hh_fec_in!H18/SER_hh_num_in!H18)</f>
        <v>7461.5765063310109</v>
      </c>
      <c r="I18" s="132">
        <f>IF(SER_hh_fec_in!I18=0,0,11630*1000*SER_hh_fec_in!I18/SER_hh_num_in!I18)</f>
        <v>7109.4254824017517</v>
      </c>
      <c r="J18" s="132">
        <f>IF(SER_hh_fec_in!J18=0,0,11630*1000*SER_hh_fec_in!J18/SER_hh_num_in!J18)</f>
        <v>6568.5729380172388</v>
      </c>
      <c r="K18" s="132">
        <f>IF(SER_hh_fec_in!K18=0,0,11630*1000*SER_hh_fec_in!K18/SER_hh_num_in!K18)</f>
        <v>6318.8374107550908</v>
      </c>
      <c r="L18" s="132">
        <f>IF(SER_hh_fec_in!L18=0,0,11630*1000*SER_hh_fec_in!L18/SER_hh_num_in!L18)</f>
        <v>6252.3983561742207</v>
      </c>
      <c r="M18" s="132">
        <f>IF(SER_hh_fec_in!M18=0,0,11630*1000*SER_hh_fec_in!M18/SER_hh_num_in!M18)</f>
        <v>5821.7976855997813</v>
      </c>
      <c r="N18" s="132">
        <f>IF(SER_hh_fec_in!N18=0,0,11630*1000*SER_hh_fec_in!N18/SER_hh_num_in!N18)</f>
        <v>5668.5192999809851</v>
      </c>
      <c r="O18" s="132">
        <f>IF(SER_hh_fec_in!O18=0,0,11630*1000*SER_hh_fec_in!O18/SER_hh_num_in!O18)</f>
        <v>5628.6658395537406</v>
      </c>
      <c r="P18" s="132">
        <f>IF(SER_hh_fec_in!P18=0,0,11630*1000*SER_hh_fec_in!P18/SER_hh_num_in!P18)</f>
        <v>4674.0942254175206</v>
      </c>
      <c r="Q18" s="132">
        <f>IF(SER_hh_fec_in!Q18=0,0,11630*1000*SER_hh_fec_in!Q18/SER_hh_num_in!Q18)</f>
        <v>5224.975502315996</v>
      </c>
      <c r="R18" s="132">
        <f>IF(SER_hh_fec_in!R18=0,0,11630*1000*SER_hh_fec_in!R18/SER_hh_num_in!R18)</f>
        <v>4412.9620799566901</v>
      </c>
      <c r="S18" s="132">
        <f>IF(SER_hh_fec_in!S18=0,0,11630*1000*SER_hh_fec_in!S18/SER_hh_num_in!S18)</f>
        <v>4667.9748268693338</v>
      </c>
      <c r="T18" s="132">
        <f>IF(SER_hh_fec_in!T18=0,0,11630*1000*SER_hh_fec_in!T18/SER_hh_num_in!T18)</f>
        <v>4560.5425158658045</v>
      </c>
      <c r="U18" s="132">
        <f>IF(SER_hh_fec_in!U18=0,0,11630*1000*SER_hh_fec_in!U18/SER_hh_num_in!U18)</f>
        <v>4663.9318009668787</v>
      </c>
      <c r="V18" s="132">
        <f>IF(SER_hh_fec_in!V18=0,0,11630*1000*SER_hh_fec_in!V18/SER_hh_num_in!V18)</f>
        <v>4244.8848662675964</v>
      </c>
      <c r="W18" s="132">
        <f>IF(SER_hh_fec_in!W18=0,0,11630*1000*SER_hh_fec_in!W18/SER_hh_num_in!W18)</f>
        <v>4281.0132082987411</v>
      </c>
      <c r="X18" s="132">
        <f>IF(SER_hh_fec_in!X18=0,0,11630*1000*SER_hh_fec_in!X18/SER_hh_num_in!X18)</f>
        <v>4468.1649613761801</v>
      </c>
      <c r="Y18" s="132">
        <f>IF(SER_hh_fec_in!Y18=0,0,11630*1000*SER_hh_fec_in!Y18/SER_hh_num_in!Y18)</f>
        <v>4689.3285157585397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16697.214938884681</v>
      </c>
      <c r="D19" s="130">
        <f>IF(SER_hh_fec_in!D19=0,0,11630*1000*SER_hh_fec_in!D19/SER_hh_num_in!D19)</f>
        <v>18061.18675729946</v>
      </c>
      <c r="E19" s="130">
        <f>IF(SER_hh_fec_in!E19=0,0,11630*1000*SER_hh_fec_in!E19/SER_hh_num_in!E19)</f>
        <v>16574.792324090351</v>
      </c>
      <c r="F19" s="130">
        <f>IF(SER_hh_fec_in!F19=0,0,11630*1000*SER_hh_fec_in!F19/SER_hh_num_in!F19)</f>
        <v>17150.557702231061</v>
      </c>
      <c r="G19" s="130">
        <f>IF(SER_hh_fec_in!G19=0,0,11630*1000*SER_hh_fec_in!G19/SER_hh_num_in!G19)</f>
        <v>19014.171429775539</v>
      </c>
      <c r="H19" s="130">
        <f>IF(SER_hh_fec_in!H19=0,0,11630*1000*SER_hh_fec_in!H19/SER_hh_num_in!H19)</f>
        <v>18595.699192929358</v>
      </c>
      <c r="I19" s="130">
        <f>IF(SER_hh_fec_in!I19=0,0,11630*1000*SER_hh_fec_in!I19/SER_hh_num_in!I19)</f>
        <v>16827.850890586331</v>
      </c>
      <c r="J19" s="130">
        <f>IF(SER_hh_fec_in!J19=0,0,11630*1000*SER_hh_fec_in!J19/SER_hh_num_in!J19)</f>
        <v>16817.390888106343</v>
      </c>
      <c r="K19" s="130">
        <f>IF(SER_hh_fec_in!K19=0,0,11630*1000*SER_hh_fec_in!K19/SER_hh_num_in!K19)</f>
        <v>18620.864195777132</v>
      </c>
      <c r="L19" s="130">
        <f>IF(SER_hh_fec_in!L19=0,0,11630*1000*SER_hh_fec_in!L19/SER_hh_num_in!L19)</f>
        <v>18065.497144465637</v>
      </c>
      <c r="M19" s="130">
        <f>IF(SER_hh_fec_in!M19=0,0,11630*1000*SER_hh_fec_in!M19/SER_hh_num_in!M19)</f>
        <v>19163.418301972117</v>
      </c>
      <c r="N19" s="130">
        <f>IF(SER_hh_fec_in!N19=0,0,11630*1000*SER_hh_fec_in!N19/SER_hh_num_in!N19)</f>
        <v>17905.574614076184</v>
      </c>
      <c r="O19" s="130">
        <f>IF(SER_hh_fec_in!O19=0,0,11630*1000*SER_hh_fec_in!O19/SER_hh_num_in!O19)</f>
        <v>16759.711639017227</v>
      </c>
      <c r="P19" s="130">
        <f>IF(SER_hh_fec_in!P19=0,0,11630*1000*SER_hh_fec_in!P19/SER_hh_num_in!P19)</f>
        <v>18655.420580601891</v>
      </c>
      <c r="Q19" s="130">
        <f>IF(SER_hh_fec_in!Q19=0,0,11630*1000*SER_hh_fec_in!Q19/SER_hh_num_in!Q19)</f>
        <v>15821.329276251436</v>
      </c>
      <c r="R19" s="130">
        <f>IF(SER_hh_fec_in!R19=0,0,11630*1000*SER_hh_fec_in!R19/SER_hh_num_in!R19)</f>
        <v>15789.54605132271</v>
      </c>
      <c r="S19" s="130">
        <f>IF(SER_hh_fec_in!S19=0,0,11630*1000*SER_hh_fec_in!S19/SER_hh_num_in!S19)</f>
        <v>18295.850455585605</v>
      </c>
      <c r="T19" s="130">
        <f>IF(SER_hh_fec_in!T19=0,0,11630*1000*SER_hh_fec_in!T19/SER_hh_num_in!T19)</f>
        <v>17439.192065354859</v>
      </c>
      <c r="U19" s="130">
        <f>IF(SER_hh_fec_in!U19=0,0,11630*1000*SER_hh_fec_in!U19/SER_hh_num_in!U19)</f>
        <v>17247.054890995256</v>
      </c>
      <c r="V19" s="130">
        <f>IF(SER_hh_fec_in!V19=0,0,11630*1000*SER_hh_fec_in!V19/SER_hh_num_in!V19)</f>
        <v>15739.82416419428</v>
      </c>
      <c r="W19" s="130">
        <f>IF(SER_hh_fec_in!W19=0,0,11630*1000*SER_hh_fec_in!W19/SER_hh_num_in!W19)</f>
        <v>14118.735991396372</v>
      </c>
      <c r="X19" s="130">
        <f>IF(SER_hh_fec_in!X19=0,0,11630*1000*SER_hh_fec_in!X19/SER_hh_num_in!X19)</f>
        <v>15865.52207678111</v>
      </c>
      <c r="Y19" s="130">
        <f>IF(SER_hh_fec_in!Y19=0,0,11630*1000*SER_hh_fec_in!Y19/SER_hh_num_in!Y19)</f>
        <v>15103.249001411892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9986.0698404080267</v>
      </c>
      <c r="D21" s="132">
        <f>IF(SER_hh_fec_in!D21=0,0,11630*1000*SER_hh_fec_in!D21/SER_hh_num_in!D21)</f>
        <v>20461.060238404232</v>
      </c>
      <c r="E21" s="132">
        <f>IF(SER_hh_fec_in!E21=0,0,11630*1000*SER_hh_fec_in!E21/SER_hh_num_in!E21)</f>
        <v>16455.65654065763</v>
      </c>
      <c r="F21" s="132">
        <f>IF(SER_hh_fec_in!F21=0,0,11630*1000*SER_hh_fec_in!F21/SER_hh_num_in!F21)</f>
        <v>21083.817277386246</v>
      </c>
      <c r="G21" s="132">
        <f>IF(SER_hh_fec_in!G21=0,0,11630*1000*SER_hh_fec_in!G21/SER_hh_num_in!G21)</f>
        <v>23698.719163342717</v>
      </c>
      <c r="H21" s="132">
        <f>IF(SER_hh_fec_in!H21=0,0,11630*1000*SER_hh_fec_in!H21/SER_hh_num_in!H21)</f>
        <v>23544.204589193938</v>
      </c>
      <c r="I21" s="132">
        <f>IF(SER_hh_fec_in!I21=0,0,11630*1000*SER_hh_fec_in!I21/SER_hh_num_in!I21)</f>
        <v>18809.133078705592</v>
      </c>
      <c r="J21" s="132">
        <f>IF(SER_hh_fec_in!J21=0,0,11630*1000*SER_hh_fec_in!J21/SER_hh_num_in!J21)</f>
        <v>0</v>
      </c>
      <c r="K21" s="132">
        <f>IF(SER_hh_fec_in!K21=0,0,11630*1000*SER_hh_fec_in!K21/SER_hh_num_in!K21)</f>
        <v>24580.027921094788</v>
      </c>
      <c r="L21" s="132">
        <f>IF(SER_hh_fec_in!L21=0,0,11630*1000*SER_hh_fec_in!L21/SER_hh_num_in!L21)</f>
        <v>0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0</v>
      </c>
      <c r="O21" s="132">
        <f>IF(SER_hh_fec_in!O21=0,0,11630*1000*SER_hh_fec_in!O21/SER_hh_num_in!O21)</f>
        <v>0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0</v>
      </c>
      <c r="S21" s="132">
        <f>IF(SER_hh_fec_in!S21=0,0,11630*1000*SER_hh_fec_in!S21/SER_hh_num_in!S21)</f>
        <v>0</v>
      </c>
      <c r="T21" s="132">
        <f>IF(SER_hh_fec_in!T21=0,0,11630*1000*SER_hh_fec_in!T21/SER_hh_num_in!T21)</f>
        <v>0</v>
      </c>
      <c r="U21" s="132">
        <f>IF(SER_hh_fec_in!U21=0,0,11630*1000*SER_hh_fec_in!U21/SER_hh_num_in!U21)</f>
        <v>0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0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13567.888414580832</v>
      </c>
      <c r="D22" s="132">
        <f>IF(SER_hh_fec_in!D22=0,0,11630*1000*SER_hh_fec_in!D22/SER_hh_num_in!D22)</f>
        <v>21430.48049623413</v>
      </c>
      <c r="E22" s="132">
        <f>IF(SER_hh_fec_in!E22=0,0,11630*1000*SER_hh_fec_in!E22/SER_hh_num_in!E22)</f>
        <v>10862.068399797561</v>
      </c>
      <c r="F22" s="132">
        <f>IF(SER_hh_fec_in!F22=0,0,11630*1000*SER_hh_fec_in!F22/SER_hh_num_in!F22)</f>
        <v>21810.905128709361</v>
      </c>
      <c r="G22" s="132">
        <f>IF(SER_hh_fec_in!G22=0,0,11630*1000*SER_hh_fec_in!G22/SER_hh_num_in!G22)</f>
        <v>24629.993354690847</v>
      </c>
      <c r="H22" s="132">
        <f>IF(SER_hh_fec_in!H22=0,0,11630*1000*SER_hh_fec_in!H22/SER_hh_num_in!H22)</f>
        <v>24153.055991160207</v>
      </c>
      <c r="I22" s="132">
        <f>IF(SER_hh_fec_in!I22=0,0,11630*1000*SER_hh_fec_in!I22/SER_hh_num_in!I22)</f>
        <v>19183.946634887812</v>
      </c>
      <c r="J22" s="132">
        <f>IF(SER_hh_fec_in!J22=0,0,11630*1000*SER_hh_fec_in!J22/SER_hh_num_in!J22)</f>
        <v>11502.565388078139</v>
      </c>
      <c r="K22" s="132">
        <f>IF(SER_hh_fec_in!K22=0,0,11630*1000*SER_hh_fec_in!K22/SER_hh_num_in!K22)</f>
        <v>24621.354998943443</v>
      </c>
      <c r="L22" s="132">
        <f>IF(SER_hh_fec_in!L22=0,0,11630*1000*SER_hh_fec_in!L22/SER_hh_num_in!L22)</f>
        <v>6890.0513287814556</v>
      </c>
      <c r="M22" s="132">
        <f>IF(SER_hh_fec_in!M22=0,0,11630*1000*SER_hh_fec_in!M22/SER_hh_num_in!M22)</f>
        <v>9683.8490602478178</v>
      </c>
      <c r="N22" s="132">
        <f>IF(SER_hh_fec_in!N22=0,0,11630*1000*SER_hh_fec_in!N22/SER_hh_num_in!N22)</f>
        <v>11458.320683566515</v>
      </c>
      <c r="O22" s="132">
        <f>IF(SER_hh_fec_in!O22=0,0,11630*1000*SER_hh_fec_in!O22/SER_hh_num_in!O22)</f>
        <v>23259.272572066253</v>
      </c>
      <c r="P22" s="132">
        <f>IF(SER_hh_fec_in!P22=0,0,11630*1000*SER_hh_fec_in!P22/SER_hh_num_in!P22)</f>
        <v>0</v>
      </c>
      <c r="Q22" s="132">
        <f>IF(SER_hh_fec_in!Q22=0,0,11630*1000*SER_hh_fec_in!Q22/SER_hh_num_in!Q22)</f>
        <v>20953.475991751111</v>
      </c>
      <c r="R22" s="132">
        <f>IF(SER_hh_fec_in!R22=0,0,11630*1000*SER_hh_fec_in!R22/SER_hh_num_in!R22)</f>
        <v>20189.453274815194</v>
      </c>
      <c r="S22" s="132">
        <f>IF(SER_hh_fec_in!S22=0,0,11630*1000*SER_hh_fec_in!S22/SER_hh_num_in!S22)</f>
        <v>13146.805540332673</v>
      </c>
      <c r="T22" s="132">
        <f>IF(SER_hh_fec_in!T22=0,0,11630*1000*SER_hh_fec_in!T22/SER_hh_num_in!T22)</f>
        <v>11133.405062165995</v>
      </c>
      <c r="U22" s="132">
        <f>IF(SER_hh_fec_in!U22=0,0,11630*1000*SER_hh_fec_in!U22/SER_hh_num_in!U22)</f>
        <v>19071.281075496081</v>
      </c>
      <c r="V22" s="132">
        <f>IF(SER_hh_fec_in!V22=0,0,11630*1000*SER_hh_fec_in!V22/SER_hh_num_in!V22)</f>
        <v>12607.986465340611</v>
      </c>
      <c r="W22" s="132">
        <f>IF(SER_hh_fec_in!W22=0,0,11630*1000*SER_hh_fec_in!W22/SER_hh_num_in!W22)</f>
        <v>17200.848364763166</v>
      </c>
      <c r="X22" s="132">
        <f>IF(SER_hh_fec_in!X22=0,0,11630*1000*SER_hh_fec_in!X22/SER_hh_num_in!X22)</f>
        <v>10800.217569927852</v>
      </c>
      <c r="Y22" s="132">
        <f>IF(SER_hh_fec_in!Y22=0,0,11630*1000*SER_hh_fec_in!Y22/SER_hh_num_in!Y22)</f>
        <v>18220.644161946584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12127.356941153083</v>
      </c>
      <c r="D23" s="132">
        <f>IF(SER_hh_fec_in!D23=0,0,11630*1000*SER_hh_fec_in!D23/SER_hh_num_in!D23)</f>
        <v>19781.531668092219</v>
      </c>
      <c r="E23" s="132">
        <f>IF(SER_hh_fec_in!E23=0,0,11630*1000*SER_hh_fec_in!E23/SER_hh_num_in!E23)</f>
        <v>11837.461739283608</v>
      </c>
      <c r="F23" s="132">
        <f>IF(SER_hh_fec_in!F23=0,0,11630*1000*SER_hh_fec_in!F23/SER_hh_num_in!F23)</f>
        <v>19777.068904493375</v>
      </c>
      <c r="G23" s="132">
        <f>IF(SER_hh_fec_in!G23=0,0,11630*1000*SER_hh_fec_in!G23/SER_hh_num_in!G23)</f>
        <v>22385.422592532701</v>
      </c>
      <c r="H23" s="132">
        <f>IF(SER_hh_fec_in!H23=0,0,11630*1000*SER_hh_fec_in!H23/SER_hh_num_in!H23)</f>
        <v>22120.398343984307</v>
      </c>
      <c r="I23" s="132">
        <f>IF(SER_hh_fec_in!I23=0,0,11630*1000*SER_hh_fec_in!I23/SER_hh_num_in!I23)</f>
        <v>17418.926013087526</v>
      </c>
      <c r="J23" s="132">
        <f>IF(SER_hh_fec_in!J23=0,0,11630*1000*SER_hh_fec_in!J23/SER_hh_num_in!J23)</f>
        <v>12177.485391906335</v>
      </c>
      <c r="K23" s="132">
        <f>IF(SER_hh_fec_in!K23=0,0,11630*1000*SER_hh_fec_in!K23/SER_hh_num_in!K23)</f>
        <v>21750.644441706114</v>
      </c>
      <c r="L23" s="132">
        <f>IF(SER_hh_fec_in!L23=0,0,11630*1000*SER_hh_fec_in!L23/SER_hh_num_in!L23)</f>
        <v>9277.3403708200967</v>
      </c>
      <c r="M23" s="132">
        <f>IF(SER_hh_fec_in!M23=0,0,11630*1000*SER_hh_fec_in!M23/SER_hh_num_in!M23)</f>
        <v>11059.404352808904</v>
      </c>
      <c r="N23" s="132">
        <f>IF(SER_hh_fec_in!N23=0,0,11630*1000*SER_hh_fec_in!N23/SER_hh_num_in!N23)</f>
        <v>12629.92958081661</v>
      </c>
      <c r="O23" s="132">
        <f>IF(SER_hh_fec_in!O23=0,0,11630*1000*SER_hh_fec_in!O23/SER_hh_num_in!O23)</f>
        <v>21835.931936729125</v>
      </c>
      <c r="P23" s="132">
        <f>IF(SER_hh_fec_in!P23=0,0,11630*1000*SER_hh_fec_in!P23/SER_hh_num_in!P23)</f>
        <v>13927.459310750037</v>
      </c>
      <c r="Q23" s="132">
        <f>IF(SER_hh_fec_in!Q23=0,0,11630*1000*SER_hh_fec_in!Q23/SER_hh_num_in!Q23)</f>
        <v>20447.770824918618</v>
      </c>
      <c r="R23" s="132">
        <f>IF(SER_hh_fec_in!R23=0,0,11630*1000*SER_hh_fec_in!R23/SER_hh_num_in!R23)</f>
        <v>19624.181687660108</v>
      </c>
      <c r="S23" s="132">
        <f>IF(SER_hh_fec_in!S23=0,0,11630*1000*SER_hh_fec_in!S23/SER_hh_num_in!S23)</f>
        <v>12481.799621291788</v>
      </c>
      <c r="T23" s="132">
        <f>IF(SER_hh_fec_in!T23=0,0,11630*1000*SER_hh_fec_in!T23/SER_hh_num_in!T23)</f>
        <v>10611.471754361328</v>
      </c>
      <c r="U23" s="132">
        <f>IF(SER_hh_fec_in!U23=0,0,11630*1000*SER_hh_fec_in!U23/SER_hh_num_in!U23)</f>
        <v>18170.67440828904</v>
      </c>
      <c r="V23" s="132">
        <f>IF(SER_hh_fec_in!V23=0,0,11630*1000*SER_hh_fec_in!V23/SER_hh_num_in!V23)</f>
        <v>12346.762870796076</v>
      </c>
      <c r="W23" s="132">
        <f>IF(SER_hh_fec_in!W23=0,0,11630*1000*SER_hh_fec_in!W23/SER_hh_num_in!W23)</f>
        <v>16454.214071929171</v>
      </c>
      <c r="X23" s="132">
        <f>IF(SER_hh_fec_in!X23=0,0,11630*1000*SER_hh_fec_in!X23/SER_hh_num_in!X23)</f>
        <v>10794.446000163718</v>
      </c>
      <c r="Y23" s="132">
        <f>IF(SER_hh_fec_in!Y23=0,0,11630*1000*SER_hh_fec_in!Y23/SER_hh_num_in!Y23)</f>
        <v>17823.145672002182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12475.824627671882</v>
      </c>
      <c r="D24" s="132">
        <f>IF(SER_hh_fec_in!D24=0,0,11630*1000*SER_hh_fec_in!D24/SER_hh_num_in!D24)</f>
        <v>19885.966805084023</v>
      </c>
      <c r="E24" s="132">
        <f>IF(SER_hh_fec_in!E24=0,0,11630*1000*SER_hh_fec_in!E24/SER_hh_num_in!E24)</f>
        <v>10325.709402733321</v>
      </c>
      <c r="F24" s="132">
        <f>IF(SER_hh_fec_in!F24=0,0,11630*1000*SER_hh_fec_in!F24/SER_hh_num_in!F24)</f>
        <v>19427.673328314155</v>
      </c>
      <c r="G24" s="132">
        <f>IF(SER_hh_fec_in!G24=0,0,11630*1000*SER_hh_fec_in!G24/SER_hh_num_in!G24)</f>
        <v>21757.516059327074</v>
      </c>
      <c r="H24" s="132">
        <f>IF(SER_hh_fec_in!H24=0,0,11630*1000*SER_hh_fec_in!H24/SER_hh_num_in!H24)</f>
        <v>21385.258897500105</v>
      </c>
      <c r="I24" s="132">
        <f>IF(SER_hh_fec_in!I24=0,0,11630*1000*SER_hh_fec_in!I24/SER_hh_num_in!I24)</f>
        <v>16512.067809230975</v>
      </c>
      <c r="J24" s="132">
        <f>IF(SER_hh_fec_in!J24=0,0,11630*1000*SER_hh_fec_in!J24/SER_hh_num_in!J24)</f>
        <v>11452.104883068234</v>
      </c>
      <c r="K24" s="132">
        <f>IF(SER_hh_fec_in!K24=0,0,11630*1000*SER_hh_fec_in!K24/SER_hh_num_in!K24)</f>
        <v>20393.139878639369</v>
      </c>
      <c r="L24" s="132">
        <f>IF(SER_hh_fec_in!L24=0,0,11630*1000*SER_hh_fec_in!L24/SER_hh_num_in!L24)</f>
        <v>8912.0098006418011</v>
      </c>
      <c r="M24" s="132">
        <f>IF(SER_hh_fec_in!M24=0,0,11630*1000*SER_hh_fec_in!M24/SER_hh_num_in!M24)</f>
        <v>10767.830330289684</v>
      </c>
      <c r="N24" s="132">
        <f>IF(SER_hh_fec_in!N24=0,0,11630*1000*SER_hh_fec_in!N24/SER_hh_num_in!N24)</f>
        <v>12344.556414933151</v>
      </c>
      <c r="O24" s="132">
        <f>IF(SER_hh_fec_in!O24=0,0,11630*1000*SER_hh_fec_in!O24/SER_hh_num_in!O24)</f>
        <v>21119.534287886094</v>
      </c>
      <c r="P24" s="132">
        <f>IF(SER_hh_fec_in!P24=0,0,11630*1000*SER_hh_fec_in!P24/SER_hh_num_in!P24)</f>
        <v>14227.813021058884</v>
      </c>
      <c r="Q24" s="132">
        <f>IF(SER_hh_fec_in!Q24=0,0,11630*1000*SER_hh_fec_in!Q24/SER_hh_num_in!Q24)</f>
        <v>20910.508529781469</v>
      </c>
      <c r="R24" s="132">
        <f>IF(SER_hh_fec_in!R24=0,0,11630*1000*SER_hh_fec_in!R24/SER_hh_num_in!R24)</f>
        <v>19921.988760216893</v>
      </c>
      <c r="S24" s="132">
        <f>IF(SER_hh_fec_in!S24=0,0,11630*1000*SER_hh_fec_in!S24/SER_hh_num_in!S24)</f>
        <v>12840.837049086476</v>
      </c>
      <c r="T24" s="132">
        <f>IF(SER_hh_fec_in!T24=0,0,11630*1000*SER_hh_fec_in!T24/SER_hh_num_in!T24)</f>
        <v>10843.045344625862</v>
      </c>
      <c r="U24" s="132">
        <f>IF(SER_hh_fec_in!U24=0,0,11630*1000*SER_hh_fec_in!U24/SER_hh_num_in!U24)</f>
        <v>18686.706517475344</v>
      </c>
      <c r="V24" s="132">
        <f>IF(SER_hh_fec_in!V24=0,0,11630*1000*SER_hh_fec_in!V24/SER_hh_num_in!V24)</f>
        <v>12414.858858931666</v>
      </c>
      <c r="W24" s="132">
        <f>IF(SER_hh_fec_in!W24=0,0,11630*1000*SER_hh_fec_in!W24/SER_hh_num_in!W24)</f>
        <v>16356.343596652361</v>
      </c>
      <c r="X24" s="132">
        <f>IF(SER_hh_fec_in!X24=0,0,11630*1000*SER_hh_fec_in!X24/SER_hh_num_in!X24)</f>
        <v>10702.009605099178</v>
      </c>
      <c r="Y24" s="132">
        <f>IF(SER_hh_fec_in!Y24=0,0,11630*1000*SER_hh_fec_in!Y24/SER_hh_num_in!Y24)</f>
        <v>17488.506389623788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8854.2220830394308</v>
      </c>
      <c r="D25" s="132">
        <f>IF(SER_hh_fec_in!D25=0,0,11630*1000*SER_hh_fec_in!D25/SER_hh_num_in!D25)</f>
        <v>14356.149895183313</v>
      </c>
      <c r="E25" s="132">
        <f>IF(SER_hh_fec_in!E25=0,0,11630*1000*SER_hh_fec_in!E25/SER_hh_num_in!E25)</f>
        <v>7202.2928695464325</v>
      </c>
      <c r="F25" s="132">
        <f>IF(SER_hh_fec_in!F25=0,0,11630*1000*SER_hh_fec_in!F25/SER_hh_num_in!F25)</f>
        <v>13958.566185426305</v>
      </c>
      <c r="G25" s="132">
        <f>IF(SER_hh_fec_in!G25=0,0,11630*1000*SER_hh_fec_in!G25/SER_hh_num_in!G25)</f>
        <v>15339.517811871488</v>
      </c>
      <c r="H25" s="132">
        <f>IF(SER_hh_fec_in!H25=0,0,11630*1000*SER_hh_fec_in!H25/SER_hh_num_in!H25)</f>
        <v>15878.965814272588</v>
      </c>
      <c r="I25" s="132">
        <f>IF(SER_hh_fec_in!I25=0,0,11630*1000*SER_hh_fec_in!I25/SER_hh_num_in!I25)</f>
        <v>13125.238493671948</v>
      </c>
      <c r="J25" s="132">
        <f>IF(SER_hh_fec_in!J25=0,0,11630*1000*SER_hh_fec_in!J25/SER_hh_num_in!J25)</f>
        <v>9942.8924467411871</v>
      </c>
      <c r="K25" s="132">
        <f>IF(SER_hh_fec_in!K25=0,0,11630*1000*SER_hh_fec_in!K25/SER_hh_num_in!K25)</f>
        <v>16732.999890697585</v>
      </c>
      <c r="L25" s="132">
        <f>IF(SER_hh_fec_in!L25=0,0,11630*1000*SER_hh_fec_in!L25/SER_hh_num_in!L25)</f>
        <v>8007.459664815945</v>
      </c>
      <c r="M25" s="132">
        <f>IF(SER_hh_fec_in!M25=0,0,11630*1000*SER_hh_fec_in!M25/SER_hh_num_in!M25)</f>
        <v>9100.0023587201558</v>
      </c>
      <c r="N25" s="132">
        <f>IF(SER_hh_fec_in!N25=0,0,11630*1000*SER_hh_fec_in!N25/SER_hh_num_in!N25)</f>
        <v>10207.187453367764</v>
      </c>
      <c r="O25" s="132">
        <f>IF(SER_hh_fec_in!O25=0,0,11630*1000*SER_hh_fec_in!O25/SER_hh_num_in!O25)</f>
        <v>17556.124456348116</v>
      </c>
      <c r="P25" s="132">
        <f>IF(SER_hh_fec_in!P25=0,0,11630*1000*SER_hh_fec_in!P25/SER_hh_num_in!P25)</f>
        <v>11867.940448177718</v>
      </c>
      <c r="Q25" s="132">
        <f>IF(SER_hh_fec_in!Q25=0,0,11630*1000*SER_hh_fec_in!Q25/SER_hh_num_in!Q25)</f>
        <v>17550.176837564533</v>
      </c>
      <c r="R25" s="132">
        <f>IF(SER_hh_fec_in!R25=0,0,11630*1000*SER_hh_fec_in!R25/SER_hh_num_in!R25)</f>
        <v>16975.708976939455</v>
      </c>
      <c r="S25" s="132">
        <f>IF(SER_hh_fec_in!S25=0,0,11630*1000*SER_hh_fec_in!S25/SER_hh_num_in!S25)</f>
        <v>10863.339248328457</v>
      </c>
      <c r="T25" s="132">
        <f>IF(SER_hh_fec_in!T25=0,0,11630*1000*SER_hh_fec_in!T25/SER_hh_num_in!T25)</f>
        <v>9294.1973819105679</v>
      </c>
      <c r="U25" s="132">
        <f>IF(SER_hh_fec_in!U25=0,0,11630*1000*SER_hh_fec_in!U25/SER_hh_num_in!U25)</f>
        <v>16451.442997884347</v>
      </c>
      <c r="V25" s="132">
        <f>IF(SER_hh_fec_in!V25=0,0,11630*1000*SER_hh_fec_in!V25/SER_hh_num_in!V25)</f>
        <v>11811.839859673393</v>
      </c>
      <c r="W25" s="132">
        <f>IF(SER_hh_fec_in!W25=0,0,11630*1000*SER_hh_fec_in!W25/SER_hh_num_in!W25)</f>
        <v>15923.674962189571</v>
      </c>
      <c r="X25" s="132">
        <f>IF(SER_hh_fec_in!X25=0,0,11630*1000*SER_hh_fec_in!X25/SER_hh_num_in!X25)</f>
        <v>9576.0375480233433</v>
      </c>
      <c r="Y25" s="132">
        <f>IF(SER_hh_fec_in!Y25=0,0,11630*1000*SER_hh_fec_in!Y25/SER_hh_num_in!Y25)</f>
        <v>15162.255664847627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6762.3247348823334</v>
      </c>
      <c r="D26" s="65">
        <f>IF(SER_hh_fec_in!D26=0,0,11630*1000*SER_hh_fec_in!D26/SER_hh_num_in!D26)</f>
        <v>6351.5809739331671</v>
      </c>
      <c r="E26" s="65">
        <f>IF(SER_hh_fec_in!E26=0,0,11630*1000*SER_hh_fec_in!E26/SER_hh_num_in!E26)</f>
        <v>5518.3966347159312</v>
      </c>
      <c r="F26" s="65">
        <f>IF(SER_hh_fec_in!F26=0,0,11630*1000*SER_hh_fec_in!F26/SER_hh_num_in!F26)</f>
        <v>5027.2475885013973</v>
      </c>
      <c r="G26" s="65">
        <f>IF(SER_hh_fec_in!G26=0,0,11630*1000*SER_hh_fec_in!G26/SER_hh_num_in!G26)</f>
        <v>19499.237563059323</v>
      </c>
      <c r="H26" s="65">
        <f>IF(SER_hh_fec_in!H26=0,0,11630*1000*SER_hh_fec_in!H26/SER_hh_num_in!H26)</f>
        <v>18794.638585123721</v>
      </c>
      <c r="I26" s="65">
        <f>IF(SER_hh_fec_in!I26=0,0,11630*1000*SER_hh_fec_in!I26/SER_hh_num_in!I26)</f>
        <v>2933.9829185597137</v>
      </c>
      <c r="J26" s="65">
        <f>IF(SER_hh_fec_in!J26=0,0,11630*1000*SER_hh_fec_in!J26/SER_hh_num_in!J26)</f>
        <v>163.79720989666518</v>
      </c>
      <c r="K26" s="65">
        <f>IF(SER_hh_fec_in!K26=0,0,11630*1000*SER_hh_fec_in!K26/SER_hh_num_in!K26)</f>
        <v>19813.494144395045</v>
      </c>
      <c r="L26" s="65">
        <f>IF(SER_hh_fec_in!L26=0,0,11630*1000*SER_hh_fec_in!L26/SER_hh_num_in!L26)</f>
        <v>109.67383294474685</v>
      </c>
      <c r="M26" s="65">
        <f>IF(SER_hh_fec_in!M26=0,0,11630*1000*SER_hh_fec_in!M26/SER_hh_num_in!M26)</f>
        <v>108.61386913898986</v>
      </c>
      <c r="N26" s="65">
        <f>IF(SER_hh_fec_in!N26=0,0,11630*1000*SER_hh_fec_in!N26/SER_hh_num_in!N26)</f>
        <v>117.53366395925939</v>
      </c>
      <c r="O26" s="65">
        <f>IF(SER_hh_fec_in!O26=0,0,11630*1000*SER_hh_fec_in!O26/SER_hh_num_in!O26)</f>
        <v>12743.512601858654</v>
      </c>
      <c r="P26" s="65">
        <f>IF(SER_hh_fec_in!P26=0,0,11630*1000*SER_hh_fec_in!P26/SER_hh_num_in!P26)</f>
        <v>125.01688430199394</v>
      </c>
      <c r="Q26" s="65">
        <f>IF(SER_hh_fec_in!Q26=0,0,11630*1000*SER_hh_fec_in!Q26/SER_hh_num_in!Q26)</f>
        <v>12478.261619822701</v>
      </c>
      <c r="R26" s="65">
        <f>IF(SER_hh_fec_in!R26=0,0,11630*1000*SER_hh_fec_in!R26/SER_hh_num_in!R26)</f>
        <v>13026.025860738013</v>
      </c>
      <c r="S26" s="65">
        <f>IF(SER_hh_fec_in!S26=0,0,11630*1000*SER_hh_fec_in!S26/SER_hh_num_in!S26)</f>
        <v>122.67856334629187</v>
      </c>
      <c r="T26" s="65">
        <f>IF(SER_hh_fec_in!T26=0,0,11630*1000*SER_hh_fec_in!T26/SER_hh_num_in!T26)</f>
        <v>103.42213911210169</v>
      </c>
      <c r="U26" s="65">
        <f>IF(SER_hh_fec_in!U26=0,0,11630*1000*SER_hh_fec_in!U26/SER_hh_num_in!U26)</f>
        <v>103.08971295835951</v>
      </c>
      <c r="V26" s="65">
        <f>IF(SER_hh_fec_in!V26=0,0,11630*1000*SER_hh_fec_in!V26/SER_hh_num_in!V26)</f>
        <v>92.546935444168696</v>
      </c>
      <c r="W26" s="65">
        <f>IF(SER_hh_fec_in!W26=0,0,11630*1000*SER_hh_fec_in!W26/SER_hh_num_in!W26)</f>
        <v>9535.8226299690541</v>
      </c>
      <c r="X26" s="65">
        <f>IF(SER_hh_fec_in!X26=0,0,11630*1000*SER_hh_fec_in!X26/SER_hh_num_in!X26)</f>
        <v>95.048351079745487</v>
      </c>
      <c r="Y26" s="65">
        <f>IF(SER_hh_fec_in!Y26=0,0,11630*1000*SER_hh_fec_in!Y26/SER_hh_num_in!Y26)</f>
        <v>11299.846528135689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7356.6954831666089</v>
      </c>
      <c r="D27" s="145">
        <f>IF(SER_hh_fec_in!D27=0,0,11630*1000*SER_hh_fec_in!D27/SER_hh_num_in!D19)</f>
        <v>4235.90471813976</v>
      </c>
      <c r="E27" s="145">
        <f>IF(SER_hh_fec_in!E27=0,0,11630*1000*SER_hh_fec_in!E27/SER_hh_num_in!E19)</f>
        <v>8008.2609642985917</v>
      </c>
      <c r="F27" s="145">
        <f>IF(SER_hh_fec_in!F27=0,0,11630*1000*SER_hh_fec_in!F27/SER_hh_num_in!F19)</f>
        <v>5266.841110293929</v>
      </c>
      <c r="G27" s="145">
        <f>IF(SER_hh_fec_in!G27=0,0,11630*1000*SER_hh_fec_in!G27/SER_hh_num_in!G19)</f>
        <v>1.9957062715751919E-11</v>
      </c>
      <c r="H27" s="145">
        <f>IF(SER_hh_fec_in!H27=0,0,11630*1000*SER_hh_fec_in!H27/SER_hh_num_in!H19)</f>
        <v>0</v>
      </c>
      <c r="I27" s="145">
        <f>IF(SER_hh_fec_in!I27=0,0,11630*1000*SER_hh_fec_in!I27/SER_hh_num_in!I19)</f>
        <v>4528.4145039612777</v>
      </c>
      <c r="J27" s="145">
        <f>IF(SER_hh_fec_in!J27=0,0,11630*1000*SER_hh_fec_in!J27/SER_hh_num_in!J19)</f>
        <v>7087.046972429489</v>
      </c>
      <c r="K27" s="145">
        <f>IF(SER_hh_fec_in!K27=0,0,11630*1000*SER_hh_fec_in!K27/SER_hh_num_in!K19)</f>
        <v>0</v>
      </c>
      <c r="L27" s="145">
        <f>IF(SER_hh_fec_in!L27=0,0,11630*1000*SER_hh_fec_in!L27/SER_hh_num_in!L19)</f>
        <v>10448.049812560132</v>
      </c>
      <c r="M27" s="145">
        <f>IF(SER_hh_fec_in!M27=0,0,11630*1000*SER_hh_fec_in!M27/SER_hh_num_in!M19)</f>
        <v>11707.682106633454</v>
      </c>
      <c r="N27" s="145">
        <f>IF(SER_hh_fec_in!N27=0,0,11630*1000*SER_hh_fec_in!N27/SER_hh_num_in!N19)</f>
        <v>11612.435263464797</v>
      </c>
      <c r="O27" s="145">
        <f>IF(SER_hh_fec_in!O27=0,0,11630*1000*SER_hh_fec_in!O27/SER_hh_num_in!O19)</f>
        <v>1.6403777048598011E-10</v>
      </c>
      <c r="P27" s="145">
        <f>IF(SER_hh_fec_in!P27=0,0,11630*1000*SER_hh_fec_in!P27/SER_hh_num_in!P19)</f>
        <v>14615.649459087073</v>
      </c>
      <c r="Q27" s="145">
        <f>IF(SER_hh_fec_in!Q27=0,0,11630*1000*SER_hh_fec_in!Q27/SER_hh_num_in!Q19)</f>
        <v>6.4293731177499227E-11</v>
      </c>
      <c r="R27" s="145">
        <f>IF(SER_hh_fec_in!R27=0,0,11630*1000*SER_hh_fec_in!R27/SER_hh_num_in!R19)</f>
        <v>4.609520340876101E-11</v>
      </c>
      <c r="S27" s="145">
        <f>IF(SER_hh_fec_in!S27=0,0,11630*1000*SER_hh_fec_in!S27/SER_hh_num_in!S19)</f>
        <v>10862.587291253829</v>
      </c>
      <c r="T27" s="145">
        <f>IF(SER_hh_fec_in!T27=0,0,11630*1000*SER_hh_fec_in!T27/SER_hh_num_in!T19)</f>
        <v>10272.550273456656</v>
      </c>
      <c r="U27" s="145">
        <f>IF(SER_hh_fec_in!U27=0,0,11630*1000*SER_hh_fec_in!U27/SER_hh_num_in!U19)</f>
        <v>6230.3352902947254</v>
      </c>
      <c r="V27" s="145">
        <f>IF(SER_hh_fec_in!V27=0,0,11630*1000*SER_hh_fec_in!V27/SER_hh_num_in!V19)</f>
        <v>9037.3148199565403</v>
      </c>
      <c r="W27" s="145">
        <f>IF(SER_hh_fec_in!W27=0,0,11630*1000*SER_hh_fec_in!W27/SER_hh_num_in!W19)</f>
        <v>0</v>
      </c>
      <c r="X27" s="145">
        <f>IF(SER_hh_fec_in!X27=0,0,11630*1000*SER_hh_fec_in!X27/SER_hh_num_in!X19)</f>
        <v>7787.6906554496109</v>
      </c>
      <c r="Y27" s="145">
        <f>IF(SER_hh_fec_in!Y27=0,0,11630*1000*SER_hh_fec_in!Y27/SER_hh_num_in!Y19)</f>
        <v>0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8542.0132085166479</v>
      </c>
      <c r="D28" s="146">
        <f>IF(SER_hh_fec_in!D27=0,0,11630*1000*SER_hh_fec_in!D27/SER_hh_num_in!D27)</f>
        <v>8709.1913192537795</v>
      </c>
      <c r="E28" s="146">
        <f>IF(SER_hh_fec_in!E27=0,0,11630*1000*SER_hh_fec_in!E27/SER_hh_num_in!E27)</f>
        <v>8446.2497058193203</v>
      </c>
      <c r="F28" s="146">
        <f>IF(SER_hh_fec_in!F27=0,0,11630*1000*SER_hh_fec_in!F27/SER_hh_num_in!F27)</f>
        <v>8992.802014969986</v>
      </c>
      <c r="G28" s="146">
        <f>IF(SER_hh_fec_in!G27=0,0,11630*1000*SER_hh_fec_in!G27/SER_hh_num_in!G27)</f>
        <v>9998.1827241412284</v>
      </c>
      <c r="H28" s="146">
        <f>IF(SER_hh_fec_in!H27=0,0,11630*1000*SER_hh_fec_in!H27/SER_hh_num_in!H27)</f>
        <v>0</v>
      </c>
      <c r="I28" s="146">
        <f>IF(SER_hh_fec_in!I27=0,0,11630*1000*SER_hh_fec_in!I27/SER_hh_num_in!I27)</f>
        <v>8825.8723875975465</v>
      </c>
      <c r="J28" s="146">
        <f>IF(SER_hh_fec_in!J27=0,0,11630*1000*SER_hh_fec_in!J27/SER_hh_num_in!J27)</f>
        <v>7087.0469724294881</v>
      </c>
      <c r="K28" s="146">
        <f>IF(SER_hh_fec_in!K27=0,0,11630*1000*SER_hh_fec_in!K27/SER_hh_num_in!K27)</f>
        <v>0</v>
      </c>
      <c r="L28" s="146">
        <f>IF(SER_hh_fec_in!L27=0,0,11630*1000*SER_hh_fec_in!L27/SER_hh_num_in!L27)</f>
        <v>10448.049812560132</v>
      </c>
      <c r="M28" s="146">
        <f>IF(SER_hh_fec_in!M27=0,0,11630*1000*SER_hh_fec_in!M27/SER_hh_num_in!M27)</f>
        <v>11707.682106633456</v>
      </c>
      <c r="N28" s="146">
        <f>IF(SER_hh_fec_in!N27=0,0,11630*1000*SER_hh_fec_in!N27/SER_hh_num_in!N27)</f>
        <v>11612.4352634648</v>
      </c>
      <c r="O28" s="146">
        <f>IF(SER_hh_fec_in!O27=0,0,11630*1000*SER_hh_fec_in!O27/SER_hh_num_in!O27)</f>
        <v>20888.88194226785</v>
      </c>
      <c r="P28" s="146">
        <f>IF(SER_hh_fec_in!P27=0,0,11630*1000*SER_hh_fec_in!P27/SER_hh_num_in!P27)</f>
        <v>15612.075618310773</v>
      </c>
      <c r="Q28" s="146">
        <f>IF(SER_hh_fec_in!Q27=0,0,11630*1000*SER_hh_fec_in!Q27/SER_hh_num_in!Q27)</f>
        <v>21350.12479483545</v>
      </c>
      <c r="R28" s="146">
        <f>IF(SER_hh_fec_in!R27=0,0,11630*1000*SER_hh_fec_in!R27/SER_hh_num_in!R27)</f>
        <v>22739.908621291586</v>
      </c>
      <c r="S28" s="146">
        <f>IF(SER_hh_fec_in!S27=0,0,11630*1000*SER_hh_fec_in!S27/SER_hh_num_in!S27)</f>
        <v>12413.295152154074</v>
      </c>
      <c r="T28" s="146">
        <f>IF(SER_hh_fec_in!T27=0,0,11630*1000*SER_hh_fec_in!T27/SER_hh_num_in!T27)</f>
        <v>10272.550273456656</v>
      </c>
      <c r="U28" s="146">
        <f>IF(SER_hh_fec_in!U27=0,0,11630*1000*SER_hh_fec_in!U27/SER_hh_num_in!U27)</f>
        <v>16807.993876918474</v>
      </c>
      <c r="V28" s="146">
        <f>IF(SER_hh_fec_in!V27=0,0,11630*1000*SER_hh_fec_in!V27/SER_hh_num_in!V27)</f>
        <v>11600.410236388314</v>
      </c>
      <c r="W28" s="146">
        <f>IF(SER_hh_fec_in!W27=0,0,11630*1000*SER_hh_fec_in!W27/SER_hh_num_in!W27)</f>
        <v>0</v>
      </c>
      <c r="X28" s="146">
        <f>IF(SER_hh_fec_in!X27=0,0,11630*1000*SER_hh_fec_in!X27/SER_hh_num_in!X27)</f>
        <v>8412.9045367229337</v>
      </c>
      <c r="Y28" s="146">
        <f>IF(SER_hh_fec_in!Y27=0,0,11630*1000*SER_hh_fec_in!Y27/SER_hh_num_in!Y27)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15821.654278565462</v>
      </c>
      <c r="D29" s="130">
        <f>IF(SER_hh_fec_in!D29=0,0,11630*1000*SER_hh_fec_in!D29/SER_hh_num_in!D29)</f>
        <v>19916.72618925709</v>
      </c>
      <c r="E29" s="130">
        <f>IF(SER_hh_fec_in!E29=0,0,11630*1000*SER_hh_fec_in!E29/SER_hh_num_in!E29)</f>
        <v>19881.257132671497</v>
      </c>
      <c r="F29" s="130">
        <f>IF(SER_hh_fec_in!F29=0,0,11630*1000*SER_hh_fec_in!F29/SER_hh_num_in!F29)</f>
        <v>17683.311589582947</v>
      </c>
      <c r="G29" s="130">
        <f>IF(SER_hh_fec_in!G29=0,0,11630*1000*SER_hh_fec_in!G29/SER_hh_num_in!G29)</f>
        <v>17277.806361527437</v>
      </c>
      <c r="H29" s="130">
        <f>IF(SER_hh_fec_in!H29=0,0,11630*1000*SER_hh_fec_in!H29/SER_hh_num_in!H29)</f>
        <v>16294.475943891051</v>
      </c>
      <c r="I29" s="130">
        <f>IF(SER_hh_fec_in!I29=0,0,11630*1000*SER_hh_fec_in!I29/SER_hh_num_in!I29)</f>
        <v>16294.930069137105</v>
      </c>
      <c r="J29" s="130">
        <f>IF(SER_hh_fec_in!J29=0,0,11630*1000*SER_hh_fec_in!J29/SER_hh_num_in!J29)</f>
        <v>17066.582889348327</v>
      </c>
      <c r="K29" s="130">
        <f>IF(SER_hh_fec_in!K29=0,0,11630*1000*SER_hh_fec_in!K29/SER_hh_num_in!K29)</f>
        <v>17861.031008904469</v>
      </c>
      <c r="L29" s="130">
        <f>IF(SER_hh_fec_in!L29=0,0,11630*1000*SER_hh_fec_in!L29/SER_hh_num_in!L29)</f>
        <v>17565.164650550003</v>
      </c>
      <c r="M29" s="130">
        <f>IF(SER_hh_fec_in!M29=0,0,11630*1000*SER_hh_fec_in!M29/SER_hh_num_in!M29)</f>
        <v>16150.632977916845</v>
      </c>
      <c r="N29" s="130">
        <f>IF(SER_hh_fec_in!N29=0,0,11630*1000*SER_hh_fec_in!N29/SER_hh_num_in!N29)</f>
        <v>17494.221323347847</v>
      </c>
      <c r="O29" s="130">
        <f>IF(SER_hh_fec_in!O29=0,0,11630*1000*SER_hh_fec_in!O29/SER_hh_num_in!O29)</f>
        <v>17189.630128541459</v>
      </c>
      <c r="P29" s="130">
        <f>IF(SER_hh_fec_in!P29=0,0,11630*1000*SER_hh_fec_in!P29/SER_hh_num_in!P29)</f>
        <v>17278.754975845317</v>
      </c>
      <c r="Q29" s="130">
        <f>IF(SER_hh_fec_in!Q29=0,0,11630*1000*SER_hh_fec_in!Q29/SER_hh_num_in!Q29)</f>
        <v>17355.144916541518</v>
      </c>
      <c r="R29" s="130">
        <f>IF(SER_hh_fec_in!R29=0,0,11630*1000*SER_hh_fec_in!R29/SER_hh_num_in!R29)</f>
        <v>16841.889073784096</v>
      </c>
      <c r="S29" s="130">
        <f>IF(SER_hh_fec_in!S29=0,0,11630*1000*SER_hh_fec_in!S29/SER_hh_num_in!S29)</f>
        <v>17081.512976767546</v>
      </c>
      <c r="T29" s="130">
        <f>IF(SER_hh_fec_in!T29=0,0,11630*1000*SER_hh_fec_in!T29/SER_hh_num_in!T29)</f>
        <v>16439.913796740988</v>
      </c>
      <c r="U29" s="130">
        <f>IF(SER_hh_fec_in!U29=0,0,11630*1000*SER_hh_fec_in!U29/SER_hh_num_in!U29)</f>
        <v>16364.648591945404</v>
      </c>
      <c r="V29" s="130">
        <f>IF(SER_hh_fec_in!V29=0,0,11630*1000*SER_hh_fec_in!V29/SER_hh_num_in!V29)</f>
        <v>15460.311676437816</v>
      </c>
      <c r="W29" s="130">
        <f>IF(SER_hh_fec_in!W29=0,0,11630*1000*SER_hh_fec_in!W29/SER_hh_num_in!W29)</f>
        <v>16249.879202039179</v>
      </c>
      <c r="X29" s="130">
        <f>IF(SER_hh_fec_in!X29=0,0,11630*1000*SER_hh_fec_in!X29/SER_hh_num_in!X29)</f>
        <v>15788.629778775296</v>
      </c>
      <c r="Y29" s="130">
        <f>IF(SER_hh_fec_in!Y29=0,0,11630*1000*SER_hh_fec_in!Y29/SER_hh_num_in!Y29)</f>
        <v>15751.496084729268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10732.924295717572</v>
      </c>
      <c r="D30" s="132">
        <f>IF(SER_hh_fec_in!D30=0,0,11630*1000*SER_hh_fec_in!D30/SER_hh_num_in!D30)</f>
        <v>22217.309789375751</v>
      </c>
      <c r="E30" s="132">
        <f>IF(SER_hh_fec_in!E30=0,0,11630*1000*SER_hh_fec_in!E30/SER_hh_num_in!E30)</f>
        <v>23256.637697421203</v>
      </c>
      <c r="F30" s="132">
        <f>IF(SER_hh_fec_in!F30=0,0,11630*1000*SER_hh_fec_in!F30/SER_hh_num_in!F30)</f>
        <v>27800.375015315109</v>
      </c>
      <c r="G30" s="132">
        <f>IF(SER_hh_fec_in!G30=0,0,11630*1000*SER_hh_fec_in!G30/SER_hh_num_in!G30)</f>
        <v>20636.288359139708</v>
      </c>
      <c r="H30" s="132">
        <f>IF(SER_hh_fec_in!H30=0,0,11630*1000*SER_hh_fec_in!H30/SER_hh_num_in!H30)</f>
        <v>21950.754502010965</v>
      </c>
      <c r="I30" s="132">
        <f>IF(SER_hh_fec_in!I30=0,0,11630*1000*SER_hh_fec_in!I30/SER_hh_num_in!I30)</f>
        <v>0</v>
      </c>
      <c r="J30" s="132">
        <f>IF(SER_hh_fec_in!J30=0,0,11630*1000*SER_hh_fec_in!J30/SER_hh_num_in!J30)</f>
        <v>13695.770602698603</v>
      </c>
      <c r="K30" s="132">
        <f>IF(SER_hh_fec_in!K30=0,0,11630*1000*SER_hh_fec_in!K30/SER_hh_num_in!K30)</f>
        <v>17117.26826133818</v>
      </c>
      <c r="L30" s="132">
        <f>IF(SER_hh_fec_in!L30=0,0,11630*1000*SER_hh_fec_in!L30/SER_hh_num_in!L30)</f>
        <v>28523.833016896631</v>
      </c>
      <c r="M30" s="132">
        <f>IF(SER_hh_fec_in!M30=0,0,11630*1000*SER_hh_fec_in!M30/SER_hh_num_in!M30)</f>
        <v>0</v>
      </c>
      <c r="N30" s="132">
        <f>IF(SER_hh_fec_in!N30=0,0,11630*1000*SER_hh_fec_in!N30/SER_hh_num_in!N30)</f>
        <v>0</v>
      </c>
      <c r="O30" s="132">
        <f>IF(SER_hh_fec_in!O30=0,0,11630*1000*SER_hh_fec_in!O30/SER_hh_num_in!O30)</f>
        <v>0</v>
      </c>
      <c r="P30" s="132">
        <f>IF(SER_hh_fec_in!P30=0,0,11630*1000*SER_hh_fec_in!P30/SER_hh_num_in!P30)</f>
        <v>0</v>
      </c>
      <c r="Q30" s="132">
        <f>IF(SER_hh_fec_in!Q30=0,0,11630*1000*SER_hh_fec_in!Q30/SER_hh_num_in!Q30)</f>
        <v>18980.820966139516</v>
      </c>
      <c r="R30" s="132">
        <f>IF(SER_hh_fec_in!R30=0,0,11630*1000*SER_hh_fec_in!R30/SER_hh_num_in!R30)</f>
        <v>13934.069766300689</v>
      </c>
      <c r="S30" s="132">
        <f>IF(SER_hh_fec_in!S30=0,0,11630*1000*SER_hh_fec_in!S30/SER_hh_num_in!S30)</f>
        <v>25550.136193225855</v>
      </c>
      <c r="T30" s="132">
        <f>IF(SER_hh_fec_in!T30=0,0,11630*1000*SER_hh_fec_in!T30/SER_hh_num_in!T30)</f>
        <v>20491.853657567306</v>
      </c>
      <c r="U30" s="132">
        <f>IF(SER_hh_fec_in!U30=0,0,11630*1000*SER_hh_fec_in!U30/SER_hh_num_in!U30)</f>
        <v>20328.240024132763</v>
      </c>
      <c r="V30" s="132">
        <f>IF(SER_hh_fec_in!V30=0,0,11630*1000*SER_hh_fec_in!V30/SER_hh_num_in!V30)</f>
        <v>19454.832066657462</v>
      </c>
      <c r="W30" s="132">
        <f>IF(SER_hh_fec_in!W30=0,0,11630*1000*SER_hh_fec_in!W30/SER_hh_num_in!W30)</f>
        <v>23453.455948418643</v>
      </c>
      <c r="X30" s="132">
        <f>IF(SER_hh_fec_in!X30=0,0,11630*1000*SER_hh_fec_in!X30/SER_hh_num_in!X30)</f>
        <v>0</v>
      </c>
      <c r="Y30" s="132">
        <f>IF(SER_hh_fec_in!Y30=0,0,11630*1000*SER_hh_fec_in!Y30/SER_hh_num_in!Y30)</f>
        <v>0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18835.090974364295</v>
      </c>
      <c r="D31" s="132">
        <f>IF(SER_hh_fec_in!D31=0,0,11630*1000*SER_hh_fec_in!D31/SER_hh_num_in!D31)</f>
        <v>19571.94478803705</v>
      </c>
      <c r="E31" s="132">
        <f>IF(SER_hh_fec_in!E31=0,0,11630*1000*SER_hh_fec_in!E31/SER_hh_num_in!E31)</f>
        <v>19827.812304001331</v>
      </c>
      <c r="F31" s="132">
        <f>IF(SER_hh_fec_in!F31=0,0,11630*1000*SER_hh_fec_in!F31/SER_hh_num_in!F31)</f>
        <v>20313.594751144443</v>
      </c>
      <c r="G31" s="132">
        <f>IF(SER_hh_fec_in!G31=0,0,11630*1000*SER_hh_fec_in!G31/SER_hh_num_in!G31)</f>
        <v>20206.251334551049</v>
      </c>
      <c r="H31" s="132">
        <f>IF(SER_hh_fec_in!H31=0,0,11630*1000*SER_hh_fec_in!H31/SER_hh_num_in!H31)</f>
        <v>19933.576914249799</v>
      </c>
      <c r="I31" s="132">
        <f>IF(SER_hh_fec_in!I31=0,0,11630*1000*SER_hh_fec_in!I31/SER_hh_num_in!I31)</f>
        <v>19678.01513823916</v>
      </c>
      <c r="J31" s="132">
        <f>IF(SER_hh_fec_in!J31=0,0,11630*1000*SER_hh_fec_in!J31/SER_hh_num_in!J31)</f>
        <v>19676.054643898187</v>
      </c>
      <c r="K31" s="132">
        <f>IF(SER_hh_fec_in!K31=0,0,11630*1000*SER_hh_fec_in!K31/SER_hh_num_in!K31)</f>
        <v>20162.377632392516</v>
      </c>
      <c r="L31" s="132">
        <f>IF(SER_hh_fec_in!L31=0,0,11630*1000*SER_hh_fec_in!L31/SER_hh_num_in!L31)</f>
        <v>20324.671277387104</v>
      </c>
      <c r="M31" s="132">
        <f>IF(SER_hh_fec_in!M31=0,0,11630*1000*SER_hh_fec_in!M31/SER_hh_num_in!M31)</f>
        <v>20338.550634115305</v>
      </c>
      <c r="N31" s="132">
        <f>IF(SER_hh_fec_in!N31=0,0,11630*1000*SER_hh_fec_in!N31/SER_hh_num_in!N31)</f>
        <v>20357.507474102887</v>
      </c>
      <c r="O31" s="132">
        <f>IF(SER_hh_fec_in!O31=0,0,11630*1000*SER_hh_fec_in!O31/SER_hh_num_in!O31)</f>
        <v>20392.248346425222</v>
      </c>
      <c r="P31" s="132">
        <f>IF(SER_hh_fec_in!P31=0,0,11630*1000*SER_hh_fec_in!P31/SER_hh_num_in!P31)</f>
        <v>20577.512782912385</v>
      </c>
      <c r="Q31" s="132">
        <f>IF(SER_hh_fec_in!Q31=0,0,11630*1000*SER_hh_fec_in!Q31/SER_hh_num_in!Q31)</f>
        <v>20560.848062297693</v>
      </c>
      <c r="R31" s="132">
        <f>IF(SER_hh_fec_in!R31=0,0,11630*1000*SER_hh_fec_in!R31/SER_hh_num_in!R31)</f>
        <v>20393.933033646961</v>
      </c>
      <c r="S31" s="132">
        <f>IF(SER_hh_fec_in!S31=0,0,11630*1000*SER_hh_fec_in!S31/SER_hh_num_in!S31)</f>
        <v>20133.264655638228</v>
      </c>
      <c r="T31" s="132">
        <f>IF(SER_hh_fec_in!T31=0,0,11630*1000*SER_hh_fec_in!T31/SER_hh_num_in!T31)</f>
        <v>19947.204705547269</v>
      </c>
      <c r="U31" s="132">
        <f>IF(SER_hh_fec_in!U31=0,0,11630*1000*SER_hh_fec_in!U31/SER_hh_num_in!U31)</f>
        <v>20230.600782326044</v>
      </c>
      <c r="V31" s="132">
        <f>IF(SER_hh_fec_in!V31=0,0,11630*1000*SER_hh_fec_in!V31/SER_hh_num_in!V31)</f>
        <v>18578.921966060487</v>
      </c>
      <c r="W31" s="132">
        <f>IF(SER_hh_fec_in!W31=0,0,11630*1000*SER_hh_fec_in!W31/SER_hh_num_in!W31)</f>
        <v>18908.997209057154</v>
      </c>
      <c r="X31" s="132">
        <f>IF(SER_hh_fec_in!X31=0,0,11630*1000*SER_hh_fec_in!X31/SER_hh_num_in!X31)</f>
        <v>18465.328784502388</v>
      </c>
      <c r="Y31" s="132">
        <f>IF(SER_hh_fec_in!Y31=0,0,11630*1000*SER_hh_fec_in!Y31/SER_hh_num_in!Y31)</f>
        <v>20362.858972442562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19672.75245455046</v>
      </c>
      <c r="D32" s="132">
        <f>IF(SER_hh_fec_in!D32=0,0,11630*1000*SER_hh_fec_in!D32/SER_hh_num_in!D32)</f>
        <v>21111.165124344254</v>
      </c>
      <c r="E32" s="132">
        <f>IF(SER_hh_fec_in!E32=0,0,11630*1000*SER_hh_fec_in!E32/SER_hh_num_in!E32)</f>
        <v>21286.104456863734</v>
      </c>
      <c r="F32" s="132">
        <f>IF(SER_hh_fec_in!F32=0,0,11630*1000*SER_hh_fec_in!F32/SER_hh_num_in!F32)</f>
        <v>21814.554330884697</v>
      </c>
      <c r="G32" s="132">
        <f>IF(SER_hh_fec_in!G32=0,0,11630*1000*SER_hh_fec_in!G32/SER_hh_num_in!G32)</f>
        <v>21534.202696817985</v>
      </c>
      <c r="H32" s="132">
        <f>IF(SER_hh_fec_in!H32=0,0,11630*1000*SER_hh_fec_in!H32/SER_hh_num_in!H32)</f>
        <v>21261.523843295508</v>
      </c>
      <c r="I32" s="132">
        <f>IF(SER_hh_fec_in!I32=0,0,11630*1000*SER_hh_fec_in!I32/SER_hh_num_in!I32)</f>
        <v>21118.898407193366</v>
      </c>
      <c r="J32" s="132">
        <f>IF(SER_hh_fec_in!J32=0,0,11630*1000*SER_hh_fec_in!J32/SER_hh_num_in!J32)</f>
        <v>20908.903910943063</v>
      </c>
      <c r="K32" s="132">
        <f>IF(SER_hh_fec_in!K32=0,0,11630*1000*SER_hh_fec_in!K32/SER_hh_num_in!K32)</f>
        <v>20868.381814135162</v>
      </c>
      <c r="L32" s="132">
        <f>IF(SER_hh_fec_in!L32=0,0,11630*1000*SER_hh_fec_in!L32/SER_hh_num_in!L32)</f>
        <v>21907.797052247734</v>
      </c>
      <c r="M32" s="132">
        <f>IF(SER_hh_fec_in!M32=0,0,11630*1000*SER_hh_fec_in!M32/SER_hh_num_in!M32)</f>
        <v>21234.923738896628</v>
      </c>
      <c r="N32" s="132">
        <f>IF(SER_hh_fec_in!N32=0,0,11630*1000*SER_hh_fec_in!N32/SER_hh_num_in!N32)</f>
        <v>21833.088915521304</v>
      </c>
      <c r="O32" s="132">
        <f>IF(SER_hh_fec_in!O32=0,0,11630*1000*SER_hh_fec_in!O32/SER_hh_num_in!O32)</f>
        <v>21333.074133399739</v>
      </c>
      <c r="P32" s="132">
        <f>IF(SER_hh_fec_in!P32=0,0,11630*1000*SER_hh_fec_in!P32/SER_hh_num_in!P32)</f>
        <v>21654.254022228084</v>
      </c>
      <c r="Q32" s="132">
        <f>IF(SER_hh_fec_in!Q32=0,0,11630*1000*SER_hh_fec_in!Q32/SER_hh_num_in!Q32)</f>
        <v>22234.745603852771</v>
      </c>
      <c r="R32" s="132">
        <f>IF(SER_hh_fec_in!R32=0,0,11630*1000*SER_hh_fec_in!R32/SER_hh_num_in!R32)</f>
        <v>21717.119327618155</v>
      </c>
      <c r="S32" s="132">
        <f>IF(SER_hh_fec_in!S32=0,0,11630*1000*SER_hh_fec_in!S32/SER_hh_num_in!S32)</f>
        <v>21208.907332647501</v>
      </c>
      <c r="T32" s="132">
        <f>IF(SER_hh_fec_in!T32=0,0,11630*1000*SER_hh_fec_in!T32/SER_hh_num_in!T32)</f>
        <v>21043.870204727857</v>
      </c>
      <c r="U32" s="132">
        <f>IF(SER_hh_fec_in!U32=0,0,11630*1000*SER_hh_fec_in!U32/SER_hh_num_in!U32)</f>
        <v>21354.030184906125</v>
      </c>
      <c r="V32" s="132">
        <f>IF(SER_hh_fec_in!V32=0,0,11630*1000*SER_hh_fec_in!V32/SER_hh_num_in!V32)</f>
        <v>21628.950176386061</v>
      </c>
      <c r="W32" s="132">
        <f>IF(SER_hh_fec_in!W32=0,0,11630*1000*SER_hh_fec_in!W32/SER_hh_num_in!W32)</f>
        <v>21481.40397858767</v>
      </c>
      <c r="X32" s="132">
        <f>IF(SER_hh_fec_in!X32=0,0,11630*1000*SER_hh_fec_in!X32/SER_hh_num_in!X32)</f>
        <v>20461.784384643739</v>
      </c>
      <c r="Y32" s="132">
        <f>IF(SER_hh_fec_in!Y32=0,0,11630*1000*SER_hh_fec_in!Y32/SER_hh_num_in!Y32)</f>
        <v>21410.197922041963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15474.526607232248</v>
      </c>
      <c r="D33" s="68">
        <f>IF(SER_hh_fec_in!D33=0,0,11630*1000*SER_hh_fec_in!D33/SER_hh_num_in!D33)</f>
        <v>14086.089395554562</v>
      </c>
      <c r="E33" s="68">
        <f>IF(SER_hh_fec_in!E33=0,0,11630*1000*SER_hh_fec_in!E33/SER_hh_num_in!E33)</f>
        <v>14477.25451810107</v>
      </c>
      <c r="F33" s="68">
        <f>IF(SER_hh_fec_in!F33=0,0,11630*1000*SER_hh_fec_in!F33/SER_hh_num_in!F33)</f>
        <v>12998.500996298071</v>
      </c>
      <c r="G33" s="68">
        <f>IF(SER_hh_fec_in!G33=0,0,11630*1000*SER_hh_fec_in!G33/SER_hh_num_in!G33)</f>
        <v>15156.697688213628</v>
      </c>
      <c r="H33" s="68">
        <f>IF(SER_hh_fec_in!H33=0,0,11630*1000*SER_hh_fec_in!H33/SER_hh_num_in!H33)</f>
        <v>14606.914188590341</v>
      </c>
      <c r="I33" s="68">
        <f>IF(SER_hh_fec_in!I33=0,0,11630*1000*SER_hh_fec_in!I33/SER_hh_num_in!I33)</f>
        <v>15160.428621766952</v>
      </c>
      <c r="J33" s="68">
        <f>IF(SER_hh_fec_in!J33=0,0,11630*1000*SER_hh_fec_in!J33/SER_hh_num_in!J33)</f>
        <v>15855.978745424334</v>
      </c>
      <c r="K33" s="68">
        <f>IF(SER_hh_fec_in!K33=0,0,11630*1000*SER_hh_fec_in!K33/SER_hh_num_in!K33)</f>
        <v>15959.250937575865</v>
      </c>
      <c r="L33" s="68">
        <f>IF(SER_hh_fec_in!L33=0,0,11630*1000*SER_hh_fec_in!L33/SER_hh_num_in!L33)</f>
        <v>13715.946816758653</v>
      </c>
      <c r="M33" s="68">
        <f>IF(SER_hh_fec_in!M33=0,0,11630*1000*SER_hh_fec_in!M33/SER_hh_num_in!M33)</f>
        <v>14061.268620407027</v>
      </c>
      <c r="N33" s="68">
        <f>IF(SER_hh_fec_in!N33=0,0,11630*1000*SER_hh_fec_in!N33/SER_hh_num_in!N33)</f>
        <v>16543.127409873014</v>
      </c>
      <c r="O33" s="68">
        <f>IF(SER_hh_fec_in!O33=0,0,11630*1000*SER_hh_fec_in!O33/SER_hh_num_in!O33)</f>
        <v>15600.409905785013</v>
      </c>
      <c r="P33" s="68">
        <f>IF(SER_hh_fec_in!P33=0,0,11630*1000*SER_hh_fec_in!P33/SER_hh_num_in!P33)</f>
        <v>15298.789928581193</v>
      </c>
      <c r="Q33" s="68">
        <f>IF(SER_hh_fec_in!Q33=0,0,11630*1000*SER_hh_fec_in!Q33/SER_hh_num_in!Q33)</f>
        <v>15145.209275858457</v>
      </c>
      <c r="R33" s="68">
        <f>IF(SER_hh_fec_in!R33=0,0,11630*1000*SER_hh_fec_in!R33/SER_hh_num_in!R33)</f>
        <v>15168.143348572456</v>
      </c>
      <c r="S33" s="68">
        <f>IF(SER_hh_fec_in!S33=0,0,11630*1000*SER_hh_fec_in!S33/SER_hh_num_in!S33)</f>
        <v>14675.02074551913</v>
      </c>
      <c r="T33" s="68">
        <f>IF(SER_hh_fec_in!T33=0,0,11630*1000*SER_hh_fec_in!T33/SER_hh_num_in!T33)</f>
        <v>14482.399116785691</v>
      </c>
      <c r="U33" s="68">
        <f>IF(SER_hh_fec_in!U33=0,0,11630*1000*SER_hh_fec_in!U33/SER_hh_num_in!U33)</f>
        <v>14081.883954637449</v>
      </c>
      <c r="V33" s="68">
        <f>IF(SER_hh_fec_in!V33=0,0,11630*1000*SER_hh_fec_in!V33/SER_hh_num_in!V33)</f>
        <v>13551.542290902216</v>
      </c>
      <c r="W33" s="68">
        <f>IF(SER_hh_fec_in!W33=0,0,11630*1000*SER_hh_fec_in!W33/SER_hh_num_in!W33)</f>
        <v>14098.463636130728</v>
      </c>
      <c r="X33" s="68">
        <f>IF(SER_hh_fec_in!X33=0,0,11630*1000*SER_hh_fec_in!X33/SER_hh_num_in!X33)</f>
        <v>14147.311243014197</v>
      </c>
      <c r="Y33" s="68">
        <f>IF(SER_hh_fec_in!Y33=0,0,11630*1000*SER_hh_fec_in!Y33/SER_hh_num_in!Y33)</f>
        <v>13585.112538482786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142313.48548869658</v>
      </c>
      <c r="D3" s="125">
        <f>IF(SER_hh_tes_in!D3=0,0,11630*1000*SER_hh_tes_in!D3/SER_hh_num_in!D3)</f>
        <v>136577.36697841046</v>
      </c>
      <c r="E3" s="125">
        <f>IF(SER_hh_tes_in!E3=0,0,11630*1000*SER_hh_tes_in!E3/SER_hh_num_in!E3)</f>
        <v>150913.94568963084</v>
      </c>
      <c r="F3" s="125">
        <f>IF(SER_hh_tes_in!F3=0,0,11630*1000*SER_hh_tes_in!F3/SER_hh_num_in!F3)</f>
        <v>133092.11228568197</v>
      </c>
      <c r="G3" s="125">
        <f>IF(SER_hh_tes_in!G3=0,0,11630*1000*SER_hh_tes_in!G3/SER_hh_num_in!G3)</f>
        <v>143815.8432108385</v>
      </c>
      <c r="H3" s="125">
        <f>IF(SER_hh_tes_in!H3=0,0,11630*1000*SER_hh_tes_in!H3/SER_hh_num_in!H3)</f>
        <v>140517.70859508705</v>
      </c>
      <c r="I3" s="125">
        <f>IF(SER_hh_tes_in!I3=0,0,11630*1000*SER_hh_tes_in!I3/SER_hh_num_in!I3)</f>
        <v>122829.03200390782</v>
      </c>
      <c r="J3" s="125">
        <f>IF(SER_hh_tes_in!J3=0,0,11630*1000*SER_hh_tes_in!J3/SER_hh_num_in!J3)</f>
        <v>128393.26366622026</v>
      </c>
      <c r="K3" s="125">
        <f>IF(SER_hh_tes_in!K3=0,0,11630*1000*SER_hh_tes_in!K3/SER_hh_num_in!K3)</f>
        <v>119490.55997531222</v>
      </c>
      <c r="L3" s="125">
        <f>IF(SER_hh_tes_in!L3=0,0,11630*1000*SER_hh_tes_in!L3/SER_hh_num_in!L3)</f>
        <v>121845.82182363214</v>
      </c>
      <c r="M3" s="125">
        <f>IF(SER_hh_tes_in!M3=0,0,11630*1000*SER_hh_tes_in!M3/SER_hh_num_in!M3)</f>
        <v>115321.7876513426</v>
      </c>
      <c r="N3" s="125">
        <f>IF(SER_hh_tes_in!N3=0,0,11630*1000*SER_hh_tes_in!N3/SER_hh_num_in!N3)</f>
        <v>117202.19129370077</v>
      </c>
      <c r="O3" s="125">
        <f>IF(SER_hh_tes_in!O3=0,0,11630*1000*SER_hh_tes_in!O3/SER_hh_num_in!O3)</f>
        <v>112512.76628264708</v>
      </c>
      <c r="P3" s="125">
        <f>IF(SER_hh_tes_in!P3=0,0,11630*1000*SER_hh_tes_in!P3/SER_hh_num_in!P3)</f>
        <v>107363.72830283234</v>
      </c>
      <c r="Q3" s="125">
        <f>IF(SER_hh_tes_in!Q3=0,0,11630*1000*SER_hh_tes_in!Q3/SER_hh_num_in!Q3)</f>
        <v>104348.58476610467</v>
      </c>
      <c r="R3" s="125">
        <f>IF(SER_hh_tes_in!R3=0,0,11630*1000*SER_hh_tes_in!R3/SER_hh_num_in!R3)</f>
        <v>99425.061771191875</v>
      </c>
      <c r="S3" s="125">
        <f>IF(SER_hh_tes_in!S3=0,0,11630*1000*SER_hh_tes_in!S3/SER_hh_num_in!S3)</f>
        <v>111062.92872702869</v>
      </c>
      <c r="T3" s="125">
        <f>IF(SER_hh_tes_in!T3=0,0,11630*1000*SER_hh_tes_in!T3/SER_hh_num_in!T3)</f>
        <v>105580.24740609431</v>
      </c>
      <c r="U3" s="125">
        <f>IF(SER_hh_tes_in!U3=0,0,11630*1000*SER_hh_tes_in!U3/SER_hh_num_in!U3)</f>
        <v>105039.48592863424</v>
      </c>
      <c r="V3" s="125">
        <f>IF(SER_hh_tes_in!V3=0,0,11630*1000*SER_hh_tes_in!V3/SER_hh_num_in!V3)</f>
        <v>92321.438394467055</v>
      </c>
      <c r="W3" s="125">
        <f>IF(SER_hh_tes_in!W3=0,0,11630*1000*SER_hh_tes_in!W3/SER_hh_num_in!W3)</f>
        <v>93166.679667664983</v>
      </c>
      <c r="X3" s="125">
        <f>IF(SER_hh_tes_in!X3=0,0,11630*1000*SER_hh_tes_in!X3/SER_hh_num_in!X3)</f>
        <v>95349.764917616412</v>
      </c>
      <c r="Y3" s="125">
        <f>IF(SER_hh_tes_in!Y3=0,0,11630*1000*SER_hh_tes_in!Y3/SER_hh_num_in!Y3)</f>
        <v>96558.015339094476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97560.303768685582</v>
      </c>
      <c r="D4" s="130">
        <f>IF(SER_hh_tes_in!D4=0,0,11630*1000*SER_hh_tes_in!D4/SER_hh_num_in!D4)</f>
        <v>90343.911424481252</v>
      </c>
      <c r="E4" s="130">
        <f>IF(SER_hh_tes_in!E4=0,0,11630*1000*SER_hh_tes_in!E4/SER_hh_num_in!E4)</f>
        <v>102146.0221000802</v>
      </c>
      <c r="F4" s="130">
        <f>IF(SER_hh_tes_in!F4=0,0,11630*1000*SER_hh_tes_in!F4/SER_hh_num_in!F4)</f>
        <v>87807.941871295232</v>
      </c>
      <c r="G4" s="130">
        <f>IF(SER_hh_tes_in!G4=0,0,11630*1000*SER_hh_tes_in!G4/SER_hh_num_in!G4)</f>
        <v>97849.062577309363</v>
      </c>
      <c r="H4" s="130">
        <f>IF(SER_hh_tes_in!H4=0,0,11630*1000*SER_hh_tes_in!H4/SER_hh_num_in!H4)</f>
        <v>94147.700018227246</v>
      </c>
      <c r="I4" s="130">
        <f>IF(SER_hh_tes_in!I4=0,0,11630*1000*SER_hh_tes_in!I4/SER_hh_num_in!I4)</f>
        <v>75804.003115562577</v>
      </c>
      <c r="J4" s="130">
        <f>IF(SER_hh_tes_in!J4=0,0,11630*1000*SER_hh_tes_in!J4/SER_hh_num_in!J4)</f>
        <v>81315.15765413655</v>
      </c>
      <c r="K4" s="130">
        <f>IF(SER_hh_tes_in!K4=0,0,11630*1000*SER_hh_tes_in!K4/SER_hh_num_in!K4)</f>
        <v>72815.895184370092</v>
      </c>
      <c r="L4" s="130">
        <f>IF(SER_hh_tes_in!L4=0,0,11630*1000*SER_hh_tes_in!L4/SER_hh_num_in!L4)</f>
        <v>72755.764819278265</v>
      </c>
      <c r="M4" s="130">
        <f>IF(SER_hh_tes_in!M4=0,0,11630*1000*SER_hh_tes_in!M4/SER_hh_num_in!M4)</f>
        <v>66183.697152684996</v>
      </c>
      <c r="N4" s="130">
        <f>IF(SER_hh_tes_in!N4=0,0,11630*1000*SER_hh_tes_in!N4/SER_hh_num_in!N4)</f>
        <v>67079.641519770448</v>
      </c>
      <c r="O4" s="130">
        <f>IF(SER_hh_tes_in!O4=0,0,11630*1000*SER_hh_tes_in!O4/SER_hh_num_in!O4)</f>
        <v>64929.899722356306</v>
      </c>
      <c r="P4" s="130">
        <f>IF(SER_hh_tes_in!P4=0,0,11630*1000*SER_hh_tes_in!P4/SER_hh_num_in!P4)</f>
        <v>58111.363172748694</v>
      </c>
      <c r="Q4" s="130">
        <f>IF(SER_hh_tes_in!Q4=0,0,11630*1000*SER_hh_tes_in!Q4/SER_hh_num_in!Q4)</f>
        <v>56481.330829185958</v>
      </c>
      <c r="R4" s="130">
        <f>IF(SER_hh_tes_in!R4=0,0,11630*1000*SER_hh_tes_in!R4/SER_hh_num_in!R4)</f>
        <v>54391.427584907397</v>
      </c>
      <c r="S4" s="130">
        <f>IF(SER_hh_tes_in!S4=0,0,11630*1000*SER_hh_tes_in!S4/SER_hh_num_in!S4)</f>
        <v>61014.395219062237</v>
      </c>
      <c r="T4" s="130">
        <f>IF(SER_hh_tes_in!T4=0,0,11630*1000*SER_hh_tes_in!T4/SER_hh_num_in!T4)</f>
        <v>56743.926479828777</v>
      </c>
      <c r="U4" s="130">
        <f>IF(SER_hh_tes_in!U4=0,0,11630*1000*SER_hh_tes_in!U4/SER_hh_num_in!U4)</f>
        <v>56299.18841105415</v>
      </c>
      <c r="V4" s="130">
        <f>IF(SER_hh_tes_in!V4=0,0,11630*1000*SER_hh_tes_in!V4/SER_hh_num_in!V4)</f>
        <v>46973.207533802059</v>
      </c>
      <c r="W4" s="130">
        <f>IF(SER_hh_tes_in!W4=0,0,11630*1000*SER_hh_tes_in!W4/SER_hh_num_in!W4)</f>
        <v>49179.716452773435</v>
      </c>
      <c r="X4" s="130">
        <f>IF(SER_hh_tes_in!X4=0,0,11630*1000*SER_hh_tes_in!X4/SER_hh_num_in!X4)</f>
        <v>48311.799484299772</v>
      </c>
      <c r="Y4" s="130">
        <f>IF(SER_hh_tes_in!Y4=0,0,11630*1000*SER_hh_tes_in!Y4/SER_hh_num_in!Y4)</f>
        <v>49394.581923696453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0</v>
      </c>
      <c r="D5" s="132">
        <f>IF(SER_hh_tes_in!D5=0,0,11630*1000*SER_hh_tes_in!D5/SER_hh_num_in!D5)</f>
        <v>0</v>
      </c>
      <c r="E5" s="132">
        <f>IF(SER_hh_tes_in!E5=0,0,11630*1000*SER_hh_tes_in!E5/SER_hh_num_in!E5)</f>
        <v>0</v>
      </c>
      <c r="F5" s="132">
        <f>IF(SER_hh_tes_in!F5=0,0,11630*1000*SER_hh_tes_in!F5/SER_hh_num_in!F5)</f>
        <v>0</v>
      </c>
      <c r="G5" s="132">
        <f>IF(SER_hh_tes_in!G5=0,0,11630*1000*SER_hh_tes_in!G5/SER_hh_num_in!G5)</f>
        <v>0</v>
      </c>
      <c r="H5" s="132">
        <f>IF(SER_hh_tes_in!H5=0,0,11630*1000*SER_hh_tes_in!H5/SER_hh_num_in!H5)</f>
        <v>0</v>
      </c>
      <c r="I5" s="132">
        <f>IF(SER_hh_tes_in!I5=0,0,11630*1000*SER_hh_tes_in!I5/SER_hh_num_in!I5)</f>
        <v>0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0</v>
      </c>
      <c r="N5" s="132">
        <f>IF(SER_hh_tes_in!N5=0,0,11630*1000*SER_hh_tes_in!N5/SER_hh_num_in!N5)</f>
        <v>0</v>
      </c>
      <c r="O5" s="132">
        <f>IF(SER_hh_tes_in!O5=0,0,11630*1000*SER_hh_tes_in!O5/SER_hh_num_in!O5)</f>
        <v>32039.9641797115</v>
      </c>
      <c r="P5" s="132">
        <f>IF(SER_hh_tes_in!P5=0,0,11630*1000*SER_hh_tes_in!P5/SER_hh_num_in!P5)</f>
        <v>0</v>
      </c>
      <c r="Q5" s="132">
        <f>IF(SER_hh_tes_in!Q5=0,0,11630*1000*SER_hh_tes_in!Q5/SER_hh_num_in!Q5)</f>
        <v>0</v>
      </c>
      <c r="R5" s="132">
        <f>IF(SER_hh_tes_in!R5=0,0,11630*1000*SER_hh_tes_in!R5/SER_hh_num_in!R5)</f>
        <v>0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0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95124.854610692884</v>
      </c>
      <c r="D7" s="132">
        <f>IF(SER_hh_tes_in!D7=0,0,11630*1000*SER_hh_tes_in!D7/SER_hh_num_in!D7)</f>
        <v>90988.975293880474</v>
      </c>
      <c r="E7" s="132">
        <f>IF(SER_hh_tes_in!E7=0,0,11630*1000*SER_hh_tes_in!E7/SER_hh_num_in!E7)</f>
        <v>109556.46847713576</v>
      </c>
      <c r="F7" s="132">
        <f>IF(SER_hh_tes_in!F7=0,0,11630*1000*SER_hh_tes_in!F7/SER_hh_num_in!F7)</f>
        <v>76927.616398353566</v>
      </c>
      <c r="G7" s="132">
        <f>IF(SER_hh_tes_in!G7=0,0,11630*1000*SER_hh_tes_in!G7/SER_hh_num_in!G7)</f>
        <v>97859.475680868258</v>
      </c>
      <c r="H7" s="132">
        <f>IF(SER_hh_tes_in!H7=0,0,11630*1000*SER_hh_tes_in!H7/SER_hh_num_in!H7)</f>
        <v>98755.695941585989</v>
      </c>
      <c r="I7" s="132">
        <f>IF(SER_hh_tes_in!I7=0,0,11630*1000*SER_hh_tes_in!I7/SER_hh_num_in!I7)</f>
        <v>69974.068507707052</v>
      </c>
      <c r="J7" s="132">
        <f>IF(SER_hh_tes_in!J7=0,0,11630*1000*SER_hh_tes_in!J7/SER_hh_num_in!J7)</f>
        <v>0</v>
      </c>
      <c r="K7" s="132">
        <f>IF(SER_hh_tes_in!K7=0,0,11630*1000*SER_hh_tes_in!K7/SER_hh_num_in!K7)</f>
        <v>0</v>
      </c>
      <c r="L7" s="132">
        <f>IF(SER_hh_tes_in!L7=0,0,11630*1000*SER_hh_tes_in!L7/SER_hh_num_in!L7)</f>
        <v>0</v>
      </c>
      <c r="M7" s="132">
        <f>IF(SER_hh_tes_in!M7=0,0,11630*1000*SER_hh_tes_in!M7/SER_hh_num_in!M7)</f>
        <v>0</v>
      </c>
      <c r="N7" s="132">
        <f>IF(SER_hh_tes_in!N7=0,0,11630*1000*SER_hh_tes_in!N7/SER_hh_num_in!N7)</f>
        <v>0</v>
      </c>
      <c r="O7" s="132">
        <f>IF(SER_hh_tes_in!O7=0,0,11630*1000*SER_hh_tes_in!O7/SER_hh_num_in!O7)</f>
        <v>58082.630484749519</v>
      </c>
      <c r="P7" s="132">
        <f>IF(SER_hh_tes_in!P7=0,0,11630*1000*SER_hh_tes_in!P7/SER_hh_num_in!P7)</f>
        <v>58674.172687919483</v>
      </c>
      <c r="Q7" s="132">
        <f>IF(SER_hh_tes_in!Q7=0,0,11630*1000*SER_hh_tes_in!Q7/SER_hh_num_in!Q7)</f>
        <v>57025.032220986963</v>
      </c>
      <c r="R7" s="132">
        <f>IF(SER_hh_tes_in!R7=0,0,11630*1000*SER_hh_tes_in!R7/SER_hh_num_in!R7)</f>
        <v>49467.49930071093</v>
      </c>
      <c r="S7" s="132">
        <f>IF(SER_hh_tes_in!S7=0,0,11630*1000*SER_hh_tes_in!S7/SER_hh_num_in!S7)</f>
        <v>66934.224481135825</v>
      </c>
      <c r="T7" s="132">
        <f>IF(SER_hh_tes_in!T7=0,0,11630*1000*SER_hh_tes_in!T7/SER_hh_num_in!T7)</f>
        <v>56539.453788064136</v>
      </c>
      <c r="U7" s="132">
        <f>IF(SER_hh_tes_in!U7=0,0,11630*1000*SER_hh_tes_in!U7/SER_hh_num_in!U7)</f>
        <v>51582.424614832227</v>
      </c>
      <c r="V7" s="132">
        <f>IF(SER_hh_tes_in!V7=0,0,11630*1000*SER_hh_tes_in!V7/SER_hh_num_in!V7)</f>
        <v>49090.992085201833</v>
      </c>
      <c r="W7" s="132">
        <f>IF(SER_hh_tes_in!W7=0,0,11630*1000*SER_hh_tes_in!W7/SER_hh_num_in!W7)</f>
        <v>62050.596308821354</v>
      </c>
      <c r="X7" s="132">
        <f>IF(SER_hh_tes_in!X7=0,0,11630*1000*SER_hh_tes_in!X7/SER_hh_num_in!X7)</f>
        <v>0</v>
      </c>
      <c r="Y7" s="132">
        <f>IF(SER_hh_tes_in!Y7=0,0,11630*1000*SER_hh_tes_in!Y7/SER_hh_num_in!Y7)</f>
        <v>0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94118.859499281229</v>
      </c>
      <c r="D8" s="132">
        <f>IF(SER_hh_tes_in!D8=0,0,11630*1000*SER_hh_tes_in!D8/SER_hh_num_in!D8)</f>
        <v>88091.051167382553</v>
      </c>
      <c r="E8" s="132">
        <f>IF(SER_hh_tes_in!E8=0,0,11630*1000*SER_hh_tes_in!E8/SER_hh_num_in!E8)</f>
        <v>101357.4015842534</v>
      </c>
      <c r="F8" s="132">
        <f>IF(SER_hh_tes_in!F8=0,0,11630*1000*SER_hh_tes_in!F8/SER_hh_num_in!F8)</f>
        <v>100196.24818745088</v>
      </c>
      <c r="G8" s="132">
        <f>IF(SER_hh_tes_in!G8=0,0,11630*1000*SER_hh_tes_in!G8/SER_hh_num_in!G8)</f>
        <v>91955.324178317576</v>
      </c>
      <c r="H8" s="132">
        <f>IF(SER_hh_tes_in!H8=0,0,11630*1000*SER_hh_tes_in!H8/SER_hh_num_in!H8)</f>
        <v>96209.874144423622</v>
      </c>
      <c r="I8" s="132">
        <f>IF(SER_hh_tes_in!I8=0,0,11630*1000*SER_hh_tes_in!I8/SER_hh_num_in!I8)</f>
        <v>76184.32175382151</v>
      </c>
      <c r="J8" s="132">
        <f>IF(SER_hh_tes_in!J8=0,0,11630*1000*SER_hh_tes_in!J8/SER_hh_num_in!J8)</f>
        <v>86215.822931910821</v>
      </c>
      <c r="K8" s="132">
        <f>IF(SER_hh_tes_in!K8=0,0,11630*1000*SER_hh_tes_in!K8/SER_hh_num_in!K8)</f>
        <v>71636.067488508459</v>
      </c>
      <c r="L8" s="132">
        <f>IF(SER_hh_tes_in!L8=0,0,11630*1000*SER_hh_tes_in!L8/SER_hh_num_in!L8)</f>
        <v>70403.919923310546</v>
      </c>
      <c r="M8" s="132">
        <f>IF(SER_hh_tes_in!M8=0,0,11630*1000*SER_hh_tes_in!M8/SER_hh_num_in!M8)</f>
        <v>66894.559261880248</v>
      </c>
      <c r="N8" s="132">
        <f>IF(SER_hh_tes_in!N8=0,0,11630*1000*SER_hh_tes_in!N8/SER_hh_num_in!N8)</f>
        <v>65532.825032900757</v>
      </c>
      <c r="O8" s="132">
        <f>IF(SER_hh_tes_in!O8=0,0,11630*1000*SER_hh_tes_in!O8/SER_hh_num_in!O8)</f>
        <v>61116.278626448206</v>
      </c>
      <c r="P8" s="132">
        <f>IF(SER_hh_tes_in!P8=0,0,11630*1000*SER_hh_tes_in!P8/SER_hh_num_in!P8)</f>
        <v>56515.266544121048</v>
      </c>
      <c r="Q8" s="132">
        <f>IF(SER_hh_tes_in!Q8=0,0,11630*1000*SER_hh_tes_in!Q8/SER_hh_num_in!Q8)</f>
        <v>55394.716361344013</v>
      </c>
      <c r="R8" s="132">
        <f>IF(SER_hh_tes_in!R8=0,0,11630*1000*SER_hh_tes_in!R8/SER_hh_num_in!R8)</f>
        <v>55206.196461936575</v>
      </c>
      <c r="S8" s="132">
        <f>IF(SER_hh_tes_in!S8=0,0,11630*1000*SER_hh_tes_in!S8/SER_hh_num_in!S8)</f>
        <v>60347.438490344182</v>
      </c>
      <c r="T8" s="132">
        <f>IF(SER_hh_tes_in!T8=0,0,11630*1000*SER_hh_tes_in!T8/SER_hh_num_in!T8)</f>
        <v>56157.374209319583</v>
      </c>
      <c r="U8" s="132">
        <f>IF(SER_hh_tes_in!U8=0,0,11630*1000*SER_hh_tes_in!U8/SER_hh_num_in!U8)</f>
        <v>57159.733355950237</v>
      </c>
      <c r="V8" s="132">
        <f>IF(SER_hh_tes_in!V8=0,0,11630*1000*SER_hh_tes_in!V8/SER_hh_num_in!V8)</f>
        <v>48167.666653516993</v>
      </c>
      <c r="W8" s="132">
        <f>IF(SER_hh_tes_in!W8=0,0,11630*1000*SER_hh_tes_in!W8/SER_hh_num_in!W8)</f>
        <v>54216.628900979187</v>
      </c>
      <c r="X8" s="132">
        <f>IF(SER_hh_tes_in!X8=0,0,11630*1000*SER_hh_tes_in!X8/SER_hh_num_in!X8)</f>
        <v>48830.062546295565</v>
      </c>
      <c r="Y8" s="132">
        <f>IF(SER_hh_tes_in!Y8=0,0,11630*1000*SER_hh_tes_in!Y8/SER_hh_num_in!Y8)</f>
        <v>45464.41227373833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99495.25623338185</v>
      </c>
      <c r="D9" s="132">
        <f>IF(SER_hh_tes_in!D9=0,0,11630*1000*SER_hh_tes_in!D9/SER_hh_num_in!D9)</f>
        <v>86205.414803430787</v>
      </c>
      <c r="E9" s="132">
        <f>IF(SER_hh_tes_in!E9=0,0,11630*1000*SER_hh_tes_in!E9/SER_hh_num_in!E9)</f>
        <v>99658.631753775582</v>
      </c>
      <c r="F9" s="132">
        <f>IF(SER_hh_tes_in!F9=0,0,11630*1000*SER_hh_tes_in!F9/SER_hh_num_in!F9)</f>
        <v>0</v>
      </c>
      <c r="G9" s="132">
        <f>IF(SER_hh_tes_in!G9=0,0,11630*1000*SER_hh_tes_in!G9/SER_hh_num_in!G9)</f>
        <v>0</v>
      </c>
      <c r="H9" s="132">
        <f>IF(SER_hh_tes_in!H9=0,0,11630*1000*SER_hh_tes_in!H9/SER_hh_num_in!H9)</f>
        <v>0</v>
      </c>
      <c r="I9" s="132">
        <f>IF(SER_hh_tes_in!I9=0,0,11630*1000*SER_hh_tes_in!I9/SER_hh_num_in!I9)</f>
        <v>0</v>
      </c>
      <c r="J9" s="132">
        <f>IF(SER_hh_tes_in!J9=0,0,11630*1000*SER_hh_tes_in!J9/SER_hh_num_in!J9)</f>
        <v>0</v>
      </c>
      <c r="K9" s="132">
        <f>IF(SER_hh_tes_in!K9=0,0,11630*1000*SER_hh_tes_in!K9/SER_hh_num_in!K9)</f>
        <v>64430.015236877807</v>
      </c>
      <c r="L9" s="132">
        <f>IF(SER_hh_tes_in!L9=0,0,11630*1000*SER_hh_tes_in!L9/SER_hh_num_in!L9)</f>
        <v>70686.842095611559</v>
      </c>
      <c r="M9" s="132">
        <f>IF(SER_hh_tes_in!M9=0,0,11630*1000*SER_hh_tes_in!M9/SER_hh_num_in!M9)</f>
        <v>58404.903488754615</v>
      </c>
      <c r="N9" s="132">
        <f>IF(SER_hh_tes_in!N9=0,0,11630*1000*SER_hh_tes_in!N9/SER_hh_num_in!N9)</f>
        <v>67882.100164644551</v>
      </c>
      <c r="O9" s="132">
        <f>IF(SER_hh_tes_in!O9=0,0,11630*1000*SER_hh_tes_in!O9/SER_hh_num_in!O9)</f>
        <v>68114.439455945045</v>
      </c>
      <c r="P9" s="132">
        <f>IF(SER_hh_tes_in!P9=0,0,11630*1000*SER_hh_tes_in!P9/SER_hh_num_in!P9)</f>
        <v>50255.513581349536</v>
      </c>
      <c r="Q9" s="132">
        <f>IF(SER_hh_tes_in!Q9=0,0,11630*1000*SER_hh_tes_in!Q9/SER_hh_num_in!Q9)</f>
        <v>57353.114743681799</v>
      </c>
      <c r="R9" s="132">
        <f>IF(SER_hh_tes_in!R9=0,0,11630*1000*SER_hh_tes_in!R9/SER_hh_num_in!R9)</f>
        <v>51314.322232025675</v>
      </c>
      <c r="S9" s="132">
        <f>IF(SER_hh_tes_in!S9=0,0,11630*1000*SER_hh_tes_in!S9/SER_hh_num_in!S9)</f>
        <v>57173.907361061232</v>
      </c>
      <c r="T9" s="132">
        <f>IF(SER_hh_tes_in!T9=0,0,11630*1000*SER_hh_tes_in!T9/SER_hh_num_in!T9)</f>
        <v>52554.23672057689</v>
      </c>
      <c r="U9" s="132">
        <f>IF(SER_hh_tes_in!U9=0,0,11630*1000*SER_hh_tes_in!U9/SER_hh_num_in!U9)</f>
        <v>55290.776301173464</v>
      </c>
      <c r="V9" s="132">
        <f>IF(SER_hh_tes_in!V9=0,0,11630*1000*SER_hh_tes_in!V9/SER_hh_num_in!V9)</f>
        <v>0</v>
      </c>
      <c r="W9" s="132">
        <f>IF(SER_hh_tes_in!W9=0,0,11630*1000*SER_hh_tes_in!W9/SER_hh_num_in!W9)</f>
        <v>61920.555807004879</v>
      </c>
      <c r="X9" s="132">
        <f>IF(SER_hh_tes_in!X9=0,0,11630*1000*SER_hh_tes_in!X9/SER_hh_num_in!X9)</f>
        <v>39217.29228212632</v>
      </c>
      <c r="Y9" s="132">
        <f>IF(SER_hh_tes_in!Y9=0,0,11630*1000*SER_hh_tes_in!Y9/SER_hh_num_in!Y9)</f>
        <v>47972.518262895923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90175.22822135473</v>
      </c>
      <c r="D10" s="132">
        <f>IF(SER_hh_tes_in!D10=0,0,11630*1000*SER_hh_tes_in!D10/SER_hh_num_in!D10)</f>
        <v>87298.932619142419</v>
      </c>
      <c r="E10" s="132">
        <f>IF(SER_hh_tes_in!E10=0,0,11630*1000*SER_hh_tes_in!E10/SER_hh_num_in!E10)</f>
        <v>100971.53565166409</v>
      </c>
      <c r="F10" s="132">
        <f>IF(SER_hh_tes_in!F10=0,0,11630*1000*SER_hh_tes_in!F10/SER_hh_num_in!F10)</f>
        <v>106048.3698743275</v>
      </c>
      <c r="G10" s="132">
        <f>IF(SER_hh_tes_in!G10=0,0,11630*1000*SER_hh_tes_in!G10/SER_hh_num_in!G10)</f>
        <v>85247.709648529257</v>
      </c>
      <c r="H10" s="132">
        <f>IF(SER_hh_tes_in!H10=0,0,11630*1000*SER_hh_tes_in!H10/SER_hh_num_in!H10)</f>
        <v>92026.184180786222</v>
      </c>
      <c r="I10" s="132">
        <f>IF(SER_hh_tes_in!I10=0,0,11630*1000*SER_hh_tes_in!I10/SER_hh_num_in!I10)</f>
        <v>84787.080436837947</v>
      </c>
      <c r="J10" s="132">
        <f>IF(SER_hh_tes_in!J10=0,0,11630*1000*SER_hh_tes_in!J10/SER_hh_num_in!J10)</f>
        <v>70528.907489896519</v>
      </c>
      <c r="K10" s="132">
        <f>IF(SER_hh_tes_in!K10=0,0,11630*1000*SER_hh_tes_in!K10/SER_hh_num_in!K10)</f>
        <v>67384.716184109537</v>
      </c>
      <c r="L10" s="132">
        <f>IF(SER_hh_tes_in!L10=0,0,11630*1000*SER_hh_tes_in!L10/SER_hh_num_in!L10)</f>
        <v>83474.504041955835</v>
      </c>
      <c r="M10" s="132">
        <f>IF(SER_hh_tes_in!M10=0,0,11630*1000*SER_hh_tes_in!M10/SER_hh_num_in!M10)</f>
        <v>69318.901925485392</v>
      </c>
      <c r="N10" s="132">
        <f>IF(SER_hh_tes_in!N10=0,0,11630*1000*SER_hh_tes_in!N10/SER_hh_num_in!N10)</f>
        <v>0</v>
      </c>
      <c r="O10" s="132">
        <f>IF(SER_hh_tes_in!O10=0,0,11630*1000*SER_hh_tes_in!O10/SER_hh_num_in!O10)</f>
        <v>66206.800686407034</v>
      </c>
      <c r="P10" s="132">
        <f>IF(SER_hh_tes_in!P10=0,0,11630*1000*SER_hh_tes_in!P10/SER_hh_num_in!P10)</f>
        <v>51859.246706637365</v>
      </c>
      <c r="Q10" s="132">
        <f>IF(SER_hh_tes_in!Q10=0,0,11630*1000*SER_hh_tes_in!Q10/SER_hh_num_in!Q10)</f>
        <v>63143.363067843304</v>
      </c>
      <c r="R10" s="132">
        <f>IF(SER_hh_tes_in!R10=0,0,11630*1000*SER_hh_tes_in!R10/SER_hh_num_in!R10)</f>
        <v>41953.984997753156</v>
      </c>
      <c r="S10" s="132">
        <f>IF(SER_hh_tes_in!S10=0,0,11630*1000*SER_hh_tes_in!S10/SER_hh_num_in!S10)</f>
        <v>63849.839014388243</v>
      </c>
      <c r="T10" s="132">
        <f>IF(SER_hh_tes_in!T10=0,0,11630*1000*SER_hh_tes_in!T10/SER_hh_num_in!T10)</f>
        <v>57603.444477541656</v>
      </c>
      <c r="U10" s="132">
        <f>IF(SER_hh_tes_in!U10=0,0,11630*1000*SER_hh_tes_in!U10/SER_hh_num_in!U10)</f>
        <v>56571.716621115127</v>
      </c>
      <c r="V10" s="132">
        <f>IF(SER_hh_tes_in!V10=0,0,11630*1000*SER_hh_tes_in!V10/SER_hh_num_in!V10)</f>
        <v>50803.973208520809</v>
      </c>
      <c r="W10" s="132">
        <f>IF(SER_hh_tes_in!W10=0,0,11630*1000*SER_hh_tes_in!W10/SER_hh_num_in!W10)</f>
        <v>58422.918344178099</v>
      </c>
      <c r="X10" s="132">
        <f>IF(SER_hh_tes_in!X10=0,0,11630*1000*SER_hh_tes_in!X10/SER_hh_num_in!X10)</f>
        <v>0</v>
      </c>
      <c r="Y10" s="132">
        <f>IF(SER_hh_tes_in!Y10=0,0,11630*1000*SER_hh_tes_in!Y10/SER_hh_num_in!Y10)</f>
        <v>0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75494.138830133161</v>
      </c>
      <c r="D11" s="132">
        <f>IF(SER_hh_tes_in!D11=0,0,11630*1000*SER_hh_tes_in!D11/SER_hh_num_in!D11)</f>
        <v>112747.48254670741</v>
      </c>
      <c r="E11" s="132">
        <f>IF(SER_hh_tes_in!E11=0,0,11630*1000*SER_hh_tes_in!E11/SER_hh_num_in!E11)</f>
        <v>91726.010780354045</v>
      </c>
      <c r="F11" s="132">
        <f>IF(SER_hh_tes_in!F11=0,0,11630*1000*SER_hh_tes_in!F11/SER_hh_num_in!F11)</f>
        <v>90059.406481504644</v>
      </c>
      <c r="G11" s="132">
        <f>IF(SER_hh_tes_in!G11=0,0,11630*1000*SER_hh_tes_in!G11/SER_hh_num_in!G11)</f>
        <v>97245.198675702763</v>
      </c>
      <c r="H11" s="132">
        <f>IF(SER_hh_tes_in!H11=0,0,11630*1000*SER_hh_tes_in!H11/SER_hh_num_in!H11)</f>
        <v>90979.336102678033</v>
      </c>
      <c r="I11" s="132">
        <f>IF(SER_hh_tes_in!I11=0,0,11630*1000*SER_hh_tes_in!I11/SER_hh_num_in!I11)</f>
        <v>76047.432666273686</v>
      </c>
      <c r="J11" s="132">
        <f>IF(SER_hh_tes_in!J11=0,0,11630*1000*SER_hh_tes_in!J11/SER_hh_num_in!J11)</f>
        <v>75728.002291938596</v>
      </c>
      <c r="K11" s="132">
        <f>IF(SER_hh_tes_in!K11=0,0,11630*1000*SER_hh_tes_in!K11/SER_hh_num_in!K11)</f>
        <v>73362.479722934775</v>
      </c>
      <c r="L11" s="132">
        <f>IF(SER_hh_tes_in!L11=0,0,11630*1000*SER_hh_tes_in!L11/SER_hh_num_in!L11)</f>
        <v>75134.047342419537</v>
      </c>
      <c r="M11" s="132">
        <f>IF(SER_hh_tes_in!M11=0,0,11630*1000*SER_hh_tes_in!M11/SER_hh_num_in!M11)</f>
        <v>61297.333011459283</v>
      </c>
      <c r="N11" s="132">
        <f>IF(SER_hh_tes_in!N11=0,0,11630*1000*SER_hh_tes_in!N11/SER_hh_num_in!N11)</f>
        <v>70878.40688362396</v>
      </c>
      <c r="O11" s="132">
        <f>IF(SER_hh_tes_in!O11=0,0,11630*1000*SER_hh_tes_in!O11/SER_hh_num_in!O11)</f>
        <v>66185.728435768135</v>
      </c>
      <c r="P11" s="132">
        <f>IF(SER_hh_tes_in!P11=0,0,11630*1000*SER_hh_tes_in!P11/SER_hh_num_in!P11)</f>
        <v>52893.989970998773</v>
      </c>
      <c r="Q11" s="132">
        <f>IF(SER_hh_tes_in!Q11=0,0,11630*1000*SER_hh_tes_in!Q11/SER_hh_num_in!Q11)</f>
        <v>54352.798766068576</v>
      </c>
      <c r="R11" s="132">
        <f>IF(SER_hh_tes_in!R11=0,0,11630*1000*SER_hh_tes_in!R11/SER_hh_num_in!R11)</f>
        <v>47730.464810125501</v>
      </c>
      <c r="S11" s="132">
        <f>IF(SER_hh_tes_in!S11=0,0,11630*1000*SER_hh_tes_in!S11/SER_hh_num_in!S11)</f>
        <v>68191.08890952298</v>
      </c>
      <c r="T11" s="132">
        <f>IF(SER_hh_tes_in!T11=0,0,11630*1000*SER_hh_tes_in!T11/SER_hh_num_in!T11)</f>
        <v>56966.038307645351</v>
      </c>
      <c r="U11" s="132">
        <f>IF(SER_hh_tes_in!U11=0,0,11630*1000*SER_hh_tes_in!U11/SER_hh_num_in!U11)</f>
        <v>54370.884551580879</v>
      </c>
      <c r="V11" s="132">
        <f>IF(SER_hh_tes_in!V11=0,0,11630*1000*SER_hh_tes_in!V11/SER_hh_num_in!V11)</f>
        <v>54558.521550512145</v>
      </c>
      <c r="W11" s="132">
        <f>IF(SER_hh_tes_in!W11=0,0,11630*1000*SER_hh_tes_in!W11/SER_hh_num_in!W11)</f>
        <v>46884.998984408412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0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89256.717926590587</v>
      </c>
      <c r="D12" s="132">
        <f>IF(SER_hh_tes_in!D12=0,0,11630*1000*SER_hh_tes_in!D12/SER_hh_num_in!D12)</f>
        <v>91572.662215423959</v>
      </c>
      <c r="E12" s="132">
        <f>IF(SER_hh_tes_in!E12=0,0,11630*1000*SER_hh_tes_in!E12/SER_hh_num_in!E12)</f>
        <v>95442.409157063201</v>
      </c>
      <c r="F12" s="132">
        <f>IF(SER_hh_tes_in!F12=0,0,11630*1000*SER_hh_tes_in!F12/SER_hh_num_in!F12)</f>
        <v>91628.189108109858</v>
      </c>
      <c r="G12" s="132">
        <f>IF(SER_hh_tes_in!G12=0,0,11630*1000*SER_hh_tes_in!G12/SER_hh_num_in!G12)</f>
        <v>97158.05824881616</v>
      </c>
      <c r="H12" s="132">
        <f>IF(SER_hh_tes_in!H12=0,0,11630*1000*SER_hh_tes_in!H12/SER_hh_num_in!H12)</f>
        <v>93626.258523762663</v>
      </c>
      <c r="I12" s="132">
        <f>IF(SER_hh_tes_in!I12=0,0,11630*1000*SER_hh_tes_in!I12/SER_hh_num_in!I12)</f>
        <v>74092.2584875701</v>
      </c>
      <c r="J12" s="132">
        <f>IF(SER_hh_tes_in!J12=0,0,11630*1000*SER_hh_tes_in!J12/SER_hh_num_in!J12)</f>
        <v>77639.854699544754</v>
      </c>
      <c r="K12" s="132">
        <f>IF(SER_hh_tes_in!K12=0,0,11630*1000*SER_hh_tes_in!K12/SER_hh_num_in!K12)</f>
        <v>74448.264365652009</v>
      </c>
      <c r="L12" s="132">
        <f>IF(SER_hh_tes_in!L12=0,0,11630*1000*SER_hh_tes_in!L12/SER_hh_num_in!L12)</f>
        <v>72962.056534812553</v>
      </c>
      <c r="M12" s="132">
        <f>IF(SER_hh_tes_in!M12=0,0,11630*1000*SER_hh_tes_in!M12/SER_hh_num_in!M12)</f>
        <v>67810.219056934526</v>
      </c>
      <c r="N12" s="132">
        <f>IF(SER_hh_tes_in!N12=0,0,11630*1000*SER_hh_tes_in!N12/SER_hh_num_in!N12)</f>
        <v>67089.430132434602</v>
      </c>
      <c r="O12" s="132">
        <f>IF(SER_hh_tes_in!O12=0,0,11630*1000*SER_hh_tes_in!O12/SER_hh_num_in!O12)</f>
        <v>64069.092170134754</v>
      </c>
      <c r="P12" s="132">
        <f>IF(SER_hh_tes_in!P12=0,0,11630*1000*SER_hh_tes_in!P12/SER_hh_num_in!P12)</f>
        <v>55129.040368199829</v>
      </c>
      <c r="Q12" s="132">
        <f>IF(SER_hh_tes_in!Q12=0,0,11630*1000*SER_hh_tes_in!Q12/SER_hh_num_in!Q12)</f>
        <v>55780.483490332641</v>
      </c>
      <c r="R12" s="132">
        <f>IF(SER_hh_tes_in!R12=0,0,11630*1000*SER_hh_tes_in!R12/SER_hh_num_in!R12)</f>
        <v>57802.285722717977</v>
      </c>
      <c r="S12" s="132">
        <f>IF(SER_hh_tes_in!S12=0,0,11630*1000*SER_hh_tes_in!S12/SER_hh_num_in!S12)</f>
        <v>59400.901836245663</v>
      </c>
      <c r="T12" s="132">
        <f>IF(SER_hh_tes_in!T12=0,0,11630*1000*SER_hh_tes_in!T12/SER_hh_num_in!T12)</f>
        <v>53697.405180750982</v>
      </c>
      <c r="U12" s="132">
        <f>IF(SER_hh_tes_in!U12=0,0,11630*1000*SER_hh_tes_in!U12/SER_hh_num_in!U12)</f>
        <v>54517.944184676897</v>
      </c>
      <c r="V12" s="132">
        <f>IF(SER_hh_tes_in!V12=0,0,11630*1000*SER_hh_tes_in!V12/SER_hh_num_in!V12)</f>
        <v>48222.619443267911</v>
      </c>
      <c r="W12" s="132">
        <f>IF(SER_hh_tes_in!W12=0,0,11630*1000*SER_hh_tes_in!W12/SER_hh_num_in!W12)</f>
        <v>54270.620519674485</v>
      </c>
      <c r="X12" s="132">
        <f>IF(SER_hh_tes_in!X12=0,0,11630*1000*SER_hh_tes_in!X12/SER_hh_num_in!X12)</f>
        <v>49054.201550256032</v>
      </c>
      <c r="Y12" s="132">
        <f>IF(SER_hh_tes_in!Y12=0,0,11630*1000*SER_hh_tes_in!Y12/SER_hh_num_in!Y12)</f>
        <v>46758.901072019537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81818.431127334086</v>
      </c>
      <c r="D13" s="132">
        <f>IF(SER_hh_tes_in!D13=0,0,11630*1000*SER_hh_tes_in!D13/SER_hh_num_in!D13)</f>
        <v>86807.191258563398</v>
      </c>
      <c r="E13" s="132">
        <f>IF(SER_hh_tes_in!E13=0,0,11630*1000*SER_hh_tes_in!E13/SER_hh_num_in!E13)</f>
        <v>95002.635973554614</v>
      </c>
      <c r="F13" s="132">
        <f>IF(SER_hh_tes_in!F13=0,0,11630*1000*SER_hh_tes_in!F13/SER_hh_num_in!F13)</f>
        <v>97493.692172087438</v>
      </c>
      <c r="G13" s="132">
        <f>IF(SER_hh_tes_in!G13=0,0,11630*1000*SER_hh_tes_in!G13/SER_hh_num_in!G13)</f>
        <v>90650.259097630318</v>
      </c>
      <c r="H13" s="132">
        <f>IF(SER_hh_tes_in!H13=0,0,11630*1000*SER_hh_tes_in!H13/SER_hh_num_in!H13)</f>
        <v>89928.169285282755</v>
      </c>
      <c r="I13" s="132">
        <f>IF(SER_hh_tes_in!I13=0,0,11630*1000*SER_hh_tes_in!I13/SER_hh_num_in!I13)</f>
        <v>77617.217630247716</v>
      </c>
      <c r="J13" s="132">
        <f>IF(SER_hh_tes_in!J13=0,0,11630*1000*SER_hh_tes_in!J13/SER_hh_num_in!J13)</f>
        <v>88818.174870166753</v>
      </c>
      <c r="K13" s="132">
        <f>IF(SER_hh_tes_in!K13=0,0,11630*1000*SER_hh_tes_in!K13/SER_hh_num_in!K13)</f>
        <v>68942.444991297336</v>
      </c>
      <c r="L13" s="132">
        <f>IF(SER_hh_tes_in!L13=0,0,11630*1000*SER_hh_tes_in!L13/SER_hh_num_in!L13)</f>
        <v>67229.718054458004</v>
      </c>
      <c r="M13" s="132">
        <f>IF(SER_hh_tes_in!M13=0,0,11630*1000*SER_hh_tes_in!M13/SER_hh_num_in!M13)</f>
        <v>67702.817376864798</v>
      </c>
      <c r="N13" s="132">
        <f>IF(SER_hh_tes_in!N13=0,0,11630*1000*SER_hh_tes_in!N13/SER_hh_num_in!N13)</f>
        <v>64799.580489820153</v>
      </c>
      <c r="O13" s="132">
        <f>IF(SER_hh_tes_in!O13=0,0,11630*1000*SER_hh_tes_in!O13/SER_hh_num_in!O13)</f>
        <v>63816.339309116142</v>
      </c>
      <c r="P13" s="132">
        <f>IF(SER_hh_tes_in!P13=0,0,11630*1000*SER_hh_tes_in!P13/SER_hh_num_in!P13)</f>
        <v>65517.303578103885</v>
      </c>
      <c r="Q13" s="132">
        <f>IF(SER_hh_tes_in!Q13=0,0,11630*1000*SER_hh_tes_in!Q13/SER_hh_num_in!Q13)</f>
        <v>54071.795712359701</v>
      </c>
      <c r="R13" s="132">
        <f>IF(SER_hh_tes_in!R13=0,0,11630*1000*SER_hh_tes_in!R13/SER_hh_num_in!R13)</f>
        <v>54755.11427997268</v>
      </c>
      <c r="S13" s="132">
        <f>IF(SER_hh_tes_in!S13=0,0,11630*1000*SER_hh_tes_in!S13/SER_hh_num_in!S13)</f>
        <v>58807.712329663234</v>
      </c>
      <c r="T13" s="132">
        <f>IF(SER_hh_tes_in!T13=0,0,11630*1000*SER_hh_tes_in!T13/SER_hh_num_in!T13)</f>
        <v>56524.129372280702</v>
      </c>
      <c r="U13" s="132">
        <f>IF(SER_hh_tes_in!U13=0,0,11630*1000*SER_hh_tes_in!U13/SER_hh_num_in!U13)</f>
        <v>63161.051410607703</v>
      </c>
      <c r="V13" s="132">
        <f>IF(SER_hh_tes_in!V13=0,0,11630*1000*SER_hh_tes_in!V13/SER_hh_num_in!V13)</f>
        <v>40386.356594350982</v>
      </c>
      <c r="W13" s="132">
        <f>IF(SER_hh_tes_in!W13=0,0,11630*1000*SER_hh_tes_in!W13/SER_hh_num_in!W13)</f>
        <v>34442.435119828086</v>
      </c>
      <c r="X13" s="132">
        <f>IF(SER_hh_tes_in!X13=0,0,11630*1000*SER_hh_tes_in!X13/SER_hh_num_in!X13)</f>
        <v>45861.836962891473</v>
      </c>
      <c r="Y13" s="132">
        <f>IF(SER_hh_tes_in!Y13=0,0,11630*1000*SER_hh_tes_in!Y13/SER_hh_num_in!Y13)</f>
        <v>52030.793605221559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0</v>
      </c>
      <c r="D14" s="65">
        <f>IF(SER_hh_tes_in!D14=0,0,11630*1000*SER_hh_tes_in!D14/SER_hh_num_in!D14)</f>
        <v>89852.248053831208</v>
      </c>
      <c r="E14" s="65">
        <f>IF(SER_hh_tes_in!E14=0,0,11630*1000*SER_hh_tes_in!E14/SER_hh_num_in!E14)</f>
        <v>105369.14727018282</v>
      </c>
      <c r="F14" s="65">
        <f>IF(SER_hh_tes_in!F14=0,0,11630*1000*SER_hh_tes_in!F14/SER_hh_num_in!F14)</f>
        <v>77415.949114793111</v>
      </c>
      <c r="G14" s="65">
        <f>IF(SER_hh_tes_in!G14=0,0,11630*1000*SER_hh_tes_in!G14/SER_hh_num_in!G14)</f>
        <v>101074.0285668084</v>
      </c>
      <c r="H14" s="65">
        <f>IF(SER_hh_tes_in!H14=0,0,11630*1000*SER_hh_tes_in!H14/SER_hh_num_in!H14)</f>
        <v>92956.739115802222</v>
      </c>
      <c r="I14" s="65">
        <f>IF(SER_hh_tes_in!I14=0,0,11630*1000*SER_hh_tes_in!I14/SER_hh_num_in!I14)</f>
        <v>79080.457898312816</v>
      </c>
      <c r="J14" s="65">
        <f>IF(SER_hh_tes_in!J14=0,0,11630*1000*SER_hh_tes_in!J14/SER_hh_num_in!J14)</f>
        <v>93243.62277492357</v>
      </c>
      <c r="K14" s="65">
        <f>IF(SER_hh_tes_in!K14=0,0,11630*1000*SER_hh_tes_in!K14/SER_hh_num_in!K14)</f>
        <v>0</v>
      </c>
      <c r="L14" s="65">
        <f>IF(SER_hh_tes_in!L14=0,0,11630*1000*SER_hh_tes_in!L14/SER_hh_num_in!L14)</f>
        <v>73912.610705299259</v>
      </c>
      <c r="M14" s="65">
        <f>IF(SER_hh_tes_in!M14=0,0,11630*1000*SER_hh_tes_in!M14/SER_hh_num_in!M14)</f>
        <v>66987.403470553923</v>
      </c>
      <c r="N14" s="65">
        <f>IF(SER_hh_tes_in!N14=0,0,11630*1000*SER_hh_tes_in!N14/SER_hh_num_in!N14)</f>
        <v>65746.338307367827</v>
      </c>
      <c r="O14" s="65">
        <f>IF(SER_hh_tes_in!O14=0,0,11630*1000*SER_hh_tes_in!O14/SER_hh_num_in!O14)</f>
        <v>64568.20249828817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56462.743141901672</v>
      </c>
      <c r="T14" s="65">
        <f>IF(SER_hh_tes_in!T14=0,0,11630*1000*SER_hh_tes_in!T14/SER_hh_num_in!T14)</f>
        <v>62116.41464575423</v>
      </c>
      <c r="U14" s="65">
        <f>IF(SER_hh_tes_in!U14=0,0,11630*1000*SER_hh_tes_in!U14/SER_hh_num_in!U14)</f>
        <v>56498.716186520796</v>
      </c>
      <c r="V14" s="65">
        <f>IF(SER_hh_tes_in!V14=0,0,11630*1000*SER_hh_tes_in!V14/SER_hh_num_in!V14)</f>
        <v>47193.662482351894</v>
      </c>
      <c r="W14" s="65">
        <f>IF(SER_hh_tes_in!W14=0,0,11630*1000*SER_hh_tes_in!W14/SER_hh_num_in!W14)</f>
        <v>48665.908315702887</v>
      </c>
      <c r="X14" s="65">
        <f>IF(SER_hh_tes_in!X14=0,0,11630*1000*SER_hh_tes_in!X14/SER_hh_num_in!X14)</f>
        <v>57493.829792023498</v>
      </c>
      <c r="Y14" s="65">
        <f>IF(SER_hh_tes_in!Y14=0,0,11630*1000*SER_hh_tes_in!Y14/SER_hh_num_in!Y14)</f>
        <v>0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1678.3737907433069</v>
      </c>
      <c r="D15" s="134">
        <f>IF(SER_hh_tes_in!D15=0,0,11630*1000*SER_hh_tes_in!D15/SER_hh_num_in!D15)</f>
        <v>1280.8888497051744</v>
      </c>
      <c r="E15" s="134">
        <f>IF(SER_hh_tes_in!E15=0,0,11630*1000*SER_hh_tes_in!E15/SER_hh_num_in!E15)</f>
        <v>1310.9592587130894</v>
      </c>
      <c r="F15" s="134">
        <f>IF(SER_hh_tes_in!F15=0,0,11630*1000*SER_hh_tes_in!F15/SER_hh_num_in!F15)</f>
        <v>717.14600544512712</v>
      </c>
      <c r="G15" s="134">
        <f>IF(SER_hh_tes_in!G15=0,0,11630*1000*SER_hh_tes_in!G15/SER_hh_num_in!G15)</f>
        <v>714.71719925840239</v>
      </c>
      <c r="H15" s="134">
        <f>IF(SER_hh_tes_in!H15=0,0,11630*1000*SER_hh_tes_in!H15/SER_hh_num_in!H15)</f>
        <v>681.87357722157844</v>
      </c>
      <c r="I15" s="134">
        <f>IF(SER_hh_tes_in!I15=0,0,11630*1000*SER_hh_tes_in!I15/SER_hh_num_in!I15)</f>
        <v>418.83779211153632</v>
      </c>
      <c r="J15" s="134">
        <f>IF(SER_hh_tes_in!J15=0,0,11630*1000*SER_hh_tes_in!J15/SER_hh_num_in!J15)</f>
        <v>342.77994277741334</v>
      </c>
      <c r="K15" s="134">
        <f>IF(SER_hh_tes_in!K15=0,0,11630*1000*SER_hh_tes_in!K15/SER_hh_num_in!K15)</f>
        <v>408.94190436095596</v>
      </c>
      <c r="L15" s="134">
        <f>IF(SER_hh_tes_in!L15=0,0,11630*1000*SER_hh_tes_in!L15/SER_hh_num_in!L15)</f>
        <v>501.41873343951931</v>
      </c>
      <c r="M15" s="134">
        <f>IF(SER_hh_tes_in!M15=0,0,11630*1000*SER_hh_tes_in!M15/SER_hh_num_in!M15)</f>
        <v>475.03029731580745</v>
      </c>
      <c r="N15" s="134">
        <f>IF(SER_hh_tes_in!N15=0,0,11630*1000*SER_hh_tes_in!N15/SER_hh_num_in!N15)</f>
        <v>749.98766009330927</v>
      </c>
      <c r="O15" s="134">
        <f>IF(SER_hh_tes_in!O15=0,0,11630*1000*SER_hh_tes_in!O15/SER_hh_num_in!O15)</f>
        <v>816.81156430495491</v>
      </c>
      <c r="P15" s="134">
        <f>IF(SER_hh_tes_in!P15=0,0,11630*1000*SER_hh_tes_in!P15/SER_hh_num_in!P15)</f>
        <v>609.86263050547575</v>
      </c>
      <c r="Q15" s="134">
        <f>IF(SER_hh_tes_in!Q15=0,0,11630*1000*SER_hh_tes_in!Q15/SER_hh_num_in!Q15)</f>
        <v>485.55445483285718</v>
      </c>
      <c r="R15" s="134">
        <f>IF(SER_hh_tes_in!R15=0,0,11630*1000*SER_hh_tes_in!R15/SER_hh_num_in!R15)</f>
        <v>480.7984598112937</v>
      </c>
      <c r="S15" s="134">
        <f>IF(SER_hh_tes_in!S15=0,0,11630*1000*SER_hh_tes_in!S15/SER_hh_num_in!S15)</f>
        <v>561.00936415038109</v>
      </c>
      <c r="T15" s="134">
        <f>IF(SER_hh_tes_in!T15=0,0,11630*1000*SER_hh_tes_in!T15/SER_hh_num_in!T15)</f>
        <v>477.71218465595064</v>
      </c>
      <c r="U15" s="134">
        <f>IF(SER_hh_tes_in!U15=0,0,11630*1000*SER_hh_tes_in!U15/SER_hh_num_in!U15)</f>
        <v>428.67621999989456</v>
      </c>
      <c r="V15" s="134">
        <f>IF(SER_hh_tes_in!V15=0,0,11630*1000*SER_hh_tes_in!V15/SER_hh_num_in!V15)</f>
        <v>284.53837905839356</v>
      </c>
      <c r="W15" s="134">
        <f>IF(SER_hh_tes_in!W15=0,0,11630*1000*SER_hh_tes_in!W15/SER_hh_num_in!W15)</f>
        <v>381.53377790334849</v>
      </c>
      <c r="X15" s="134">
        <f>IF(SER_hh_tes_in!X15=0,0,11630*1000*SER_hh_tes_in!X15/SER_hh_num_in!X15)</f>
        <v>268.18751075265982</v>
      </c>
      <c r="Y15" s="134">
        <f>IF(SER_hh_tes_in!Y15=0,0,11630*1000*SER_hh_tes_in!Y15/SER_hh_num_in!Y15)</f>
        <v>187.63360038609238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19963.396487304104</v>
      </c>
      <c r="D16" s="130">
        <f>IF(SER_hh_tes_in!D16=0,0,11630*1000*SER_hh_tes_in!D16/SER_hh_num_in!D16)</f>
        <v>19942.909565087237</v>
      </c>
      <c r="E16" s="130">
        <f>IF(SER_hh_tes_in!E16=0,0,11630*1000*SER_hh_tes_in!E16/SER_hh_num_in!E16)</f>
        <v>22133.201910399901</v>
      </c>
      <c r="F16" s="130">
        <f>IF(SER_hh_tes_in!F16=0,0,11630*1000*SER_hh_tes_in!F16/SER_hh_num_in!F16)</f>
        <v>19516.460211671001</v>
      </c>
      <c r="G16" s="130">
        <f>IF(SER_hh_tes_in!G16=0,0,11630*1000*SER_hh_tes_in!G16/SER_hh_num_in!G16)</f>
        <v>19582.784739165949</v>
      </c>
      <c r="H16" s="130">
        <f>IF(SER_hh_tes_in!H16=0,0,11630*1000*SER_hh_tes_in!H16/SER_hh_num_in!H16)</f>
        <v>20430.743717968795</v>
      </c>
      <c r="I16" s="130">
        <f>IF(SER_hh_tes_in!I16=0,0,11630*1000*SER_hh_tes_in!I16/SER_hh_num_in!I16)</f>
        <v>20251.160903355645</v>
      </c>
      <c r="J16" s="130">
        <f>IF(SER_hh_tes_in!J16=0,0,11630*1000*SER_hh_tes_in!J16/SER_hh_num_in!J16)</f>
        <v>19494.130592731341</v>
      </c>
      <c r="K16" s="130">
        <f>IF(SER_hh_tes_in!K16=0,0,11630*1000*SER_hh_tes_in!K16/SER_hh_num_in!K16)</f>
        <v>19483.066850215881</v>
      </c>
      <c r="L16" s="130">
        <f>IF(SER_hh_tes_in!L16=0,0,11630*1000*SER_hh_tes_in!L16/SER_hh_num_in!L16)</f>
        <v>20011.113255623794</v>
      </c>
      <c r="M16" s="130">
        <f>IF(SER_hh_tes_in!M16=0,0,11630*1000*SER_hh_tes_in!M16/SER_hh_num_in!M16)</f>
        <v>19491.985503542353</v>
      </c>
      <c r="N16" s="130">
        <f>IF(SER_hh_tes_in!N16=0,0,11630*1000*SER_hh_tes_in!N16/SER_hh_num_in!N16)</f>
        <v>20083.260085613299</v>
      </c>
      <c r="O16" s="130">
        <f>IF(SER_hh_tes_in!O16=0,0,11630*1000*SER_hh_tes_in!O16/SER_hh_num_in!O16)</f>
        <v>21218.130581513895</v>
      </c>
      <c r="P16" s="130">
        <f>IF(SER_hh_tes_in!P16=0,0,11630*1000*SER_hh_tes_in!P16/SER_hh_num_in!P16)</f>
        <v>18621.93369407898</v>
      </c>
      <c r="Q16" s="130">
        <f>IF(SER_hh_tes_in!Q16=0,0,11630*1000*SER_hh_tes_in!Q16/SER_hh_num_in!Q16)</f>
        <v>21661.665378879075</v>
      </c>
      <c r="R16" s="130">
        <f>IF(SER_hh_tes_in!R16=0,0,11630*1000*SER_hh_tes_in!R16/SER_hh_num_in!R16)</f>
        <v>18727.767850468073</v>
      </c>
      <c r="S16" s="130">
        <f>IF(SER_hh_tes_in!S16=0,0,11630*1000*SER_hh_tes_in!S16/SER_hh_num_in!S16)</f>
        <v>20014.894322929933</v>
      </c>
      <c r="T16" s="130">
        <f>IF(SER_hh_tes_in!T16=0,0,11630*1000*SER_hh_tes_in!T16/SER_hh_num_in!T16)</f>
        <v>19671.596079509891</v>
      </c>
      <c r="U16" s="130">
        <f>IF(SER_hh_tes_in!U16=0,0,11630*1000*SER_hh_tes_in!U16/SER_hh_num_in!U16)</f>
        <v>20137.253018028088</v>
      </c>
      <c r="V16" s="130">
        <f>IF(SER_hh_tes_in!V16=0,0,11630*1000*SER_hh_tes_in!V16/SER_hh_num_in!V16)</f>
        <v>18327.309555470234</v>
      </c>
      <c r="W16" s="130">
        <f>IF(SER_hh_tes_in!W16=0,0,11630*1000*SER_hh_tes_in!W16/SER_hh_num_in!W16)</f>
        <v>18663.328775564612</v>
      </c>
      <c r="X16" s="130">
        <f>IF(SER_hh_tes_in!X16=0,0,11630*1000*SER_hh_tes_in!X16/SER_hh_num_in!X16)</f>
        <v>19643.902456898984</v>
      </c>
      <c r="Y16" s="130">
        <f>IF(SER_hh_tes_in!Y16=0,0,11630*1000*SER_hh_tes_in!Y16/SER_hh_num_in!Y16)</f>
        <v>20761.274628782958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19966.780326674463</v>
      </c>
      <c r="D17" s="132">
        <f>IF(SER_hh_tes_in!D17=0,0,11630*1000*SER_hh_tes_in!D17/SER_hh_num_in!D17)</f>
        <v>19963.068496906693</v>
      </c>
      <c r="E17" s="132">
        <f>IF(SER_hh_tes_in!E17=0,0,11630*1000*SER_hh_tes_in!E17/SER_hh_num_in!E17)</f>
        <v>22150.898629506457</v>
      </c>
      <c r="F17" s="132">
        <f>IF(SER_hh_tes_in!F17=0,0,11630*1000*SER_hh_tes_in!F17/SER_hh_num_in!F17)</f>
        <v>19601.906778603283</v>
      </c>
      <c r="G17" s="132">
        <f>IF(SER_hh_tes_in!G17=0,0,11630*1000*SER_hh_tes_in!G17/SER_hh_num_in!G17)</f>
        <v>19675.592173019435</v>
      </c>
      <c r="H17" s="132">
        <f>IF(SER_hh_tes_in!H17=0,0,11630*1000*SER_hh_tes_in!H17/SER_hh_num_in!H17)</f>
        <v>20521.926681724995</v>
      </c>
      <c r="I17" s="132">
        <f>IF(SER_hh_tes_in!I17=0,0,11630*1000*SER_hh_tes_in!I17/SER_hh_num_in!I17)</f>
        <v>20364.637075291459</v>
      </c>
      <c r="J17" s="132">
        <f>IF(SER_hh_tes_in!J17=0,0,11630*1000*SER_hh_tes_in!J17/SER_hh_num_in!J17)</f>
        <v>19567.722384804474</v>
      </c>
      <c r="K17" s="132">
        <f>IF(SER_hh_tes_in!K17=0,0,11630*1000*SER_hh_tes_in!K17/SER_hh_num_in!K17)</f>
        <v>19527.680332564749</v>
      </c>
      <c r="L17" s="132">
        <f>IF(SER_hh_tes_in!L17=0,0,11630*1000*SER_hh_tes_in!L17/SER_hh_num_in!L17)</f>
        <v>20048.021705723972</v>
      </c>
      <c r="M17" s="132">
        <f>IF(SER_hh_tes_in!M17=0,0,11630*1000*SER_hh_tes_in!M17/SER_hh_num_in!M17)</f>
        <v>20976.570107668733</v>
      </c>
      <c r="N17" s="132">
        <f>IF(SER_hh_tes_in!N17=0,0,11630*1000*SER_hh_tes_in!N17/SER_hh_num_in!N17)</f>
        <v>20083.937758505846</v>
      </c>
      <c r="O17" s="132">
        <f>IF(SER_hh_tes_in!O17=0,0,11630*1000*SER_hh_tes_in!O17/SER_hh_num_in!O17)</f>
        <v>21219.615006030705</v>
      </c>
      <c r="P17" s="132">
        <f>IF(SER_hh_tes_in!P17=0,0,11630*1000*SER_hh_tes_in!P17/SER_hh_num_in!P17)</f>
        <v>18655.103475197808</v>
      </c>
      <c r="Q17" s="132">
        <f>IF(SER_hh_tes_in!Q17=0,0,11630*1000*SER_hh_tes_in!Q17/SER_hh_num_in!Q17)</f>
        <v>22698.179589915981</v>
      </c>
      <c r="R17" s="132">
        <f>IF(SER_hh_tes_in!R17=0,0,11630*1000*SER_hh_tes_in!R17/SER_hh_num_in!R17)</f>
        <v>18775.923567088612</v>
      </c>
      <c r="S17" s="132">
        <f>IF(SER_hh_tes_in!S17=0,0,11630*1000*SER_hh_tes_in!S17/SER_hh_num_in!S17)</f>
        <v>20148.926656795717</v>
      </c>
      <c r="T17" s="132">
        <f>IF(SER_hh_tes_in!T17=0,0,11630*1000*SER_hh_tes_in!T17/SER_hh_num_in!T17)</f>
        <v>19812.581175907242</v>
      </c>
      <c r="U17" s="132">
        <f>IF(SER_hh_tes_in!U17=0,0,11630*1000*SER_hh_tes_in!U17/SER_hh_num_in!U17)</f>
        <v>20376.546654400256</v>
      </c>
      <c r="V17" s="132">
        <f>IF(SER_hh_tes_in!V17=0,0,11630*1000*SER_hh_tes_in!V17/SER_hh_num_in!V17)</f>
        <v>17977.61550482543</v>
      </c>
      <c r="W17" s="132">
        <f>IF(SER_hh_tes_in!W17=0,0,11630*1000*SER_hh_tes_in!W17/SER_hh_num_in!W17)</f>
        <v>18758.217448338415</v>
      </c>
      <c r="X17" s="132">
        <f>IF(SER_hh_tes_in!X17=0,0,11630*1000*SER_hh_tes_in!X17/SER_hh_num_in!X17)</f>
        <v>19726.449827537297</v>
      </c>
      <c r="Y17" s="132">
        <f>IF(SER_hh_tes_in!Y17=0,0,11630*1000*SER_hh_tes_in!Y17/SER_hh_num_in!Y17)</f>
        <v>20818.216834319075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19963.39105404455</v>
      </c>
      <c r="D18" s="132">
        <f>IF(SER_hh_tes_in!D18=0,0,11630*1000*SER_hh_tes_in!D18/SER_hh_num_in!D18)</f>
        <v>19942.863091407464</v>
      </c>
      <c r="E18" s="132">
        <f>IF(SER_hh_tes_in!E18=0,0,11630*1000*SER_hh_tes_in!E18/SER_hh_num_in!E18)</f>
        <v>22133.178069275113</v>
      </c>
      <c r="F18" s="132">
        <f>IF(SER_hh_tes_in!F18=0,0,11630*1000*SER_hh_tes_in!F18/SER_hh_num_in!F18)</f>
        <v>19516.13918439472</v>
      </c>
      <c r="G18" s="132">
        <f>IF(SER_hh_tes_in!G18=0,0,11630*1000*SER_hh_tes_in!G18/SER_hh_num_in!G18)</f>
        <v>19582.537940556125</v>
      </c>
      <c r="H18" s="132">
        <f>IF(SER_hh_tes_in!H18=0,0,11630*1000*SER_hh_tes_in!H18/SER_hh_num_in!H18)</f>
        <v>20430.518384443363</v>
      </c>
      <c r="I18" s="132">
        <f>IF(SER_hh_tes_in!I18=0,0,11630*1000*SER_hh_tes_in!I18/SER_hh_num_in!I18)</f>
        <v>20250.71523409319</v>
      </c>
      <c r="J18" s="132">
        <f>IF(SER_hh_tes_in!J18=0,0,11630*1000*SER_hh_tes_in!J18/SER_hh_num_in!J18)</f>
        <v>19493.839593990586</v>
      </c>
      <c r="K18" s="132">
        <f>IF(SER_hh_tes_in!K18=0,0,11630*1000*SER_hh_tes_in!K18/SER_hh_num_in!K18)</f>
        <v>19482.708660955133</v>
      </c>
      <c r="L18" s="132">
        <f>IF(SER_hh_tes_in!L18=0,0,11630*1000*SER_hh_tes_in!L18/SER_hh_num_in!L18)</f>
        <v>20010.966920161591</v>
      </c>
      <c r="M18" s="132">
        <f>IF(SER_hh_tes_in!M18=0,0,11630*1000*SER_hh_tes_in!M18/SER_hh_num_in!M18)</f>
        <v>19485.579638232881</v>
      </c>
      <c r="N18" s="132">
        <f>IF(SER_hh_tes_in!N18=0,0,11630*1000*SER_hh_tes_in!N18/SER_hh_num_in!N18)</f>
        <v>20083.255859058187</v>
      </c>
      <c r="O18" s="132">
        <f>IF(SER_hh_tes_in!O18=0,0,11630*1000*SER_hh_tes_in!O18/SER_hh_num_in!O18)</f>
        <v>21218.120965504018</v>
      </c>
      <c r="P18" s="132">
        <f>IF(SER_hh_tes_in!P18=0,0,11630*1000*SER_hh_tes_in!P18/SER_hh_num_in!P18)</f>
        <v>18621.678656685326</v>
      </c>
      <c r="Q18" s="132">
        <f>IF(SER_hh_tes_in!Q18=0,0,11630*1000*SER_hh_tes_in!Q18/SER_hh_num_in!Q18)</f>
        <v>21653.530427551694</v>
      </c>
      <c r="R18" s="132">
        <f>IF(SER_hh_tes_in!R18=0,0,11630*1000*SER_hh_tes_in!R18/SER_hh_num_in!R18)</f>
        <v>18727.464120306362</v>
      </c>
      <c r="S18" s="132">
        <f>IF(SER_hh_tes_in!S18=0,0,11630*1000*SER_hh_tes_in!S18/SER_hh_num_in!S18)</f>
        <v>20013.608401572157</v>
      </c>
      <c r="T18" s="132">
        <f>IF(SER_hh_tes_in!T18=0,0,11630*1000*SER_hh_tes_in!T18/SER_hh_num_in!T18)</f>
        <v>19670.422046028998</v>
      </c>
      <c r="U18" s="132">
        <f>IF(SER_hh_tes_in!U18=0,0,11630*1000*SER_hh_tes_in!U18/SER_hh_num_in!U18)</f>
        <v>20134.342714343831</v>
      </c>
      <c r="V18" s="132">
        <f>IF(SER_hh_tes_in!V18=0,0,11630*1000*SER_hh_tes_in!V18/SER_hh_num_in!V18)</f>
        <v>18330.263558228078</v>
      </c>
      <c r="W18" s="132">
        <f>IF(SER_hh_tes_in!W18=0,0,11630*1000*SER_hh_tes_in!W18/SER_hh_num_in!W18)</f>
        <v>18662.683419665518</v>
      </c>
      <c r="X18" s="132">
        <f>IF(SER_hh_tes_in!X18=0,0,11630*1000*SER_hh_tes_in!X18/SER_hh_num_in!X18)</f>
        <v>19643.111914216221</v>
      </c>
      <c r="Y18" s="132">
        <f>IF(SER_hh_tes_in!Y18=0,0,11630*1000*SER_hh_tes_in!Y18/SER_hh_num_in!Y18)</f>
        <v>20760.726331461337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13886.35095676789</v>
      </c>
      <c r="D19" s="130">
        <f>IF(SER_hh_tes_in!D19=0,0,11630*1000*SER_hh_tes_in!D19/SER_hh_num_in!D19)</f>
        <v>13810.221529891978</v>
      </c>
      <c r="E19" s="130">
        <f>IF(SER_hh_tes_in!E19=0,0,11630*1000*SER_hh_tes_in!E19/SER_hh_num_in!E19)</f>
        <v>13929.053532772534</v>
      </c>
      <c r="F19" s="130">
        <f>IF(SER_hh_tes_in!F19=0,0,11630*1000*SER_hh_tes_in!F19/SER_hh_num_in!F19)</f>
        <v>13754.062373135788</v>
      </c>
      <c r="G19" s="130">
        <f>IF(SER_hh_tes_in!G19=0,0,11630*1000*SER_hh_tes_in!G19/SER_hh_num_in!G19)</f>
        <v>14139.435521368699</v>
      </c>
      <c r="H19" s="130">
        <f>IF(SER_hh_tes_in!H19=0,0,11630*1000*SER_hh_tes_in!H19/SER_hh_num_in!H19)</f>
        <v>14049.875122463374</v>
      </c>
      <c r="I19" s="130">
        <f>IF(SER_hh_tes_in!I19=0,0,11630*1000*SER_hh_tes_in!I19/SER_hh_num_in!I19)</f>
        <v>14608.024069479978</v>
      </c>
      <c r="J19" s="130">
        <f>IF(SER_hh_tes_in!J19=0,0,11630*1000*SER_hh_tes_in!J19/SER_hh_num_in!J19)</f>
        <v>15245.914941963536</v>
      </c>
      <c r="K19" s="130">
        <f>IF(SER_hh_tes_in!K19=0,0,11630*1000*SER_hh_tes_in!K19/SER_hh_num_in!K19)</f>
        <v>14875.955031656622</v>
      </c>
      <c r="L19" s="130">
        <f>IF(SER_hh_tes_in!L19=0,0,11630*1000*SER_hh_tes_in!L19/SER_hh_num_in!L19)</f>
        <v>16843.7402824692</v>
      </c>
      <c r="M19" s="130">
        <f>IF(SER_hh_tes_in!M19=0,0,11630*1000*SER_hh_tes_in!M19/SER_hh_num_in!M19)</f>
        <v>17891.815074515314</v>
      </c>
      <c r="N19" s="130">
        <f>IF(SER_hh_tes_in!N19=0,0,11630*1000*SER_hh_tes_in!N19/SER_hh_num_in!N19)</f>
        <v>16810.484707160569</v>
      </c>
      <c r="O19" s="130">
        <f>IF(SER_hh_tes_in!O19=0,0,11630*1000*SER_hh_tes_in!O19/SER_hh_num_in!O19)</f>
        <v>13691.383214773683</v>
      </c>
      <c r="P19" s="130">
        <f>IF(SER_hh_tes_in!P19=0,0,11630*1000*SER_hh_tes_in!P19/SER_hh_num_in!P19)</f>
        <v>18029.844174999096</v>
      </c>
      <c r="Q19" s="130">
        <f>IF(SER_hh_tes_in!Q19=0,0,11630*1000*SER_hh_tes_in!Q19/SER_hh_num_in!Q19)</f>
        <v>13656.351133192395</v>
      </c>
      <c r="R19" s="130">
        <f>IF(SER_hh_tes_in!R19=0,0,11630*1000*SER_hh_tes_in!R19/SER_hh_num_in!R19)</f>
        <v>13757.418360805759</v>
      </c>
      <c r="S19" s="130">
        <f>IF(SER_hh_tes_in!S19=0,0,11630*1000*SER_hh_tes_in!S19/SER_hh_num_in!S19)</f>
        <v>17372.351372860554</v>
      </c>
      <c r="T19" s="130">
        <f>IF(SER_hh_tes_in!T19=0,0,11630*1000*SER_hh_tes_in!T19/SER_hh_num_in!T19)</f>
        <v>16670.451038824398</v>
      </c>
      <c r="U19" s="130">
        <f>IF(SER_hh_tes_in!U19=0,0,11630*1000*SER_hh_tes_in!U19/SER_hh_num_in!U19)</f>
        <v>16134.361635817648</v>
      </c>
      <c r="V19" s="130">
        <f>IF(SER_hh_tes_in!V19=0,0,11630*1000*SER_hh_tes_in!V19/SER_hh_num_in!V19)</f>
        <v>15090.804173119433</v>
      </c>
      <c r="W19" s="130">
        <f>IF(SER_hh_tes_in!W19=0,0,11630*1000*SER_hh_tes_in!W19/SER_hh_num_in!W19)</f>
        <v>12952.953570575924</v>
      </c>
      <c r="X19" s="130">
        <f>IF(SER_hh_tes_in!X19=0,0,11630*1000*SER_hh_tes_in!X19/SER_hh_num_in!X19)</f>
        <v>15039.779287818475</v>
      </c>
      <c r="Y19" s="130">
        <f>IF(SER_hh_tes_in!Y19=0,0,11630*1000*SER_hh_tes_in!Y19/SER_hh_num_in!Y19)</f>
        <v>13903.619984300256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6106.4705055170498</v>
      </c>
      <c r="D21" s="132">
        <f>IF(SER_hh_tes_in!D21=0,0,11630*1000*SER_hh_tes_in!D21/SER_hh_num_in!D21)</f>
        <v>12556.702641016715</v>
      </c>
      <c r="E21" s="132">
        <f>IF(SER_hh_tes_in!E21=0,0,11630*1000*SER_hh_tes_in!E21/SER_hh_num_in!E21)</f>
        <v>10139.66207188772</v>
      </c>
      <c r="F21" s="132">
        <f>IF(SER_hh_tes_in!F21=0,0,11630*1000*SER_hh_tes_in!F21/SER_hh_num_in!F21)</f>
        <v>13044.886860150214</v>
      </c>
      <c r="G21" s="132">
        <f>IF(SER_hh_tes_in!G21=0,0,11630*1000*SER_hh_tes_in!G21/SER_hh_num_in!G21)</f>
        <v>14729.476340714396</v>
      </c>
      <c r="H21" s="132">
        <f>IF(SER_hh_tes_in!H21=0,0,11630*1000*SER_hh_tes_in!H21/SER_hh_num_in!H21)</f>
        <v>14705.62424337176</v>
      </c>
      <c r="I21" s="132">
        <f>IF(SER_hh_tes_in!I21=0,0,11630*1000*SER_hh_tes_in!I21/SER_hh_num_in!I21)</f>
        <v>11811.60955971462</v>
      </c>
      <c r="J21" s="132">
        <f>IF(SER_hh_tes_in!J21=0,0,11630*1000*SER_hh_tes_in!J21/SER_hh_num_in!J21)</f>
        <v>0</v>
      </c>
      <c r="K21" s="132">
        <f>IF(SER_hh_tes_in!K21=0,0,11630*1000*SER_hh_tes_in!K21/SER_hh_num_in!K21)</f>
        <v>15647.170014103327</v>
      </c>
      <c r="L21" s="132">
        <f>IF(SER_hh_tes_in!L21=0,0,11630*1000*SER_hh_tes_in!L21/SER_hh_num_in!L21)</f>
        <v>0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0</v>
      </c>
      <c r="O21" s="132">
        <f>IF(SER_hh_tes_in!O21=0,0,11630*1000*SER_hh_tes_in!O21/SER_hh_num_in!O21)</f>
        <v>0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0</v>
      </c>
      <c r="S21" s="132">
        <f>IF(SER_hh_tes_in!S21=0,0,11630*1000*SER_hh_tes_in!S21/SER_hh_num_in!S21)</f>
        <v>0</v>
      </c>
      <c r="T21" s="132">
        <f>IF(SER_hh_tes_in!T21=0,0,11630*1000*SER_hh_tes_in!T21/SER_hh_num_in!T21)</f>
        <v>0</v>
      </c>
      <c r="U21" s="132">
        <f>IF(SER_hh_tes_in!U21=0,0,11630*1000*SER_hh_tes_in!U21/SER_hh_num_in!U21)</f>
        <v>0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0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7822.244258944359</v>
      </c>
      <c r="D22" s="132">
        <f>IF(SER_hh_tes_in!D22=0,0,11630*1000*SER_hh_tes_in!D22/SER_hh_num_in!D22)</f>
        <v>12404.940683760169</v>
      </c>
      <c r="E22" s="132">
        <f>IF(SER_hh_tes_in!E22=0,0,11630*1000*SER_hh_tes_in!E22/SER_hh_num_in!E22)</f>
        <v>6316.1564311328621</v>
      </c>
      <c r="F22" s="132">
        <f>IF(SER_hh_tes_in!F22=0,0,11630*1000*SER_hh_tes_in!F22/SER_hh_num_in!F22)</f>
        <v>12741.346180006014</v>
      </c>
      <c r="G22" s="132">
        <f>IF(SER_hh_tes_in!G22=0,0,11630*1000*SER_hh_tes_in!G22/SER_hh_num_in!G22)</f>
        <v>14461.64497177368</v>
      </c>
      <c r="H22" s="132">
        <f>IF(SER_hh_tes_in!H22=0,0,11630*1000*SER_hh_tes_in!H22/SER_hh_num_in!H22)</f>
        <v>14260.072550905916</v>
      </c>
      <c r="I22" s="132">
        <f>IF(SER_hh_tes_in!I22=0,0,11630*1000*SER_hh_tes_in!I22/SER_hh_num_in!I22)</f>
        <v>11394.90728923284</v>
      </c>
      <c r="J22" s="132">
        <f>IF(SER_hh_tes_in!J22=0,0,11630*1000*SER_hh_tes_in!J22/SER_hh_num_in!J22)</f>
        <v>6880.1664696241287</v>
      </c>
      <c r="K22" s="132">
        <f>IF(SER_hh_tes_in!K22=0,0,11630*1000*SER_hh_tes_in!K22/SER_hh_num_in!K22)</f>
        <v>14849.216834698633</v>
      </c>
      <c r="L22" s="132">
        <f>IF(SER_hh_tes_in!L22=0,0,11630*1000*SER_hh_tes_in!L22/SER_hh_num_in!L22)</f>
        <v>4195.5120519210695</v>
      </c>
      <c r="M22" s="132">
        <f>IF(SER_hh_tes_in!M22=0,0,11630*1000*SER_hh_tes_in!M22/SER_hh_num_in!M22)</f>
        <v>6011.6145004014406</v>
      </c>
      <c r="N22" s="132">
        <f>IF(SER_hh_tes_in!N22=0,0,11630*1000*SER_hh_tes_in!N22/SER_hh_num_in!N22)</f>
        <v>7337.278808401793</v>
      </c>
      <c r="O22" s="132">
        <f>IF(SER_hh_tes_in!O22=0,0,11630*1000*SER_hh_tes_in!O22/SER_hh_num_in!O22)</f>
        <v>15558.980974923046</v>
      </c>
      <c r="P22" s="132">
        <f>IF(SER_hh_tes_in!P22=0,0,11630*1000*SER_hh_tes_in!P22/SER_hh_num_in!P22)</f>
        <v>0</v>
      </c>
      <c r="Q22" s="132">
        <f>IF(SER_hh_tes_in!Q22=0,0,11630*1000*SER_hh_tes_in!Q22/SER_hh_num_in!Q22)</f>
        <v>15397.09872505591</v>
      </c>
      <c r="R22" s="132">
        <f>IF(SER_hh_tes_in!R22=0,0,11630*1000*SER_hh_tes_in!R22/SER_hh_num_in!R22)</f>
        <v>15244.558520282149</v>
      </c>
      <c r="S22" s="132">
        <f>IF(SER_hh_tes_in!S22=0,0,11630*1000*SER_hh_tes_in!S22/SER_hh_num_in!S22)</f>
        <v>10174.734859594773</v>
      </c>
      <c r="T22" s="132">
        <f>IF(SER_hh_tes_in!T22=0,0,11630*1000*SER_hh_tes_in!T22/SER_hh_num_in!T22)</f>
        <v>8804.7128411557769</v>
      </c>
      <c r="U22" s="132">
        <f>IF(SER_hh_tes_in!U22=0,0,11630*1000*SER_hh_tes_in!U22/SER_hh_num_in!U22)</f>
        <v>15356.866127908404</v>
      </c>
      <c r="V22" s="132">
        <f>IF(SER_hh_tes_in!V22=0,0,11630*1000*SER_hh_tes_in!V22/SER_hh_num_in!V22)</f>
        <v>10295.296695282945</v>
      </c>
      <c r="W22" s="132">
        <f>IF(SER_hh_tes_in!W22=0,0,11630*1000*SER_hh_tes_in!W22/SER_hh_num_in!W22)</f>
        <v>14165.519905550504</v>
      </c>
      <c r="X22" s="132">
        <f>IF(SER_hh_tes_in!X22=0,0,11630*1000*SER_hh_tes_in!X22/SER_hh_num_in!X22)</f>
        <v>8929.0665551598213</v>
      </c>
      <c r="Y22" s="132">
        <f>IF(SER_hh_tes_in!Y22=0,0,11630*1000*SER_hh_tes_in!Y22/SER_hh_num_in!Y22)</f>
        <v>15093.536543539798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7571.0027493369462</v>
      </c>
      <c r="D23" s="132">
        <f>IF(SER_hh_tes_in!D23=0,0,11630*1000*SER_hh_tes_in!D23/SER_hh_num_in!D23)</f>
        <v>12455.713538174616</v>
      </c>
      <c r="E23" s="132">
        <f>IF(SER_hh_tes_in!E23=0,0,11630*1000*SER_hh_tes_in!E23/SER_hh_num_in!E23)</f>
        <v>7520.0981034236647</v>
      </c>
      <c r="F23" s="132">
        <f>IF(SER_hh_tes_in!F23=0,0,11630*1000*SER_hh_tes_in!F23/SER_hh_num_in!F23)</f>
        <v>12675.889499115392</v>
      </c>
      <c r="G23" s="132">
        <f>IF(SER_hh_tes_in!G23=0,0,11630*1000*SER_hh_tes_in!G23/SER_hh_num_in!G23)</f>
        <v>14479.343968796167</v>
      </c>
      <c r="H23" s="132">
        <f>IF(SER_hh_tes_in!H23=0,0,11630*1000*SER_hh_tes_in!H23/SER_hh_num_in!H23)</f>
        <v>14442.414570430519</v>
      </c>
      <c r="I23" s="132">
        <f>IF(SER_hh_tes_in!I23=0,0,11630*1000*SER_hh_tes_in!I23/SER_hh_num_in!I23)</f>
        <v>11482.92497441749</v>
      </c>
      <c r="J23" s="132">
        <f>IF(SER_hh_tes_in!J23=0,0,11630*1000*SER_hh_tes_in!J23/SER_hh_num_in!J23)</f>
        <v>8109.720339454575</v>
      </c>
      <c r="K23" s="132">
        <f>IF(SER_hh_tes_in!K23=0,0,11630*1000*SER_hh_tes_in!K23/SER_hh_num_in!K23)</f>
        <v>14643.959307219044</v>
      </c>
      <c r="L23" s="132">
        <f>IF(SER_hh_tes_in!L23=0,0,11630*1000*SER_hh_tes_in!L23/SER_hh_num_in!L23)</f>
        <v>6319.4689616879923</v>
      </c>
      <c r="M23" s="132">
        <f>IF(SER_hh_tes_in!M23=0,0,11630*1000*SER_hh_tes_in!M23/SER_hh_num_in!M23)</f>
        <v>7668.2757452071919</v>
      </c>
      <c r="N23" s="132">
        <f>IF(SER_hh_tes_in!N23=0,0,11630*1000*SER_hh_tes_in!N23/SER_hh_num_in!N23)</f>
        <v>8979.9061148626879</v>
      </c>
      <c r="O23" s="132">
        <f>IF(SER_hh_tes_in!O23=0,0,11630*1000*SER_hh_tes_in!O23/SER_hh_num_in!O23)</f>
        <v>16046.73532808462</v>
      </c>
      <c r="P23" s="132">
        <f>IF(SER_hh_tes_in!P23=0,0,11630*1000*SER_hh_tes_in!P23/SER_hh_num_in!P23)</f>
        <v>10621.613936345366</v>
      </c>
      <c r="Q23" s="132">
        <f>IF(SER_hh_tes_in!Q23=0,0,11630*1000*SER_hh_tes_in!Q23/SER_hh_num_in!Q23)</f>
        <v>16091.241546795192</v>
      </c>
      <c r="R23" s="132">
        <f>IF(SER_hh_tes_in!R23=0,0,11630*1000*SER_hh_tes_in!R23/SER_hh_num_in!R23)</f>
        <v>15734.682815450913</v>
      </c>
      <c r="S23" s="132">
        <f>IF(SER_hh_tes_in!S23=0,0,11630*1000*SER_hh_tes_in!S23/SER_hh_num_in!S23)</f>
        <v>10165.842320338164</v>
      </c>
      <c r="T23" s="132">
        <f>IF(SER_hh_tes_in!T23=0,0,11630*1000*SER_hh_tes_in!T23/SER_hh_num_in!T23)</f>
        <v>8755.523112739038</v>
      </c>
      <c r="U23" s="132">
        <f>IF(SER_hh_tes_in!U23=0,0,11630*1000*SER_hh_tes_in!U23/SER_hh_num_in!U23)</f>
        <v>15153.060278181345</v>
      </c>
      <c r="V23" s="132">
        <f>IF(SER_hh_tes_in!V23=0,0,11630*1000*SER_hh_tes_in!V23/SER_hh_num_in!V23)</f>
        <v>10384.961852443375</v>
      </c>
      <c r="W23" s="132">
        <f>IF(SER_hh_tes_in!W23=0,0,11630*1000*SER_hh_tes_in!W23/SER_hh_num_in!W23)</f>
        <v>13917.943845486656</v>
      </c>
      <c r="X23" s="132">
        <f>IF(SER_hh_tes_in!X23=0,0,11630*1000*SER_hh_tes_in!X23/SER_hh_num_in!X23)</f>
        <v>9158.2195784627856</v>
      </c>
      <c r="Y23" s="132">
        <f>IF(SER_hh_tes_in!Y23=0,0,11630*1000*SER_hh_tes_in!Y23/SER_hh_num_in!Y23)</f>
        <v>15148.265760886889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7653.4266709794638</v>
      </c>
      <c r="D24" s="132">
        <f>IF(SER_hh_tes_in!D24=0,0,11630*1000*SER_hh_tes_in!D24/SER_hh_num_in!D24)</f>
        <v>12447.975366892009</v>
      </c>
      <c r="E24" s="132">
        <f>IF(SER_hh_tes_in!E24=0,0,11630*1000*SER_hh_tes_in!E24/SER_hh_num_in!E24)</f>
        <v>6593.9374178507715</v>
      </c>
      <c r="F24" s="132">
        <f>IF(SER_hh_tes_in!F24=0,0,11630*1000*SER_hh_tes_in!F24/SER_hh_num_in!F24)</f>
        <v>12653.771205054671</v>
      </c>
      <c r="G24" s="132">
        <f>IF(SER_hh_tes_in!G24=0,0,11630*1000*SER_hh_tes_in!G24/SER_hh_num_in!G24)</f>
        <v>14450.348621186946</v>
      </c>
      <c r="H24" s="132">
        <f>IF(SER_hh_tes_in!H24=0,0,11630*1000*SER_hh_tes_in!H24/SER_hh_num_in!H24)</f>
        <v>14479.12212274573</v>
      </c>
      <c r="I24" s="132">
        <f>IF(SER_hh_tes_in!I24=0,0,11630*1000*SER_hh_tes_in!I24/SER_hh_num_in!I24)</f>
        <v>11393.776919520269</v>
      </c>
      <c r="J24" s="132">
        <f>IF(SER_hh_tes_in!J24=0,0,11630*1000*SER_hh_tes_in!J24/SER_hh_num_in!J24)</f>
        <v>8050.9595129063928</v>
      </c>
      <c r="K24" s="132">
        <f>IF(SER_hh_tes_in!K24=0,0,11630*1000*SER_hh_tes_in!K24/SER_hh_num_in!K24)</f>
        <v>14600.61831675252</v>
      </c>
      <c r="L24" s="132">
        <f>IF(SER_hh_tes_in!L24=0,0,11630*1000*SER_hh_tes_in!L24/SER_hh_num_in!L24)</f>
        <v>6495.2137943299213</v>
      </c>
      <c r="M24" s="132">
        <f>IF(SER_hh_tes_in!M24=0,0,11630*1000*SER_hh_tes_in!M24/SER_hh_num_in!M24)</f>
        <v>7974.950172289211</v>
      </c>
      <c r="N24" s="132">
        <f>IF(SER_hh_tes_in!N24=0,0,11630*1000*SER_hh_tes_in!N24/SER_hh_num_in!N24)</f>
        <v>9269.1214150483283</v>
      </c>
      <c r="O24" s="132">
        <f>IF(SER_hh_tes_in!O24=0,0,11630*1000*SER_hh_tes_in!O24/SER_hh_num_in!O24)</f>
        <v>16034.621509147737</v>
      </c>
      <c r="P24" s="132">
        <f>IF(SER_hh_tes_in!P24=0,0,11630*1000*SER_hh_tes_in!P24/SER_hh_num_in!P24)</f>
        <v>10904.85070259486</v>
      </c>
      <c r="Q24" s="132">
        <f>IF(SER_hh_tes_in!Q24=0,0,11630*1000*SER_hh_tes_in!Q24/SER_hh_num_in!Q24)</f>
        <v>16206.772627532437</v>
      </c>
      <c r="R24" s="132">
        <f>IF(SER_hh_tes_in!R24=0,0,11630*1000*SER_hh_tes_in!R24/SER_hh_num_in!R24)</f>
        <v>15697.482413097177</v>
      </c>
      <c r="S24" s="132">
        <f>IF(SER_hh_tes_in!S24=0,0,11630*1000*SER_hh_tes_in!S24/SER_hh_num_in!S24)</f>
        <v>10304.247062310853</v>
      </c>
      <c r="T24" s="132">
        <f>IF(SER_hh_tes_in!T24=0,0,11630*1000*SER_hh_tes_in!T24/SER_hh_num_in!T24)</f>
        <v>8859.8164523228133</v>
      </c>
      <c r="U24" s="132">
        <f>IF(SER_hh_tes_in!U24=0,0,11630*1000*SER_hh_tes_in!U24/SER_hh_num_in!U24)</f>
        <v>15521.516843139203</v>
      </c>
      <c r="V24" s="132">
        <f>IF(SER_hh_tes_in!V24=0,0,11630*1000*SER_hh_tes_in!V24/SER_hh_num_in!V24)</f>
        <v>10452.816795133816</v>
      </c>
      <c r="W24" s="132">
        <f>IF(SER_hh_tes_in!W24=0,0,11630*1000*SER_hh_tes_in!W24/SER_hh_num_in!W24)</f>
        <v>13920.418876270733</v>
      </c>
      <c r="X24" s="132">
        <f>IF(SER_hh_tes_in!X24=0,0,11630*1000*SER_hh_tes_in!X24/SER_hh_num_in!X24)</f>
        <v>9170.4222191211229</v>
      </c>
      <c r="Y24" s="132">
        <f>IF(SER_hh_tes_in!Y24=0,0,11630*1000*SER_hh_tes_in!Y24/SER_hh_num_in!Y24)</f>
        <v>15081.548927055244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7740.558202999764</v>
      </c>
      <c r="D25" s="132">
        <f>IF(SER_hh_tes_in!D25=0,0,11630*1000*SER_hh_tes_in!D25/SER_hh_num_in!D25)</f>
        <v>12579.504632510521</v>
      </c>
      <c r="E25" s="132">
        <f>IF(SER_hh_tes_in!E25=0,0,11630*1000*SER_hh_tes_in!E25/SER_hh_num_in!E25)</f>
        <v>6325.9347217871255</v>
      </c>
      <c r="F25" s="132">
        <f>IF(SER_hh_tes_in!F25=0,0,11630*1000*SER_hh_tes_in!F25/SER_hh_num_in!F25)</f>
        <v>12289.221062462544</v>
      </c>
      <c r="G25" s="132">
        <f>IF(SER_hh_tes_in!G25=0,0,11630*1000*SER_hh_tes_in!G25/SER_hh_num_in!G25)</f>
        <v>13537.771686858547</v>
      </c>
      <c r="H25" s="132">
        <f>IF(SER_hh_tes_in!H25=0,0,11630*1000*SER_hh_tes_in!H25/SER_hh_num_in!H25)</f>
        <v>14048.475356459896</v>
      </c>
      <c r="I25" s="132">
        <f>IF(SER_hh_tes_in!I25=0,0,11630*1000*SER_hh_tes_in!I25/SER_hh_num_in!I25)</f>
        <v>11641.535764574452</v>
      </c>
      <c r="J25" s="132">
        <f>IF(SER_hh_tes_in!J25=0,0,11630*1000*SER_hh_tes_in!J25/SER_hh_num_in!J25)</f>
        <v>8842.1408028283531</v>
      </c>
      <c r="K25" s="132">
        <f>IF(SER_hh_tes_in!K25=0,0,11630*1000*SER_hh_tes_in!K25/SER_hh_num_in!K25)</f>
        <v>14921.86705469867</v>
      </c>
      <c r="L25" s="132">
        <f>IF(SER_hh_tes_in!L25=0,0,11630*1000*SER_hh_tes_in!L25/SER_hh_num_in!L25)</f>
        <v>7161.6995686382497</v>
      </c>
      <c r="M25" s="132">
        <f>IF(SER_hh_tes_in!M25=0,0,11630*1000*SER_hh_tes_in!M25/SER_hh_num_in!M25)</f>
        <v>8171.8038187682614</v>
      </c>
      <c r="N25" s="132">
        <f>IF(SER_hh_tes_in!N25=0,0,11630*1000*SER_hh_tes_in!N25/SER_hh_num_in!N25)</f>
        <v>9216.0699885816721</v>
      </c>
      <c r="O25" s="132">
        <f>IF(SER_hh_tes_in!O25=0,0,11630*1000*SER_hh_tes_in!O25/SER_hh_num_in!O25)</f>
        <v>15964.074846979003</v>
      </c>
      <c r="P25" s="132">
        <f>IF(SER_hh_tes_in!P25=0,0,11630*1000*SER_hh_tes_in!P25/SER_hh_num_in!P25)</f>
        <v>10880.479767075325</v>
      </c>
      <c r="Q25" s="132">
        <f>IF(SER_hh_tes_in!Q25=0,0,11630*1000*SER_hh_tes_in!Q25/SER_hh_num_in!Q25)</f>
        <v>16213.776144410942</v>
      </c>
      <c r="R25" s="132">
        <f>IF(SER_hh_tes_in!R25=0,0,11630*1000*SER_hh_tes_in!R25/SER_hh_num_in!R25)</f>
        <v>15774.844565461988</v>
      </c>
      <c r="S25" s="132">
        <f>IF(SER_hh_tes_in!S25=0,0,11630*1000*SER_hh_tes_in!S25/SER_hh_num_in!S25)</f>
        <v>10152.009918064414</v>
      </c>
      <c r="T25" s="132">
        <f>IF(SER_hh_tes_in!T25=0,0,11630*1000*SER_hh_tes_in!T25/SER_hh_num_in!T25)</f>
        <v>8732.8139758173602</v>
      </c>
      <c r="U25" s="132">
        <f>IF(SER_hh_tes_in!U25=0,0,11630*1000*SER_hh_tes_in!U25/SER_hh_num_in!U25)</f>
        <v>15537.723634957863</v>
      </c>
      <c r="V25" s="132">
        <f>IF(SER_hh_tes_in!V25=0,0,11630*1000*SER_hh_tes_in!V25/SER_hh_num_in!V25)</f>
        <v>11210.243904509829</v>
      </c>
      <c r="W25" s="132">
        <f>IF(SER_hh_tes_in!W25=0,0,11630*1000*SER_hh_tes_in!W25/SER_hh_num_in!W25)</f>
        <v>15180.261705747585</v>
      </c>
      <c r="X25" s="132">
        <f>IF(SER_hh_tes_in!X25=0,0,11630*1000*SER_hh_tes_in!X25/SER_hh_num_in!X25)</f>
        <v>9152.7096045871822</v>
      </c>
      <c r="Y25" s="132">
        <f>IF(SER_hh_tes_in!Y25=0,0,11630*1000*SER_hh_tes_in!Y25/SER_hh_num_in!Y25)</f>
        <v>14528.097468018055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4911.4969071280066</v>
      </c>
      <c r="D26" s="65">
        <f>IF(SER_hh_tes_in!D26=0,0,11630*1000*SER_hh_tes_in!D26/SER_hh_num_in!D26)</f>
        <v>4626.44133312137</v>
      </c>
      <c r="E26" s="65">
        <f>IF(SER_hh_tes_in!E26=0,0,11630*1000*SER_hh_tes_in!E26/SER_hh_num_in!E26)</f>
        <v>4032.1770699370581</v>
      </c>
      <c r="F26" s="65">
        <f>IF(SER_hh_tes_in!F26=0,0,11630*1000*SER_hh_tes_in!F26/SER_hh_num_in!F26)</f>
        <v>3684.9408056442162</v>
      </c>
      <c r="G26" s="65">
        <f>IF(SER_hh_tes_in!G26=0,0,11630*1000*SER_hh_tes_in!G26/SER_hh_num_in!G26)</f>
        <v>14341.535964916575</v>
      </c>
      <c r="H26" s="65">
        <f>IF(SER_hh_tes_in!H26=0,0,11630*1000*SER_hh_tes_in!H26/SER_hh_num_in!H26)</f>
        <v>13873.389964819818</v>
      </c>
      <c r="I26" s="65">
        <f>IF(SER_hh_tes_in!I26=0,0,11630*1000*SER_hh_tes_in!I26/SER_hh_num_in!I26)</f>
        <v>2174.1639375790091</v>
      </c>
      <c r="J26" s="65">
        <f>IF(SER_hh_tes_in!J26=0,0,11630*1000*SER_hh_tes_in!J26/SER_hh_num_in!J26)</f>
        <v>121.90914030657558</v>
      </c>
      <c r="K26" s="65">
        <f>IF(SER_hh_tes_in!K26=0,0,11630*1000*SER_hh_tes_in!K26/SER_hh_num_in!K26)</f>
        <v>14820.930267462374</v>
      </c>
      <c r="L26" s="65">
        <f>IF(SER_hh_tes_in!L26=0,0,11630*1000*SER_hh_tes_in!L26/SER_hh_num_in!L26)</f>
        <v>82.511731305759369</v>
      </c>
      <c r="M26" s="65">
        <f>IF(SER_hh_tes_in!M26=0,0,11630*1000*SER_hh_tes_in!M26/SER_hh_num_in!M26)</f>
        <v>82.605360916628257</v>
      </c>
      <c r="N26" s="65">
        <f>IF(SER_hh_tes_in!N26=0,0,11630*1000*SER_hh_tes_in!N26/SER_hh_num_in!N26)</f>
        <v>90.979211862031931</v>
      </c>
      <c r="O26" s="65">
        <f>IF(SER_hh_tes_in!O26=0,0,11630*1000*SER_hh_tes_in!O26/SER_hh_num_in!O26)</f>
        <v>10127.238707321552</v>
      </c>
      <c r="P26" s="65">
        <f>IF(SER_hh_tes_in!P26=0,0,11630*1000*SER_hh_tes_in!P26/SER_hh_num_in!P26)</f>
        <v>102.6948880842513</v>
      </c>
      <c r="Q26" s="65">
        <f>IF(SER_hh_tes_in!Q26=0,0,11630*1000*SER_hh_tes_in!Q26/SER_hh_num_in!Q26)</f>
        <v>10572.291367812251</v>
      </c>
      <c r="R26" s="65">
        <f>IF(SER_hh_tes_in!R26=0,0,11630*1000*SER_hh_tes_in!R26/SER_hh_num_in!R26)</f>
        <v>11263.896921056288</v>
      </c>
      <c r="S26" s="65">
        <f>IF(SER_hh_tes_in!S26=0,0,11630*1000*SER_hh_tes_in!S26/SER_hh_num_in!S26)</f>
        <v>108.15878161725873</v>
      </c>
      <c r="T26" s="65">
        <f>IF(SER_hh_tes_in!T26=0,0,11630*1000*SER_hh_tes_in!T26/SER_hh_num_in!T26)</f>
        <v>92.917927186202959</v>
      </c>
      <c r="U26" s="65">
        <f>IF(SER_hh_tes_in!U26=0,0,11630*1000*SER_hh_tes_in!U26/SER_hh_num_in!U26)</f>
        <v>94.353995901495978</v>
      </c>
      <c r="V26" s="65">
        <f>IF(SER_hh_tes_in!V26=0,0,11630*1000*SER_hh_tes_in!V26/SER_hh_num_in!V26)</f>
        <v>86.234492940418278</v>
      </c>
      <c r="W26" s="65">
        <f>IF(SER_hh_tes_in!W26=0,0,11630*1000*SER_hh_tes_in!W26/SER_hh_num_in!W26)</f>
        <v>9029.3774252944495</v>
      </c>
      <c r="X26" s="65">
        <f>IF(SER_hh_tes_in!X26=0,0,11630*1000*SER_hh_tes_in!X26/SER_hh_num_in!X26)</f>
        <v>90.736644034176734</v>
      </c>
      <c r="Y26" s="65">
        <f>IF(SER_hh_tes_in!Y26=0,0,11630*1000*SER_hh_tes_in!Y26/SER_hh_num_in!Y26)</f>
        <v>10868.911830609557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7356.6954831666089</v>
      </c>
      <c r="D27" s="145">
        <f>IF(SER_hh_tes_in!D27=0,0,11630*1000*SER_hh_tes_in!D27/SER_hh_num_in!D19)</f>
        <v>4235.90471813976</v>
      </c>
      <c r="E27" s="145">
        <f>IF(SER_hh_tes_in!E27=0,0,11630*1000*SER_hh_tes_in!E27/SER_hh_num_in!E19)</f>
        <v>8008.2609642985917</v>
      </c>
      <c r="F27" s="145">
        <f>IF(SER_hh_tes_in!F27=0,0,11630*1000*SER_hh_tes_in!F27/SER_hh_num_in!F19)</f>
        <v>5266.841110293929</v>
      </c>
      <c r="G27" s="145">
        <f>IF(SER_hh_tes_in!G27=0,0,11630*1000*SER_hh_tes_in!G27/SER_hh_num_in!G19)</f>
        <v>1.9957062715751919E-11</v>
      </c>
      <c r="H27" s="145">
        <f>IF(SER_hh_tes_in!H27=0,0,11630*1000*SER_hh_tes_in!H27/SER_hh_num_in!H19)</f>
        <v>0</v>
      </c>
      <c r="I27" s="145">
        <f>IF(SER_hh_tes_in!I27=0,0,11630*1000*SER_hh_tes_in!I27/SER_hh_num_in!I19)</f>
        <v>4528.4145039612777</v>
      </c>
      <c r="J27" s="145">
        <f>IF(SER_hh_tes_in!J27=0,0,11630*1000*SER_hh_tes_in!J27/SER_hh_num_in!J19)</f>
        <v>7087.046972429489</v>
      </c>
      <c r="K27" s="145">
        <f>IF(SER_hh_tes_in!K27=0,0,11630*1000*SER_hh_tes_in!K27/SER_hh_num_in!K19)</f>
        <v>0</v>
      </c>
      <c r="L27" s="145">
        <f>IF(SER_hh_tes_in!L27=0,0,11630*1000*SER_hh_tes_in!L27/SER_hh_num_in!L19)</f>
        <v>10448.049812560132</v>
      </c>
      <c r="M27" s="145">
        <f>IF(SER_hh_tes_in!M27=0,0,11630*1000*SER_hh_tes_in!M27/SER_hh_num_in!M19)</f>
        <v>11707.682106633454</v>
      </c>
      <c r="N27" s="145">
        <f>IF(SER_hh_tes_in!N27=0,0,11630*1000*SER_hh_tes_in!N27/SER_hh_num_in!N19)</f>
        <v>11612.435263464797</v>
      </c>
      <c r="O27" s="145">
        <f>IF(SER_hh_tes_in!O27=0,0,11630*1000*SER_hh_tes_in!O27/SER_hh_num_in!O19)</f>
        <v>1.6403777048598011E-10</v>
      </c>
      <c r="P27" s="145">
        <f>IF(SER_hh_tes_in!P27=0,0,11630*1000*SER_hh_tes_in!P27/SER_hh_num_in!P19)</f>
        <v>14615.649459087073</v>
      </c>
      <c r="Q27" s="145">
        <f>IF(SER_hh_tes_in!Q27=0,0,11630*1000*SER_hh_tes_in!Q27/SER_hh_num_in!Q19)</f>
        <v>6.4293731177499227E-11</v>
      </c>
      <c r="R27" s="145">
        <f>IF(SER_hh_tes_in!R27=0,0,11630*1000*SER_hh_tes_in!R27/SER_hh_num_in!R19)</f>
        <v>4.609520340876101E-11</v>
      </c>
      <c r="S27" s="145">
        <f>IF(SER_hh_tes_in!S27=0,0,11630*1000*SER_hh_tes_in!S27/SER_hh_num_in!S19)</f>
        <v>10862.587291253829</v>
      </c>
      <c r="T27" s="145">
        <f>IF(SER_hh_tes_in!T27=0,0,11630*1000*SER_hh_tes_in!T27/SER_hh_num_in!T19)</f>
        <v>10272.550273456656</v>
      </c>
      <c r="U27" s="145">
        <f>IF(SER_hh_tes_in!U27=0,0,11630*1000*SER_hh_tes_in!U27/SER_hh_num_in!U19)</f>
        <v>6230.3352902947254</v>
      </c>
      <c r="V27" s="145">
        <f>IF(SER_hh_tes_in!V27=0,0,11630*1000*SER_hh_tes_in!V27/SER_hh_num_in!V19)</f>
        <v>9037.3148199565403</v>
      </c>
      <c r="W27" s="145">
        <f>IF(SER_hh_tes_in!W27=0,0,11630*1000*SER_hh_tes_in!W27/SER_hh_num_in!W19)</f>
        <v>0</v>
      </c>
      <c r="X27" s="145">
        <f>IF(SER_hh_tes_in!X27=0,0,11630*1000*SER_hh_tes_in!X27/SER_hh_num_in!X19)</f>
        <v>7787.6906554496109</v>
      </c>
      <c r="Y27" s="145">
        <f>IF(SER_hh_tes_in!Y27=0,0,11630*1000*SER_hh_tes_in!Y27/SER_hh_num_in!Y19)</f>
        <v>0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8542.0132085166479</v>
      </c>
      <c r="D28" s="146">
        <f>IF(SER_hh_tes_in!D27=0,0,11630*1000*SER_hh_tes_in!D27/SER_hh_num_in!D27)</f>
        <v>8709.1913192537795</v>
      </c>
      <c r="E28" s="146">
        <f>IF(SER_hh_tes_in!E27=0,0,11630*1000*SER_hh_tes_in!E27/SER_hh_num_in!E27)</f>
        <v>8446.2497058193203</v>
      </c>
      <c r="F28" s="146">
        <f>IF(SER_hh_tes_in!F27=0,0,11630*1000*SER_hh_tes_in!F27/SER_hh_num_in!F27)</f>
        <v>8992.802014969986</v>
      </c>
      <c r="G28" s="146">
        <f>IF(SER_hh_tes_in!G27=0,0,11630*1000*SER_hh_tes_in!G27/SER_hh_num_in!G27)</f>
        <v>9998.1827241412284</v>
      </c>
      <c r="H28" s="146">
        <f>IF(SER_hh_tes_in!H27=0,0,11630*1000*SER_hh_tes_in!H27/SER_hh_num_in!H27)</f>
        <v>0</v>
      </c>
      <c r="I28" s="146">
        <f>IF(SER_hh_tes_in!I27=0,0,11630*1000*SER_hh_tes_in!I27/SER_hh_num_in!I27)</f>
        <v>8825.8723875975465</v>
      </c>
      <c r="J28" s="146">
        <f>IF(SER_hh_tes_in!J27=0,0,11630*1000*SER_hh_tes_in!J27/SER_hh_num_in!J27)</f>
        <v>7087.0469724294881</v>
      </c>
      <c r="K28" s="146">
        <f>IF(SER_hh_tes_in!K27=0,0,11630*1000*SER_hh_tes_in!K27/SER_hh_num_in!K27)</f>
        <v>0</v>
      </c>
      <c r="L28" s="146">
        <f>IF(SER_hh_tes_in!L27=0,0,11630*1000*SER_hh_tes_in!L27/SER_hh_num_in!L27)</f>
        <v>10448.049812560132</v>
      </c>
      <c r="M28" s="146">
        <f>IF(SER_hh_tes_in!M27=0,0,11630*1000*SER_hh_tes_in!M27/SER_hh_num_in!M27)</f>
        <v>11707.682106633456</v>
      </c>
      <c r="N28" s="146">
        <f>IF(SER_hh_tes_in!N27=0,0,11630*1000*SER_hh_tes_in!N27/SER_hh_num_in!N27)</f>
        <v>11612.4352634648</v>
      </c>
      <c r="O28" s="146">
        <f>IF(SER_hh_tes_in!O27=0,0,11630*1000*SER_hh_tes_in!O27/SER_hh_num_in!O27)</f>
        <v>20888.88194226785</v>
      </c>
      <c r="P28" s="146">
        <f>IF(SER_hh_tes_in!P27=0,0,11630*1000*SER_hh_tes_in!P27/SER_hh_num_in!P27)</f>
        <v>15612.075618310773</v>
      </c>
      <c r="Q28" s="146">
        <f>IF(SER_hh_tes_in!Q27=0,0,11630*1000*SER_hh_tes_in!Q27/SER_hh_num_in!Q27)</f>
        <v>21350.12479483545</v>
      </c>
      <c r="R28" s="146">
        <f>IF(SER_hh_tes_in!R27=0,0,11630*1000*SER_hh_tes_in!R27/SER_hh_num_in!R27)</f>
        <v>22739.908621291586</v>
      </c>
      <c r="S28" s="146">
        <f>IF(SER_hh_tes_in!S27=0,0,11630*1000*SER_hh_tes_in!S27/SER_hh_num_in!S27)</f>
        <v>12413.295152154074</v>
      </c>
      <c r="T28" s="146">
        <f>IF(SER_hh_tes_in!T27=0,0,11630*1000*SER_hh_tes_in!T27/SER_hh_num_in!T27)</f>
        <v>10272.550273456656</v>
      </c>
      <c r="U28" s="146">
        <f>IF(SER_hh_tes_in!U27=0,0,11630*1000*SER_hh_tes_in!U27/SER_hh_num_in!U27)</f>
        <v>16807.993876918474</v>
      </c>
      <c r="V28" s="146">
        <f>IF(SER_hh_tes_in!V27=0,0,11630*1000*SER_hh_tes_in!V27/SER_hh_num_in!V27)</f>
        <v>11600.410236388314</v>
      </c>
      <c r="W28" s="146">
        <f>IF(SER_hh_tes_in!W27=0,0,11630*1000*SER_hh_tes_in!W27/SER_hh_num_in!W27)</f>
        <v>0</v>
      </c>
      <c r="X28" s="146">
        <f>IF(SER_hh_tes_in!X27=0,0,11630*1000*SER_hh_tes_in!X27/SER_hh_num_in!X27)</f>
        <v>8412.9045367229337</v>
      </c>
      <c r="Y28" s="146">
        <f>IF(SER_hh_tes_in!Y27=0,0,11630*1000*SER_hh_tes_in!Y27/SER_hh_num_in!Y27)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10903.434275938989</v>
      </c>
      <c r="D29" s="130">
        <f>IF(SER_hh_tes_in!D29=0,0,11630*1000*SER_hh_tes_in!D29/SER_hh_num_in!D29)</f>
        <v>12480.324458949985</v>
      </c>
      <c r="E29" s="130">
        <f>IF(SER_hh_tes_in!E29=0,0,11630*1000*SER_hh_tes_in!E29/SER_hh_num_in!E29)</f>
        <v>12705.668146378208</v>
      </c>
      <c r="F29" s="130">
        <f>IF(SER_hh_tes_in!F29=0,0,11630*1000*SER_hh_tes_in!F29/SER_hh_num_in!F29)</f>
        <v>12013.647829579961</v>
      </c>
      <c r="G29" s="130">
        <f>IF(SER_hh_tes_in!G29=0,0,11630*1000*SER_hh_tes_in!G29/SER_hh_num_in!G29)</f>
        <v>12244.560372994474</v>
      </c>
      <c r="H29" s="130">
        <f>IF(SER_hh_tes_in!H29=0,0,11630*1000*SER_hh_tes_in!H29/SER_hh_num_in!H29)</f>
        <v>11889.389736427647</v>
      </c>
      <c r="I29" s="130">
        <f>IF(SER_hh_tes_in!I29=0,0,11630*1000*SER_hh_tes_in!I29/SER_hh_num_in!I29)</f>
        <v>12165.843915509644</v>
      </c>
      <c r="J29" s="130">
        <f>IF(SER_hh_tes_in!J29=0,0,11630*1000*SER_hh_tes_in!J29/SER_hh_num_in!J29)</f>
        <v>12338.060477388837</v>
      </c>
      <c r="K29" s="130">
        <f>IF(SER_hh_tes_in!K29=0,0,11630*1000*SER_hh_tes_in!K29/SER_hh_num_in!K29)</f>
        <v>12315.642909069629</v>
      </c>
      <c r="L29" s="130">
        <f>IF(SER_hh_tes_in!L29=0,0,11630*1000*SER_hh_tes_in!L29/SER_hh_num_in!L29)</f>
        <v>12235.203466260888</v>
      </c>
      <c r="M29" s="130">
        <f>IF(SER_hh_tes_in!M29=0,0,11630*1000*SER_hh_tes_in!M29/SER_hh_num_in!M29)</f>
        <v>11754.289920599942</v>
      </c>
      <c r="N29" s="130">
        <f>IF(SER_hh_tes_in!N29=0,0,11630*1000*SER_hh_tes_in!N29/SER_hh_num_in!N29)</f>
        <v>13228.80498115646</v>
      </c>
      <c r="O29" s="130">
        <f>IF(SER_hh_tes_in!O29=0,0,11630*1000*SER_hh_tes_in!O29/SER_hh_num_in!O29)</f>
        <v>12673.352764003199</v>
      </c>
      <c r="P29" s="130">
        <f>IF(SER_hh_tes_in!P29=0,0,11630*1000*SER_hh_tes_in!P29/SER_hh_num_in!P29)</f>
        <v>12600.587261005581</v>
      </c>
      <c r="Q29" s="130">
        <f>IF(SER_hh_tes_in!Q29=0,0,11630*1000*SER_hh_tes_in!Q29/SER_hh_num_in!Q29)</f>
        <v>12549.237424847232</v>
      </c>
      <c r="R29" s="130">
        <f>IF(SER_hh_tes_in!R29=0,0,11630*1000*SER_hh_tes_in!R29/SER_hh_num_in!R29)</f>
        <v>12548.44797501064</v>
      </c>
      <c r="S29" s="130">
        <f>IF(SER_hh_tes_in!S29=0,0,11630*1000*SER_hh_tes_in!S29/SER_hh_num_in!S29)</f>
        <v>12661.287812175968</v>
      </c>
      <c r="T29" s="130">
        <f>IF(SER_hh_tes_in!T29=0,0,11630*1000*SER_hh_tes_in!T29/SER_hh_num_in!T29)</f>
        <v>12494.273807931218</v>
      </c>
      <c r="U29" s="130">
        <f>IF(SER_hh_tes_in!U29=0,0,11630*1000*SER_hh_tes_in!U29/SER_hh_num_in!U29)</f>
        <v>12468.682863734355</v>
      </c>
      <c r="V29" s="130">
        <f>IF(SER_hh_tes_in!V29=0,0,11630*1000*SER_hh_tes_in!V29/SER_hh_num_in!V29)</f>
        <v>11930.117132075346</v>
      </c>
      <c r="W29" s="130">
        <f>IF(SER_hh_tes_in!W29=0,0,11630*1000*SER_hh_tes_in!W29/SER_hh_num_in!W29)</f>
        <v>12370.680868750987</v>
      </c>
      <c r="X29" s="130">
        <f>IF(SER_hh_tes_in!X29=0,0,11630*1000*SER_hh_tes_in!X29/SER_hh_num_in!X29)</f>
        <v>12354.283688599153</v>
      </c>
      <c r="Y29" s="130">
        <f>IF(SER_hh_tes_in!Y29=0,0,11630*1000*SER_hh_tes_in!Y29/SER_hh_num_in!Y29)</f>
        <v>12498.538802314819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6446.140861353133</v>
      </c>
      <c r="D30" s="132">
        <f>IF(SER_hh_tes_in!D30=0,0,11630*1000*SER_hh_tes_in!D30/SER_hh_num_in!D30)</f>
        <v>13349.69619174784</v>
      </c>
      <c r="E30" s="132">
        <f>IF(SER_hh_tes_in!E30=0,0,11630*1000*SER_hh_tes_in!E30/SER_hh_num_in!E30)</f>
        <v>13980.572386381866</v>
      </c>
      <c r="F30" s="132">
        <f>IF(SER_hh_tes_in!F30=0,0,11630*1000*SER_hh_tes_in!F30/SER_hh_num_in!F30)</f>
        <v>16719.631650552601</v>
      </c>
      <c r="G30" s="132">
        <f>IF(SER_hh_tes_in!G30=0,0,11630*1000*SER_hh_tes_in!G30/SER_hh_num_in!G30)</f>
        <v>12416.682911590722</v>
      </c>
      <c r="H30" s="132">
        <f>IF(SER_hh_tes_in!H30=0,0,11630*1000*SER_hh_tes_in!H30/SER_hh_num_in!H30)</f>
        <v>13213.605353581281</v>
      </c>
      <c r="I30" s="132">
        <f>IF(SER_hh_tes_in!I30=0,0,11630*1000*SER_hh_tes_in!I30/SER_hh_num_in!I30)</f>
        <v>0</v>
      </c>
      <c r="J30" s="132">
        <f>IF(SER_hh_tes_in!J30=0,0,11630*1000*SER_hh_tes_in!J30/SER_hh_num_in!J30)</f>
        <v>8251.8989906787901</v>
      </c>
      <c r="K30" s="132">
        <f>IF(SER_hh_tes_in!K30=0,0,11630*1000*SER_hh_tes_in!K30/SER_hh_num_in!K30)</f>
        <v>10318.096559267486</v>
      </c>
      <c r="L30" s="132">
        <f>IF(SER_hh_tes_in!L30=0,0,11630*1000*SER_hh_tes_in!L30/SER_hh_num_in!L30)</f>
        <v>17201.672475862691</v>
      </c>
      <c r="M30" s="132">
        <f>IF(SER_hh_tes_in!M30=0,0,11630*1000*SER_hh_tes_in!M30/SER_hh_num_in!M30)</f>
        <v>0</v>
      </c>
      <c r="N30" s="132">
        <f>IF(SER_hh_tes_in!N30=0,0,11630*1000*SER_hh_tes_in!N30/SER_hh_num_in!N30)</f>
        <v>0</v>
      </c>
      <c r="O30" s="132">
        <f>IF(SER_hh_tes_in!O30=0,0,11630*1000*SER_hh_tes_in!O30/SER_hh_num_in!O30)</f>
        <v>0</v>
      </c>
      <c r="P30" s="132">
        <f>IF(SER_hh_tes_in!P30=0,0,11630*1000*SER_hh_tes_in!P30/SER_hh_num_in!P30)</f>
        <v>0</v>
      </c>
      <c r="Q30" s="132">
        <f>IF(SER_hh_tes_in!Q30=0,0,11630*1000*SER_hh_tes_in!Q30/SER_hh_num_in!Q30)</f>
        <v>11472.816637567896</v>
      </c>
      <c r="R30" s="132">
        <f>IF(SER_hh_tes_in!R30=0,0,11630*1000*SER_hh_tes_in!R30/SER_hh_num_in!R30)</f>
        <v>8451.2854550205248</v>
      </c>
      <c r="S30" s="132">
        <f>IF(SER_hh_tes_in!S30=0,0,11630*1000*SER_hh_tes_in!S30/SER_hh_num_in!S30)</f>
        <v>15571.512334866407</v>
      </c>
      <c r="T30" s="132">
        <f>IF(SER_hh_tes_in!T30=0,0,11630*1000*SER_hh_tes_in!T30/SER_hh_num_in!T30)</f>
        <v>12554.617098255536</v>
      </c>
      <c r="U30" s="132">
        <f>IF(SER_hh_tes_in!U30=0,0,11630*1000*SER_hh_tes_in!U30/SER_hh_num_in!U30)</f>
        <v>12513.963508289116</v>
      </c>
      <c r="V30" s="132">
        <f>IF(SER_hh_tes_in!V30=0,0,11630*1000*SER_hh_tes_in!V30/SER_hh_num_in!V30)</f>
        <v>12016.761300252114</v>
      </c>
      <c r="W30" s="132">
        <f>IF(SER_hh_tes_in!W30=0,0,11630*1000*SER_hh_tes_in!W30/SER_hh_num_in!W30)</f>
        <v>14510.054904024435</v>
      </c>
      <c r="X30" s="132">
        <f>IF(SER_hh_tes_in!X30=0,0,11630*1000*SER_hh_tes_in!X30/SER_hh_num_in!X30)</f>
        <v>0</v>
      </c>
      <c r="Y30" s="132">
        <f>IF(SER_hh_tes_in!Y30=0,0,11630*1000*SER_hh_tes_in!Y30/SER_hh_num_in!Y30)</f>
        <v>0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11454.029508951209</v>
      </c>
      <c r="D31" s="132">
        <f>IF(SER_hh_tes_in!D31=0,0,11630*1000*SER_hh_tes_in!D31/SER_hh_num_in!D31)</f>
        <v>11909.500536952377</v>
      </c>
      <c r="E31" s="132">
        <f>IF(SER_hh_tes_in!E31=0,0,11630*1000*SER_hh_tes_in!E31/SER_hh_num_in!E31)</f>
        <v>12072.666789987299</v>
      </c>
      <c r="F31" s="132">
        <f>IF(SER_hh_tes_in!F31=0,0,11630*1000*SER_hh_tes_in!F31/SER_hh_num_in!F31)</f>
        <v>12376.102136551666</v>
      </c>
      <c r="G31" s="132">
        <f>IF(SER_hh_tes_in!G31=0,0,11630*1000*SER_hh_tes_in!G31/SER_hh_num_in!G31)</f>
        <v>12318.317481620034</v>
      </c>
      <c r="H31" s="132">
        <f>IF(SER_hh_tes_in!H31=0,0,11630*1000*SER_hh_tes_in!H31/SER_hh_num_in!H31)</f>
        <v>12159.599598143435</v>
      </c>
      <c r="I31" s="132">
        <f>IF(SER_hh_tes_in!I31=0,0,11630*1000*SER_hh_tes_in!I31/SER_hh_num_in!I31)</f>
        <v>12011.12213255998</v>
      </c>
      <c r="J31" s="132">
        <f>IF(SER_hh_tes_in!J31=0,0,11630*1000*SER_hh_tes_in!J31/SER_hh_num_in!J31)</f>
        <v>12017.34267695579</v>
      </c>
      <c r="K31" s="132">
        <f>IF(SER_hh_tes_in!K31=0,0,11630*1000*SER_hh_tes_in!K31/SER_hh_num_in!K31)</f>
        <v>12321.971418224097</v>
      </c>
      <c r="L31" s="132">
        <f>IF(SER_hh_tes_in!L31=0,0,11630*1000*SER_hh_tes_in!L31/SER_hh_num_in!L31)</f>
        <v>12428.820294121108</v>
      </c>
      <c r="M31" s="132">
        <f>IF(SER_hh_tes_in!M31=0,0,11630*1000*SER_hh_tes_in!M31/SER_hh_num_in!M31)</f>
        <v>12443.133012195518</v>
      </c>
      <c r="N31" s="132">
        <f>IF(SER_hh_tes_in!N31=0,0,11630*1000*SER_hh_tes_in!N31/SER_hh_num_in!N31)</f>
        <v>12457.989916334735</v>
      </c>
      <c r="O31" s="132">
        <f>IF(SER_hh_tes_in!O31=0,0,11630*1000*SER_hh_tes_in!O31/SER_hh_num_in!O31)</f>
        <v>12481.201160936389</v>
      </c>
      <c r="P31" s="132">
        <f>IF(SER_hh_tes_in!P31=0,0,11630*1000*SER_hh_tes_in!P31/SER_hh_num_in!P31)</f>
        <v>12600.087375612602</v>
      </c>
      <c r="Q31" s="132">
        <f>IF(SER_hh_tes_in!Q31=0,0,11630*1000*SER_hh_tes_in!Q31/SER_hh_num_in!Q31)</f>
        <v>12612.226835867317</v>
      </c>
      <c r="R31" s="132">
        <f>IF(SER_hh_tes_in!R31=0,0,11630*1000*SER_hh_tes_in!R31/SER_hh_num_in!R31)</f>
        <v>12568.054267519517</v>
      </c>
      <c r="S31" s="132">
        <f>IF(SER_hh_tes_in!S31=0,0,11630*1000*SER_hh_tes_in!S31/SER_hh_num_in!S31)</f>
        <v>12488.482586706739</v>
      </c>
      <c r="T31" s="132">
        <f>IF(SER_hh_tes_in!T31=0,0,11630*1000*SER_hh_tes_in!T31/SER_hh_num_in!T31)</f>
        <v>12461.197802372571</v>
      </c>
      <c r="U31" s="132">
        <f>IF(SER_hh_tes_in!U31=0,0,11630*1000*SER_hh_tes_in!U31/SER_hh_num_in!U31)</f>
        <v>12719.739431010081</v>
      </c>
      <c r="V31" s="132">
        <f>IF(SER_hh_tes_in!V31=0,0,11630*1000*SER_hh_tes_in!V31/SER_hh_num_in!V31)</f>
        <v>11734.375329626557</v>
      </c>
      <c r="W31" s="132">
        <f>IF(SER_hh_tes_in!W31=0,0,11630*1000*SER_hh_tes_in!W31/SER_hh_num_in!W31)</f>
        <v>11968.82738356884</v>
      </c>
      <c r="X31" s="132">
        <f>IF(SER_hh_tes_in!X31=0,0,11630*1000*SER_hh_tes_in!X31/SER_hh_num_in!X31)</f>
        <v>11695.470997022492</v>
      </c>
      <c r="Y31" s="132">
        <f>IF(SER_hh_tes_in!Y31=0,0,11630*1000*SER_hh_tes_in!Y31/SER_hh_num_in!Y31)</f>
        <v>12898.142527332633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11192.752898144898</v>
      </c>
      <c r="D32" s="132">
        <f>IF(SER_hh_tes_in!D32=0,0,11630*1000*SER_hh_tes_in!D32/SER_hh_num_in!D32)</f>
        <v>12018.52090182995</v>
      </c>
      <c r="E32" s="132">
        <f>IF(SER_hh_tes_in!E32=0,0,11630*1000*SER_hh_tes_in!E32/SER_hh_num_in!E32)</f>
        <v>12125.562683487338</v>
      </c>
      <c r="F32" s="132">
        <f>IF(SER_hh_tes_in!F32=0,0,11630*1000*SER_hh_tes_in!F32/SER_hh_num_in!F32)</f>
        <v>12434.226891429676</v>
      </c>
      <c r="G32" s="132">
        <f>IF(SER_hh_tes_in!G32=0,0,11630*1000*SER_hh_tes_in!G32/SER_hh_num_in!G32)</f>
        <v>12281.964252425561</v>
      </c>
      <c r="H32" s="132">
        <f>IF(SER_hh_tes_in!H32=0,0,11630*1000*SER_hh_tes_in!H32/SER_hh_num_in!H32)</f>
        <v>12133.884753371141</v>
      </c>
      <c r="I32" s="132">
        <f>IF(SER_hh_tes_in!I32=0,0,11630*1000*SER_hh_tes_in!I32/SER_hh_num_in!I32)</f>
        <v>12059.88164221373</v>
      </c>
      <c r="J32" s="132">
        <f>IF(SER_hh_tes_in!J32=0,0,11630*1000*SER_hh_tes_in!J32/SER_hh_num_in!J32)</f>
        <v>11947.285394229635</v>
      </c>
      <c r="K32" s="132">
        <f>IF(SER_hh_tes_in!K32=0,0,11630*1000*SER_hh_tes_in!K32/SER_hh_num_in!K32)</f>
        <v>11931.439095138459</v>
      </c>
      <c r="L32" s="132">
        <f>IF(SER_hh_tes_in!L32=0,0,11630*1000*SER_hh_tes_in!L32/SER_hh_num_in!L32)</f>
        <v>12533.395597311239</v>
      </c>
      <c r="M32" s="132">
        <f>IF(SER_hh_tes_in!M32=0,0,11630*1000*SER_hh_tes_in!M32/SER_hh_num_in!M32)</f>
        <v>12154.095240447796</v>
      </c>
      <c r="N32" s="132">
        <f>IF(SER_hh_tes_in!N32=0,0,11630*1000*SER_hh_tes_in!N32/SER_hh_num_in!N32)</f>
        <v>12499.70949281496</v>
      </c>
      <c r="O32" s="132">
        <f>IF(SER_hh_tes_in!O32=0,0,11630*1000*SER_hh_tes_in!O32/SER_hh_num_in!O32)</f>
        <v>12215.340752790153</v>
      </c>
      <c r="P32" s="132">
        <f>IF(SER_hh_tes_in!P32=0,0,11630*1000*SER_hh_tes_in!P32/SER_hh_num_in!P32)</f>
        <v>12404.618301808407</v>
      </c>
      <c r="Q32" s="132">
        <f>IF(SER_hh_tes_in!Q32=0,0,11630*1000*SER_hh_tes_in!Q32/SER_hh_num_in!Q32)</f>
        <v>12759.593776336142</v>
      </c>
      <c r="R32" s="132">
        <f>IF(SER_hh_tes_in!R32=0,0,11630*1000*SER_hh_tes_in!R32/SER_hh_num_in!R32)</f>
        <v>12520.125385476584</v>
      </c>
      <c r="S32" s="132">
        <f>IF(SER_hh_tes_in!S32=0,0,11630*1000*SER_hh_tes_in!S32/SER_hh_num_in!S32)</f>
        <v>12306.452929369361</v>
      </c>
      <c r="T32" s="132">
        <f>IF(SER_hh_tes_in!T32=0,0,11630*1000*SER_hh_tes_in!T32/SER_hh_num_in!T32)</f>
        <v>12297.038907291246</v>
      </c>
      <c r="U32" s="132">
        <f>IF(SER_hh_tes_in!U32=0,0,11630*1000*SER_hh_tes_in!U32/SER_hh_num_in!U32)</f>
        <v>12558.180855553681</v>
      </c>
      <c r="V32" s="132">
        <f>IF(SER_hh_tes_in!V32=0,0,11630*1000*SER_hh_tes_in!V32/SER_hh_num_in!V32)</f>
        <v>12777.282469435831</v>
      </c>
      <c r="W32" s="132">
        <f>IF(SER_hh_tes_in!W32=0,0,11630*1000*SER_hh_tes_in!W32/SER_hh_num_in!W32)</f>
        <v>12717.529242319672</v>
      </c>
      <c r="X32" s="132">
        <f>IF(SER_hh_tes_in!X32=0,0,11630*1000*SER_hh_tes_in!X32/SER_hh_num_in!X32)</f>
        <v>12121.753773586544</v>
      </c>
      <c r="Y32" s="132">
        <f>IF(SER_hh_tes_in!Y32=0,0,11630*1000*SER_hh_tes_in!Y32/SER_hh_num_in!Y32)</f>
        <v>12684.425826256331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12372.230686285111</v>
      </c>
      <c r="D33" s="68">
        <f>IF(SER_hh_tes_in!D33=0,0,11630*1000*SER_hh_tes_in!D33/SER_hh_num_in!D33)</f>
        <v>11275.745152466821</v>
      </c>
      <c r="E33" s="68">
        <f>IF(SER_hh_tes_in!E33=0,0,11630*1000*SER_hh_tes_in!E33/SER_hh_num_in!E33)</f>
        <v>11603.506051931849</v>
      </c>
      <c r="F33" s="68">
        <f>IF(SER_hh_tes_in!F33=0,0,11630*1000*SER_hh_tes_in!F33/SER_hh_num_in!F33)</f>
        <v>10431.50993345763</v>
      </c>
      <c r="G33" s="68">
        <f>IF(SER_hh_tes_in!G33=0,0,11630*1000*SER_hh_tes_in!G33/SER_hh_num_in!G33)</f>
        <v>12179.552611617484</v>
      </c>
      <c r="H33" s="68">
        <f>IF(SER_hh_tes_in!H33=0,0,11630*1000*SER_hh_tes_in!H33/SER_hh_num_in!H33)</f>
        <v>11753.780714633285</v>
      </c>
      <c r="I33" s="68">
        <f>IF(SER_hh_tes_in!I33=0,0,11630*1000*SER_hh_tes_in!I33/SER_hh_num_in!I33)</f>
        <v>12216.50910244889</v>
      </c>
      <c r="J33" s="68">
        <f>IF(SER_hh_tes_in!J33=0,0,11630*1000*SER_hh_tes_in!J33/SER_hh_num_in!J33)</f>
        <v>12796.426659804656</v>
      </c>
      <c r="K33" s="68">
        <f>IF(SER_hh_tes_in!K33=0,0,11630*1000*SER_hh_tes_in!K33/SER_hh_num_in!K33)</f>
        <v>12901.135091032873</v>
      </c>
      <c r="L33" s="68">
        <f>IF(SER_hh_tes_in!L33=0,0,11630*1000*SER_hh_tes_in!L33/SER_hh_num_in!L33)</f>
        <v>11107.717422268002</v>
      </c>
      <c r="M33" s="68">
        <f>IF(SER_hh_tes_in!M33=0,0,11630*1000*SER_hh_tes_in!M33/SER_hh_num_in!M33)</f>
        <v>11416.723302937764</v>
      </c>
      <c r="N33" s="68">
        <f>IF(SER_hh_tes_in!N33=0,0,11630*1000*SER_hh_tes_in!N33/SER_hh_num_in!N33)</f>
        <v>13479.106072313913</v>
      </c>
      <c r="O33" s="68">
        <f>IF(SER_hh_tes_in!O33=0,0,11630*1000*SER_hh_tes_in!O33/SER_hh_num_in!O33)</f>
        <v>12772.959819268221</v>
      </c>
      <c r="P33" s="68">
        <f>IF(SER_hh_tes_in!P33=0,0,11630*1000*SER_hh_tes_in!P33/SER_hh_num_in!P33)</f>
        <v>12606.369953281028</v>
      </c>
      <c r="Q33" s="68">
        <f>IF(SER_hh_tes_in!Q33=0,0,11630*1000*SER_hh_tes_in!Q33/SER_hh_num_in!Q33)</f>
        <v>12582.765532529183</v>
      </c>
      <c r="R33" s="68">
        <f>IF(SER_hh_tes_in!R33=0,0,11630*1000*SER_hh_tes_in!R33/SER_hh_num_in!R33)</f>
        <v>12742.118707332926</v>
      </c>
      <c r="S33" s="68">
        <f>IF(SER_hh_tes_in!S33=0,0,11630*1000*SER_hh_tes_in!S33/SER_hh_num_in!S33)</f>
        <v>12497.719924261612</v>
      </c>
      <c r="T33" s="68">
        <f>IF(SER_hh_tes_in!T33=0,0,11630*1000*SER_hh_tes_in!T33/SER_hh_num_in!T33)</f>
        <v>12514.132834974762</v>
      </c>
      <c r="U33" s="68">
        <f>IF(SER_hh_tes_in!U33=0,0,11630*1000*SER_hh_tes_in!U33/SER_hh_num_in!U33)</f>
        <v>12335.735073275195</v>
      </c>
      <c r="V33" s="68">
        <f>IF(SER_hh_tes_in!V33=0,0,11630*1000*SER_hh_tes_in!V33/SER_hh_num_in!V33)</f>
        <v>12005.541796141111</v>
      </c>
      <c r="W33" s="68">
        <f>IF(SER_hh_tes_in!W33=0,0,11630*1000*SER_hh_tes_in!W33/SER_hh_num_in!W33)</f>
        <v>12594.759645672922</v>
      </c>
      <c r="X33" s="68">
        <f>IF(SER_hh_tes_in!X33=0,0,11630*1000*SER_hh_tes_in!X33/SER_hh_num_in!X33)</f>
        <v>12738.27630446028</v>
      </c>
      <c r="Y33" s="68">
        <f>IF(SER_hh_tes_in!Y33=0,0,11630*1000*SER_hh_tes_in!Y33/SER_hh_num_in!Y33)</f>
        <v>12317.123629295043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35326.286829676581</v>
      </c>
      <c r="D3" s="125">
        <f>IF(SER_hh_emi_in!D3=0,0,1000000*SER_hh_emi_in!D3/SER_hh_num_in!D3)</f>
        <v>27803.913824792467</v>
      </c>
      <c r="E3" s="125">
        <f>IF(SER_hh_emi_in!E3=0,0,1000000*SER_hh_emi_in!E3/SER_hh_num_in!E3)</f>
        <v>25106.758312311853</v>
      </c>
      <c r="F3" s="125">
        <f>IF(SER_hh_emi_in!F3=0,0,1000000*SER_hh_emi_in!F3/SER_hh_num_in!F3)</f>
        <v>11214.28168553411</v>
      </c>
      <c r="G3" s="125">
        <f>IF(SER_hh_emi_in!G3=0,0,1000000*SER_hh_emi_in!G3/SER_hh_num_in!G3)</f>
        <v>9357.4259298654379</v>
      </c>
      <c r="H3" s="125">
        <f>IF(SER_hh_emi_in!H3=0,0,1000000*SER_hh_emi_in!H3/SER_hh_num_in!H3)</f>
        <v>8409.6289360781684</v>
      </c>
      <c r="I3" s="125">
        <f>IF(SER_hh_emi_in!I3=0,0,1000000*SER_hh_emi_in!I3/SER_hh_num_in!I3)</f>
        <v>3725.2869269786775</v>
      </c>
      <c r="J3" s="125">
        <f>IF(SER_hh_emi_in!J3=0,0,1000000*SER_hh_emi_in!J3/SER_hh_num_in!J3)</f>
        <v>1903.2521432250339</v>
      </c>
      <c r="K3" s="125">
        <f>IF(SER_hh_emi_in!K3=0,0,1000000*SER_hh_emi_in!K3/SER_hh_num_in!K3)</f>
        <v>4889.5111275391082</v>
      </c>
      <c r="L3" s="125">
        <f>IF(SER_hh_emi_in!L3=0,0,1000000*SER_hh_emi_in!L3/SER_hh_num_in!L3)</f>
        <v>5899.497419602405</v>
      </c>
      <c r="M3" s="125">
        <f>IF(SER_hh_emi_in!M3=0,0,1000000*SER_hh_emi_in!M3/SER_hh_num_in!M3)</f>
        <v>5250.5295765778446</v>
      </c>
      <c r="N3" s="125">
        <f>IF(SER_hh_emi_in!N3=0,0,1000000*SER_hh_emi_in!N3/SER_hh_num_in!N3)</f>
        <v>8132.5119287550651</v>
      </c>
      <c r="O3" s="125">
        <f>IF(SER_hh_emi_in!O3=0,0,1000000*SER_hh_emi_in!O3/SER_hh_num_in!O3)</f>
        <v>11192.749780409344</v>
      </c>
      <c r="P3" s="125">
        <f>IF(SER_hh_emi_in!P3=0,0,1000000*SER_hh_emi_in!P3/SER_hh_num_in!P3)</f>
        <v>8597.9610800576593</v>
      </c>
      <c r="Q3" s="125">
        <f>IF(SER_hh_emi_in!Q3=0,0,1000000*SER_hh_emi_in!Q3/SER_hh_num_in!Q3)</f>
        <v>7107.246875114276</v>
      </c>
      <c r="R3" s="125">
        <f>IF(SER_hh_emi_in!R3=0,0,1000000*SER_hh_emi_in!R3/SER_hh_num_in!R3)</f>
        <v>7339.6573513012445</v>
      </c>
      <c r="S3" s="125">
        <f>IF(SER_hh_emi_in!S3=0,0,1000000*SER_hh_emi_in!S3/SER_hh_num_in!S3)</f>
        <v>7925.8632282627004</v>
      </c>
      <c r="T3" s="125">
        <f>IF(SER_hh_emi_in!T3=0,0,1000000*SER_hh_emi_in!T3/SER_hh_num_in!T3)</f>
        <v>5906.4013384285763</v>
      </c>
      <c r="U3" s="125">
        <f>IF(SER_hh_emi_in!U3=0,0,1000000*SER_hh_emi_in!U3/SER_hh_num_in!U3)</f>
        <v>5792.8939822769671</v>
      </c>
      <c r="V3" s="125">
        <f>IF(SER_hh_emi_in!V3=0,0,1000000*SER_hh_emi_in!V3/SER_hh_num_in!V3)</f>
        <v>3507.5731184540655</v>
      </c>
      <c r="W3" s="125">
        <f>IF(SER_hh_emi_in!W3=0,0,1000000*SER_hh_emi_in!W3/SER_hh_num_in!W3)</f>
        <v>4807.9352625847414</v>
      </c>
      <c r="X3" s="125">
        <f>IF(SER_hh_emi_in!X3=0,0,1000000*SER_hh_emi_in!X3/SER_hh_num_in!X3)</f>
        <v>3095.6710927436825</v>
      </c>
      <c r="Y3" s="125">
        <f>IF(SER_hh_emi_in!Y3=0,0,1000000*SER_hh_emi_in!Y3/SER_hh_num_in!Y3)</f>
        <v>2278.4717839619057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32405.377905246543</v>
      </c>
      <c r="D4" s="130">
        <f>IF(SER_hh_emi_in!D4=0,0,1000000*SER_hh_emi_in!D4/SER_hh_num_in!D4)</f>
        <v>22151.476187150507</v>
      </c>
      <c r="E4" s="130">
        <f>IF(SER_hh_emi_in!E4=0,0,1000000*SER_hh_emi_in!E4/SER_hh_num_in!E4)</f>
        <v>20514.257825035878</v>
      </c>
      <c r="F4" s="130">
        <f>IF(SER_hh_emi_in!F4=0,0,1000000*SER_hh_emi_in!F4/SER_hh_num_in!F4)</f>
        <v>7524.4191924841625</v>
      </c>
      <c r="G4" s="130">
        <f>IF(SER_hh_emi_in!G4=0,0,1000000*SER_hh_emi_in!G4/SER_hh_num_in!G4)</f>
        <v>6566.1803717585653</v>
      </c>
      <c r="H4" s="130">
        <f>IF(SER_hh_emi_in!H4=0,0,1000000*SER_hh_emi_in!H4/SER_hh_num_in!H4)</f>
        <v>6147.4472645856113</v>
      </c>
      <c r="I4" s="130">
        <f>IF(SER_hh_emi_in!I4=0,0,1000000*SER_hh_emi_in!I4/SER_hh_num_in!I4)</f>
        <v>2111.5175556285194</v>
      </c>
      <c r="J4" s="130">
        <f>IF(SER_hh_emi_in!J4=0,0,1000000*SER_hh_emi_in!J4/SER_hh_num_in!J4)</f>
        <v>60.857955856739999</v>
      </c>
      <c r="K4" s="130">
        <f>IF(SER_hh_emi_in!K4=0,0,1000000*SER_hh_emi_in!K4/SER_hh_num_in!K4)</f>
        <v>1778.519082701175</v>
      </c>
      <c r="L4" s="130">
        <f>IF(SER_hh_emi_in!L4=0,0,1000000*SER_hh_emi_in!L4/SER_hh_num_in!L4)</f>
        <v>3527.0163179324927</v>
      </c>
      <c r="M4" s="130">
        <f>IF(SER_hh_emi_in!M4=0,0,1000000*SER_hh_emi_in!M4/SER_hh_num_in!M4)</f>
        <v>3467.8270963575624</v>
      </c>
      <c r="N4" s="130">
        <f>IF(SER_hh_emi_in!N4=0,0,1000000*SER_hh_emi_in!N4/SER_hh_num_in!N4)</f>
        <v>6706.0956400900504</v>
      </c>
      <c r="O4" s="130">
        <f>IF(SER_hh_emi_in!O4=0,0,1000000*SER_hh_emi_in!O4/SER_hh_num_in!O4)</f>
        <v>8858.8312073893339</v>
      </c>
      <c r="P4" s="130">
        <f>IF(SER_hh_emi_in!P4=0,0,1000000*SER_hh_emi_in!P4/SER_hh_num_in!P4)</f>
        <v>6819.788510373528</v>
      </c>
      <c r="Q4" s="130">
        <f>IF(SER_hh_emi_in!Q4=0,0,1000000*SER_hh_emi_in!Q4/SER_hh_num_in!Q4)</f>
        <v>4782.4244536718825</v>
      </c>
      <c r="R4" s="130">
        <f>IF(SER_hh_emi_in!R4=0,0,1000000*SER_hh_emi_in!R4/SER_hh_num_in!R4)</f>
        <v>5219.2585383646801</v>
      </c>
      <c r="S4" s="130">
        <f>IF(SER_hh_emi_in!S4=0,0,1000000*SER_hh_emi_in!S4/SER_hh_num_in!S4)</f>
        <v>5676.289259289907</v>
      </c>
      <c r="T4" s="130">
        <f>IF(SER_hh_emi_in!T4=0,0,1000000*SER_hh_emi_in!T4/SER_hh_num_in!T4)</f>
        <v>4011.7134585106082</v>
      </c>
      <c r="U4" s="130">
        <f>IF(SER_hh_emi_in!U4=0,0,1000000*SER_hh_emi_in!U4/SER_hh_num_in!U4)</f>
        <v>3527.5695848478199</v>
      </c>
      <c r="V4" s="130">
        <f>IF(SER_hh_emi_in!V4=0,0,1000000*SER_hh_emi_in!V4/SER_hh_num_in!V4)</f>
        <v>1667.71446010059</v>
      </c>
      <c r="W4" s="130">
        <f>IF(SER_hh_emi_in!W4=0,0,1000000*SER_hh_emi_in!W4/SER_hh_num_in!W4)</f>
        <v>2356.5763947519563</v>
      </c>
      <c r="X4" s="130">
        <f>IF(SER_hh_emi_in!X4=0,0,1000000*SER_hh_emi_in!X4/SER_hh_num_in!X4)</f>
        <v>920.48228263303656</v>
      </c>
      <c r="Y4" s="130">
        <f>IF(SER_hh_emi_in!Y4=0,0,1000000*SER_hh_emi_in!Y4/SER_hh_num_in!Y4)</f>
        <v>20.773568741164471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0</v>
      </c>
      <c r="D5" s="132">
        <f>IF(SER_hh_emi_in!D5=0,0,1000000*SER_hh_emi_in!D5/SER_hh_num_in!D5)</f>
        <v>0</v>
      </c>
      <c r="E5" s="132">
        <f>IF(SER_hh_emi_in!E5=0,0,1000000*SER_hh_emi_in!E5/SER_hh_num_in!E5)</f>
        <v>0</v>
      </c>
      <c r="F5" s="132">
        <f>IF(SER_hh_emi_in!F5=0,0,1000000*SER_hh_emi_in!F5/SER_hh_num_in!F5)</f>
        <v>0</v>
      </c>
      <c r="G5" s="132">
        <f>IF(SER_hh_emi_in!G5=0,0,1000000*SER_hh_emi_in!G5/SER_hh_num_in!G5)</f>
        <v>0</v>
      </c>
      <c r="H5" s="132">
        <f>IF(SER_hh_emi_in!H5=0,0,1000000*SER_hh_emi_in!H5/SER_hh_num_in!H5)</f>
        <v>0</v>
      </c>
      <c r="I5" s="132">
        <f>IF(SER_hh_emi_in!I5=0,0,1000000*SER_hh_emi_in!I5/SER_hh_num_in!I5)</f>
        <v>0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0</v>
      </c>
      <c r="N5" s="132">
        <f>IF(SER_hh_emi_in!N5=0,0,1000000*SER_hh_emi_in!N5/SER_hh_num_in!N5)</f>
        <v>0</v>
      </c>
      <c r="O5" s="132">
        <f>IF(SER_hh_emi_in!O5=0,0,1000000*SER_hh_emi_in!O5/SER_hh_num_in!O5)</f>
        <v>14878.096101378153</v>
      </c>
      <c r="P5" s="132">
        <f>IF(SER_hh_emi_in!P5=0,0,1000000*SER_hh_emi_in!P5/SER_hh_num_in!P5)</f>
        <v>0</v>
      </c>
      <c r="Q5" s="132">
        <f>IF(SER_hh_emi_in!Q5=0,0,1000000*SER_hh_emi_in!Q5/SER_hh_num_in!Q5)</f>
        <v>0</v>
      </c>
      <c r="R5" s="132">
        <f>IF(SER_hh_emi_in!R5=0,0,1000000*SER_hh_emi_in!R5/SER_hh_num_in!R5)</f>
        <v>0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0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47515.933331367138</v>
      </c>
      <c r="D7" s="132">
        <f>IF(SER_hh_emi_in!D7=0,0,1000000*SER_hh_emi_in!D7/SER_hh_num_in!D7)</f>
        <v>45024.721941543597</v>
      </c>
      <c r="E7" s="132">
        <f>IF(SER_hh_emi_in!E7=0,0,1000000*SER_hh_emi_in!E7/SER_hh_num_in!E7)</f>
        <v>53518.760956150261</v>
      </c>
      <c r="F7" s="132">
        <f>IF(SER_hh_emi_in!F7=0,0,1000000*SER_hh_emi_in!F7/SER_hh_num_in!F7)</f>
        <v>37059.059078109836</v>
      </c>
      <c r="G7" s="132">
        <f>IF(SER_hh_emi_in!G7=0,0,1000000*SER_hh_emi_in!G7/SER_hh_num_in!G7)</f>
        <v>46624.042892723053</v>
      </c>
      <c r="H7" s="132">
        <f>IF(SER_hh_emi_in!H7=0,0,1000000*SER_hh_emi_in!H7/SER_hh_num_in!H7)</f>
        <v>46686.111275363808</v>
      </c>
      <c r="I7" s="132">
        <f>IF(SER_hh_emi_in!I7=0,0,1000000*SER_hh_emi_in!I7/SER_hh_num_in!I7)</f>
        <v>32581.537483684766</v>
      </c>
      <c r="J7" s="132">
        <f>IF(SER_hh_emi_in!J7=0,0,1000000*SER_hh_emi_in!J7/SER_hh_num_in!J7)</f>
        <v>0</v>
      </c>
      <c r="K7" s="132">
        <f>IF(SER_hh_emi_in!K7=0,0,1000000*SER_hh_emi_in!K7/SER_hh_num_in!K7)</f>
        <v>0</v>
      </c>
      <c r="L7" s="132">
        <f>IF(SER_hh_emi_in!L7=0,0,1000000*SER_hh_emi_in!L7/SER_hh_num_in!L7)</f>
        <v>0</v>
      </c>
      <c r="M7" s="132">
        <f>IF(SER_hh_emi_in!M7=0,0,1000000*SER_hh_emi_in!M7/SER_hh_num_in!M7)</f>
        <v>0</v>
      </c>
      <c r="N7" s="132">
        <f>IF(SER_hh_emi_in!N7=0,0,1000000*SER_hh_emi_in!N7/SER_hh_num_in!N7)</f>
        <v>0</v>
      </c>
      <c r="O7" s="132">
        <f>IF(SER_hh_emi_in!O7=0,0,1000000*SER_hh_emi_in!O7/SER_hh_num_in!O7)</f>
        <v>23494.049159186397</v>
      </c>
      <c r="P7" s="132">
        <f>IF(SER_hh_emi_in!P7=0,0,1000000*SER_hh_emi_in!P7/SER_hh_num_in!P7)</f>
        <v>22512.81340817855</v>
      </c>
      <c r="Q7" s="132">
        <f>IF(SER_hh_emi_in!Q7=0,0,1000000*SER_hh_emi_in!Q7/SER_hh_num_in!Q7)</f>
        <v>20986.897736816412</v>
      </c>
      <c r="R7" s="132">
        <f>IF(SER_hh_emi_in!R7=0,0,1000000*SER_hh_emi_in!R7/SER_hh_num_in!R7)</f>
        <v>18055.836771201386</v>
      </c>
      <c r="S7" s="132">
        <f>IF(SER_hh_emi_in!S7=0,0,1000000*SER_hh_emi_in!S7/SER_hh_num_in!S7)</f>
        <v>24169.422880811941</v>
      </c>
      <c r="T7" s="132">
        <f>IF(SER_hh_emi_in!T7=0,0,1000000*SER_hh_emi_in!T7/SER_hh_num_in!T7)</f>
        <v>20338.247395015758</v>
      </c>
      <c r="U7" s="132">
        <f>IF(SER_hh_emi_in!U7=0,0,1000000*SER_hh_emi_in!U7/SER_hh_num_in!U7)</f>
        <v>18502.235360239814</v>
      </c>
      <c r="V7" s="132">
        <f>IF(SER_hh_emi_in!V7=0,0,1000000*SER_hh_emi_in!V7/SER_hh_num_in!V7)</f>
        <v>17570.450314699341</v>
      </c>
      <c r="W7" s="132">
        <f>IF(SER_hh_emi_in!W7=0,0,1000000*SER_hh_emi_in!W7/SER_hh_num_in!W7)</f>
        <v>22178.973971930078</v>
      </c>
      <c r="X7" s="132">
        <f>IF(SER_hh_emi_in!X7=0,0,1000000*SER_hh_emi_in!X7/SER_hh_num_in!X7)</f>
        <v>0</v>
      </c>
      <c r="Y7" s="132">
        <f>IF(SER_hh_emi_in!Y7=0,0,1000000*SER_hh_emi_in!Y7/SER_hh_num_in!Y7)</f>
        <v>0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9103.5582572693129</v>
      </c>
      <c r="D8" s="132">
        <f>IF(SER_hh_emi_in!D8=0,0,1000000*SER_hh_emi_in!D8/SER_hh_num_in!D8)</f>
        <v>8336.4433926047604</v>
      </c>
      <c r="E8" s="132">
        <f>IF(SER_hh_emi_in!E8=0,0,1000000*SER_hh_emi_in!E8/SER_hh_num_in!E8)</f>
        <v>9385.5497499770008</v>
      </c>
      <c r="F8" s="132">
        <f>IF(SER_hh_emi_in!F8=0,0,1000000*SER_hh_emi_in!F8/SER_hh_num_in!F8)</f>
        <v>9081.5616353402529</v>
      </c>
      <c r="G8" s="132">
        <f>IF(SER_hh_emi_in!G8=0,0,1000000*SER_hh_emi_in!G8/SER_hh_num_in!G8)</f>
        <v>8159.0425634916346</v>
      </c>
      <c r="H8" s="132">
        <f>IF(SER_hh_emi_in!H8=0,0,1000000*SER_hh_emi_in!H8/SER_hh_num_in!H8)</f>
        <v>8357.8717639404531</v>
      </c>
      <c r="I8" s="132">
        <f>IF(SER_hh_emi_in!I8=0,0,1000000*SER_hh_emi_in!I8/SER_hh_num_in!I8)</f>
        <v>6480.2682879062932</v>
      </c>
      <c r="J8" s="132">
        <f>IF(SER_hh_emi_in!J8=0,0,1000000*SER_hh_emi_in!J8/SER_hh_num_in!J8)</f>
        <v>7178.8847619462877</v>
      </c>
      <c r="K8" s="132">
        <f>IF(SER_hh_emi_in!K8=0,0,1000000*SER_hh_emi_in!K8/SER_hh_num_in!K8)</f>
        <v>5834.9304598017134</v>
      </c>
      <c r="L8" s="132">
        <f>IF(SER_hh_emi_in!L8=0,0,1000000*SER_hh_emi_in!L8/SER_hh_num_in!L8)</f>
        <v>5609.6437466441812</v>
      </c>
      <c r="M8" s="132">
        <f>IF(SER_hh_emi_in!M8=0,0,1000000*SER_hh_emi_in!M8/SER_hh_num_in!M8)</f>
        <v>5181.3847789482952</v>
      </c>
      <c r="N8" s="132">
        <f>IF(SER_hh_emi_in!N8=0,0,1000000*SER_hh_emi_in!N8/SER_hh_num_in!N8)</f>
        <v>4900.8401979096361</v>
      </c>
      <c r="O8" s="132">
        <f>IF(SER_hh_emi_in!O8=0,0,1000000*SER_hh_emi_in!O8/SER_hh_num_in!O8)</f>
        <v>4412.3929150014565</v>
      </c>
      <c r="P8" s="132">
        <f>IF(SER_hh_emi_in!P8=0,0,1000000*SER_hh_emi_in!P8/SER_hh_num_in!P8)</f>
        <v>3915.6652641272217</v>
      </c>
      <c r="Q8" s="132">
        <f>IF(SER_hh_emi_in!Q8=0,0,1000000*SER_hh_emi_in!Q8/SER_hh_num_in!Q8)</f>
        <v>3720.3267374146462</v>
      </c>
      <c r="R8" s="132">
        <f>IF(SER_hh_emi_in!R8=0,0,1000000*SER_hh_emi_in!R8/SER_hh_num_in!R8)</f>
        <v>3548.1144538163749</v>
      </c>
      <c r="S8" s="132">
        <f>IF(SER_hh_emi_in!S8=0,0,1000000*SER_hh_emi_in!S8/SER_hh_num_in!S8)</f>
        <v>3775.9458415962026</v>
      </c>
      <c r="T8" s="132">
        <f>IF(SER_hh_emi_in!T8=0,0,1000000*SER_hh_emi_in!T8/SER_hh_num_in!T8)</f>
        <v>3453.0849518403807</v>
      </c>
      <c r="U8" s="132">
        <f>IF(SER_hh_emi_in!U8=0,0,1000000*SER_hh_emi_in!U8/SER_hh_num_in!U8)</f>
        <v>3473.9233349416713</v>
      </c>
      <c r="V8" s="132">
        <f>IF(SER_hh_emi_in!V8=0,0,1000000*SER_hh_emi_in!V8/SER_hh_num_in!V8)</f>
        <v>2897.0390106953801</v>
      </c>
      <c r="W8" s="132">
        <f>IF(SER_hh_emi_in!W8=0,0,1000000*SER_hh_emi_in!W8/SER_hh_num_in!W8)</f>
        <v>3228.3930955717487</v>
      </c>
      <c r="X8" s="132">
        <f>IF(SER_hh_emi_in!X8=0,0,1000000*SER_hh_emi_in!X8/SER_hh_num_in!X8)</f>
        <v>2883.1986238088689</v>
      </c>
      <c r="Y8" s="132">
        <f>IF(SER_hh_emi_in!Y8=0,0,1000000*SER_hh_emi_in!Y8/SER_hh_num_in!Y8)</f>
        <v>2665.3437092969434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34564.090333544344</v>
      </c>
      <c r="D9" s="132">
        <f>IF(SER_hh_emi_in!D9=0,0,1000000*SER_hh_emi_in!D9/SER_hh_num_in!D9)</f>
        <v>29701.330098065217</v>
      </c>
      <c r="E9" s="132">
        <f>IF(SER_hh_emi_in!E9=0,0,1000000*SER_hh_emi_in!E9/SER_hh_num_in!E9)</f>
        <v>34039.381392021722</v>
      </c>
      <c r="F9" s="132">
        <f>IF(SER_hh_emi_in!F9=0,0,1000000*SER_hh_emi_in!F9/SER_hh_num_in!F9)</f>
        <v>0</v>
      </c>
      <c r="G9" s="132">
        <f>IF(SER_hh_emi_in!G9=0,0,1000000*SER_hh_emi_in!G9/SER_hh_num_in!G9)</f>
        <v>0</v>
      </c>
      <c r="H9" s="132">
        <f>IF(SER_hh_emi_in!H9=0,0,1000000*SER_hh_emi_in!H9/SER_hh_num_in!H9)</f>
        <v>0</v>
      </c>
      <c r="I9" s="132">
        <f>IF(SER_hh_emi_in!I9=0,0,1000000*SER_hh_emi_in!I9/SER_hh_num_in!I9)</f>
        <v>0</v>
      </c>
      <c r="J9" s="132">
        <f>IF(SER_hh_emi_in!J9=0,0,1000000*SER_hh_emi_in!J9/SER_hh_num_in!J9)</f>
        <v>0</v>
      </c>
      <c r="K9" s="132">
        <f>IF(SER_hh_emi_in!K9=0,0,1000000*SER_hh_emi_in!K9/SER_hh_num_in!K9)</f>
        <v>20735.531479931109</v>
      </c>
      <c r="L9" s="132">
        <f>IF(SER_hh_emi_in!L9=0,0,1000000*SER_hh_emi_in!L9/SER_hh_num_in!L9)</f>
        <v>22448.567578842289</v>
      </c>
      <c r="M9" s="132">
        <f>IF(SER_hh_emi_in!M9=0,0,1000000*SER_hh_emi_in!M9/SER_hh_num_in!M9)</f>
        <v>18086.459415749734</v>
      </c>
      <c r="N9" s="132">
        <f>IF(SER_hh_emi_in!N9=0,0,1000000*SER_hh_emi_in!N9/SER_hh_num_in!N9)</f>
        <v>20225.549443698703</v>
      </c>
      <c r="O9" s="132">
        <f>IF(SER_hh_emi_in!O9=0,0,1000000*SER_hh_emi_in!O9/SER_hh_num_in!O9)</f>
        <v>19387.783095581901</v>
      </c>
      <c r="P9" s="132">
        <f>IF(SER_hh_emi_in!P9=0,0,1000000*SER_hh_emi_in!P9/SER_hh_num_in!P9)</f>
        <v>13527.023297006917</v>
      </c>
      <c r="Q9" s="132">
        <f>IF(SER_hh_emi_in!Q9=0,0,1000000*SER_hh_emi_in!Q9/SER_hh_num_in!Q9)</f>
        <v>14762.33781178237</v>
      </c>
      <c r="R9" s="132">
        <f>IF(SER_hh_emi_in!R9=0,0,1000000*SER_hh_emi_in!R9/SER_hh_num_in!R9)</f>
        <v>12918.569963103151</v>
      </c>
      <c r="S9" s="132">
        <f>IF(SER_hh_emi_in!S9=0,0,1000000*SER_hh_emi_in!S9/SER_hh_num_in!S9)</f>
        <v>14170.070109111861</v>
      </c>
      <c r="T9" s="132">
        <f>IF(SER_hh_emi_in!T9=0,0,1000000*SER_hh_emi_in!T9/SER_hh_num_in!T9)</f>
        <v>12851.426744349003</v>
      </c>
      <c r="U9" s="132">
        <f>IF(SER_hh_emi_in!U9=0,0,1000000*SER_hh_emi_in!U9/SER_hh_num_in!U9)</f>
        <v>13368.455785288728</v>
      </c>
      <c r="V9" s="132">
        <f>IF(SER_hh_emi_in!V9=0,0,1000000*SER_hh_emi_in!V9/SER_hh_num_in!V9)</f>
        <v>0</v>
      </c>
      <c r="W9" s="132">
        <f>IF(SER_hh_emi_in!W9=0,0,1000000*SER_hh_emi_in!W9/SER_hh_num_in!W9)</f>
        <v>14715.36970053631</v>
      </c>
      <c r="X9" s="132">
        <f>IF(SER_hh_emi_in!X9=0,0,1000000*SER_hh_emi_in!X9/SER_hh_num_in!X9)</f>
        <v>9279.608661683309</v>
      </c>
      <c r="Y9" s="132">
        <f>IF(SER_hh_emi_in!Y9=0,0,1000000*SER_hh_emi_in!Y9/SER_hh_num_in!Y9)</f>
        <v>11316.955183645961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14308.39544406509</v>
      </c>
      <c r="D10" s="132">
        <f>IF(SER_hh_emi_in!D10=0,0,1000000*SER_hh_emi_in!D10/SER_hh_num_in!D10)</f>
        <v>13707.581788086625</v>
      </c>
      <c r="E10" s="132">
        <f>IF(SER_hh_emi_in!E10=0,0,1000000*SER_hh_emi_in!E10/SER_hh_num_in!E10)</f>
        <v>14485.837100841347</v>
      </c>
      <c r="F10" s="132">
        <f>IF(SER_hh_emi_in!F10=0,0,1000000*SER_hh_emi_in!F10/SER_hh_num_in!F10)</f>
        <v>11426.069394857872</v>
      </c>
      <c r="G10" s="132">
        <f>IF(SER_hh_emi_in!G10=0,0,1000000*SER_hh_emi_in!G10/SER_hh_num_in!G10)</f>
        <v>23038.266921786446</v>
      </c>
      <c r="H10" s="132">
        <f>IF(SER_hh_emi_in!H10=0,0,1000000*SER_hh_emi_in!H10/SER_hh_num_in!H10)</f>
        <v>15679.736810651621</v>
      </c>
      <c r="I10" s="132">
        <f>IF(SER_hh_emi_in!I10=0,0,1000000*SER_hh_emi_in!I10/SER_hh_num_in!I10)</f>
        <v>7076.0552719543921</v>
      </c>
      <c r="J10" s="132">
        <f>IF(SER_hh_emi_in!J10=0,0,1000000*SER_hh_emi_in!J10/SER_hh_num_in!J10)</f>
        <v>1171.5795980405085</v>
      </c>
      <c r="K10" s="132">
        <f>IF(SER_hh_emi_in!K10=0,0,1000000*SER_hh_emi_in!K10/SER_hh_num_in!K10)</f>
        <v>1144.9779843268077</v>
      </c>
      <c r="L10" s="132">
        <f>IF(SER_hh_emi_in!L10=0,0,1000000*SER_hh_emi_in!L10/SER_hh_num_in!L10)</f>
        <v>1293.6284497418194</v>
      </c>
      <c r="M10" s="132">
        <f>IF(SER_hh_emi_in!M10=0,0,1000000*SER_hh_emi_in!M10/SER_hh_num_in!M10)</f>
        <v>1121.3089416113478</v>
      </c>
      <c r="N10" s="132">
        <f>IF(SER_hh_emi_in!N10=0,0,1000000*SER_hh_emi_in!N10/SER_hh_num_in!N10)</f>
        <v>0</v>
      </c>
      <c r="O10" s="132">
        <f>IF(SER_hh_emi_in!O10=0,0,1000000*SER_hh_emi_in!O10/SER_hh_num_in!O10)</f>
        <v>0</v>
      </c>
      <c r="P10" s="132">
        <f>IF(SER_hh_emi_in!P10=0,0,1000000*SER_hh_emi_in!P10/SER_hh_num_in!P10)</f>
        <v>0</v>
      </c>
      <c r="Q10" s="132">
        <f>IF(SER_hh_emi_in!Q10=0,0,1000000*SER_hh_emi_in!Q10/SER_hh_num_in!Q10)</f>
        <v>0</v>
      </c>
      <c r="R10" s="132">
        <f>IF(SER_hh_emi_in!R10=0,0,1000000*SER_hh_emi_in!R10/SER_hh_num_in!R10)</f>
        <v>0</v>
      </c>
      <c r="S10" s="132">
        <f>IF(SER_hh_emi_in!S10=0,0,1000000*SER_hh_emi_in!S10/SER_hh_num_in!S10)</f>
        <v>0</v>
      </c>
      <c r="T10" s="132">
        <f>IF(SER_hh_emi_in!T10=0,0,1000000*SER_hh_emi_in!T10/SER_hh_num_in!T10)</f>
        <v>0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0</v>
      </c>
      <c r="X10" s="132">
        <f>IF(SER_hh_emi_in!X10=0,0,1000000*SER_hh_emi_in!X10/SER_hh_num_in!X10)</f>
        <v>0</v>
      </c>
      <c r="Y10" s="132">
        <f>IF(SER_hh_emi_in!Y10=0,0,1000000*SER_hh_emi_in!Y10/SER_hh_num_in!Y10)</f>
        <v>0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5.4077297609757267</v>
      </c>
      <c r="D16" s="130">
        <f>IF(SER_hh_emi_in!D16=0,0,1000000*SER_hh_emi_in!D16/SER_hh_num_in!D16)</f>
        <v>7.68565118936547</v>
      </c>
      <c r="E16" s="130">
        <f>IF(SER_hh_emi_in!E16=0,0,1000000*SER_hh_emi_in!E16/SER_hh_num_in!E16)</f>
        <v>4.9428002425931732</v>
      </c>
      <c r="F16" s="130">
        <f>IF(SER_hh_emi_in!F16=0,0,1000000*SER_hh_emi_in!F16/SER_hh_num_in!F16)</f>
        <v>12.060151114310752</v>
      </c>
      <c r="G16" s="130">
        <f>IF(SER_hh_emi_in!G16=0,0,1000000*SER_hh_emi_in!G16/SER_hh_num_in!G16)</f>
        <v>8.5021222083640282</v>
      </c>
      <c r="H16" s="130">
        <f>IF(SER_hh_emi_in!H16=0,0,1000000*SER_hh_emi_in!H16/SER_hh_num_in!H16)</f>
        <v>8.1707524252841512</v>
      </c>
      <c r="I16" s="130">
        <f>IF(SER_hh_emi_in!I16=0,0,1000000*SER_hh_emi_in!I16/SER_hh_num_in!I16)</f>
        <v>12.672838624445449</v>
      </c>
      <c r="J16" s="130">
        <f>IF(SER_hh_emi_in!J16=0,0,1000000*SER_hh_emi_in!J16/SER_hh_num_in!J16)</f>
        <v>12.062788585502755</v>
      </c>
      <c r="K16" s="130">
        <f>IF(SER_hh_emi_in!K16=0,0,1000000*SER_hh_emi_in!K16/SER_hh_num_in!K16)</f>
        <v>23.974305702951106</v>
      </c>
      <c r="L16" s="130">
        <f>IF(SER_hh_emi_in!L16=0,0,1000000*SER_hh_emi_in!L16/SER_hh_num_in!L16)</f>
        <v>12.026490897764534</v>
      </c>
      <c r="M16" s="130">
        <f>IF(SER_hh_emi_in!M16=0,0,1000000*SER_hh_emi_in!M16/SER_hh_num_in!M16)</f>
        <v>13.422569085180744</v>
      </c>
      <c r="N16" s="130">
        <f>IF(SER_hh_emi_in!N16=0,0,1000000*SER_hh_emi_in!N16/SER_hh_num_in!N16)</f>
        <v>18.062188716999511</v>
      </c>
      <c r="O16" s="130">
        <f>IF(SER_hh_emi_in!O16=0,0,1000000*SER_hh_emi_in!O16/SER_hh_num_in!O16)</f>
        <v>19.380730769074248</v>
      </c>
      <c r="P16" s="130">
        <f>IF(SER_hh_emi_in!P16=0,0,1000000*SER_hh_emi_in!P16/SER_hh_num_in!P16)</f>
        <v>19.734688251537314</v>
      </c>
      <c r="Q16" s="130">
        <f>IF(SER_hh_emi_in!Q16=0,0,1000000*SER_hh_emi_in!Q16/SER_hh_num_in!Q16)</f>
        <v>24.104883744075195</v>
      </c>
      <c r="R16" s="130">
        <f>IF(SER_hh_emi_in!R16=0,0,1000000*SER_hh_emi_in!R16/SER_hh_num_in!R16)</f>
        <v>15.834331434996958</v>
      </c>
      <c r="S16" s="130">
        <f>IF(SER_hh_emi_in!S16=0,0,1000000*SER_hh_emi_in!S16/SER_hh_num_in!S16)</f>
        <v>25.336344658182298</v>
      </c>
      <c r="T16" s="130">
        <f>IF(SER_hh_emi_in!T16=0,0,1000000*SER_hh_emi_in!T16/SER_hh_num_in!T16)</f>
        <v>21.237945463456462</v>
      </c>
      <c r="U16" s="130">
        <f>IF(SER_hh_emi_in!U16=0,0,1000000*SER_hh_emi_in!U16/SER_hh_num_in!U16)</f>
        <v>31.283222976056521</v>
      </c>
      <c r="V16" s="130">
        <f>IF(SER_hh_emi_in!V16=0,0,1000000*SER_hh_emi_in!V16/SER_hh_num_in!V16)</f>
        <v>18.986747442428726</v>
      </c>
      <c r="W16" s="130">
        <f>IF(SER_hh_emi_in!W16=0,0,1000000*SER_hh_emi_in!W16/SER_hh_num_in!W16)</f>
        <v>15.75615568360435</v>
      </c>
      <c r="X16" s="130">
        <f>IF(SER_hh_emi_in!X16=0,0,1000000*SER_hh_emi_in!X16/SER_hh_num_in!X16)</f>
        <v>23.111054991770594</v>
      </c>
      <c r="Y16" s="130">
        <f>IF(SER_hh_emi_in!Y16=0,0,1000000*SER_hh_emi_in!Y16/SER_hh_num_in!Y16)</f>
        <v>24.463566502921946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3373.3471195601815</v>
      </c>
      <c r="D17" s="132">
        <f>IF(SER_hh_emi_in!D17=0,0,1000000*SER_hh_emi_in!D17/SER_hh_num_in!D17)</f>
        <v>3341.4978021207412</v>
      </c>
      <c r="E17" s="132">
        <f>IF(SER_hh_emi_in!E17=0,0,1000000*SER_hh_emi_in!E17/SER_hh_num_in!E17)</f>
        <v>3673.8698443040066</v>
      </c>
      <c r="F17" s="132">
        <f>IF(SER_hh_emi_in!F17=0,0,1000000*SER_hh_emi_in!F17/SER_hh_num_in!F17)</f>
        <v>3222.0631182985767</v>
      </c>
      <c r="G17" s="132">
        <f>IF(SER_hh_emi_in!G17=0,0,1000000*SER_hh_emi_in!G17/SER_hh_num_in!G17)</f>
        <v>3205.6844120110777</v>
      </c>
      <c r="H17" s="132">
        <f>IF(SER_hh_emi_in!H17=0,0,1000000*SER_hh_emi_in!H17/SER_hh_num_in!H17)</f>
        <v>3314.5292751026964</v>
      </c>
      <c r="I17" s="132">
        <f>IF(SER_hh_emi_in!I17=0,0,1000000*SER_hh_emi_in!I17/SER_hh_num_in!I17)</f>
        <v>3239.4271512825526</v>
      </c>
      <c r="J17" s="132">
        <f>IF(SER_hh_emi_in!J17=0,0,1000000*SER_hh_emi_in!J17/SER_hh_num_in!J17)</f>
        <v>3062.6678430801703</v>
      </c>
      <c r="K17" s="132">
        <f>IF(SER_hh_emi_in!K17=0,0,1000000*SER_hh_emi_in!K17/SER_hh_num_in!K17)</f>
        <v>3010.0416770878405</v>
      </c>
      <c r="L17" s="132">
        <f>IF(SER_hh_emi_in!L17=0,0,1000000*SER_hh_emi_in!L17/SER_hh_num_in!L17)</f>
        <v>3045.3249990760205</v>
      </c>
      <c r="M17" s="132">
        <f>IF(SER_hh_emi_in!M17=0,0,1000000*SER_hh_emi_in!M17/SER_hh_num_in!M17)</f>
        <v>3124.1560061751006</v>
      </c>
      <c r="N17" s="132">
        <f>IF(SER_hh_emi_in!N17=0,0,1000000*SER_hh_emi_in!N17/SER_hh_num_in!N17)</f>
        <v>2914.0981666818839</v>
      </c>
      <c r="O17" s="132">
        <f>IF(SER_hh_emi_in!O17=0,0,1000000*SER_hh_emi_in!O17/SER_hh_num_in!O17)</f>
        <v>3011.186301813862</v>
      </c>
      <c r="P17" s="132">
        <f>IF(SER_hh_emi_in!P17=0,0,1000000*SER_hh_emi_in!P17/SER_hh_num_in!P17)</f>
        <v>2586.3986600546591</v>
      </c>
      <c r="Q17" s="132">
        <f>IF(SER_hh_emi_in!Q17=0,0,1000000*SER_hh_emi_in!Q17/SER_hh_num_in!Q17)</f>
        <v>3095.4268315503632</v>
      </c>
      <c r="R17" s="132">
        <f>IF(SER_hh_emi_in!R17=0,0,1000000*SER_hh_emi_in!R17/SER_hh_num_in!R17)</f>
        <v>2526.3310604038315</v>
      </c>
      <c r="S17" s="132">
        <f>IF(SER_hh_emi_in!S17=0,0,1000000*SER_hh_emi_in!S17/SER_hh_num_in!S17)</f>
        <v>2666.1583402134697</v>
      </c>
      <c r="T17" s="132">
        <f>IF(SER_hh_emi_in!T17=0,0,1000000*SER_hh_emi_in!T17/SER_hh_num_in!T17)</f>
        <v>2571.6198870144617</v>
      </c>
      <c r="U17" s="132">
        <f>IF(SER_hh_emi_in!U17=0,0,1000000*SER_hh_emi_in!U17/SER_hh_num_in!U17)</f>
        <v>2603.4808337868667</v>
      </c>
      <c r="V17" s="132">
        <f>IF(SER_hh_emi_in!V17=0,0,1000000*SER_hh_emi_in!V17/SER_hh_num_in!V17)</f>
        <v>2266.6327945140906</v>
      </c>
      <c r="W17" s="132">
        <f>IF(SER_hh_emi_in!W17=0,0,1000000*SER_hh_emi_in!W17/SER_hh_num_in!W17)</f>
        <v>2332.4324314152568</v>
      </c>
      <c r="X17" s="132">
        <f>IF(SER_hh_emi_in!X17=0,0,1000000*SER_hh_emi_in!X17/SER_hh_num_in!X17)</f>
        <v>2436.3353676597385</v>
      </c>
      <c r="Y17" s="132">
        <f>IF(SER_hh_emi_in!Y17=0,0,1000000*SER_hh_emi_in!Y17/SER_hh_num_in!Y17)</f>
        <v>2565.0731537295146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1081.0299241015666</v>
      </c>
      <c r="D19" s="130">
        <f>IF(SER_hh_emi_in!D19=0,0,1000000*SER_hh_emi_in!D19/SER_hh_num_in!D19)</f>
        <v>1869.0939236113272</v>
      </c>
      <c r="E19" s="130">
        <f>IF(SER_hh_emi_in!E19=0,0,1000000*SER_hh_emi_in!E19/SER_hh_num_in!E19)</f>
        <v>1089.7321716225106</v>
      </c>
      <c r="F19" s="130">
        <f>IF(SER_hh_emi_in!F19=0,0,1000000*SER_hh_emi_in!F19/SER_hh_num_in!F19)</f>
        <v>1381.7634953501981</v>
      </c>
      <c r="G19" s="130">
        <f>IF(SER_hh_emi_in!G19=0,0,1000000*SER_hh_emi_in!G19/SER_hh_num_in!G19)</f>
        <v>1064.0927591257057</v>
      </c>
      <c r="H19" s="130">
        <f>IF(SER_hh_emi_in!H19=0,0,1000000*SER_hh_emi_in!H19/SER_hh_num_in!H19)</f>
        <v>1012.2053929181146</v>
      </c>
      <c r="I19" s="130">
        <f>IF(SER_hh_emi_in!I19=0,0,1000000*SER_hh_emi_in!I19/SER_hh_num_in!I19)</f>
        <v>636.6686588357303</v>
      </c>
      <c r="J19" s="130">
        <f>IF(SER_hh_emi_in!J19=0,0,1000000*SER_hh_emi_in!J19/SER_hh_num_in!J19)</f>
        <v>400.01382940240859</v>
      </c>
      <c r="K19" s="130">
        <f>IF(SER_hh_emi_in!K19=0,0,1000000*SER_hh_emi_in!K19/SER_hh_num_in!K19)</f>
        <v>950.56950022865465</v>
      </c>
      <c r="L19" s="130">
        <f>IF(SER_hh_emi_in!L19=0,0,1000000*SER_hh_emi_in!L19/SER_hh_num_in!L19)</f>
        <v>346.38137602368869</v>
      </c>
      <c r="M19" s="130">
        <f>IF(SER_hh_emi_in!M19=0,0,1000000*SER_hh_emi_in!M19/SER_hh_num_in!M19)</f>
        <v>447.28076309273416</v>
      </c>
      <c r="N19" s="130">
        <f>IF(SER_hh_emi_in!N19=0,0,1000000*SER_hh_emi_in!N19/SER_hh_num_in!N19)</f>
        <v>443.91043644294416</v>
      </c>
      <c r="O19" s="130">
        <f>IF(SER_hh_emi_in!O19=0,0,1000000*SER_hh_emi_in!O19/SER_hh_num_in!O19)</f>
        <v>1016.8543125440009</v>
      </c>
      <c r="P19" s="130">
        <f>IF(SER_hh_emi_in!P19=0,0,1000000*SER_hh_emi_in!P19/SER_hh_num_in!P19)</f>
        <v>289.78537482073909</v>
      </c>
      <c r="Q19" s="130">
        <f>IF(SER_hh_emi_in!Q19=0,0,1000000*SER_hh_emi_in!Q19/SER_hh_num_in!Q19)</f>
        <v>652.09395985461686</v>
      </c>
      <c r="R19" s="130">
        <f>IF(SER_hh_emi_in!R19=0,0,1000000*SER_hh_emi_in!R19/SER_hh_num_in!R19)</f>
        <v>741.07221397868136</v>
      </c>
      <c r="S19" s="130">
        <f>IF(SER_hh_emi_in!S19=0,0,1000000*SER_hh_emi_in!S19/SER_hh_num_in!S19)</f>
        <v>644.25525365181807</v>
      </c>
      <c r="T19" s="130">
        <f>IF(SER_hh_emi_in!T19=0,0,1000000*SER_hh_emi_in!T19/SER_hh_num_in!T19)</f>
        <v>524.39090170644636</v>
      </c>
      <c r="U19" s="130">
        <f>IF(SER_hh_emi_in!U19=0,0,1000000*SER_hh_emi_in!U19/SER_hh_num_in!U19)</f>
        <v>815.72951485485282</v>
      </c>
      <c r="V19" s="130">
        <f>IF(SER_hh_emi_in!V19=0,0,1000000*SER_hh_emi_in!V19/SER_hh_num_in!V19)</f>
        <v>514.20307258999765</v>
      </c>
      <c r="W19" s="130">
        <f>IF(SER_hh_emi_in!W19=0,0,1000000*SER_hh_emi_in!W19/SER_hh_num_in!W19)</f>
        <v>846.66378809423418</v>
      </c>
      <c r="X19" s="130">
        <f>IF(SER_hh_emi_in!X19=0,0,1000000*SER_hh_emi_in!X19/SER_hh_num_in!X19)</f>
        <v>811.3283158116709</v>
      </c>
      <c r="Y19" s="130">
        <f>IF(SER_hh_emi_in!Y19=0,0,1000000*SER_hh_emi_in!Y19/SER_hh_num_in!Y19)</f>
        <v>988.50457345344694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2268.4356249470879</v>
      </c>
      <c r="D21" s="132">
        <f>IF(SER_hh_emi_in!D21=0,0,1000000*SER_hh_emi_in!D21/SER_hh_num_in!D21)</f>
        <v>4647.9344437559048</v>
      </c>
      <c r="E21" s="132">
        <f>IF(SER_hh_emi_in!E21=0,0,1000000*SER_hh_emi_in!E21/SER_hh_num_in!E21)</f>
        <v>3738.0669397757883</v>
      </c>
      <c r="F21" s="132">
        <f>IF(SER_hh_emi_in!F21=0,0,1000000*SER_hh_emi_in!F21/SER_hh_num_in!F21)</f>
        <v>4789.3999327310612</v>
      </c>
      <c r="G21" s="132">
        <f>IF(SER_hh_emi_in!G21=0,0,1000000*SER_hh_emi_in!G21/SER_hh_num_in!G21)</f>
        <v>5383.4010451449321</v>
      </c>
      <c r="H21" s="132">
        <f>IF(SER_hh_emi_in!H21=0,0,1000000*SER_hh_emi_in!H21/SER_hh_num_in!H21)</f>
        <v>5348.3015144812953</v>
      </c>
      <c r="I21" s="132">
        <f>IF(SER_hh_emi_in!I21=0,0,1000000*SER_hh_emi_in!I21/SER_hh_num_in!I21)</f>
        <v>4272.6826701587634</v>
      </c>
      <c r="J21" s="132">
        <f>IF(SER_hh_emi_in!J21=0,0,1000000*SER_hh_emi_in!J21/SER_hh_num_in!J21)</f>
        <v>0</v>
      </c>
      <c r="K21" s="132">
        <f>IF(SER_hh_emi_in!K21=0,0,1000000*SER_hh_emi_in!K21/SER_hh_num_in!K21)</f>
        <v>5583.5991425558941</v>
      </c>
      <c r="L21" s="132">
        <f>IF(SER_hh_emi_in!L21=0,0,1000000*SER_hh_emi_in!L21/SER_hh_num_in!L21)</f>
        <v>0</v>
      </c>
      <c r="M21" s="132">
        <f>IF(SER_hh_emi_in!M21=0,0,1000000*SER_hh_emi_in!M21/SER_hh_num_in!M21)</f>
        <v>0</v>
      </c>
      <c r="N21" s="132">
        <f>IF(SER_hh_emi_in!N21=0,0,1000000*SER_hh_emi_in!N21/SER_hh_num_in!N21)</f>
        <v>0</v>
      </c>
      <c r="O21" s="132">
        <f>IF(SER_hh_emi_in!O21=0,0,1000000*SER_hh_emi_in!O21/SER_hh_num_in!O21)</f>
        <v>0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0</v>
      </c>
      <c r="S21" s="132">
        <f>IF(SER_hh_emi_in!S21=0,0,1000000*SER_hh_emi_in!S21/SER_hh_num_in!S21)</f>
        <v>0</v>
      </c>
      <c r="T21" s="132">
        <f>IF(SER_hh_emi_in!T21=0,0,1000000*SER_hh_emi_in!T21/SER_hh_num_in!T21)</f>
        <v>0</v>
      </c>
      <c r="U21" s="132">
        <f>IF(SER_hh_emi_in!U21=0,0,1000000*SER_hh_emi_in!U21/SER_hh_num_in!U21)</f>
        <v>0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0</v>
      </c>
      <c r="Y21" s="132">
        <f>IF(SER_hh_emi_in!Y21=0,0,1000000*SER_hh_emi_in!Y21/SER_hh_num_in!Y21)</f>
        <v>0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3683.7597491372976</v>
      </c>
      <c r="D22" s="132">
        <f>IF(SER_hh_emi_in!D22=0,0,1000000*SER_hh_emi_in!D22/SER_hh_num_in!D22)</f>
        <v>5814.1809498792509</v>
      </c>
      <c r="E22" s="132">
        <f>IF(SER_hh_emi_in!E22=0,0,1000000*SER_hh_emi_in!E22/SER_hh_num_in!E22)</f>
        <v>2935.6266507174646</v>
      </c>
      <c r="F22" s="132">
        <f>IF(SER_hh_emi_in!F22=0,0,1000000*SER_hh_emi_in!F22/SER_hh_num_in!F22)</f>
        <v>5865.1027204060729</v>
      </c>
      <c r="G22" s="132">
        <f>IF(SER_hh_emi_in!G22=0,0,1000000*SER_hh_emi_in!G22/SER_hh_num_in!G22)</f>
        <v>6611.0020689750472</v>
      </c>
      <c r="H22" s="132">
        <f>IF(SER_hh_emi_in!H22=0,0,1000000*SER_hh_emi_in!H22/SER_hh_num_in!H22)</f>
        <v>6493.9132510808722</v>
      </c>
      <c r="I22" s="132">
        <f>IF(SER_hh_emi_in!I22=0,0,1000000*SER_hh_emi_in!I22/SER_hh_num_in!I22)</f>
        <v>5130.2829590367473</v>
      </c>
      <c r="J22" s="132">
        <f>IF(SER_hh_emi_in!J22=0,0,1000000*SER_hh_emi_in!J22/SER_hh_num_in!J22)</f>
        <v>3072.4351128884596</v>
      </c>
      <c r="K22" s="132">
        <f>IF(SER_hh_emi_in!K22=0,0,1000000*SER_hh_emi_in!K22/SER_hh_num_in!K22)</f>
        <v>6567.4165341867156</v>
      </c>
      <c r="L22" s="132">
        <f>IF(SER_hh_emi_in!L22=0,0,1000000*SER_hh_emi_in!L22/SER_hh_num_in!L22)</f>
        <v>1820.303411676296</v>
      </c>
      <c r="M22" s="132">
        <f>IF(SER_hh_emi_in!M22=0,0,1000000*SER_hh_emi_in!M22/SER_hh_num_in!M22)</f>
        <v>2565.3130628194922</v>
      </c>
      <c r="N22" s="132">
        <f>IF(SER_hh_emi_in!N22=0,0,1000000*SER_hh_emi_in!N22/SER_hh_num_in!N22)</f>
        <v>3057.0041232690651</v>
      </c>
      <c r="O22" s="132">
        <f>IF(SER_hh_emi_in!O22=0,0,1000000*SER_hh_emi_in!O22/SER_hh_num_in!O22)</f>
        <v>6205.0916478897689</v>
      </c>
      <c r="P22" s="132">
        <f>IF(SER_hh_emi_in!P22=0,0,1000000*SER_hh_emi_in!P22/SER_hh_num_in!P22)</f>
        <v>0</v>
      </c>
      <c r="Q22" s="132">
        <f>IF(SER_hh_emi_in!Q22=0,0,1000000*SER_hh_emi_in!Q22/SER_hh_num_in!Q22)</f>
        <v>5562.9093428320239</v>
      </c>
      <c r="R22" s="132">
        <f>IF(SER_hh_emi_in!R22=0,0,1000000*SER_hh_emi_in!R22/SER_hh_num_in!R22)</f>
        <v>5393.0877112903327</v>
      </c>
      <c r="S22" s="132">
        <f>IF(SER_hh_emi_in!S22=0,0,1000000*SER_hh_emi_in!S22/SER_hh_num_in!S22)</f>
        <v>3497.5624323057959</v>
      </c>
      <c r="T22" s="132">
        <f>IF(SER_hh_emi_in!T22=0,0,1000000*SER_hh_emi_in!T22/SER_hh_num_in!T22)</f>
        <v>2957.1913521408942</v>
      </c>
      <c r="U22" s="132">
        <f>IF(SER_hh_emi_in!U22=0,0,1000000*SER_hh_emi_in!U22/SER_hh_num_in!U22)</f>
        <v>5054.4447699028015</v>
      </c>
      <c r="V22" s="132">
        <f>IF(SER_hh_emi_in!V22=0,0,1000000*SER_hh_emi_in!V22/SER_hh_num_in!V22)</f>
        <v>3340.4559397001017</v>
      </c>
      <c r="W22" s="132">
        <f>IF(SER_hh_emi_in!W22=0,0,1000000*SER_hh_emi_in!W22/SER_hh_num_in!W22)</f>
        <v>4562.8854987061177</v>
      </c>
      <c r="X22" s="132">
        <f>IF(SER_hh_emi_in!X22=0,0,1000000*SER_hh_emi_in!X22/SER_hh_num_in!X22)</f>
        <v>2862.4332519023424</v>
      </c>
      <c r="Y22" s="132">
        <f>IF(SER_hh_emi_in!Y22=0,0,1000000*SER_hh_emi_in!Y22/SER_hh_num_in!Y22)</f>
        <v>4766.6436727245773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2449.2410078352768</v>
      </c>
      <c r="D23" s="132">
        <f>IF(SER_hh_emi_in!D23=0,0,1000000*SER_hh_emi_in!D23/SER_hh_num_in!D23)</f>
        <v>3995.0781356879047</v>
      </c>
      <c r="E23" s="132">
        <f>IF(SER_hh_emi_in!E23=0,0,1000000*SER_hh_emi_in!E23/SER_hh_num_in!E23)</f>
        <v>2390.6937728657176</v>
      </c>
      <c r="F23" s="132">
        <f>IF(SER_hh_emi_in!F23=0,0,1000000*SER_hh_emi_in!F23/SER_hh_num_in!F23)</f>
        <v>3994.1768359514822</v>
      </c>
      <c r="G23" s="132">
        <f>IF(SER_hh_emi_in!G23=0,0,1000000*SER_hh_emi_in!G23/SER_hh_num_in!G23)</f>
        <v>4520.9599467879052</v>
      </c>
      <c r="H23" s="132">
        <f>IF(SER_hh_emi_in!H23=0,0,1000000*SER_hh_emi_in!H23/SER_hh_num_in!H23)</f>
        <v>4467.435649551071</v>
      </c>
      <c r="I23" s="132">
        <f>IF(SER_hh_emi_in!I23=0,0,1000000*SER_hh_emi_in!I23/SER_hh_num_in!I23)</f>
        <v>3517.9262976031569</v>
      </c>
      <c r="J23" s="132">
        <f>IF(SER_hh_emi_in!J23=0,0,1000000*SER_hh_emi_in!J23/SER_hh_num_in!J23)</f>
        <v>2459.0477605491556</v>
      </c>
      <c r="K23" s="132">
        <f>IF(SER_hh_emi_in!K23=0,0,1000000*SER_hh_emi_in!K23/SER_hh_num_in!K23)</f>
        <v>4389.7450727742189</v>
      </c>
      <c r="L23" s="132">
        <f>IF(SER_hh_emi_in!L23=0,0,1000000*SER_hh_emi_in!L23/SER_hh_num_in!L23)</f>
        <v>1871.8923886499999</v>
      </c>
      <c r="M23" s="132">
        <f>IF(SER_hh_emi_in!M23=0,0,1000000*SER_hh_emi_in!M23/SER_hh_num_in!M23)</f>
        <v>2228.099788158122</v>
      </c>
      <c r="N23" s="132">
        <f>IF(SER_hh_emi_in!N23=0,0,1000000*SER_hh_emi_in!N23/SER_hh_num_in!N23)</f>
        <v>2538.9942786952256</v>
      </c>
      <c r="O23" s="132">
        <f>IF(SER_hh_emi_in!O23=0,0,1000000*SER_hh_emi_in!O23/SER_hh_num_in!O23)</f>
        <v>4406.6090547475706</v>
      </c>
      <c r="P23" s="132">
        <f>IF(SER_hh_emi_in!P23=0,0,1000000*SER_hh_emi_in!P23/SER_hh_num_in!P23)</f>
        <v>2809.24355823827</v>
      </c>
      <c r="Q23" s="132">
        <f>IF(SER_hh_emi_in!Q23=0,0,1000000*SER_hh_emi_in!Q23/SER_hh_num_in!Q23)</f>
        <v>4123.1792231882891</v>
      </c>
      <c r="R23" s="132">
        <f>IF(SER_hh_emi_in!R23=0,0,1000000*SER_hh_emi_in!R23/SER_hh_num_in!R23)</f>
        <v>3955.632343050509</v>
      </c>
      <c r="S23" s="132">
        <f>IF(SER_hh_emi_in!S23=0,0,1000000*SER_hh_emi_in!S23/SER_hh_num_in!S23)</f>
        <v>2517.6257208482807</v>
      </c>
      <c r="T23" s="132">
        <f>IF(SER_hh_emi_in!T23=0,0,1000000*SER_hh_emi_in!T23/SER_hh_num_in!T23)</f>
        <v>2139.5630817153574</v>
      </c>
      <c r="U23" s="132">
        <f>IF(SER_hh_emi_in!U23=0,0,1000000*SER_hh_emi_in!U23/SER_hh_num_in!U23)</f>
        <v>3663.2621187345039</v>
      </c>
      <c r="V23" s="132">
        <f>IF(SER_hh_emi_in!V23=0,0,1000000*SER_hh_emi_in!V23/SER_hh_num_in!V23)</f>
        <v>2489.303678791342</v>
      </c>
      <c r="W23" s="132">
        <f>IF(SER_hh_emi_in!W23=0,0,1000000*SER_hh_emi_in!W23/SER_hh_num_in!W23)</f>
        <v>3317.8832932217633</v>
      </c>
      <c r="X23" s="132">
        <f>IF(SER_hh_emi_in!X23=0,0,1000000*SER_hh_emi_in!X23/SER_hh_num_in!X23)</f>
        <v>2176.1314409306242</v>
      </c>
      <c r="Y23" s="132">
        <f>IF(SER_hh_emi_in!Y23=0,0,1000000*SER_hh_emi_in!Y23/SER_hh_num_in!Y23)</f>
        <v>3592.265777382604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1163.0217831389086</v>
      </c>
      <c r="D24" s="132">
        <f>IF(SER_hh_emi_in!D24=0,0,1000000*SER_hh_emi_in!D24/SER_hh_num_in!D24)</f>
        <v>1835.4088850710327</v>
      </c>
      <c r="E24" s="132">
        <f>IF(SER_hh_emi_in!E24=0,0,1000000*SER_hh_emi_in!E24/SER_hh_num_in!E24)</f>
        <v>871.20432172913775</v>
      </c>
      <c r="F24" s="132">
        <f>IF(SER_hh_emi_in!F24=0,0,1000000*SER_hh_emi_in!F24/SER_hh_num_in!F24)</f>
        <v>1231.6637939065643</v>
      </c>
      <c r="G24" s="132">
        <f>IF(SER_hh_emi_in!G24=0,0,1000000*SER_hh_emi_in!G24/SER_hh_num_in!G24)</f>
        <v>3461.6207892636235</v>
      </c>
      <c r="H24" s="132">
        <f>IF(SER_hh_emi_in!H24=0,0,1000000*SER_hh_emi_in!H24/SER_hh_num_in!H24)</f>
        <v>2146.2030082735391</v>
      </c>
      <c r="I24" s="132">
        <f>IF(SER_hh_emi_in!I24=0,0,1000000*SER_hh_emi_in!I24/SER_hh_num_in!I24)</f>
        <v>812.11718799587038</v>
      </c>
      <c r="J24" s="132">
        <f>IF(SER_hh_emi_in!J24=0,0,1000000*SER_hh_emi_in!J24/SER_hh_num_in!J24)</f>
        <v>112.16894228981651</v>
      </c>
      <c r="K24" s="132">
        <f>IF(SER_hh_emi_in!K24=0,0,1000000*SER_hh_emi_in!K24/SER_hh_num_in!K24)</f>
        <v>204.42248937404005</v>
      </c>
      <c r="L24" s="132">
        <f>IF(SER_hh_emi_in!L24=0,0,1000000*SER_hh_emi_in!L24/SER_hh_num_in!L24)</f>
        <v>81.520106796894623</v>
      </c>
      <c r="M24" s="132">
        <f>IF(SER_hh_emi_in!M24=0,0,1000000*SER_hh_emi_in!M24/SER_hh_num_in!M24)</f>
        <v>102.85877249814018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1834.4712705674935</v>
      </c>
      <c r="D29" s="130">
        <f>IF(SER_hh_emi_in!D29=0,0,1000000*SER_hh_emi_in!D29/SER_hh_num_in!D29)</f>
        <v>3775.6580628412671</v>
      </c>
      <c r="E29" s="130">
        <f>IF(SER_hh_emi_in!E29=0,0,1000000*SER_hh_emi_in!E29/SER_hh_num_in!E29)</f>
        <v>3497.8255154108724</v>
      </c>
      <c r="F29" s="130">
        <f>IF(SER_hh_emi_in!F29=0,0,1000000*SER_hh_emi_in!F29/SER_hh_num_in!F29)</f>
        <v>2296.0388465854376</v>
      </c>
      <c r="G29" s="130">
        <f>IF(SER_hh_emi_in!G29=0,0,1000000*SER_hh_emi_in!G29/SER_hh_num_in!G29)</f>
        <v>1718.6506767728029</v>
      </c>
      <c r="H29" s="130">
        <f>IF(SER_hh_emi_in!H29=0,0,1000000*SER_hh_emi_in!H29/SER_hh_num_in!H29)</f>
        <v>1241.8055261491595</v>
      </c>
      <c r="I29" s="130">
        <f>IF(SER_hh_emi_in!I29=0,0,1000000*SER_hh_emi_in!I29/SER_hh_num_in!I29)</f>
        <v>964.42787388998249</v>
      </c>
      <c r="J29" s="130">
        <f>IF(SER_hh_emi_in!J29=0,0,1000000*SER_hh_emi_in!J29/SER_hh_num_in!J29)</f>
        <v>1430.3175693803826</v>
      </c>
      <c r="K29" s="130">
        <f>IF(SER_hh_emi_in!K29=0,0,1000000*SER_hh_emi_in!K29/SER_hh_num_in!K29)</f>
        <v>2136.4482389063282</v>
      </c>
      <c r="L29" s="130">
        <f>IF(SER_hh_emi_in!L29=0,0,1000000*SER_hh_emi_in!L29/SER_hh_num_in!L29)</f>
        <v>2014.0732347484595</v>
      </c>
      <c r="M29" s="130">
        <f>IF(SER_hh_emi_in!M29=0,0,1000000*SER_hh_emi_in!M29/SER_hh_num_in!M29)</f>
        <v>1321.9991480423666</v>
      </c>
      <c r="N29" s="130">
        <f>IF(SER_hh_emi_in!N29=0,0,1000000*SER_hh_emi_in!N29/SER_hh_num_in!N29)</f>
        <v>964.44366350507107</v>
      </c>
      <c r="O29" s="130">
        <f>IF(SER_hh_emi_in!O29=0,0,1000000*SER_hh_emi_in!O29/SER_hh_num_in!O29)</f>
        <v>1297.6835297069351</v>
      </c>
      <c r="P29" s="130">
        <f>IF(SER_hh_emi_in!P29=0,0,1000000*SER_hh_emi_in!P29/SER_hh_num_in!P29)</f>
        <v>1468.6525066118561</v>
      </c>
      <c r="Q29" s="130">
        <f>IF(SER_hh_emi_in!Q29=0,0,1000000*SER_hh_emi_in!Q29/SER_hh_num_in!Q29)</f>
        <v>1648.6235778437026</v>
      </c>
      <c r="R29" s="130">
        <f>IF(SER_hh_emi_in!R29=0,0,1000000*SER_hh_emi_in!R29/SER_hh_num_in!R29)</f>
        <v>1363.4922675228879</v>
      </c>
      <c r="S29" s="130">
        <f>IF(SER_hh_emi_in!S29=0,0,1000000*SER_hh_emi_in!S29/SER_hh_num_in!S29)</f>
        <v>1579.9823706627938</v>
      </c>
      <c r="T29" s="130">
        <f>IF(SER_hh_emi_in!T29=0,0,1000000*SER_hh_emi_in!T29/SER_hh_num_in!T29)</f>
        <v>1349.0590327480647</v>
      </c>
      <c r="U29" s="130">
        <f>IF(SER_hh_emi_in!U29=0,0,1000000*SER_hh_emi_in!U29/SER_hh_num_in!U29)</f>
        <v>1418.3116595982383</v>
      </c>
      <c r="V29" s="130">
        <f>IF(SER_hh_emi_in!V29=0,0,1000000*SER_hh_emi_in!V29/SER_hh_num_in!V29)</f>
        <v>1306.668838321049</v>
      </c>
      <c r="W29" s="130">
        <f>IF(SER_hh_emi_in!W29=0,0,1000000*SER_hh_emi_in!W29/SER_hh_num_in!W29)</f>
        <v>1588.9389240549456</v>
      </c>
      <c r="X29" s="130">
        <f>IF(SER_hh_emi_in!X29=0,0,1000000*SER_hh_emi_in!X29/SER_hh_num_in!X29)</f>
        <v>1340.7494393072036</v>
      </c>
      <c r="Y29" s="130">
        <f>IF(SER_hh_emi_in!Y29=0,0,1000000*SER_hh_emi_in!Y29/SER_hh_num_in!Y29)</f>
        <v>1244.7300752643723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2438.0910830152038</v>
      </c>
      <c r="D30" s="132">
        <f>IF(SER_hh_emi_in!D30=0,0,1000000*SER_hh_emi_in!D30/SER_hh_num_in!D30)</f>
        <v>5046.8840917545967</v>
      </c>
      <c r="E30" s="132">
        <f>IF(SER_hh_emi_in!E30=0,0,1000000*SER_hh_emi_in!E30/SER_hh_num_in!E30)</f>
        <v>5282.9778193462016</v>
      </c>
      <c r="F30" s="132">
        <f>IF(SER_hh_emi_in!F30=0,0,1000000*SER_hh_emi_in!F30/SER_hh_num_in!F30)</f>
        <v>6315.1331884789815</v>
      </c>
      <c r="G30" s="132">
        <f>IF(SER_hh_emi_in!G30=0,0,1000000*SER_hh_emi_in!G30/SER_hh_num_in!G30)</f>
        <v>4687.7392636621762</v>
      </c>
      <c r="H30" s="132">
        <f>IF(SER_hh_emi_in!H30=0,0,1000000*SER_hh_emi_in!H30/SER_hh_num_in!H30)</f>
        <v>4986.3333926768119</v>
      </c>
      <c r="I30" s="132">
        <f>IF(SER_hh_emi_in!I30=0,0,1000000*SER_hh_emi_in!I30/SER_hh_num_in!I30)</f>
        <v>0</v>
      </c>
      <c r="J30" s="132">
        <f>IF(SER_hh_emi_in!J30=0,0,1000000*SER_hh_emi_in!J30/SER_hh_num_in!J30)</f>
        <v>3111.1312501090151</v>
      </c>
      <c r="K30" s="132">
        <f>IF(SER_hh_emi_in!K30=0,0,1000000*SER_hh_emi_in!K30/SER_hh_num_in!K30)</f>
        <v>3888.3586582455828</v>
      </c>
      <c r="L30" s="132">
        <f>IF(SER_hh_emi_in!L30=0,0,1000000*SER_hh_emi_in!L30/SER_hh_num_in!L30)</f>
        <v>6479.4739081182388</v>
      </c>
      <c r="M30" s="132">
        <f>IF(SER_hh_emi_in!M30=0,0,1000000*SER_hh_emi_in!M30/SER_hh_num_in!M30)</f>
        <v>0</v>
      </c>
      <c r="N30" s="132">
        <f>IF(SER_hh_emi_in!N30=0,0,1000000*SER_hh_emi_in!N30/SER_hh_num_in!N30)</f>
        <v>0</v>
      </c>
      <c r="O30" s="132">
        <f>IF(SER_hh_emi_in!O30=0,0,1000000*SER_hh_emi_in!O30/SER_hh_num_in!O30)</f>
        <v>0</v>
      </c>
      <c r="P30" s="132">
        <f>IF(SER_hh_emi_in!P30=0,0,1000000*SER_hh_emi_in!P30/SER_hh_num_in!P30)</f>
        <v>0</v>
      </c>
      <c r="Q30" s="132">
        <f>IF(SER_hh_emi_in!Q30=0,0,1000000*SER_hh_emi_in!Q30/SER_hh_num_in!Q30)</f>
        <v>4311.683290668253</v>
      </c>
      <c r="R30" s="132">
        <f>IF(SER_hh_emi_in!R30=0,0,1000000*SER_hh_emi_in!R30/SER_hh_num_in!R30)</f>
        <v>3165.2632881128652</v>
      </c>
      <c r="S30" s="132">
        <f>IF(SER_hh_emi_in!S30=0,0,1000000*SER_hh_emi_in!S30/SER_hh_num_in!S30)</f>
        <v>5803.9689376531869</v>
      </c>
      <c r="T30" s="132">
        <f>IF(SER_hh_emi_in!T30=0,0,1000000*SER_hh_emi_in!T30/SER_hh_num_in!T30)</f>
        <v>4654.9294768529899</v>
      </c>
      <c r="U30" s="132">
        <f>IF(SER_hh_emi_in!U30=0,0,1000000*SER_hh_emi_in!U30/SER_hh_num_in!U30)</f>
        <v>4617.7630038819989</v>
      </c>
      <c r="V30" s="132">
        <f>IF(SER_hh_emi_in!V30=0,0,1000000*SER_hh_emi_in!V30/SER_hh_num_in!V30)</f>
        <v>4419.3596522619091</v>
      </c>
      <c r="W30" s="132">
        <f>IF(SER_hh_emi_in!W30=0,0,1000000*SER_hh_emi_in!W30/SER_hh_num_in!W30)</f>
        <v>5327.6870532427802</v>
      </c>
      <c r="X30" s="132">
        <f>IF(SER_hh_emi_in!X30=0,0,1000000*SER_hh_emi_in!X30/SER_hh_num_in!X30)</f>
        <v>0</v>
      </c>
      <c r="Y30" s="132">
        <f>IF(SER_hh_emi_in!Y30=0,0,1000000*SER_hh_emi_in!Y30/SER_hh_num_in!Y30)</f>
        <v>0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3803.9349731826132</v>
      </c>
      <c r="D31" s="132">
        <f>IF(SER_hh_emi_in!D31=0,0,1000000*SER_hh_emi_in!D31/SER_hh_num_in!D31)</f>
        <v>3952.7499693919631</v>
      </c>
      <c r="E31" s="132">
        <f>IF(SER_hh_emi_in!E31=0,0,1000000*SER_hh_emi_in!E31/SER_hh_num_in!E31)</f>
        <v>4004.4249729161088</v>
      </c>
      <c r="F31" s="132">
        <f>IF(SER_hh_emi_in!F31=0,0,1000000*SER_hh_emi_in!F31/SER_hh_num_in!F31)</f>
        <v>4102.5335959411323</v>
      </c>
      <c r="G31" s="132">
        <f>IF(SER_hh_emi_in!G31=0,0,1000000*SER_hh_emi_in!G31/SER_hh_num_in!G31)</f>
        <v>4080.8545195259308</v>
      </c>
      <c r="H31" s="132">
        <f>IF(SER_hh_emi_in!H31=0,0,1000000*SER_hh_emi_in!H31/SER_hh_num_in!H31)</f>
        <v>4025.7851936018901</v>
      </c>
      <c r="I31" s="132">
        <f>IF(SER_hh_emi_in!I31=0,0,1000000*SER_hh_emi_in!I31/SER_hh_num_in!I31)</f>
        <v>3974.1719373187811</v>
      </c>
      <c r="J31" s="132">
        <f>IF(SER_hh_emi_in!J31=0,0,1000000*SER_hh_emi_in!J31/SER_hh_num_in!J31)</f>
        <v>3973.2634900698718</v>
      </c>
      <c r="K31" s="132">
        <f>IF(SER_hh_emi_in!K31=0,0,1000000*SER_hh_emi_in!K31/SER_hh_num_in!K31)</f>
        <v>4069.1988738272817</v>
      </c>
      <c r="L31" s="132">
        <f>IF(SER_hh_emi_in!L31=0,0,1000000*SER_hh_emi_in!L31/SER_hh_num_in!L31)</f>
        <v>4100.9164205744282</v>
      </c>
      <c r="M31" s="132">
        <f>IF(SER_hh_emi_in!M31=0,0,1000000*SER_hh_emi_in!M31/SER_hh_num_in!M31)</f>
        <v>4097.537165083033</v>
      </c>
      <c r="N31" s="132">
        <f>IF(SER_hh_emi_in!N31=0,0,1000000*SER_hh_emi_in!N31/SER_hh_num_in!N31)</f>
        <v>4092.4689781129068</v>
      </c>
      <c r="O31" s="132">
        <f>IF(SER_hh_emi_in!O31=0,0,1000000*SER_hh_emi_in!O31/SER_hh_num_in!O31)</f>
        <v>4115.2659053158359</v>
      </c>
      <c r="P31" s="132">
        <f>IF(SER_hh_emi_in!P31=0,0,1000000*SER_hh_emi_in!P31/SER_hh_num_in!P31)</f>
        <v>4150.5951616992497</v>
      </c>
      <c r="Q31" s="132">
        <f>IF(SER_hh_emi_in!Q31=0,0,1000000*SER_hh_emi_in!Q31/SER_hh_num_in!Q31)</f>
        <v>4145.9806189868359</v>
      </c>
      <c r="R31" s="132">
        <f>IF(SER_hh_emi_in!R31=0,0,1000000*SER_hh_emi_in!R31/SER_hh_num_in!R31)</f>
        <v>4110.7905742957337</v>
      </c>
      <c r="S31" s="132">
        <f>IF(SER_hh_emi_in!S31=0,0,1000000*SER_hh_emi_in!S31/SER_hh_num_in!S31)</f>
        <v>4060.9548686565536</v>
      </c>
      <c r="T31" s="132">
        <f>IF(SER_hh_emi_in!T31=0,0,1000000*SER_hh_emi_in!T31/SER_hh_num_in!T31)</f>
        <v>4021.9023109463546</v>
      </c>
      <c r="U31" s="132">
        <f>IF(SER_hh_emi_in!U31=0,0,1000000*SER_hh_emi_in!U31/SER_hh_num_in!U31)</f>
        <v>4078.5494153881468</v>
      </c>
      <c r="V31" s="132">
        <f>IF(SER_hh_emi_in!V31=0,0,1000000*SER_hh_emi_in!V31/SER_hh_num_in!V31)</f>
        <v>3745.8060288404718</v>
      </c>
      <c r="W31" s="132">
        <f>IF(SER_hh_emi_in!W31=0,0,1000000*SER_hh_emi_in!W31/SER_hh_num_in!W31)</f>
        <v>3812.8740550749367</v>
      </c>
      <c r="X31" s="132">
        <f>IF(SER_hh_emi_in!X31=0,0,1000000*SER_hh_emi_in!X31/SER_hh_num_in!X31)</f>
        <v>3722.5608923762697</v>
      </c>
      <c r="Y31" s="132">
        <f>IF(SER_hh_emi_in!Y31=0,0,1000000*SER_hh_emi_in!Y31/SER_hh_num_in!Y31)</f>
        <v>4104.1465273596932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1833.9340542021732</v>
      </c>
      <c r="D32" s="132">
        <f>IF(SER_hh_emi_in!D32=0,0,1000000*SER_hh_emi_in!D32/SER_hh_num_in!D32)</f>
        <v>1948.4906327771291</v>
      </c>
      <c r="E32" s="132">
        <f>IF(SER_hh_emi_in!E32=0,0,1000000*SER_hh_emi_in!E32/SER_hh_num_in!E32)</f>
        <v>1795.9585605506788</v>
      </c>
      <c r="F32" s="132">
        <f>IF(SER_hh_emi_in!F32=0,0,1000000*SER_hh_emi_in!F32/SER_hh_num_in!F32)</f>
        <v>1382.9858210761784</v>
      </c>
      <c r="G32" s="132">
        <f>IF(SER_hh_emi_in!G32=0,0,1000000*SER_hh_emi_in!G32/SER_hh_num_in!G32)</f>
        <v>3426.0916334503413</v>
      </c>
      <c r="H32" s="132">
        <f>IF(SER_hh_emi_in!H32=0,0,1000000*SER_hh_emi_in!H32/SER_hh_num_in!H32)</f>
        <v>2133.785083064608</v>
      </c>
      <c r="I32" s="132">
        <f>IF(SER_hh_emi_in!I32=0,0,1000000*SER_hh_emi_in!I32/SER_hh_num_in!I32)</f>
        <v>1038.6960970710259</v>
      </c>
      <c r="J32" s="132">
        <f>IF(SER_hh_emi_in!J32=0,0,1000000*SER_hh_emi_in!J32/SER_hh_num_in!J32)</f>
        <v>204.79463470487647</v>
      </c>
      <c r="K32" s="132">
        <f>IF(SER_hh_emi_in!K32=0,0,1000000*SER_hh_emi_in!K32/SER_hh_num_in!K32)</f>
        <v>209.18635310895939</v>
      </c>
      <c r="L32" s="132">
        <f>IF(SER_hh_emi_in!L32=0,0,1000000*SER_hh_emi_in!L32/SER_hh_num_in!L32)</f>
        <v>200.39542093583813</v>
      </c>
      <c r="M32" s="132">
        <f>IF(SER_hh_emi_in!M32=0,0,1000000*SER_hh_emi_in!M32/SER_hh_num_in!M32)</f>
        <v>202.844781434791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222.27751488544436</v>
      </c>
      <c r="D3" s="125">
        <f>IF(SER_hh_fech_in!D3=0,0,SER_hh_fech_in!D3/SER_summary!D$27)</f>
        <v>198.27981955927885</v>
      </c>
      <c r="E3" s="125">
        <f>IF(SER_hh_fech_in!E3=0,0,SER_hh_fech_in!E3/SER_summary!E$27)</f>
        <v>208.1260096538139</v>
      </c>
      <c r="F3" s="125">
        <f>IF(SER_hh_fech_in!F3=0,0,SER_hh_fech_in!F3/SER_summary!F$27)</f>
        <v>164.69545827353858</v>
      </c>
      <c r="G3" s="125">
        <f>IF(SER_hh_fech_in!G3=0,0,SER_hh_fech_in!G3/SER_summary!G$27)</f>
        <v>177.95997207784004</v>
      </c>
      <c r="H3" s="125">
        <f>IF(SER_hh_fech_in!H3=0,0,SER_hh_fech_in!H3/SER_summary!H$27)</f>
        <v>169.32532954730576</v>
      </c>
      <c r="I3" s="125">
        <f>IF(SER_hh_fech_in!I3=0,0,SER_hh_fech_in!I3/SER_summary!I$27)</f>
        <v>137.78992780481911</v>
      </c>
      <c r="J3" s="125">
        <f>IF(SER_hh_fech_in!J3=0,0,SER_hh_fech_in!J3/SER_summary!J$27)</f>
        <v>137.62680217005106</v>
      </c>
      <c r="K3" s="125">
        <f>IF(SER_hh_fech_in!K3=0,0,SER_hh_fech_in!K3/SER_summary!K$27)</f>
        <v>134.45489345510433</v>
      </c>
      <c r="L3" s="125">
        <f>IF(SER_hh_fech_in!L3=0,0,SER_hh_fech_in!L3/SER_summary!L$27)</f>
        <v>138.70476319969515</v>
      </c>
      <c r="M3" s="125">
        <f>IF(SER_hh_fech_in!M3=0,0,SER_hh_fech_in!M3/SER_summary!M$27)</f>
        <v>123.74691053202287</v>
      </c>
      <c r="N3" s="125">
        <f>IF(SER_hh_fech_in!N3=0,0,SER_hh_fech_in!N3/SER_summary!N$27)</f>
        <v>126.60099912006888</v>
      </c>
      <c r="O3" s="125">
        <f>IF(SER_hh_fech_in!O3=0,0,SER_hh_fech_in!O3/SER_summary!O$27)</f>
        <v>122.34226016742731</v>
      </c>
      <c r="P3" s="125">
        <f>IF(SER_hh_fech_in!P3=0,0,SER_hh_fech_in!P3/SER_summary!P$27)</f>
        <v>103.17742289396017</v>
      </c>
      <c r="Q3" s="125">
        <f>IF(SER_hh_fech_in!Q3=0,0,SER_hh_fech_in!Q3/SER_summary!Q$27)</f>
        <v>104.22436358156774</v>
      </c>
      <c r="R3" s="125">
        <f>IF(SER_hh_fech_in!R3=0,0,SER_hh_fech_in!R3/SER_summary!R$27)</f>
        <v>101.24811607476713</v>
      </c>
      <c r="S3" s="125">
        <f>IF(SER_hh_fech_in!S3=0,0,SER_hh_fech_in!S3/SER_summary!S$27)</f>
        <v>115.34683124634134</v>
      </c>
      <c r="T3" s="125">
        <f>IF(SER_hh_fech_in!T3=0,0,SER_hh_fech_in!T3/SER_summary!T$27)</f>
        <v>106.57435716378205</v>
      </c>
      <c r="U3" s="125">
        <f>IF(SER_hh_fech_in!U3=0,0,SER_hh_fech_in!U3/SER_summary!U$27)</f>
        <v>105.36107776633649</v>
      </c>
      <c r="V3" s="125">
        <f>IF(SER_hh_fech_in!V3=0,0,SER_hh_fech_in!V3/SER_summary!V$27)</f>
        <v>90.333888217511017</v>
      </c>
      <c r="W3" s="125">
        <f>IF(SER_hh_fech_in!W3=0,0,SER_hh_fech_in!W3/SER_summary!W$27)</f>
        <v>88.453666519316243</v>
      </c>
      <c r="X3" s="125">
        <f>IF(SER_hh_fech_in!X3=0,0,SER_hh_fech_in!X3/SER_summary!X$27)</f>
        <v>84.42141449979357</v>
      </c>
      <c r="Y3" s="125">
        <f>IF(SER_hh_fech_in!Y3=0,0,SER_hh_fech_in!Y3/SER_summary!Y$27)</f>
        <v>74.0270816748573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176.8397761362323</v>
      </c>
      <c r="D4" s="130">
        <f>IF(SER_hh_fech_in!D4=0,0,SER_hh_fech_in!D4/SER_summary!D$27)</f>
        <v>147.03725320503892</v>
      </c>
      <c r="E4" s="130">
        <f>IF(SER_hh_fech_in!E4=0,0,SER_hh_fech_in!E4/SER_summary!E$27)</f>
        <v>157.86578378803111</v>
      </c>
      <c r="F4" s="130">
        <f>IF(SER_hh_fech_in!F4=0,0,SER_hh_fech_in!F4/SER_summary!F$27)</f>
        <v>117.60003711640024</v>
      </c>
      <c r="G4" s="130">
        <f>IF(SER_hh_fech_in!G4=0,0,SER_hh_fech_in!G4/SER_summary!G$27)</f>
        <v>129.44935504509647</v>
      </c>
      <c r="H4" s="130">
        <f>IF(SER_hh_fech_in!H4=0,0,SER_hh_fech_in!H4/SER_summary!H$27)</f>
        <v>122.24331271135014</v>
      </c>
      <c r="I4" s="130">
        <f>IF(SER_hh_fech_in!I4=0,0,SER_hh_fech_in!I4/SER_summary!I$27)</f>
        <v>93.048657602559629</v>
      </c>
      <c r="J4" s="130">
        <f>IF(SER_hh_fech_in!J4=0,0,SER_hh_fech_in!J4/SER_summary!J$27)</f>
        <v>92.641900295483026</v>
      </c>
      <c r="K4" s="130">
        <f>IF(SER_hh_fech_in!K4=0,0,SER_hh_fech_in!K4/SER_summary!K$27)</f>
        <v>86.822455435549358</v>
      </c>
      <c r="L4" s="130">
        <f>IF(SER_hh_fech_in!L4=0,0,SER_hh_fech_in!L4/SER_summary!L$27)</f>
        <v>92.129237377305202</v>
      </c>
      <c r="M4" s="130">
        <f>IF(SER_hh_fech_in!M4=0,0,SER_hh_fech_in!M4/SER_summary!M$27)</f>
        <v>77.994176521389591</v>
      </c>
      <c r="N4" s="130">
        <f>IF(SER_hh_fech_in!N4=0,0,SER_hh_fech_in!N4/SER_summary!N$27)</f>
        <v>80.908744883144053</v>
      </c>
      <c r="O4" s="130">
        <f>IF(SER_hh_fech_in!O4=0,0,SER_hh_fech_in!O4/SER_summary!O$27)</f>
        <v>78.300241426171183</v>
      </c>
      <c r="P4" s="130">
        <f>IF(SER_hh_fech_in!P4=0,0,SER_hh_fech_in!P4/SER_summary!P$27)</f>
        <v>57.988039812488417</v>
      </c>
      <c r="Q4" s="130">
        <f>IF(SER_hh_fech_in!Q4=0,0,SER_hh_fech_in!Q4/SER_summary!Q$27)</f>
        <v>61.468471364375176</v>
      </c>
      <c r="R4" s="130">
        <f>IF(SER_hh_fech_in!R4=0,0,SER_hh_fech_in!R4/SER_summary!R$27)</f>
        <v>60.031123541991157</v>
      </c>
      <c r="S4" s="130">
        <f>IF(SER_hh_fech_in!S4=0,0,SER_hh_fech_in!S4/SER_summary!S$27)</f>
        <v>70.761730753548647</v>
      </c>
      <c r="T4" s="130">
        <f>IF(SER_hh_fech_in!T4=0,0,SER_hh_fech_in!T4/SER_summary!T$27)</f>
        <v>63.788448944815215</v>
      </c>
      <c r="U4" s="130">
        <f>IF(SER_hh_fech_in!U4=0,0,SER_hh_fech_in!U4/SER_summary!U$27)</f>
        <v>62.722448582365381</v>
      </c>
      <c r="V4" s="130">
        <f>IF(SER_hh_fech_in!V4=0,0,SER_hh_fech_in!V4/SER_summary!V$27)</f>
        <v>50.885404062313988</v>
      </c>
      <c r="W4" s="130">
        <f>IF(SER_hh_fech_in!W4=0,0,SER_hh_fech_in!W4/SER_summary!W$27)</f>
        <v>49.899391158935465</v>
      </c>
      <c r="X4" s="130">
        <f>IF(SER_hh_fech_in!X4=0,0,SER_hh_fech_in!X4/SER_summary!X$27)</f>
        <v>44.205223904651952</v>
      </c>
      <c r="Y4" s="130">
        <f>IF(SER_hh_fech_in!Y4=0,0,SER_hh_fech_in!Y4/SER_summary!Y$27)</f>
        <v>34.448495648627663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0</v>
      </c>
      <c r="D5" s="132">
        <f>IF(SER_hh_fech_in!D5=0,0,SER_hh_fech_in!D5/SER_summary!D$27)</f>
        <v>0</v>
      </c>
      <c r="E5" s="132">
        <f>IF(SER_hh_fech_in!E5=0,0,SER_hh_fech_in!E5/SER_summary!E$27)</f>
        <v>0</v>
      </c>
      <c r="F5" s="132">
        <f>IF(SER_hh_fech_in!F5=0,0,SER_hh_fech_in!F5/SER_summary!F$27)</f>
        <v>0</v>
      </c>
      <c r="G5" s="132">
        <f>IF(SER_hh_fech_in!G5=0,0,SER_hh_fech_in!G5/SER_summary!G$27)</f>
        <v>0</v>
      </c>
      <c r="H5" s="132">
        <f>IF(SER_hh_fech_in!H5=0,0,SER_hh_fech_in!H5/SER_summary!H$27)</f>
        <v>0</v>
      </c>
      <c r="I5" s="132">
        <f>IF(SER_hh_fech_in!I5=0,0,SER_hh_fech_in!I5/SER_summary!I$27)</f>
        <v>0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0</v>
      </c>
      <c r="N5" s="132">
        <f>IF(SER_hh_fech_in!N5=0,0,SER_hh_fech_in!N5/SER_summary!N$27)</f>
        <v>0</v>
      </c>
      <c r="O5" s="132">
        <f>IF(SER_hh_fech_in!O5=0,0,SER_hh_fech_in!O5/SER_summary!O$27)</f>
        <v>49.651178490838134</v>
      </c>
      <c r="P5" s="132">
        <f>IF(SER_hh_fech_in!P5=0,0,SER_hh_fech_in!P5/SER_summary!P$27)</f>
        <v>0</v>
      </c>
      <c r="Q5" s="132">
        <f>IF(SER_hh_fech_in!Q5=0,0,SER_hh_fech_in!Q5/SER_summary!Q$27)</f>
        <v>0</v>
      </c>
      <c r="R5" s="132">
        <f>IF(SER_hh_fech_in!R5=0,0,SER_hh_fech_in!R5/SER_summary!R$27)</f>
        <v>0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0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194.45437549854455</v>
      </c>
      <c r="D7" s="132">
        <f>IF(SER_hh_fech_in!D7=0,0,SER_hh_fech_in!D7/SER_summary!D$27)</f>
        <v>184.39616932280299</v>
      </c>
      <c r="E7" s="132">
        <f>IF(SER_hh_fech_in!E7=0,0,SER_hh_fech_in!E7/SER_summary!E$27)</f>
        <v>220.02663271459119</v>
      </c>
      <c r="F7" s="132">
        <f>IF(SER_hh_fech_in!F7=0,0,SER_hh_fech_in!F7/SER_summary!F$27)</f>
        <v>153.12635510668747</v>
      </c>
      <c r="G7" s="132">
        <f>IF(SER_hh_fech_in!G7=0,0,SER_hh_fech_in!G7/SER_summary!G$27)</f>
        <v>193.00316093207252</v>
      </c>
      <c r="H7" s="132">
        <f>IF(SER_hh_fech_in!H7=0,0,SER_hh_fech_in!H7/SER_summary!H$27)</f>
        <v>192.93490107930663</v>
      </c>
      <c r="I7" s="132">
        <f>IF(SER_hh_fech_in!I7=0,0,SER_hh_fech_in!I7/SER_summary!I$27)</f>
        <v>135.37102065439856</v>
      </c>
      <c r="J7" s="132">
        <f>IF(SER_hh_fech_in!J7=0,0,SER_hh_fech_in!J7/SER_summary!J$27)</f>
        <v>0</v>
      </c>
      <c r="K7" s="132">
        <f>IF(SER_hh_fech_in!K7=0,0,SER_hh_fech_in!K7/SER_summary!K$27)</f>
        <v>0</v>
      </c>
      <c r="L7" s="132">
        <f>IF(SER_hh_fech_in!L7=0,0,SER_hh_fech_in!L7/SER_summary!L$27)</f>
        <v>0</v>
      </c>
      <c r="M7" s="132">
        <f>IF(SER_hh_fech_in!M7=0,0,SER_hh_fech_in!M7/SER_summary!M$27)</f>
        <v>0</v>
      </c>
      <c r="N7" s="132">
        <f>IF(SER_hh_fech_in!N7=0,0,SER_hh_fech_in!N7/SER_summary!N$27)</f>
        <v>0</v>
      </c>
      <c r="O7" s="132">
        <f>IF(SER_hh_fech_in!O7=0,0,SER_hh_fech_in!O7/SER_summary!O$27)</f>
        <v>97.850554606120909</v>
      </c>
      <c r="P7" s="132">
        <f>IF(SER_hh_fech_in!P7=0,0,SER_hh_fech_in!P7/SER_summary!P$27)</f>
        <v>93.949261155804251</v>
      </c>
      <c r="Q7" s="132">
        <f>IF(SER_hh_fech_in!Q7=0,0,SER_hh_fech_in!Q7/SER_summary!Q$27)</f>
        <v>87.833428071699288</v>
      </c>
      <c r="R7" s="132">
        <f>IF(SER_hh_fech_in!R7=0,0,SER_hh_fech_in!R7/SER_summary!R$27)</f>
        <v>75.103847398898253</v>
      </c>
      <c r="S7" s="132">
        <f>IF(SER_hh_fech_in!S7=0,0,SER_hh_fech_in!S7/SER_summary!S$27)</f>
        <v>100.94354085041446</v>
      </c>
      <c r="T7" s="132">
        <f>IF(SER_hh_fech_in!T7=0,0,SER_hh_fech_in!T7/SER_summary!T$27)</f>
        <v>85.078455849791084</v>
      </c>
      <c r="U7" s="132">
        <f>IF(SER_hh_fech_in!U7=0,0,SER_hh_fech_in!U7/SER_summary!U$27)</f>
        <v>77.568984031477086</v>
      </c>
      <c r="V7" s="132">
        <f>IF(SER_hh_fech_in!V7=0,0,SER_hh_fech_in!V7/SER_summary!V$27)</f>
        <v>73.685217346427137</v>
      </c>
      <c r="W7" s="132">
        <f>IF(SER_hh_fech_in!W7=0,0,SER_hh_fech_in!W7/SER_summary!W$27)</f>
        <v>92.8986148215442</v>
      </c>
      <c r="X7" s="132">
        <f>IF(SER_hh_fech_in!X7=0,0,SER_hh_fech_in!X7/SER_summary!X$27)</f>
        <v>0</v>
      </c>
      <c r="Y7" s="132">
        <f>IF(SER_hh_fech_in!Y7=0,0,SER_hh_fech_in!Y7/SER_summary!Y$27)</f>
        <v>0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50.084495594668425</v>
      </c>
      <c r="D8" s="132">
        <f>IF(SER_hh_fech_in!D8=0,0,SER_hh_fech_in!D8/SER_summary!D$27)</f>
        <v>45.864106162962742</v>
      </c>
      <c r="E8" s="132">
        <f>IF(SER_hh_fech_in!E8=0,0,SER_hh_fech_in!E8/SER_summary!E$27)</f>
        <v>51.635911126389175</v>
      </c>
      <c r="F8" s="132">
        <f>IF(SER_hh_fech_in!F8=0,0,SER_hh_fech_in!F8/SER_summary!F$27)</f>
        <v>49.96347811084842</v>
      </c>
      <c r="G8" s="132">
        <f>IF(SER_hh_fech_in!G8=0,0,SER_hh_fech_in!G8/SER_summary!G$27)</f>
        <v>44.888110756209336</v>
      </c>
      <c r="H8" s="132">
        <f>IF(SER_hh_fech_in!H8=0,0,SER_hh_fech_in!H8/SER_summary!H$27)</f>
        <v>45.981997336878869</v>
      </c>
      <c r="I8" s="132">
        <f>IF(SER_hh_fech_in!I8=0,0,SER_hh_fech_in!I8/SER_summary!I$27)</f>
        <v>35.652099909257558</v>
      </c>
      <c r="J8" s="132">
        <f>IF(SER_hh_fech_in!J8=0,0,SER_hh_fech_in!J8/SER_summary!J$27)</f>
        <v>39.500730378140396</v>
      </c>
      <c r="K8" s="132">
        <f>IF(SER_hh_fech_in!K8=0,0,SER_hh_fech_in!K8/SER_summary!K$27)</f>
        <v>32.123732742569146</v>
      </c>
      <c r="L8" s="132">
        <f>IF(SER_hh_fech_in!L8=0,0,SER_hh_fech_in!L8/SER_summary!L$27)</f>
        <v>30.891243008183483</v>
      </c>
      <c r="M8" s="132">
        <f>IF(SER_hh_fech_in!M8=0,0,SER_hh_fech_in!M8/SER_summary!M$27)</f>
        <v>28.575934067441697</v>
      </c>
      <c r="N8" s="132">
        <f>IF(SER_hh_fech_in!N8=0,0,SER_hh_fech_in!N8/SER_summary!N$27)</f>
        <v>27.087394890443129</v>
      </c>
      <c r="O8" s="132">
        <f>IF(SER_hh_fech_in!O8=0,0,SER_hh_fech_in!O8/SER_summary!O$27)</f>
        <v>24.293991687143944</v>
      </c>
      <c r="P8" s="132">
        <f>IF(SER_hh_fech_in!P8=0,0,SER_hh_fech_in!P8/SER_summary!P$27)</f>
        <v>21.569771960981111</v>
      </c>
      <c r="Q8" s="132">
        <f>IF(SER_hh_fech_in!Q8=0,0,SER_hh_fech_in!Q8/SER_summary!Q$27)</f>
        <v>20.499927739861363</v>
      </c>
      <c r="R8" s="132">
        <f>IF(SER_hh_fech_in!R8=0,0,SER_hh_fech_in!R8/SER_summary!R$27)</f>
        <v>19.558284000515403</v>
      </c>
      <c r="S8" s="132">
        <f>IF(SER_hh_fech_in!S8=0,0,SER_hh_fech_in!S8/SER_summary!S$27)</f>
        <v>20.800285048712812</v>
      </c>
      <c r="T8" s="132">
        <f>IF(SER_hh_fech_in!T8=0,0,SER_hh_fech_in!T8/SER_summary!T$27)</f>
        <v>19.028969951341143</v>
      </c>
      <c r="U8" s="132">
        <f>IF(SER_hh_fech_in!U8=0,0,SER_hh_fech_in!U8/SER_summary!U$27)</f>
        <v>19.146119797846296</v>
      </c>
      <c r="V8" s="132">
        <f>IF(SER_hh_fech_in!V8=0,0,SER_hh_fech_in!V8/SER_summary!V$27)</f>
        <v>15.965666756643117</v>
      </c>
      <c r="W8" s="132">
        <f>IF(SER_hh_fech_in!W8=0,0,SER_hh_fech_in!W8/SER_summary!W$27)</f>
        <v>17.789344192022799</v>
      </c>
      <c r="X8" s="132">
        <f>IF(SER_hh_fech_in!X8=0,0,SER_hh_fech_in!X8/SER_summary!X$27)</f>
        <v>15.890855808038676</v>
      </c>
      <c r="Y8" s="132">
        <f>IF(SER_hh_fech_in!Y8=0,0,SER_hh_fech_in!Y8/SER_summary!Y$27)</f>
        <v>14.693545689758391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190.15916426544493</v>
      </c>
      <c r="D9" s="132">
        <f>IF(SER_hh_fech_in!D9=0,0,SER_hh_fech_in!D9/SER_summary!D$27)</f>
        <v>163.40601053049679</v>
      </c>
      <c r="E9" s="132">
        <f>IF(SER_hh_fech_in!E9=0,0,SER_hh_fech_in!E9/SER_summary!E$27)</f>
        <v>187.27240483275966</v>
      </c>
      <c r="F9" s="132">
        <f>IF(SER_hh_fech_in!F9=0,0,SER_hh_fech_in!F9/SER_summary!F$27)</f>
        <v>0</v>
      </c>
      <c r="G9" s="132">
        <f>IF(SER_hh_fech_in!G9=0,0,SER_hh_fech_in!G9/SER_summary!G$27)</f>
        <v>0</v>
      </c>
      <c r="H9" s="132">
        <f>IF(SER_hh_fech_in!H9=0,0,SER_hh_fech_in!H9/SER_summary!H$27)</f>
        <v>0</v>
      </c>
      <c r="I9" s="132">
        <f>IF(SER_hh_fech_in!I9=0,0,SER_hh_fech_in!I9/SER_summary!I$27)</f>
        <v>0</v>
      </c>
      <c r="J9" s="132">
        <f>IF(SER_hh_fech_in!J9=0,0,SER_hh_fech_in!J9/SER_summary!J$27)</f>
        <v>0</v>
      </c>
      <c r="K9" s="132">
        <f>IF(SER_hh_fech_in!K9=0,0,SER_hh_fech_in!K9/SER_summary!K$27)</f>
        <v>114.15777379445788</v>
      </c>
      <c r="L9" s="132">
        <f>IF(SER_hh_fech_in!L9=0,0,SER_hh_fech_in!L9/SER_summary!L$27)</f>
        <v>123.61999934104421</v>
      </c>
      <c r="M9" s="132">
        <f>IF(SER_hh_fech_in!M9=0,0,SER_hh_fech_in!M9/SER_summary!M$27)</f>
        <v>99.748907642954663</v>
      </c>
      <c r="N9" s="132">
        <f>IF(SER_hh_fech_in!N9=0,0,SER_hh_fech_in!N9/SER_summary!N$27)</f>
        <v>111.78847351344523</v>
      </c>
      <c r="O9" s="132">
        <f>IF(SER_hh_fech_in!O9=0,0,SER_hh_fech_in!O9/SER_summary!O$27)</f>
        <v>106.7463053335224</v>
      </c>
      <c r="P9" s="132">
        <f>IF(SER_hh_fech_in!P9=0,0,SER_hh_fech_in!P9/SER_summary!P$27)</f>
        <v>74.514747340731361</v>
      </c>
      <c r="Q9" s="132">
        <f>IF(SER_hh_fech_in!Q9=0,0,SER_hh_fech_in!Q9/SER_summary!Q$27)</f>
        <v>81.344161352684083</v>
      </c>
      <c r="R9" s="132">
        <f>IF(SER_hh_fech_in!R9=0,0,SER_hh_fech_in!R9/SER_summary!R$27)</f>
        <v>71.211079436045551</v>
      </c>
      <c r="S9" s="132">
        <f>IF(SER_hh_fech_in!S9=0,0,SER_hh_fech_in!S9/SER_summary!S$27)</f>
        <v>78.057660198107058</v>
      </c>
      <c r="T9" s="132">
        <f>IF(SER_hh_fech_in!T9=0,0,SER_hh_fech_in!T9/SER_summary!T$27)</f>
        <v>70.820560965273174</v>
      </c>
      <c r="U9" s="132">
        <f>IF(SER_hh_fech_in!U9=0,0,SER_hh_fech_in!U9/SER_summary!U$27)</f>
        <v>73.678671432640272</v>
      </c>
      <c r="V9" s="132">
        <f>IF(SER_hh_fech_in!V9=0,0,SER_hh_fech_in!V9/SER_summary!V$27)</f>
        <v>0</v>
      </c>
      <c r="W9" s="132">
        <f>IF(SER_hh_fech_in!W9=0,0,SER_hh_fech_in!W9/SER_summary!W$27)</f>
        <v>81.085781305495956</v>
      </c>
      <c r="X9" s="132">
        <f>IF(SER_hh_fech_in!X9=0,0,SER_hh_fech_in!X9/SER_summary!X$27)</f>
        <v>51.144906209420967</v>
      </c>
      <c r="Y9" s="132">
        <f>IF(SER_hh_fech_in!Y9=0,0,SER_hh_fech_in!Y9/SER_summary!Y$27)</f>
        <v>62.388275658343709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170.54140520600754</v>
      </c>
      <c r="D10" s="132">
        <f>IF(SER_hh_fech_in!D10=0,0,SER_hh_fech_in!D10/SER_summary!D$27)</f>
        <v>165.01834104352136</v>
      </c>
      <c r="E10" s="132">
        <f>IF(SER_hh_fech_in!E10=0,0,SER_hh_fech_in!E10/SER_summary!E$27)</f>
        <v>190.76599628042106</v>
      </c>
      <c r="F10" s="132">
        <f>IF(SER_hh_fech_in!F10=0,0,SER_hh_fech_in!F10/SER_summary!F$27)</f>
        <v>200.25481406006594</v>
      </c>
      <c r="G10" s="132">
        <f>IF(SER_hh_fech_in!G10=0,0,SER_hh_fech_in!G10/SER_summary!G$27)</f>
        <v>160.89298852417446</v>
      </c>
      <c r="H10" s="132">
        <f>IF(SER_hh_fech_in!H10=0,0,SER_hh_fech_in!H10/SER_summary!H$27)</f>
        <v>173.59610326175462</v>
      </c>
      <c r="I10" s="132">
        <f>IF(SER_hh_fech_in!I10=0,0,SER_hh_fech_in!I10/SER_summary!I$27)</f>
        <v>159.85693006355103</v>
      </c>
      <c r="J10" s="132">
        <f>IF(SER_hh_fech_in!J10=0,0,SER_hh_fech_in!J10/SER_summary!J$27)</f>
        <v>132.90520294880554</v>
      </c>
      <c r="K10" s="132">
        <f>IF(SER_hh_fech_in!K10=0,0,SER_hh_fech_in!K10/SER_summary!K$27)</f>
        <v>126.91415195960093</v>
      </c>
      <c r="L10" s="132">
        <f>IF(SER_hh_fech_in!L10=0,0,SER_hh_fech_in!L10/SER_summary!L$27)</f>
        <v>157.13682148806083</v>
      </c>
      <c r="M10" s="132">
        <f>IF(SER_hh_fech_in!M10=0,0,SER_hh_fech_in!M10/SER_summary!M$27)</f>
        <v>130.42764190013824</v>
      </c>
      <c r="N10" s="132">
        <f>IF(SER_hh_fech_in!N10=0,0,SER_hh_fech_in!N10/SER_summary!N$27)</f>
        <v>0</v>
      </c>
      <c r="O10" s="132">
        <f>IF(SER_hh_fech_in!O10=0,0,SER_hh_fech_in!O10/SER_summary!O$27)</f>
        <v>124.47899227016704</v>
      </c>
      <c r="P10" s="132">
        <f>IF(SER_hh_fech_in!P10=0,0,SER_hh_fech_in!P10/SER_summary!P$27)</f>
        <v>97.475146560044976</v>
      </c>
      <c r="Q10" s="132">
        <f>IF(SER_hh_fech_in!Q10=0,0,SER_hh_fech_in!Q10/SER_summary!Q$27)</f>
        <v>118.64389164120148</v>
      </c>
      <c r="R10" s="132">
        <f>IF(SER_hh_fech_in!R10=0,0,SER_hh_fech_in!R10/SER_summary!R$27)</f>
        <v>78.789125822017652</v>
      </c>
      <c r="S10" s="132">
        <f>IF(SER_hh_fech_in!S10=0,0,SER_hh_fech_in!S10/SER_summary!S$27)</f>
        <v>119.83956162412926</v>
      </c>
      <c r="T10" s="132">
        <f>IF(SER_hh_fech_in!T10=0,0,SER_hh_fech_in!T10/SER_summary!T$27)</f>
        <v>108.05233487674015</v>
      </c>
      <c r="U10" s="132">
        <f>IF(SER_hh_fech_in!U10=0,0,SER_hh_fech_in!U10/SER_summary!U$27)</f>
        <v>106.05958197128855</v>
      </c>
      <c r="V10" s="132">
        <f>IF(SER_hh_fech_in!V10=0,0,SER_hh_fech_in!V10/SER_summary!V$27)</f>
        <v>95.203098294705512</v>
      </c>
      <c r="W10" s="132">
        <f>IF(SER_hh_fech_in!W10=0,0,SER_hh_fech_in!W10/SER_summary!W$27)</f>
        <v>109.4405684759404</v>
      </c>
      <c r="X10" s="132">
        <f>IF(SER_hh_fech_in!X10=0,0,SER_hh_fech_in!X10/SER_summary!X$27)</f>
        <v>0</v>
      </c>
      <c r="Y10" s="132">
        <f>IF(SER_hh_fech_in!Y10=0,0,SER_hh_fech_in!Y10/SER_summary!Y$27)</f>
        <v>0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97.781907064169772</v>
      </c>
      <c r="D11" s="132">
        <f>IF(SER_hh_fech_in!D11=0,0,SER_hh_fech_in!D11/SER_summary!D$27)</f>
        <v>145.56469774071491</v>
      </c>
      <c r="E11" s="132">
        <f>IF(SER_hh_fech_in!E11=0,0,SER_hh_fech_in!E11/SER_summary!E$27)</f>
        <v>118.0456312303841</v>
      </c>
      <c r="F11" s="132">
        <f>IF(SER_hh_fech_in!F11=0,0,SER_hh_fech_in!F11/SER_summary!F$27)</f>
        <v>115.53115465565942</v>
      </c>
      <c r="G11" s="132">
        <f>IF(SER_hh_fech_in!G11=0,0,SER_hh_fech_in!G11/SER_summary!G$27)</f>
        <v>124.35265047929634</v>
      </c>
      <c r="H11" s="132">
        <f>IF(SER_hh_fech_in!H11=0,0,SER_hh_fech_in!H11/SER_summary!H$27)</f>
        <v>115.97134797314408</v>
      </c>
      <c r="I11" s="132">
        <f>IF(SER_hh_fech_in!I11=0,0,SER_hh_fech_in!I11/SER_summary!I$27)</f>
        <v>96.63127590329681</v>
      </c>
      <c r="J11" s="132">
        <f>IF(SER_hh_fech_in!J11=0,0,SER_hh_fech_in!J11/SER_summary!J$27)</f>
        <v>95.922134359809363</v>
      </c>
      <c r="K11" s="132">
        <f>IF(SER_hh_fech_in!K11=0,0,SER_hh_fech_in!K11/SER_summary!K$27)</f>
        <v>92.633763800220137</v>
      </c>
      <c r="L11" s="132">
        <f>IF(SER_hh_fech_in!L11=0,0,SER_hh_fech_in!L11/SER_summary!L$27)</f>
        <v>94.573356882780672</v>
      </c>
      <c r="M11" s="132">
        <f>IF(SER_hh_fech_in!M11=0,0,SER_hh_fech_in!M11/SER_summary!M$27)</f>
        <v>76.913057941474221</v>
      </c>
      <c r="N11" s="132">
        <f>IF(SER_hh_fech_in!N11=0,0,SER_hh_fech_in!N11/SER_summary!N$27)</f>
        <v>88.650992402282299</v>
      </c>
      <c r="O11" s="132">
        <f>IF(SER_hh_fech_in!O11=0,0,SER_hh_fech_in!O11/SER_summary!O$27)</f>
        <v>82.515643707356475</v>
      </c>
      <c r="P11" s="132">
        <f>IF(SER_hh_fech_in!P11=0,0,SER_hh_fech_in!P11/SER_summary!P$27)</f>
        <v>65.735634225291491</v>
      </c>
      <c r="Q11" s="132">
        <f>IF(SER_hh_fech_in!Q11=0,0,SER_hh_fech_in!Q11/SER_summary!Q$27)</f>
        <v>67.350341500497422</v>
      </c>
      <c r="R11" s="132">
        <f>IF(SER_hh_fech_in!R11=0,0,SER_hh_fech_in!R11/SER_summary!R$27)</f>
        <v>58.993318395906449</v>
      </c>
      <c r="S11" s="132">
        <f>IF(SER_hh_fech_in!S11=0,0,SER_hh_fech_in!S11/SER_summary!S$27)</f>
        <v>84.084210366300979</v>
      </c>
      <c r="T11" s="132">
        <f>IF(SER_hh_fech_in!T11=0,0,SER_hh_fech_in!T11/SER_summary!T$27)</f>
        <v>70.089737126182627</v>
      </c>
      <c r="U11" s="132">
        <f>IF(SER_hh_fech_in!U11=0,0,SER_hh_fech_in!U11/SER_summary!U$27)</f>
        <v>66.759037381940857</v>
      </c>
      <c r="V11" s="132">
        <f>IF(SER_hh_fech_in!V11=0,0,SER_hh_fech_in!V11/SER_summary!V$27)</f>
        <v>66.857031570619654</v>
      </c>
      <c r="W11" s="132">
        <f>IF(SER_hh_fech_in!W11=0,0,SER_hh_fech_in!W11/SER_summary!W$27)</f>
        <v>57.347783796337438</v>
      </c>
      <c r="X11" s="132">
        <f>IF(SER_hh_fech_in!X11=0,0,SER_hh_fech_in!X11/SER_summary!X$27)</f>
        <v>0</v>
      </c>
      <c r="Y11" s="132">
        <f>IF(SER_hh_fech_in!Y11=0,0,SER_hh_fech_in!Y11/SER_summary!Y$27)</f>
        <v>0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114.84916962435967</v>
      </c>
      <c r="D12" s="132">
        <f>IF(SER_hh_fech_in!D12=0,0,SER_hh_fech_in!D12/SER_summary!D$27)</f>
        <v>117.56588006220483</v>
      </c>
      <c r="E12" s="132">
        <f>IF(SER_hh_fech_in!E12=0,0,SER_hh_fech_in!E12/SER_summary!E$27)</f>
        <v>122.25352609256679</v>
      </c>
      <c r="F12" s="132">
        <f>IF(SER_hh_fech_in!F12=0,0,SER_hh_fech_in!F12/SER_summary!F$27)</f>
        <v>117.09877896664428</v>
      </c>
      <c r="G12" s="132">
        <f>IF(SER_hh_fech_in!G12=0,0,SER_hh_fech_in!G12/SER_summary!G$27)</f>
        <v>123.87500162307605</v>
      </c>
      <c r="H12" s="132">
        <f>IF(SER_hh_fech_in!H12=0,0,SER_hh_fech_in!H12/SER_summary!H$27)</f>
        <v>119.08719602094563</v>
      </c>
      <c r="I12" s="132">
        <f>IF(SER_hh_fech_in!I12=0,0,SER_hh_fech_in!I12/SER_summary!I$27)</f>
        <v>94.011048486512877</v>
      </c>
      <c r="J12" s="132">
        <f>IF(SER_hh_fech_in!J12=0,0,SER_hh_fech_in!J12/SER_summary!J$27)</f>
        <v>98.261926266344361</v>
      </c>
      <c r="K12" s="132">
        <f>IF(SER_hh_fech_in!K12=0,0,SER_hh_fech_in!K12/SER_summary!K$27)</f>
        <v>93.969835498666058</v>
      </c>
      <c r="L12" s="132">
        <f>IF(SER_hh_fech_in!L12=0,0,SER_hh_fech_in!L12/SER_summary!L$27)</f>
        <v>91.833046275096322</v>
      </c>
      <c r="M12" s="132">
        <f>IF(SER_hh_fech_in!M12=0,0,SER_hh_fech_in!M12/SER_summary!M$27)</f>
        <v>85.015284255639529</v>
      </c>
      <c r="N12" s="132">
        <f>IF(SER_hh_fech_in!N12=0,0,SER_hh_fech_in!N12/SER_summary!N$27)</f>
        <v>83.669365677268488</v>
      </c>
      <c r="O12" s="132">
        <f>IF(SER_hh_fech_in!O12=0,0,SER_hh_fech_in!O12/SER_summary!O$27)</f>
        <v>79.356209605020865</v>
      </c>
      <c r="P12" s="132">
        <f>IF(SER_hh_fech_in!P12=0,0,SER_hh_fech_in!P12/SER_summary!P$27)</f>
        <v>67.743049283075166</v>
      </c>
      <c r="Q12" s="132">
        <f>IF(SER_hh_fech_in!Q12=0,0,SER_hh_fech_in!Q12/SER_summary!Q$27)</f>
        <v>68.035933359081653</v>
      </c>
      <c r="R12" s="132">
        <f>IF(SER_hh_fech_in!R12=0,0,SER_hh_fech_in!R12/SER_summary!R$27)</f>
        <v>70.104118588141333</v>
      </c>
      <c r="S12" s="132">
        <f>IF(SER_hh_fech_in!S12=0,0,SER_hh_fech_in!S12/SER_summary!S$27)</f>
        <v>71.649645118773648</v>
      </c>
      <c r="T12" s="132">
        <f>IF(SER_hh_fech_in!T12=0,0,SER_hh_fech_in!T12/SER_summary!T$27)</f>
        <v>64.430477620498678</v>
      </c>
      <c r="U12" s="132">
        <f>IF(SER_hh_fech_in!U12=0,0,SER_hh_fech_in!U12/SER_summary!U$27)</f>
        <v>65.088369475713222</v>
      </c>
      <c r="V12" s="132">
        <f>IF(SER_hh_fech_in!V12=0,0,SER_hh_fech_in!V12/SER_summary!V$27)</f>
        <v>57.301165054544981</v>
      </c>
      <c r="W12" s="132">
        <f>IF(SER_hh_fech_in!W12=0,0,SER_hh_fech_in!W12/SER_summary!W$27)</f>
        <v>64.209067837761822</v>
      </c>
      <c r="X12" s="132">
        <f>IF(SER_hh_fech_in!X12=0,0,SER_hh_fech_in!X12/SER_summary!X$27)</f>
        <v>57.857945448642532</v>
      </c>
      <c r="Y12" s="132">
        <f>IF(SER_hh_fech_in!Y12=0,0,SER_hh_fech_in!Y12/SER_summary!Y$27)</f>
        <v>54.987343936460839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31.736732263706848</v>
      </c>
      <c r="D13" s="132">
        <f>IF(SER_hh_fech_in!D13=0,0,SER_hh_fech_in!D13/SER_summary!D$27)</f>
        <v>32.895021456993959</v>
      </c>
      <c r="E13" s="132">
        <f>IF(SER_hh_fech_in!E13=0,0,SER_hh_fech_in!E13/SER_summary!E$27)</f>
        <v>35.175468334158786</v>
      </c>
      <c r="F13" s="132">
        <f>IF(SER_hh_fech_in!F13=0,0,SER_hh_fech_in!F13/SER_summary!F$27)</f>
        <v>35.283481543042754</v>
      </c>
      <c r="G13" s="132">
        <f>IF(SER_hh_fech_in!G13=0,0,SER_hh_fech_in!G13/SER_summary!G$27)</f>
        <v>32.072022061116876</v>
      </c>
      <c r="H13" s="132">
        <f>IF(SER_hh_fech_in!H13=0,0,SER_hh_fech_in!H13/SER_summary!H$27)</f>
        <v>31.109792687502583</v>
      </c>
      <c r="I13" s="132">
        <f>IF(SER_hh_fech_in!I13=0,0,SER_hh_fech_in!I13/SER_summary!I$27)</f>
        <v>26.25818946488587</v>
      </c>
      <c r="J13" s="132">
        <f>IF(SER_hh_fech_in!J13=0,0,SER_hh_fech_in!J13/SER_summary!J$27)</f>
        <v>29.383036756176917</v>
      </c>
      <c r="K13" s="132">
        <f>IF(SER_hh_fech_in!K13=0,0,SER_hh_fech_in!K13/SER_summary!K$27)</f>
        <v>22.299348221244852</v>
      </c>
      <c r="L13" s="132">
        <f>IF(SER_hh_fech_in!L13=0,0,SER_hh_fech_in!L13/SER_summary!L$27)</f>
        <v>21.256518216754241</v>
      </c>
      <c r="M13" s="132">
        <f>IF(SER_hh_fech_in!M13=0,0,SER_hh_fech_in!M13/SER_summary!M$27)</f>
        <v>20.833407526706551</v>
      </c>
      <c r="N13" s="132">
        <f>IF(SER_hh_fech_in!N13=0,0,SER_hh_fech_in!N13/SER_summary!N$27)</f>
        <v>19.301595975976049</v>
      </c>
      <c r="O13" s="132">
        <f>IF(SER_hh_fech_in!O13=0,0,SER_hh_fech_in!O13/SER_summary!O$27)</f>
        <v>18.301908089269187</v>
      </c>
      <c r="P13" s="132">
        <f>IF(SER_hh_fech_in!P13=0,0,SER_hh_fech_in!P13/SER_summary!P$27)</f>
        <v>18.070678758223675</v>
      </c>
      <c r="Q13" s="132">
        <f>IF(SER_hh_fech_in!Q13=0,0,SER_hh_fech_in!Q13/SER_summary!Q$27)</f>
        <v>14.482823488263069</v>
      </c>
      <c r="R13" s="132">
        <f>IF(SER_hh_fech_in!R13=0,0,SER_hh_fech_in!R13/SER_summary!R$27)</f>
        <v>14.006361303869832</v>
      </c>
      <c r="S13" s="132">
        <f>IF(SER_hh_fech_in!S13=0,0,SER_hh_fech_in!S13/SER_summary!S$27)</f>
        <v>14.617323366337333</v>
      </c>
      <c r="T13" s="132">
        <f>IF(SER_hh_fech_in!T13=0,0,SER_hh_fech_in!T13/SER_summary!T$27)</f>
        <v>13.806164341927838</v>
      </c>
      <c r="U13" s="132">
        <f>IF(SER_hh_fech_in!U13=0,0,SER_hh_fech_in!U13/SER_summary!U$27)</f>
        <v>15.249420404607028</v>
      </c>
      <c r="V13" s="132">
        <f>IF(SER_hh_fech_in!V13=0,0,SER_hh_fech_in!V13/SER_summary!V$27)</f>
        <v>9.6484534000683091</v>
      </c>
      <c r="W13" s="132">
        <f>IF(SER_hh_fech_in!W13=0,0,SER_hh_fech_in!W13/SER_summary!W$27)</f>
        <v>8.1429379067735557</v>
      </c>
      <c r="X13" s="132">
        <f>IF(SER_hh_fech_in!X13=0,0,SER_hh_fech_in!X13/SER_summary!X$27)</f>
        <v>10.749139809630398</v>
      </c>
      <c r="Y13" s="132">
        <f>IF(SER_hh_fech_in!Y13=0,0,SER_hh_fech_in!Y13/SER_summary!Y$27)</f>
        <v>12.105402330375222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0</v>
      </c>
      <c r="D14" s="65">
        <f>IF(SER_hh_fech_in!D14=0,0,SER_hh_fech_in!D14/SER_summary!D$27)</f>
        <v>127.00364884810963</v>
      </c>
      <c r="E14" s="65">
        <f>IF(SER_hh_fech_in!E14=0,0,SER_hh_fech_in!E14/SER_summary!E$27)</f>
        <v>148.28255453996991</v>
      </c>
      <c r="F14" s="65">
        <f>IF(SER_hh_fech_in!F14=0,0,SER_hh_fech_in!F14/SER_summary!F$27)</f>
        <v>108.46900488906361</v>
      </c>
      <c r="G14" s="65">
        <f>IF(SER_hh_fech_in!G14=0,0,SER_hh_fech_in!G14/SER_summary!G$27)</f>
        <v>141.00241620681373</v>
      </c>
      <c r="H14" s="65">
        <f>IF(SER_hh_fech_in!H14=0,0,SER_hh_fech_in!H14/SER_summary!H$27)</f>
        <v>129.11959020611513</v>
      </c>
      <c r="I14" s="65">
        <f>IF(SER_hh_fech_in!I14=0,0,SER_hh_fech_in!I14/SER_summary!I$27)</f>
        <v>109.37499636642674</v>
      </c>
      <c r="J14" s="65">
        <f>IF(SER_hh_fech_in!J14=0,0,SER_hh_fech_in!J14/SER_summary!J$27)</f>
        <v>128.41706599301745</v>
      </c>
      <c r="K14" s="65">
        <f>IF(SER_hh_fech_in!K14=0,0,SER_hh_fech_in!K14/SER_summary!K$27)</f>
        <v>0</v>
      </c>
      <c r="L14" s="65">
        <f>IF(SER_hh_fech_in!L14=0,0,SER_hh_fech_in!L14/SER_summary!L$27)</f>
        <v>100.94686653817635</v>
      </c>
      <c r="M14" s="65">
        <f>IF(SER_hh_fech_in!M14=0,0,SER_hh_fech_in!M14/SER_summary!M$27)</f>
        <v>91.18298645240759</v>
      </c>
      <c r="N14" s="65">
        <f>IF(SER_hh_fech_in!N14=0,0,SER_hh_fech_in!N14/SER_summary!N$27)</f>
        <v>89.290391105633262</v>
      </c>
      <c r="O14" s="65">
        <f>IF(SER_hh_fech_in!O14=0,0,SER_hh_fech_in!O14/SER_summary!O$27)</f>
        <v>87.552816974711732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0</v>
      </c>
      <c r="S14" s="65">
        <f>IF(SER_hh_fech_in!S14=0,0,SER_hh_fech_in!S14/SER_summary!S$27)</f>
        <v>72.763989905211403</v>
      </c>
      <c r="T14" s="65">
        <f>IF(SER_hh_fech_in!T14=0,0,SER_hh_fech_in!T14/SER_summary!T$27)</f>
        <v>78.042781320291795</v>
      </c>
      <c r="U14" s="65">
        <f>IF(SER_hh_fech_in!U14=0,0,SER_hh_fech_in!U14/SER_summary!U$27)</f>
        <v>69.272389471728303</v>
      </c>
      <c r="V14" s="65">
        <f>IF(SER_hh_fech_in!V14=0,0,SER_hh_fech_in!V14/SER_summary!V$27)</f>
        <v>56.68454046473186</v>
      </c>
      <c r="W14" s="65">
        <f>IF(SER_hh_fech_in!W14=0,0,SER_hh_fech_in!W14/SER_summary!W$27)</f>
        <v>57.501534357181896</v>
      </c>
      <c r="X14" s="65">
        <f>IF(SER_hh_fech_in!X14=0,0,SER_hh_fech_in!X14/SER_summary!X$27)</f>
        <v>67.290456852229184</v>
      </c>
      <c r="Y14" s="65">
        <f>IF(SER_hh_fech_in!Y14=0,0,SER_hh_fech_in!Y14/SER_summary!Y$27)</f>
        <v>0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1.8648597674925633</v>
      </c>
      <c r="D15" s="134">
        <f>IF(SER_hh_fech_in!D15=0,0,SER_hh_fech_in!D15/SER_summary!D$27)</f>
        <v>1.4232098330057492</v>
      </c>
      <c r="E15" s="134">
        <f>IF(SER_hh_fech_in!E15=0,0,SER_hh_fech_in!E15/SER_summary!E$27)</f>
        <v>1.4566213985700995</v>
      </c>
      <c r="F15" s="134">
        <f>IF(SER_hh_fech_in!F15=0,0,SER_hh_fech_in!F15/SER_summary!F$27)</f>
        <v>0.7968288949390302</v>
      </c>
      <c r="G15" s="134">
        <f>IF(SER_hh_fech_in!G15=0,0,SER_hh_fech_in!G15/SER_summary!G$27)</f>
        <v>0.79413022139822487</v>
      </c>
      <c r="H15" s="134">
        <f>IF(SER_hh_fech_in!H15=0,0,SER_hh_fech_in!H15/SER_summary!H$27)</f>
        <v>0.757637308023976</v>
      </c>
      <c r="I15" s="134">
        <f>IF(SER_hh_fech_in!I15=0,0,SER_hh_fech_in!I15/SER_summary!I$27)</f>
        <v>0.46537532456837361</v>
      </c>
      <c r="J15" s="134">
        <f>IF(SER_hh_fech_in!J15=0,0,SER_hh_fech_in!J15/SER_summary!J$27)</f>
        <v>0.38086660308601489</v>
      </c>
      <c r="K15" s="134">
        <f>IF(SER_hh_fech_in!K15=0,0,SER_hh_fech_in!K15/SER_summary!K$27)</f>
        <v>0.45437989373439552</v>
      </c>
      <c r="L15" s="134">
        <f>IF(SER_hh_fech_in!L15=0,0,SER_hh_fech_in!L15/SER_summary!L$27)</f>
        <v>0.55713192604391037</v>
      </c>
      <c r="M15" s="134">
        <f>IF(SER_hh_fech_in!M15=0,0,SER_hh_fech_in!M15/SER_summary!M$27)</f>
        <v>0.52781144146200831</v>
      </c>
      <c r="N15" s="134">
        <f>IF(SER_hh_fech_in!N15=0,0,SER_hh_fech_in!N15/SER_summary!N$27)</f>
        <v>0.83331962232589918</v>
      </c>
      <c r="O15" s="134">
        <f>IF(SER_hh_fech_in!O15=0,0,SER_hh_fech_in!O15/SER_summary!O$27)</f>
        <v>0.90756840478328327</v>
      </c>
      <c r="P15" s="134">
        <f>IF(SER_hh_fech_in!P15=0,0,SER_hh_fech_in!P15/SER_summary!P$27)</f>
        <v>0.67762514500608417</v>
      </c>
      <c r="Q15" s="134">
        <f>IF(SER_hh_fech_in!Q15=0,0,SER_hh_fech_in!Q15/SER_summary!Q$27)</f>
        <v>0.53950494981428565</v>
      </c>
      <c r="R15" s="134">
        <f>IF(SER_hh_fech_in!R15=0,0,SER_hh_fech_in!R15/SER_summary!R$27)</f>
        <v>0.53422051090143741</v>
      </c>
      <c r="S15" s="134">
        <f>IF(SER_hh_fech_in!S15=0,0,SER_hh_fech_in!S15/SER_summary!S$27)</f>
        <v>0.62334373794486775</v>
      </c>
      <c r="T15" s="134">
        <f>IF(SER_hh_fech_in!T15=0,0,SER_hh_fech_in!T15/SER_summary!T$27)</f>
        <v>0.53079131628438958</v>
      </c>
      <c r="U15" s="134">
        <f>IF(SER_hh_fech_in!U15=0,0,SER_hh_fech_in!U15/SER_summary!U$27)</f>
        <v>0.47630691111099394</v>
      </c>
      <c r="V15" s="134">
        <f>IF(SER_hh_fech_in!V15=0,0,SER_hh_fech_in!V15/SER_summary!V$27)</f>
        <v>0.31615375450932615</v>
      </c>
      <c r="W15" s="134">
        <f>IF(SER_hh_fech_in!W15=0,0,SER_hh_fech_in!W15/SER_summary!W$27)</f>
        <v>0.42392641989260943</v>
      </c>
      <c r="X15" s="134">
        <f>IF(SER_hh_fech_in!X15=0,0,SER_hh_fech_in!X15/SER_summary!X$27)</f>
        <v>0.29798612305851091</v>
      </c>
      <c r="Y15" s="134">
        <f>IF(SER_hh_fech_in!Y15=0,0,SER_hh_fech_in!Y15/SER_summary!Y$27)</f>
        <v>0.2084817782067693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9.305661840934107</v>
      </c>
      <c r="D16" s="130">
        <f>IF(SER_hh_fech_in!D16=0,0,SER_hh_fech_in!D16/SER_summary!D$27)</f>
        <v>9.0448853025103997</v>
      </c>
      <c r="E16" s="130">
        <f>IF(SER_hh_fech_in!E16=0,0,SER_hh_fech_in!E16/SER_summary!E$27)</f>
        <v>9.7535042471585331</v>
      </c>
      <c r="F16" s="130">
        <f>IF(SER_hh_fech_in!F16=0,0,SER_hh_fech_in!F16/SER_summary!F$27)</f>
        <v>8.3911219440116511</v>
      </c>
      <c r="G16" s="130">
        <f>IF(SER_hh_fech_in!G16=0,0,SER_hh_fech_in!G16/SER_summary!G$27)</f>
        <v>8.1861972646291719</v>
      </c>
      <c r="H16" s="130">
        <f>IF(SER_hh_fech_in!H16=0,0,SER_hh_fech_in!H16/SER_summary!H$27)</f>
        <v>8.3151555728218778</v>
      </c>
      <c r="I16" s="130">
        <f>IF(SER_hh_fech_in!I16=0,0,SER_hh_fech_in!I16/SER_summary!I$27)</f>
        <v>7.9381802470112595</v>
      </c>
      <c r="J16" s="130">
        <f>IF(SER_hh_fech_in!J16=0,0,SER_hh_fech_in!J16/SER_summary!J$27)</f>
        <v>7.3360421218405953</v>
      </c>
      <c r="K16" s="130">
        <f>IF(SER_hh_fech_in!K16=0,0,SER_hh_fech_in!K16/SER_summary!K$27)</f>
        <v>7.0969989032420768</v>
      </c>
      <c r="L16" s="130">
        <f>IF(SER_hh_fech_in!L16=0,0,SER_hh_fech_in!L16/SER_summary!L$27)</f>
        <v>6.9859016057058891</v>
      </c>
      <c r="M16" s="130">
        <f>IF(SER_hh_fech_in!M16=0,0,SER_hh_fech_in!M16/SER_summary!M$27)</f>
        <v>6.5148992552011151</v>
      </c>
      <c r="N16" s="130">
        <f>IF(SER_hh_fech_in!N16=0,0,SER_hh_fech_in!N16/SER_summary!N$27)</f>
        <v>6.3591476397870315</v>
      </c>
      <c r="O16" s="130">
        <f>IF(SER_hh_fech_in!O16=0,0,SER_hh_fech_in!O16/SER_summary!O$27)</f>
        <v>6.3205278884131797</v>
      </c>
      <c r="P16" s="130">
        <f>IF(SER_hh_fech_in!P16=0,0,SER_hh_fech_in!P16/SER_summary!P$27)</f>
        <v>5.2625213520859866</v>
      </c>
      <c r="Q16" s="130">
        <f>IF(SER_hh_fech_in!Q16=0,0,SER_hh_fech_in!Q16/SER_summary!Q$27)</f>
        <v>5.8931431140892752</v>
      </c>
      <c r="R16" s="130">
        <f>IF(SER_hh_fech_in!R16=0,0,SER_hh_fech_in!R16/SER_summary!R$27)</f>
        <v>4.9598423937684233</v>
      </c>
      <c r="S16" s="130">
        <f>IF(SER_hh_fech_in!S16=0,0,SER_hh_fech_in!S16/SER_summary!S$27)</f>
        <v>5.2769189012891937</v>
      </c>
      <c r="T16" s="130">
        <f>IF(SER_hh_fech_in!T16=0,0,SER_hh_fech_in!T16/SER_summary!T$27)</f>
        <v>5.1424572610825789</v>
      </c>
      <c r="U16" s="130">
        <f>IF(SER_hh_fech_in!U16=0,0,SER_hh_fech_in!U16/SER_summary!U$27)</f>
        <v>5.292291980703733</v>
      </c>
      <c r="V16" s="130">
        <f>IF(SER_hh_fech_in!V16=0,0,SER_hh_fech_in!V16/SER_summary!V$27)</f>
        <v>4.7816665544947119</v>
      </c>
      <c r="W16" s="130">
        <f>IF(SER_hh_fech_in!W16=0,0,SER_hh_fech_in!W16/SER_summary!W$27)</f>
        <v>4.8113695898968087</v>
      </c>
      <c r="X16" s="130">
        <f>IF(SER_hh_fech_in!X16=0,0,SER_hh_fech_in!X16/SER_summary!X$27)</f>
        <v>5.0449107556344952</v>
      </c>
      <c r="Y16" s="130">
        <f>IF(SER_hh_fech_in!Y16=0,0,SER_hh_fech_in!Y16/SER_summary!Y$27)</f>
        <v>5.2955359305172385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18.558939721618039</v>
      </c>
      <c r="D17" s="132">
        <f>IF(SER_hh_fech_in!D17=0,0,SER_hh_fech_in!D17/SER_summary!D$27)</f>
        <v>18.383716259109292</v>
      </c>
      <c r="E17" s="132">
        <f>IF(SER_hh_fech_in!E17=0,0,SER_hh_fech_in!E17/SER_summary!E$27)</f>
        <v>20.212307411280598</v>
      </c>
      <c r="F17" s="132">
        <f>IF(SER_hh_fech_in!F17=0,0,SER_hh_fech_in!F17/SER_summary!F$27)</f>
        <v>17.726629686288685</v>
      </c>
      <c r="G17" s="132">
        <f>IF(SER_hh_fech_in!G17=0,0,SER_hh_fech_in!G17/SER_summary!G$27)</f>
        <v>17.636519949005727</v>
      </c>
      <c r="H17" s="132">
        <f>IF(SER_hh_fech_in!H17=0,0,SER_hh_fech_in!H17/SER_summary!H$27)</f>
        <v>18.235345145918316</v>
      </c>
      <c r="I17" s="132">
        <f>IF(SER_hh_fech_in!I17=0,0,SER_hh_fech_in!I17/SER_summary!I$27)</f>
        <v>17.822160335834113</v>
      </c>
      <c r="J17" s="132">
        <f>IF(SER_hh_fech_in!J17=0,0,SER_hh_fech_in!J17/SER_summary!J$27)</f>
        <v>16.851867764835387</v>
      </c>
      <c r="K17" s="132">
        <f>IF(SER_hh_fech_in!K17=0,0,SER_hh_fech_in!K17/SER_summary!K$27)</f>
        <v>16.57153843476145</v>
      </c>
      <c r="L17" s="132">
        <f>IF(SER_hh_fech_in!L17=0,0,SER_hh_fech_in!L17/SER_summary!L$27)</f>
        <v>16.770026553224643</v>
      </c>
      <c r="M17" s="132">
        <f>IF(SER_hh_fech_in!M17=0,0,SER_hh_fech_in!M17/SER_summary!M$27)</f>
        <v>17.230080346779925</v>
      </c>
      <c r="N17" s="132">
        <f>IF(SER_hh_fech_in!N17=0,0,SER_hh_fech_in!N17/SER_summary!N$27)</f>
        <v>16.106488806571772</v>
      </c>
      <c r="O17" s="132">
        <f>IF(SER_hh_fech_in!O17=0,0,SER_hh_fech_in!O17/SER_summary!O$27)</f>
        <v>16.579152490249953</v>
      </c>
      <c r="P17" s="132">
        <f>IF(SER_hh_fech_in!P17=0,0,SER_hh_fech_in!P17/SER_summary!P$27)</f>
        <v>14.247394895743449</v>
      </c>
      <c r="Q17" s="132">
        <f>IF(SER_hh_fech_in!Q17=0,0,SER_hh_fech_in!Q17/SER_summary!Q$27)</f>
        <v>17.056573481206581</v>
      </c>
      <c r="R17" s="132">
        <f>IF(SER_hh_fech_in!R17=0,0,SER_hh_fech_in!R17/SER_summary!R$27)</f>
        <v>13.925903744608606</v>
      </c>
      <c r="S17" s="132">
        <f>IF(SER_hh_fech_in!S17=0,0,SER_hh_fech_in!S17/SER_summary!S$27)</f>
        <v>14.686877351503529</v>
      </c>
      <c r="T17" s="132">
        <f>IF(SER_hh_fech_in!T17=0,0,SER_hh_fech_in!T17/SER_summary!T$27)</f>
        <v>14.17146645355151</v>
      </c>
      <c r="U17" s="132">
        <f>IF(SER_hh_fech_in!U17=0,0,SER_hh_fech_in!U17/SER_summary!U$27)</f>
        <v>14.348778349167874</v>
      </c>
      <c r="V17" s="132">
        <f>IF(SER_hh_fech_in!V17=0,0,SER_hh_fech_in!V17/SER_summary!V$27)</f>
        <v>12.491479653290686</v>
      </c>
      <c r="W17" s="132">
        <f>IF(SER_hh_fech_in!W17=0,0,SER_hh_fech_in!W17/SER_summary!W$27)</f>
        <v>12.852351649492766</v>
      </c>
      <c r="X17" s="132">
        <f>IF(SER_hh_fech_in!X17=0,0,SER_hh_fech_in!X17/SER_summary!X$27)</f>
        <v>13.427952451073416</v>
      </c>
      <c r="Y17" s="132">
        <f>IF(SER_hh_fech_in!Y17=0,0,SER_hh_fech_in!Y17/SER_summary!Y$27)</f>
        <v>14.140772708011845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9.2908043211303024</v>
      </c>
      <c r="D18" s="132">
        <f>IF(SER_hh_fech_in!D18=0,0,SER_hh_fech_in!D18/SER_summary!D$27)</f>
        <v>9.0233558959333635</v>
      </c>
      <c r="E18" s="132">
        <f>IF(SER_hh_fech_in!E18=0,0,SER_hh_fech_in!E18/SER_summary!E$27)</f>
        <v>9.7394140855946674</v>
      </c>
      <c r="F18" s="132">
        <f>IF(SER_hh_fech_in!F18=0,0,SER_hh_fech_in!F18/SER_summary!F$27)</f>
        <v>8.3560479471176734</v>
      </c>
      <c r="G18" s="132">
        <f>IF(SER_hh_fech_in!G18=0,0,SER_hh_fech_in!G18/SER_summary!G$27)</f>
        <v>8.1610664490897182</v>
      </c>
      <c r="H18" s="132">
        <f>IF(SER_hh_fech_in!H18=0,0,SER_hh_fech_in!H18/SER_summary!H$27)</f>
        <v>8.2906405625900117</v>
      </c>
      <c r="I18" s="132">
        <f>IF(SER_hh_fech_in!I18=0,0,SER_hh_fech_in!I18/SER_summary!I$27)</f>
        <v>7.8993616471130563</v>
      </c>
      <c r="J18" s="132">
        <f>IF(SER_hh_fech_in!J18=0,0,SER_hh_fech_in!J18/SER_summary!J$27)</f>
        <v>7.2984143755747111</v>
      </c>
      <c r="K18" s="132">
        <f>IF(SER_hh_fech_in!K18=0,0,SER_hh_fech_in!K18/SER_summary!K$27)</f>
        <v>7.0209304563945452</v>
      </c>
      <c r="L18" s="132">
        <f>IF(SER_hh_fech_in!L18=0,0,SER_hh_fech_in!L18/SER_summary!L$27)</f>
        <v>6.9471092846380236</v>
      </c>
      <c r="M18" s="132">
        <f>IF(SER_hh_fech_in!M18=0,0,SER_hh_fech_in!M18/SER_summary!M$27)</f>
        <v>6.468664095110868</v>
      </c>
      <c r="N18" s="132">
        <f>IF(SER_hh_fech_in!N18=0,0,SER_hh_fech_in!N18/SER_summary!N$27)</f>
        <v>6.29835477775665</v>
      </c>
      <c r="O18" s="132">
        <f>IF(SER_hh_fech_in!O18=0,0,SER_hh_fech_in!O18/SER_summary!O$27)</f>
        <v>6.2540731550597117</v>
      </c>
      <c r="P18" s="132">
        <f>IF(SER_hh_fech_in!P18=0,0,SER_hh_fech_in!P18/SER_summary!P$27)</f>
        <v>5.1934380282416894</v>
      </c>
      <c r="Q18" s="132">
        <f>IF(SER_hh_fech_in!Q18=0,0,SER_hh_fech_in!Q18/SER_summary!Q$27)</f>
        <v>5.8055283359066614</v>
      </c>
      <c r="R18" s="132">
        <f>IF(SER_hh_fech_in!R18=0,0,SER_hh_fech_in!R18/SER_summary!R$27)</f>
        <v>4.9032911999518776</v>
      </c>
      <c r="S18" s="132">
        <f>IF(SER_hh_fech_in!S18=0,0,SER_hh_fech_in!S18/SER_summary!S$27)</f>
        <v>5.1866386965214817</v>
      </c>
      <c r="T18" s="132">
        <f>IF(SER_hh_fech_in!T18=0,0,SER_hh_fech_in!T18/SER_summary!T$27)</f>
        <v>5.0672694620731153</v>
      </c>
      <c r="U18" s="132">
        <f>IF(SER_hh_fech_in!U18=0,0,SER_hh_fech_in!U18/SER_summary!U$27)</f>
        <v>5.1821464455187538</v>
      </c>
      <c r="V18" s="132">
        <f>IF(SER_hh_fech_in!V18=0,0,SER_hh_fech_in!V18/SER_summary!V$27)</f>
        <v>4.7165387402973291</v>
      </c>
      <c r="W18" s="132">
        <f>IF(SER_hh_fech_in!W18=0,0,SER_hh_fech_in!W18/SER_summary!W$27)</f>
        <v>4.756681342554157</v>
      </c>
      <c r="X18" s="132">
        <f>IF(SER_hh_fech_in!X18=0,0,SER_hh_fech_in!X18/SER_summary!X$27)</f>
        <v>4.9646277348624226</v>
      </c>
      <c r="Y18" s="132">
        <f>IF(SER_hh_fech_in!Y18=0,0,SER_hh_fech_in!Y18/SER_summary!Y$27)</f>
        <v>5.2103650175094884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18.552461043205202</v>
      </c>
      <c r="D19" s="130">
        <f>IF(SER_hh_fech_in!D19=0,0,SER_hh_fech_in!D19/SER_summary!D$27)</f>
        <v>20.067985285888287</v>
      </c>
      <c r="E19" s="130">
        <f>IF(SER_hh_fech_in!E19=0,0,SER_hh_fech_in!E19/SER_summary!E$27)</f>
        <v>18.416435915655949</v>
      </c>
      <c r="F19" s="130">
        <f>IF(SER_hh_fech_in!F19=0,0,SER_hh_fech_in!F19/SER_summary!F$27)</f>
        <v>19.056175224701182</v>
      </c>
      <c r="G19" s="130">
        <f>IF(SER_hh_fech_in!G19=0,0,SER_hh_fech_in!G19/SER_summary!G$27)</f>
        <v>21.126857144195043</v>
      </c>
      <c r="H19" s="130">
        <f>IF(SER_hh_fech_in!H19=0,0,SER_hh_fech_in!H19/SER_summary!H$27)</f>
        <v>20.661887992143733</v>
      </c>
      <c r="I19" s="130">
        <f>IF(SER_hh_fech_in!I19=0,0,SER_hh_fech_in!I19/SER_summary!I$27)</f>
        <v>18.697612100651476</v>
      </c>
      <c r="J19" s="130">
        <f>IF(SER_hh_fech_in!J19=0,0,SER_hh_fech_in!J19/SER_summary!J$27)</f>
        <v>18.685989875673716</v>
      </c>
      <c r="K19" s="130">
        <f>IF(SER_hh_fech_in!K19=0,0,SER_hh_fech_in!K19/SER_summary!K$27)</f>
        <v>20.689849106419036</v>
      </c>
      <c r="L19" s="130">
        <f>IF(SER_hh_fech_in!L19=0,0,SER_hh_fech_in!L19/SER_summary!L$27)</f>
        <v>20.072774604961822</v>
      </c>
      <c r="M19" s="130">
        <f>IF(SER_hh_fech_in!M19=0,0,SER_hh_fech_in!M19/SER_summary!M$27)</f>
        <v>21.29268700219124</v>
      </c>
      <c r="N19" s="130">
        <f>IF(SER_hh_fech_in!N19=0,0,SER_hh_fech_in!N19/SER_summary!N$27)</f>
        <v>19.895082904529094</v>
      </c>
      <c r="O19" s="130">
        <f>IF(SER_hh_fech_in!O19=0,0,SER_hh_fech_in!O19/SER_summary!O$27)</f>
        <v>18.621901821130251</v>
      </c>
      <c r="P19" s="130">
        <f>IF(SER_hh_fech_in!P19=0,0,SER_hh_fech_in!P19/SER_summary!P$27)</f>
        <v>20.728245089557657</v>
      </c>
      <c r="Q19" s="130">
        <f>IF(SER_hh_fech_in!Q19=0,0,SER_hh_fech_in!Q19/SER_summary!Q$27)</f>
        <v>17.579254751390483</v>
      </c>
      <c r="R19" s="130">
        <f>IF(SER_hh_fech_in!R19=0,0,SER_hh_fech_in!R19/SER_summary!R$27)</f>
        <v>17.543940057025232</v>
      </c>
      <c r="S19" s="130">
        <f>IF(SER_hh_fech_in!S19=0,0,SER_hh_fech_in!S19/SER_summary!S$27)</f>
        <v>20.328722728428449</v>
      </c>
      <c r="T19" s="130">
        <f>IF(SER_hh_fech_in!T19=0,0,SER_hh_fech_in!T19/SER_summary!T$27)</f>
        <v>19.376880072616508</v>
      </c>
      <c r="U19" s="130">
        <f>IF(SER_hh_fech_in!U19=0,0,SER_hh_fech_in!U19/SER_summary!U$27)</f>
        <v>19.163394323328063</v>
      </c>
      <c r="V19" s="130">
        <f>IF(SER_hh_fech_in!V19=0,0,SER_hh_fech_in!V19/SER_summary!V$27)</f>
        <v>17.48869351577142</v>
      </c>
      <c r="W19" s="130">
        <f>IF(SER_hh_fech_in!W19=0,0,SER_hh_fech_in!W19/SER_summary!W$27)</f>
        <v>15.687484434884858</v>
      </c>
      <c r="X19" s="130">
        <f>IF(SER_hh_fech_in!X19=0,0,SER_hh_fech_in!X19/SER_summary!X$27)</f>
        <v>17.628357863090123</v>
      </c>
      <c r="Y19" s="130">
        <f>IF(SER_hh_fech_in!Y19=0,0,SER_hh_fech_in!Y19/SER_summary!Y$27)</f>
        <v>16.781387779346545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11.095633156008919</v>
      </c>
      <c r="D21" s="132">
        <f>IF(SER_hh_fech_in!D21=0,0,SER_hh_fech_in!D21/SER_summary!D$27)</f>
        <v>22.734511376004704</v>
      </c>
      <c r="E21" s="132">
        <f>IF(SER_hh_fech_in!E21=0,0,SER_hh_fech_in!E21/SER_summary!E$27)</f>
        <v>18.284062822952926</v>
      </c>
      <c r="F21" s="132">
        <f>IF(SER_hh_fech_in!F21=0,0,SER_hh_fech_in!F21/SER_summary!F$27)</f>
        <v>23.426463641540277</v>
      </c>
      <c r="G21" s="132">
        <f>IF(SER_hh_fech_in!G21=0,0,SER_hh_fech_in!G21/SER_summary!G$27)</f>
        <v>26.331910181491907</v>
      </c>
      <c r="H21" s="132">
        <f>IF(SER_hh_fech_in!H21=0,0,SER_hh_fech_in!H21/SER_summary!H$27)</f>
        <v>26.160227321326598</v>
      </c>
      <c r="I21" s="132">
        <f>IF(SER_hh_fech_in!I21=0,0,SER_hh_fech_in!I21/SER_summary!I$27)</f>
        <v>20.899036754117322</v>
      </c>
      <c r="J21" s="132">
        <f>IF(SER_hh_fech_in!J21=0,0,SER_hh_fech_in!J21/SER_summary!J$27)</f>
        <v>0</v>
      </c>
      <c r="K21" s="132">
        <f>IF(SER_hh_fech_in!K21=0,0,SER_hh_fech_in!K21/SER_summary!K$27)</f>
        <v>27.311142134549765</v>
      </c>
      <c r="L21" s="132">
        <f>IF(SER_hh_fech_in!L21=0,0,SER_hh_fech_in!L21/SER_summary!L$27)</f>
        <v>0</v>
      </c>
      <c r="M21" s="132">
        <f>IF(SER_hh_fech_in!M21=0,0,SER_hh_fech_in!M21/SER_summary!M$27)</f>
        <v>0</v>
      </c>
      <c r="N21" s="132">
        <f>IF(SER_hh_fech_in!N21=0,0,SER_hh_fech_in!N21/SER_summary!N$27)</f>
        <v>0</v>
      </c>
      <c r="O21" s="132">
        <f>IF(SER_hh_fech_in!O21=0,0,SER_hh_fech_in!O21/SER_summary!O$27)</f>
        <v>0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0</v>
      </c>
      <c r="S21" s="132">
        <f>IF(SER_hh_fech_in!S21=0,0,SER_hh_fech_in!S21/SER_summary!S$27)</f>
        <v>0</v>
      </c>
      <c r="T21" s="132">
        <f>IF(SER_hh_fech_in!T21=0,0,SER_hh_fech_in!T21/SER_summary!T$27)</f>
        <v>0</v>
      </c>
      <c r="U21" s="132">
        <f>IF(SER_hh_fech_in!U21=0,0,SER_hh_fech_in!U21/SER_summary!U$27)</f>
        <v>0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0</v>
      </c>
      <c r="Y21" s="132">
        <f>IF(SER_hh_fech_in!Y21=0,0,SER_hh_fech_in!Y21/SER_summary!Y$27)</f>
        <v>0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15.075431571756479</v>
      </c>
      <c r="D22" s="132">
        <f>IF(SER_hh_fech_in!D22=0,0,SER_hh_fech_in!D22/SER_summary!D$27)</f>
        <v>23.811644995815698</v>
      </c>
      <c r="E22" s="132">
        <f>IF(SER_hh_fech_in!E22=0,0,SER_hh_fech_in!E22/SER_summary!E$27)</f>
        <v>12.068964888663958</v>
      </c>
      <c r="F22" s="132">
        <f>IF(SER_hh_fech_in!F22=0,0,SER_hh_fech_in!F22/SER_summary!F$27)</f>
        <v>24.234339031899292</v>
      </c>
      <c r="G22" s="132">
        <f>IF(SER_hh_fech_in!G22=0,0,SER_hh_fech_in!G22/SER_summary!G$27)</f>
        <v>27.366659282989829</v>
      </c>
      <c r="H22" s="132">
        <f>IF(SER_hh_fech_in!H22=0,0,SER_hh_fech_in!H22/SER_summary!H$27)</f>
        <v>26.836728879066897</v>
      </c>
      <c r="I22" s="132">
        <f>IF(SER_hh_fech_in!I22=0,0,SER_hh_fech_in!I22/SER_summary!I$27)</f>
        <v>21.315496260986457</v>
      </c>
      <c r="J22" s="132">
        <f>IF(SER_hh_fech_in!J22=0,0,SER_hh_fech_in!J22/SER_summary!J$27)</f>
        <v>12.780628208975712</v>
      </c>
      <c r="K22" s="132">
        <f>IF(SER_hh_fech_in!K22=0,0,SER_hh_fech_in!K22/SER_summary!K$27)</f>
        <v>27.35706110993716</v>
      </c>
      <c r="L22" s="132">
        <f>IF(SER_hh_fech_in!L22=0,0,SER_hh_fech_in!L22/SER_summary!L$27)</f>
        <v>7.6556125875349519</v>
      </c>
      <c r="M22" s="132">
        <f>IF(SER_hh_fech_in!M22=0,0,SER_hh_fech_in!M22/SER_summary!M$27)</f>
        <v>10.759832289164242</v>
      </c>
      <c r="N22" s="132">
        <f>IF(SER_hh_fech_in!N22=0,0,SER_hh_fech_in!N22/SER_summary!N$27)</f>
        <v>12.731467426185016</v>
      </c>
      <c r="O22" s="132">
        <f>IF(SER_hh_fech_in!O22=0,0,SER_hh_fech_in!O22/SER_summary!O$27)</f>
        <v>25.843636191184725</v>
      </c>
      <c r="P22" s="132">
        <f>IF(SER_hh_fech_in!P22=0,0,SER_hh_fech_in!P22/SER_summary!P$27)</f>
        <v>0</v>
      </c>
      <c r="Q22" s="132">
        <f>IF(SER_hh_fech_in!Q22=0,0,SER_hh_fech_in!Q22/SER_summary!Q$27)</f>
        <v>23.281639990834567</v>
      </c>
      <c r="R22" s="132">
        <f>IF(SER_hh_fech_in!R22=0,0,SER_hh_fech_in!R22/SER_summary!R$27)</f>
        <v>22.432725860905769</v>
      </c>
      <c r="S22" s="132">
        <f>IF(SER_hh_fech_in!S22=0,0,SER_hh_fech_in!S22/SER_summary!S$27)</f>
        <v>14.607561711480745</v>
      </c>
      <c r="T22" s="132">
        <f>IF(SER_hh_fech_in!T22=0,0,SER_hh_fech_in!T22/SER_summary!T$27)</f>
        <v>12.370450069073327</v>
      </c>
      <c r="U22" s="132">
        <f>IF(SER_hh_fech_in!U22=0,0,SER_hh_fech_in!U22/SER_summary!U$27)</f>
        <v>21.190312306106758</v>
      </c>
      <c r="V22" s="132">
        <f>IF(SER_hh_fech_in!V22=0,0,SER_hh_fech_in!V22/SER_summary!V$27)</f>
        <v>14.008873850378455</v>
      </c>
      <c r="W22" s="132">
        <f>IF(SER_hh_fech_in!W22=0,0,SER_hh_fech_in!W22/SER_summary!W$27)</f>
        <v>19.11205373862574</v>
      </c>
      <c r="X22" s="132">
        <f>IF(SER_hh_fech_in!X22=0,0,SER_hh_fech_in!X22/SER_summary!X$27)</f>
        <v>12.000241744364279</v>
      </c>
      <c r="Y22" s="132">
        <f>IF(SER_hh_fech_in!Y22=0,0,SER_hh_fech_in!Y22/SER_summary!Y$27)</f>
        <v>20.245160179940648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13.474841045725647</v>
      </c>
      <c r="D23" s="132">
        <f>IF(SER_hh_fech_in!D23=0,0,SER_hh_fech_in!D23/SER_summary!D$27)</f>
        <v>21.979479631213575</v>
      </c>
      <c r="E23" s="132">
        <f>IF(SER_hh_fech_in!E23=0,0,SER_hh_fech_in!E23/SER_summary!E$27)</f>
        <v>13.152735265870676</v>
      </c>
      <c r="F23" s="132">
        <f>IF(SER_hh_fech_in!F23=0,0,SER_hh_fech_in!F23/SER_summary!F$27)</f>
        <v>21.974521004992642</v>
      </c>
      <c r="G23" s="132">
        <f>IF(SER_hh_fech_in!G23=0,0,SER_hh_fech_in!G23/SER_summary!G$27)</f>
        <v>24.872691769480777</v>
      </c>
      <c r="H23" s="132">
        <f>IF(SER_hh_fech_in!H23=0,0,SER_hh_fech_in!H23/SER_summary!H$27)</f>
        <v>24.578220382204787</v>
      </c>
      <c r="I23" s="132">
        <f>IF(SER_hh_fech_in!I23=0,0,SER_hh_fech_in!I23/SER_summary!I$27)</f>
        <v>19.354362236763915</v>
      </c>
      <c r="J23" s="132">
        <f>IF(SER_hh_fech_in!J23=0,0,SER_hh_fech_in!J23/SER_summary!J$27)</f>
        <v>13.530539324340374</v>
      </c>
      <c r="K23" s="132">
        <f>IF(SER_hh_fech_in!K23=0,0,SER_hh_fech_in!K23/SER_summary!K$27)</f>
        <v>24.167382713006795</v>
      </c>
      <c r="L23" s="132">
        <f>IF(SER_hh_fech_in!L23=0,0,SER_hh_fech_in!L23/SER_summary!L$27)</f>
        <v>10.308155967577887</v>
      </c>
      <c r="M23" s="132">
        <f>IF(SER_hh_fech_in!M23=0,0,SER_hh_fech_in!M23/SER_summary!M$27)</f>
        <v>12.28822705867656</v>
      </c>
      <c r="N23" s="132">
        <f>IF(SER_hh_fech_in!N23=0,0,SER_hh_fech_in!N23/SER_summary!N$27)</f>
        <v>14.033255089796233</v>
      </c>
      <c r="O23" s="132">
        <f>IF(SER_hh_fech_in!O23=0,0,SER_hh_fech_in!O23/SER_summary!O$27)</f>
        <v>24.262146596365692</v>
      </c>
      <c r="P23" s="132">
        <f>IF(SER_hh_fech_in!P23=0,0,SER_hh_fech_in!P23/SER_summary!P$27)</f>
        <v>15.474954789722263</v>
      </c>
      <c r="Q23" s="132">
        <f>IF(SER_hh_fech_in!Q23=0,0,SER_hh_fech_in!Q23/SER_summary!Q$27)</f>
        <v>22.719745361020685</v>
      </c>
      <c r="R23" s="132">
        <f>IF(SER_hh_fech_in!R23=0,0,SER_hh_fech_in!R23/SER_summary!R$27)</f>
        <v>21.804646319622339</v>
      </c>
      <c r="S23" s="132">
        <f>IF(SER_hh_fech_in!S23=0,0,SER_hh_fech_in!S23/SER_summary!S$27)</f>
        <v>13.868666245879762</v>
      </c>
      <c r="T23" s="132">
        <f>IF(SER_hh_fech_in!T23=0,0,SER_hh_fech_in!T23/SER_summary!T$27)</f>
        <v>11.790524171512585</v>
      </c>
      <c r="U23" s="132">
        <f>IF(SER_hh_fech_in!U23=0,0,SER_hh_fech_in!U23/SER_summary!U$27)</f>
        <v>20.189638231432266</v>
      </c>
      <c r="V23" s="132">
        <f>IF(SER_hh_fech_in!V23=0,0,SER_hh_fech_in!V23/SER_summary!V$27)</f>
        <v>13.718625411995639</v>
      </c>
      <c r="W23" s="132">
        <f>IF(SER_hh_fech_in!W23=0,0,SER_hh_fech_in!W23/SER_summary!W$27)</f>
        <v>18.2824600799213</v>
      </c>
      <c r="X23" s="132">
        <f>IF(SER_hh_fech_in!X23=0,0,SER_hh_fech_in!X23/SER_summary!X$27)</f>
        <v>11.993828889070798</v>
      </c>
      <c r="Y23" s="132">
        <f>IF(SER_hh_fech_in!Y23=0,0,SER_hh_fech_in!Y23/SER_summary!Y$27)</f>
        <v>19.803495191113534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13.862027364079868</v>
      </c>
      <c r="D24" s="132">
        <f>IF(SER_hh_fech_in!D24=0,0,SER_hh_fech_in!D24/SER_summary!D$27)</f>
        <v>22.095518672315581</v>
      </c>
      <c r="E24" s="132">
        <f>IF(SER_hh_fech_in!E24=0,0,SER_hh_fech_in!E24/SER_summary!E$27)</f>
        <v>11.473010447481469</v>
      </c>
      <c r="F24" s="132">
        <f>IF(SER_hh_fech_in!F24=0,0,SER_hh_fech_in!F24/SER_summary!F$27)</f>
        <v>21.586303698126841</v>
      </c>
      <c r="G24" s="132">
        <f>IF(SER_hh_fech_in!G24=0,0,SER_hh_fech_in!G24/SER_summary!G$27)</f>
        <v>24.17501784369675</v>
      </c>
      <c r="H24" s="132">
        <f>IF(SER_hh_fech_in!H24=0,0,SER_hh_fech_in!H24/SER_summary!H$27)</f>
        <v>23.761398775000117</v>
      </c>
      <c r="I24" s="132">
        <f>IF(SER_hh_fech_in!I24=0,0,SER_hh_fech_in!I24/SER_summary!I$27)</f>
        <v>18.346742010256637</v>
      </c>
      <c r="J24" s="132">
        <f>IF(SER_hh_fech_in!J24=0,0,SER_hh_fech_in!J24/SER_summary!J$27)</f>
        <v>12.724560981186928</v>
      </c>
      <c r="K24" s="132">
        <f>IF(SER_hh_fech_in!K24=0,0,SER_hh_fech_in!K24/SER_summary!K$27)</f>
        <v>22.659044309599299</v>
      </c>
      <c r="L24" s="132">
        <f>IF(SER_hh_fech_in!L24=0,0,SER_hh_fech_in!L24/SER_summary!L$27)</f>
        <v>9.9022331118242253</v>
      </c>
      <c r="M24" s="132">
        <f>IF(SER_hh_fech_in!M24=0,0,SER_hh_fech_in!M24/SER_summary!M$27)</f>
        <v>11.964255922544092</v>
      </c>
      <c r="N24" s="132">
        <f>IF(SER_hh_fech_in!N24=0,0,SER_hh_fech_in!N24/SER_summary!N$27)</f>
        <v>13.716173794370167</v>
      </c>
      <c r="O24" s="132">
        <f>IF(SER_hh_fech_in!O24=0,0,SER_hh_fech_in!O24/SER_summary!O$27)</f>
        <v>23.466149208762328</v>
      </c>
      <c r="P24" s="132">
        <f>IF(SER_hh_fech_in!P24=0,0,SER_hh_fech_in!P24/SER_summary!P$27)</f>
        <v>15.808681134509872</v>
      </c>
      <c r="Q24" s="132">
        <f>IF(SER_hh_fech_in!Q24=0,0,SER_hh_fech_in!Q24/SER_summary!Q$27)</f>
        <v>23.233898366423851</v>
      </c>
      <c r="R24" s="132">
        <f>IF(SER_hh_fech_in!R24=0,0,SER_hh_fech_in!R24/SER_summary!R$27)</f>
        <v>22.135543066907655</v>
      </c>
      <c r="S24" s="132">
        <f>IF(SER_hh_fech_in!S24=0,0,SER_hh_fech_in!S24/SER_summary!S$27)</f>
        <v>14.267596721207195</v>
      </c>
      <c r="T24" s="132">
        <f>IF(SER_hh_fech_in!T24=0,0,SER_hh_fech_in!T24/SER_summary!T$27)</f>
        <v>12.047828160695401</v>
      </c>
      <c r="U24" s="132">
        <f>IF(SER_hh_fech_in!U24=0,0,SER_hh_fech_in!U24/SER_summary!U$27)</f>
        <v>20.763007241639272</v>
      </c>
      <c r="V24" s="132">
        <f>IF(SER_hh_fech_in!V24=0,0,SER_hh_fech_in!V24/SER_summary!V$27)</f>
        <v>13.794287621035183</v>
      </c>
      <c r="W24" s="132">
        <f>IF(SER_hh_fech_in!W24=0,0,SER_hh_fech_in!W24/SER_summary!W$27)</f>
        <v>18.173715107391512</v>
      </c>
      <c r="X24" s="132">
        <f>IF(SER_hh_fech_in!X24=0,0,SER_hh_fech_in!X24/SER_summary!X$27)</f>
        <v>11.891121783443531</v>
      </c>
      <c r="Y24" s="132">
        <f>IF(SER_hh_fech_in!Y24=0,0,SER_hh_fech_in!Y24/SER_summary!Y$27)</f>
        <v>19.431673766248654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9.8380245367104795</v>
      </c>
      <c r="D25" s="132">
        <f>IF(SER_hh_fech_in!D25=0,0,SER_hh_fech_in!D25/SER_summary!D$27)</f>
        <v>15.951277661314792</v>
      </c>
      <c r="E25" s="132">
        <f>IF(SER_hh_fech_in!E25=0,0,SER_hh_fech_in!E25/SER_summary!E$27)</f>
        <v>8.002547632829371</v>
      </c>
      <c r="F25" s="132">
        <f>IF(SER_hh_fech_in!F25=0,0,SER_hh_fech_in!F25/SER_summary!F$27)</f>
        <v>15.509517983807008</v>
      </c>
      <c r="G25" s="132">
        <f>IF(SER_hh_fech_in!G25=0,0,SER_hh_fech_in!G25/SER_summary!G$27)</f>
        <v>17.043908679857211</v>
      </c>
      <c r="H25" s="132">
        <f>IF(SER_hh_fech_in!H25=0,0,SER_hh_fech_in!H25/SER_summary!H$27)</f>
        <v>17.643295349191764</v>
      </c>
      <c r="I25" s="132">
        <f>IF(SER_hh_fech_in!I25=0,0,SER_hh_fech_in!I25/SER_summary!I$27)</f>
        <v>14.583598326302162</v>
      </c>
      <c r="J25" s="132">
        <f>IF(SER_hh_fech_in!J25=0,0,SER_hh_fech_in!J25/SER_summary!J$27)</f>
        <v>11.047658274156875</v>
      </c>
      <c r="K25" s="132">
        <f>IF(SER_hh_fech_in!K25=0,0,SER_hh_fech_in!K25/SER_summary!K$27)</f>
        <v>18.592222100775096</v>
      </c>
      <c r="L25" s="132">
        <f>IF(SER_hh_fech_in!L25=0,0,SER_hh_fech_in!L25/SER_summary!L$27)</f>
        <v>8.8971774053510515</v>
      </c>
      <c r="M25" s="132">
        <f>IF(SER_hh_fech_in!M25=0,0,SER_hh_fech_in!M25/SER_summary!M$27)</f>
        <v>10.111113731911285</v>
      </c>
      <c r="N25" s="132">
        <f>IF(SER_hh_fech_in!N25=0,0,SER_hh_fech_in!N25/SER_summary!N$27)</f>
        <v>11.341319392630849</v>
      </c>
      <c r="O25" s="132">
        <f>IF(SER_hh_fech_in!O25=0,0,SER_hh_fech_in!O25/SER_summary!O$27)</f>
        <v>19.506804951497905</v>
      </c>
      <c r="P25" s="132">
        <f>IF(SER_hh_fech_in!P25=0,0,SER_hh_fech_in!P25/SER_summary!P$27)</f>
        <v>13.186600497975242</v>
      </c>
      <c r="Q25" s="132">
        <f>IF(SER_hh_fech_in!Q25=0,0,SER_hh_fech_in!Q25/SER_summary!Q$27)</f>
        <v>19.500196486182812</v>
      </c>
      <c r="R25" s="132">
        <f>IF(SER_hh_fech_in!R25=0,0,SER_hh_fech_in!R25/SER_summary!R$27)</f>
        <v>18.86189886326606</v>
      </c>
      <c r="S25" s="132">
        <f>IF(SER_hh_fech_in!S25=0,0,SER_hh_fech_in!S25/SER_summary!S$27)</f>
        <v>12.070376942587172</v>
      </c>
      <c r="T25" s="132">
        <f>IF(SER_hh_fech_in!T25=0,0,SER_hh_fech_in!T25/SER_summary!T$27)</f>
        <v>10.326885979900629</v>
      </c>
      <c r="U25" s="132">
        <f>IF(SER_hh_fech_in!U25=0,0,SER_hh_fech_in!U25/SER_summary!U$27)</f>
        <v>18.279381108760386</v>
      </c>
      <c r="V25" s="132">
        <f>IF(SER_hh_fech_in!V25=0,0,SER_hh_fech_in!V25/SER_summary!V$27)</f>
        <v>13.124266510748212</v>
      </c>
      <c r="W25" s="132">
        <f>IF(SER_hh_fech_in!W25=0,0,SER_hh_fech_in!W25/SER_summary!W$27)</f>
        <v>17.692972180210635</v>
      </c>
      <c r="X25" s="132">
        <f>IF(SER_hh_fech_in!X25=0,0,SER_hh_fech_in!X25/SER_summary!X$27)</f>
        <v>10.640041720025938</v>
      </c>
      <c r="Y25" s="132">
        <f>IF(SER_hh_fech_in!Y25=0,0,SER_hh_fech_in!Y25/SER_summary!Y$27)</f>
        <v>16.846950738719585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7.5136941498692593</v>
      </c>
      <c r="D26" s="65">
        <f>IF(SER_hh_fech_in!D26=0,0,SER_hh_fech_in!D26/SER_summary!D$27)</f>
        <v>7.057312193259075</v>
      </c>
      <c r="E26" s="65">
        <f>IF(SER_hh_fech_in!E26=0,0,SER_hh_fech_in!E26/SER_summary!E$27)</f>
        <v>6.1315518163510356</v>
      </c>
      <c r="F26" s="65">
        <f>IF(SER_hh_fech_in!F26=0,0,SER_hh_fech_in!F26/SER_summary!F$27)</f>
        <v>5.5858306538904419</v>
      </c>
      <c r="G26" s="65">
        <f>IF(SER_hh_fech_in!G26=0,0,SER_hh_fech_in!G26/SER_summary!G$27)</f>
        <v>21.66581951451036</v>
      </c>
      <c r="H26" s="65">
        <f>IF(SER_hh_fech_in!H26=0,0,SER_hh_fech_in!H26/SER_summary!H$27)</f>
        <v>20.882931761248578</v>
      </c>
      <c r="I26" s="65">
        <f>IF(SER_hh_fech_in!I26=0,0,SER_hh_fech_in!I26/SER_summary!I$27)</f>
        <v>3.2599810206219035</v>
      </c>
      <c r="J26" s="65">
        <f>IF(SER_hh_fech_in!J26=0,0,SER_hh_fech_in!J26/SER_summary!J$27)</f>
        <v>0.18199689988518356</v>
      </c>
      <c r="K26" s="65">
        <f>IF(SER_hh_fech_in!K26=0,0,SER_hh_fech_in!K26/SER_summary!K$27)</f>
        <v>22.014993493772273</v>
      </c>
      <c r="L26" s="65">
        <f>IF(SER_hh_fech_in!L26=0,0,SER_hh_fech_in!L26/SER_summary!L$27)</f>
        <v>0.12185981438305207</v>
      </c>
      <c r="M26" s="65">
        <f>IF(SER_hh_fech_in!M26=0,0,SER_hh_fech_in!M26/SER_summary!M$27)</f>
        <v>0.12068207682109984</v>
      </c>
      <c r="N26" s="65">
        <f>IF(SER_hh_fech_in!N26=0,0,SER_hh_fech_in!N26/SER_summary!N$27)</f>
        <v>0.13059295995473266</v>
      </c>
      <c r="O26" s="65">
        <f>IF(SER_hh_fech_in!O26=0,0,SER_hh_fech_in!O26/SER_summary!O$27)</f>
        <v>14.159458446509616</v>
      </c>
      <c r="P26" s="65">
        <f>IF(SER_hh_fech_in!P26=0,0,SER_hh_fech_in!P26/SER_summary!P$27)</f>
        <v>0.13890764922443771</v>
      </c>
      <c r="Q26" s="65">
        <f>IF(SER_hh_fech_in!Q26=0,0,SER_hh_fech_in!Q26/SER_summary!Q$27)</f>
        <v>13.864735133136332</v>
      </c>
      <c r="R26" s="65">
        <f>IF(SER_hh_fech_in!R26=0,0,SER_hh_fech_in!R26/SER_summary!R$27)</f>
        <v>14.473362067486679</v>
      </c>
      <c r="S26" s="65">
        <f>IF(SER_hh_fech_in!S26=0,0,SER_hh_fech_in!S26/SER_summary!S$27)</f>
        <v>0.13630951482921316</v>
      </c>
      <c r="T26" s="65">
        <f>IF(SER_hh_fech_in!T26=0,0,SER_hh_fech_in!T26/SER_summary!T$27)</f>
        <v>0.1149134879023352</v>
      </c>
      <c r="U26" s="65">
        <f>IF(SER_hh_fech_in!U26=0,0,SER_hh_fech_in!U26/SER_summary!U$27)</f>
        <v>0.11454412550928834</v>
      </c>
      <c r="V26" s="65">
        <f>IF(SER_hh_fech_in!V26=0,0,SER_hh_fech_in!V26/SER_summary!V$27)</f>
        <v>0.10282992827129854</v>
      </c>
      <c r="W26" s="65">
        <f>IF(SER_hh_fech_in!W26=0,0,SER_hh_fech_in!W26/SER_summary!W$27)</f>
        <v>10.595358477743394</v>
      </c>
      <c r="X26" s="65">
        <f>IF(SER_hh_fech_in!X26=0,0,SER_hh_fech_in!X26/SER_summary!X$27)</f>
        <v>0.10560927897749499</v>
      </c>
      <c r="Y26" s="65">
        <f>IF(SER_hh_fech_in!Y26=0,0,SER_hh_fech_in!Y26/SER_summary!Y$27)</f>
        <v>12.555385031261878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8.1741060924073441</v>
      </c>
      <c r="D27" s="145">
        <f>IF(SER_hh_fech_in!D27=0,0,SER_hh_fech_in!D27/SER_summary!D$27)</f>
        <v>4.7065607979330668</v>
      </c>
      <c r="E27" s="145">
        <f>IF(SER_hh_fech_in!E27=0,0,SER_hh_fech_in!E27/SER_summary!E$27)</f>
        <v>8.8980677381095479</v>
      </c>
      <c r="F27" s="145">
        <f>IF(SER_hh_fech_in!F27=0,0,SER_hh_fech_in!F27/SER_summary!F$27)</f>
        <v>5.8520456781043659</v>
      </c>
      <c r="G27" s="145">
        <f>IF(SER_hh_fech_in!G27=0,0,SER_hh_fech_in!G27/SER_summary!G$27)</f>
        <v>2.2174514128613244E-14</v>
      </c>
      <c r="H27" s="145">
        <f>IF(SER_hh_fech_in!H27=0,0,SER_hh_fech_in!H27/SER_summary!H$27)</f>
        <v>0</v>
      </c>
      <c r="I27" s="145">
        <f>IF(SER_hh_fech_in!I27=0,0,SER_hh_fech_in!I27/SER_summary!I$27)</f>
        <v>5.031571671068086</v>
      </c>
      <c r="J27" s="145">
        <f>IF(SER_hh_fech_in!J27=0,0,SER_hh_fech_in!J27/SER_summary!J$27)</f>
        <v>7.8744966360327666</v>
      </c>
      <c r="K27" s="145">
        <f>IF(SER_hh_fech_in!K27=0,0,SER_hh_fech_in!K27/SER_summary!K$27)</f>
        <v>0</v>
      </c>
      <c r="L27" s="145">
        <f>IF(SER_hh_fech_in!L27=0,0,SER_hh_fech_in!L27/SER_summary!L$27)</f>
        <v>11.608944236177926</v>
      </c>
      <c r="M27" s="145">
        <f>IF(SER_hh_fech_in!M27=0,0,SER_hh_fech_in!M27/SER_summary!M$27)</f>
        <v>13.008535674037171</v>
      </c>
      <c r="N27" s="145">
        <f>IF(SER_hh_fech_in!N27=0,0,SER_hh_fech_in!N27/SER_summary!N$27)</f>
        <v>12.902705848294218</v>
      </c>
      <c r="O27" s="145">
        <f>IF(SER_hh_fech_in!O27=0,0,SER_hh_fech_in!O27/SER_summary!O$27)</f>
        <v>1.8226418942886679E-13</v>
      </c>
      <c r="P27" s="145">
        <f>IF(SER_hh_fech_in!P27=0,0,SER_hh_fech_in!P27/SER_summary!P$27)</f>
        <v>16.23961051009675</v>
      </c>
      <c r="Q27" s="145">
        <f>IF(SER_hh_fech_in!Q27=0,0,SER_hh_fech_in!Q27/SER_summary!Q$27)</f>
        <v>7.1437479086110241E-14</v>
      </c>
      <c r="R27" s="145">
        <f>IF(SER_hh_fech_in!R27=0,0,SER_hh_fech_in!R27/SER_summary!R$27)</f>
        <v>5.1216892676401115E-14</v>
      </c>
      <c r="S27" s="145">
        <f>IF(SER_hh_fech_in!S27=0,0,SER_hh_fech_in!S27/SER_summary!S$27)</f>
        <v>12.069541434726474</v>
      </c>
      <c r="T27" s="145">
        <f>IF(SER_hh_fech_in!T27=0,0,SER_hh_fech_in!T27/SER_summary!T$27)</f>
        <v>11.413944748285171</v>
      </c>
      <c r="U27" s="145">
        <f>IF(SER_hh_fech_in!U27=0,0,SER_hh_fech_in!U27/SER_summary!U$27)</f>
        <v>6.9225947669941394</v>
      </c>
      <c r="V27" s="145">
        <f>IF(SER_hh_fech_in!V27=0,0,SER_hh_fech_in!V27/SER_summary!V$27)</f>
        <v>10.041460911062821</v>
      </c>
      <c r="W27" s="145">
        <f>IF(SER_hh_fech_in!W27=0,0,SER_hh_fech_in!W27/SER_summary!W$27)</f>
        <v>0</v>
      </c>
      <c r="X27" s="145">
        <f>IF(SER_hh_fech_in!X27=0,0,SER_hh_fech_in!X27/SER_summary!X$27)</f>
        <v>8.6529896171662344</v>
      </c>
      <c r="Y27" s="145">
        <f>IF(SER_hh_fech_in!Y27=0,0,SER_hh_fech_in!Y27/SER_summary!Y$27)</f>
        <v>0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9.4911257872407191</v>
      </c>
      <c r="D28" s="146">
        <f>IF(SER_hh_fech_in!D28=0,0,SER_hh_fech_in!D28/SER_summary!D$27)</f>
        <v>9.6768792436153106</v>
      </c>
      <c r="E28" s="146">
        <f>IF(SER_hh_fech_in!E28=0,0,SER_hh_fech_in!E28/SER_summary!E$27)</f>
        <v>9.3847218953548008</v>
      </c>
      <c r="F28" s="146">
        <f>IF(SER_hh_fech_in!F28=0,0,SER_hh_fech_in!F28/SER_summary!F$27)</f>
        <v>9.992002238855541</v>
      </c>
      <c r="G28" s="146">
        <f>IF(SER_hh_fech_in!G28=0,0,SER_hh_fech_in!G28/SER_summary!G$27)</f>
        <v>11.109091915712476</v>
      </c>
      <c r="H28" s="146">
        <f>IF(SER_hh_fech_in!H28=0,0,SER_hh_fech_in!H28/SER_summary!H$27)</f>
        <v>0</v>
      </c>
      <c r="I28" s="146">
        <f>IF(SER_hh_fech_in!I28=0,0,SER_hh_fech_in!I28/SER_summary!I$27)</f>
        <v>9.8065248751083836</v>
      </c>
      <c r="J28" s="146">
        <f>IF(SER_hh_fech_in!J28=0,0,SER_hh_fech_in!J28/SER_summary!J$27)</f>
        <v>7.8744966360327657</v>
      </c>
      <c r="K28" s="146">
        <f>IF(SER_hh_fech_in!K28=0,0,SER_hh_fech_in!K28/SER_summary!K$27)</f>
        <v>0</v>
      </c>
      <c r="L28" s="146">
        <f>IF(SER_hh_fech_in!L28=0,0,SER_hh_fech_in!L28/SER_summary!L$27)</f>
        <v>11.608944236177926</v>
      </c>
      <c r="M28" s="146">
        <f>IF(SER_hh_fech_in!M28=0,0,SER_hh_fech_in!M28/SER_summary!M$27)</f>
        <v>13.008535674037173</v>
      </c>
      <c r="N28" s="146">
        <f>IF(SER_hh_fech_in!N28=0,0,SER_hh_fech_in!N28/SER_summary!N$27)</f>
        <v>12.902705848294223</v>
      </c>
      <c r="O28" s="146">
        <f>IF(SER_hh_fech_in!O28=0,0,SER_hh_fech_in!O28/SER_summary!O$27)</f>
        <v>23.209868824742056</v>
      </c>
      <c r="P28" s="146">
        <f>IF(SER_hh_fech_in!P28=0,0,SER_hh_fech_in!P28/SER_summary!P$27)</f>
        <v>17.346750687011969</v>
      </c>
      <c r="Q28" s="146">
        <f>IF(SER_hh_fech_in!Q28=0,0,SER_hh_fech_in!Q28/SER_summary!Q$27)</f>
        <v>23.722360883150497</v>
      </c>
      <c r="R28" s="146">
        <f>IF(SER_hh_fech_in!R28=0,0,SER_hh_fech_in!R28/SER_summary!R$27)</f>
        <v>25.266565134768427</v>
      </c>
      <c r="S28" s="146">
        <f>IF(SER_hh_fech_in!S28=0,0,SER_hh_fech_in!S28/SER_summary!S$27)</f>
        <v>13.792550169060082</v>
      </c>
      <c r="T28" s="146">
        <f>IF(SER_hh_fech_in!T28=0,0,SER_hh_fech_in!T28/SER_summary!T$27)</f>
        <v>11.413944748285171</v>
      </c>
      <c r="U28" s="146">
        <f>IF(SER_hh_fech_in!U28=0,0,SER_hh_fech_in!U28/SER_summary!U$27)</f>
        <v>18.675548752131636</v>
      </c>
      <c r="V28" s="146">
        <f>IF(SER_hh_fech_in!V28=0,0,SER_hh_fech_in!V28/SER_summary!V$27)</f>
        <v>12.889344707098125</v>
      </c>
      <c r="W28" s="146">
        <f>IF(SER_hh_fech_in!W28=0,0,SER_hh_fech_in!W28/SER_summary!W$27)</f>
        <v>0</v>
      </c>
      <c r="X28" s="146">
        <f>IF(SER_hh_fech_in!X28=0,0,SER_hh_fech_in!X28/SER_summary!X$27)</f>
        <v>9.3476717074699263</v>
      </c>
      <c r="Y28" s="146">
        <f>IF(SER_hh_fech_in!Y28=0,0,SER_hh_fech_in!Y28/SER_summary!Y$27)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17.579615865072736</v>
      </c>
      <c r="D29" s="130">
        <f>IF(SER_hh_fech_in!D29=0,0,SER_hh_fech_in!D29/SER_summary!D$27)</f>
        <v>22.129695765841209</v>
      </c>
      <c r="E29" s="130">
        <f>IF(SER_hh_fech_in!E29=0,0,SER_hh_fech_in!E29/SER_summary!E$27)</f>
        <v>22.090285702968334</v>
      </c>
      <c r="F29" s="130">
        <f>IF(SER_hh_fech_in!F29=0,0,SER_hh_fech_in!F29/SER_summary!F$27)</f>
        <v>19.6481239884255</v>
      </c>
      <c r="G29" s="130">
        <f>IF(SER_hh_fech_in!G29=0,0,SER_hh_fech_in!G29/SER_summary!G$27)</f>
        <v>19.197562623919374</v>
      </c>
      <c r="H29" s="130">
        <f>IF(SER_hh_fech_in!H29=0,0,SER_hh_fech_in!H29/SER_summary!H$27)</f>
        <v>18.104973270990058</v>
      </c>
      <c r="I29" s="130">
        <f>IF(SER_hh_fech_in!I29=0,0,SER_hh_fech_in!I29/SER_summary!I$27)</f>
        <v>18.105477854596781</v>
      </c>
      <c r="J29" s="130">
        <f>IF(SER_hh_fech_in!J29=0,0,SER_hh_fech_in!J29/SER_summary!J$27)</f>
        <v>18.962869877053699</v>
      </c>
      <c r="K29" s="130">
        <f>IF(SER_hh_fech_in!K29=0,0,SER_hh_fech_in!K29/SER_summary!K$27)</f>
        <v>19.845590009893854</v>
      </c>
      <c r="L29" s="130">
        <f>IF(SER_hh_fech_in!L29=0,0,SER_hh_fech_in!L29/SER_summary!L$27)</f>
        <v>19.516849611722229</v>
      </c>
      <c r="M29" s="130">
        <f>IF(SER_hh_fech_in!M29=0,0,SER_hh_fech_in!M29/SER_summary!M$27)</f>
        <v>17.945147753240938</v>
      </c>
      <c r="N29" s="130">
        <f>IF(SER_hh_fech_in!N29=0,0,SER_hh_fech_in!N29/SER_summary!N$27)</f>
        <v>19.43802369260872</v>
      </c>
      <c r="O29" s="130">
        <f>IF(SER_hh_fech_in!O29=0,0,SER_hh_fech_in!O29/SER_summary!O$27)</f>
        <v>19.099589031712732</v>
      </c>
      <c r="P29" s="130">
        <f>IF(SER_hh_fech_in!P29=0,0,SER_hh_fech_in!P29/SER_summary!P$27)</f>
        <v>19.198616639828131</v>
      </c>
      <c r="Q29" s="130">
        <f>IF(SER_hh_fech_in!Q29=0,0,SER_hh_fech_in!Q29/SER_summary!Q$27)</f>
        <v>19.283494351712797</v>
      </c>
      <c r="R29" s="130">
        <f>IF(SER_hh_fech_in!R29=0,0,SER_hh_fech_in!R29/SER_summary!R$27)</f>
        <v>18.713210081982325</v>
      </c>
      <c r="S29" s="130">
        <f>IF(SER_hh_fech_in!S29=0,0,SER_hh_fech_in!S29/SER_summary!S$27)</f>
        <v>18.979458863075049</v>
      </c>
      <c r="T29" s="130">
        <f>IF(SER_hh_fech_in!T29=0,0,SER_hh_fech_in!T29/SER_summary!T$27)</f>
        <v>18.266570885267761</v>
      </c>
      <c r="U29" s="130">
        <f>IF(SER_hh_fech_in!U29=0,0,SER_hh_fech_in!U29/SER_summary!U$27)</f>
        <v>18.18294287993934</v>
      </c>
      <c r="V29" s="130">
        <f>IF(SER_hh_fech_in!V29=0,0,SER_hh_fech_in!V29/SER_summary!V$27)</f>
        <v>17.178124084930904</v>
      </c>
      <c r="W29" s="130">
        <f>IF(SER_hh_fech_in!W29=0,0,SER_hh_fech_in!W29/SER_summary!W$27)</f>
        <v>18.055421335599089</v>
      </c>
      <c r="X29" s="130">
        <f>IF(SER_hh_fech_in!X29=0,0,SER_hh_fech_in!X29/SER_summary!X$27)</f>
        <v>17.542921976416995</v>
      </c>
      <c r="Y29" s="130">
        <f>IF(SER_hh_fech_in!Y29=0,0,SER_hh_fech_in!Y29/SER_summary!Y$27)</f>
        <v>17.501662316365852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11.925471439686191</v>
      </c>
      <c r="D30" s="132">
        <f>IF(SER_hh_fech_in!D30=0,0,SER_hh_fech_in!D30/SER_summary!D$27)</f>
        <v>24.685899765973058</v>
      </c>
      <c r="E30" s="132">
        <f>IF(SER_hh_fech_in!E30=0,0,SER_hh_fech_in!E30/SER_summary!E$27)</f>
        <v>25.840708552690231</v>
      </c>
      <c r="F30" s="132">
        <f>IF(SER_hh_fech_in!F30=0,0,SER_hh_fech_in!F30/SER_summary!F$27)</f>
        <v>30.889305572572347</v>
      </c>
      <c r="G30" s="132">
        <f>IF(SER_hh_fech_in!G30=0,0,SER_hh_fech_in!G30/SER_summary!G$27)</f>
        <v>22.929209287933009</v>
      </c>
      <c r="H30" s="132">
        <f>IF(SER_hh_fech_in!H30=0,0,SER_hh_fech_in!H30/SER_summary!H$27)</f>
        <v>24.389727224456628</v>
      </c>
      <c r="I30" s="132">
        <f>IF(SER_hh_fech_in!I30=0,0,SER_hh_fech_in!I30/SER_summary!I$27)</f>
        <v>0</v>
      </c>
      <c r="J30" s="132">
        <f>IF(SER_hh_fech_in!J30=0,0,SER_hh_fech_in!J30/SER_summary!J$27)</f>
        <v>15.21752289188734</v>
      </c>
      <c r="K30" s="132">
        <f>IF(SER_hh_fech_in!K30=0,0,SER_hh_fech_in!K30/SER_summary!K$27)</f>
        <v>19.019186957042422</v>
      </c>
      <c r="L30" s="132">
        <f>IF(SER_hh_fech_in!L30=0,0,SER_hh_fech_in!L30/SER_summary!L$27)</f>
        <v>31.693147796551816</v>
      </c>
      <c r="M30" s="132">
        <f>IF(SER_hh_fech_in!M30=0,0,SER_hh_fech_in!M30/SER_summary!M$27)</f>
        <v>0</v>
      </c>
      <c r="N30" s="132">
        <f>IF(SER_hh_fech_in!N30=0,0,SER_hh_fech_in!N30/SER_summary!N$27)</f>
        <v>0</v>
      </c>
      <c r="O30" s="132">
        <f>IF(SER_hh_fech_in!O30=0,0,SER_hh_fech_in!O30/SER_summary!O$27)</f>
        <v>0</v>
      </c>
      <c r="P30" s="132">
        <f>IF(SER_hh_fech_in!P30=0,0,SER_hh_fech_in!P30/SER_summary!P$27)</f>
        <v>0</v>
      </c>
      <c r="Q30" s="132">
        <f>IF(SER_hh_fech_in!Q30=0,0,SER_hh_fech_in!Q30/SER_summary!Q$27)</f>
        <v>21.089801073488349</v>
      </c>
      <c r="R30" s="132">
        <f>IF(SER_hh_fech_in!R30=0,0,SER_hh_fech_in!R30/SER_summary!R$27)</f>
        <v>15.482299740334096</v>
      </c>
      <c r="S30" s="132">
        <f>IF(SER_hh_fech_in!S30=0,0,SER_hh_fech_in!S30/SER_summary!S$27)</f>
        <v>28.389040214695392</v>
      </c>
      <c r="T30" s="132">
        <f>IF(SER_hh_fech_in!T30=0,0,SER_hh_fech_in!T30/SER_summary!T$27)</f>
        <v>22.768726286185892</v>
      </c>
      <c r="U30" s="132">
        <f>IF(SER_hh_fech_in!U30=0,0,SER_hh_fech_in!U30/SER_summary!U$27)</f>
        <v>22.586933360147516</v>
      </c>
      <c r="V30" s="132">
        <f>IF(SER_hh_fech_in!V30=0,0,SER_hh_fech_in!V30/SER_summary!V$27)</f>
        <v>21.616480074063844</v>
      </c>
      <c r="W30" s="132">
        <f>IF(SER_hh_fech_in!W30=0,0,SER_hh_fech_in!W30/SER_summary!W$27)</f>
        <v>26.059395498242935</v>
      </c>
      <c r="X30" s="132">
        <f>IF(SER_hh_fech_in!X30=0,0,SER_hh_fech_in!X30/SER_summary!X$27)</f>
        <v>0</v>
      </c>
      <c r="Y30" s="132">
        <f>IF(SER_hh_fech_in!Y30=0,0,SER_hh_fech_in!Y30/SER_summary!Y$27)</f>
        <v>0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20.927878860404771</v>
      </c>
      <c r="D31" s="132">
        <f>IF(SER_hh_fech_in!D31=0,0,SER_hh_fech_in!D31/SER_summary!D$27)</f>
        <v>21.746605320041166</v>
      </c>
      <c r="E31" s="132">
        <f>IF(SER_hh_fech_in!E31=0,0,SER_hh_fech_in!E31/SER_summary!E$27)</f>
        <v>22.030902560001483</v>
      </c>
      <c r="F31" s="132">
        <f>IF(SER_hh_fech_in!F31=0,0,SER_hh_fech_in!F31/SER_summary!F$27)</f>
        <v>22.57066083460494</v>
      </c>
      <c r="G31" s="132">
        <f>IF(SER_hh_fech_in!G31=0,0,SER_hh_fech_in!G31/SER_summary!G$27)</f>
        <v>22.451390371723388</v>
      </c>
      <c r="H31" s="132">
        <f>IF(SER_hh_fech_in!H31=0,0,SER_hh_fech_in!H31/SER_summary!H$27)</f>
        <v>22.148418793610887</v>
      </c>
      <c r="I31" s="132">
        <f>IF(SER_hh_fech_in!I31=0,0,SER_hh_fech_in!I31/SER_summary!I$27)</f>
        <v>21.864461264710176</v>
      </c>
      <c r="J31" s="132">
        <f>IF(SER_hh_fech_in!J31=0,0,SER_hh_fech_in!J31/SER_summary!J$27)</f>
        <v>21.862282937664656</v>
      </c>
      <c r="K31" s="132">
        <f>IF(SER_hh_fech_in!K31=0,0,SER_hh_fech_in!K31/SER_summary!K$27)</f>
        <v>22.402641813769463</v>
      </c>
      <c r="L31" s="132">
        <f>IF(SER_hh_fech_in!L31=0,0,SER_hh_fech_in!L31/SER_summary!L$27)</f>
        <v>22.582968085985673</v>
      </c>
      <c r="M31" s="132">
        <f>IF(SER_hh_fech_in!M31=0,0,SER_hh_fech_in!M31/SER_summary!M$27)</f>
        <v>22.598389593461452</v>
      </c>
      <c r="N31" s="132">
        <f>IF(SER_hh_fech_in!N31=0,0,SER_hh_fech_in!N31/SER_summary!N$27)</f>
        <v>22.619452749003209</v>
      </c>
      <c r="O31" s="132">
        <f>IF(SER_hh_fech_in!O31=0,0,SER_hh_fech_in!O31/SER_summary!O$27)</f>
        <v>22.658053718250247</v>
      </c>
      <c r="P31" s="132">
        <f>IF(SER_hh_fech_in!P31=0,0,SER_hh_fech_in!P31/SER_summary!P$27)</f>
        <v>22.863903092124872</v>
      </c>
      <c r="Q31" s="132">
        <f>IF(SER_hh_fech_in!Q31=0,0,SER_hh_fech_in!Q31/SER_summary!Q$27)</f>
        <v>22.845386735886322</v>
      </c>
      <c r="R31" s="132">
        <f>IF(SER_hh_fech_in!R31=0,0,SER_hh_fech_in!R31/SER_summary!R$27)</f>
        <v>22.659925592941065</v>
      </c>
      <c r="S31" s="132">
        <f>IF(SER_hh_fech_in!S31=0,0,SER_hh_fech_in!S31/SER_summary!S$27)</f>
        <v>22.37029406182025</v>
      </c>
      <c r="T31" s="132">
        <f>IF(SER_hh_fech_in!T31=0,0,SER_hh_fech_in!T31/SER_summary!T$27)</f>
        <v>22.163560783941406</v>
      </c>
      <c r="U31" s="132">
        <f>IF(SER_hh_fech_in!U31=0,0,SER_hh_fech_in!U31/SER_summary!U$27)</f>
        <v>22.478445313695605</v>
      </c>
      <c r="V31" s="132">
        <f>IF(SER_hh_fech_in!V31=0,0,SER_hh_fech_in!V31/SER_summary!V$27)</f>
        <v>20.643246628956092</v>
      </c>
      <c r="W31" s="132">
        <f>IF(SER_hh_fech_in!W31=0,0,SER_hh_fech_in!W31/SER_summary!W$27)</f>
        <v>21.009996898952394</v>
      </c>
      <c r="X31" s="132">
        <f>IF(SER_hh_fech_in!X31=0,0,SER_hh_fech_in!X31/SER_summary!X$27)</f>
        <v>20.517031982780431</v>
      </c>
      <c r="Y31" s="132">
        <f>IF(SER_hh_fech_in!Y31=0,0,SER_hh_fech_in!Y31/SER_summary!Y$27)</f>
        <v>22.625398858269513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21.858613838389399</v>
      </c>
      <c r="D32" s="132">
        <f>IF(SER_hh_fech_in!D32=0,0,SER_hh_fech_in!D32/SER_summary!D$27)</f>
        <v>23.456850138160281</v>
      </c>
      <c r="E32" s="132">
        <f>IF(SER_hh_fech_in!E32=0,0,SER_hh_fech_in!E32/SER_summary!E$27)</f>
        <v>23.651227174293041</v>
      </c>
      <c r="F32" s="132">
        <f>IF(SER_hh_fech_in!F32=0,0,SER_hh_fech_in!F32/SER_summary!F$27)</f>
        <v>24.238393700983</v>
      </c>
      <c r="G32" s="132">
        <f>IF(SER_hh_fech_in!G32=0,0,SER_hh_fech_in!G32/SER_summary!G$27)</f>
        <v>23.926891885353317</v>
      </c>
      <c r="H32" s="132">
        <f>IF(SER_hh_fech_in!H32=0,0,SER_hh_fech_in!H32/SER_summary!H$27)</f>
        <v>23.623915381439453</v>
      </c>
      <c r="I32" s="132">
        <f>IF(SER_hh_fech_in!I32=0,0,SER_hh_fech_in!I32/SER_summary!I$27)</f>
        <v>23.465442674659293</v>
      </c>
      <c r="J32" s="132">
        <f>IF(SER_hh_fech_in!J32=0,0,SER_hh_fech_in!J32/SER_summary!J$27)</f>
        <v>23.232115456603406</v>
      </c>
      <c r="K32" s="132">
        <f>IF(SER_hh_fech_in!K32=0,0,SER_hh_fech_in!K32/SER_summary!K$27)</f>
        <v>23.187090904594626</v>
      </c>
      <c r="L32" s="132">
        <f>IF(SER_hh_fech_in!L32=0,0,SER_hh_fech_in!L32/SER_summary!L$27)</f>
        <v>24.341996724719706</v>
      </c>
      <c r="M32" s="132">
        <f>IF(SER_hh_fech_in!M32=0,0,SER_hh_fech_in!M32/SER_summary!M$27)</f>
        <v>23.594359709885143</v>
      </c>
      <c r="N32" s="132">
        <f>IF(SER_hh_fech_in!N32=0,0,SER_hh_fech_in!N32/SER_summary!N$27)</f>
        <v>24.258987683912562</v>
      </c>
      <c r="O32" s="132">
        <f>IF(SER_hh_fech_in!O32=0,0,SER_hh_fech_in!O32/SER_summary!O$27)</f>
        <v>23.703415703777488</v>
      </c>
      <c r="P32" s="132">
        <f>IF(SER_hh_fech_in!P32=0,0,SER_hh_fech_in!P32/SER_summary!P$27)</f>
        <v>24.060282246920092</v>
      </c>
      <c r="Q32" s="132">
        <f>IF(SER_hh_fech_in!Q32=0,0,SER_hh_fech_in!Q32/SER_summary!Q$27)</f>
        <v>24.705272893169742</v>
      </c>
      <c r="R32" s="132">
        <f>IF(SER_hh_fech_in!R32=0,0,SER_hh_fech_in!R32/SER_summary!R$27)</f>
        <v>24.130132586242389</v>
      </c>
      <c r="S32" s="132">
        <f>IF(SER_hh_fech_in!S32=0,0,SER_hh_fech_in!S32/SER_summary!S$27)</f>
        <v>23.565452591830553</v>
      </c>
      <c r="T32" s="132">
        <f>IF(SER_hh_fech_in!T32=0,0,SER_hh_fech_in!T32/SER_summary!T$27)</f>
        <v>23.38207800525317</v>
      </c>
      <c r="U32" s="132">
        <f>IF(SER_hh_fech_in!U32=0,0,SER_hh_fech_in!U32/SER_summary!U$27)</f>
        <v>23.726700205451252</v>
      </c>
      <c r="V32" s="132">
        <f>IF(SER_hh_fech_in!V32=0,0,SER_hh_fech_in!V32/SER_summary!V$27)</f>
        <v>24.032166862651177</v>
      </c>
      <c r="W32" s="132">
        <f>IF(SER_hh_fech_in!W32=0,0,SER_hh_fech_in!W32/SER_summary!W$27)</f>
        <v>23.868226642875189</v>
      </c>
      <c r="X32" s="132">
        <f>IF(SER_hh_fech_in!X32=0,0,SER_hh_fech_in!X32/SER_summary!X$27)</f>
        <v>22.73531598293749</v>
      </c>
      <c r="Y32" s="132">
        <f>IF(SER_hh_fech_in!Y32=0,0,SER_hh_fech_in!Y32/SER_summary!Y$27)</f>
        <v>23.789108802268849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17.193918452480276</v>
      </c>
      <c r="D33" s="68">
        <f>IF(SER_hh_fech_in!D33=0,0,SER_hh_fech_in!D33/SER_summary!D$27)</f>
        <v>15.651210439505068</v>
      </c>
      <c r="E33" s="68">
        <f>IF(SER_hh_fech_in!E33=0,0,SER_hh_fech_in!E33/SER_summary!E$27)</f>
        <v>16.085838353445634</v>
      </c>
      <c r="F33" s="68">
        <f>IF(SER_hh_fech_in!F33=0,0,SER_hh_fech_in!F33/SER_summary!F$27)</f>
        <v>14.442778884775636</v>
      </c>
      <c r="G33" s="68">
        <f>IF(SER_hh_fech_in!G33=0,0,SER_hh_fech_in!G33/SER_summary!G$27)</f>
        <v>16.840775209126253</v>
      </c>
      <c r="H33" s="68">
        <f>IF(SER_hh_fech_in!H33=0,0,SER_hh_fech_in!H33/SER_summary!H$27)</f>
        <v>16.229904653989269</v>
      </c>
      <c r="I33" s="68">
        <f>IF(SER_hh_fech_in!I33=0,0,SER_hh_fech_in!I33/SER_summary!I$27)</f>
        <v>16.844920690852167</v>
      </c>
      <c r="J33" s="68">
        <f>IF(SER_hh_fech_in!J33=0,0,SER_hh_fech_in!J33/SER_summary!J$27)</f>
        <v>17.617754161582596</v>
      </c>
      <c r="K33" s="68">
        <f>IF(SER_hh_fech_in!K33=0,0,SER_hh_fech_in!K33/SER_summary!K$27)</f>
        <v>17.732501041750961</v>
      </c>
      <c r="L33" s="68">
        <f>IF(SER_hh_fech_in!L33=0,0,SER_hh_fech_in!L33/SER_summary!L$27)</f>
        <v>15.239940907509617</v>
      </c>
      <c r="M33" s="68">
        <f>IF(SER_hh_fech_in!M33=0,0,SER_hh_fech_in!M33/SER_summary!M$27)</f>
        <v>15.623631800452252</v>
      </c>
      <c r="N33" s="68">
        <f>IF(SER_hh_fech_in!N33=0,0,SER_hh_fech_in!N33/SER_summary!N$27)</f>
        <v>18.381252677636681</v>
      </c>
      <c r="O33" s="68">
        <f>IF(SER_hh_fech_in!O33=0,0,SER_hh_fech_in!O33/SER_summary!O$27)</f>
        <v>17.33378878420557</v>
      </c>
      <c r="P33" s="68">
        <f>IF(SER_hh_fech_in!P33=0,0,SER_hh_fech_in!P33/SER_summary!P$27)</f>
        <v>16.998655476201325</v>
      </c>
      <c r="Q33" s="68">
        <f>IF(SER_hh_fech_in!Q33=0,0,SER_hh_fech_in!Q33/SER_summary!Q$27)</f>
        <v>16.828010306509395</v>
      </c>
      <c r="R33" s="68">
        <f>IF(SER_hh_fech_in!R33=0,0,SER_hh_fech_in!R33/SER_summary!R$27)</f>
        <v>16.853492609524949</v>
      </c>
      <c r="S33" s="68">
        <f>IF(SER_hh_fech_in!S33=0,0,SER_hh_fech_in!S33/SER_summary!S$27)</f>
        <v>16.305578606132364</v>
      </c>
      <c r="T33" s="68">
        <f>IF(SER_hh_fech_in!T33=0,0,SER_hh_fech_in!T33/SER_summary!T$27)</f>
        <v>16.09155457420632</v>
      </c>
      <c r="U33" s="68">
        <f>IF(SER_hh_fech_in!U33=0,0,SER_hh_fech_in!U33/SER_summary!U$27)</f>
        <v>15.646537727374943</v>
      </c>
      <c r="V33" s="68">
        <f>IF(SER_hh_fech_in!V33=0,0,SER_hh_fech_in!V33/SER_summary!V$27)</f>
        <v>15.057269212113571</v>
      </c>
      <c r="W33" s="68">
        <f>IF(SER_hh_fech_in!W33=0,0,SER_hh_fech_in!W33/SER_summary!W$27)</f>
        <v>15.664959595700809</v>
      </c>
      <c r="X33" s="68">
        <f>IF(SER_hh_fech_in!X33=0,0,SER_hh_fech_in!X33/SER_summary!X$27)</f>
        <v>15.719234714460219</v>
      </c>
      <c r="Y33" s="68">
        <f>IF(SER_hh_fech_in!Y33=0,0,SER_hh_fech_in!Y33/SER_summary!Y$27)</f>
        <v>15.094569487203096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158.12609498744064</v>
      </c>
      <c r="D3" s="125">
        <f>IF(SER_hh_tesh_in!D3=0,0,SER_hh_tesh_in!D3/SER_summary!D$27)</f>
        <v>151.7526299760116</v>
      </c>
      <c r="E3" s="125">
        <f>IF(SER_hh_tesh_in!E3=0,0,SER_hh_tesh_in!E3/SER_summary!E$27)</f>
        <v>167.68216187736763</v>
      </c>
      <c r="F3" s="125">
        <f>IF(SER_hh_tesh_in!F3=0,0,SER_hh_tesh_in!F3/SER_summary!F$27)</f>
        <v>147.88012476186887</v>
      </c>
      <c r="G3" s="125">
        <f>IF(SER_hh_tesh_in!G3=0,0,SER_hh_tesh_in!G3/SER_summary!G$27)</f>
        <v>159.79538134537611</v>
      </c>
      <c r="H3" s="125">
        <f>IF(SER_hh_tesh_in!H3=0,0,SER_hh_tesh_in!H3/SER_summary!H$27)</f>
        <v>156.13078732787451</v>
      </c>
      <c r="I3" s="125">
        <f>IF(SER_hh_tesh_in!I3=0,0,SER_hh_tesh_in!I3/SER_summary!I$27)</f>
        <v>136.47670222656424</v>
      </c>
      <c r="J3" s="125">
        <f>IF(SER_hh_tesh_in!J3=0,0,SER_hh_tesh_in!J3/SER_summary!J$27)</f>
        <v>142.65918185135587</v>
      </c>
      <c r="K3" s="125">
        <f>IF(SER_hh_tesh_in!K3=0,0,SER_hh_tesh_in!K3/SER_summary!K$27)</f>
        <v>132.76728886145801</v>
      </c>
      <c r="L3" s="125">
        <f>IF(SER_hh_tesh_in!L3=0,0,SER_hh_tesh_in!L3/SER_summary!L$27)</f>
        <v>135.38424647070241</v>
      </c>
      <c r="M3" s="125">
        <f>IF(SER_hh_tesh_in!M3=0,0,SER_hh_tesh_in!M3/SER_summary!M$27)</f>
        <v>128.1353196126029</v>
      </c>
      <c r="N3" s="125">
        <f>IF(SER_hh_tesh_in!N3=0,0,SER_hh_tesh_in!N3/SER_summary!N$27)</f>
        <v>130.22465699300085</v>
      </c>
      <c r="O3" s="125">
        <f>IF(SER_hh_tesh_in!O3=0,0,SER_hh_tesh_in!O3/SER_summary!O$27)</f>
        <v>125.01418475849675</v>
      </c>
      <c r="P3" s="125">
        <f>IF(SER_hh_tesh_in!P3=0,0,SER_hh_tesh_in!P3/SER_summary!P$27)</f>
        <v>119.29303144759149</v>
      </c>
      <c r="Q3" s="125">
        <f>IF(SER_hh_tesh_in!Q3=0,0,SER_hh_tesh_in!Q3/SER_summary!Q$27)</f>
        <v>115.94287196233851</v>
      </c>
      <c r="R3" s="125">
        <f>IF(SER_hh_tesh_in!R3=0,0,SER_hh_tesh_in!R3/SER_summary!R$27)</f>
        <v>110.47229085687985</v>
      </c>
      <c r="S3" s="125">
        <f>IF(SER_hh_tesh_in!S3=0,0,SER_hh_tesh_in!S3/SER_summary!S$27)</f>
        <v>123.40325414114297</v>
      </c>
      <c r="T3" s="125">
        <f>IF(SER_hh_tesh_in!T3=0,0,SER_hh_tesh_in!T3/SER_summary!T$27)</f>
        <v>117.31138600677144</v>
      </c>
      <c r="U3" s="125">
        <f>IF(SER_hh_tesh_in!U3=0,0,SER_hh_tesh_in!U3/SER_summary!U$27)</f>
        <v>116.7105399207047</v>
      </c>
      <c r="V3" s="125">
        <f>IF(SER_hh_tesh_in!V3=0,0,SER_hh_tesh_in!V3/SER_summary!V$27)</f>
        <v>102.57937599385227</v>
      </c>
      <c r="W3" s="125">
        <f>IF(SER_hh_tesh_in!W3=0,0,SER_hh_tesh_in!W3/SER_summary!W$27)</f>
        <v>103.51853296407221</v>
      </c>
      <c r="X3" s="125">
        <f>IF(SER_hh_tesh_in!X3=0,0,SER_hh_tesh_in!X3/SER_summary!X$27)</f>
        <v>105.94418324179601</v>
      </c>
      <c r="Y3" s="125">
        <f>IF(SER_hh_tesh_in!Y3=0,0,SER_hh_tesh_in!Y3/SER_summary!Y$27)</f>
        <v>107.28668371010497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108.40033752076175</v>
      </c>
      <c r="D4" s="130">
        <f>IF(SER_hh_tesh_in!D4=0,0,SER_hh_tesh_in!D4/SER_summary!D$27)</f>
        <v>100.38212380497917</v>
      </c>
      <c r="E4" s="130">
        <f>IF(SER_hh_tesh_in!E4=0,0,SER_hh_tesh_in!E4/SER_summary!E$27)</f>
        <v>113.49558011120024</v>
      </c>
      <c r="F4" s="130">
        <f>IF(SER_hh_tesh_in!F4=0,0,SER_hh_tesh_in!F4/SER_summary!F$27)</f>
        <v>97.564379856994719</v>
      </c>
      <c r="G4" s="130">
        <f>IF(SER_hh_tesh_in!G4=0,0,SER_hh_tesh_in!G4/SER_summary!G$27)</f>
        <v>108.72118064145485</v>
      </c>
      <c r="H4" s="130">
        <f>IF(SER_hh_tesh_in!H4=0,0,SER_hh_tesh_in!H4/SER_summary!H$27)</f>
        <v>104.60855557580805</v>
      </c>
      <c r="I4" s="130">
        <f>IF(SER_hh_tesh_in!I4=0,0,SER_hh_tesh_in!I4/SER_summary!I$27)</f>
        <v>84.226670128402858</v>
      </c>
      <c r="J4" s="130">
        <f>IF(SER_hh_tesh_in!J4=0,0,SER_hh_tesh_in!J4/SER_summary!J$27)</f>
        <v>90.350175171262848</v>
      </c>
      <c r="K4" s="130">
        <f>IF(SER_hh_tesh_in!K4=0,0,SER_hh_tesh_in!K4/SER_summary!K$27)</f>
        <v>80.906550204855662</v>
      </c>
      <c r="L4" s="130">
        <f>IF(SER_hh_tesh_in!L4=0,0,SER_hh_tesh_in!L4/SER_summary!L$27)</f>
        <v>80.839738688086967</v>
      </c>
      <c r="M4" s="130">
        <f>IF(SER_hh_tesh_in!M4=0,0,SER_hh_tesh_in!M4/SER_summary!M$27)</f>
        <v>73.537441280761101</v>
      </c>
      <c r="N4" s="130">
        <f>IF(SER_hh_tesh_in!N4=0,0,SER_hh_tesh_in!N4/SER_summary!N$27)</f>
        <v>74.532935021967162</v>
      </c>
      <c r="O4" s="130">
        <f>IF(SER_hh_tesh_in!O4=0,0,SER_hh_tesh_in!O4/SER_summary!O$27)</f>
        <v>72.144333024840336</v>
      </c>
      <c r="P4" s="130">
        <f>IF(SER_hh_tesh_in!P4=0,0,SER_hh_tesh_in!P4/SER_summary!P$27)</f>
        <v>64.568181303054104</v>
      </c>
      <c r="Q4" s="130">
        <f>IF(SER_hh_tesh_in!Q4=0,0,SER_hh_tesh_in!Q4/SER_summary!Q$27)</f>
        <v>62.757034254651053</v>
      </c>
      <c r="R4" s="130">
        <f>IF(SER_hh_tesh_in!R4=0,0,SER_hh_tesh_in!R4/SER_summary!R$27)</f>
        <v>60.434919538785991</v>
      </c>
      <c r="S4" s="130">
        <f>IF(SER_hh_tesh_in!S4=0,0,SER_hh_tesh_in!S4/SER_summary!S$27)</f>
        <v>67.793772465624698</v>
      </c>
      <c r="T4" s="130">
        <f>IF(SER_hh_tesh_in!T4=0,0,SER_hh_tesh_in!T4/SER_summary!T$27)</f>
        <v>63.048807199809744</v>
      </c>
      <c r="U4" s="130">
        <f>IF(SER_hh_tesh_in!U4=0,0,SER_hh_tesh_in!U4/SER_summary!U$27)</f>
        <v>62.554653790060165</v>
      </c>
      <c r="V4" s="130">
        <f>IF(SER_hh_tesh_in!V4=0,0,SER_hh_tesh_in!V4/SER_summary!V$27)</f>
        <v>52.192452815335614</v>
      </c>
      <c r="W4" s="130">
        <f>IF(SER_hh_tesh_in!W4=0,0,SER_hh_tesh_in!W4/SER_summary!W$27)</f>
        <v>54.64412939197048</v>
      </c>
      <c r="X4" s="130">
        <f>IF(SER_hh_tesh_in!X4=0,0,SER_hh_tesh_in!X4/SER_summary!X$27)</f>
        <v>53.679777204777523</v>
      </c>
      <c r="Y4" s="130">
        <f>IF(SER_hh_tesh_in!Y4=0,0,SER_hh_tesh_in!Y4/SER_summary!Y$27)</f>
        <v>54.882868804107169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0</v>
      </c>
      <c r="D5" s="132">
        <f>IF(SER_hh_tesh_in!D5=0,0,SER_hh_tesh_in!D5/SER_summary!D$27)</f>
        <v>0</v>
      </c>
      <c r="E5" s="132">
        <f>IF(SER_hh_tesh_in!E5=0,0,SER_hh_tesh_in!E5/SER_summary!E$27)</f>
        <v>0</v>
      </c>
      <c r="F5" s="132">
        <f>IF(SER_hh_tesh_in!F5=0,0,SER_hh_tesh_in!F5/SER_summary!F$27)</f>
        <v>0</v>
      </c>
      <c r="G5" s="132">
        <f>IF(SER_hh_tesh_in!G5=0,0,SER_hh_tesh_in!G5/SER_summary!G$27)</f>
        <v>0</v>
      </c>
      <c r="H5" s="132">
        <f>IF(SER_hh_tesh_in!H5=0,0,SER_hh_tesh_in!H5/SER_summary!H$27)</f>
        <v>0</v>
      </c>
      <c r="I5" s="132">
        <f>IF(SER_hh_tesh_in!I5=0,0,SER_hh_tesh_in!I5/SER_summary!I$27)</f>
        <v>0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0</v>
      </c>
      <c r="N5" s="132">
        <f>IF(SER_hh_tesh_in!N5=0,0,SER_hh_tesh_in!N5/SER_summary!N$27)</f>
        <v>0</v>
      </c>
      <c r="O5" s="132">
        <f>IF(SER_hh_tesh_in!O5=0,0,SER_hh_tesh_in!O5/SER_summary!O$27)</f>
        <v>35.599960199679444</v>
      </c>
      <c r="P5" s="132">
        <f>IF(SER_hh_tesh_in!P5=0,0,SER_hh_tesh_in!P5/SER_summary!P$27)</f>
        <v>0</v>
      </c>
      <c r="Q5" s="132">
        <f>IF(SER_hh_tesh_in!Q5=0,0,SER_hh_tesh_in!Q5/SER_summary!Q$27)</f>
        <v>0</v>
      </c>
      <c r="R5" s="132">
        <f>IF(SER_hh_tesh_in!R5=0,0,SER_hh_tesh_in!R5/SER_summary!R$27)</f>
        <v>0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0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105.69428290076988</v>
      </c>
      <c r="D7" s="132">
        <f>IF(SER_hh_tesh_in!D7=0,0,SER_hh_tesh_in!D7/SER_summary!D$27)</f>
        <v>101.09886143764497</v>
      </c>
      <c r="E7" s="132">
        <f>IF(SER_hh_tesh_in!E7=0,0,SER_hh_tesh_in!E7/SER_summary!E$27)</f>
        <v>121.72940941903974</v>
      </c>
      <c r="F7" s="132">
        <f>IF(SER_hh_tesh_in!F7=0,0,SER_hh_tesh_in!F7/SER_summary!F$27)</f>
        <v>85.475129331503979</v>
      </c>
      <c r="G7" s="132">
        <f>IF(SER_hh_tesh_in!G7=0,0,SER_hh_tesh_in!G7/SER_summary!G$27)</f>
        <v>108.73275075652029</v>
      </c>
      <c r="H7" s="132">
        <f>IF(SER_hh_tesh_in!H7=0,0,SER_hh_tesh_in!H7/SER_summary!H$27)</f>
        <v>109.72855104620666</v>
      </c>
      <c r="I7" s="132">
        <f>IF(SER_hh_tesh_in!I7=0,0,SER_hh_tesh_in!I7/SER_summary!I$27)</f>
        <v>77.748965008563388</v>
      </c>
      <c r="J7" s="132">
        <f>IF(SER_hh_tesh_in!J7=0,0,SER_hh_tesh_in!J7/SER_summary!J$27)</f>
        <v>0</v>
      </c>
      <c r="K7" s="132">
        <f>IF(SER_hh_tesh_in!K7=0,0,SER_hh_tesh_in!K7/SER_summary!K$27)</f>
        <v>0</v>
      </c>
      <c r="L7" s="132">
        <f>IF(SER_hh_tesh_in!L7=0,0,SER_hh_tesh_in!L7/SER_summary!L$27)</f>
        <v>0</v>
      </c>
      <c r="M7" s="132">
        <f>IF(SER_hh_tesh_in!M7=0,0,SER_hh_tesh_in!M7/SER_summary!M$27)</f>
        <v>0</v>
      </c>
      <c r="N7" s="132">
        <f>IF(SER_hh_tesh_in!N7=0,0,SER_hh_tesh_in!N7/SER_summary!N$27)</f>
        <v>0</v>
      </c>
      <c r="O7" s="132">
        <f>IF(SER_hh_tesh_in!O7=0,0,SER_hh_tesh_in!O7/SER_summary!O$27)</f>
        <v>64.536256094166134</v>
      </c>
      <c r="P7" s="132">
        <f>IF(SER_hh_tesh_in!P7=0,0,SER_hh_tesh_in!P7/SER_summary!P$27)</f>
        <v>65.193525208799429</v>
      </c>
      <c r="Q7" s="132">
        <f>IF(SER_hh_tesh_in!Q7=0,0,SER_hh_tesh_in!Q7/SER_summary!Q$27)</f>
        <v>63.36114691220773</v>
      </c>
      <c r="R7" s="132">
        <f>IF(SER_hh_tesh_in!R7=0,0,SER_hh_tesh_in!R7/SER_summary!R$27)</f>
        <v>54.963888111901028</v>
      </c>
      <c r="S7" s="132">
        <f>IF(SER_hh_tesh_in!S7=0,0,SER_hh_tesh_in!S7/SER_summary!S$27)</f>
        <v>74.371360534595354</v>
      </c>
      <c r="T7" s="132">
        <f>IF(SER_hh_tesh_in!T7=0,0,SER_hh_tesh_in!T7/SER_summary!T$27)</f>
        <v>62.821615320071253</v>
      </c>
      <c r="U7" s="132">
        <f>IF(SER_hh_tesh_in!U7=0,0,SER_hh_tesh_in!U7/SER_summary!U$27)</f>
        <v>57.313805127591365</v>
      </c>
      <c r="V7" s="132">
        <f>IF(SER_hh_tesh_in!V7=0,0,SER_hh_tesh_in!V7/SER_summary!V$27)</f>
        <v>54.545546761335366</v>
      </c>
      <c r="W7" s="132">
        <f>IF(SER_hh_tesh_in!W7=0,0,SER_hh_tesh_in!W7/SER_summary!W$27)</f>
        <v>68.945107009801504</v>
      </c>
      <c r="X7" s="132">
        <f>IF(SER_hh_tesh_in!X7=0,0,SER_hh_tesh_in!X7/SER_summary!X$27)</f>
        <v>0</v>
      </c>
      <c r="Y7" s="132">
        <f>IF(SER_hh_tesh_in!Y7=0,0,SER_hh_tesh_in!Y7/SER_summary!Y$27)</f>
        <v>0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104.57651055475692</v>
      </c>
      <c r="D8" s="132">
        <f>IF(SER_hh_tesh_in!D8=0,0,SER_hh_tesh_in!D8/SER_summary!D$27)</f>
        <v>97.878945741536171</v>
      </c>
      <c r="E8" s="132">
        <f>IF(SER_hh_tesh_in!E8=0,0,SER_hh_tesh_in!E8/SER_summary!E$27)</f>
        <v>112.61933509361491</v>
      </c>
      <c r="F8" s="132">
        <f>IF(SER_hh_tesh_in!F8=0,0,SER_hh_tesh_in!F8/SER_summary!F$27)</f>
        <v>111.32916465272322</v>
      </c>
      <c r="G8" s="132">
        <f>IF(SER_hh_tesh_in!G8=0,0,SER_hh_tesh_in!G8/SER_summary!G$27)</f>
        <v>102.17258242035287</v>
      </c>
      <c r="H8" s="132">
        <f>IF(SER_hh_tesh_in!H8=0,0,SER_hh_tesh_in!H8/SER_summary!H$27)</f>
        <v>106.89986016047069</v>
      </c>
      <c r="I8" s="132">
        <f>IF(SER_hh_tesh_in!I8=0,0,SER_hh_tesh_in!I8/SER_summary!I$27)</f>
        <v>84.649246393135002</v>
      </c>
      <c r="J8" s="132">
        <f>IF(SER_hh_tesh_in!J8=0,0,SER_hh_tesh_in!J8/SER_summary!J$27)</f>
        <v>95.795358813234259</v>
      </c>
      <c r="K8" s="132">
        <f>IF(SER_hh_tesh_in!K8=0,0,SER_hh_tesh_in!K8/SER_summary!K$27)</f>
        <v>79.595630542787177</v>
      </c>
      <c r="L8" s="132">
        <f>IF(SER_hh_tesh_in!L8=0,0,SER_hh_tesh_in!L8/SER_summary!L$27)</f>
        <v>78.22657769256729</v>
      </c>
      <c r="M8" s="132">
        <f>IF(SER_hh_tesh_in!M8=0,0,SER_hh_tesh_in!M8/SER_summary!M$27)</f>
        <v>74.327288068755834</v>
      </c>
      <c r="N8" s="132">
        <f>IF(SER_hh_tesh_in!N8=0,0,SER_hh_tesh_in!N8/SER_summary!N$27)</f>
        <v>72.814250036556402</v>
      </c>
      <c r="O8" s="132">
        <f>IF(SER_hh_tesh_in!O8=0,0,SER_hh_tesh_in!O8/SER_summary!O$27)</f>
        <v>67.906976251609123</v>
      </c>
      <c r="P8" s="132">
        <f>IF(SER_hh_tesh_in!P8=0,0,SER_hh_tesh_in!P8/SER_summary!P$27)</f>
        <v>62.794740604578941</v>
      </c>
      <c r="Q8" s="132">
        <f>IF(SER_hh_tesh_in!Q8=0,0,SER_hh_tesh_in!Q8/SER_summary!Q$27)</f>
        <v>61.549684845937783</v>
      </c>
      <c r="R8" s="132">
        <f>IF(SER_hh_tesh_in!R8=0,0,SER_hh_tesh_in!R8/SER_summary!R$27)</f>
        <v>61.340218291040628</v>
      </c>
      <c r="S8" s="132">
        <f>IF(SER_hh_tesh_in!S8=0,0,SER_hh_tesh_in!S8/SER_summary!S$27)</f>
        <v>67.052709433715748</v>
      </c>
      <c r="T8" s="132">
        <f>IF(SER_hh_tesh_in!T8=0,0,SER_hh_tesh_in!T8/SER_summary!T$27)</f>
        <v>62.397082454799531</v>
      </c>
      <c r="U8" s="132">
        <f>IF(SER_hh_tesh_in!U8=0,0,SER_hh_tesh_in!U8/SER_summary!U$27)</f>
        <v>63.510814839944707</v>
      </c>
      <c r="V8" s="132">
        <f>IF(SER_hh_tesh_in!V8=0,0,SER_hh_tesh_in!V8/SER_summary!V$27)</f>
        <v>53.519629615018872</v>
      </c>
      <c r="W8" s="132">
        <f>IF(SER_hh_tesh_in!W8=0,0,SER_hh_tesh_in!W8/SER_summary!W$27)</f>
        <v>60.240698778865763</v>
      </c>
      <c r="X8" s="132">
        <f>IF(SER_hh_tesh_in!X8=0,0,SER_hh_tesh_in!X8/SER_summary!X$27)</f>
        <v>54.255625051439516</v>
      </c>
      <c r="Y8" s="132">
        <f>IF(SER_hh_tesh_in!Y8=0,0,SER_hh_tesh_in!Y8/SER_summary!Y$27)</f>
        <v>50.516013637487035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110.55028470375761</v>
      </c>
      <c r="D9" s="132">
        <f>IF(SER_hh_tesh_in!D9=0,0,SER_hh_tesh_in!D9/SER_summary!D$27)</f>
        <v>95.783794226034203</v>
      </c>
      <c r="E9" s="132">
        <f>IF(SER_hh_tesh_in!E9=0,0,SER_hh_tesh_in!E9/SER_summary!E$27)</f>
        <v>110.73181305975066</v>
      </c>
      <c r="F9" s="132">
        <f>IF(SER_hh_tesh_in!F9=0,0,SER_hh_tesh_in!F9/SER_summary!F$27)</f>
        <v>0</v>
      </c>
      <c r="G9" s="132">
        <f>IF(SER_hh_tesh_in!G9=0,0,SER_hh_tesh_in!G9/SER_summary!G$27)</f>
        <v>0</v>
      </c>
      <c r="H9" s="132">
        <f>IF(SER_hh_tesh_in!H9=0,0,SER_hh_tesh_in!H9/SER_summary!H$27)</f>
        <v>0</v>
      </c>
      <c r="I9" s="132">
        <f>IF(SER_hh_tesh_in!I9=0,0,SER_hh_tesh_in!I9/SER_summary!I$27)</f>
        <v>0</v>
      </c>
      <c r="J9" s="132">
        <f>IF(SER_hh_tesh_in!J9=0,0,SER_hh_tesh_in!J9/SER_summary!J$27)</f>
        <v>0</v>
      </c>
      <c r="K9" s="132">
        <f>IF(SER_hh_tesh_in!K9=0,0,SER_hh_tesh_in!K9/SER_summary!K$27)</f>
        <v>71.588905818753119</v>
      </c>
      <c r="L9" s="132">
        <f>IF(SER_hh_tesh_in!L9=0,0,SER_hh_tesh_in!L9/SER_summary!L$27)</f>
        <v>78.540935661790627</v>
      </c>
      <c r="M9" s="132">
        <f>IF(SER_hh_tesh_in!M9=0,0,SER_hh_tesh_in!M9/SER_summary!M$27)</f>
        <v>64.894337209727354</v>
      </c>
      <c r="N9" s="132">
        <f>IF(SER_hh_tesh_in!N9=0,0,SER_hh_tesh_in!N9/SER_summary!N$27)</f>
        <v>75.42455573849395</v>
      </c>
      <c r="O9" s="132">
        <f>IF(SER_hh_tesh_in!O9=0,0,SER_hh_tesh_in!O9/SER_summary!O$27)</f>
        <v>75.682710506605602</v>
      </c>
      <c r="P9" s="132">
        <f>IF(SER_hh_tesh_in!P9=0,0,SER_hh_tesh_in!P9/SER_summary!P$27)</f>
        <v>55.83945953483282</v>
      </c>
      <c r="Q9" s="132">
        <f>IF(SER_hh_tesh_in!Q9=0,0,SER_hh_tesh_in!Q9/SER_summary!Q$27)</f>
        <v>63.725683048535323</v>
      </c>
      <c r="R9" s="132">
        <f>IF(SER_hh_tesh_in!R9=0,0,SER_hh_tesh_in!R9/SER_summary!R$27)</f>
        <v>57.015913591139629</v>
      </c>
      <c r="S9" s="132">
        <f>IF(SER_hh_tesh_in!S9=0,0,SER_hh_tesh_in!S9/SER_summary!S$27)</f>
        <v>63.526563734512472</v>
      </c>
      <c r="T9" s="132">
        <f>IF(SER_hh_tesh_in!T9=0,0,SER_hh_tesh_in!T9/SER_summary!T$27)</f>
        <v>58.393596356196539</v>
      </c>
      <c r="U9" s="132">
        <f>IF(SER_hh_tesh_in!U9=0,0,SER_hh_tesh_in!U9/SER_summary!U$27)</f>
        <v>61.43419589019274</v>
      </c>
      <c r="V9" s="132">
        <f>IF(SER_hh_tesh_in!V9=0,0,SER_hh_tesh_in!V9/SER_summary!V$27)</f>
        <v>0</v>
      </c>
      <c r="W9" s="132">
        <f>IF(SER_hh_tesh_in!W9=0,0,SER_hh_tesh_in!W9/SER_summary!W$27)</f>
        <v>68.800617563338761</v>
      </c>
      <c r="X9" s="132">
        <f>IF(SER_hh_tesh_in!X9=0,0,SER_hh_tesh_in!X9/SER_summary!X$27)</f>
        <v>43.574769202362575</v>
      </c>
      <c r="Y9" s="132">
        <f>IF(SER_hh_tesh_in!Y9=0,0,SER_hh_tesh_in!Y9/SER_summary!Y$27)</f>
        <v>53.302798069884361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100.19469802372748</v>
      </c>
      <c r="D10" s="132">
        <f>IF(SER_hh_tesh_in!D10=0,0,SER_hh_tesh_in!D10/SER_summary!D$27)</f>
        <v>96.998814021269354</v>
      </c>
      <c r="E10" s="132">
        <f>IF(SER_hh_tesh_in!E10=0,0,SER_hh_tesh_in!E10/SER_summary!E$27)</f>
        <v>112.19059516851567</v>
      </c>
      <c r="F10" s="132">
        <f>IF(SER_hh_tesh_in!F10=0,0,SER_hh_tesh_in!F10/SER_summary!F$27)</f>
        <v>117.83152208258613</v>
      </c>
      <c r="G10" s="132">
        <f>IF(SER_hh_tesh_in!G10=0,0,SER_hh_tesh_in!G10/SER_summary!G$27)</f>
        <v>94.719677387254734</v>
      </c>
      <c r="H10" s="132">
        <f>IF(SER_hh_tesh_in!H10=0,0,SER_hh_tesh_in!H10/SER_summary!H$27)</f>
        <v>102.25131575642914</v>
      </c>
      <c r="I10" s="132">
        <f>IF(SER_hh_tesh_in!I10=0,0,SER_hh_tesh_in!I10/SER_summary!I$27)</f>
        <v>94.207867152042155</v>
      </c>
      <c r="J10" s="132">
        <f>IF(SER_hh_tesh_in!J10=0,0,SER_hh_tesh_in!J10/SER_summary!J$27)</f>
        <v>78.365452766551698</v>
      </c>
      <c r="K10" s="132">
        <f>IF(SER_hh_tesh_in!K10=0,0,SER_hh_tesh_in!K10/SER_summary!K$27)</f>
        <v>74.871906871232824</v>
      </c>
      <c r="L10" s="132">
        <f>IF(SER_hh_tesh_in!L10=0,0,SER_hh_tesh_in!L10/SER_summary!L$27)</f>
        <v>92.749448935506493</v>
      </c>
      <c r="M10" s="132">
        <f>IF(SER_hh_tesh_in!M10=0,0,SER_hh_tesh_in!M10/SER_summary!M$27)</f>
        <v>77.021002139428219</v>
      </c>
      <c r="N10" s="132">
        <f>IF(SER_hh_tesh_in!N10=0,0,SER_hh_tesh_in!N10/SER_summary!N$27)</f>
        <v>0</v>
      </c>
      <c r="O10" s="132">
        <f>IF(SER_hh_tesh_in!O10=0,0,SER_hh_tesh_in!O10/SER_summary!O$27)</f>
        <v>73.563111873785587</v>
      </c>
      <c r="P10" s="132">
        <f>IF(SER_hh_tesh_in!P10=0,0,SER_hh_tesh_in!P10/SER_summary!P$27)</f>
        <v>57.621385229597074</v>
      </c>
      <c r="Q10" s="132">
        <f>IF(SER_hh_tesh_in!Q10=0,0,SER_hh_tesh_in!Q10/SER_summary!Q$27)</f>
        <v>70.159292297603656</v>
      </c>
      <c r="R10" s="132">
        <f>IF(SER_hh_tesh_in!R10=0,0,SER_hh_tesh_in!R10/SER_summary!R$27)</f>
        <v>46.615538886392386</v>
      </c>
      <c r="S10" s="132">
        <f>IF(SER_hh_tesh_in!S10=0,0,SER_hh_tesh_in!S10/SER_summary!S$27)</f>
        <v>70.944265571542488</v>
      </c>
      <c r="T10" s="132">
        <f>IF(SER_hh_tesh_in!T10=0,0,SER_hh_tesh_in!T10/SER_summary!T$27)</f>
        <v>64.003827197268492</v>
      </c>
      <c r="U10" s="132">
        <f>IF(SER_hh_tesh_in!U10=0,0,SER_hh_tesh_in!U10/SER_summary!U$27)</f>
        <v>62.857462912350144</v>
      </c>
      <c r="V10" s="132">
        <f>IF(SER_hh_tesh_in!V10=0,0,SER_hh_tesh_in!V10/SER_summary!V$27)</f>
        <v>56.448859120578668</v>
      </c>
      <c r="W10" s="132">
        <f>IF(SER_hh_tesh_in!W10=0,0,SER_hh_tesh_in!W10/SER_summary!W$27)</f>
        <v>64.91435371575345</v>
      </c>
      <c r="X10" s="132">
        <f>IF(SER_hh_tesh_in!X10=0,0,SER_hh_tesh_in!X10/SER_summary!X$27)</f>
        <v>0</v>
      </c>
      <c r="Y10" s="132">
        <f>IF(SER_hh_tesh_in!Y10=0,0,SER_hh_tesh_in!Y10/SER_summary!Y$27)</f>
        <v>0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83.882376477925732</v>
      </c>
      <c r="D11" s="132">
        <f>IF(SER_hh_tesh_in!D11=0,0,SER_hh_tesh_in!D11/SER_summary!D$27)</f>
        <v>125.27498060745268</v>
      </c>
      <c r="E11" s="132">
        <f>IF(SER_hh_tesh_in!E11=0,0,SER_hh_tesh_in!E11/SER_summary!E$27)</f>
        <v>101.91778975594895</v>
      </c>
      <c r="F11" s="132">
        <f>IF(SER_hh_tesh_in!F11=0,0,SER_hh_tesh_in!F11/SER_summary!F$27)</f>
        <v>100.06600720167184</v>
      </c>
      <c r="G11" s="132">
        <f>IF(SER_hh_tesh_in!G11=0,0,SER_hh_tesh_in!G11/SER_summary!G$27)</f>
        <v>108.05022075078085</v>
      </c>
      <c r="H11" s="132">
        <f>IF(SER_hh_tesh_in!H11=0,0,SER_hh_tesh_in!H11/SER_summary!H$27)</f>
        <v>101.08815122519782</v>
      </c>
      <c r="I11" s="132">
        <f>IF(SER_hh_tesh_in!I11=0,0,SER_hh_tesh_in!I11/SER_summary!I$27)</f>
        <v>84.497147406970754</v>
      </c>
      <c r="J11" s="132">
        <f>IF(SER_hh_tesh_in!J11=0,0,SER_hh_tesh_in!J11/SER_summary!J$27)</f>
        <v>84.142224768820668</v>
      </c>
      <c r="K11" s="132">
        <f>IF(SER_hh_tesh_in!K11=0,0,SER_hh_tesh_in!K11/SER_summary!K$27)</f>
        <v>81.513866358816415</v>
      </c>
      <c r="L11" s="132">
        <f>IF(SER_hh_tesh_in!L11=0,0,SER_hh_tesh_in!L11/SER_summary!L$27)</f>
        <v>83.482274824910604</v>
      </c>
      <c r="M11" s="132">
        <f>IF(SER_hh_tesh_in!M11=0,0,SER_hh_tesh_in!M11/SER_summary!M$27)</f>
        <v>68.108147790510316</v>
      </c>
      <c r="N11" s="132">
        <f>IF(SER_hh_tesh_in!N11=0,0,SER_hh_tesh_in!N11/SER_summary!N$27)</f>
        <v>78.753785426248839</v>
      </c>
      <c r="O11" s="132">
        <f>IF(SER_hh_tesh_in!O11=0,0,SER_hh_tesh_in!O11/SER_summary!O$27)</f>
        <v>73.539698261964588</v>
      </c>
      <c r="P11" s="132">
        <f>IF(SER_hh_tesh_in!P11=0,0,SER_hh_tesh_in!P11/SER_summary!P$27)</f>
        <v>58.771099967776415</v>
      </c>
      <c r="Q11" s="132">
        <f>IF(SER_hh_tesh_in!Q11=0,0,SER_hh_tesh_in!Q11/SER_summary!Q$27)</f>
        <v>60.391998628965077</v>
      </c>
      <c r="R11" s="132">
        <f>IF(SER_hh_tesh_in!R11=0,0,SER_hh_tesh_in!R11/SER_summary!R$27)</f>
        <v>53.033849789028331</v>
      </c>
      <c r="S11" s="132">
        <f>IF(SER_hh_tesh_in!S11=0,0,SER_hh_tesh_in!S11/SER_summary!S$27)</f>
        <v>75.767876566136636</v>
      </c>
      <c r="T11" s="132">
        <f>IF(SER_hh_tesh_in!T11=0,0,SER_hh_tesh_in!T11/SER_summary!T$27)</f>
        <v>63.295598119605934</v>
      </c>
      <c r="U11" s="132">
        <f>IF(SER_hh_tesh_in!U11=0,0,SER_hh_tesh_in!U11/SER_summary!U$27)</f>
        <v>60.412093946200976</v>
      </c>
      <c r="V11" s="132">
        <f>IF(SER_hh_tesh_in!V11=0,0,SER_hh_tesh_in!V11/SER_summary!V$27)</f>
        <v>60.620579500569043</v>
      </c>
      <c r="W11" s="132">
        <f>IF(SER_hh_tesh_in!W11=0,0,SER_hh_tesh_in!W11/SER_summary!W$27)</f>
        <v>52.094443316009347</v>
      </c>
      <c r="X11" s="132">
        <f>IF(SER_hh_tesh_in!X11=0,0,SER_hh_tesh_in!X11/SER_summary!X$27)</f>
        <v>0</v>
      </c>
      <c r="Y11" s="132">
        <f>IF(SER_hh_tesh_in!Y11=0,0,SER_hh_tesh_in!Y11/SER_summary!Y$27)</f>
        <v>0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99.174131029545094</v>
      </c>
      <c r="D12" s="132">
        <f>IF(SER_hh_tesh_in!D12=0,0,SER_hh_tesh_in!D12/SER_summary!D$27)</f>
        <v>101.74740246158218</v>
      </c>
      <c r="E12" s="132">
        <f>IF(SER_hh_tesh_in!E12=0,0,SER_hh_tesh_in!E12/SER_summary!E$27)</f>
        <v>106.04712128562579</v>
      </c>
      <c r="F12" s="132">
        <f>IF(SER_hh_tesh_in!F12=0,0,SER_hh_tesh_in!F12/SER_summary!F$27)</f>
        <v>101.80909900901096</v>
      </c>
      <c r="G12" s="132">
        <f>IF(SER_hh_tesh_in!G12=0,0,SER_hh_tesh_in!G12/SER_summary!G$27)</f>
        <v>107.95339805424018</v>
      </c>
      <c r="H12" s="132">
        <f>IF(SER_hh_tesh_in!H12=0,0,SER_hh_tesh_in!H12/SER_summary!H$27)</f>
        <v>104.02917613751407</v>
      </c>
      <c r="I12" s="132">
        <f>IF(SER_hh_tesh_in!I12=0,0,SER_hh_tesh_in!I12/SER_summary!I$27)</f>
        <v>82.324731652855661</v>
      </c>
      <c r="J12" s="132">
        <f>IF(SER_hh_tesh_in!J12=0,0,SER_hh_tesh_in!J12/SER_summary!J$27)</f>
        <v>86.2665052217164</v>
      </c>
      <c r="K12" s="132">
        <f>IF(SER_hh_tesh_in!K12=0,0,SER_hh_tesh_in!K12/SER_summary!K$27)</f>
        <v>82.720293739613339</v>
      </c>
      <c r="L12" s="132">
        <f>IF(SER_hh_tesh_in!L12=0,0,SER_hh_tesh_in!L12/SER_summary!L$27)</f>
        <v>81.068951705347288</v>
      </c>
      <c r="M12" s="132">
        <f>IF(SER_hh_tesh_in!M12=0,0,SER_hh_tesh_in!M12/SER_summary!M$27)</f>
        <v>75.344687841038365</v>
      </c>
      <c r="N12" s="132">
        <f>IF(SER_hh_tesh_in!N12=0,0,SER_hh_tesh_in!N12/SER_summary!N$27)</f>
        <v>74.543811258260675</v>
      </c>
      <c r="O12" s="132">
        <f>IF(SER_hh_tesh_in!O12=0,0,SER_hh_tesh_in!O12/SER_summary!O$27)</f>
        <v>71.187880189038623</v>
      </c>
      <c r="P12" s="132">
        <f>IF(SER_hh_tesh_in!P12=0,0,SER_hh_tesh_in!P12/SER_summary!P$27)</f>
        <v>61.254489297999811</v>
      </c>
      <c r="Q12" s="132">
        <f>IF(SER_hh_tesh_in!Q12=0,0,SER_hh_tesh_in!Q12/SER_summary!Q$27)</f>
        <v>61.978314989258479</v>
      </c>
      <c r="R12" s="132">
        <f>IF(SER_hh_tesh_in!R12=0,0,SER_hh_tesh_in!R12/SER_summary!R$27)</f>
        <v>64.224761914131079</v>
      </c>
      <c r="S12" s="132">
        <f>IF(SER_hh_tesh_in!S12=0,0,SER_hh_tesh_in!S12/SER_summary!S$27)</f>
        <v>66.001002040272951</v>
      </c>
      <c r="T12" s="132">
        <f>IF(SER_hh_tesh_in!T12=0,0,SER_hh_tesh_in!T12/SER_summary!T$27)</f>
        <v>59.663783534167749</v>
      </c>
      <c r="U12" s="132">
        <f>IF(SER_hh_tesh_in!U12=0,0,SER_hh_tesh_in!U12/SER_summary!U$27)</f>
        <v>60.575493538529884</v>
      </c>
      <c r="V12" s="132">
        <f>IF(SER_hh_tesh_in!V12=0,0,SER_hh_tesh_in!V12/SER_summary!V$27)</f>
        <v>53.580688270297671</v>
      </c>
      <c r="W12" s="132">
        <f>IF(SER_hh_tesh_in!W12=0,0,SER_hh_tesh_in!W12/SER_summary!W$27)</f>
        <v>60.300689466304981</v>
      </c>
      <c r="X12" s="132">
        <f>IF(SER_hh_tesh_in!X12=0,0,SER_hh_tesh_in!X12/SER_summary!X$27)</f>
        <v>54.504668389173368</v>
      </c>
      <c r="Y12" s="132">
        <f>IF(SER_hh_tesh_in!Y12=0,0,SER_hh_tesh_in!Y12/SER_summary!Y$27)</f>
        <v>51.954334524466155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90.909367919260092</v>
      </c>
      <c r="D13" s="132">
        <f>IF(SER_hh_tesh_in!D13=0,0,SER_hh_tesh_in!D13/SER_summary!D$27)</f>
        <v>96.452434731737114</v>
      </c>
      <c r="E13" s="132">
        <f>IF(SER_hh_tesh_in!E13=0,0,SER_hh_tesh_in!E13/SER_summary!E$27)</f>
        <v>105.55848441506069</v>
      </c>
      <c r="F13" s="132">
        <f>IF(SER_hh_tesh_in!F13=0,0,SER_hh_tesh_in!F13/SER_summary!F$27)</f>
        <v>108.32632463565272</v>
      </c>
      <c r="G13" s="132">
        <f>IF(SER_hh_tesh_in!G13=0,0,SER_hh_tesh_in!G13/SER_summary!G$27)</f>
        <v>100.72251010847813</v>
      </c>
      <c r="H13" s="132">
        <f>IF(SER_hh_tesh_in!H13=0,0,SER_hh_tesh_in!H13/SER_summary!H$27)</f>
        <v>99.920188094758615</v>
      </c>
      <c r="I13" s="132">
        <f>IF(SER_hh_tesh_in!I13=0,0,SER_hh_tesh_in!I13/SER_summary!I$27)</f>
        <v>86.241352922497455</v>
      </c>
      <c r="J13" s="132">
        <f>IF(SER_hh_tesh_in!J13=0,0,SER_hh_tesh_in!J13/SER_summary!J$27)</f>
        <v>98.686860966851967</v>
      </c>
      <c r="K13" s="132">
        <f>IF(SER_hh_tesh_in!K13=0,0,SER_hh_tesh_in!K13/SER_summary!K$27)</f>
        <v>76.602716656997046</v>
      </c>
      <c r="L13" s="132">
        <f>IF(SER_hh_tesh_in!L13=0,0,SER_hh_tesh_in!L13/SER_summary!L$27)</f>
        <v>74.699686727175575</v>
      </c>
      <c r="M13" s="132">
        <f>IF(SER_hh_tesh_in!M13=0,0,SER_hh_tesh_in!M13/SER_summary!M$27)</f>
        <v>75.225352640960892</v>
      </c>
      <c r="N13" s="132">
        <f>IF(SER_hh_tesh_in!N13=0,0,SER_hh_tesh_in!N13/SER_summary!N$27)</f>
        <v>71.999533877577946</v>
      </c>
      <c r="O13" s="132">
        <f>IF(SER_hh_tesh_in!O13=0,0,SER_hh_tesh_in!O13/SER_summary!O$27)</f>
        <v>70.907043676795709</v>
      </c>
      <c r="P13" s="132">
        <f>IF(SER_hh_tesh_in!P13=0,0,SER_hh_tesh_in!P13/SER_summary!P$27)</f>
        <v>72.797003975670989</v>
      </c>
      <c r="Q13" s="132">
        <f>IF(SER_hh_tesh_in!Q13=0,0,SER_hh_tesh_in!Q13/SER_summary!Q$27)</f>
        <v>60.079773013732996</v>
      </c>
      <c r="R13" s="132">
        <f>IF(SER_hh_tesh_in!R13=0,0,SER_hh_tesh_in!R13/SER_summary!R$27)</f>
        <v>60.839015866636302</v>
      </c>
      <c r="S13" s="132">
        <f>IF(SER_hh_tesh_in!S13=0,0,SER_hh_tesh_in!S13/SER_summary!S$27)</f>
        <v>65.341902588514699</v>
      </c>
      <c r="T13" s="132">
        <f>IF(SER_hh_tesh_in!T13=0,0,SER_hh_tesh_in!T13/SER_summary!T$27)</f>
        <v>62.804588191422994</v>
      </c>
      <c r="U13" s="132">
        <f>IF(SER_hh_tesh_in!U13=0,0,SER_hh_tesh_in!U13/SER_summary!U$27)</f>
        <v>70.178946011786337</v>
      </c>
      <c r="V13" s="132">
        <f>IF(SER_hh_tesh_in!V13=0,0,SER_hh_tesh_in!V13/SER_summary!V$27)</f>
        <v>44.873729549278863</v>
      </c>
      <c r="W13" s="132">
        <f>IF(SER_hh_tesh_in!W13=0,0,SER_hh_tesh_in!W13/SER_summary!W$27)</f>
        <v>38.269372355364538</v>
      </c>
      <c r="X13" s="132">
        <f>IF(SER_hh_tesh_in!X13=0,0,SER_hh_tesh_in!X13/SER_summary!X$27)</f>
        <v>50.957596625434974</v>
      </c>
      <c r="Y13" s="132">
        <f>IF(SER_hh_tesh_in!Y13=0,0,SER_hh_tesh_in!Y13/SER_summary!Y$27)</f>
        <v>57.811992894690619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0</v>
      </c>
      <c r="D14" s="65">
        <f>IF(SER_hh_tesh_in!D14=0,0,SER_hh_tesh_in!D14/SER_summary!D$27)</f>
        <v>99.835831170923569</v>
      </c>
      <c r="E14" s="65">
        <f>IF(SER_hh_tesh_in!E14=0,0,SER_hh_tesh_in!E14/SER_summary!E$27)</f>
        <v>117.07683030020314</v>
      </c>
      <c r="F14" s="65">
        <f>IF(SER_hh_tesh_in!F14=0,0,SER_hh_tesh_in!F14/SER_summary!F$27)</f>
        <v>86.017721238659021</v>
      </c>
      <c r="G14" s="65">
        <f>IF(SER_hh_tesh_in!G14=0,0,SER_hh_tesh_in!G14/SER_summary!G$27)</f>
        <v>112.30447618534266</v>
      </c>
      <c r="H14" s="65">
        <f>IF(SER_hh_tesh_in!H14=0,0,SER_hh_tesh_in!H14/SER_summary!H$27)</f>
        <v>103.2852656842247</v>
      </c>
      <c r="I14" s="65">
        <f>IF(SER_hh_tesh_in!I14=0,0,SER_hh_tesh_in!I14/SER_summary!I$27)</f>
        <v>87.867175442569788</v>
      </c>
      <c r="J14" s="65">
        <f>IF(SER_hh_tesh_in!J14=0,0,SER_hh_tesh_in!J14/SER_summary!J$27)</f>
        <v>103.60402530547064</v>
      </c>
      <c r="K14" s="65">
        <f>IF(SER_hh_tesh_in!K14=0,0,SER_hh_tesh_in!K14/SER_summary!K$27)</f>
        <v>0</v>
      </c>
      <c r="L14" s="65">
        <f>IF(SER_hh_tesh_in!L14=0,0,SER_hh_tesh_in!L14/SER_summary!L$27)</f>
        <v>82.125123005888071</v>
      </c>
      <c r="M14" s="65">
        <f>IF(SER_hh_tesh_in!M14=0,0,SER_hh_tesh_in!M14/SER_summary!M$27)</f>
        <v>74.430448300615467</v>
      </c>
      <c r="N14" s="65">
        <f>IF(SER_hh_tesh_in!N14=0,0,SER_hh_tesh_in!N14/SER_summary!N$27)</f>
        <v>73.05148700818647</v>
      </c>
      <c r="O14" s="65">
        <f>IF(SER_hh_tesh_in!O14=0,0,SER_hh_tesh_in!O14/SER_summary!O$27)</f>
        <v>71.742447220320187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0</v>
      </c>
      <c r="S14" s="65">
        <f>IF(SER_hh_tesh_in!S14=0,0,SER_hh_tesh_in!S14/SER_summary!S$27)</f>
        <v>62.736381268779631</v>
      </c>
      <c r="T14" s="65">
        <f>IF(SER_hh_tesh_in!T14=0,0,SER_hh_tesh_in!T14/SER_summary!T$27)</f>
        <v>69.018238495282475</v>
      </c>
      <c r="U14" s="65">
        <f>IF(SER_hh_tesh_in!U14=0,0,SER_hh_tesh_in!U14/SER_summary!U$27)</f>
        <v>62.77635131835644</v>
      </c>
      <c r="V14" s="65">
        <f>IF(SER_hh_tesh_in!V14=0,0,SER_hh_tesh_in!V14/SER_summary!V$27)</f>
        <v>52.437402758168766</v>
      </c>
      <c r="W14" s="65">
        <f>IF(SER_hh_tesh_in!W14=0,0,SER_hh_tesh_in!W14/SER_summary!W$27)</f>
        <v>54.0732314618921</v>
      </c>
      <c r="X14" s="65">
        <f>IF(SER_hh_tesh_in!X14=0,0,SER_hh_tesh_in!X14/SER_summary!X$27)</f>
        <v>63.882033102248329</v>
      </c>
      <c r="Y14" s="65">
        <f>IF(SER_hh_tesh_in!Y14=0,0,SER_hh_tesh_in!Y14/SER_summary!Y$27)</f>
        <v>0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1.8648597674925633</v>
      </c>
      <c r="D15" s="134">
        <f>IF(SER_hh_tesh_in!D15=0,0,SER_hh_tesh_in!D15/SER_summary!D$27)</f>
        <v>1.4232098330057492</v>
      </c>
      <c r="E15" s="134">
        <f>IF(SER_hh_tesh_in!E15=0,0,SER_hh_tesh_in!E15/SER_summary!E$27)</f>
        <v>1.4566213985700995</v>
      </c>
      <c r="F15" s="134">
        <f>IF(SER_hh_tesh_in!F15=0,0,SER_hh_tesh_in!F15/SER_summary!F$27)</f>
        <v>0.7968288949390302</v>
      </c>
      <c r="G15" s="134">
        <f>IF(SER_hh_tesh_in!G15=0,0,SER_hh_tesh_in!G15/SER_summary!G$27)</f>
        <v>0.79413022139822487</v>
      </c>
      <c r="H15" s="134">
        <f>IF(SER_hh_tesh_in!H15=0,0,SER_hh_tesh_in!H15/SER_summary!H$27)</f>
        <v>0.757637308023976</v>
      </c>
      <c r="I15" s="134">
        <f>IF(SER_hh_tesh_in!I15=0,0,SER_hh_tesh_in!I15/SER_summary!I$27)</f>
        <v>0.46537532456837361</v>
      </c>
      <c r="J15" s="134">
        <f>IF(SER_hh_tesh_in!J15=0,0,SER_hh_tesh_in!J15/SER_summary!J$27)</f>
        <v>0.38086660308601489</v>
      </c>
      <c r="K15" s="134">
        <f>IF(SER_hh_tesh_in!K15=0,0,SER_hh_tesh_in!K15/SER_summary!K$27)</f>
        <v>0.45437989373439552</v>
      </c>
      <c r="L15" s="134">
        <f>IF(SER_hh_tesh_in!L15=0,0,SER_hh_tesh_in!L15/SER_summary!L$27)</f>
        <v>0.55713192604391037</v>
      </c>
      <c r="M15" s="134">
        <f>IF(SER_hh_tesh_in!M15=0,0,SER_hh_tesh_in!M15/SER_summary!M$27)</f>
        <v>0.52781144146200831</v>
      </c>
      <c r="N15" s="134">
        <f>IF(SER_hh_tesh_in!N15=0,0,SER_hh_tesh_in!N15/SER_summary!N$27)</f>
        <v>0.83331962232589918</v>
      </c>
      <c r="O15" s="134">
        <f>IF(SER_hh_tesh_in!O15=0,0,SER_hh_tesh_in!O15/SER_summary!O$27)</f>
        <v>0.90756840478328327</v>
      </c>
      <c r="P15" s="134">
        <f>IF(SER_hh_tesh_in!P15=0,0,SER_hh_tesh_in!P15/SER_summary!P$27)</f>
        <v>0.67762514500608417</v>
      </c>
      <c r="Q15" s="134">
        <f>IF(SER_hh_tesh_in!Q15=0,0,SER_hh_tesh_in!Q15/SER_summary!Q$27)</f>
        <v>0.53950494981428565</v>
      </c>
      <c r="R15" s="134">
        <f>IF(SER_hh_tesh_in!R15=0,0,SER_hh_tesh_in!R15/SER_summary!R$27)</f>
        <v>0.53422051090143741</v>
      </c>
      <c r="S15" s="134">
        <f>IF(SER_hh_tesh_in!S15=0,0,SER_hh_tesh_in!S15/SER_summary!S$27)</f>
        <v>0.62334373794486775</v>
      </c>
      <c r="T15" s="134">
        <f>IF(SER_hh_tesh_in!T15=0,0,SER_hh_tesh_in!T15/SER_summary!T$27)</f>
        <v>0.53079131628438958</v>
      </c>
      <c r="U15" s="134">
        <f>IF(SER_hh_tesh_in!U15=0,0,SER_hh_tesh_in!U15/SER_summary!U$27)</f>
        <v>0.47630691111099394</v>
      </c>
      <c r="V15" s="134">
        <f>IF(SER_hh_tesh_in!V15=0,0,SER_hh_tesh_in!V15/SER_summary!V$27)</f>
        <v>0.31615375450932615</v>
      </c>
      <c r="W15" s="134">
        <f>IF(SER_hh_tesh_in!W15=0,0,SER_hh_tesh_in!W15/SER_summary!W$27)</f>
        <v>0.42392641989260943</v>
      </c>
      <c r="X15" s="134">
        <f>IF(SER_hh_tesh_in!X15=0,0,SER_hh_tesh_in!X15/SER_summary!X$27)</f>
        <v>0.29798612305851091</v>
      </c>
      <c r="Y15" s="134">
        <f>IF(SER_hh_tesh_in!Y15=0,0,SER_hh_tesh_in!Y15/SER_summary!Y$27)</f>
        <v>0.2084817782067693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22.181551652560117</v>
      </c>
      <c r="D16" s="130">
        <f>IF(SER_hh_tesh_in!D16=0,0,SER_hh_tesh_in!D16/SER_summary!D$27)</f>
        <v>22.158788405652487</v>
      </c>
      <c r="E16" s="130">
        <f>IF(SER_hh_tesh_in!E16=0,0,SER_hh_tesh_in!E16/SER_summary!E$27)</f>
        <v>24.592446567111004</v>
      </c>
      <c r="F16" s="130">
        <f>IF(SER_hh_tesh_in!F16=0,0,SER_hh_tesh_in!F16/SER_summary!F$27)</f>
        <v>21.684955790745558</v>
      </c>
      <c r="G16" s="130">
        <f>IF(SER_hh_tesh_in!G16=0,0,SER_hh_tesh_in!G16/SER_summary!G$27)</f>
        <v>21.758649710184386</v>
      </c>
      <c r="H16" s="130">
        <f>IF(SER_hh_tesh_in!H16=0,0,SER_hh_tesh_in!H16/SER_summary!H$27)</f>
        <v>22.700826353298662</v>
      </c>
      <c r="I16" s="130">
        <f>IF(SER_hh_tesh_in!I16=0,0,SER_hh_tesh_in!I16/SER_summary!I$27)</f>
        <v>22.501289892617379</v>
      </c>
      <c r="J16" s="130">
        <f>IF(SER_hh_tesh_in!J16=0,0,SER_hh_tesh_in!J16/SER_summary!J$27)</f>
        <v>21.660145103034825</v>
      </c>
      <c r="K16" s="130">
        <f>IF(SER_hh_tesh_in!K16=0,0,SER_hh_tesh_in!K16/SER_summary!K$27)</f>
        <v>21.647852055795422</v>
      </c>
      <c r="L16" s="130">
        <f>IF(SER_hh_tesh_in!L16=0,0,SER_hh_tesh_in!L16/SER_summary!L$27)</f>
        <v>22.234570284026439</v>
      </c>
      <c r="M16" s="130">
        <f>IF(SER_hh_tesh_in!M16=0,0,SER_hh_tesh_in!M16/SER_summary!M$27)</f>
        <v>21.657761670602614</v>
      </c>
      <c r="N16" s="130">
        <f>IF(SER_hh_tesh_in!N16=0,0,SER_hh_tesh_in!N16/SER_summary!N$27)</f>
        <v>22.31473342845922</v>
      </c>
      <c r="O16" s="130">
        <f>IF(SER_hh_tesh_in!O16=0,0,SER_hh_tesh_in!O16/SER_summary!O$27)</f>
        <v>23.575700646126549</v>
      </c>
      <c r="P16" s="130">
        <f>IF(SER_hh_tesh_in!P16=0,0,SER_hh_tesh_in!P16/SER_summary!P$27)</f>
        <v>20.691037437865532</v>
      </c>
      <c r="Q16" s="130">
        <f>IF(SER_hh_tesh_in!Q16=0,0,SER_hh_tesh_in!Q16/SER_summary!Q$27)</f>
        <v>24.068517087643414</v>
      </c>
      <c r="R16" s="130">
        <f>IF(SER_hh_tesh_in!R16=0,0,SER_hh_tesh_in!R16/SER_summary!R$27)</f>
        <v>20.808630944964523</v>
      </c>
      <c r="S16" s="130">
        <f>IF(SER_hh_tesh_in!S16=0,0,SER_hh_tesh_in!S16/SER_summary!S$27)</f>
        <v>22.238771469922145</v>
      </c>
      <c r="T16" s="130">
        <f>IF(SER_hh_tesh_in!T16=0,0,SER_hh_tesh_in!T16/SER_summary!T$27)</f>
        <v>21.857328977233209</v>
      </c>
      <c r="U16" s="130">
        <f>IF(SER_hh_tesh_in!U16=0,0,SER_hh_tesh_in!U16/SER_summary!U$27)</f>
        <v>22.374725575586766</v>
      </c>
      <c r="V16" s="130">
        <f>IF(SER_hh_tesh_in!V16=0,0,SER_hh_tesh_in!V16/SER_summary!V$27)</f>
        <v>20.363677283855814</v>
      </c>
      <c r="W16" s="130">
        <f>IF(SER_hh_tesh_in!W16=0,0,SER_hh_tesh_in!W16/SER_summary!W$27)</f>
        <v>20.737031972849568</v>
      </c>
      <c r="X16" s="130">
        <f>IF(SER_hh_tesh_in!X16=0,0,SER_hh_tesh_in!X16/SER_summary!X$27)</f>
        <v>21.826558285443316</v>
      </c>
      <c r="Y16" s="130">
        <f>IF(SER_hh_tesh_in!Y16=0,0,SER_hh_tesh_in!Y16/SER_summary!Y$27)</f>
        <v>23.068082920869951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22.185311474082738</v>
      </c>
      <c r="D17" s="132">
        <f>IF(SER_hh_tesh_in!D17=0,0,SER_hh_tesh_in!D17/SER_summary!D$27)</f>
        <v>22.181187218785215</v>
      </c>
      <c r="E17" s="132">
        <f>IF(SER_hh_tesh_in!E17=0,0,SER_hh_tesh_in!E17/SER_summary!E$27)</f>
        <v>24.612109588340513</v>
      </c>
      <c r="F17" s="132">
        <f>IF(SER_hh_tesh_in!F17=0,0,SER_hh_tesh_in!F17/SER_summary!F$27)</f>
        <v>21.779896420670315</v>
      </c>
      <c r="G17" s="132">
        <f>IF(SER_hh_tesh_in!G17=0,0,SER_hh_tesh_in!G17/SER_summary!G$27)</f>
        <v>21.861769081132707</v>
      </c>
      <c r="H17" s="132">
        <f>IF(SER_hh_tesh_in!H17=0,0,SER_hh_tesh_in!H17/SER_summary!H$27)</f>
        <v>22.802140757472216</v>
      </c>
      <c r="I17" s="132">
        <f>IF(SER_hh_tesh_in!I17=0,0,SER_hh_tesh_in!I17/SER_summary!I$27)</f>
        <v>22.627374528101619</v>
      </c>
      <c r="J17" s="132">
        <f>IF(SER_hh_tesh_in!J17=0,0,SER_hh_tesh_in!J17/SER_summary!J$27)</f>
        <v>21.741913760893862</v>
      </c>
      <c r="K17" s="132">
        <f>IF(SER_hh_tesh_in!K17=0,0,SER_hh_tesh_in!K17/SER_summary!K$27)</f>
        <v>21.697422591738611</v>
      </c>
      <c r="L17" s="132">
        <f>IF(SER_hh_tesh_in!L17=0,0,SER_hh_tesh_in!L17/SER_summary!L$27)</f>
        <v>22.275579673026638</v>
      </c>
      <c r="M17" s="132">
        <f>IF(SER_hh_tesh_in!M17=0,0,SER_hh_tesh_in!M17/SER_summary!M$27)</f>
        <v>23.307300119631925</v>
      </c>
      <c r="N17" s="132">
        <f>IF(SER_hh_tesh_in!N17=0,0,SER_hh_tesh_in!N17/SER_summary!N$27)</f>
        <v>22.315486398339829</v>
      </c>
      <c r="O17" s="132">
        <f>IF(SER_hh_tesh_in!O17=0,0,SER_hh_tesh_in!O17/SER_summary!O$27)</f>
        <v>23.577350006700783</v>
      </c>
      <c r="P17" s="132">
        <f>IF(SER_hh_tesh_in!P17=0,0,SER_hh_tesh_in!P17/SER_summary!P$27)</f>
        <v>20.727892750219787</v>
      </c>
      <c r="Q17" s="132">
        <f>IF(SER_hh_tesh_in!Q17=0,0,SER_hh_tesh_in!Q17/SER_summary!Q$27)</f>
        <v>25.220199544351086</v>
      </c>
      <c r="R17" s="132">
        <f>IF(SER_hh_tesh_in!R17=0,0,SER_hh_tesh_in!R17/SER_summary!R$27)</f>
        <v>20.862137296765123</v>
      </c>
      <c r="S17" s="132">
        <f>IF(SER_hh_tesh_in!S17=0,0,SER_hh_tesh_in!S17/SER_summary!S$27)</f>
        <v>22.38769628532857</v>
      </c>
      <c r="T17" s="132">
        <f>IF(SER_hh_tesh_in!T17=0,0,SER_hh_tesh_in!T17/SER_summary!T$27)</f>
        <v>22.013979084341376</v>
      </c>
      <c r="U17" s="132">
        <f>IF(SER_hh_tesh_in!U17=0,0,SER_hh_tesh_in!U17/SER_summary!U$27)</f>
        <v>22.640607393778062</v>
      </c>
      <c r="V17" s="132">
        <f>IF(SER_hh_tesh_in!V17=0,0,SER_hh_tesh_in!V17/SER_summary!V$27)</f>
        <v>19.975128338694919</v>
      </c>
      <c r="W17" s="132">
        <f>IF(SER_hh_tesh_in!W17=0,0,SER_hh_tesh_in!W17/SER_summary!W$27)</f>
        <v>20.842463831487127</v>
      </c>
      <c r="X17" s="132">
        <f>IF(SER_hh_tesh_in!X17=0,0,SER_hh_tesh_in!X17/SER_summary!X$27)</f>
        <v>21.918277586152552</v>
      </c>
      <c r="Y17" s="132">
        <f>IF(SER_hh_tesh_in!Y17=0,0,SER_hh_tesh_in!Y17/SER_summary!Y$27)</f>
        <v>23.131352038132306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22.181545615605057</v>
      </c>
      <c r="D18" s="132">
        <f>IF(SER_hh_tesh_in!D18=0,0,SER_hh_tesh_in!D18/SER_summary!D$27)</f>
        <v>22.158736768230515</v>
      </c>
      <c r="E18" s="132">
        <f>IF(SER_hh_tesh_in!E18=0,0,SER_hh_tesh_in!E18/SER_summary!E$27)</f>
        <v>24.592420076972349</v>
      </c>
      <c r="F18" s="132">
        <f>IF(SER_hh_tesh_in!F18=0,0,SER_hh_tesh_in!F18/SER_summary!F$27)</f>
        <v>21.684599093771915</v>
      </c>
      <c r="G18" s="132">
        <f>IF(SER_hh_tesh_in!G18=0,0,SER_hh_tesh_in!G18/SER_summary!G$27)</f>
        <v>21.758375489506808</v>
      </c>
      <c r="H18" s="132">
        <f>IF(SER_hh_tesh_in!H18=0,0,SER_hh_tesh_in!H18/SER_summary!H$27)</f>
        <v>22.700575982714849</v>
      </c>
      <c r="I18" s="132">
        <f>IF(SER_hh_tesh_in!I18=0,0,SER_hh_tesh_in!I18/SER_summary!I$27)</f>
        <v>22.500794704547985</v>
      </c>
      <c r="J18" s="132">
        <f>IF(SER_hh_tesh_in!J18=0,0,SER_hh_tesh_in!J18/SER_summary!J$27)</f>
        <v>21.659821771100653</v>
      </c>
      <c r="K18" s="132">
        <f>IF(SER_hh_tesh_in!K18=0,0,SER_hh_tesh_in!K18/SER_summary!K$27)</f>
        <v>21.647454067727924</v>
      </c>
      <c r="L18" s="132">
        <f>IF(SER_hh_tesh_in!L18=0,0,SER_hh_tesh_in!L18/SER_summary!L$27)</f>
        <v>22.234407689068437</v>
      </c>
      <c r="M18" s="132">
        <f>IF(SER_hh_tesh_in!M18=0,0,SER_hh_tesh_in!M18/SER_summary!M$27)</f>
        <v>21.65064404248098</v>
      </c>
      <c r="N18" s="132">
        <f>IF(SER_hh_tesh_in!N18=0,0,SER_hh_tesh_in!N18/SER_summary!N$27)</f>
        <v>22.314728732286873</v>
      </c>
      <c r="O18" s="132">
        <f>IF(SER_hh_tesh_in!O18=0,0,SER_hh_tesh_in!O18/SER_summary!O$27)</f>
        <v>23.575689961671131</v>
      </c>
      <c r="P18" s="132">
        <f>IF(SER_hh_tesh_in!P18=0,0,SER_hh_tesh_in!P18/SER_summary!P$27)</f>
        <v>20.690754062983697</v>
      </c>
      <c r="Q18" s="132">
        <f>IF(SER_hh_tesh_in!Q18=0,0,SER_hh_tesh_in!Q18/SER_summary!Q$27)</f>
        <v>24.059478252835213</v>
      </c>
      <c r="R18" s="132">
        <f>IF(SER_hh_tesh_in!R18=0,0,SER_hh_tesh_in!R18/SER_summary!R$27)</f>
        <v>20.808293467007065</v>
      </c>
      <c r="S18" s="132">
        <f>IF(SER_hh_tesh_in!S18=0,0,SER_hh_tesh_in!S18/SER_summary!S$27)</f>
        <v>22.237342668413504</v>
      </c>
      <c r="T18" s="132">
        <f>IF(SER_hh_tesh_in!T18=0,0,SER_hh_tesh_in!T18/SER_summary!T$27)</f>
        <v>21.856024495587771</v>
      </c>
      <c r="U18" s="132">
        <f>IF(SER_hh_tesh_in!U18=0,0,SER_hh_tesh_in!U18/SER_summary!U$27)</f>
        <v>22.371491904826478</v>
      </c>
      <c r="V18" s="132">
        <f>IF(SER_hh_tesh_in!V18=0,0,SER_hh_tesh_in!V18/SER_summary!V$27)</f>
        <v>20.366959509142305</v>
      </c>
      <c r="W18" s="132">
        <f>IF(SER_hh_tesh_in!W18=0,0,SER_hh_tesh_in!W18/SER_summary!W$27)</f>
        <v>20.736314910739466</v>
      </c>
      <c r="X18" s="132">
        <f>IF(SER_hh_tesh_in!X18=0,0,SER_hh_tesh_in!X18/SER_summary!X$27)</f>
        <v>21.825679904684691</v>
      </c>
      <c r="Y18" s="132">
        <f>IF(SER_hh_tesh_in!Y18=0,0,SER_hh_tesh_in!Y18/SER_summary!Y$27)</f>
        <v>23.067473701623708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15.429278840853211</v>
      </c>
      <c r="D19" s="130">
        <f>IF(SER_hh_tesh_in!D19=0,0,SER_hh_tesh_in!D19/SER_summary!D$27)</f>
        <v>15.344690588768865</v>
      </c>
      <c r="E19" s="130">
        <f>IF(SER_hh_tesh_in!E19=0,0,SER_hh_tesh_in!E19/SER_summary!E$27)</f>
        <v>15.47672614752504</v>
      </c>
      <c r="F19" s="130">
        <f>IF(SER_hh_tesh_in!F19=0,0,SER_hh_tesh_in!F19/SER_summary!F$27)</f>
        <v>15.282291525706434</v>
      </c>
      <c r="G19" s="130">
        <f>IF(SER_hh_tesh_in!G19=0,0,SER_hh_tesh_in!G19/SER_summary!G$27)</f>
        <v>15.710483912631888</v>
      </c>
      <c r="H19" s="130">
        <f>IF(SER_hh_tesh_in!H19=0,0,SER_hh_tesh_in!H19/SER_summary!H$27)</f>
        <v>15.610972358292639</v>
      </c>
      <c r="I19" s="130">
        <f>IF(SER_hh_tesh_in!I19=0,0,SER_hh_tesh_in!I19/SER_summary!I$27)</f>
        <v>16.231137854977749</v>
      </c>
      <c r="J19" s="130">
        <f>IF(SER_hh_tesh_in!J19=0,0,SER_hh_tesh_in!J19/SER_summary!J$27)</f>
        <v>16.939905491070597</v>
      </c>
      <c r="K19" s="130">
        <f>IF(SER_hh_tesh_in!K19=0,0,SER_hh_tesh_in!K19/SER_summary!K$27)</f>
        <v>16.528838924062914</v>
      </c>
      <c r="L19" s="130">
        <f>IF(SER_hh_tesh_in!L19=0,0,SER_hh_tesh_in!L19/SER_summary!L$27)</f>
        <v>18.715266980521335</v>
      </c>
      <c r="M19" s="130">
        <f>IF(SER_hh_tesh_in!M19=0,0,SER_hh_tesh_in!M19/SER_summary!M$27)</f>
        <v>19.879794527239238</v>
      </c>
      <c r="N19" s="130">
        <f>IF(SER_hh_tesh_in!N19=0,0,SER_hh_tesh_in!N19/SER_summary!N$27)</f>
        <v>18.67831634128952</v>
      </c>
      <c r="O19" s="130">
        <f>IF(SER_hh_tesh_in!O19=0,0,SER_hh_tesh_in!O19/SER_summary!O$27)</f>
        <v>15.212648016415203</v>
      </c>
      <c r="P19" s="130">
        <f>IF(SER_hh_tesh_in!P19=0,0,SER_hh_tesh_in!P19/SER_summary!P$27)</f>
        <v>20.03316019444344</v>
      </c>
      <c r="Q19" s="130">
        <f>IF(SER_hh_tesh_in!Q19=0,0,SER_hh_tesh_in!Q19/SER_summary!Q$27)</f>
        <v>15.173723481324881</v>
      </c>
      <c r="R19" s="130">
        <f>IF(SER_hh_tesh_in!R19=0,0,SER_hh_tesh_in!R19/SER_summary!R$27)</f>
        <v>15.286020400895286</v>
      </c>
      <c r="S19" s="130">
        <f>IF(SER_hh_tesh_in!S19=0,0,SER_hh_tesh_in!S19/SER_summary!S$27)</f>
        <v>19.302612636511725</v>
      </c>
      <c r="T19" s="130">
        <f>IF(SER_hh_tesh_in!T19=0,0,SER_hh_tesh_in!T19/SER_summary!T$27)</f>
        <v>18.52272337647155</v>
      </c>
      <c r="U19" s="130">
        <f>IF(SER_hh_tesh_in!U19=0,0,SER_hh_tesh_in!U19/SER_summary!U$27)</f>
        <v>17.927068484241829</v>
      </c>
      <c r="V19" s="130">
        <f>IF(SER_hh_tesh_in!V19=0,0,SER_hh_tesh_in!V19/SER_summary!V$27)</f>
        <v>16.767560192354924</v>
      </c>
      <c r="W19" s="130">
        <f>IF(SER_hh_tesh_in!W19=0,0,SER_hh_tesh_in!W19/SER_summary!W$27)</f>
        <v>14.392170633973249</v>
      </c>
      <c r="X19" s="130">
        <f>IF(SER_hh_tesh_in!X19=0,0,SER_hh_tesh_in!X19/SER_summary!X$27)</f>
        <v>16.710865875353861</v>
      </c>
      <c r="Y19" s="130">
        <f>IF(SER_hh_tesh_in!Y19=0,0,SER_hh_tesh_in!Y19/SER_summary!Y$27)</f>
        <v>15.448466649222507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6.7849672283522775</v>
      </c>
      <c r="D21" s="132">
        <f>IF(SER_hh_tesh_in!D21=0,0,SER_hh_tesh_in!D21/SER_summary!D$27)</f>
        <v>13.951891823351906</v>
      </c>
      <c r="E21" s="132">
        <f>IF(SER_hh_tesh_in!E21=0,0,SER_hh_tesh_in!E21/SER_summary!E$27)</f>
        <v>11.266291190986358</v>
      </c>
      <c r="F21" s="132">
        <f>IF(SER_hh_tesh_in!F21=0,0,SER_hh_tesh_in!F21/SER_summary!F$27)</f>
        <v>14.49431873350024</v>
      </c>
      <c r="G21" s="132">
        <f>IF(SER_hh_tesh_in!G21=0,0,SER_hh_tesh_in!G21/SER_summary!G$27)</f>
        <v>16.366084823015996</v>
      </c>
      <c r="H21" s="132">
        <f>IF(SER_hh_tesh_in!H21=0,0,SER_hh_tesh_in!H21/SER_summary!H$27)</f>
        <v>16.339582492635287</v>
      </c>
      <c r="I21" s="132">
        <f>IF(SER_hh_tesh_in!I21=0,0,SER_hh_tesh_in!I21/SER_summary!I$27)</f>
        <v>13.124010621905132</v>
      </c>
      <c r="J21" s="132">
        <f>IF(SER_hh_tesh_in!J21=0,0,SER_hh_tesh_in!J21/SER_summary!J$27)</f>
        <v>0</v>
      </c>
      <c r="K21" s="132">
        <f>IF(SER_hh_tesh_in!K21=0,0,SER_hh_tesh_in!K21/SER_summary!K$27)</f>
        <v>17.385744460114807</v>
      </c>
      <c r="L21" s="132">
        <f>IF(SER_hh_tesh_in!L21=0,0,SER_hh_tesh_in!L21/SER_summary!L$27)</f>
        <v>0</v>
      </c>
      <c r="M21" s="132">
        <f>IF(SER_hh_tesh_in!M21=0,0,SER_hh_tesh_in!M21/SER_summary!M$27)</f>
        <v>0</v>
      </c>
      <c r="N21" s="132">
        <f>IF(SER_hh_tesh_in!N21=0,0,SER_hh_tesh_in!N21/SER_summary!N$27)</f>
        <v>0</v>
      </c>
      <c r="O21" s="132">
        <f>IF(SER_hh_tesh_in!O21=0,0,SER_hh_tesh_in!O21/SER_summary!O$27)</f>
        <v>0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0</v>
      </c>
      <c r="S21" s="132">
        <f>IF(SER_hh_tesh_in!S21=0,0,SER_hh_tesh_in!S21/SER_summary!S$27)</f>
        <v>0</v>
      </c>
      <c r="T21" s="132">
        <f>IF(SER_hh_tesh_in!T21=0,0,SER_hh_tesh_in!T21/SER_summary!T$27)</f>
        <v>0</v>
      </c>
      <c r="U21" s="132">
        <f>IF(SER_hh_tesh_in!U21=0,0,SER_hh_tesh_in!U21/SER_summary!U$27)</f>
        <v>0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0</v>
      </c>
      <c r="Y21" s="132">
        <f>IF(SER_hh_tesh_in!Y21=0,0,SER_hh_tesh_in!Y21/SER_summary!Y$27)</f>
        <v>0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8.6913825099381761</v>
      </c>
      <c r="D22" s="132">
        <f>IF(SER_hh_tesh_in!D22=0,0,SER_hh_tesh_in!D22/SER_summary!D$27)</f>
        <v>13.783267426400188</v>
      </c>
      <c r="E22" s="132">
        <f>IF(SER_hh_tesh_in!E22=0,0,SER_hh_tesh_in!E22/SER_summary!E$27)</f>
        <v>7.017951590147625</v>
      </c>
      <c r="F22" s="132">
        <f>IF(SER_hh_tesh_in!F22=0,0,SER_hh_tesh_in!F22/SER_summary!F$27)</f>
        <v>14.157051311117796</v>
      </c>
      <c r="G22" s="132">
        <f>IF(SER_hh_tesh_in!G22=0,0,SER_hh_tesh_in!G22/SER_summary!G$27)</f>
        <v>16.068494413081865</v>
      </c>
      <c r="H22" s="132">
        <f>IF(SER_hh_tesh_in!H22=0,0,SER_hh_tesh_in!H22/SER_summary!H$27)</f>
        <v>15.844525056562128</v>
      </c>
      <c r="I22" s="132">
        <f>IF(SER_hh_tesh_in!I22=0,0,SER_hh_tesh_in!I22/SER_summary!I$27)</f>
        <v>12.661008099147599</v>
      </c>
      <c r="J22" s="132">
        <f>IF(SER_hh_tesh_in!J22=0,0,SER_hh_tesh_in!J22/SER_summary!J$27)</f>
        <v>7.6446294106934776</v>
      </c>
      <c r="K22" s="132">
        <f>IF(SER_hh_tesh_in!K22=0,0,SER_hh_tesh_in!K22/SER_summary!K$27)</f>
        <v>16.499129816331813</v>
      </c>
      <c r="L22" s="132">
        <f>IF(SER_hh_tesh_in!L22=0,0,SER_hh_tesh_in!L22/SER_summary!L$27)</f>
        <v>4.6616800576900781</v>
      </c>
      <c r="M22" s="132">
        <f>IF(SER_hh_tesh_in!M22=0,0,SER_hh_tesh_in!M22/SER_summary!M$27)</f>
        <v>6.6795716671127119</v>
      </c>
      <c r="N22" s="132">
        <f>IF(SER_hh_tesh_in!N22=0,0,SER_hh_tesh_in!N22/SER_summary!N$27)</f>
        <v>8.1525320093353262</v>
      </c>
      <c r="O22" s="132">
        <f>IF(SER_hh_tesh_in!O22=0,0,SER_hh_tesh_in!O22/SER_summary!O$27)</f>
        <v>17.287756638803383</v>
      </c>
      <c r="P22" s="132">
        <f>IF(SER_hh_tesh_in!P22=0,0,SER_hh_tesh_in!P22/SER_summary!P$27)</f>
        <v>0</v>
      </c>
      <c r="Q22" s="132">
        <f>IF(SER_hh_tesh_in!Q22=0,0,SER_hh_tesh_in!Q22/SER_summary!Q$27)</f>
        <v>17.107887472284343</v>
      </c>
      <c r="R22" s="132">
        <f>IF(SER_hh_tesh_in!R22=0,0,SER_hh_tesh_in!R22/SER_summary!R$27)</f>
        <v>16.938398355869055</v>
      </c>
      <c r="S22" s="132">
        <f>IF(SER_hh_tesh_in!S22=0,0,SER_hh_tesh_in!S22/SER_summary!S$27)</f>
        <v>11.305260955105302</v>
      </c>
      <c r="T22" s="132">
        <f>IF(SER_hh_tesh_in!T22=0,0,SER_hh_tesh_in!T22/SER_summary!T$27)</f>
        <v>9.7830142679508612</v>
      </c>
      <c r="U22" s="132">
        <f>IF(SER_hh_tesh_in!U22=0,0,SER_hh_tesh_in!U22/SER_summary!U$27)</f>
        <v>17.063184586564894</v>
      </c>
      <c r="V22" s="132">
        <f>IF(SER_hh_tesh_in!V22=0,0,SER_hh_tesh_in!V22/SER_summary!V$27)</f>
        <v>11.439218550314381</v>
      </c>
      <c r="W22" s="132">
        <f>IF(SER_hh_tesh_in!W22=0,0,SER_hh_tesh_in!W22/SER_summary!W$27)</f>
        <v>15.739466561722782</v>
      </c>
      <c r="X22" s="132">
        <f>IF(SER_hh_tesh_in!X22=0,0,SER_hh_tesh_in!X22/SER_summary!X$27)</f>
        <v>9.9211850612886909</v>
      </c>
      <c r="Y22" s="132">
        <f>IF(SER_hh_tesh_in!Y22=0,0,SER_hh_tesh_in!Y22/SER_summary!Y$27)</f>
        <v>16.770596159488665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8.4122252770410508</v>
      </c>
      <c r="D23" s="132">
        <f>IF(SER_hh_tesh_in!D23=0,0,SER_hh_tesh_in!D23/SER_summary!D$27)</f>
        <v>13.839681709082907</v>
      </c>
      <c r="E23" s="132">
        <f>IF(SER_hh_tesh_in!E23=0,0,SER_hh_tesh_in!E23/SER_summary!E$27)</f>
        <v>8.3556645593596279</v>
      </c>
      <c r="F23" s="132">
        <f>IF(SER_hh_tesh_in!F23=0,0,SER_hh_tesh_in!F23/SER_summary!F$27)</f>
        <v>14.08432166568377</v>
      </c>
      <c r="G23" s="132">
        <f>IF(SER_hh_tesh_in!G23=0,0,SER_hh_tesh_in!G23/SER_summary!G$27)</f>
        <v>16.088159965329076</v>
      </c>
      <c r="H23" s="132">
        <f>IF(SER_hh_tesh_in!H23=0,0,SER_hh_tesh_in!H23/SER_summary!H$27)</f>
        <v>16.047127300478355</v>
      </c>
      <c r="I23" s="132">
        <f>IF(SER_hh_tesh_in!I23=0,0,SER_hh_tesh_in!I23/SER_summary!I$27)</f>
        <v>12.758805527130543</v>
      </c>
      <c r="J23" s="132">
        <f>IF(SER_hh_tesh_in!J23=0,0,SER_hh_tesh_in!J23/SER_summary!J$27)</f>
        <v>9.0108003771717513</v>
      </c>
      <c r="K23" s="132">
        <f>IF(SER_hh_tesh_in!K23=0,0,SER_hh_tesh_in!K23/SER_summary!K$27)</f>
        <v>16.271065896910049</v>
      </c>
      <c r="L23" s="132">
        <f>IF(SER_hh_tesh_in!L23=0,0,SER_hh_tesh_in!L23/SER_summary!L$27)</f>
        <v>7.0216321796533254</v>
      </c>
      <c r="M23" s="132">
        <f>IF(SER_hh_tesh_in!M23=0,0,SER_hh_tesh_in!M23/SER_summary!M$27)</f>
        <v>8.5203063835635469</v>
      </c>
      <c r="N23" s="132">
        <f>IF(SER_hh_tesh_in!N23=0,0,SER_hh_tesh_in!N23/SER_summary!N$27)</f>
        <v>9.9776734609585418</v>
      </c>
      <c r="O23" s="132">
        <f>IF(SER_hh_tesh_in!O23=0,0,SER_hh_tesh_in!O23/SER_summary!O$27)</f>
        <v>17.829705920094021</v>
      </c>
      <c r="P23" s="132">
        <f>IF(SER_hh_tesh_in!P23=0,0,SER_hh_tesh_in!P23/SER_summary!P$27)</f>
        <v>11.801793262605962</v>
      </c>
      <c r="Q23" s="132">
        <f>IF(SER_hh_tesh_in!Q23=0,0,SER_hh_tesh_in!Q23/SER_summary!Q$27)</f>
        <v>17.87915727421688</v>
      </c>
      <c r="R23" s="132">
        <f>IF(SER_hh_tesh_in!R23=0,0,SER_hh_tesh_in!R23/SER_summary!R$27)</f>
        <v>17.482980906056568</v>
      </c>
      <c r="S23" s="132">
        <f>IF(SER_hh_tesh_in!S23=0,0,SER_hh_tesh_in!S23/SER_summary!S$27)</f>
        <v>11.295380355931293</v>
      </c>
      <c r="T23" s="132">
        <f>IF(SER_hh_tesh_in!T23=0,0,SER_hh_tesh_in!T23/SER_summary!T$27)</f>
        <v>9.7283590141544849</v>
      </c>
      <c r="U23" s="132">
        <f>IF(SER_hh_tesh_in!U23=0,0,SER_hh_tesh_in!U23/SER_summary!U$27)</f>
        <v>16.836733642423717</v>
      </c>
      <c r="V23" s="132">
        <f>IF(SER_hh_tesh_in!V23=0,0,SER_hh_tesh_in!V23/SER_summary!V$27)</f>
        <v>11.538846502714859</v>
      </c>
      <c r="W23" s="132">
        <f>IF(SER_hh_tesh_in!W23=0,0,SER_hh_tesh_in!W23/SER_summary!W$27)</f>
        <v>15.464382050540729</v>
      </c>
      <c r="X23" s="132">
        <f>IF(SER_hh_tesh_in!X23=0,0,SER_hh_tesh_in!X23/SER_summary!X$27)</f>
        <v>10.175799531625318</v>
      </c>
      <c r="Y23" s="132">
        <f>IF(SER_hh_tesh_in!Y23=0,0,SER_hh_tesh_in!Y23/SER_summary!Y$27)</f>
        <v>16.831406400985433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8.5038074121994036</v>
      </c>
      <c r="D24" s="132">
        <f>IF(SER_hh_tesh_in!D24=0,0,SER_hh_tesh_in!D24/SER_summary!D$27)</f>
        <v>13.831083740991122</v>
      </c>
      <c r="E24" s="132">
        <f>IF(SER_hh_tesh_in!E24=0,0,SER_hh_tesh_in!E24/SER_summary!E$27)</f>
        <v>7.3265971309453022</v>
      </c>
      <c r="F24" s="132">
        <f>IF(SER_hh_tesh_in!F24=0,0,SER_hh_tesh_in!F24/SER_summary!F$27)</f>
        <v>14.05974578339408</v>
      </c>
      <c r="G24" s="132">
        <f>IF(SER_hh_tesh_in!G24=0,0,SER_hh_tesh_in!G24/SER_summary!G$27)</f>
        <v>16.055942912429941</v>
      </c>
      <c r="H24" s="132">
        <f>IF(SER_hh_tesh_in!H24=0,0,SER_hh_tesh_in!H24/SER_summary!H$27)</f>
        <v>16.087913469717478</v>
      </c>
      <c r="I24" s="132">
        <f>IF(SER_hh_tesh_in!I24=0,0,SER_hh_tesh_in!I24/SER_summary!I$27)</f>
        <v>12.659752132800298</v>
      </c>
      <c r="J24" s="132">
        <f>IF(SER_hh_tesh_in!J24=0,0,SER_hh_tesh_in!J24/SER_summary!J$27)</f>
        <v>8.9455105698959922</v>
      </c>
      <c r="K24" s="132">
        <f>IF(SER_hh_tesh_in!K24=0,0,SER_hh_tesh_in!K24/SER_summary!K$27)</f>
        <v>16.222909240836135</v>
      </c>
      <c r="L24" s="132">
        <f>IF(SER_hh_tesh_in!L24=0,0,SER_hh_tesh_in!L24/SER_summary!L$27)</f>
        <v>7.2169042159221357</v>
      </c>
      <c r="M24" s="132">
        <f>IF(SER_hh_tesh_in!M24=0,0,SER_hh_tesh_in!M24/SER_summary!M$27)</f>
        <v>8.8610557469880114</v>
      </c>
      <c r="N24" s="132">
        <f>IF(SER_hh_tesh_in!N24=0,0,SER_hh_tesh_in!N24/SER_summary!N$27)</f>
        <v>10.299023794498142</v>
      </c>
      <c r="O24" s="132">
        <f>IF(SER_hh_tesh_in!O24=0,0,SER_hh_tesh_in!O24/SER_summary!O$27)</f>
        <v>17.816246121275263</v>
      </c>
      <c r="P24" s="132">
        <f>IF(SER_hh_tesh_in!P24=0,0,SER_hh_tesh_in!P24/SER_summary!P$27)</f>
        <v>12.116500780660957</v>
      </c>
      <c r="Q24" s="132">
        <f>IF(SER_hh_tesh_in!Q24=0,0,SER_hh_tesh_in!Q24/SER_summary!Q$27)</f>
        <v>18.007525141702704</v>
      </c>
      <c r="R24" s="132">
        <f>IF(SER_hh_tesh_in!R24=0,0,SER_hh_tesh_in!R24/SER_summary!R$27)</f>
        <v>17.441647125663529</v>
      </c>
      <c r="S24" s="132">
        <f>IF(SER_hh_tesh_in!S24=0,0,SER_hh_tesh_in!S24/SER_summary!S$27)</f>
        <v>11.449163402567613</v>
      </c>
      <c r="T24" s="132">
        <f>IF(SER_hh_tesh_in!T24=0,0,SER_hh_tesh_in!T24/SER_summary!T$27)</f>
        <v>9.8442405025809023</v>
      </c>
      <c r="U24" s="132">
        <f>IF(SER_hh_tesh_in!U24=0,0,SER_hh_tesh_in!U24/SER_summary!U$27)</f>
        <v>17.246129825710227</v>
      </c>
      <c r="V24" s="132">
        <f>IF(SER_hh_tesh_in!V24=0,0,SER_hh_tesh_in!V24/SER_summary!V$27)</f>
        <v>11.614240883482017</v>
      </c>
      <c r="W24" s="132">
        <f>IF(SER_hh_tesh_in!W24=0,0,SER_hh_tesh_in!W24/SER_summary!W$27)</f>
        <v>15.467132084745259</v>
      </c>
      <c r="X24" s="132">
        <f>IF(SER_hh_tesh_in!X24=0,0,SER_hh_tesh_in!X24/SER_summary!X$27)</f>
        <v>10.189358021245692</v>
      </c>
      <c r="Y24" s="132">
        <f>IF(SER_hh_tesh_in!Y24=0,0,SER_hh_tesh_in!Y24/SER_summary!Y$27)</f>
        <v>16.757276585616939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8.6006202255552928</v>
      </c>
      <c r="D25" s="132">
        <f>IF(SER_hh_tesh_in!D25=0,0,SER_hh_tesh_in!D25/SER_summary!D$27)</f>
        <v>13.977227369456134</v>
      </c>
      <c r="E25" s="132">
        <f>IF(SER_hh_tesh_in!E25=0,0,SER_hh_tesh_in!E25/SER_summary!E$27)</f>
        <v>7.0288163575412517</v>
      </c>
      <c r="F25" s="132">
        <f>IF(SER_hh_tesh_in!F25=0,0,SER_hh_tesh_in!F25/SER_summary!F$27)</f>
        <v>13.654690069402829</v>
      </c>
      <c r="G25" s="132">
        <f>IF(SER_hh_tesh_in!G25=0,0,SER_hh_tesh_in!G25/SER_summary!G$27)</f>
        <v>15.04196854095394</v>
      </c>
      <c r="H25" s="132">
        <f>IF(SER_hh_tesh_in!H25=0,0,SER_hh_tesh_in!H25/SER_summary!H$27)</f>
        <v>15.609417062733218</v>
      </c>
      <c r="I25" s="132">
        <f>IF(SER_hh_tesh_in!I25=0,0,SER_hh_tesh_in!I25/SER_summary!I$27)</f>
        <v>12.935039738416055</v>
      </c>
      <c r="J25" s="132">
        <f>IF(SER_hh_tesh_in!J25=0,0,SER_hh_tesh_in!J25/SER_summary!J$27)</f>
        <v>9.8246008920315049</v>
      </c>
      <c r="K25" s="132">
        <f>IF(SER_hh_tesh_in!K25=0,0,SER_hh_tesh_in!K25/SER_summary!K$27)</f>
        <v>16.579852282998523</v>
      </c>
      <c r="L25" s="132">
        <f>IF(SER_hh_tesh_in!L25=0,0,SER_hh_tesh_in!L25/SER_summary!L$27)</f>
        <v>7.9574439651536117</v>
      </c>
      <c r="M25" s="132">
        <f>IF(SER_hh_tesh_in!M25=0,0,SER_hh_tesh_in!M25/SER_summary!M$27)</f>
        <v>9.0797820208536244</v>
      </c>
      <c r="N25" s="132">
        <f>IF(SER_hh_tesh_in!N25=0,0,SER_hh_tesh_in!N25/SER_summary!N$27)</f>
        <v>10.240077765090748</v>
      </c>
      <c r="O25" s="132">
        <f>IF(SER_hh_tesh_in!O25=0,0,SER_hh_tesh_in!O25/SER_summary!O$27)</f>
        <v>17.737860941087781</v>
      </c>
      <c r="P25" s="132">
        <f>IF(SER_hh_tesh_in!P25=0,0,SER_hh_tesh_in!P25/SER_summary!P$27)</f>
        <v>12.089421963417028</v>
      </c>
      <c r="Q25" s="132">
        <f>IF(SER_hh_tesh_in!Q25=0,0,SER_hh_tesh_in!Q25/SER_summary!Q$27)</f>
        <v>18.015306827123265</v>
      </c>
      <c r="R25" s="132">
        <f>IF(SER_hh_tesh_in!R25=0,0,SER_hh_tesh_in!R25/SER_summary!R$27)</f>
        <v>17.52760507273554</v>
      </c>
      <c r="S25" s="132">
        <f>IF(SER_hh_tesh_in!S25=0,0,SER_hh_tesh_in!S25/SER_summary!S$27)</f>
        <v>11.280011020071569</v>
      </c>
      <c r="T25" s="132">
        <f>IF(SER_hh_tesh_in!T25=0,0,SER_hh_tesh_in!T25/SER_summary!T$27)</f>
        <v>9.7031266397970661</v>
      </c>
      <c r="U25" s="132">
        <f>IF(SER_hh_tesh_in!U25=0,0,SER_hh_tesh_in!U25/SER_summary!U$27)</f>
        <v>17.264137372175405</v>
      </c>
      <c r="V25" s="132">
        <f>IF(SER_hh_tesh_in!V25=0,0,SER_hh_tesh_in!V25/SER_summary!V$27)</f>
        <v>12.455826560566475</v>
      </c>
      <c r="W25" s="132">
        <f>IF(SER_hh_tesh_in!W25=0,0,SER_hh_tesh_in!W25/SER_summary!W$27)</f>
        <v>16.86695745083065</v>
      </c>
      <c r="X25" s="132">
        <f>IF(SER_hh_tesh_in!X25=0,0,SER_hh_tesh_in!X25/SER_summary!X$27)</f>
        <v>10.169677338430203</v>
      </c>
      <c r="Y25" s="132">
        <f>IF(SER_hh_tesh_in!Y25=0,0,SER_hh_tesh_in!Y25/SER_summary!Y$27)</f>
        <v>16.14233052002006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5.4572187856977852</v>
      </c>
      <c r="D26" s="65">
        <f>IF(SER_hh_tesh_in!D26=0,0,SER_hh_tesh_in!D26/SER_summary!D$27)</f>
        <v>5.1404903701348559</v>
      </c>
      <c r="E26" s="65">
        <f>IF(SER_hh_tesh_in!E26=0,0,SER_hh_tesh_in!E26/SER_summary!E$27)</f>
        <v>4.4801967443745099</v>
      </c>
      <c r="F26" s="65">
        <f>IF(SER_hh_tesh_in!F26=0,0,SER_hh_tesh_in!F26/SER_summary!F$27)</f>
        <v>4.0943786729380189</v>
      </c>
      <c r="G26" s="65">
        <f>IF(SER_hh_tesh_in!G26=0,0,SER_hh_tesh_in!G26/SER_summary!G$27)</f>
        <v>15.935039961018417</v>
      </c>
      <c r="H26" s="65">
        <f>IF(SER_hh_tesh_in!H26=0,0,SER_hh_tesh_in!H26/SER_summary!H$27)</f>
        <v>15.414877738688688</v>
      </c>
      <c r="I26" s="65">
        <f>IF(SER_hh_tesh_in!I26=0,0,SER_hh_tesh_in!I26/SER_summary!I$27)</f>
        <v>2.4157377084211209</v>
      </c>
      <c r="J26" s="65">
        <f>IF(SER_hh_tesh_in!J26=0,0,SER_hh_tesh_in!J26/SER_summary!J$27)</f>
        <v>0.13545460034063955</v>
      </c>
      <c r="K26" s="65">
        <f>IF(SER_hh_tesh_in!K26=0,0,SER_hh_tesh_in!K26/SER_summary!K$27)</f>
        <v>16.467700297180414</v>
      </c>
      <c r="L26" s="65">
        <f>IF(SER_hh_tesh_in!L26=0,0,SER_hh_tesh_in!L26/SER_summary!L$27)</f>
        <v>9.1679701450843754E-2</v>
      </c>
      <c r="M26" s="65">
        <f>IF(SER_hh_tesh_in!M26=0,0,SER_hh_tesh_in!M26/SER_summary!M$27)</f>
        <v>9.1783734351809171E-2</v>
      </c>
      <c r="N26" s="65">
        <f>IF(SER_hh_tesh_in!N26=0,0,SER_hh_tesh_in!N26/SER_summary!N$27)</f>
        <v>0.10108801318003548</v>
      </c>
      <c r="O26" s="65">
        <f>IF(SER_hh_tesh_in!O26=0,0,SER_hh_tesh_in!O26/SER_summary!O$27)</f>
        <v>11.252487452579503</v>
      </c>
      <c r="P26" s="65">
        <f>IF(SER_hh_tesh_in!P26=0,0,SER_hh_tesh_in!P26/SER_summary!P$27)</f>
        <v>0.11410543120472368</v>
      </c>
      <c r="Q26" s="65">
        <f>IF(SER_hh_tesh_in!Q26=0,0,SER_hh_tesh_in!Q26/SER_summary!Q$27)</f>
        <v>11.746990408680277</v>
      </c>
      <c r="R26" s="65">
        <f>IF(SER_hh_tesh_in!R26=0,0,SER_hh_tesh_in!R26/SER_summary!R$27)</f>
        <v>12.515441023395875</v>
      </c>
      <c r="S26" s="65">
        <f>IF(SER_hh_tesh_in!S26=0,0,SER_hh_tesh_in!S26/SER_summary!S$27)</f>
        <v>0.12017642401917634</v>
      </c>
      <c r="T26" s="65">
        <f>IF(SER_hh_tesh_in!T26=0,0,SER_hh_tesh_in!T26/SER_summary!T$27)</f>
        <v>0.10324214131800327</v>
      </c>
      <c r="U26" s="65">
        <f>IF(SER_hh_tesh_in!U26=0,0,SER_hh_tesh_in!U26/SER_summary!U$27)</f>
        <v>0.10483777322388442</v>
      </c>
      <c r="V26" s="65">
        <f>IF(SER_hh_tesh_in!V26=0,0,SER_hh_tesh_in!V26/SER_summary!V$27)</f>
        <v>9.5816103267131414E-2</v>
      </c>
      <c r="W26" s="65">
        <f>IF(SER_hh_tesh_in!W26=0,0,SER_hh_tesh_in!W26/SER_summary!W$27)</f>
        <v>10.032641583660499</v>
      </c>
      <c r="X26" s="65">
        <f>IF(SER_hh_tesh_in!X26=0,0,SER_hh_tesh_in!X26/SER_summary!X$27)</f>
        <v>0.10081849337130748</v>
      </c>
      <c r="Y26" s="65">
        <f>IF(SER_hh_tesh_in!Y26=0,0,SER_hh_tesh_in!Y26/SER_summary!Y$27)</f>
        <v>12.076568700677285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8.1741060924073441</v>
      </c>
      <c r="D27" s="145">
        <f>IF(SER_hh_tesh_in!D27=0,0,SER_hh_tesh_in!D27/SER_summary!D$27)</f>
        <v>4.7065607979330668</v>
      </c>
      <c r="E27" s="145">
        <f>IF(SER_hh_tesh_in!E27=0,0,SER_hh_tesh_in!E27/SER_summary!E$27)</f>
        <v>8.8980677381095479</v>
      </c>
      <c r="F27" s="145">
        <f>IF(SER_hh_tesh_in!F27=0,0,SER_hh_tesh_in!F27/SER_summary!F$27)</f>
        <v>5.8520456781043659</v>
      </c>
      <c r="G27" s="145">
        <f>IF(SER_hh_tesh_in!G27=0,0,SER_hh_tesh_in!G27/SER_summary!G$27)</f>
        <v>2.2174514128613244E-14</v>
      </c>
      <c r="H27" s="145">
        <f>IF(SER_hh_tesh_in!H27=0,0,SER_hh_tesh_in!H27/SER_summary!H$27)</f>
        <v>0</v>
      </c>
      <c r="I27" s="145">
        <f>IF(SER_hh_tesh_in!I27=0,0,SER_hh_tesh_in!I27/SER_summary!I$27)</f>
        <v>5.031571671068086</v>
      </c>
      <c r="J27" s="145">
        <f>IF(SER_hh_tesh_in!J27=0,0,SER_hh_tesh_in!J27/SER_summary!J$27)</f>
        <v>7.8744966360327666</v>
      </c>
      <c r="K27" s="145">
        <f>IF(SER_hh_tesh_in!K27=0,0,SER_hh_tesh_in!K27/SER_summary!K$27)</f>
        <v>0</v>
      </c>
      <c r="L27" s="145">
        <f>IF(SER_hh_tesh_in!L27=0,0,SER_hh_tesh_in!L27/SER_summary!L$27)</f>
        <v>11.608944236177926</v>
      </c>
      <c r="M27" s="145">
        <f>IF(SER_hh_tesh_in!M27=0,0,SER_hh_tesh_in!M27/SER_summary!M$27)</f>
        <v>13.008535674037171</v>
      </c>
      <c r="N27" s="145">
        <f>IF(SER_hh_tesh_in!N27=0,0,SER_hh_tesh_in!N27/SER_summary!N$27)</f>
        <v>12.902705848294218</v>
      </c>
      <c r="O27" s="145">
        <f>IF(SER_hh_tesh_in!O27=0,0,SER_hh_tesh_in!O27/SER_summary!O$27)</f>
        <v>1.8226418942886679E-13</v>
      </c>
      <c r="P27" s="145">
        <f>IF(SER_hh_tesh_in!P27=0,0,SER_hh_tesh_in!P27/SER_summary!P$27)</f>
        <v>16.23961051009675</v>
      </c>
      <c r="Q27" s="145">
        <f>IF(SER_hh_tesh_in!Q27=0,0,SER_hh_tesh_in!Q27/SER_summary!Q$27)</f>
        <v>7.1437479086110241E-14</v>
      </c>
      <c r="R27" s="145">
        <f>IF(SER_hh_tesh_in!R27=0,0,SER_hh_tesh_in!R27/SER_summary!R$27)</f>
        <v>5.1216892676401115E-14</v>
      </c>
      <c r="S27" s="145">
        <f>IF(SER_hh_tesh_in!S27=0,0,SER_hh_tesh_in!S27/SER_summary!S$27)</f>
        <v>12.069541434726474</v>
      </c>
      <c r="T27" s="145">
        <f>IF(SER_hh_tesh_in!T27=0,0,SER_hh_tesh_in!T27/SER_summary!T$27)</f>
        <v>11.413944748285171</v>
      </c>
      <c r="U27" s="145">
        <f>IF(SER_hh_tesh_in!U27=0,0,SER_hh_tesh_in!U27/SER_summary!U$27)</f>
        <v>6.9225947669941394</v>
      </c>
      <c r="V27" s="145">
        <f>IF(SER_hh_tesh_in!V27=0,0,SER_hh_tesh_in!V27/SER_summary!V$27)</f>
        <v>10.041460911062821</v>
      </c>
      <c r="W27" s="145">
        <f>IF(SER_hh_tesh_in!W27=0,0,SER_hh_tesh_in!W27/SER_summary!W$27)</f>
        <v>0</v>
      </c>
      <c r="X27" s="145">
        <f>IF(SER_hh_tesh_in!X27=0,0,SER_hh_tesh_in!X27/SER_summary!X$27)</f>
        <v>8.6529896171662344</v>
      </c>
      <c r="Y27" s="145">
        <f>IF(SER_hh_tesh_in!Y27=0,0,SER_hh_tesh_in!Y27/SER_summary!Y$27)</f>
        <v>0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9.4911257872407191</v>
      </c>
      <c r="D28" s="146">
        <f>IF(SER_hh_tesh_in!D28=0,0,SER_hh_tesh_in!D28/SER_summary!D$27)</f>
        <v>9.6768792436153106</v>
      </c>
      <c r="E28" s="146">
        <f>IF(SER_hh_tesh_in!E28=0,0,SER_hh_tesh_in!E28/SER_summary!E$27)</f>
        <v>9.3847218953548008</v>
      </c>
      <c r="F28" s="146">
        <f>IF(SER_hh_tesh_in!F28=0,0,SER_hh_tesh_in!F28/SER_summary!F$27)</f>
        <v>9.992002238855541</v>
      </c>
      <c r="G28" s="146">
        <f>IF(SER_hh_tesh_in!G28=0,0,SER_hh_tesh_in!G28/SER_summary!G$27)</f>
        <v>11.109091915712476</v>
      </c>
      <c r="H28" s="146">
        <f>IF(SER_hh_tesh_in!H28=0,0,SER_hh_tesh_in!H28/SER_summary!H$27)</f>
        <v>0</v>
      </c>
      <c r="I28" s="146">
        <f>IF(SER_hh_tesh_in!I28=0,0,SER_hh_tesh_in!I28/SER_summary!I$27)</f>
        <v>9.8065248751083836</v>
      </c>
      <c r="J28" s="146">
        <f>IF(SER_hh_tesh_in!J28=0,0,SER_hh_tesh_in!J28/SER_summary!J$27)</f>
        <v>7.8744966360327657</v>
      </c>
      <c r="K28" s="146">
        <f>IF(SER_hh_tesh_in!K28=0,0,SER_hh_tesh_in!K28/SER_summary!K$27)</f>
        <v>0</v>
      </c>
      <c r="L28" s="146">
        <f>IF(SER_hh_tesh_in!L28=0,0,SER_hh_tesh_in!L28/SER_summary!L$27)</f>
        <v>11.608944236177926</v>
      </c>
      <c r="M28" s="146">
        <f>IF(SER_hh_tesh_in!M28=0,0,SER_hh_tesh_in!M28/SER_summary!M$27)</f>
        <v>13.008535674037173</v>
      </c>
      <c r="N28" s="146">
        <f>IF(SER_hh_tesh_in!N28=0,0,SER_hh_tesh_in!N28/SER_summary!N$27)</f>
        <v>12.902705848294223</v>
      </c>
      <c r="O28" s="146">
        <f>IF(SER_hh_tesh_in!O28=0,0,SER_hh_tesh_in!O28/SER_summary!O$27)</f>
        <v>23.209868824742056</v>
      </c>
      <c r="P28" s="146">
        <f>IF(SER_hh_tesh_in!P28=0,0,SER_hh_tesh_in!P28/SER_summary!P$27)</f>
        <v>17.346750687011969</v>
      </c>
      <c r="Q28" s="146">
        <f>IF(SER_hh_tesh_in!Q28=0,0,SER_hh_tesh_in!Q28/SER_summary!Q$27)</f>
        <v>23.722360883150497</v>
      </c>
      <c r="R28" s="146">
        <f>IF(SER_hh_tesh_in!R28=0,0,SER_hh_tesh_in!R28/SER_summary!R$27)</f>
        <v>25.266565134768427</v>
      </c>
      <c r="S28" s="146">
        <f>IF(SER_hh_tesh_in!S28=0,0,SER_hh_tesh_in!S28/SER_summary!S$27)</f>
        <v>13.792550169060082</v>
      </c>
      <c r="T28" s="146">
        <f>IF(SER_hh_tesh_in!T28=0,0,SER_hh_tesh_in!T28/SER_summary!T$27)</f>
        <v>11.413944748285171</v>
      </c>
      <c r="U28" s="146">
        <f>IF(SER_hh_tesh_in!U28=0,0,SER_hh_tesh_in!U28/SER_summary!U$27)</f>
        <v>18.675548752131636</v>
      </c>
      <c r="V28" s="146">
        <f>IF(SER_hh_tesh_in!V28=0,0,SER_hh_tesh_in!V28/SER_summary!V$27)</f>
        <v>12.889344707098125</v>
      </c>
      <c r="W28" s="146">
        <f>IF(SER_hh_tesh_in!W28=0,0,SER_hh_tesh_in!W28/SER_summary!W$27)</f>
        <v>0</v>
      </c>
      <c r="X28" s="146">
        <f>IF(SER_hh_tesh_in!X28=0,0,SER_hh_tesh_in!X28/SER_summary!X$27)</f>
        <v>9.3476717074699263</v>
      </c>
      <c r="Y28" s="146">
        <f>IF(SER_hh_tesh_in!Y28=0,0,SER_hh_tesh_in!Y28/SER_summary!Y$27)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12.114926973265543</v>
      </c>
      <c r="D29" s="130">
        <f>IF(SER_hh_tesh_in!D29=0,0,SER_hh_tesh_in!D29/SER_summary!D$27)</f>
        <v>13.867027176611094</v>
      </c>
      <c r="E29" s="130">
        <f>IF(SER_hh_tesh_in!E29=0,0,SER_hh_tesh_in!E29/SER_summary!E$27)</f>
        <v>14.117409051531343</v>
      </c>
      <c r="F29" s="130">
        <f>IF(SER_hh_tesh_in!F29=0,0,SER_hh_tesh_in!F29/SER_summary!F$27)</f>
        <v>13.34849758842218</v>
      </c>
      <c r="G29" s="130">
        <f>IF(SER_hh_tesh_in!G29=0,0,SER_hh_tesh_in!G29/SER_summary!G$27)</f>
        <v>13.605067081104972</v>
      </c>
      <c r="H29" s="130">
        <f>IF(SER_hh_tesh_in!H29=0,0,SER_hh_tesh_in!H29/SER_summary!H$27)</f>
        <v>13.210433040475163</v>
      </c>
      <c r="I29" s="130">
        <f>IF(SER_hh_tesh_in!I29=0,0,SER_hh_tesh_in!I29/SER_summary!I$27)</f>
        <v>13.51760435056627</v>
      </c>
      <c r="J29" s="130">
        <f>IF(SER_hh_tesh_in!J29=0,0,SER_hh_tesh_in!J29/SER_summary!J$27)</f>
        <v>13.708956085987598</v>
      </c>
      <c r="K29" s="130">
        <f>IF(SER_hh_tesh_in!K29=0,0,SER_hh_tesh_in!K29/SER_summary!K$27)</f>
        <v>13.684047676744033</v>
      </c>
      <c r="L29" s="130">
        <f>IF(SER_hh_tesh_in!L29=0,0,SER_hh_tesh_in!L29/SER_summary!L$27)</f>
        <v>13.594670518067655</v>
      </c>
      <c r="M29" s="130">
        <f>IF(SER_hh_tesh_in!M29=0,0,SER_hh_tesh_in!M29/SER_summary!M$27)</f>
        <v>13.060322133999936</v>
      </c>
      <c r="N29" s="130">
        <f>IF(SER_hh_tesh_in!N29=0,0,SER_hh_tesh_in!N29/SER_summary!N$27)</f>
        <v>14.698672201284955</v>
      </c>
      <c r="O29" s="130">
        <f>IF(SER_hh_tesh_in!O29=0,0,SER_hh_tesh_in!O29/SER_summary!O$27)</f>
        <v>14.081503071114666</v>
      </c>
      <c r="P29" s="130">
        <f>IF(SER_hh_tesh_in!P29=0,0,SER_hh_tesh_in!P29/SER_summary!P$27)</f>
        <v>14.000652512228424</v>
      </c>
      <c r="Q29" s="130">
        <f>IF(SER_hh_tesh_in!Q29=0,0,SER_hh_tesh_in!Q29/SER_summary!Q$27)</f>
        <v>13.943597138719145</v>
      </c>
      <c r="R29" s="130">
        <f>IF(SER_hh_tesh_in!R29=0,0,SER_hh_tesh_in!R29/SER_summary!R$27)</f>
        <v>13.942719972234043</v>
      </c>
      <c r="S29" s="130">
        <f>IF(SER_hh_tesh_in!S29=0,0,SER_hh_tesh_in!S29/SER_summary!S$27)</f>
        <v>14.068097569084406</v>
      </c>
      <c r="T29" s="130">
        <f>IF(SER_hh_tesh_in!T29=0,0,SER_hh_tesh_in!T29/SER_summary!T$27)</f>
        <v>13.882526453256908</v>
      </c>
      <c r="U29" s="130">
        <f>IF(SER_hh_tesh_in!U29=0,0,SER_hh_tesh_in!U29/SER_summary!U$27)</f>
        <v>13.85409207081595</v>
      </c>
      <c r="V29" s="130">
        <f>IF(SER_hh_tesh_in!V29=0,0,SER_hh_tesh_in!V29/SER_summary!V$27)</f>
        <v>13.255685702305938</v>
      </c>
      <c r="W29" s="130">
        <f>IF(SER_hh_tesh_in!W29=0,0,SER_hh_tesh_in!W29/SER_summary!W$27)</f>
        <v>13.745200965278874</v>
      </c>
      <c r="X29" s="130">
        <f>IF(SER_hh_tesh_in!X29=0,0,SER_hh_tesh_in!X29/SER_summary!X$27)</f>
        <v>13.726981876221281</v>
      </c>
      <c r="Y29" s="130">
        <f>IF(SER_hh_tesh_in!Y29=0,0,SER_hh_tesh_in!Y29/SER_summary!Y$27)</f>
        <v>13.887265335905354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7.1623787348368149</v>
      </c>
      <c r="D30" s="132">
        <f>IF(SER_hh_tesh_in!D30=0,0,SER_hh_tesh_in!D30/SER_summary!D$27)</f>
        <v>14.832995768608711</v>
      </c>
      <c r="E30" s="132">
        <f>IF(SER_hh_tesh_in!E30=0,0,SER_hh_tesh_in!E30/SER_summary!E$27)</f>
        <v>15.533969318202075</v>
      </c>
      <c r="F30" s="132">
        <f>IF(SER_hh_tesh_in!F30=0,0,SER_hh_tesh_in!F30/SER_summary!F$27)</f>
        <v>18.577368500614003</v>
      </c>
      <c r="G30" s="132">
        <f>IF(SER_hh_tesh_in!G30=0,0,SER_hh_tesh_in!G30/SER_summary!G$27)</f>
        <v>13.796314346211913</v>
      </c>
      <c r="H30" s="132">
        <f>IF(SER_hh_tesh_in!H30=0,0,SER_hh_tesh_in!H30/SER_summary!H$27)</f>
        <v>14.681783726201424</v>
      </c>
      <c r="I30" s="132">
        <f>IF(SER_hh_tesh_in!I30=0,0,SER_hh_tesh_in!I30/SER_summary!I$27)</f>
        <v>0</v>
      </c>
      <c r="J30" s="132">
        <f>IF(SER_hh_tesh_in!J30=0,0,SER_hh_tesh_in!J30/SER_summary!J$27)</f>
        <v>9.1687766563097686</v>
      </c>
      <c r="K30" s="132">
        <f>IF(SER_hh_tesh_in!K30=0,0,SER_hh_tesh_in!K30/SER_summary!K$27)</f>
        <v>11.464551732519428</v>
      </c>
      <c r="L30" s="132">
        <f>IF(SER_hh_tesh_in!L30=0,0,SER_hh_tesh_in!L30/SER_summary!L$27)</f>
        <v>19.112969417625216</v>
      </c>
      <c r="M30" s="132">
        <f>IF(SER_hh_tesh_in!M30=0,0,SER_hh_tesh_in!M30/SER_summary!M$27)</f>
        <v>0</v>
      </c>
      <c r="N30" s="132">
        <f>IF(SER_hh_tesh_in!N30=0,0,SER_hh_tesh_in!N30/SER_summary!N$27)</f>
        <v>0</v>
      </c>
      <c r="O30" s="132">
        <f>IF(SER_hh_tesh_in!O30=0,0,SER_hh_tesh_in!O30/SER_summary!O$27)</f>
        <v>0</v>
      </c>
      <c r="P30" s="132">
        <f>IF(SER_hh_tesh_in!P30=0,0,SER_hh_tesh_in!P30/SER_summary!P$27)</f>
        <v>0</v>
      </c>
      <c r="Q30" s="132">
        <f>IF(SER_hh_tesh_in!Q30=0,0,SER_hh_tesh_in!Q30/SER_summary!Q$27)</f>
        <v>12.747574041742105</v>
      </c>
      <c r="R30" s="132">
        <f>IF(SER_hh_tesh_in!R30=0,0,SER_hh_tesh_in!R30/SER_summary!R$27)</f>
        <v>9.3903171722450267</v>
      </c>
      <c r="S30" s="132">
        <f>IF(SER_hh_tesh_in!S30=0,0,SER_hh_tesh_in!S30/SER_summary!S$27)</f>
        <v>17.301680372073783</v>
      </c>
      <c r="T30" s="132">
        <f>IF(SER_hh_tesh_in!T30=0,0,SER_hh_tesh_in!T30/SER_summary!T$27)</f>
        <v>13.949574553617261</v>
      </c>
      <c r="U30" s="132">
        <f>IF(SER_hh_tesh_in!U30=0,0,SER_hh_tesh_in!U30/SER_summary!U$27)</f>
        <v>13.904403898099018</v>
      </c>
      <c r="V30" s="132">
        <f>IF(SER_hh_tesh_in!V30=0,0,SER_hh_tesh_in!V30/SER_summary!V$27)</f>
        <v>13.351957000280125</v>
      </c>
      <c r="W30" s="132">
        <f>IF(SER_hh_tesh_in!W30=0,0,SER_hh_tesh_in!W30/SER_summary!W$27)</f>
        <v>16.122283226693817</v>
      </c>
      <c r="X30" s="132">
        <f>IF(SER_hh_tesh_in!X30=0,0,SER_hh_tesh_in!X30/SER_summary!X$27)</f>
        <v>0</v>
      </c>
      <c r="Y30" s="132">
        <f>IF(SER_hh_tesh_in!Y30=0,0,SER_hh_tesh_in!Y30/SER_summary!Y$27)</f>
        <v>0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12.726699454390232</v>
      </c>
      <c r="D31" s="132">
        <f>IF(SER_hh_tesh_in!D31=0,0,SER_hh_tesh_in!D31/SER_summary!D$27)</f>
        <v>13.232778374391529</v>
      </c>
      <c r="E31" s="132">
        <f>IF(SER_hh_tesh_in!E31=0,0,SER_hh_tesh_in!E31/SER_summary!E$27)</f>
        <v>13.414074211097001</v>
      </c>
      <c r="F31" s="132">
        <f>IF(SER_hh_tesh_in!F31=0,0,SER_hh_tesh_in!F31/SER_summary!F$27)</f>
        <v>13.75122459616852</v>
      </c>
      <c r="G31" s="132">
        <f>IF(SER_hh_tesh_in!G31=0,0,SER_hh_tesh_in!G31/SER_summary!G$27)</f>
        <v>13.68701942402226</v>
      </c>
      <c r="H31" s="132">
        <f>IF(SER_hh_tesh_in!H31=0,0,SER_hh_tesh_in!H31/SER_summary!H$27)</f>
        <v>13.510666220159372</v>
      </c>
      <c r="I31" s="132">
        <f>IF(SER_hh_tesh_in!I31=0,0,SER_hh_tesh_in!I31/SER_summary!I$27)</f>
        <v>13.345691258399976</v>
      </c>
      <c r="J31" s="132">
        <f>IF(SER_hh_tesh_in!J31=0,0,SER_hh_tesh_in!J31/SER_summary!J$27)</f>
        <v>13.352602974395325</v>
      </c>
      <c r="K31" s="132">
        <f>IF(SER_hh_tesh_in!K31=0,0,SER_hh_tesh_in!K31/SER_summary!K$27)</f>
        <v>13.69107935358233</v>
      </c>
      <c r="L31" s="132">
        <f>IF(SER_hh_tesh_in!L31=0,0,SER_hh_tesh_in!L31/SER_summary!L$27)</f>
        <v>13.809800326801232</v>
      </c>
      <c r="M31" s="132">
        <f>IF(SER_hh_tesh_in!M31=0,0,SER_hh_tesh_in!M31/SER_summary!M$27)</f>
        <v>13.825703346883909</v>
      </c>
      <c r="N31" s="132">
        <f>IF(SER_hh_tesh_in!N31=0,0,SER_hh_tesh_in!N31/SER_summary!N$27)</f>
        <v>13.842211018149705</v>
      </c>
      <c r="O31" s="132">
        <f>IF(SER_hh_tesh_in!O31=0,0,SER_hh_tesh_in!O31/SER_summary!O$27)</f>
        <v>13.868001289929321</v>
      </c>
      <c r="P31" s="132">
        <f>IF(SER_hh_tesh_in!P31=0,0,SER_hh_tesh_in!P31/SER_summary!P$27)</f>
        <v>14.000097084014003</v>
      </c>
      <c r="Q31" s="132">
        <f>IF(SER_hh_tesh_in!Q31=0,0,SER_hh_tesh_in!Q31/SER_summary!Q$27)</f>
        <v>14.013585373185906</v>
      </c>
      <c r="R31" s="132">
        <f>IF(SER_hh_tesh_in!R31=0,0,SER_hh_tesh_in!R31/SER_summary!R$27)</f>
        <v>13.964504741688351</v>
      </c>
      <c r="S31" s="132">
        <f>IF(SER_hh_tesh_in!S31=0,0,SER_hh_tesh_in!S31/SER_summary!S$27)</f>
        <v>13.876091763007487</v>
      </c>
      <c r="T31" s="132">
        <f>IF(SER_hh_tesh_in!T31=0,0,SER_hh_tesh_in!T31/SER_summary!T$27)</f>
        <v>13.845775335969522</v>
      </c>
      <c r="U31" s="132">
        <f>IF(SER_hh_tesh_in!U31=0,0,SER_hh_tesh_in!U31/SER_summary!U$27)</f>
        <v>14.133043812233423</v>
      </c>
      <c r="V31" s="132">
        <f>IF(SER_hh_tesh_in!V31=0,0,SER_hh_tesh_in!V31/SER_summary!V$27)</f>
        <v>13.038194810696172</v>
      </c>
      <c r="W31" s="132">
        <f>IF(SER_hh_tesh_in!W31=0,0,SER_hh_tesh_in!W31/SER_summary!W$27)</f>
        <v>13.298697092854267</v>
      </c>
      <c r="X31" s="132">
        <f>IF(SER_hh_tesh_in!X31=0,0,SER_hh_tesh_in!X31/SER_summary!X$27)</f>
        <v>12.994967774469435</v>
      </c>
      <c r="Y31" s="132">
        <f>IF(SER_hh_tesh_in!Y31=0,0,SER_hh_tesh_in!Y31/SER_summary!Y$27)</f>
        <v>14.331269474814036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12.436392109049887</v>
      </c>
      <c r="D32" s="132">
        <f>IF(SER_hh_tesh_in!D32=0,0,SER_hh_tesh_in!D32/SER_summary!D$27)</f>
        <v>13.353912113144389</v>
      </c>
      <c r="E32" s="132">
        <f>IF(SER_hh_tesh_in!E32=0,0,SER_hh_tesh_in!E32/SER_summary!E$27)</f>
        <v>13.472847426097044</v>
      </c>
      <c r="F32" s="132">
        <f>IF(SER_hh_tesh_in!F32=0,0,SER_hh_tesh_in!F32/SER_summary!F$27)</f>
        <v>13.815807657144086</v>
      </c>
      <c r="G32" s="132">
        <f>IF(SER_hh_tesh_in!G32=0,0,SER_hh_tesh_in!G32/SER_summary!G$27)</f>
        <v>13.646626947139513</v>
      </c>
      <c r="H32" s="132">
        <f>IF(SER_hh_tesh_in!H32=0,0,SER_hh_tesh_in!H32/SER_summary!H$27)</f>
        <v>13.482094170412379</v>
      </c>
      <c r="I32" s="132">
        <f>IF(SER_hh_tesh_in!I32=0,0,SER_hh_tesh_in!I32/SER_summary!I$27)</f>
        <v>13.399868491348586</v>
      </c>
      <c r="J32" s="132">
        <f>IF(SER_hh_tesh_in!J32=0,0,SER_hh_tesh_in!J32/SER_summary!J$27)</f>
        <v>13.27476154914404</v>
      </c>
      <c r="K32" s="132">
        <f>IF(SER_hh_tesh_in!K32=0,0,SER_hh_tesh_in!K32/SER_summary!K$27)</f>
        <v>13.257154550153844</v>
      </c>
      <c r="L32" s="132">
        <f>IF(SER_hh_tesh_in!L32=0,0,SER_hh_tesh_in!L32/SER_summary!L$27)</f>
        <v>13.925995108123601</v>
      </c>
      <c r="M32" s="132">
        <f>IF(SER_hh_tesh_in!M32=0,0,SER_hh_tesh_in!M32/SER_summary!M$27)</f>
        <v>13.504550267164218</v>
      </c>
      <c r="N32" s="132">
        <f>IF(SER_hh_tesh_in!N32=0,0,SER_hh_tesh_in!N32/SER_summary!N$27)</f>
        <v>13.888566103127733</v>
      </c>
      <c r="O32" s="132">
        <f>IF(SER_hh_tesh_in!O32=0,0,SER_hh_tesh_in!O32/SER_summary!O$27)</f>
        <v>13.572600836433503</v>
      </c>
      <c r="P32" s="132">
        <f>IF(SER_hh_tesh_in!P32=0,0,SER_hh_tesh_in!P32/SER_summary!P$27)</f>
        <v>13.782909224231563</v>
      </c>
      <c r="Q32" s="132">
        <f>IF(SER_hh_tesh_in!Q32=0,0,SER_hh_tesh_in!Q32/SER_summary!Q$27)</f>
        <v>14.177326418151267</v>
      </c>
      <c r="R32" s="132">
        <f>IF(SER_hh_tesh_in!R32=0,0,SER_hh_tesh_in!R32/SER_summary!R$27)</f>
        <v>13.911250428307314</v>
      </c>
      <c r="S32" s="132">
        <f>IF(SER_hh_tesh_in!S32=0,0,SER_hh_tesh_in!S32/SER_summary!S$27)</f>
        <v>13.673836588188177</v>
      </c>
      <c r="T32" s="132">
        <f>IF(SER_hh_tesh_in!T32=0,0,SER_hh_tesh_in!T32/SER_summary!T$27)</f>
        <v>13.663376563656938</v>
      </c>
      <c r="U32" s="132">
        <f>IF(SER_hh_tesh_in!U32=0,0,SER_hh_tesh_in!U32/SER_summary!U$27)</f>
        <v>13.953534283948533</v>
      </c>
      <c r="V32" s="132">
        <f>IF(SER_hh_tesh_in!V32=0,0,SER_hh_tesh_in!V32/SER_summary!V$27)</f>
        <v>14.196980521595366</v>
      </c>
      <c r="W32" s="132">
        <f>IF(SER_hh_tesh_in!W32=0,0,SER_hh_tesh_in!W32/SER_summary!W$27)</f>
        <v>14.130588047021858</v>
      </c>
      <c r="X32" s="132">
        <f>IF(SER_hh_tesh_in!X32=0,0,SER_hh_tesh_in!X32/SER_summary!X$27)</f>
        <v>13.468615303985048</v>
      </c>
      <c r="Y32" s="132">
        <f>IF(SER_hh_tesh_in!Y32=0,0,SER_hh_tesh_in!Y32/SER_summary!Y$27)</f>
        <v>14.093806473618145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13.746922984761234</v>
      </c>
      <c r="D33" s="68">
        <f>IF(SER_hh_tesh_in!D33=0,0,SER_hh_tesh_in!D33/SER_summary!D$27)</f>
        <v>12.528605724963136</v>
      </c>
      <c r="E33" s="68">
        <f>IF(SER_hh_tesh_in!E33=0,0,SER_hh_tesh_in!E33/SER_summary!E$27)</f>
        <v>12.892784502146499</v>
      </c>
      <c r="F33" s="68">
        <f>IF(SER_hh_tesh_in!F33=0,0,SER_hh_tesh_in!F33/SER_summary!F$27)</f>
        <v>11.590566592730701</v>
      </c>
      <c r="G33" s="68">
        <f>IF(SER_hh_tesh_in!G33=0,0,SER_hh_tesh_in!G33/SER_summary!G$27)</f>
        <v>13.532836235130539</v>
      </c>
      <c r="H33" s="68">
        <f>IF(SER_hh_tesh_in!H33=0,0,SER_hh_tesh_in!H33/SER_summary!H$27)</f>
        <v>13.05975634959254</v>
      </c>
      <c r="I33" s="68">
        <f>IF(SER_hh_tesh_in!I33=0,0,SER_hh_tesh_in!I33/SER_summary!I$27)</f>
        <v>13.573899002720987</v>
      </c>
      <c r="J33" s="68">
        <f>IF(SER_hh_tesh_in!J33=0,0,SER_hh_tesh_in!J33/SER_summary!J$27)</f>
        <v>14.218251844227398</v>
      </c>
      <c r="K33" s="68">
        <f>IF(SER_hh_tesh_in!K33=0,0,SER_hh_tesh_in!K33/SER_summary!K$27)</f>
        <v>14.334594545592081</v>
      </c>
      <c r="L33" s="68">
        <f>IF(SER_hh_tesh_in!L33=0,0,SER_hh_tesh_in!L33/SER_summary!L$27)</f>
        <v>12.341908246964449</v>
      </c>
      <c r="M33" s="68">
        <f>IF(SER_hh_tesh_in!M33=0,0,SER_hh_tesh_in!M33/SER_summary!M$27)</f>
        <v>12.685248114375293</v>
      </c>
      <c r="N33" s="68">
        <f>IF(SER_hh_tesh_in!N33=0,0,SER_hh_tesh_in!N33/SER_summary!N$27)</f>
        <v>14.976784524793237</v>
      </c>
      <c r="O33" s="68">
        <f>IF(SER_hh_tesh_in!O33=0,0,SER_hh_tesh_in!O33/SER_summary!O$27)</f>
        <v>14.19217757696469</v>
      </c>
      <c r="P33" s="68">
        <f>IF(SER_hh_tesh_in!P33=0,0,SER_hh_tesh_in!P33/SER_summary!P$27)</f>
        <v>14.007077725867809</v>
      </c>
      <c r="Q33" s="68">
        <f>IF(SER_hh_tesh_in!Q33=0,0,SER_hh_tesh_in!Q33/SER_summary!Q$27)</f>
        <v>13.980850591699092</v>
      </c>
      <c r="R33" s="68">
        <f>IF(SER_hh_tesh_in!R33=0,0,SER_hh_tesh_in!R33/SER_summary!R$27)</f>
        <v>14.157909674814359</v>
      </c>
      <c r="S33" s="68">
        <f>IF(SER_hh_tesh_in!S33=0,0,SER_hh_tesh_in!S33/SER_summary!S$27)</f>
        <v>13.886355471401789</v>
      </c>
      <c r="T33" s="68">
        <f>IF(SER_hh_tesh_in!T33=0,0,SER_hh_tesh_in!T33/SER_summary!T$27)</f>
        <v>13.904592038860844</v>
      </c>
      <c r="U33" s="68">
        <f>IF(SER_hh_tesh_in!U33=0,0,SER_hh_tesh_in!U33/SER_summary!U$27)</f>
        <v>13.706372303639105</v>
      </c>
      <c r="V33" s="68">
        <f>IF(SER_hh_tesh_in!V33=0,0,SER_hh_tesh_in!V33/SER_summary!V$27)</f>
        <v>13.339490884601233</v>
      </c>
      <c r="W33" s="68">
        <f>IF(SER_hh_tesh_in!W33=0,0,SER_hh_tesh_in!W33/SER_summary!W$27)</f>
        <v>13.994177384081025</v>
      </c>
      <c r="X33" s="68">
        <f>IF(SER_hh_tesh_in!X33=0,0,SER_hh_tesh_in!X33/SER_summary!X$27)</f>
        <v>14.1536403382892</v>
      </c>
      <c r="Y33" s="68">
        <f>IF(SER_hh_tesh_in!Y33=0,0,SER_hh_tesh_in!Y33/SER_summary!Y$27)</f>
        <v>13.685692921438937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39.251429810751759</v>
      </c>
      <c r="D3" s="125">
        <f>IF(SER_hh_emih_in!D3=0,0,SER_hh_emih_in!D3/SER_summary!D$27)</f>
        <v>30.893237583102742</v>
      </c>
      <c r="E3" s="125">
        <f>IF(SER_hh_emih_in!E3=0,0,SER_hh_emih_in!E3/SER_summary!E$27)</f>
        <v>27.896398124790952</v>
      </c>
      <c r="F3" s="125">
        <f>IF(SER_hh_emih_in!F3=0,0,SER_hh_emih_in!F3/SER_summary!F$27)</f>
        <v>12.460312983926791</v>
      </c>
      <c r="G3" s="125">
        <f>IF(SER_hh_emih_in!G3=0,0,SER_hh_emih_in!G3/SER_summary!G$27)</f>
        <v>10.397139922072709</v>
      </c>
      <c r="H3" s="125">
        <f>IF(SER_hh_emih_in!H3=0,0,SER_hh_emih_in!H3/SER_summary!H$27)</f>
        <v>9.3440321511979647</v>
      </c>
      <c r="I3" s="125">
        <f>IF(SER_hh_emih_in!I3=0,0,SER_hh_emih_in!I3/SER_summary!I$27)</f>
        <v>4.1392076966429743</v>
      </c>
      <c r="J3" s="125">
        <f>IF(SER_hh_emih_in!J3=0,0,SER_hh_emih_in!J3/SER_summary!J$27)</f>
        <v>2.1147246035833711</v>
      </c>
      <c r="K3" s="125">
        <f>IF(SER_hh_emih_in!K3=0,0,SER_hh_emih_in!K3/SER_summary!K$27)</f>
        <v>5.4327901417101199</v>
      </c>
      <c r="L3" s="125">
        <f>IF(SER_hh_emih_in!L3=0,0,SER_hh_emih_in!L3/SER_summary!L$27)</f>
        <v>6.5549971328915619</v>
      </c>
      <c r="M3" s="125">
        <f>IF(SER_hh_emih_in!M3=0,0,SER_hh_emih_in!M3/SER_summary!M$27)</f>
        <v>5.8339217517531603</v>
      </c>
      <c r="N3" s="125">
        <f>IF(SER_hh_emih_in!N3=0,0,SER_hh_emih_in!N3/SER_summary!N$27)</f>
        <v>9.0361243652834062</v>
      </c>
      <c r="O3" s="125">
        <f>IF(SER_hh_emih_in!O3=0,0,SER_hh_emih_in!O3/SER_summary!O$27)</f>
        <v>12.436388644899271</v>
      </c>
      <c r="P3" s="125">
        <f>IF(SER_hh_emih_in!P3=0,0,SER_hh_emih_in!P3/SER_summary!P$27)</f>
        <v>9.553290088952954</v>
      </c>
      <c r="Q3" s="125">
        <f>IF(SER_hh_emih_in!Q3=0,0,SER_hh_emih_in!Q3/SER_summary!Q$27)</f>
        <v>7.8969409723491948</v>
      </c>
      <c r="R3" s="125">
        <f>IF(SER_hh_emih_in!R3=0,0,SER_hh_emih_in!R3/SER_summary!R$27)</f>
        <v>8.1551748347791602</v>
      </c>
      <c r="S3" s="125">
        <f>IF(SER_hh_emih_in!S3=0,0,SER_hh_emih_in!S3/SER_summary!S$27)</f>
        <v>8.806514698069666</v>
      </c>
      <c r="T3" s="125">
        <f>IF(SER_hh_emih_in!T3=0,0,SER_hh_emih_in!T3/SER_summary!T$27)</f>
        <v>6.5626681538095282</v>
      </c>
      <c r="U3" s="125">
        <f>IF(SER_hh_emih_in!U3=0,0,SER_hh_emih_in!U3/SER_summary!U$27)</f>
        <v>6.4365488691966304</v>
      </c>
      <c r="V3" s="125">
        <f>IF(SER_hh_emih_in!V3=0,0,SER_hh_emih_in!V3/SER_summary!V$27)</f>
        <v>3.8973034649489611</v>
      </c>
      <c r="W3" s="125">
        <f>IF(SER_hh_emih_in!W3=0,0,SER_hh_emih_in!W3/SER_summary!W$27)</f>
        <v>5.3421502917608237</v>
      </c>
      <c r="X3" s="125">
        <f>IF(SER_hh_emih_in!X3=0,0,SER_hh_emih_in!X3/SER_summary!X$27)</f>
        <v>3.4396345474929806</v>
      </c>
      <c r="Y3" s="125">
        <f>IF(SER_hh_emih_in!Y3=0,0,SER_hh_emih_in!Y3/SER_summary!Y$27)</f>
        <v>2.5316353155132285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36.005975450273937</v>
      </c>
      <c r="D4" s="130">
        <f>IF(SER_hh_emih_in!D4=0,0,SER_hh_emih_in!D4/SER_summary!D$27)</f>
        <v>24.61275131905612</v>
      </c>
      <c r="E4" s="130">
        <f>IF(SER_hh_emih_in!E4=0,0,SER_hh_emih_in!E4/SER_summary!E$27)</f>
        <v>22.793619805595423</v>
      </c>
      <c r="F4" s="130">
        <f>IF(SER_hh_emih_in!F4=0,0,SER_hh_emih_in!F4/SER_summary!F$27)</f>
        <v>8.3604657694268489</v>
      </c>
      <c r="G4" s="130">
        <f>IF(SER_hh_emih_in!G4=0,0,SER_hh_emih_in!G4/SER_summary!G$27)</f>
        <v>7.2957559686206279</v>
      </c>
      <c r="H4" s="130">
        <f>IF(SER_hh_emih_in!H4=0,0,SER_hh_emih_in!H4/SER_summary!H$27)</f>
        <v>6.8304969606506791</v>
      </c>
      <c r="I4" s="130">
        <f>IF(SER_hh_emih_in!I4=0,0,SER_hh_emih_in!I4/SER_summary!I$27)</f>
        <v>2.3461306173650214</v>
      </c>
      <c r="J4" s="130">
        <f>IF(SER_hh_emih_in!J4=0,0,SER_hh_emih_in!J4/SER_summary!J$27)</f>
        <v>6.7619950951933336E-2</v>
      </c>
      <c r="K4" s="130">
        <f>IF(SER_hh_emih_in!K4=0,0,SER_hh_emih_in!K4/SER_summary!K$27)</f>
        <v>1.9761323141124165</v>
      </c>
      <c r="L4" s="130">
        <f>IF(SER_hh_emih_in!L4=0,0,SER_hh_emih_in!L4/SER_summary!L$27)</f>
        <v>3.9189070199249922</v>
      </c>
      <c r="M4" s="130">
        <f>IF(SER_hh_emih_in!M4=0,0,SER_hh_emih_in!M4/SER_summary!M$27)</f>
        <v>3.8531412181750695</v>
      </c>
      <c r="N4" s="130">
        <f>IF(SER_hh_emih_in!N4=0,0,SER_hh_emih_in!N4/SER_summary!N$27)</f>
        <v>7.4512173778778337</v>
      </c>
      <c r="O4" s="130">
        <f>IF(SER_hh_emih_in!O4=0,0,SER_hh_emih_in!O4/SER_summary!O$27)</f>
        <v>9.843145785988149</v>
      </c>
      <c r="P4" s="130">
        <f>IF(SER_hh_emih_in!P4=0,0,SER_hh_emih_in!P4/SER_summary!P$27)</f>
        <v>7.5775427893039202</v>
      </c>
      <c r="Q4" s="130">
        <f>IF(SER_hh_emih_in!Q4=0,0,SER_hh_emih_in!Q4/SER_summary!Q$27)</f>
        <v>5.3138049485243135</v>
      </c>
      <c r="R4" s="130">
        <f>IF(SER_hh_emih_in!R4=0,0,SER_hh_emih_in!R4/SER_summary!R$27)</f>
        <v>5.7991761537385331</v>
      </c>
      <c r="S4" s="130">
        <f>IF(SER_hh_emih_in!S4=0,0,SER_hh_emih_in!S4/SER_summary!S$27)</f>
        <v>6.3069880658776736</v>
      </c>
      <c r="T4" s="130">
        <f>IF(SER_hh_emih_in!T4=0,0,SER_hh_emih_in!T4/SER_summary!T$27)</f>
        <v>4.4574593983451196</v>
      </c>
      <c r="U4" s="130">
        <f>IF(SER_hh_emih_in!U4=0,0,SER_hh_emih_in!U4/SER_summary!U$27)</f>
        <v>3.9195217609420223</v>
      </c>
      <c r="V4" s="130">
        <f>IF(SER_hh_emih_in!V4=0,0,SER_hh_emih_in!V4/SER_summary!V$27)</f>
        <v>1.8530160667784332</v>
      </c>
      <c r="W4" s="130">
        <f>IF(SER_hh_emih_in!W4=0,0,SER_hh_emih_in!W4/SER_summary!W$27)</f>
        <v>2.6184182163910625</v>
      </c>
      <c r="X4" s="130">
        <f>IF(SER_hh_emih_in!X4=0,0,SER_hh_emih_in!X4/SER_summary!X$27)</f>
        <v>1.022758091814485</v>
      </c>
      <c r="Y4" s="130">
        <f>IF(SER_hh_emih_in!Y4=0,0,SER_hh_emih_in!Y4/SER_summary!Y$27)</f>
        <v>2.30817430457383E-2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0</v>
      </c>
      <c r="D5" s="132">
        <f>IF(SER_hh_emih_in!D5=0,0,SER_hh_emih_in!D5/SER_summary!D$27)</f>
        <v>0</v>
      </c>
      <c r="E5" s="132">
        <f>IF(SER_hh_emih_in!E5=0,0,SER_hh_emih_in!E5/SER_summary!E$27)</f>
        <v>0</v>
      </c>
      <c r="F5" s="132">
        <f>IF(SER_hh_emih_in!F5=0,0,SER_hh_emih_in!F5/SER_summary!F$27)</f>
        <v>0</v>
      </c>
      <c r="G5" s="132">
        <f>IF(SER_hh_emih_in!G5=0,0,SER_hh_emih_in!G5/SER_summary!G$27)</f>
        <v>0</v>
      </c>
      <c r="H5" s="132">
        <f>IF(SER_hh_emih_in!H5=0,0,SER_hh_emih_in!H5/SER_summary!H$27)</f>
        <v>0</v>
      </c>
      <c r="I5" s="132">
        <f>IF(SER_hh_emih_in!I5=0,0,SER_hh_emih_in!I5/SER_summary!I$27)</f>
        <v>0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0</v>
      </c>
      <c r="N5" s="132">
        <f>IF(SER_hh_emih_in!N5=0,0,SER_hh_emih_in!N5/SER_summary!N$27)</f>
        <v>0</v>
      </c>
      <c r="O5" s="132">
        <f>IF(SER_hh_emih_in!O5=0,0,SER_hh_emih_in!O5/SER_summary!O$27)</f>
        <v>16.531217890420169</v>
      </c>
      <c r="P5" s="132">
        <f>IF(SER_hh_emih_in!P5=0,0,SER_hh_emih_in!P5/SER_summary!P$27)</f>
        <v>0</v>
      </c>
      <c r="Q5" s="132">
        <f>IF(SER_hh_emih_in!Q5=0,0,SER_hh_emih_in!Q5/SER_summary!Q$27)</f>
        <v>0</v>
      </c>
      <c r="R5" s="132">
        <f>IF(SER_hh_emih_in!R5=0,0,SER_hh_emih_in!R5/SER_summary!R$27)</f>
        <v>0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0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52.795481479296818</v>
      </c>
      <c r="D7" s="132">
        <f>IF(SER_hh_emih_in!D7=0,0,SER_hh_emih_in!D7/SER_summary!D$27)</f>
        <v>50.027468823937333</v>
      </c>
      <c r="E7" s="132">
        <f>IF(SER_hh_emih_in!E7=0,0,SER_hh_emih_in!E7/SER_summary!E$27)</f>
        <v>59.465289951278073</v>
      </c>
      <c r="F7" s="132">
        <f>IF(SER_hh_emih_in!F7=0,0,SER_hh_emih_in!F7/SER_summary!F$27)</f>
        <v>41.176732309010937</v>
      </c>
      <c r="G7" s="132">
        <f>IF(SER_hh_emih_in!G7=0,0,SER_hh_emih_in!G7/SER_summary!G$27)</f>
        <v>51.804492103025616</v>
      </c>
      <c r="H7" s="132">
        <f>IF(SER_hh_emih_in!H7=0,0,SER_hh_emih_in!H7/SER_summary!H$27)</f>
        <v>51.873456972626457</v>
      </c>
      <c r="I7" s="132">
        <f>IF(SER_hh_emih_in!I7=0,0,SER_hh_emih_in!I7/SER_summary!I$27)</f>
        <v>36.201708315205288</v>
      </c>
      <c r="J7" s="132">
        <f>IF(SER_hh_emih_in!J7=0,0,SER_hh_emih_in!J7/SER_summary!J$27)</f>
        <v>0</v>
      </c>
      <c r="K7" s="132">
        <f>IF(SER_hh_emih_in!K7=0,0,SER_hh_emih_in!K7/SER_summary!K$27)</f>
        <v>0</v>
      </c>
      <c r="L7" s="132">
        <f>IF(SER_hh_emih_in!L7=0,0,SER_hh_emih_in!L7/SER_summary!L$27)</f>
        <v>0</v>
      </c>
      <c r="M7" s="132">
        <f>IF(SER_hh_emih_in!M7=0,0,SER_hh_emih_in!M7/SER_summary!M$27)</f>
        <v>0</v>
      </c>
      <c r="N7" s="132">
        <f>IF(SER_hh_emih_in!N7=0,0,SER_hh_emih_in!N7/SER_summary!N$27)</f>
        <v>0</v>
      </c>
      <c r="O7" s="132">
        <f>IF(SER_hh_emih_in!O7=0,0,SER_hh_emih_in!O7/SER_summary!O$27)</f>
        <v>26.104499065762663</v>
      </c>
      <c r="P7" s="132">
        <f>IF(SER_hh_emih_in!P7=0,0,SER_hh_emih_in!P7/SER_summary!P$27)</f>
        <v>25.014237120198388</v>
      </c>
      <c r="Q7" s="132">
        <f>IF(SER_hh_emih_in!Q7=0,0,SER_hh_emih_in!Q7/SER_summary!Q$27)</f>
        <v>23.318775263129343</v>
      </c>
      <c r="R7" s="132">
        <f>IF(SER_hh_emih_in!R7=0,0,SER_hh_emih_in!R7/SER_summary!R$27)</f>
        <v>20.062040856890427</v>
      </c>
      <c r="S7" s="132">
        <f>IF(SER_hh_emih_in!S7=0,0,SER_hh_emih_in!S7/SER_summary!S$27)</f>
        <v>26.854914312013264</v>
      </c>
      <c r="T7" s="132">
        <f>IF(SER_hh_emih_in!T7=0,0,SER_hh_emih_in!T7/SER_summary!T$27)</f>
        <v>22.598052661128616</v>
      </c>
      <c r="U7" s="132">
        <f>IF(SER_hh_emih_in!U7=0,0,SER_hh_emih_in!U7/SER_summary!U$27)</f>
        <v>20.558039289155349</v>
      </c>
      <c r="V7" s="132">
        <f>IF(SER_hh_emih_in!V7=0,0,SER_hh_emih_in!V7/SER_summary!V$27)</f>
        <v>19.522722571888153</v>
      </c>
      <c r="W7" s="132">
        <f>IF(SER_hh_emih_in!W7=0,0,SER_hh_emih_in!W7/SER_summary!W$27)</f>
        <v>24.643304413255642</v>
      </c>
      <c r="X7" s="132">
        <f>IF(SER_hh_emih_in!X7=0,0,SER_hh_emih_in!X7/SER_summary!X$27)</f>
        <v>0</v>
      </c>
      <c r="Y7" s="132">
        <f>IF(SER_hh_emih_in!Y7=0,0,SER_hh_emih_in!Y7/SER_summary!Y$27)</f>
        <v>0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10.115064730299236</v>
      </c>
      <c r="D8" s="132">
        <f>IF(SER_hh_emih_in!D8=0,0,SER_hh_emih_in!D8/SER_summary!D$27)</f>
        <v>9.2627148806719557</v>
      </c>
      <c r="E8" s="132">
        <f>IF(SER_hh_emih_in!E8=0,0,SER_hh_emih_in!E8/SER_summary!E$27)</f>
        <v>10.428388611085557</v>
      </c>
      <c r="F8" s="132">
        <f>IF(SER_hh_emih_in!F8=0,0,SER_hh_emih_in!F8/SER_summary!F$27)</f>
        <v>10.090624039266949</v>
      </c>
      <c r="G8" s="132">
        <f>IF(SER_hh_emih_in!G8=0,0,SER_hh_emih_in!G8/SER_summary!G$27)</f>
        <v>9.0656028483240387</v>
      </c>
      <c r="H8" s="132">
        <f>IF(SER_hh_emih_in!H8=0,0,SER_hh_emih_in!H8/SER_summary!H$27)</f>
        <v>9.2865241821560591</v>
      </c>
      <c r="I8" s="132">
        <f>IF(SER_hh_emih_in!I8=0,0,SER_hh_emih_in!I8/SER_summary!I$27)</f>
        <v>7.2002980976736586</v>
      </c>
      <c r="J8" s="132">
        <f>IF(SER_hh_emih_in!J8=0,0,SER_hh_emih_in!J8/SER_summary!J$27)</f>
        <v>7.9765386243847649</v>
      </c>
      <c r="K8" s="132">
        <f>IF(SER_hh_emih_in!K8=0,0,SER_hh_emih_in!K8/SER_summary!K$27)</f>
        <v>6.4832560664463479</v>
      </c>
      <c r="L8" s="132">
        <f>IF(SER_hh_emih_in!L8=0,0,SER_hh_emih_in!L8/SER_summary!L$27)</f>
        <v>6.2329374962713135</v>
      </c>
      <c r="M8" s="132">
        <f>IF(SER_hh_emih_in!M8=0,0,SER_hh_emih_in!M8/SER_summary!M$27)</f>
        <v>5.7570941988314388</v>
      </c>
      <c r="N8" s="132">
        <f>IF(SER_hh_emih_in!N8=0,0,SER_hh_emih_in!N8/SER_summary!N$27)</f>
        <v>5.4453779976773733</v>
      </c>
      <c r="O8" s="132">
        <f>IF(SER_hh_emih_in!O8=0,0,SER_hh_emih_in!O8/SER_summary!O$27)</f>
        <v>4.9026587944460625</v>
      </c>
      <c r="P8" s="132">
        <f>IF(SER_hh_emih_in!P8=0,0,SER_hh_emih_in!P8/SER_summary!P$27)</f>
        <v>4.3507391823635793</v>
      </c>
      <c r="Q8" s="132">
        <f>IF(SER_hh_emih_in!Q8=0,0,SER_hh_emih_in!Q8/SER_summary!Q$27)</f>
        <v>4.1336963749051616</v>
      </c>
      <c r="R8" s="132">
        <f>IF(SER_hh_emih_in!R8=0,0,SER_hh_emih_in!R8/SER_summary!R$27)</f>
        <v>3.9423493931293048</v>
      </c>
      <c r="S8" s="132">
        <f>IF(SER_hh_emih_in!S8=0,0,SER_hh_emih_in!S8/SER_summary!S$27)</f>
        <v>4.1954953795513354</v>
      </c>
      <c r="T8" s="132">
        <f>IF(SER_hh_emih_in!T8=0,0,SER_hh_emih_in!T8/SER_summary!T$27)</f>
        <v>3.8367610576004223</v>
      </c>
      <c r="U8" s="132">
        <f>IF(SER_hh_emih_in!U8=0,0,SER_hh_emih_in!U8/SER_summary!U$27)</f>
        <v>3.8599148166018571</v>
      </c>
      <c r="V8" s="132">
        <f>IF(SER_hh_emih_in!V8=0,0,SER_hh_emih_in!V8/SER_summary!V$27)</f>
        <v>3.2189322341059774</v>
      </c>
      <c r="W8" s="132">
        <f>IF(SER_hh_emih_in!W8=0,0,SER_hh_emih_in!W8/SER_summary!W$27)</f>
        <v>3.5871034395241654</v>
      </c>
      <c r="X8" s="132">
        <f>IF(SER_hh_emih_in!X8=0,0,SER_hh_emih_in!X8/SER_summary!X$27)</f>
        <v>3.2035540264542988</v>
      </c>
      <c r="Y8" s="132">
        <f>IF(SER_hh_emih_in!Y8=0,0,SER_hh_emih_in!Y8/SER_summary!Y$27)</f>
        <v>2.9614930103299373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38.40454481504927</v>
      </c>
      <c r="D9" s="132">
        <f>IF(SER_hh_emih_in!D9=0,0,SER_hh_emih_in!D9/SER_summary!D$27)</f>
        <v>33.001477886739131</v>
      </c>
      <c r="E9" s="132">
        <f>IF(SER_hh_emih_in!E9=0,0,SER_hh_emih_in!E9/SER_summary!E$27)</f>
        <v>37.821534880024139</v>
      </c>
      <c r="F9" s="132">
        <f>IF(SER_hh_emih_in!F9=0,0,SER_hh_emih_in!F9/SER_summary!F$27)</f>
        <v>0</v>
      </c>
      <c r="G9" s="132">
        <f>IF(SER_hh_emih_in!G9=0,0,SER_hh_emih_in!G9/SER_summary!G$27)</f>
        <v>0</v>
      </c>
      <c r="H9" s="132">
        <f>IF(SER_hh_emih_in!H9=0,0,SER_hh_emih_in!H9/SER_summary!H$27)</f>
        <v>0</v>
      </c>
      <c r="I9" s="132">
        <f>IF(SER_hh_emih_in!I9=0,0,SER_hh_emih_in!I9/SER_summary!I$27)</f>
        <v>0</v>
      </c>
      <c r="J9" s="132">
        <f>IF(SER_hh_emih_in!J9=0,0,SER_hh_emih_in!J9/SER_summary!J$27)</f>
        <v>0</v>
      </c>
      <c r="K9" s="132">
        <f>IF(SER_hh_emih_in!K9=0,0,SER_hh_emih_in!K9/SER_summary!K$27)</f>
        <v>23.039479422145678</v>
      </c>
      <c r="L9" s="132">
        <f>IF(SER_hh_emih_in!L9=0,0,SER_hh_emih_in!L9/SER_summary!L$27)</f>
        <v>24.942852865380324</v>
      </c>
      <c r="M9" s="132">
        <f>IF(SER_hh_emih_in!M9=0,0,SER_hh_emih_in!M9/SER_summary!M$27)</f>
        <v>20.096066017499705</v>
      </c>
      <c r="N9" s="132">
        <f>IF(SER_hh_emih_in!N9=0,0,SER_hh_emih_in!N9/SER_summary!N$27)</f>
        <v>22.472832715220783</v>
      </c>
      <c r="O9" s="132">
        <f>IF(SER_hh_emih_in!O9=0,0,SER_hh_emih_in!O9/SER_summary!O$27)</f>
        <v>21.541981217313221</v>
      </c>
      <c r="P9" s="132">
        <f>IF(SER_hh_emih_in!P9=0,0,SER_hh_emih_in!P9/SER_summary!P$27)</f>
        <v>15.030025885563241</v>
      </c>
      <c r="Q9" s="132">
        <f>IF(SER_hh_emih_in!Q9=0,0,SER_hh_emih_in!Q9/SER_summary!Q$27)</f>
        <v>16.402597568647074</v>
      </c>
      <c r="R9" s="132">
        <f>IF(SER_hh_emih_in!R9=0,0,SER_hh_emih_in!R9/SER_summary!R$27)</f>
        <v>14.353966625670166</v>
      </c>
      <c r="S9" s="132">
        <f>IF(SER_hh_emih_in!S9=0,0,SER_hh_emih_in!S9/SER_summary!S$27)</f>
        <v>15.744522343457621</v>
      </c>
      <c r="T9" s="132">
        <f>IF(SER_hh_emih_in!T9=0,0,SER_hh_emih_in!T9/SER_summary!T$27)</f>
        <v>14.279363049276668</v>
      </c>
      <c r="U9" s="132">
        <f>IF(SER_hh_emih_in!U9=0,0,SER_hh_emih_in!U9/SER_summary!U$27)</f>
        <v>14.853839761431921</v>
      </c>
      <c r="V9" s="132">
        <f>IF(SER_hh_emih_in!V9=0,0,SER_hh_emih_in!V9/SER_summary!V$27)</f>
        <v>0</v>
      </c>
      <c r="W9" s="132">
        <f>IF(SER_hh_emih_in!W9=0,0,SER_hh_emih_in!W9/SER_summary!W$27)</f>
        <v>16.350410778373679</v>
      </c>
      <c r="X9" s="132">
        <f>IF(SER_hh_emih_in!X9=0,0,SER_hh_emih_in!X9/SER_summary!X$27)</f>
        <v>10.310676290759233</v>
      </c>
      <c r="Y9" s="132">
        <f>IF(SER_hh_emih_in!Y9=0,0,SER_hh_emih_in!Y9/SER_summary!Y$27)</f>
        <v>12.574394648495513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15.898217160072322</v>
      </c>
      <c r="D10" s="132">
        <f>IF(SER_hh_emih_in!D10=0,0,SER_hh_emih_in!D10/SER_summary!D$27)</f>
        <v>15.230646431207362</v>
      </c>
      <c r="E10" s="132">
        <f>IF(SER_hh_emih_in!E10=0,0,SER_hh_emih_in!E10/SER_summary!E$27)</f>
        <v>16.095374556490388</v>
      </c>
      <c r="F10" s="132">
        <f>IF(SER_hh_emih_in!F10=0,0,SER_hh_emih_in!F10/SER_summary!F$27)</f>
        <v>12.695632660953192</v>
      </c>
      <c r="G10" s="132">
        <f>IF(SER_hh_emih_in!G10=0,0,SER_hh_emih_in!G10/SER_summary!G$27)</f>
        <v>25.598074357540497</v>
      </c>
      <c r="H10" s="132">
        <f>IF(SER_hh_emih_in!H10=0,0,SER_hh_emih_in!H10/SER_summary!H$27)</f>
        <v>17.421929789612911</v>
      </c>
      <c r="I10" s="132">
        <f>IF(SER_hh_emih_in!I10=0,0,SER_hh_emih_in!I10/SER_summary!I$27)</f>
        <v>7.8622836355048795</v>
      </c>
      <c r="J10" s="132">
        <f>IF(SER_hh_emih_in!J10=0,0,SER_hh_emih_in!J10/SER_summary!J$27)</f>
        <v>1.3017551089338986</v>
      </c>
      <c r="K10" s="132">
        <f>IF(SER_hh_emih_in!K10=0,0,SER_hh_emih_in!K10/SER_summary!K$27)</f>
        <v>1.2721977603631196</v>
      </c>
      <c r="L10" s="132">
        <f>IF(SER_hh_emih_in!L10=0,0,SER_hh_emih_in!L10/SER_summary!L$27)</f>
        <v>1.4373649441575773</v>
      </c>
      <c r="M10" s="132">
        <f>IF(SER_hh_emih_in!M10=0,0,SER_hh_emih_in!M10/SER_summary!M$27)</f>
        <v>1.2458988240126088</v>
      </c>
      <c r="N10" s="132">
        <f>IF(SER_hh_emih_in!N10=0,0,SER_hh_emih_in!N10/SER_summary!N$27)</f>
        <v>0</v>
      </c>
      <c r="O10" s="132">
        <f>IF(SER_hh_emih_in!O10=0,0,SER_hh_emih_in!O10/SER_summary!O$27)</f>
        <v>0</v>
      </c>
      <c r="P10" s="132">
        <f>IF(SER_hh_emih_in!P10=0,0,SER_hh_emih_in!P10/SER_summary!P$27)</f>
        <v>0</v>
      </c>
      <c r="Q10" s="132">
        <f>IF(SER_hh_emih_in!Q10=0,0,SER_hh_emih_in!Q10/SER_summary!Q$27)</f>
        <v>0</v>
      </c>
      <c r="R10" s="132">
        <f>IF(SER_hh_emih_in!R10=0,0,SER_hh_emih_in!R10/SER_summary!R$27)</f>
        <v>0</v>
      </c>
      <c r="S10" s="132">
        <f>IF(SER_hh_emih_in!S10=0,0,SER_hh_emih_in!S10/SER_summary!S$27)</f>
        <v>0</v>
      </c>
      <c r="T10" s="132">
        <f>IF(SER_hh_emih_in!T10=0,0,SER_hh_emih_in!T10/SER_summary!T$27)</f>
        <v>0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0</v>
      </c>
      <c r="X10" s="132">
        <f>IF(SER_hh_emih_in!X10=0,0,SER_hh_emih_in!X10/SER_summary!X$27)</f>
        <v>0</v>
      </c>
      <c r="Y10" s="132">
        <f>IF(SER_hh_emih_in!Y10=0,0,SER_hh_emih_in!Y10/SER_summary!Y$27)</f>
        <v>0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6.0085886233063627E-3</v>
      </c>
      <c r="D16" s="130">
        <f>IF(SER_hh_emih_in!D16=0,0,SER_hh_emih_in!D16/SER_summary!D$27)</f>
        <v>8.5396124326282997E-3</v>
      </c>
      <c r="E16" s="130">
        <f>IF(SER_hh_emih_in!E16=0,0,SER_hh_emih_in!E16/SER_summary!E$27)</f>
        <v>5.4920002695479711E-3</v>
      </c>
      <c r="F16" s="130">
        <f>IF(SER_hh_emih_in!F16=0,0,SER_hh_emih_in!F16/SER_summary!F$27)</f>
        <v>1.3400167904789727E-2</v>
      </c>
      <c r="G16" s="130">
        <f>IF(SER_hh_emih_in!G16=0,0,SER_hh_emih_in!G16/SER_summary!G$27)</f>
        <v>9.4468024537378084E-3</v>
      </c>
      <c r="H16" s="130">
        <f>IF(SER_hh_emih_in!H16=0,0,SER_hh_emih_in!H16/SER_summary!H$27)</f>
        <v>9.0786138058712787E-3</v>
      </c>
      <c r="I16" s="130">
        <f>IF(SER_hh_emih_in!I16=0,0,SER_hh_emih_in!I16/SER_summary!I$27)</f>
        <v>1.4080931804939386E-2</v>
      </c>
      <c r="J16" s="130">
        <f>IF(SER_hh_emih_in!J16=0,0,SER_hh_emih_in!J16/SER_summary!J$27)</f>
        <v>1.3403098428336396E-2</v>
      </c>
      <c r="K16" s="130">
        <f>IF(SER_hh_emih_in!K16=0,0,SER_hh_emih_in!K16/SER_summary!K$27)</f>
        <v>2.6638117447723451E-2</v>
      </c>
      <c r="L16" s="130">
        <f>IF(SER_hh_emih_in!L16=0,0,SER_hh_emih_in!L16/SER_summary!L$27)</f>
        <v>1.3362767664182817E-2</v>
      </c>
      <c r="M16" s="130">
        <f>IF(SER_hh_emih_in!M16=0,0,SER_hh_emih_in!M16/SER_summary!M$27)</f>
        <v>1.4913965650200827E-2</v>
      </c>
      <c r="N16" s="130">
        <f>IF(SER_hh_emih_in!N16=0,0,SER_hh_emih_in!N16/SER_summary!N$27)</f>
        <v>2.0069098574443903E-2</v>
      </c>
      <c r="O16" s="130">
        <f>IF(SER_hh_emih_in!O16=0,0,SER_hh_emih_in!O16/SER_summary!O$27)</f>
        <v>2.1534145298971387E-2</v>
      </c>
      <c r="P16" s="130">
        <f>IF(SER_hh_emih_in!P16=0,0,SER_hh_emih_in!P16/SER_summary!P$27)</f>
        <v>2.1927431390597014E-2</v>
      </c>
      <c r="Q16" s="130">
        <f>IF(SER_hh_emih_in!Q16=0,0,SER_hh_emih_in!Q16/SER_summary!Q$27)</f>
        <v>2.6783204160083549E-2</v>
      </c>
      <c r="R16" s="130">
        <f>IF(SER_hh_emih_in!R16=0,0,SER_hh_emih_in!R16/SER_summary!R$27)</f>
        <v>1.7593701594441062E-2</v>
      </c>
      <c r="S16" s="130">
        <f>IF(SER_hh_emih_in!S16=0,0,SER_hh_emih_in!S16/SER_summary!S$27)</f>
        <v>2.8151494064646995E-2</v>
      </c>
      <c r="T16" s="130">
        <f>IF(SER_hh_emih_in!T16=0,0,SER_hh_emih_in!T16/SER_summary!T$27)</f>
        <v>2.3597717181618287E-2</v>
      </c>
      <c r="U16" s="130">
        <f>IF(SER_hh_emih_in!U16=0,0,SER_hh_emih_in!U16/SER_summary!U$27)</f>
        <v>3.4759136640062804E-2</v>
      </c>
      <c r="V16" s="130">
        <f>IF(SER_hh_emih_in!V16=0,0,SER_hh_emih_in!V16/SER_summary!V$27)</f>
        <v>2.1096386047143027E-2</v>
      </c>
      <c r="W16" s="130">
        <f>IF(SER_hh_emih_in!W16=0,0,SER_hh_emih_in!W16/SER_summary!W$27)</f>
        <v>1.7506839648449277E-2</v>
      </c>
      <c r="X16" s="130">
        <f>IF(SER_hh_emih_in!X16=0,0,SER_hh_emih_in!X16/SER_summary!X$27)</f>
        <v>2.5678949990856216E-2</v>
      </c>
      <c r="Y16" s="130">
        <f>IF(SER_hh_emih_in!Y16=0,0,SER_hh_emih_in!Y16/SER_summary!Y$27)</f>
        <v>2.7181740558802164E-2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3.7481634661779792</v>
      </c>
      <c r="D17" s="132">
        <f>IF(SER_hh_emih_in!D17=0,0,SER_hh_emih_in!D17/SER_summary!D$27)</f>
        <v>3.7127753356897126</v>
      </c>
      <c r="E17" s="132">
        <f>IF(SER_hh_emih_in!E17=0,0,SER_hh_emih_in!E17/SER_summary!E$27)</f>
        <v>4.0820776047822305</v>
      </c>
      <c r="F17" s="132">
        <f>IF(SER_hh_emih_in!F17=0,0,SER_hh_emih_in!F17/SER_summary!F$27)</f>
        <v>3.5800701314428633</v>
      </c>
      <c r="G17" s="132">
        <f>IF(SER_hh_emih_in!G17=0,0,SER_hh_emih_in!G17/SER_summary!G$27)</f>
        <v>3.5618715689011973</v>
      </c>
      <c r="H17" s="132">
        <f>IF(SER_hh_emih_in!H17=0,0,SER_hh_emih_in!H17/SER_summary!H$27)</f>
        <v>3.6828103056696628</v>
      </c>
      <c r="I17" s="132">
        <f>IF(SER_hh_emih_in!I17=0,0,SER_hh_emih_in!I17/SER_summary!I$27)</f>
        <v>3.5993635014250578</v>
      </c>
      <c r="J17" s="132">
        <f>IF(SER_hh_emih_in!J17=0,0,SER_hh_emih_in!J17/SER_summary!J$27)</f>
        <v>3.4029642700890785</v>
      </c>
      <c r="K17" s="132">
        <f>IF(SER_hh_emih_in!K17=0,0,SER_hh_emih_in!K17/SER_summary!K$27)</f>
        <v>3.3444907523198228</v>
      </c>
      <c r="L17" s="132">
        <f>IF(SER_hh_emih_in!L17=0,0,SER_hh_emih_in!L17/SER_summary!L$27)</f>
        <v>3.3836944434178009</v>
      </c>
      <c r="M17" s="132">
        <f>IF(SER_hh_emih_in!M17=0,0,SER_hh_emih_in!M17/SER_summary!M$27)</f>
        <v>3.4712844513056673</v>
      </c>
      <c r="N17" s="132">
        <f>IF(SER_hh_emih_in!N17=0,0,SER_hh_emih_in!N17/SER_summary!N$27)</f>
        <v>3.23788685186876</v>
      </c>
      <c r="O17" s="132">
        <f>IF(SER_hh_emih_in!O17=0,0,SER_hh_emih_in!O17/SER_summary!O$27)</f>
        <v>3.3457625575709575</v>
      </c>
      <c r="P17" s="132">
        <f>IF(SER_hh_emih_in!P17=0,0,SER_hh_emih_in!P17/SER_summary!P$27)</f>
        <v>2.873776288949621</v>
      </c>
      <c r="Q17" s="132">
        <f>IF(SER_hh_emih_in!Q17=0,0,SER_hh_emih_in!Q17/SER_summary!Q$27)</f>
        <v>3.4393631461670697</v>
      </c>
      <c r="R17" s="132">
        <f>IF(SER_hh_emih_in!R17=0,0,SER_hh_emih_in!R17/SER_summary!R$27)</f>
        <v>2.8070345115598125</v>
      </c>
      <c r="S17" s="132">
        <f>IF(SER_hh_emih_in!S17=0,0,SER_hh_emih_in!S17/SER_summary!S$27)</f>
        <v>2.9623981557927439</v>
      </c>
      <c r="T17" s="132">
        <f>IF(SER_hh_emih_in!T17=0,0,SER_hh_emih_in!T17/SER_summary!T$27)</f>
        <v>2.8573554300160682</v>
      </c>
      <c r="U17" s="132">
        <f>IF(SER_hh_emih_in!U17=0,0,SER_hh_emih_in!U17/SER_summary!U$27)</f>
        <v>2.8927564819854075</v>
      </c>
      <c r="V17" s="132">
        <f>IF(SER_hh_emih_in!V17=0,0,SER_hh_emih_in!V17/SER_summary!V$27)</f>
        <v>2.5184808827934337</v>
      </c>
      <c r="W17" s="132">
        <f>IF(SER_hh_emih_in!W17=0,0,SER_hh_emih_in!W17/SER_summary!W$27)</f>
        <v>2.5915915904613964</v>
      </c>
      <c r="X17" s="132">
        <f>IF(SER_hh_emih_in!X17=0,0,SER_hh_emih_in!X17/SER_summary!X$27)</f>
        <v>2.7070392973997093</v>
      </c>
      <c r="Y17" s="132">
        <f>IF(SER_hh_emih_in!Y17=0,0,SER_hh_emih_in!Y17/SER_summary!Y$27)</f>
        <v>2.8500812819216828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1.2011443601128517</v>
      </c>
      <c r="D19" s="130">
        <f>IF(SER_hh_emih_in!D19=0,0,SER_hh_emih_in!D19/SER_summary!D$27)</f>
        <v>2.076771026234808</v>
      </c>
      <c r="E19" s="130">
        <f>IF(SER_hh_emih_in!E19=0,0,SER_hh_emih_in!E19/SER_summary!E$27)</f>
        <v>1.210813524025012</v>
      </c>
      <c r="F19" s="130">
        <f>IF(SER_hh_emih_in!F19=0,0,SER_hh_emih_in!F19/SER_summary!F$27)</f>
        <v>1.5352927726113315</v>
      </c>
      <c r="G19" s="130">
        <f>IF(SER_hh_emih_in!G19=0,0,SER_hh_emih_in!G19/SER_summary!G$27)</f>
        <v>1.1823252879174508</v>
      </c>
      <c r="H19" s="130">
        <f>IF(SER_hh_emih_in!H19=0,0,SER_hh_emih_in!H19/SER_summary!H$27)</f>
        <v>1.1246726587979052</v>
      </c>
      <c r="I19" s="130">
        <f>IF(SER_hh_emih_in!I19=0,0,SER_hh_emih_in!I19/SER_summary!I$27)</f>
        <v>0.70740962092858917</v>
      </c>
      <c r="J19" s="130">
        <f>IF(SER_hh_emih_in!J19=0,0,SER_hh_emih_in!J19/SER_summary!J$27)</f>
        <v>0.44445981044712068</v>
      </c>
      <c r="K19" s="130">
        <f>IF(SER_hh_emih_in!K19=0,0,SER_hh_emih_in!K19/SER_summary!K$27)</f>
        <v>1.0561883335873941</v>
      </c>
      <c r="L19" s="130">
        <f>IF(SER_hh_emih_in!L19=0,0,SER_hh_emih_in!L19/SER_summary!L$27)</f>
        <v>0.38486819558187635</v>
      </c>
      <c r="M19" s="130">
        <f>IF(SER_hh_emih_in!M19=0,0,SER_hh_emih_in!M19/SER_summary!M$27)</f>
        <v>0.49697862565859352</v>
      </c>
      <c r="N19" s="130">
        <f>IF(SER_hh_emih_in!N19=0,0,SER_hh_emih_in!N19/SER_summary!N$27)</f>
        <v>0.49323381826993795</v>
      </c>
      <c r="O19" s="130">
        <f>IF(SER_hh_emih_in!O19=0,0,SER_hh_emih_in!O19/SER_summary!O$27)</f>
        <v>1.1298381250488898</v>
      </c>
      <c r="P19" s="130">
        <f>IF(SER_hh_emih_in!P19=0,0,SER_hh_emih_in!P19/SER_summary!P$27)</f>
        <v>0.32198374980082123</v>
      </c>
      <c r="Q19" s="130">
        <f>IF(SER_hh_emih_in!Q19=0,0,SER_hh_emih_in!Q19/SER_summary!Q$27)</f>
        <v>0.72454884428290756</v>
      </c>
      <c r="R19" s="130">
        <f>IF(SER_hh_emih_in!R19=0,0,SER_hh_emih_in!R19/SER_summary!R$27)</f>
        <v>0.82341357108742363</v>
      </c>
      <c r="S19" s="130">
        <f>IF(SER_hh_emih_in!S19=0,0,SER_hh_emih_in!S19/SER_summary!S$27)</f>
        <v>0.71583917072424219</v>
      </c>
      <c r="T19" s="130">
        <f>IF(SER_hh_emih_in!T19=0,0,SER_hh_emih_in!T19/SER_summary!T$27)</f>
        <v>0.58265655745160694</v>
      </c>
      <c r="U19" s="130">
        <f>IF(SER_hh_emih_in!U19=0,0,SER_hh_emih_in!U19/SER_summary!U$27)</f>
        <v>0.90636612761650315</v>
      </c>
      <c r="V19" s="130">
        <f>IF(SER_hh_emih_in!V19=0,0,SER_hh_emih_in!V19/SER_summary!V$27)</f>
        <v>0.57133674732221951</v>
      </c>
      <c r="W19" s="130">
        <f>IF(SER_hh_emih_in!W19=0,0,SER_hh_emih_in!W19/SER_summary!W$27)</f>
        <v>0.94073754232692686</v>
      </c>
      <c r="X19" s="130">
        <f>IF(SER_hh_emih_in!X19=0,0,SER_hh_emih_in!X19/SER_summary!X$27)</f>
        <v>0.90147590645741216</v>
      </c>
      <c r="Y19" s="130">
        <f>IF(SER_hh_emih_in!Y19=0,0,SER_hh_emih_in!Y19/SER_summary!Y$27)</f>
        <v>1.0983384149482744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2.5204840277189864</v>
      </c>
      <c r="D21" s="132">
        <f>IF(SER_hh_emih_in!D21=0,0,SER_hh_emih_in!D21/SER_summary!D$27)</f>
        <v>5.1643716041732279</v>
      </c>
      <c r="E21" s="132">
        <f>IF(SER_hh_emih_in!E21=0,0,SER_hh_emih_in!E21/SER_summary!E$27)</f>
        <v>4.1534077108619876</v>
      </c>
      <c r="F21" s="132">
        <f>IF(SER_hh_emih_in!F21=0,0,SER_hh_emih_in!F21/SER_summary!F$27)</f>
        <v>5.3215554808122905</v>
      </c>
      <c r="G21" s="132">
        <f>IF(SER_hh_emih_in!G21=0,0,SER_hh_emih_in!G21/SER_summary!G$27)</f>
        <v>5.9815567168277024</v>
      </c>
      <c r="H21" s="132">
        <f>IF(SER_hh_emih_in!H21=0,0,SER_hh_emih_in!H21/SER_summary!H$27)</f>
        <v>5.94255723831255</v>
      </c>
      <c r="I21" s="132">
        <f>IF(SER_hh_emih_in!I21=0,0,SER_hh_emih_in!I21/SER_summary!I$27)</f>
        <v>4.7474251890652921</v>
      </c>
      <c r="J21" s="132">
        <f>IF(SER_hh_emih_in!J21=0,0,SER_hh_emih_in!J21/SER_summary!J$27)</f>
        <v>0</v>
      </c>
      <c r="K21" s="132">
        <f>IF(SER_hh_emih_in!K21=0,0,SER_hh_emih_in!K21/SER_summary!K$27)</f>
        <v>6.2039990472843272</v>
      </c>
      <c r="L21" s="132">
        <f>IF(SER_hh_emih_in!L21=0,0,SER_hh_emih_in!L21/SER_summary!L$27)</f>
        <v>0</v>
      </c>
      <c r="M21" s="132">
        <f>IF(SER_hh_emih_in!M21=0,0,SER_hh_emih_in!M21/SER_summary!M$27)</f>
        <v>0</v>
      </c>
      <c r="N21" s="132">
        <f>IF(SER_hh_emih_in!N21=0,0,SER_hh_emih_in!N21/SER_summary!N$27)</f>
        <v>0</v>
      </c>
      <c r="O21" s="132">
        <f>IF(SER_hh_emih_in!O21=0,0,SER_hh_emih_in!O21/SER_summary!O$27)</f>
        <v>0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0</v>
      </c>
      <c r="S21" s="132">
        <f>IF(SER_hh_emih_in!S21=0,0,SER_hh_emih_in!S21/SER_summary!S$27)</f>
        <v>0</v>
      </c>
      <c r="T21" s="132">
        <f>IF(SER_hh_emih_in!T21=0,0,SER_hh_emih_in!T21/SER_summary!T$27)</f>
        <v>0</v>
      </c>
      <c r="U21" s="132">
        <f>IF(SER_hh_emih_in!U21=0,0,SER_hh_emih_in!U21/SER_summary!U$27)</f>
        <v>0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0</v>
      </c>
      <c r="Y21" s="132">
        <f>IF(SER_hh_emih_in!Y21=0,0,SER_hh_emih_in!Y21/SER_summary!Y$27)</f>
        <v>0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4.0930663879303308</v>
      </c>
      <c r="D22" s="132">
        <f>IF(SER_hh_emih_in!D22=0,0,SER_hh_emih_in!D22/SER_summary!D$27)</f>
        <v>6.4602010554213898</v>
      </c>
      <c r="E22" s="132">
        <f>IF(SER_hh_emih_in!E22=0,0,SER_hh_emih_in!E22/SER_summary!E$27)</f>
        <v>3.261807389686072</v>
      </c>
      <c r="F22" s="132">
        <f>IF(SER_hh_emih_in!F22=0,0,SER_hh_emih_in!F22/SER_summary!F$27)</f>
        <v>6.5167808004511931</v>
      </c>
      <c r="G22" s="132">
        <f>IF(SER_hh_emih_in!G22=0,0,SER_hh_emih_in!G22/SER_summary!G$27)</f>
        <v>7.345557854416719</v>
      </c>
      <c r="H22" s="132">
        <f>IF(SER_hh_emih_in!H22=0,0,SER_hh_emih_in!H22/SER_summary!H$27)</f>
        <v>7.2154591678676354</v>
      </c>
      <c r="I22" s="132">
        <f>IF(SER_hh_emih_in!I22=0,0,SER_hh_emih_in!I22/SER_summary!I$27)</f>
        <v>5.7003143989297183</v>
      </c>
      <c r="J22" s="132">
        <f>IF(SER_hh_emih_in!J22=0,0,SER_hh_emih_in!J22/SER_summary!J$27)</f>
        <v>3.4138167920982889</v>
      </c>
      <c r="K22" s="132">
        <f>IF(SER_hh_emih_in!K22=0,0,SER_hh_emih_in!K22/SER_summary!K$27)</f>
        <v>7.2971294824296837</v>
      </c>
      <c r="L22" s="132">
        <f>IF(SER_hh_emih_in!L22=0,0,SER_hh_emih_in!L22/SER_summary!L$27)</f>
        <v>2.0225593463069957</v>
      </c>
      <c r="M22" s="132">
        <f>IF(SER_hh_emih_in!M22=0,0,SER_hh_emih_in!M22/SER_summary!M$27)</f>
        <v>2.8503478475772135</v>
      </c>
      <c r="N22" s="132">
        <f>IF(SER_hh_emih_in!N22=0,0,SER_hh_emih_in!N22/SER_summary!N$27)</f>
        <v>3.3966712480767391</v>
      </c>
      <c r="O22" s="132">
        <f>IF(SER_hh_emih_in!O22=0,0,SER_hh_emih_in!O22/SER_summary!O$27)</f>
        <v>6.8945462754330764</v>
      </c>
      <c r="P22" s="132">
        <f>IF(SER_hh_emih_in!P22=0,0,SER_hh_emih_in!P22/SER_summary!P$27)</f>
        <v>0</v>
      </c>
      <c r="Q22" s="132">
        <f>IF(SER_hh_emih_in!Q22=0,0,SER_hh_emih_in!Q22/SER_summary!Q$27)</f>
        <v>6.1810103809244703</v>
      </c>
      <c r="R22" s="132">
        <f>IF(SER_hh_emih_in!R22=0,0,SER_hh_emih_in!R22/SER_summary!R$27)</f>
        <v>5.9923196792114801</v>
      </c>
      <c r="S22" s="132">
        <f>IF(SER_hh_emih_in!S22=0,0,SER_hh_emih_in!S22/SER_summary!S$27)</f>
        <v>3.8861804803397728</v>
      </c>
      <c r="T22" s="132">
        <f>IF(SER_hh_emih_in!T22=0,0,SER_hh_emih_in!T22/SER_summary!T$27)</f>
        <v>3.2857681690454377</v>
      </c>
      <c r="U22" s="132">
        <f>IF(SER_hh_emih_in!U22=0,0,SER_hh_emih_in!U22/SER_summary!U$27)</f>
        <v>5.6160497443364461</v>
      </c>
      <c r="V22" s="132">
        <f>IF(SER_hh_emih_in!V22=0,0,SER_hh_emih_in!V22/SER_summary!V$27)</f>
        <v>3.7116177107778903</v>
      </c>
      <c r="W22" s="132">
        <f>IF(SER_hh_emih_in!W22=0,0,SER_hh_emih_in!W22/SER_summary!W$27)</f>
        <v>5.069872776340131</v>
      </c>
      <c r="X22" s="132">
        <f>IF(SER_hh_emih_in!X22=0,0,SER_hh_emih_in!X22/SER_summary!X$27)</f>
        <v>3.1804813910026026</v>
      </c>
      <c r="Y22" s="132">
        <f>IF(SER_hh_emih_in!Y22=0,0,SER_hh_emih_in!Y22/SER_summary!Y$27)</f>
        <v>5.2962707474717527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2.7213788975947519</v>
      </c>
      <c r="D23" s="132">
        <f>IF(SER_hh_emih_in!D23=0,0,SER_hh_emih_in!D23/SER_summary!D$27)</f>
        <v>4.4389757063198942</v>
      </c>
      <c r="E23" s="132">
        <f>IF(SER_hh_emih_in!E23=0,0,SER_hh_emih_in!E23/SER_summary!E$27)</f>
        <v>2.6563264142952421</v>
      </c>
      <c r="F23" s="132">
        <f>IF(SER_hh_emih_in!F23=0,0,SER_hh_emih_in!F23/SER_summary!F$27)</f>
        <v>4.4379742621683143</v>
      </c>
      <c r="G23" s="132">
        <f>IF(SER_hh_emih_in!G23=0,0,SER_hh_emih_in!G23/SER_summary!G$27)</f>
        <v>5.023288829764339</v>
      </c>
      <c r="H23" s="132">
        <f>IF(SER_hh_emih_in!H23=0,0,SER_hh_emih_in!H23/SER_summary!H$27)</f>
        <v>4.9638173883900789</v>
      </c>
      <c r="I23" s="132">
        <f>IF(SER_hh_emih_in!I23=0,0,SER_hh_emih_in!I23/SER_summary!I$27)</f>
        <v>3.9088069973368404</v>
      </c>
      <c r="J23" s="132">
        <f>IF(SER_hh_emih_in!J23=0,0,SER_hh_emih_in!J23/SER_summary!J$27)</f>
        <v>2.7322752894990621</v>
      </c>
      <c r="K23" s="132">
        <f>IF(SER_hh_emih_in!K23=0,0,SER_hh_emih_in!K23/SER_summary!K$27)</f>
        <v>4.8774945253046873</v>
      </c>
      <c r="L23" s="132">
        <f>IF(SER_hh_emih_in!L23=0,0,SER_hh_emih_in!L23/SER_summary!L$27)</f>
        <v>2.0798804318333337</v>
      </c>
      <c r="M23" s="132">
        <f>IF(SER_hh_emih_in!M23=0,0,SER_hh_emih_in!M23/SER_summary!M$27)</f>
        <v>2.4756664312868022</v>
      </c>
      <c r="N23" s="132">
        <f>IF(SER_hh_emih_in!N23=0,0,SER_hh_emih_in!N23/SER_summary!N$27)</f>
        <v>2.8211047541058063</v>
      </c>
      <c r="O23" s="132">
        <f>IF(SER_hh_emih_in!O23=0,0,SER_hh_emih_in!O23/SER_summary!O$27)</f>
        <v>4.8962322830528562</v>
      </c>
      <c r="P23" s="132">
        <f>IF(SER_hh_emih_in!P23=0,0,SER_hh_emih_in!P23/SER_summary!P$27)</f>
        <v>3.1213817313758554</v>
      </c>
      <c r="Q23" s="132">
        <f>IF(SER_hh_emih_in!Q23=0,0,SER_hh_emih_in!Q23/SER_summary!Q$27)</f>
        <v>4.5813102479869876</v>
      </c>
      <c r="R23" s="132">
        <f>IF(SER_hh_emih_in!R23=0,0,SER_hh_emih_in!R23/SER_summary!R$27)</f>
        <v>4.3951470478338983</v>
      </c>
      <c r="S23" s="132">
        <f>IF(SER_hh_emih_in!S23=0,0,SER_hh_emih_in!S23/SER_summary!S$27)</f>
        <v>2.797361912053645</v>
      </c>
      <c r="T23" s="132">
        <f>IF(SER_hh_emih_in!T23=0,0,SER_hh_emih_in!T23/SER_summary!T$27)</f>
        <v>2.3772923130170636</v>
      </c>
      <c r="U23" s="132">
        <f>IF(SER_hh_emih_in!U23=0,0,SER_hh_emih_in!U23/SER_summary!U$27)</f>
        <v>4.070291243038338</v>
      </c>
      <c r="V23" s="132">
        <f>IF(SER_hh_emih_in!V23=0,0,SER_hh_emih_in!V23/SER_summary!V$27)</f>
        <v>2.7658929764348241</v>
      </c>
      <c r="W23" s="132">
        <f>IF(SER_hh_emih_in!W23=0,0,SER_hh_emih_in!W23/SER_summary!W$27)</f>
        <v>3.6865369924686258</v>
      </c>
      <c r="X23" s="132">
        <f>IF(SER_hh_emih_in!X23=0,0,SER_hh_emih_in!X23/SER_summary!X$27)</f>
        <v>2.417923823256249</v>
      </c>
      <c r="Y23" s="132">
        <f>IF(SER_hh_emih_in!Y23=0,0,SER_hh_emih_in!Y23/SER_summary!Y$27)</f>
        <v>3.9914064193140044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1.2922464257098984</v>
      </c>
      <c r="D24" s="132">
        <f>IF(SER_hh_emih_in!D24=0,0,SER_hh_emih_in!D24/SER_summary!D$27)</f>
        <v>2.0393432056344807</v>
      </c>
      <c r="E24" s="132">
        <f>IF(SER_hh_emih_in!E24=0,0,SER_hh_emih_in!E24/SER_summary!E$27)</f>
        <v>0.96800480192126426</v>
      </c>
      <c r="F24" s="132">
        <f>IF(SER_hh_emih_in!F24=0,0,SER_hh_emih_in!F24/SER_summary!F$27)</f>
        <v>1.3685153265628494</v>
      </c>
      <c r="G24" s="132">
        <f>IF(SER_hh_emih_in!G24=0,0,SER_hh_emih_in!G24/SER_summary!G$27)</f>
        <v>3.8462453214040262</v>
      </c>
      <c r="H24" s="132">
        <f>IF(SER_hh_emih_in!H24=0,0,SER_hh_emih_in!H24/SER_summary!H$27)</f>
        <v>2.3846700091928215</v>
      </c>
      <c r="I24" s="132">
        <f>IF(SER_hh_emih_in!I24=0,0,SER_hh_emih_in!I24/SER_summary!I$27)</f>
        <v>0.90235243110652252</v>
      </c>
      <c r="J24" s="132">
        <f>IF(SER_hh_emih_in!J24=0,0,SER_hh_emih_in!J24/SER_summary!J$27)</f>
        <v>0.12463215809979614</v>
      </c>
      <c r="K24" s="132">
        <f>IF(SER_hh_emih_in!K24=0,0,SER_hh_emih_in!K24/SER_summary!K$27)</f>
        <v>0.22713609930448894</v>
      </c>
      <c r="L24" s="132">
        <f>IF(SER_hh_emih_in!L24=0,0,SER_hh_emih_in!L24/SER_summary!L$27)</f>
        <v>9.0577896440994038E-2</v>
      </c>
      <c r="M24" s="132">
        <f>IF(SER_hh_emih_in!M24=0,0,SER_hh_emih_in!M24/SER_summary!M$27)</f>
        <v>0.11428752499793354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2.0383014117416596</v>
      </c>
      <c r="D29" s="130">
        <f>IF(SER_hh_emih_in!D29=0,0,SER_hh_emih_in!D29/SER_summary!D$27)</f>
        <v>4.1951756253791856</v>
      </c>
      <c r="E29" s="130">
        <f>IF(SER_hh_emih_in!E29=0,0,SER_hh_emih_in!E29/SER_summary!E$27)</f>
        <v>3.8864727949009699</v>
      </c>
      <c r="F29" s="130">
        <f>IF(SER_hh_emih_in!F29=0,0,SER_hh_emih_in!F29/SER_summary!F$27)</f>
        <v>2.55115427398382</v>
      </c>
      <c r="G29" s="130">
        <f>IF(SER_hh_emih_in!G29=0,0,SER_hh_emih_in!G29/SER_summary!G$27)</f>
        <v>1.909611863080892</v>
      </c>
      <c r="H29" s="130">
        <f>IF(SER_hh_emih_in!H29=0,0,SER_hh_emih_in!H29/SER_summary!H$27)</f>
        <v>1.3797839179435105</v>
      </c>
      <c r="I29" s="130">
        <f>IF(SER_hh_emih_in!I29=0,0,SER_hh_emih_in!I29/SER_summary!I$27)</f>
        <v>1.0715865265444249</v>
      </c>
      <c r="J29" s="130">
        <f>IF(SER_hh_emih_in!J29=0,0,SER_hh_emih_in!J29/SER_summary!J$27)</f>
        <v>1.5892417437559809</v>
      </c>
      <c r="K29" s="130">
        <f>IF(SER_hh_emih_in!K29=0,0,SER_hh_emih_in!K29/SER_summary!K$27)</f>
        <v>2.3738313765625869</v>
      </c>
      <c r="L29" s="130">
        <f>IF(SER_hh_emih_in!L29=0,0,SER_hh_emih_in!L29/SER_summary!L$27)</f>
        <v>2.2378591497205109</v>
      </c>
      <c r="M29" s="130">
        <f>IF(SER_hh_emih_in!M29=0,0,SER_hh_emih_in!M29/SER_summary!M$27)</f>
        <v>1.4688879422692962</v>
      </c>
      <c r="N29" s="130">
        <f>IF(SER_hh_emih_in!N29=0,0,SER_hh_emih_in!N29/SER_summary!N$27)</f>
        <v>1.07160407056119</v>
      </c>
      <c r="O29" s="130">
        <f>IF(SER_hh_emih_in!O29=0,0,SER_hh_emih_in!O29/SER_summary!O$27)</f>
        <v>1.4418705885632612</v>
      </c>
      <c r="P29" s="130">
        <f>IF(SER_hh_emih_in!P29=0,0,SER_hh_emih_in!P29/SER_summary!P$27)</f>
        <v>1.6318361184576178</v>
      </c>
      <c r="Q29" s="130">
        <f>IF(SER_hh_emih_in!Q29=0,0,SER_hh_emih_in!Q29/SER_summary!Q$27)</f>
        <v>1.8318039753818915</v>
      </c>
      <c r="R29" s="130">
        <f>IF(SER_hh_emih_in!R29=0,0,SER_hh_emih_in!R29/SER_summary!R$27)</f>
        <v>1.5149914083587641</v>
      </c>
      <c r="S29" s="130">
        <f>IF(SER_hh_emih_in!S29=0,0,SER_hh_emih_in!S29/SER_summary!S$27)</f>
        <v>1.7555359674031039</v>
      </c>
      <c r="T29" s="130">
        <f>IF(SER_hh_emih_in!T29=0,0,SER_hh_emih_in!T29/SER_summary!T$27)</f>
        <v>1.4989544808311828</v>
      </c>
      <c r="U29" s="130">
        <f>IF(SER_hh_emih_in!U29=0,0,SER_hh_emih_in!U29/SER_summary!U$27)</f>
        <v>1.5759018439980426</v>
      </c>
      <c r="V29" s="130">
        <f>IF(SER_hh_emih_in!V29=0,0,SER_hh_emih_in!V29/SER_summary!V$27)</f>
        <v>1.4518542648011654</v>
      </c>
      <c r="W29" s="130">
        <f>IF(SER_hh_emih_in!W29=0,0,SER_hh_emih_in!W29/SER_summary!W$27)</f>
        <v>1.7654876933943839</v>
      </c>
      <c r="X29" s="130">
        <f>IF(SER_hh_emih_in!X29=0,0,SER_hh_emih_in!X29/SER_summary!X$27)</f>
        <v>1.4897215992302262</v>
      </c>
      <c r="Y29" s="130">
        <f>IF(SER_hh_emih_in!Y29=0,0,SER_hh_emih_in!Y29/SER_summary!Y$27)</f>
        <v>1.3830334169604137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2.7089900922391155</v>
      </c>
      <c r="D30" s="132">
        <f>IF(SER_hh_emih_in!D30=0,0,SER_hh_emih_in!D30/SER_summary!D$27)</f>
        <v>5.6076489908384408</v>
      </c>
      <c r="E30" s="132">
        <f>IF(SER_hh_emih_in!E30=0,0,SER_hh_emih_in!E30/SER_summary!E$27)</f>
        <v>5.8699753548291138</v>
      </c>
      <c r="F30" s="132">
        <f>IF(SER_hh_emih_in!F30=0,0,SER_hh_emih_in!F30/SER_summary!F$27)</f>
        <v>7.016814653865536</v>
      </c>
      <c r="G30" s="132">
        <f>IF(SER_hh_emih_in!G30=0,0,SER_hh_emih_in!G30/SER_summary!G$27)</f>
        <v>5.2085991818468624</v>
      </c>
      <c r="H30" s="132">
        <f>IF(SER_hh_emih_in!H30=0,0,SER_hh_emih_in!H30/SER_summary!H$27)</f>
        <v>5.540370436307569</v>
      </c>
      <c r="I30" s="132">
        <f>IF(SER_hh_emih_in!I30=0,0,SER_hh_emih_in!I30/SER_summary!I$27)</f>
        <v>0</v>
      </c>
      <c r="J30" s="132">
        <f>IF(SER_hh_emih_in!J30=0,0,SER_hh_emih_in!J30/SER_summary!J$27)</f>
        <v>3.4568125001211283</v>
      </c>
      <c r="K30" s="132">
        <f>IF(SER_hh_emih_in!K30=0,0,SER_hh_emih_in!K30/SER_summary!K$27)</f>
        <v>4.3203985091617589</v>
      </c>
      <c r="L30" s="132">
        <f>IF(SER_hh_emih_in!L30=0,0,SER_hh_emih_in!L30/SER_summary!L$27)</f>
        <v>7.1994154534647103</v>
      </c>
      <c r="M30" s="132">
        <f>IF(SER_hh_emih_in!M30=0,0,SER_hh_emih_in!M30/SER_summary!M$27)</f>
        <v>0</v>
      </c>
      <c r="N30" s="132">
        <f>IF(SER_hh_emih_in!N30=0,0,SER_hh_emih_in!N30/SER_summary!N$27)</f>
        <v>0</v>
      </c>
      <c r="O30" s="132">
        <f>IF(SER_hh_emih_in!O30=0,0,SER_hh_emih_in!O30/SER_summary!O$27)</f>
        <v>0</v>
      </c>
      <c r="P30" s="132">
        <f>IF(SER_hh_emih_in!P30=0,0,SER_hh_emih_in!P30/SER_summary!P$27)</f>
        <v>0</v>
      </c>
      <c r="Q30" s="132">
        <f>IF(SER_hh_emih_in!Q30=0,0,SER_hh_emih_in!Q30/SER_summary!Q$27)</f>
        <v>4.7907592118536142</v>
      </c>
      <c r="R30" s="132">
        <f>IF(SER_hh_emih_in!R30=0,0,SER_hh_emih_in!R30/SER_summary!R$27)</f>
        <v>3.5169592090142943</v>
      </c>
      <c r="S30" s="132">
        <f>IF(SER_hh_emih_in!S30=0,0,SER_hh_emih_in!S30/SER_summary!S$27)</f>
        <v>6.4488543751702068</v>
      </c>
      <c r="T30" s="132">
        <f>IF(SER_hh_emih_in!T30=0,0,SER_hh_emih_in!T30/SER_summary!T$27)</f>
        <v>5.1721438631699881</v>
      </c>
      <c r="U30" s="132">
        <f>IF(SER_hh_emih_in!U30=0,0,SER_hh_emih_in!U30/SER_summary!U$27)</f>
        <v>5.1308477820911103</v>
      </c>
      <c r="V30" s="132">
        <f>IF(SER_hh_emih_in!V30=0,0,SER_hh_emih_in!V30/SER_summary!V$27)</f>
        <v>4.9103996136243424</v>
      </c>
      <c r="W30" s="132">
        <f>IF(SER_hh_emih_in!W30=0,0,SER_hh_emih_in!W30/SER_summary!W$27)</f>
        <v>5.9196522813808672</v>
      </c>
      <c r="X30" s="132">
        <f>IF(SER_hh_emih_in!X30=0,0,SER_hh_emih_in!X30/SER_summary!X$27)</f>
        <v>0</v>
      </c>
      <c r="Y30" s="132">
        <f>IF(SER_hh_emih_in!Y30=0,0,SER_hh_emih_in!Y30/SER_summary!Y$27)</f>
        <v>0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4.226594414647348</v>
      </c>
      <c r="D31" s="132">
        <f>IF(SER_hh_emih_in!D31=0,0,SER_hh_emih_in!D31/SER_summary!D$27)</f>
        <v>4.3919444104355145</v>
      </c>
      <c r="E31" s="132">
        <f>IF(SER_hh_emih_in!E31=0,0,SER_hh_emih_in!E31/SER_summary!E$27)</f>
        <v>4.4493610810178996</v>
      </c>
      <c r="F31" s="132">
        <f>IF(SER_hh_emih_in!F31=0,0,SER_hh_emih_in!F31/SER_summary!F$27)</f>
        <v>4.5583706621568139</v>
      </c>
      <c r="G31" s="132">
        <f>IF(SER_hh_emih_in!G31=0,0,SER_hh_emih_in!G31/SER_summary!G$27)</f>
        <v>4.5342827994732566</v>
      </c>
      <c r="H31" s="132">
        <f>IF(SER_hh_emih_in!H31=0,0,SER_hh_emih_in!H31/SER_summary!H$27)</f>
        <v>4.4730946595576553</v>
      </c>
      <c r="I31" s="132">
        <f>IF(SER_hh_emih_in!I31=0,0,SER_hh_emih_in!I31/SER_summary!I$27)</f>
        <v>4.4157465970208678</v>
      </c>
      <c r="J31" s="132">
        <f>IF(SER_hh_emih_in!J31=0,0,SER_hh_emih_in!J31/SER_summary!J$27)</f>
        <v>4.4147372111887471</v>
      </c>
      <c r="K31" s="132">
        <f>IF(SER_hh_emih_in!K31=0,0,SER_hh_emih_in!K31/SER_summary!K$27)</f>
        <v>4.5213320820303133</v>
      </c>
      <c r="L31" s="132">
        <f>IF(SER_hh_emih_in!L31=0,0,SER_hh_emih_in!L31/SER_summary!L$27)</f>
        <v>4.5565738006382546</v>
      </c>
      <c r="M31" s="132">
        <f>IF(SER_hh_emih_in!M31=0,0,SER_hh_emih_in!M31/SER_summary!M$27)</f>
        <v>4.552819072314481</v>
      </c>
      <c r="N31" s="132">
        <f>IF(SER_hh_emih_in!N31=0,0,SER_hh_emih_in!N31/SER_summary!N$27)</f>
        <v>4.5471877534587852</v>
      </c>
      <c r="O31" s="132">
        <f>IF(SER_hh_emih_in!O31=0,0,SER_hh_emih_in!O31/SER_summary!O$27)</f>
        <v>4.5725176725731513</v>
      </c>
      <c r="P31" s="132">
        <f>IF(SER_hh_emih_in!P31=0,0,SER_hh_emih_in!P31/SER_summary!P$27)</f>
        <v>4.6117724018880555</v>
      </c>
      <c r="Q31" s="132">
        <f>IF(SER_hh_emih_in!Q31=0,0,SER_hh_emih_in!Q31/SER_summary!Q$27)</f>
        <v>4.6066451322075945</v>
      </c>
      <c r="R31" s="132">
        <f>IF(SER_hh_emih_in!R31=0,0,SER_hh_emih_in!R31/SER_summary!R$27)</f>
        <v>4.567545082550815</v>
      </c>
      <c r="S31" s="132">
        <f>IF(SER_hh_emih_in!S31=0,0,SER_hh_emih_in!S31/SER_summary!S$27)</f>
        <v>4.5121720762850588</v>
      </c>
      <c r="T31" s="132">
        <f>IF(SER_hh_emih_in!T31=0,0,SER_hh_emih_in!T31/SER_summary!T$27)</f>
        <v>4.4687803454959489</v>
      </c>
      <c r="U31" s="132">
        <f>IF(SER_hh_emih_in!U31=0,0,SER_hh_emih_in!U31/SER_summary!U$27)</f>
        <v>4.5317215726534963</v>
      </c>
      <c r="V31" s="132">
        <f>IF(SER_hh_emih_in!V31=0,0,SER_hh_emih_in!V31/SER_summary!V$27)</f>
        <v>4.1620066987116351</v>
      </c>
      <c r="W31" s="132">
        <f>IF(SER_hh_emih_in!W31=0,0,SER_hh_emih_in!W31/SER_summary!W$27)</f>
        <v>4.2365267278610403</v>
      </c>
      <c r="X31" s="132">
        <f>IF(SER_hh_emih_in!X31=0,0,SER_hh_emih_in!X31/SER_summary!X$27)</f>
        <v>4.1361787693069667</v>
      </c>
      <c r="Y31" s="132">
        <f>IF(SER_hh_emih_in!Y31=0,0,SER_hh_emih_in!Y31/SER_summary!Y$27)</f>
        <v>4.560162808177437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2.0377045046690814</v>
      </c>
      <c r="D32" s="132">
        <f>IF(SER_hh_emih_in!D32=0,0,SER_hh_emih_in!D32/SER_summary!D$27)</f>
        <v>2.1649895919745878</v>
      </c>
      <c r="E32" s="132">
        <f>IF(SER_hh_emih_in!E32=0,0,SER_hh_emih_in!E32/SER_summary!E$27)</f>
        <v>1.9955095117229766</v>
      </c>
      <c r="F32" s="132">
        <f>IF(SER_hh_emih_in!F32=0,0,SER_hh_emih_in!F32/SER_summary!F$27)</f>
        <v>1.536650912306865</v>
      </c>
      <c r="G32" s="132">
        <f>IF(SER_hh_emih_in!G32=0,0,SER_hh_emih_in!G32/SER_summary!G$27)</f>
        <v>3.8067684816114902</v>
      </c>
      <c r="H32" s="132">
        <f>IF(SER_hh_emih_in!H32=0,0,SER_hh_emih_in!H32/SER_summary!H$27)</f>
        <v>2.3708723145162311</v>
      </c>
      <c r="I32" s="132">
        <f>IF(SER_hh_emih_in!I32=0,0,SER_hh_emih_in!I32/SER_summary!I$27)</f>
        <v>1.154106774523362</v>
      </c>
      <c r="J32" s="132">
        <f>IF(SER_hh_emih_in!J32=0,0,SER_hh_emih_in!J32/SER_summary!J$27)</f>
        <v>0.22754959411652945</v>
      </c>
      <c r="K32" s="132">
        <f>IF(SER_hh_emih_in!K32=0,0,SER_hh_emih_in!K32/SER_summary!K$27)</f>
        <v>0.2324292812321771</v>
      </c>
      <c r="L32" s="132">
        <f>IF(SER_hh_emih_in!L32=0,0,SER_hh_emih_in!L32/SER_summary!L$27)</f>
        <v>0.22266157881759796</v>
      </c>
      <c r="M32" s="132">
        <f>IF(SER_hh_emih_in!M32=0,0,SER_hh_emih_in!M32/SER_summary!M$27)</f>
        <v>0.22538309048310112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514.53763001484162</v>
      </c>
      <c r="C3" s="179">
        <f t="shared" ref="C3:W3" si="1">SUM(C4:C9)</f>
        <v>526.16950685590166</v>
      </c>
      <c r="D3" s="179">
        <f t="shared" si="1"/>
        <v>537.91061912289899</v>
      </c>
      <c r="E3" s="179">
        <f t="shared" si="1"/>
        <v>549.47153587945354</v>
      </c>
      <c r="F3" s="179">
        <f t="shared" si="1"/>
        <v>564.52946347041438</v>
      </c>
      <c r="G3" s="179">
        <f t="shared" si="1"/>
        <v>579.02840645563629</v>
      </c>
      <c r="H3" s="179">
        <f t="shared" si="1"/>
        <v>595.51195811477226</v>
      </c>
      <c r="I3" s="179">
        <f t="shared" si="1"/>
        <v>611.60739174209129</v>
      </c>
      <c r="J3" s="179">
        <f t="shared" si="1"/>
        <v>625.13382219441394</v>
      </c>
      <c r="K3" s="179">
        <f t="shared" si="1"/>
        <v>627.10914044882259</v>
      </c>
      <c r="L3" s="179">
        <f t="shared" si="1"/>
        <v>637.05671093020578</v>
      </c>
      <c r="M3" s="179">
        <f t="shared" si="1"/>
        <v>645.79798989172207</v>
      </c>
      <c r="N3" s="179">
        <f t="shared" si="1"/>
        <v>650.94558757496475</v>
      </c>
      <c r="O3" s="179">
        <f t="shared" si="1"/>
        <v>657.37867281043157</v>
      </c>
      <c r="P3" s="179">
        <f t="shared" si="1"/>
        <v>668.05055138158082</v>
      </c>
      <c r="Q3" s="179">
        <f t="shared" si="1"/>
        <v>684.92568207020804</v>
      </c>
      <c r="R3" s="179">
        <f t="shared" si="1"/>
        <v>682.81493134163247</v>
      </c>
      <c r="S3" s="179">
        <f t="shared" si="1"/>
        <v>695.19283268569609</v>
      </c>
      <c r="T3" s="179">
        <f t="shared" si="1"/>
        <v>696.88443309898082</v>
      </c>
      <c r="U3" s="179">
        <f t="shared" si="1"/>
        <v>696.15321463108569</v>
      </c>
      <c r="V3" s="179">
        <f t="shared" si="1"/>
        <v>663.78980355624719</v>
      </c>
      <c r="W3" s="179">
        <f t="shared" si="1"/>
        <v>663.20677984697886</v>
      </c>
      <c r="X3" s="179">
        <f t="shared" ref="X3:Y3" si="2">SUM(X4:X9)</f>
        <v>668.28471984831526</v>
      </c>
      <c r="Y3" s="179">
        <f t="shared" si="2"/>
        <v>667.79793241987966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37.447656622869388</v>
      </c>
      <c r="C4" s="180">
        <f t="shared" ref="C4:R9" si="4">C12*C44/11630</f>
        <v>38.544311999765831</v>
      </c>
      <c r="D4" s="180">
        <f t="shared" si="4"/>
        <v>39.614431336012586</v>
      </c>
      <c r="E4" s="180">
        <f t="shared" si="4"/>
        <v>40.562054001446278</v>
      </c>
      <c r="F4" s="180">
        <f t="shared" si="4"/>
        <v>41.720566944457701</v>
      </c>
      <c r="G4" s="180">
        <f t="shared" si="4"/>
        <v>42.872912076234037</v>
      </c>
      <c r="H4" s="180">
        <f t="shared" si="4"/>
        <v>44.311126175192562</v>
      </c>
      <c r="I4" s="180">
        <f t="shared" si="4"/>
        <v>45.873214944668021</v>
      </c>
      <c r="J4" s="180">
        <f t="shared" si="4"/>
        <v>47.114972933048364</v>
      </c>
      <c r="K4" s="180">
        <f t="shared" si="4"/>
        <v>46.983256663295869</v>
      </c>
      <c r="L4" s="180">
        <f t="shared" si="4"/>
        <v>47.926144692641259</v>
      </c>
      <c r="M4" s="180">
        <f t="shared" si="4"/>
        <v>48.585940783160041</v>
      </c>
      <c r="N4" s="180">
        <f t="shared" si="4"/>
        <v>48.981610839985841</v>
      </c>
      <c r="O4" s="180">
        <f t="shared" si="4"/>
        <v>49.39537012206506</v>
      </c>
      <c r="P4" s="180">
        <f t="shared" si="4"/>
        <v>49.860526146218547</v>
      </c>
      <c r="Q4" s="180">
        <f t="shared" si="4"/>
        <v>50.39416446498003</v>
      </c>
      <c r="R4" s="180">
        <f t="shared" si="4"/>
        <v>50.702296625545181</v>
      </c>
      <c r="S4" s="180">
        <f t="shared" ref="D4:W9" si="5">S12*S44/11630</f>
        <v>51.01944365404642</v>
      </c>
      <c r="T4" s="180">
        <f t="shared" si="5"/>
        <v>51.284748902035211</v>
      </c>
      <c r="U4" s="180">
        <f t="shared" si="5"/>
        <v>51.631227319713091</v>
      </c>
      <c r="V4" s="180">
        <f t="shared" si="5"/>
        <v>51.924655322393868</v>
      </c>
      <c r="W4" s="180">
        <f t="shared" si="5"/>
        <v>52.172432123636355</v>
      </c>
      <c r="X4" s="180">
        <f t="shared" ref="X4:Y4" si="6">X12*X44/11630</f>
        <v>52.219416518117377</v>
      </c>
      <c r="Y4" s="180">
        <f t="shared" si="6"/>
        <v>52.186673077079078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86.480565165208972</v>
      </c>
      <c r="C5" s="180">
        <f t="shared" si="4"/>
        <v>86.740221154906152</v>
      </c>
      <c r="D5" s="180">
        <f t="shared" si="5"/>
        <v>86.759118225718709</v>
      </c>
      <c r="E5" s="180">
        <f t="shared" si="5"/>
        <v>86.771527388435871</v>
      </c>
      <c r="F5" s="180">
        <f t="shared" si="5"/>
        <v>87.518727947215879</v>
      </c>
      <c r="G5" s="180">
        <f t="shared" si="5"/>
        <v>87.94433042086807</v>
      </c>
      <c r="H5" s="180">
        <f t="shared" si="5"/>
        <v>88.518436580054214</v>
      </c>
      <c r="I5" s="180">
        <f t="shared" si="5"/>
        <v>88.3370925480897</v>
      </c>
      <c r="J5" s="180">
        <f t="shared" si="5"/>
        <v>88.960256615141688</v>
      </c>
      <c r="K5" s="180">
        <f t="shared" si="5"/>
        <v>90.023896981043691</v>
      </c>
      <c r="L5" s="180">
        <f t="shared" si="5"/>
        <v>90.048823942750943</v>
      </c>
      <c r="M5" s="180">
        <f t="shared" si="5"/>
        <v>90.716995467882143</v>
      </c>
      <c r="N5" s="180">
        <f t="shared" si="5"/>
        <v>91.401577478118227</v>
      </c>
      <c r="O5" s="180">
        <f t="shared" si="5"/>
        <v>92.35680327822277</v>
      </c>
      <c r="P5" s="180">
        <f t="shared" si="5"/>
        <v>93.483781166225953</v>
      </c>
      <c r="Q5" s="180">
        <f t="shared" si="5"/>
        <v>95.46251240097061</v>
      </c>
      <c r="R5" s="180">
        <f t="shared" si="5"/>
        <v>92.647791843628013</v>
      </c>
      <c r="S5" s="180">
        <f t="shared" si="5"/>
        <v>92.107034657512202</v>
      </c>
      <c r="T5" s="180">
        <f t="shared" si="5"/>
        <v>89.582288969275382</v>
      </c>
      <c r="U5" s="180">
        <f t="shared" si="5"/>
        <v>86.698452505325321</v>
      </c>
      <c r="V5" s="180">
        <f t="shared" si="5"/>
        <v>83.271760857877183</v>
      </c>
      <c r="W5" s="180">
        <f t="shared" si="5"/>
        <v>79.91032109650078</v>
      </c>
      <c r="X5" s="180">
        <f t="shared" ref="X5:Y5" si="7">X13*X45/11630</f>
        <v>77.153481376113888</v>
      </c>
      <c r="Y5" s="180">
        <f t="shared" si="7"/>
        <v>75.770894334614866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202.28380511839984</v>
      </c>
      <c r="C6" s="180">
        <f t="shared" si="4"/>
        <v>203.08395409582624</v>
      </c>
      <c r="D6" s="180">
        <f t="shared" si="5"/>
        <v>204.70665467651685</v>
      </c>
      <c r="E6" s="180">
        <f t="shared" si="5"/>
        <v>205.84802263211893</v>
      </c>
      <c r="F6" s="180">
        <f t="shared" si="5"/>
        <v>209.269274114296</v>
      </c>
      <c r="G6" s="180">
        <f t="shared" si="5"/>
        <v>211.42888866189773</v>
      </c>
      <c r="H6" s="180">
        <f t="shared" si="5"/>
        <v>214.8058930064561</v>
      </c>
      <c r="I6" s="180">
        <f t="shared" si="5"/>
        <v>220.12506507172995</v>
      </c>
      <c r="J6" s="180">
        <f t="shared" si="5"/>
        <v>223.8129959515139</v>
      </c>
      <c r="K6" s="180">
        <f t="shared" si="5"/>
        <v>219.19552162340565</v>
      </c>
      <c r="L6" s="180">
        <f t="shared" si="5"/>
        <v>221.80051836540576</v>
      </c>
      <c r="M6" s="180">
        <f t="shared" si="5"/>
        <v>223.29227861156139</v>
      </c>
      <c r="N6" s="180">
        <f t="shared" si="5"/>
        <v>223.12822835444504</v>
      </c>
      <c r="O6" s="180">
        <f t="shared" si="5"/>
        <v>222.30528249603225</v>
      </c>
      <c r="P6" s="180">
        <f t="shared" si="5"/>
        <v>223.53679721313912</v>
      </c>
      <c r="Q6" s="180">
        <f t="shared" si="5"/>
        <v>226.34527197738322</v>
      </c>
      <c r="R6" s="180">
        <f t="shared" si="5"/>
        <v>217.29901597781119</v>
      </c>
      <c r="S6" s="180">
        <f t="shared" si="5"/>
        <v>216.33381337195794</v>
      </c>
      <c r="T6" s="180">
        <f t="shared" si="5"/>
        <v>208.41727866560873</v>
      </c>
      <c r="U6" s="180">
        <f t="shared" si="5"/>
        <v>200.00699445002638</v>
      </c>
      <c r="V6" s="180">
        <f t="shared" si="5"/>
        <v>174.80693761032762</v>
      </c>
      <c r="W6" s="180">
        <f t="shared" si="5"/>
        <v>169.14278383961582</v>
      </c>
      <c r="X6" s="180">
        <f t="shared" ref="X6:Y6" si="8">X14*X46/11630</f>
        <v>166.64501973813006</v>
      </c>
      <c r="Y6" s="180">
        <f t="shared" si="8"/>
        <v>160.32464318508389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93.176019407284599</v>
      </c>
      <c r="C7" s="180">
        <f t="shared" si="4"/>
        <v>93.566295453013538</v>
      </c>
      <c r="D7" s="180">
        <f t="shared" si="5"/>
        <v>94.183139393477887</v>
      </c>
      <c r="E7" s="180">
        <f t="shared" si="5"/>
        <v>94.657805127665213</v>
      </c>
      <c r="F7" s="180">
        <f t="shared" si="5"/>
        <v>94.997681511232088</v>
      </c>
      <c r="G7" s="180">
        <f t="shared" si="5"/>
        <v>95.647620173085102</v>
      </c>
      <c r="H7" s="180">
        <f t="shared" si="5"/>
        <v>96.217369357157807</v>
      </c>
      <c r="I7" s="180">
        <f t="shared" si="5"/>
        <v>96.710439380092311</v>
      </c>
      <c r="J7" s="180">
        <f t="shared" si="5"/>
        <v>97.058112243494293</v>
      </c>
      <c r="K7" s="180">
        <f t="shared" si="5"/>
        <v>97.549687522683158</v>
      </c>
      <c r="L7" s="180">
        <f t="shared" si="5"/>
        <v>97.971601286420764</v>
      </c>
      <c r="M7" s="180">
        <f t="shared" si="5"/>
        <v>98.347791631142783</v>
      </c>
      <c r="N7" s="180">
        <f t="shared" si="5"/>
        <v>99.055928891362726</v>
      </c>
      <c r="O7" s="180">
        <f t="shared" si="5"/>
        <v>100.12160355212299</v>
      </c>
      <c r="P7" s="180">
        <f t="shared" si="5"/>
        <v>101.55454375580305</v>
      </c>
      <c r="Q7" s="180">
        <f t="shared" si="5"/>
        <v>103.69586763945183</v>
      </c>
      <c r="R7" s="180">
        <f t="shared" si="5"/>
        <v>106.01962276496053</v>
      </c>
      <c r="S7" s="180">
        <f t="shared" si="5"/>
        <v>107.94679359997383</v>
      </c>
      <c r="T7" s="180">
        <f t="shared" si="5"/>
        <v>109.77318321232846</v>
      </c>
      <c r="U7" s="180">
        <f t="shared" si="5"/>
        <v>111.33269956048485</v>
      </c>
      <c r="V7" s="180">
        <f t="shared" si="5"/>
        <v>112.52392262592383</v>
      </c>
      <c r="W7" s="180">
        <f t="shared" si="5"/>
        <v>113.56153849437801</v>
      </c>
      <c r="X7" s="180">
        <f t="shared" ref="X7:Y7" si="9">X15*X47/11630</f>
        <v>113.89777176223362</v>
      </c>
      <c r="Y7" s="180">
        <f t="shared" si="9"/>
        <v>114.63129333519959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43.967471829597237</v>
      </c>
      <c r="C8" s="55">
        <f t="shared" si="4"/>
        <v>45.75958382647832</v>
      </c>
      <c r="D8" s="55">
        <f t="shared" si="5"/>
        <v>47.723768687387448</v>
      </c>
      <c r="E8" s="55">
        <f t="shared" si="5"/>
        <v>49.87329249025607</v>
      </c>
      <c r="F8" s="55">
        <f t="shared" si="5"/>
        <v>52.747598047805823</v>
      </c>
      <c r="G8" s="55">
        <f t="shared" si="5"/>
        <v>55.824796687421106</v>
      </c>
      <c r="H8" s="55">
        <f t="shared" si="5"/>
        <v>59.275097243954527</v>
      </c>
      <c r="I8" s="55">
        <f t="shared" si="5"/>
        <v>63.223797309896817</v>
      </c>
      <c r="J8" s="55">
        <f t="shared" si="5"/>
        <v>67.057010074299527</v>
      </c>
      <c r="K8" s="55">
        <f t="shared" si="5"/>
        <v>68.912941623182093</v>
      </c>
      <c r="L8" s="55">
        <f t="shared" si="5"/>
        <v>71.808558646870992</v>
      </c>
      <c r="M8" s="55">
        <f t="shared" si="5"/>
        <v>73.837392772364424</v>
      </c>
      <c r="N8" s="55">
        <f t="shared" si="5"/>
        <v>75.176827000423032</v>
      </c>
      <c r="O8" s="55">
        <f t="shared" si="5"/>
        <v>76.323112728133566</v>
      </c>
      <c r="P8" s="55">
        <f t="shared" si="5"/>
        <v>77.325004274536724</v>
      </c>
      <c r="Q8" s="55">
        <f t="shared" si="5"/>
        <v>78.193559246450945</v>
      </c>
      <c r="R8" s="55">
        <f t="shared" si="5"/>
        <v>81.038040585702674</v>
      </c>
      <c r="S8" s="55">
        <f t="shared" si="5"/>
        <v>85.849824143854775</v>
      </c>
      <c r="T8" s="55">
        <f t="shared" si="5"/>
        <v>89.970824580930284</v>
      </c>
      <c r="U8" s="55">
        <f t="shared" si="5"/>
        <v>93.253122813294908</v>
      </c>
      <c r="V8" s="55">
        <f t="shared" si="5"/>
        <v>88.465942765154395</v>
      </c>
      <c r="W8" s="55">
        <f t="shared" si="5"/>
        <v>91.824547640463322</v>
      </c>
      <c r="X8" s="55">
        <f t="shared" ref="X8:Y8" si="10">X16*X48/11630</f>
        <v>97.505106959621358</v>
      </c>
      <c r="Y8" s="55">
        <f t="shared" si="10"/>
        <v>100.87197235088706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51.182111871481688</v>
      </c>
      <c r="C9" s="63">
        <f t="shared" si="4"/>
        <v>58.475140325911561</v>
      </c>
      <c r="D9" s="63">
        <f t="shared" si="5"/>
        <v>64.923506803785571</v>
      </c>
      <c r="E9" s="63">
        <f t="shared" si="5"/>
        <v>71.758834239531254</v>
      </c>
      <c r="F9" s="63">
        <f t="shared" si="5"/>
        <v>78.275614905406954</v>
      </c>
      <c r="G9" s="63">
        <f t="shared" si="5"/>
        <v>85.309858436130256</v>
      </c>
      <c r="H9" s="63">
        <f t="shared" si="5"/>
        <v>92.384035751957086</v>
      </c>
      <c r="I9" s="63">
        <f t="shared" si="5"/>
        <v>97.33778248761449</v>
      </c>
      <c r="J9" s="63">
        <f t="shared" si="5"/>
        <v>101.13047437691614</v>
      </c>
      <c r="K9" s="63">
        <f t="shared" si="5"/>
        <v>104.4438360352121</v>
      </c>
      <c r="L9" s="63">
        <f t="shared" si="5"/>
        <v>107.50106399611605</v>
      </c>
      <c r="M9" s="63">
        <f t="shared" si="5"/>
        <v>111.01759062561118</v>
      </c>
      <c r="N9" s="63">
        <f t="shared" si="5"/>
        <v>113.20141501062989</v>
      </c>
      <c r="O9" s="63">
        <f t="shared" si="5"/>
        <v>116.87650063385493</v>
      </c>
      <c r="P9" s="63">
        <f t="shared" si="5"/>
        <v>122.28989882565743</v>
      </c>
      <c r="Q9" s="63">
        <f t="shared" si="5"/>
        <v>130.83430634097138</v>
      </c>
      <c r="R9" s="63">
        <f t="shared" si="5"/>
        <v>135.10816354398486</v>
      </c>
      <c r="S9" s="63">
        <f t="shared" si="5"/>
        <v>141.93592325835098</v>
      </c>
      <c r="T9" s="63">
        <f t="shared" si="5"/>
        <v>147.85610876880273</v>
      </c>
      <c r="U9" s="63">
        <f t="shared" si="5"/>
        <v>153.23071798224109</v>
      </c>
      <c r="V9" s="63">
        <f t="shared" si="5"/>
        <v>152.79658437457024</v>
      </c>
      <c r="W9" s="63">
        <f t="shared" si="5"/>
        <v>156.59515665238462</v>
      </c>
      <c r="X9" s="63">
        <f t="shared" ref="X9:Y9" si="11">X17*X49/11630</f>
        <v>160.86392349409894</v>
      </c>
      <c r="Y9" s="63">
        <f t="shared" si="11"/>
        <v>164.01245613701519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2339.6406701332007</v>
      </c>
      <c r="C11" s="179">
        <f t="shared" ref="C11:W11" si="13">SUM(C12:C17)</f>
        <v>2388.8355161339664</v>
      </c>
      <c r="D11" s="179">
        <f t="shared" si="13"/>
        <v>2437.8362210242531</v>
      </c>
      <c r="E11" s="179">
        <f t="shared" si="13"/>
        <v>2491.2494921287444</v>
      </c>
      <c r="F11" s="179">
        <f t="shared" si="13"/>
        <v>2563.4705894803483</v>
      </c>
      <c r="G11" s="179">
        <f t="shared" si="13"/>
        <v>2637.8484446158682</v>
      </c>
      <c r="H11" s="179">
        <f t="shared" si="13"/>
        <v>2726.5112411619725</v>
      </c>
      <c r="I11" s="179">
        <f t="shared" si="13"/>
        <v>2818.2468590121439</v>
      </c>
      <c r="J11" s="179">
        <f t="shared" si="13"/>
        <v>2896.3959085755027</v>
      </c>
      <c r="K11" s="179">
        <f t="shared" si="13"/>
        <v>2906.2975041537629</v>
      </c>
      <c r="L11" s="179">
        <f t="shared" si="13"/>
        <v>2961.4339327603243</v>
      </c>
      <c r="M11" s="179">
        <f t="shared" si="13"/>
        <v>2999.5959151159909</v>
      </c>
      <c r="N11" s="179">
        <f t="shared" si="13"/>
        <v>3022.2301159540475</v>
      </c>
      <c r="O11" s="179">
        <f t="shared" si="13"/>
        <v>3052.1399112315912</v>
      </c>
      <c r="P11" s="179">
        <f t="shared" si="13"/>
        <v>3097.4423120522943</v>
      </c>
      <c r="Q11" s="179">
        <f t="shared" si="13"/>
        <v>3171.8763388806237</v>
      </c>
      <c r="R11" s="179">
        <f t="shared" si="13"/>
        <v>3234.3189733715731</v>
      </c>
      <c r="S11" s="179">
        <f t="shared" si="13"/>
        <v>3296.9620855518215</v>
      </c>
      <c r="T11" s="179">
        <f t="shared" si="13"/>
        <v>3343.5831218129038</v>
      </c>
      <c r="U11" s="179">
        <f t="shared" si="13"/>
        <v>3373.9840194395529</v>
      </c>
      <c r="V11" s="179">
        <f t="shared" si="13"/>
        <v>3381.4391617416022</v>
      </c>
      <c r="W11" s="179">
        <f t="shared" si="13"/>
        <v>3381.9815611050062</v>
      </c>
      <c r="X11" s="179">
        <f t="shared" ref="X11:Y11" si="14">SUM(X12:X17)</f>
        <v>3363.7403016559379</v>
      </c>
      <c r="Y11" s="179">
        <f t="shared" si="14"/>
        <v>3343.7056105263669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49.716466498170213</v>
      </c>
      <c r="C12" s="180">
        <f t="shared" ref="C12:W12" si="15">C20*C52</f>
        <v>51.172414218867182</v>
      </c>
      <c r="D12" s="180">
        <f t="shared" si="15"/>
        <v>52.5931320134505</v>
      </c>
      <c r="E12" s="180">
        <f t="shared" si="15"/>
        <v>53.851220095527431</v>
      </c>
      <c r="F12" s="180">
        <f t="shared" si="15"/>
        <v>55.389291502744655</v>
      </c>
      <c r="G12" s="180">
        <f t="shared" si="15"/>
        <v>56.919174366050477</v>
      </c>
      <c r="H12" s="180">
        <f t="shared" si="15"/>
        <v>58.828584180078721</v>
      </c>
      <c r="I12" s="180">
        <f t="shared" si="15"/>
        <v>60.902453174256763</v>
      </c>
      <c r="J12" s="180">
        <f t="shared" si="15"/>
        <v>62.551042832346177</v>
      </c>
      <c r="K12" s="180">
        <f t="shared" si="15"/>
        <v>62.37617294453549</v>
      </c>
      <c r="L12" s="180">
        <f t="shared" si="15"/>
        <v>63.627975202673269</v>
      </c>
      <c r="M12" s="180">
        <f t="shared" si="15"/>
        <v>64.503937363944218</v>
      </c>
      <c r="N12" s="180">
        <f t="shared" si="15"/>
        <v>65.029239048976621</v>
      </c>
      <c r="O12" s="180">
        <f t="shared" si="15"/>
        <v>65.578556452011043</v>
      </c>
      <c r="P12" s="180">
        <f t="shared" si="15"/>
        <v>66.196109484077837</v>
      </c>
      <c r="Q12" s="180">
        <f t="shared" si="15"/>
        <v>66.904581361611648</v>
      </c>
      <c r="R12" s="180">
        <f t="shared" si="15"/>
        <v>67.313665497156478</v>
      </c>
      <c r="S12" s="180">
        <f t="shared" si="15"/>
        <v>67.734718001890428</v>
      </c>
      <c r="T12" s="180">
        <f t="shared" si="15"/>
        <v>68.086944033181467</v>
      </c>
      <c r="U12" s="180">
        <f t="shared" si="15"/>
        <v>68.546937640212718</v>
      </c>
      <c r="V12" s="180">
        <f t="shared" si="15"/>
        <v>68.936500159753507</v>
      </c>
      <c r="W12" s="180">
        <f t="shared" si="15"/>
        <v>69.265454976928211</v>
      </c>
      <c r="X12" s="180">
        <f t="shared" ref="X12:Y12" si="16">X20*X52</f>
        <v>69.327832660468644</v>
      </c>
      <c r="Y12" s="180">
        <f t="shared" si="16"/>
        <v>69.28436163087099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252.98719622022759</v>
      </c>
      <c r="C13" s="180">
        <f t="shared" ref="C13:W13" si="17">C21*C53/1000</f>
        <v>253.94841156753421</v>
      </c>
      <c r="D13" s="180">
        <f t="shared" si="17"/>
        <v>254.16260546783295</v>
      </c>
      <c r="E13" s="180">
        <f t="shared" si="17"/>
        <v>254.20773857845032</v>
      </c>
      <c r="F13" s="180">
        <f t="shared" si="17"/>
        <v>256.42051251644966</v>
      </c>
      <c r="G13" s="180">
        <f t="shared" si="17"/>
        <v>257.72766478199895</v>
      </c>
      <c r="H13" s="180">
        <f t="shared" si="17"/>
        <v>259.51618217927</v>
      </c>
      <c r="I13" s="180">
        <f t="shared" si="17"/>
        <v>259.38283094674841</v>
      </c>
      <c r="J13" s="180">
        <f t="shared" si="17"/>
        <v>261.5191155919249</v>
      </c>
      <c r="K13" s="180">
        <f t="shared" si="17"/>
        <v>265.03814852667682</v>
      </c>
      <c r="L13" s="180">
        <f t="shared" si="17"/>
        <v>265.60238411973415</v>
      </c>
      <c r="M13" s="180">
        <f t="shared" si="17"/>
        <v>268.55517095241635</v>
      </c>
      <c r="N13" s="180">
        <f t="shared" si="17"/>
        <v>272.44602648190147</v>
      </c>
      <c r="O13" s="180">
        <f t="shared" si="17"/>
        <v>277.34848320712405</v>
      </c>
      <c r="P13" s="180">
        <f t="shared" si="17"/>
        <v>283.04074404887137</v>
      </c>
      <c r="Q13" s="180">
        <f t="shared" si="17"/>
        <v>291.70840717760007</v>
      </c>
      <c r="R13" s="180">
        <f t="shared" si="17"/>
        <v>289.31192815018125</v>
      </c>
      <c r="S13" s="180">
        <f t="shared" si="17"/>
        <v>285.49332407979745</v>
      </c>
      <c r="T13" s="180">
        <f t="shared" si="17"/>
        <v>278.80487083256708</v>
      </c>
      <c r="U13" s="180">
        <f t="shared" si="17"/>
        <v>270.7816352114632</v>
      </c>
      <c r="V13" s="180">
        <f t="shared" si="17"/>
        <v>261.05137542779528</v>
      </c>
      <c r="W13" s="180">
        <f t="shared" si="17"/>
        <v>251.55864934310992</v>
      </c>
      <c r="X13" s="180">
        <f t="shared" ref="X13:Y13" si="18">X21*X53/1000</f>
        <v>243.50225469812369</v>
      </c>
      <c r="Y13" s="180">
        <f t="shared" si="18"/>
        <v>239.75286391841112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1017.2013483946909</v>
      </c>
      <c r="C14" s="180">
        <f t="shared" ref="C14:W14" si="19">C22*C54</f>
        <v>1015.279551000869</v>
      </c>
      <c r="D14" s="180">
        <f t="shared" si="19"/>
        <v>1017.1091934239058</v>
      </c>
      <c r="E14" s="180">
        <f t="shared" si="19"/>
        <v>1018.2678729876466</v>
      </c>
      <c r="F14" s="180">
        <f t="shared" si="19"/>
        <v>1027.6063068397054</v>
      </c>
      <c r="G14" s="180">
        <f t="shared" si="19"/>
        <v>1032.337122864232</v>
      </c>
      <c r="H14" s="180">
        <f t="shared" si="19"/>
        <v>1043.1521486183817</v>
      </c>
      <c r="I14" s="180">
        <f t="shared" si="19"/>
        <v>1064.3577686663066</v>
      </c>
      <c r="J14" s="180">
        <f t="shared" si="19"/>
        <v>1077.8092989182435</v>
      </c>
      <c r="K14" s="180">
        <f t="shared" si="19"/>
        <v>1052.2300897981254</v>
      </c>
      <c r="L14" s="180">
        <f t="shared" si="19"/>
        <v>1062.9406319770665</v>
      </c>
      <c r="M14" s="180">
        <f t="shared" si="19"/>
        <v>1067.9184432731497</v>
      </c>
      <c r="N14" s="180">
        <f t="shared" si="19"/>
        <v>1063.1989365889981</v>
      </c>
      <c r="O14" s="180">
        <f t="shared" si="19"/>
        <v>1058.2581518954469</v>
      </c>
      <c r="P14" s="180">
        <f t="shared" si="19"/>
        <v>1059.9170159208352</v>
      </c>
      <c r="Q14" s="180">
        <f t="shared" si="19"/>
        <v>1071.221608440618</v>
      </c>
      <c r="R14" s="180">
        <f t="shared" si="19"/>
        <v>1049.3165244106647</v>
      </c>
      <c r="S14" s="180">
        <f t="shared" si="19"/>
        <v>1026.4950263667949</v>
      </c>
      <c r="T14" s="180">
        <f t="shared" si="19"/>
        <v>993.36976448436519</v>
      </c>
      <c r="U14" s="180">
        <f t="shared" si="19"/>
        <v>956.03898350150655</v>
      </c>
      <c r="V14" s="180">
        <f t="shared" si="19"/>
        <v>909.9594119530841</v>
      </c>
      <c r="W14" s="180">
        <f t="shared" si="19"/>
        <v>869.92783145054477</v>
      </c>
      <c r="X14" s="180">
        <f t="shared" ref="X14:Y14" si="20">X22*X54</f>
        <v>824.13125441944283</v>
      </c>
      <c r="Y14" s="180">
        <f t="shared" si="20"/>
        <v>777.92083345487993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123.70286594825572</v>
      </c>
      <c r="C15" s="180">
        <f t="shared" ref="C15:W15" si="21">C23*C55/1000</f>
        <v>124.22100640622688</v>
      </c>
      <c r="D15" s="180">
        <f t="shared" si="21"/>
        <v>125.0399441947657</v>
      </c>
      <c r="E15" s="180">
        <f t="shared" si="21"/>
        <v>125.67012256104417</v>
      </c>
      <c r="F15" s="180">
        <f t="shared" si="21"/>
        <v>126.12135113877045</v>
      </c>
      <c r="G15" s="180">
        <f t="shared" si="21"/>
        <v>126.98422632568264</v>
      </c>
      <c r="H15" s="180">
        <f t="shared" si="21"/>
        <v>127.74063991138642</v>
      </c>
      <c r="I15" s="180">
        <f t="shared" si="21"/>
        <v>128.39525228201751</v>
      </c>
      <c r="J15" s="180">
        <f t="shared" si="21"/>
        <v>128.85683166573503</v>
      </c>
      <c r="K15" s="180">
        <f t="shared" si="21"/>
        <v>129.50945957634764</v>
      </c>
      <c r="L15" s="180">
        <f t="shared" si="21"/>
        <v>130.06960307774818</v>
      </c>
      <c r="M15" s="180">
        <f t="shared" si="21"/>
        <v>130.56904299888021</v>
      </c>
      <c r="N15" s="180">
        <f t="shared" si="21"/>
        <v>131.50918413316768</v>
      </c>
      <c r="O15" s="180">
        <f t="shared" si="21"/>
        <v>132.92400106292126</v>
      </c>
      <c r="P15" s="180">
        <f t="shared" si="21"/>
        <v>134.82640911872025</v>
      </c>
      <c r="Q15" s="180">
        <f t="shared" si="21"/>
        <v>137.66928546196633</v>
      </c>
      <c r="R15" s="180">
        <f t="shared" si="21"/>
        <v>140.75436218681403</v>
      </c>
      <c r="S15" s="180">
        <f t="shared" si="21"/>
        <v>143.31292346663196</v>
      </c>
      <c r="T15" s="180">
        <f t="shared" si="21"/>
        <v>145.73768501819413</v>
      </c>
      <c r="U15" s="180">
        <f t="shared" si="21"/>
        <v>147.80813880005016</v>
      </c>
      <c r="V15" s="180">
        <f t="shared" si="21"/>
        <v>149.38963700222538</v>
      </c>
      <c r="W15" s="180">
        <f t="shared" si="21"/>
        <v>150.76720236182834</v>
      </c>
      <c r="X15" s="180">
        <f t="shared" ref="X15:Y15" si="22">X23*X55/1000</f>
        <v>151.21359424597912</v>
      </c>
      <c r="Y15" s="180">
        <f t="shared" si="22"/>
        <v>152.18743624296476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637.35355220395013</v>
      </c>
      <c r="C16" s="55">
        <f t="shared" ref="C16:W16" si="23">C24*C56</f>
        <v>660.17845710827703</v>
      </c>
      <c r="D16" s="55">
        <f t="shared" si="23"/>
        <v>685.5270345748612</v>
      </c>
      <c r="E16" s="55">
        <f t="shared" si="23"/>
        <v>713.54240698414753</v>
      </c>
      <c r="F16" s="55">
        <f t="shared" si="23"/>
        <v>751.87423520186189</v>
      </c>
      <c r="G16" s="55">
        <f t="shared" si="23"/>
        <v>792.99692586798596</v>
      </c>
      <c r="H16" s="55">
        <f t="shared" si="23"/>
        <v>839.29607598450184</v>
      </c>
      <c r="I16" s="55">
        <f t="shared" si="23"/>
        <v>892.49757996908738</v>
      </c>
      <c r="J16" s="55">
        <f t="shared" si="23"/>
        <v>943.90758646618008</v>
      </c>
      <c r="K16" s="55">
        <f t="shared" si="23"/>
        <v>967.41323639722521</v>
      </c>
      <c r="L16" s="55">
        <f t="shared" si="23"/>
        <v>1005.4804398070057</v>
      </c>
      <c r="M16" s="55">
        <f t="shared" si="23"/>
        <v>1032.2085689097871</v>
      </c>
      <c r="N16" s="55">
        <f t="shared" si="23"/>
        <v>1049.3047820726611</v>
      </c>
      <c r="O16" s="55">
        <f t="shared" si="23"/>
        <v>1063.7271146149023</v>
      </c>
      <c r="P16" s="55">
        <f t="shared" si="23"/>
        <v>1076.1628472388247</v>
      </c>
      <c r="Q16" s="55">
        <f t="shared" si="23"/>
        <v>1086.7710603310138</v>
      </c>
      <c r="R16" s="55">
        <f t="shared" si="23"/>
        <v>1145.6179898087994</v>
      </c>
      <c r="S16" s="55">
        <f t="shared" si="23"/>
        <v>1205.0615159382457</v>
      </c>
      <c r="T16" s="55">
        <f t="shared" si="23"/>
        <v>1262.0417124282208</v>
      </c>
      <c r="U16" s="55">
        <f t="shared" si="23"/>
        <v>1311.9632457653181</v>
      </c>
      <c r="V16" s="55">
        <f t="shared" si="23"/>
        <v>1355.3995386247975</v>
      </c>
      <c r="W16" s="55">
        <f t="shared" si="23"/>
        <v>1390.005169380679</v>
      </c>
      <c r="X16" s="55">
        <f t="shared" ref="X16:Y16" si="24">X24*X56</f>
        <v>1415.7459809357661</v>
      </c>
      <c r="Y16" s="55">
        <f t="shared" si="24"/>
        <v>1435.3370478594939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258.67924086790629</v>
      </c>
      <c r="C17" s="63">
        <f t="shared" ref="C17:W17" si="25">C25*C57/1000</f>
        <v>284.03567583219194</v>
      </c>
      <c r="D17" s="63">
        <f t="shared" si="25"/>
        <v>303.40431134943663</v>
      </c>
      <c r="E17" s="63">
        <f t="shared" si="25"/>
        <v>325.71013092192811</v>
      </c>
      <c r="F17" s="63">
        <f t="shared" si="25"/>
        <v>346.05889228081634</v>
      </c>
      <c r="G17" s="63">
        <f t="shared" si="25"/>
        <v>370.88333040991807</v>
      </c>
      <c r="H17" s="63">
        <f t="shared" si="25"/>
        <v>397.97761028835373</v>
      </c>
      <c r="I17" s="63">
        <f t="shared" si="25"/>
        <v>412.71097397372745</v>
      </c>
      <c r="J17" s="63">
        <f t="shared" si="25"/>
        <v>421.75203310107315</v>
      </c>
      <c r="K17" s="63">
        <f t="shared" si="25"/>
        <v>429.73039691085262</v>
      </c>
      <c r="L17" s="63">
        <f t="shared" si="25"/>
        <v>433.71289857609696</v>
      </c>
      <c r="M17" s="63">
        <f t="shared" si="25"/>
        <v>435.84075161781362</v>
      </c>
      <c r="N17" s="63">
        <f t="shared" si="25"/>
        <v>440.74194762834281</v>
      </c>
      <c r="O17" s="63">
        <f t="shared" si="25"/>
        <v>454.30360399918555</v>
      </c>
      <c r="P17" s="63">
        <f t="shared" si="25"/>
        <v>477.29918624096479</v>
      </c>
      <c r="Q17" s="63">
        <f t="shared" si="25"/>
        <v>517.60139610781403</v>
      </c>
      <c r="R17" s="63">
        <f t="shared" si="25"/>
        <v>542.00450331795719</v>
      </c>
      <c r="S17" s="63">
        <f t="shared" si="25"/>
        <v>568.8645776984614</v>
      </c>
      <c r="T17" s="63">
        <f t="shared" si="25"/>
        <v>595.54214501637546</v>
      </c>
      <c r="U17" s="63">
        <f t="shared" si="25"/>
        <v>618.84507852100228</v>
      </c>
      <c r="V17" s="63">
        <f t="shared" si="25"/>
        <v>636.70269857394646</v>
      </c>
      <c r="W17" s="63">
        <f t="shared" si="25"/>
        <v>650.45725359191579</v>
      </c>
      <c r="X17" s="63">
        <f t="shared" ref="X17:Y17" si="26">X25*X57/1000</f>
        <v>659.8193846961575</v>
      </c>
      <c r="Y17" s="63">
        <f t="shared" si="26"/>
        <v>669.22306741974614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76.763396446302821</v>
      </c>
      <c r="C20" s="181">
        <v>79.654973177842493</v>
      </c>
      <c r="D20" s="181">
        <v>82.549904019304023</v>
      </c>
      <c r="E20" s="181">
        <v>85.220895645127513</v>
      </c>
      <c r="F20" s="181">
        <v>88.45797461026568</v>
      </c>
      <c r="G20" s="181">
        <v>91.774453030864649</v>
      </c>
      <c r="H20" s="181">
        <v>95.87329126414528</v>
      </c>
      <c r="I20" s="181">
        <v>100.40176314569109</v>
      </c>
      <c r="J20" s="181">
        <v>104.27260317618953</v>
      </c>
      <c r="K20" s="181">
        <v>104.84522229908931</v>
      </c>
      <c r="L20" s="181">
        <v>108.24101298105289</v>
      </c>
      <c r="M20" s="181">
        <v>111.07844770125888</v>
      </c>
      <c r="N20" s="181">
        <v>113.39604729192116</v>
      </c>
      <c r="O20" s="181">
        <v>115.94711302707378</v>
      </c>
      <c r="P20" s="181">
        <v>118.82615295348371</v>
      </c>
      <c r="Q20" s="181">
        <v>122.11387316551387</v>
      </c>
      <c r="R20" s="181">
        <v>124.87471379732318</v>
      </c>
      <c r="S20" s="181">
        <v>127.79616300489863</v>
      </c>
      <c r="T20" s="181">
        <v>130.70497373122561</v>
      </c>
      <c r="U20" s="181">
        <v>133.37279456008631</v>
      </c>
      <c r="V20" s="181">
        <v>135.92279745240842</v>
      </c>
      <c r="W20" s="181">
        <v>138.29784893285861</v>
      </c>
      <c r="X20" s="181">
        <v>140.23287026153648</v>
      </c>
      <c r="Y20" s="181">
        <v>141.93281487837433</v>
      </c>
      <c r="DA20" s="190" t="s">
        <v>922</v>
      </c>
    </row>
    <row r="21" spans="1:105" ht="12" customHeight="1" x14ac:dyDescent="0.25">
      <c r="A21" s="131" t="s">
        <v>156</v>
      </c>
      <c r="B21" s="181">
        <v>1328.5576990042994</v>
      </c>
      <c r="C21" s="181">
        <v>1345.6943723622267</v>
      </c>
      <c r="D21" s="181">
        <v>1361.3107156352705</v>
      </c>
      <c r="E21" s="181">
        <v>1379.0406118038172</v>
      </c>
      <c r="F21" s="181">
        <v>1413.2870356553876</v>
      </c>
      <c r="G21" s="181">
        <v>1447.6926529597886</v>
      </c>
      <c r="H21" s="181">
        <v>1490.5633104384565</v>
      </c>
      <c r="I21" s="181">
        <v>1526.6270553466336</v>
      </c>
      <c r="J21" s="181">
        <v>1560.87499671565</v>
      </c>
      <c r="K21" s="181">
        <v>1606.8260039669719</v>
      </c>
      <c r="L21" s="181">
        <v>1636.8111332585477</v>
      </c>
      <c r="M21" s="181">
        <v>1687.4117282417765</v>
      </c>
      <c r="N21" s="181">
        <v>1751.6189637239779</v>
      </c>
      <c r="O21" s="181">
        <v>1837.5241425822396</v>
      </c>
      <c r="P21" s="181">
        <v>1946.2692970375497</v>
      </c>
      <c r="Q21" s="181">
        <v>2087.9380152342492</v>
      </c>
      <c r="R21" s="181">
        <v>2153.4814573183367</v>
      </c>
      <c r="S21" s="181">
        <v>2211.2525797682024</v>
      </c>
      <c r="T21" s="181">
        <v>2269.0562156841006</v>
      </c>
      <c r="U21" s="181">
        <v>2325.0553171595175</v>
      </c>
      <c r="V21" s="181">
        <v>2377.1035686798018</v>
      </c>
      <c r="W21" s="181">
        <v>2422.6966771733501</v>
      </c>
      <c r="X21" s="181">
        <v>2461.7326633574362</v>
      </c>
      <c r="Y21" s="181">
        <v>2515.2099315451087</v>
      </c>
      <c r="DA21" s="190" t="s">
        <v>923</v>
      </c>
    </row>
    <row r="22" spans="1:105" ht="12" customHeight="1" x14ac:dyDescent="0.25">
      <c r="A22" s="131" t="s">
        <v>160</v>
      </c>
      <c r="B22" s="181">
        <v>26.359880180998275</v>
      </c>
      <c r="C22" s="181">
        <v>26.679694723362726</v>
      </c>
      <c r="D22" s="181">
        <v>27.191566869781106</v>
      </c>
      <c r="E22" s="181">
        <v>27.757557400005211</v>
      </c>
      <c r="F22" s="181">
        <v>28.660865623395228</v>
      </c>
      <c r="G22" s="181">
        <v>29.574167071352289</v>
      </c>
      <c r="H22" s="181">
        <v>30.838781645686453</v>
      </c>
      <c r="I22" s="181">
        <v>32.087855709773564</v>
      </c>
      <c r="J22" s="181">
        <v>33.219809728143034</v>
      </c>
      <c r="K22" s="181">
        <v>33.143737270634965</v>
      </c>
      <c r="L22" s="181">
        <v>34.44635639839575</v>
      </c>
      <c r="M22" s="181">
        <v>35.653505129622779</v>
      </c>
      <c r="N22" s="181">
        <v>36.702177900848817</v>
      </c>
      <c r="O22" s="181">
        <v>37.79633387767057</v>
      </c>
      <c r="P22" s="181">
        <v>39.342852917807527</v>
      </c>
      <c r="Q22" s="181">
        <v>41.265570756811513</v>
      </c>
      <c r="R22" s="181">
        <v>42.764956145880859</v>
      </c>
      <c r="S22" s="181">
        <v>44.346171116906163</v>
      </c>
      <c r="T22" s="181">
        <v>45.907584067731364</v>
      </c>
      <c r="U22" s="181">
        <v>47.339949355482979</v>
      </c>
      <c r="V22" s="181">
        <v>48.632743006383755</v>
      </c>
      <c r="W22" s="181">
        <v>49.697714845407333</v>
      </c>
      <c r="X22" s="181">
        <v>50.502524097423326</v>
      </c>
      <c r="Y22" s="181">
        <v>51.170211340922812</v>
      </c>
      <c r="DA22" s="190" t="s">
        <v>924</v>
      </c>
    </row>
    <row r="23" spans="1:105" ht="12" customHeight="1" x14ac:dyDescent="0.25">
      <c r="A23" s="131" t="s">
        <v>172</v>
      </c>
      <c r="B23" s="181">
        <v>188.08604288455405</v>
      </c>
      <c r="C23" s="181">
        <v>190.63115680767169</v>
      </c>
      <c r="D23" s="181">
        <v>194.2808373109998</v>
      </c>
      <c r="E23" s="181">
        <v>197.96311161882119</v>
      </c>
      <c r="F23" s="181">
        <v>201.65619030993682</v>
      </c>
      <c r="G23" s="181">
        <v>206.45255164116432</v>
      </c>
      <c r="H23" s="181">
        <v>211.57381499183202</v>
      </c>
      <c r="I23" s="181">
        <v>217.08138400535967</v>
      </c>
      <c r="J23" s="181">
        <v>222.86641011632608</v>
      </c>
      <c r="K23" s="181">
        <v>229.7243197071875</v>
      </c>
      <c r="L23" s="181">
        <v>237.2266906534808</v>
      </c>
      <c r="M23" s="181">
        <v>242.87956474477517</v>
      </c>
      <c r="N23" s="181">
        <v>249.67842804684474</v>
      </c>
      <c r="O23" s="181">
        <v>258.10247662697901</v>
      </c>
      <c r="P23" s="181">
        <v>268.47730982224488</v>
      </c>
      <c r="Q23" s="181">
        <v>281.63436779598896</v>
      </c>
      <c r="R23" s="181">
        <v>295.5523085891416</v>
      </c>
      <c r="S23" s="181">
        <v>308.55950203761682</v>
      </c>
      <c r="T23" s="181">
        <v>321.46546818173351</v>
      </c>
      <c r="U23" s="181">
        <v>333.86124061436266</v>
      </c>
      <c r="V23" s="181">
        <v>345.1578512764641</v>
      </c>
      <c r="W23" s="181">
        <v>354.79765730242053</v>
      </c>
      <c r="X23" s="181">
        <v>362.67784045109585</v>
      </c>
      <c r="Y23" s="181">
        <v>372.11165711056105</v>
      </c>
      <c r="DA23" s="190" t="s">
        <v>925</v>
      </c>
    </row>
    <row r="24" spans="1:105" ht="12" customHeight="1" x14ac:dyDescent="0.25">
      <c r="A24" s="60" t="s">
        <v>159</v>
      </c>
      <c r="B24" s="36">
        <v>14.179623666195274</v>
      </c>
      <c r="C24" s="36">
        <v>14.738945245802755</v>
      </c>
      <c r="D24" s="36">
        <v>15.365608058093285</v>
      </c>
      <c r="E24" s="36">
        <v>16.064977985940772</v>
      </c>
      <c r="F24" s="36">
        <v>17.022861930397713</v>
      </c>
      <c r="G24" s="36">
        <v>18.064717798623793</v>
      </c>
      <c r="H24" s="36">
        <v>19.253766452490314</v>
      </c>
      <c r="I24" s="36">
        <v>20.635042473892746</v>
      </c>
      <c r="J24" s="36">
        <v>22.00029666894897</v>
      </c>
      <c r="K24" s="36">
        <v>22.703750546644375</v>
      </c>
      <c r="L24" s="36">
        <v>23.808954116477018</v>
      </c>
      <c r="M24" s="36">
        <v>24.685698825198909</v>
      </c>
      <c r="N24" s="36">
        <v>25.379889027736517</v>
      </c>
      <c r="O24" s="36">
        <v>26.078043003829197</v>
      </c>
      <c r="P24" s="36">
        <v>26.806806975941285</v>
      </c>
      <c r="Q24" s="36">
        <v>27.58488056437292</v>
      </c>
      <c r="R24" s="36">
        <v>29.470989805274865</v>
      </c>
      <c r="S24" s="36">
        <v>31.439607447721666</v>
      </c>
      <c r="T24" s="36">
        <v>33.404059390505836</v>
      </c>
      <c r="U24" s="36">
        <v>35.273400981485182</v>
      </c>
      <c r="V24" s="36">
        <v>37.01966321979036</v>
      </c>
      <c r="W24" s="36">
        <v>38.567452749089441</v>
      </c>
      <c r="X24" s="36">
        <v>39.927506619182154</v>
      </c>
      <c r="Y24" s="36">
        <v>41.126421439905315</v>
      </c>
      <c r="DA24" s="89" t="s">
        <v>926</v>
      </c>
    </row>
    <row r="25" spans="1:105" ht="12" customHeight="1" x14ac:dyDescent="0.25">
      <c r="A25" s="62" t="s">
        <v>157</v>
      </c>
      <c r="B25" s="38">
        <v>711.5266687849637</v>
      </c>
      <c r="C25" s="38">
        <v>804.04910553721209</v>
      </c>
      <c r="D25" s="38">
        <v>888.17732383853024</v>
      </c>
      <c r="E25" s="38">
        <v>992.75821549557327</v>
      </c>
      <c r="F25" s="38">
        <v>1101.7496542246924</v>
      </c>
      <c r="G25" s="38">
        <v>1238.5196600355828</v>
      </c>
      <c r="H25" s="38">
        <v>1402.9431733418514</v>
      </c>
      <c r="I25" s="38">
        <v>1523.9765676057848</v>
      </c>
      <c r="J25" s="38">
        <v>1631.314185976335</v>
      </c>
      <c r="K25" s="38">
        <v>1744.3973309185619</v>
      </c>
      <c r="L25" s="38">
        <v>1863.1510596382473</v>
      </c>
      <c r="M25" s="38">
        <v>2022.9751037090598</v>
      </c>
      <c r="N25" s="38">
        <v>2173.0104757680219</v>
      </c>
      <c r="O25" s="38">
        <v>2366.1430412546633</v>
      </c>
      <c r="P25" s="38">
        <v>2587.3999029990518</v>
      </c>
      <c r="Q25" s="38">
        <v>2878.0228041580667</v>
      </c>
      <c r="R25" s="38">
        <v>3064.2655625061834</v>
      </c>
      <c r="S25" s="38">
        <v>3237.5045465875355</v>
      </c>
      <c r="T25" s="38">
        <v>3410.1586544473985</v>
      </c>
      <c r="U25" s="38">
        <v>3582.7428351295034</v>
      </c>
      <c r="V25" s="38">
        <v>3749.9906714888198</v>
      </c>
      <c r="W25" s="38">
        <v>3912.303349447805</v>
      </c>
      <c r="X25" s="38">
        <v>4054.0761861909996</v>
      </c>
      <c r="Y25" s="38">
        <v>4199.6321801525937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6.2210606384621059</v>
      </c>
      <c r="D28" s="182">
        <v>6.3185911793965204</v>
      </c>
      <c r="E28" s="182">
        <v>6.1914922310910896</v>
      </c>
      <c r="F28" s="182">
        <v>6.8571590222518353</v>
      </c>
      <c r="G28" s="182">
        <v>7.0389545935340294</v>
      </c>
      <c r="H28" s="182">
        <v>7.926606857026897</v>
      </c>
      <c r="I28" s="182">
        <v>8.4645112156495514</v>
      </c>
      <c r="J28" s="182">
        <v>7.9182125763471873</v>
      </c>
      <c r="K28" s="182">
        <v>4.7344740065528157</v>
      </c>
      <c r="L28" s="182">
        <v>7.6753661043823058</v>
      </c>
      <c r="M28" s="182">
        <v>7.2380604767904799</v>
      </c>
      <c r="N28" s="182">
        <v>6.8426996620543719</v>
      </c>
      <c r="O28" s="182">
        <v>7.2041609513214553</v>
      </c>
      <c r="P28" s="182">
        <v>7.6637507060927703</v>
      </c>
      <c r="Q28" s="182">
        <v>8.2077693796598368</v>
      </c>
      <c r="R28" s="182">
        <v>7.8200563141202366</v>
      </c>
      <c r="S28" s="182">
        <v>8.123767812141736</v>
      </c>
      <c r="T28" s="182">
        <v>8.2582800043503966</v>
      </c>
      <c r="U28" s="182">
        <v>8.888881467322804</v>
      </c>
      <c r="V28" s="182">
        <v>8.8685940717186327</v>
      </c>
      <c r="W28" s="182">
        <v>8.5665437115412999</v>
      </c>
      <c r="X28" s="182">
        <v>8.7921803509296979</v>
      </c>
      <c r="Y28" s="182">
        <v>8.7388992103718977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183.796836044467</v>
      </c>
      <c r="D29" s="182">
        <v>189.45037291496851</v>
      </c>
      <c r="E29" s="182">
        <v>199.04659101892389</v>
      </c>
      <c r="F29" s="182">
        <v>223.36787434768144</v>
      </c>
      <c r="G29" s="182">
        <v>231.6677782282361</v>
      </c>
      <c r="H29" s="182">
        <v>248.62394474600092</v>
      </c>
      <c r="I29" s="182">
        <v>250.67365804635551</v>
      </c>
      <c r="J29" s="182">
        <v>218.04477741348342</v>
      </c>
      <c r="K29" s="182">
        <v>235.40138016629044</v>
      </c>
      <c r="L29" s="182">
        <v>229.03172031049962</v>
      </c>
      <c r="M29" s="182">
        <v>273.96846933091024</v>
      </c>
      <c r="N29" s="182">
        <v>295.87501371043754</v>
      </c>
      <c r="O29" s="182">
        <v>334.52912360426262</v>
      </c>
      <c r="P29" s="182">
        <v>359.41881250166557</v>
      </c>
      <c r="Q29" s="182">
        <v>359.71349561018292</v>
      </c>
      <c r="R29" s="182">
        <v>300.94482225037791</v>
      </c>
      <c r="S29" s="182">
        <v>286.80284276036537</v>
      </c>
      <c r="T29" s="182">
        <v>331.77210524680845</v>
      </c>
      <c r="U29" s="182">
        <v>351.87411518585441</v>
      </c>
      <c r="V29" s="182">
        <v>386.57737512454696</v>
      </c>
      <c r="W29" s="182">
        <v>405.01192099521381</v>
      </c>
      <c r="X29" s="182">
        <v>398.74948179426929</v>
      </c>
      <c r="Y29" s="182">
        <v>354.42209043805042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4.4363341539734371</v>
      </c>
      <c r="D30" s="182">
        <v>4.7353321538631832</v>
      </c>
      <c r="E30" s="182">
        <v>4.8991690687598819</v>
      </c>
      <c r="F30" s="182">
        <v>5.3490555996477056</v>
      </c>
      <c r="G30" s="182">
        <v>5.4745420148368247</v>
      </c>
      <c r="H30" s="182">
        <v>5.9443486546054203</v>
      </c>
      <c r="I30" s="182">
        <v>5.6854082180605481</v>
      </c>
      <c r="J30" s="182">
        <v>5.867286172232653</v>
      </c>
      <c r="K30" s="182">
        <v>4.8230966112518132</v>
      </c>
      <c r="L30" s="182">
        <v>6.6516747274084906</v>
      </c>
      <c r="M30" s="182">
        <v>6.6816907460638539</v>
      </c>
      <c r="N30" s="182">
        <v>6.9930214258314578</v>
      </c>
      <c r="O30" s="182">
        <v>6.7795641948823011</v>
      </c>
      <c r="P30" s="182">
        <v>7.4138052123696099</v>
      </c>
      <c r="Q30" s="182">
        <v>6.7458144502558</v>
      </c>
      <c r="R30" s="182">
        <v>8.1510601164778365</v>
      </c>
      <c r="S30" s="182">
        <v>8.2629057170891542</v>
      </c>
      <c r="T30" s="182">
        <v>8.5544343766566584</v>
      </c>
      <c r="U30" s="182">
        <v>8.2119294826339129</v>
      </c>
      <c r="V30" s="182">
        <v>8.7065988632703863</v>
      </c>
      <c r="W30" s="182">
        <v>7.8107862892793776</v>
      </c>
      <c r="X30" s="182">
        <v>8.9558693684938291</v>
      </c>
      <c r="Y30" s="182">
        <v>8.9305929605886405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19.638957014984271</v>
      </c>
      <c r="D31" s="182">
        <v>21.103591471754697</v>
      </c>
      <c r="E31" s="182">
        <v>21.503837689242118</v>
      </c>
      <c r="F31" s="182">
        <v>21.890038784044719</v>
      </c>
      <c r="G31" s="182">
        <v>23.376625561517301</v>
      </c>
      <c r="H31" s="182">
        <v>24.092905707653102</v>
      </c>
      <c r="I31" s="182">
        <v>24.878833558550156</v>
      </c>
      <c r="J31" s="182">
        <v>25.564330559802357</v>
      </c>
      <c r="K31" s="182">
        <v>27.053848971611188</v>
      </c>
      <c r="L31" s="182">
        <v>28.123721334320891</v>
      </c>
      <c r="M31" s="182">
        <v>25.291831106278636</v>
      </c>
      <c r="N31" s="182">
        <v>27.902454773824275</v>
      </c>
      <c r="O31" s="182">
        <v>29.927886269376387</v>
      </c>
      <c r="P31" s="182">
        <v>32.264871979310584</v>
      </c>
      <c r="Q31" s="182">
        <v>36.533683535261389</v>
      </c>
      <c r="R31" s="182">
        <v>38.010846500805769</v>
      </c>
      <c r="S31" s="182">
        <v>37.886027007025348</v>
      </c>
      <c r="T31" s="182">
        <v>38.470296703919075</v>
      </c>
      <c r="U31" s="182">
        <v>39.449621404240304</v>
      </c>
      <c r="V31" s="182">
        <v>39.420331996422362</v>
      </c>
      <c r="W31" s="182">
        <v>34.931637132235039</v>
      </c>
      <c r="X31" s="182">
        <v>35.782637922499589</v>
      </c>
      <c r="Y31" s="182">
        <v>39.361702928841623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0.96319206614521136</v>
      </c>
      <c r="D32" s="41">
        <v>1.0759814408301569</v>
      </c>
      <c r="E32" s="41">
        <v>1.1992510448943285</v>
      </c>
      <c r="F32" s="41">
        <v>1.5140174214778241</v>
      </c>
      <c r="G32" s="41">
        <v>1.660571866322794</v>
      </c>
      <c r="H32" s="41">
        <v>1.8773896765135696</v>
      </c>
      <c r="I32" s="41">
        <v>2.1470770753857167</v>
      </c>
      <c r="J32" s="41">
        <v>2.2172319720404943</v>
      </c>
      <c r="K32" s="41">
        <v>1.6513059715251224</v>
      </c>
      <c r="L32" s="41">
        <v>2.1597188589021599</v>
      </c>
      <c r="M32" s="41">
        <v>2.0499261598367156</v>
      </c>
      <c r="N32" s="41">
        <v>1.9993914940754038</v>
      </c>
      <c r="O32" s="41">
        <v>2.1502314955702637</v>
      </c>
      <c r="P32" s="41">
        <v>2.3442459182630095</v>
      </c>
      <c r="Q32" s="41">
        <v>2.5753481025901444</v>
      </c>
      <c r="R32" s="41">
        <v>2.8493013070471562</v>
      </c>
      <c r="S32" s="41">
        <v>3.0445990832769603</v>
      </c>
      <c r="T32" s="41">
        <v>3.1637029876784979</v>
      </c>
      <c r="U32" s="41">
        <v>3.38335901245717</v>
      </c>
      <c r="V32" s="41">
        <v>3.4068341046279755</v>
      </c>
      <c r="W32" s="41">
        <v>3.425179205812654</v>
      </c>
      <c r="X32" s="41">
        <v>3.5071309454784299</v>
      </c>
      <c r="Y32" s="41">
        <v>3.4161467927636551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234.82777050924108</v>
      </c>
      <c r="D33" s="42">
        <v>226.43355205831097</v>
      </c>
      <c r="E33" s="42">
        <v>246.88622541403583</v>
      </c>
      <c r="F33" s="42">
        <v>251.29677248611188</v>
      </c>
      <c r="G33" s="42">
        <v>279.07533956788302</v>
      </c>
      <c r="H33" s="42">
        <v>399.25128381550974</v>
      </c>
      <c r="I33" s="42">
        <v>347.46694632224421</v>
      </c>
      <c r="J33" s="42">
        <v>354.22384378458605</v>
      </c>
      <c r="K33" s="42">
        <v>364.37991742833879</v>
      </c>
      <c r="L33" s="42">
        <v>397.82906828756836</v>
      </c>
      <c r="M33" s="42">
        <v>559.07532788632238</v>
      </c>
      <c r="N33" s="42">
        <v>497.50231838120635</v>
      </c>
      <c r="O33" s="42">
        <v>547.35640927122745</v>
      </c>
      <c r="P33" s="42">
        <v>585.6367791727273</v>
      </c>
      <c r="Q33" s="42">
        <v>688.45196944658346</v>
      </c>
      <c r="R33" s="42">
        <v>745.31808623443885</v>
      </c>
      <c r="S33" s="42">
        <v>670.74130246255845</v>
      </c>
      <c r="T33" s="42">
        <v>720.01051713109064</v>
      </c>
      <c r="U33" s="42">
        <v>758.22095985483202</v>
      </c>
      <c r="V33" s="42">
        <v>855.69980580589981</v>
      </c>
      <c r="W33" s="42">
        <v>907.63076419342406</v>
      </c>
      <c r="X33" s="42">
        <v>812.51413920575305</v>
      </c>
      <c r="Y33" s="42">
        <v>865.56651109268478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3.3294839069224338</v>
      </c>
      <c r="D36" s="182">
        <v>3.4236603379349901</v>
      </c>
      <c r="E36" s="182">
        <v>3.5205006052675998</v>
      </c>
      <c r="F36" s="182">
        <v>3.6200800571136682</v>
      </c>
      <c r="G36" s="182">
        <v>3.7224761729350604</v>
      </c>
      <c r="H36" s="182">
        <v>3.827768623746266</v>
      </c>
      <c r="I36" s="182">
        <v>3.9360393341037394</v>
      </c>
      <c r="J36" s="182">
        <v>4.0473725458487451</v>
      </c>
      <c r="K36" s="182">
        <v>4.1618548836530351</v>
      </c>
      <c r="L36" s="182">
        <v>4.2795754224187306</v>
      </c>
      <c r="M36" s="182">
        <v>4.4006257565844891</v>
      </c>
      <c r="N36" s="182">
        <v>4.5251000713920888</v>
      </c>
      <c r="O36" s="182">
        <v>4.6530952161688361</v>
      </c>
      <c r="P36" s="182">
        <v>4.7847107796828396</v>
      </c>
      <c r="Q36" s="182">
        <v>4.9200491676296849</v>
      </c>
      <c r="R36" s="182">
        <v>5.0592156823109349</v>
      </c>
      <c r="S36" s="182">
        <v>5.202318604566301</v>
      </c>
      <c r="T36" s="182">
        <v>5.3494692780234345</v>
      </c>
      <c r="U36" s="182">
        <v>6.2210606384620917</v>
      </c>
      <c r="V36" s="182">
        <v>6.3185911793965204</v>
      </c>
      <c r="W36" s="182">
        <v>6.1914922310911038</v>
      </c>
      <c r="X36" s="182">
        <v>6.8571590222518353</v>
      </c>
      <c r="Y36" s="182">
        <v>7.0389545935340436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166.66016268653971</v>
      </c>
      <c r="D37" s="182">
        <v>173.83402964192464</v>
      </c>
      <c r="E37" s="182">
        <v>181.31669485037719</v>
      </c>
      <c r="F37" s="182">
        <v>189.12145049611104</v>
      </c>
      <c r="G37" s="182">
        <v>197.26216092383515</v>
      </c>
      <c r="H37" s="182">
        <v>205.75328726733301</v>
      </c>
      <c r="I37" s="182">
        <v>214.6099131381784</v>
      </c>
      <c r="J37" s="182">
        <v>183.796836044467</v>
      </c>
      <c r="K37" s="182">
        <v>189.45037291496851</v>
      </c>
      <c r="L37" s="182">
        <v>199.04659101892389</v>
      </c>
      <c r="M37" s="182">
        <v>223.36787434768144</v>
      </c>
      <c r="N37" s="182">
        <v>231.6677782282361</v>
      </c>
      <c r="O37" s="182">
        <v>248.62394474600114</v>
      </c>
      <c r="P37" s="182">
        <v>250.67365804635529</v>
      </c>
      <c r="Q37" s="182">
        <v>218.04477741348364</v>
      </c>
      <c r="R37" s="182">
        <v>235.40138016629044</v>
      </c>
      <c r="S37" s="182">
        <v>229.03172031049962</v>
      </c>
      <c r="T37" s="182">
        <v>273.96846933091001</v>
      </c>
      <c r="U37" s="182">
        <v>295.87501371043754</v>
      </c>
      <c r="V37" s="182">
        <v>334.52912360426262</v>
      </c>
      <c r="W37" s="182">
        <v>359.4188125016658</v>
      </c>
      <c r="X37" s="182">
        <v>359.71349561018314</v>
      </c>
      <c r="Y37" s="182">
        <v>300.94482225037791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4.1165196116089859</v>
      </c>
      <c r="D38" s="182">
        <v>4.2234600074448032</v>
      </c>
      <c r="E38" s="182">
        <v>4.3331785385357762</v>
      </c>
      <c r="F38" s="182">
        <v>4.4457473762576889</v>
      </c>
      <c r="G38" s="182">
        <v>4.5612405668797642</v>
      </c>
      <c r="H38" s="182">
        <v>4.6797340802712597</v>
      </c>
      <c r="I38" s="182">
        <v>4.4363341539734336</v>
      </c>
      <c r="J38" s="182">
        <v>4.7353321538631832</v>
      </c>
      <c r="K38" s="182">
        <v>4.8991690687598819</v>
      </c>
      <c r="L38" s="182">
        <v>5.3490555996477056</v>
      </c>
      <c r="M38" s="182">
        <v>5.4745420148368211</v>
      </c>
      <c r="N38" s="182">
        <v>5.9443486546054203</v>
      </c>
      <c r="O38" s="182">
        <v>5.6854082180605516</v>
      </c>
      <c r="P38" s="182">
        <v>5.867286172232653</v>
      </c>
      <c r="Q38" s="182">
        <v>4.8230966112518132</v>
      </c>
      <c r="R38" s="182">
        <v>6.6516747274084906</v>
      </c>
      <c r="S38" s="182">
        <v>6.6816907460638504</v>
      </c>
      <c r="T38" s="182">
        <v>6.9930214258314578</v>
      </c>
      <c r="U38" s="182">
        <v>6.7795641948822976</v>
      </c>
      <c r="V38" s="182">
        <v>7.4138052123696099</v>
      </c>
      <c r="W38" s="182">
        <v>6.7458144502558</v>
      </c>
      <c r="X38" s="182">
        <v>8.1510601164778365</v>
      </c>
      <c r="Y38" s="182">
        <v>8.2629057170891542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17.093843091866631</v>
      </c>
      <c r="D39" s="182">
        <v>17.453910968426584</v>
      </c>
      <c r="E39" s="182">
        <v>17.821563381420731</v>
      </c>
      <c r="F39" s="182">
        <v>18.196960092929089</v>
      </c>
      <c r="G39" s="182">
        <v>18.580264230289799</v>
      </c>
      <c r="H39" s="182">
        <v>18.971642356985399</v>
      </c>
      <c r="I39" s="182">
        <v>19.371264545022512</v>
      </c>
      <c r="J39" s="182">
        <v>19.779304448835944</v>
      </c>
      <c r="K39" s="182">
        <v>20.195939380749763</v>
      </c>
      <c r="L39" s="182">
        <v>20.621350388027594</v>
      </c>
      <c r="M39" s="182">
        <v>19.638957014984271</v>
      </c>
      <c r="N39" s="182">
        <v>21.103591471754697</v>
      </c>
      <c r="O39" s="182">
        <v>21.503837689242118</v>
      </c>
      <c r="P39" s="182">
        <v>21.890038784044748</v>
      </c>
      <c r="Q39" s="182">
        <v>23.376625561517301</v>
      </c>
      <c r="R39" s="182">
        <v>24.092905707653131</v>
      </c>
      <c r="S39" s="182">
        <v>24.878833558550127</v>
      </c>
      <c r="T39" s="182">
        <v>25.564330559802386</v>
      </c>
      <c r="U39" s="182">
        <v>27.05384897161116</v>
      </c>
      <c r="V39" s="182">
        <v>28.123721334320919</v>
      </c>
      <c r="W39" s="182">
        <v>25.291831106278607</v>
      </c>
      <c r="X39" s="182">
        <v>27.902454773824275</v>
      </c>
      <c r="Y39" s="182">
        <v>29.927886269376415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0.4038704865377305</v>
      </c>
      <c r="D40" s="41">
        <v>0.44931862853962734</v>
      </c>
      <c r="E40" s="41">
        <v>0.49988111704684002</v>
      </c>
      <c r="F40" s="41">
        <v>0.55613347702088234</v>
      </c>
      <c r="G40" s="41">
        <v>0.61871599809671451</v>
      </c>
      <c r="H40" s="41">
        <v>0.68834102264704811</v>
      </c>
      <c r="I40" s="41">
        <v>0.76580105398328513</v>
      </c>
      <c r="J40" s="41">
        <v>0.85197777698427046</v>
      </c>
      <c r="K40" s="41">
        <v>0.94785209382971658</v>
      </c>
      <c r="L40" s="41">
        <v>1.0545152890695171</v>
      </c>
      <c r="M40" s="41">
        <v>1.1731814511148251</v>
      </c>
      <c r="N40" s="41">
        <v>1.3052012915377951</v>
      </c>
      <c r="O40" s="41">
        <v>1.4520775194775837</v>
      </c>
      <c r="P40" s="41">
        <v>1.615481946150922</v>
      </c>
      <c r="Q40" s="41">
        <v>1.7972745141585094</v>
      </c>
      <c r="R40" s="41">
        <v>0.96319206614521136</v>
      </c>
      <c r="S40" s="41">
        <v>1.0759814408301587</v>
      </c>
      <c r="T40" s="41">
        <v>1.199251044894325</v>
      </c>
      <c r="U40" s="41">
        <v>1.5140174214778241</v>
      </c>
      <c r="V40" s="41">
        <v>1.6605718663227975</v>
      </c>
      <c r="W40" s="41">
        <v>1.8773896765135731</v>
      </c>
      <c r="X40" s="41">
        <v>2.1470770753857167</v>
      </c>
      <c r="Y40" s="41">
        <v>2.2172319720404943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142.3053337569927</v>
      </c>
      <c r="D41" s="42">
        <v>142.30533375699281</v>
      </c>
      <c r="E41" s="42">
        <v>142.30533375699292</v>
      </c>
      <c r="F41" s="42">
        <v>142.3053337569927</v>
      </c>
      <c r="G41" s="42">
        <v>142.3053337569927</v>
      </c>
      <c r="H41" s="42">
        <v>234.82777050924096</v>
      </c>
      <c r="I41" s="42">
        <v>226.43355205831085</v>
      </c>
      <c r="J41" s="42">
        <v>246.88622541403583</v>
      </c>
      <c r="K41" s="42">
        <v>251.29677248611188</v>
      </c>
      <c r="L41" s="42">
        <v>279.07533956788302</v>
      </c>
      <c r="M41" s="42">
        <v>399.25128381551008</v>
      </c>
      <c r="N41" s="42">
        <v>347.46694632224444</v>
      </c>
      <c r="O41" s="42">
        <v>354.22384378458628</v>
      </c>
      <c r="P41" s="42">
        <v>364.37991742833856</v>
      </c>
      <c r="Q41" s="42">
        <v>397.82906828756859</v>
      </c>
      <c r="R41" s="42">
        <v>559.07532788632216</v>
      </c>
      <c r="S41" s="42">
        <v>497.50231838120635</v>
      </c>
      <c r="T41" s="42">
        <v>547.35640927122768</v>
      </c>
      <c r="U41" s="42">
        <v>585.63677917272662</v>
      </c>
      <c r="V41" s="42">
        <v>688.45196944658392</v>
      </c>
      <c r="W41" s="42">
        <v>745.31808623443885</v>
      </c>
      <c r="X41" s="42">
        <v>670.74130246255845</v>
      </c>
      <c r="Y41" s="42">
        <v>720.01051713109064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8759.9999999999982</v>
      </c>
      <c r="C44" s="184">
        <v>8760.0000000000018</v>
      </c>
      <c r="D44" s="184">
        <v>8760</v>
      </c>
      <c r="E44" s="184">
        <v>8759.9999999999982</v>
      </c>
      <c r="F44" s="184">
        <v>8759.9999999999982</v>
      </c>
      <c r="G44" s="184">
        <v>8759.9999999999945</v>
      </c>
      <c r="H44" s="184">
        <v>8759.9999999999982</v>
      </c>
      <c r="I44" s="184">
        <v>8759.9999999999982</v>
      </c>
      <c r="J44" s="184">
        <v>8760</v>
      </c>
      <c r="K44" s="184">
        <v>8760</v>
      </c>
      <c r="L44" s="184">
        <v>8760</v>
      </c>
      <c r="M44" s="184">
        <v>8759.9999999999982</v>
      </c>
      <c r="N44" s="184">
        <v>8760.0000000000018</v>
      </c>
      <c r="O44" s="184">
        <v>8759.9999999999982</v>
      </c>
      <c r="P44" s="184">
        <v>8759.9999999999982</v>
      </c>
      <c r="Q44" s="184">
        <v>8759.9999999999964</v>
      </c>
      <c r="R44" s="184">
        <v>8759.9999999999945</v>
      </c>
      <c r="S44" s="184">
        <v>8759.9999999999964</v>
      </c>
      <c r="T44" s="184">
        <v>8759.9999999999982</v>
      </c>
      <c r="U44" s="184">
        <v>8759.9999999999982</v>
      </c>
      <c r="V44" s="184">
        <v>8760</v>
      </c>
      <c r="W44" s="184">
        <v>8759.9999999999964</v>
      </c>
      <c r="X44" s="184">
        <v>8759.9999999999964</v>
      </c>
      <c r="Y44" s="184">
        <v>8759.9999999999964</v>
      </c>
      <c r="DA44" s="193" t="s">
        <v>940</v>
      </c>
    </row>
    <row r="45" spans="1:105" ht="12" customHeight="1" x14ac:dyDescent="0.25">
      <c r="A45" s="131" t="s">
        <v>6</v>
      </c>
      <c r="B45" s="184">
        <v>3975.5726293588768</v>
      </c>
      <c r="C45" s="184">
        <v>3972.4161525746918</v>
      </c>
      <c r="D45" s="184">
        <v>3969.9331186342033</v>
      </c>
      <c r="E45" s="184">
        <v>3969.7959990154959</v>
      </c>
      <c r="F45" s="184">
        <v>3969.4281710821592</v>
      </c>
      <c r="G45" s="184">
        <v>3968.5012614374673</v>
      </c>
      <c r="H45" s="184">
        <v>3966.8794785016066</v>
      </c>
      <c r="I45" s="184">
        <v>3960.7879310454491</v>
      </c>
      <c r="J45" s="184">
        <v>3956.1459287301295</v>
      </c>
      <c r="K45" s="184">
        <v>3950.2914116688262</v>
      </c>
      <c r="L45" s="184">
        <v>3942.9910462779685</v>
      </c>
      <c r="M45" s="184">
        <v>3928.5732371111385</v>
      </c>
      <c r="N45" s="184">
        <v>3901.6915012380623</v>
      </c>
      <c r="O45" s="184">
        <v>3872.7798677867113</v>
      </c>
      <c r="P45" s="184">
        <v>3841.2009501200405</v>
      </c>
      <c r="Q45" s="184">
        <v>3805.9548230550322</v>
      </c>
      <c r="R45" s="184">
        <v>3724.3325086204841</v>
      </c>
      <c r="S45" s="184">
        <v>3752.1186056436732</v>
      </c>
      <c r="T45" s="184">
        <v>3736.8142730129643</v>
      </c>
      <c r="U45" s="184">
        <v>3723.675728043791</v>
      </c>
      <c r="V45" s="184">
        <v>3709.808374654503</v>
      </c>
      <c r="W45" s="184">
        <v>3694.3950716030458</v>
      </c>
      <c r="X45" s="184">
        <v>3684.955564442741</v>
      </c>
      <c r="Y45" s="184">
        <v>3675.5160572824361</v>
      </c>
      <c r="DA45" s="193" t="s">
        <v>941</v>
      </c>
    </row>
    <row r="46" spans="1:105" ht="12" customHeight="1" x14ac:dyDescent="0.25">
      <c r="A46" s="131" t="s">
        <v>5</v>
      </c>
      <c r="B46" s="184">
        <v>2312.7777575597138</v>
      </c>
      <c r="C46" s="184">
        <v>2326.3212420718178</v>
      </c>
      <c r="D46" s="184">
        <v>2340.6910578338056</v>
      </c>
      <c r="E46" s="184">
        <v>2351.0635724835311</v>
      </c>
      <c r="F46" s="184">
        <v>2368.4183736027876</v>
      </c>
      <c r="G46" s="184">
        <v>2381.8943644258115</v>
      </c>
      <c r="H46" s="184">
        <v>2394.8496285741753</v>
      </c>
      <c r="I46" s="184">
        <v>2405.2575009548673</v>
      </c>
      <c r="J46" s="184">
        <v>2415.0331097797953</v>
      </c>
      <c r="K46" s="184">
        <v>2422.7057762331151</v>
      </c>
      <c r="L46" s="184">
        <v>2426.7959573543935</v>
      </c>
      <c r="M46" s="184">
        <v>2431.7298915571146</v>
      </c>
      <c r="N46" s="184">
        <v>2440.7297698091475</v>
      </c>
      <c r="O46" s="184">
        <v>2443.0810486062637</v>
      </c>
      <c r="P46" s="184">
        <v>2452.7702759165641</v>
      </c>
      <c r="Q46" s="184">
        <v>2457.3771592686189</v>
      </c>
      <c r="R46" s="184">
        <v>2408.4129974426037</v>
      </c>
      <c r="S46" s="184">
        <v>2451.0223477856857</v>
      </c>
      <c r="T46" s="184">
        <v>2440.071197596008</v>
      </c>
      <c r="U46" s="184">
        <v>2433.0402688544145</v>
      </c>
      <c r="V46" s="184">
        <v>2234.1707308071982</v>
      </c>
      <c r="W46" s="184">
        <v>2261.2572042610445</v>
      </c>
      <c r="X46" s="184">
        <v>2351.6661565271288</v>
      </c>
      <c r="Y46" s="184">
        <v>2396.8706326601709</v>
      </c>
      <c r="DA46" s="193" t="s">
        <v>942</v>
      </c>
    </row>
    <row r="47" spans="1:105" ht="12" customHeight="1" x14ac:dyDescent="0.25">
      <c r="A47" s="131" t="s">
        <v>171</v>
      </c>
      <c r="B47" s="184">
        <v>8759.9999999999982</v>
      </c>
      <c r="C47" s="184">
        <v>8760</v>
      </c>
      <c r="D47" s="184">
        <v>8760.0000000000036</v>
      </c>
      <c r="E47" s="184">
        <v>8759.9999999999964</v>
      </c>
      <c r="F47" s="184">
        <v>8760</v>
      </c>
      <c r="G47" s="184">
        <v>8759.9999999999982</v>
      </c>
      <c r="H47" s="184">
        <v>8760.0000000000018</v>
      </c>
      <c r="I47" s="184">
        <v>8760.0000000000018</v>
      </c>
      <c r="J47" s="184">
        <v>8759.9999999999982</v>
      </c>
      <c r="K47" s="184">
        <v>8759.9999999999982</v>
      </c>
      <c r="L47" s="184">
        <v>8759.9999999999964</v>
      </c>
      <c r="M47" s="184">
        <v>8760</v>
      </c>
      <c r="N47" s="184">
        <v>8759.9999999999982</v>
      </c>
      <c r="O47" s="184">
        <v>8760</v>
      </c>
      <c r="P47" s="184">
        <v>8760.0000000000018</v>
      </c>
      <c r="Q47" s="184">
        <v>8760</v>
      </c>
      <c r="R47" s="184">
        <v>8760</v>
      </c>
      <c r="S47" s="184">
        <v>8759.9999999999982</v>
      </c>
      <c r="T47" s="184">
        <v>8759.9999999999964</v>
      </c>
      <c r="U47" s="184">
        <v>8759.9999999999964</v>
      </c>
      <c r="V47" s="184">
        <v>8759.9999999999982</v>
      </c>
      <c r="W47" s="184">
        <v>8760</v>
      </c>
      <c r="X47" s="184">
        <v>8760</v>
      </c>
      <c r="Y47" s="184">
        <v>8760</v>
      </c>
      <c r="DA47" s="193" t="s">
        <v>943</v>
      </c>
    </row>
    <row r="48" spans="1:105" ht="12" customHeight="1" x14ac:dyDescent="0.25">
      <c r="A48" s="60" t="s">
        <v>4</v>
      </c>
      <c r="B48" s="44">
        <v>802.288926781707</v>
      </c>
      <c r="C48" s="44">
        <v>806.12136638481445</v>
      </c>
      <c r="D48" s="44">
        <v>809.63609287637166</v>
      </c>
      <c r="E48" s="44">
        <v>812.88285879631576</v>
      </c>
      <c r="F48" s="44">
        <v>815.90050114070266</v>
      </c>
      <c r="G48" s="44">
        <v>818.71992727345071</v>
      </c>
      <c r="H48" s="44">
        <v>821.36614321537809</v>
      </c>
      <c r="I48" s="44">
        <v>823.85967112601872</v>
      </c>
      <c r="J48" s="44">
        <v>826.21756445862195</v>
      </c>
      <c r="K48" s="44">
        <v>828.45415064025951</v>
      </c>
      <c r="L48" s="44">
        <v>830.58158468344448</v>
      </c>
      <c r="M48" s="44">
        <v>831.93349077656171</v>
      </c>
      <c r="N48" s="44">
        <v>833.22454348099677</v>
      </c>
      <c r="O48" s="44">
        <v>834.46006859526381</v>
      </c>
      <c r="P48" s="44">
        <v>835.64471865965606</v>
      </c>
      <c r="Q48" s="44">
        <v>836.7825821192165</v>
      </c>
      <c r="R48" s="44">
        <v>822.67598832750366</v>
      </c>
      <c r="S48" s="44">
        <v>828.5331840637723</v>
      </c>
      <c r="T48" s="44">
        <v>829.10151033199816</v>
      </c>
      <c r="U48" s="44">
        <v>826.64954358989678</v>
      </c>
      <c r="V48" s="44">
        <v>759.08164717440923</v>
      </c>
      <c r="W48" s="44">
        <v>768.284544966407</v>
      </c>
      <c r="X48" s="44">
        <v>800.98012582092338</v>
      </c>
      <c r="Y48" s="44">
        <v>817.32791624818151</v>
      </c>
      <c r="DA48" s="95" t="s">
        <v>944</v>
      </c>
    </row>
    <row r="49" spans="1:105" ht="12" customHeight="1" x14ac:dyDescent="0.25">
      <c r="A49" s="62" t="s">
        <v>3</v>
      </c>
      <c r="B49" s="185">
        <v>2301.1044839477222</v>
      </c>
      <c r="C49" s="185">
        <v>2394.2974064713403</v>
      </c>
      <c r="D49" s="185">
        <v>2488.6277349513616</v>
      </c>
      <c r="E49" s="185">
        <v>2562.2636908576515</v>
      </c>
      <c r="F49" s="185">
        <v>2630.608320306259</v>
      </c>
      <c r="G49" s="185">
        <v>2675.1098587138413</v>
      </c>
      <c r="H49" s="185">
        <v>2699.7155317777497</v>
      </c>
      <c r="I49" s="185">
        <v>2742.9326616428193</v>
      </c>
      <c r="J49" s="185">
        <v>2788.7178358229044</v>
      </c>
      <c r="K49" s="185">
        <v>2826.6136671302352</v>
      </c>
      <c r="L49" s="185">
        <v>2882.6382115436895</v>
      </c>
      <c r="M49" s="185">
        <v>2962.3998540367029</v>
      </c>
      <c r="N49" s="185">
        <v>2987.0822681116711</v>
      </c>
      <c r="O49" s="185">
        <v>2991.9940991138815</v>
      </c>
      <c r="P49" s="185">
        <v>2979.7484771415079</v>
      </c>
      <c r="Q49" s="185">
        <v>2939.7196263136707</v>
      </c>
      <c r="R49" s="185">
        <v>2899.0680564415243</v>
      </c>
      <c r="S49" s="185">
        <v>2901.7710931715246</v>
      </c>
      <c r="T49" s="185">
        <v>2887.396902756384</v>
      </c>
      <c r="U49" s="185">
        <v>2879.6758865603292</v>
      </c>
      <c r="V49" s="185">
        <v>2790.9796522872266</v>
      </c>
      <c r="W49" s="185">
        <v>2799.8791032159347</v>
      </c>
      <c r="X49" s="185">
        <v>2835.3932509847127</v>
      </c>
      <c r="Y49" s="185">
        <v>2850.2676577301809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0.64765850391921687</v>
      </c>
      <c r="C52" s="180">
        <v>0.64242585462450119</v>
      </c>
      <c r="D52" s="180">
        <v>0.63710712493562405</v>
      </c>
      <c r="E52" s="180">
        <v>0.63190159746468666</v>
      </c>
      <c r="F52" s="180">
        <v>0.62616504330765721</v>
      </c>
      <c r="G52" s="180">
        <v>0.62020717624879773</v>
      </c>
      <c r="H52" s="180">
        <v>0.61360764196565609</v>
      </c>
      <c r="I52" s="180">
        <v>0.60658748677433449</v>
      </c>
      <c r="J52" s="180">
        <v>0.59987993899657044</v>
      </c>
      <c r="K52" s="180">
        <v>0.59493576890510624</v>
      </c>
      <c r="L52" s="180">
        <v>0.5878361025114488</v>
      </c>
      <c r="M52" s="180">
        <v>0.58070614686140576</v>
      </c>
      <c r="N52" s="180">
        <v>0.5734700688602361</v>
      </c>
      <c r="O52" s="180">
        <v>0.56559024834622984</v>
      </c>
      <c r="P52" s="180">
        <v>0.55708367088170652</v>
      </c>
      <c r="Q52" s="180">
        <v>0.54788681766672642</v>
      </c>
      <c r="R52" s="180">
        <v>0.53904960780458189</v>
      </c>
      <c r="S52" s="180">
        <v>0.53002153123559781</v>
      </c>
      <c r="T52" s="180">
        <v>0.52092083483518881</v>
      </c>
      <c r="U52" s="180">
        <v>0.51394992409288809</v>
      </c>
      <c r="V52" s="180">
        <v>0.50717393587996684</v>
      </c>
      <c r="W52" s="180">
        <v>0.50084260537237624</v>
      </c>
      <c r="X52" s="180">
        <v>0.49437647914623123</v>
      </c>
      <c r="Y52" s="180">
        <v>0.48814899986477717</v>
      </c>
      <c r="DA52" s="189" t="s">
        <v>946</v>
      </c>
    </row>
    <row r="53" spans="1:105" ht="12" customHeight="1" x14ac:dyDescent="0.25">
      <c r="A53" s="131" t="s">
        <v>100</v>
      </c>
      <c r="B53" s="180">
        <v>190.42243811452926</v>
      </c>
      <c r="C53" s="180">
        <v>188.71180320220418</v>
      </c>
      <c r="D53" s="180">
        <v>186.70433028158834</v>
      </c>
      <c r="E53" s="180">
        <v>184.33665869052302</v>
      </c>
      <c r="F53" s="180">
        <v>181.43555134045297</v>
      </c>
      <c r="G53" s="180">
        <v>178.02650600946143</v>
      </c>
      <c r="H53" s="180">
        <v>174.10611167058181</v>
      </c>
      <c r="I53" s="180">
        <v>169.9058260747602</v>
      </c>
      <c r="J53" s="180">
        <v>167.54648267299189</v>
      </c>
      <c r="K53" s="180">
        <v>164.94514519452886</v>
      </c>
      <c r="L53" s="180">
        <v>162.26819253787426</v>
      </c>
      <c r="M53" s="180">
        <v>159.15213012786239</v>
      </c>
      <c r="N53" s="180">
        <v>155.53955062388434</v>
      </c>
      <c r="O53" s="180">
        <v>150.93596692415221</v>
      </c>
      <c r="P53" s="180">
        <v>145.4273283145825</v>
      </c>
      <c r="Q53" s="180">
        <v>139.71123905460999</v>
      </c>
      <c r="R53" s="180">
        <v>134.34614315669677</v>
      </c>
      <c r="S53" s="180">
        <v>129.10932323693419</v>
      </c>
      <c r="T53" s="180">
        <v>122.87261501298234</v>
      </c>
      <c r="U53" s="180">
        <v>116.46244853316985</v>
      </c>
      <c r="V53" s="180">
        <v>109.8191003822262</v>
      </c>
      <c r="W53" s="180">
        <v>103.83414965368786</v>
      </c>
      <c r="X53" s="180">
        <v>98.914987123753292</v>
      </c>
      <c r="Y53" s="180">
        <v>95.321213912005135</v>
      </c>
      <c r="DA53" s="189" t="s">
        <v>947</v>
      </c>
    </row>
    <row r="54" spans="1:105" ht="12" customHeight="1" x14ac:dyDescent="0.25">
      <c r="A54" s="131" t="s">
        <v>140</v>
      </c>
      <c r="B54" s="180">
        <v>38.588997423742022</v>
      </c>
      <c r="C54" s="180">
        <v>38.054391608604675</v>
      </c>
      <c r="D54" s="180">
        <v>37.405317549179308</v>
      </c>
      <c r="E54" s="180">
        <v>36.684347196466767</v>
      </c>
      <c r="F54" s="180">
        <v>35.85398711757307</v>
      </c>
      <c r="G54" s="180">
        <v>34.906718433474651</v>
      </c>
      <c r="H54" s="180">
        <v>33.82598445695379</v>
      </c>
      <c r="I54" s="180">
        <v>33.170112029085082</v>
      </c>
      <c r="J54" s="180">
        <v>32.444776407167346</v>
      </c>
      <c r="K54" s="180">
        <v>31.747478602251391</v>
      </c>
      <c r="L54" s="180">
        <v>30.857853866557864</v>
      </c>
      <c r="M54" s="180">
        <v>29.95269159064722</v>
      </c>
      <c r="N54" s="180">
        <v>28.968279197524389</v>
      </c>
      <c r="O54" s="180">
        <v>27.998962950230677</v>
      </c>
      <c r="P54" s="180">
        <v>26.940522542560483</v>
      </c>
      <c r="Q54" s="180">
        <v>25.959209791465117</v>
      </c>
      <c r="R54" s="180">
        <v>24.536831531668376</v>
      </c>
      <c r="S54" s="180">
        <v>23.147320287488419</v>
      </c>
      <c r="T54" s="180">
        <v>21.638467470184498</v>
      </c>
      <c r="U54" s="180">
        <v>20.195183909523486</v>
      </c>
      <c r="V54" s="180">
        <v>18.710838741578666</v>
      </c>
      <c r="W54" s="180">
        <v>17.504382931017936</v>
      </c>
      <c r="X54" s="180">
        <v>16.318615141485385</v>
      </c>
      <c r="Y54" s="180">
        <v>15.202611305862368</v>
      </c>
      <c r="DA54" s="189" t="s">
        <v>948</v>
      </c>
    </row>
    <row r="55" spans="1:105" ht="12" customHeight="1" x14ac:dyDescent="0.25">
      <c r="A55" s="131" t="s">
        <v>173</v>
      </c>
      <c r="B55" s="180">
        <v>657.69295823924438</v>
      </c>
      <c r="C55" s="180">
        <v>651.63013479246627</v>
      </c>
      <c r="D55" s="180">
        <v>643.6041038602533</v>
      </c>
      <c r="E55" s="180">
        <v>634.81585803229098</v>
      </c>
      <c r="F55" s="180">
        <v>625.42761987582628</v>
      </c>
      <c r="G55" s="180">
        <v>615.07704950236814</v>
      </c>
      <c r="H55" s="180">
        <v>603.76393891804594</v>
      </c>
      <c r="I55" s="180">
        <v>591.46136768156725</v>
      </c>
      <c r="J55" s="180">
        <v>578.17968889290069</v>
      </c>
      <c r="K55" s="180">
        <v>563.7603356119356</v>
      </c>
      <c r="L55" s="180">
        <v>548.29244854130707</v>
      </c>
      <c r="M55" s="180">
        <v>537.58760287670111</v>
      </c>
      <c r="N55" s="180">
        <v>526.71424264371717</v>
      </c>
      <c r="O55" s="180">
        <v>515.00474850161493</v>
      </c>
      <c r="P55" s="180">
        <v>502.18921371041358</v>
      </c>
      <c r="Q55" s="180">
        <v>488.82274751954833</v>
      </c>
      <c r="R55" s="180">
        <v>476.24179577119122</v>
      </c>
      <c r="S55" s="180">
        <v>464.45798142738948</v>
      </c>
      <c r="T55" s="180">
        <v>453.35409069755667</v>
      </c>
      <c r="U55" s="180">
        <v>442.72326589351172</v>
      </c>
      <c r="V55" s="180">
        <v>432.8154102528801</v>
      </c>
      <c r="W55" s="180">
        <v>424.93855091415719</v>
      </c>
      <c r="X55" s="180">
        <v>416.93640300135473</v>
      </c>
      <c r="Y55" s="180">
        <v>408.9832536413852</v>
      </c>
      <c r="DA55" s="189" t="s">
        <v>949</v>
      </c>
    </row>
    <row r="56" spans="1:105" ht="12" customHeight="1" x14ac:dyDescent="0.25">
      <c r="A56" s="60" t="s">
        <v>99</v>
      </c>
      <c r="B56" s="55">
        <v>44.948552035511604</v>
      </c>
      <c r="C56" s="55">
        <v>44.791431550794151</v>
      </c>
      <c r="D56" s="55">
        <v>44.614377249703722</v>
      </c>
      <c r="E56" s="55">
        <v>44.416021460384357</v>
      </c>
      <c r="F56" s="55">
        <v>44.168497534438707</v>
      </c>
      <c r="G56" s="55">
        <v>43.897554044735649</v>
      </c>
      <c r="H56" s="55">
        <v>43.591267093402699</v>
      </c>
      <c r="I56" s="55">
        <v>43.251550419548039</v>
      </c>
      <c r="J56" s="55">
        <v>42.904311731323297</v>
      </c>
      <c r="K56" s="55">
        <v>42.610283019525568</v>
      </c>
      <c r="L56" s="55">
        <v>42.231188942111558</v>
      </c>
      <c r="M56" s="55">
        <v>41.814030715473173</v>
      </c>
      <c r="N56" s="55">
        <v>41.343946812609147</v>
      </c>
      <c r="O56" s="55">
        <v>40.790143434409892</v>
      </c>
      <c r="P56" s="55">
        <v>40.145133592548532</v>
      </c>
      <c r="Q56" s="55">
        <v>39.397345143289336</v>
      </c>
      <c r="R56" s="55">
        <v>38.872735438419205</v>
      </c>
      <c r="S56" s="55">
        <v>38.329407195749603</v>
      </c>
      <c r="T56" s="55">
        <v>37.781088150828779</v>
      </c>
      <c r="U56" s="55">
        <v>37.194123879746115</v>
      </c>
      <c r="V56" s="55">
        <v>36.612962429658566</v>
      </c>
      <c r="W56" s="55">
        <v>36.040886039939373</v>
      </c>
      <c r="X56" s="55">
        <v>35.457911119739364</v>
      </c>
      <c r="Y56" s="55">
        <v>34.900606413247864</v>
      </c>
      <c r="DA56" s="101" t="s">
        <v>950</v>
      </c>
    </row>
    <row r="57" spans="1:105" ht="12" customHeight="1" x14ac:dyDescent="0.25">
      <c r="A57" s="62" t="s">
        <v>98</v>
      </c>
      <c r="B57" s="63">
        <v>363.5552288006844</v>
      </c>
      <c r="C57" s="63">
        <v>353.25662807922436</v>
      </c>
      <c r="D57" s="63">
        <v>341.60330736454972</v>
      </c>
      <c r="E57" s="63">
        <v>328.0860594634691</v>
      </c>
      <c r="F57" s="63">
        <v>314.09938814488663</v>
      </c>
      <c r="G57" s="63">
        <v>299.45695847836811</v>
      </c>
      <c r="H57" s="63">
        <v>283.67336457424682</v>
      </c>
      <c r="I57" s="63">
        <v>270.81188959624842</v>
      </c>
      <c r="J57" s="63">
        <v>258.53513487878871</v>
      </c>
      <c r="K57" s="63">
        <v>246.34891907600311</v>
      </c>
      <c r="L57" s="63">
        <v>232.78461310609322</v>
      </c>
      <c r="M57" s="63">
        <v>215.44543520022248</v>
      </c>
      <c r="N57" s="63">
        <v>202.82550523488314</v>
      </c>
      <c r="O57" s="63">
        <v>192.00174971597997</v>
      </c>
      <c r="P57" s="63">
        <v>184.47058983334117</v>
      </c>
      <c r="Q57" s="63">
        <v>179.84617611785481</v>
      </c>
      <c r="R57" s="63">
        <v>176.87908970744223</v>
      </c>
      <c r="S57" s="63">
        <v>175.71081971083817</v>
      </c>
      <c r="T57" s="63">
        <v>174.63766509505129</v>
      </c>
      <c r="U57" s="63">
        <v>172.72941625982855</v>
      </c>
      <c r="V57" s="63">
        <v>169.78780865104474</v>
      </c>
      <c r="W57" s="63">
        <v>166.25941178199369</v>
      </c>
      <c r="X57" s="63">
        <v>162.7545597055219</v>
      </c>
      <c r="Y57" s="63">
        <v>159.35278107984922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0.58065923105524642</v>
      </c>
      <c r="D60" s="180">
        <v>0.5757740014642504</v>
      </c>
      <c r="E60" s="180">
        <v>0.57145678377242148</v>
      </c>
      <c r="F60" s="180">
        <v>0.56621802534779409</v>
      </c>
      <c r="G60" s="180">
        <v>0.55985248377136621</v>
      </c>
      <c r="H60" s="180">
        <v>0.55364127342108305</v>
      </c>
      <c r="I60" s="180">
        <v>0.54617191978238699</v>
      </c>
      <c r="J60" s="180">
        <v>0.53925110809633015</v>
      </c>
      <c r="K60" s="180">
        <v>0.53239088781061561</v>
      </c>
      <c r="L60" s="180">
        <v>0.52421026162305007</v>
      </c>
      <c r="M60" s="180">
        <v>0.51478774832523455</v>
      </c>
      <c r="N60" s="180">
        <v>0.50506691774300971</v>
      </c>
      <c r="O60" s="180">
        <v>0.49456614217904926</v>
      </c>
      <c r="P60" s="180">
        <v>0.48493378762538975</v>
      </c>
      <c r="Q60" s="180">
        <v>0.47454836758720587</v>
      </c>
      <c r="R60" s="180">
        <v>0.47131734699913252</v>
      </c>
      <c r="S60" s="180">
        <v>0.4665788679254716</v>
      </c>
      <c r="T60" s="180">
        <v>0.46218526117385278</v>
      </c>
      <c r="U60" s="180">
        <v>0.4581352455513425</v>
      </c>
      <c r="V60" s="180">
        <v>0.4541467355420557</v>
      </c>
      <c r="W60" s="180">
        <v>0.45142185512880334</v>
      </c>
      <c r="X60" s="180">
        <v>0.44869697471555103</v>
      </c>
      <c r="Y60" s="180">
        <v>0.44597209430229867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177.89778413122968</v>
      </c>
      <c r="D61" s="180">
        <v>175.85657467637057</v>
      </c>
      <c r="E61" s="180">
        <v>173.68747707720087</v>
      </c>
      <c r="F61" s="180">
        <v>171.13356946632859</v>
      </c>
      <c r="G61" s="180">
        <v>167.78463623073227</v>
      </c>
      <c r="H61" s="180">
        <v>164.78123235736615</v>
      </c>
      <c r="I61" s="180">
        <v>162.49490268843974</v>
      </c>
      <c r="J61" s="180">
        <v>159.75312466100837</v>
      </c>
      <c r="K61" s="180">
        <v>156.47795506007006</v>
      </c>
      <c r="L61" s="180">
        <v>153.41165739102613</v>
      </c>
      <c r="M61" s="180">
        <v>150.30389655595809</v>
      </c>
      <c r="N61" s="180">
        <v>144.52436821089756</v>
      </c>
      <c r="O61" s="180">
        <v>137.12114580577554</v>
      </c>
      <c r="P61" s="180">
        <v>129.16812058169589</v>
      </c>
      <c r="Q61" s="180">
        <v>120.93234801423245</v>
      </c>
      <c r="R61" s="180">
        <v>114.4350891362683</v>
      </c>
      <c r="S61" s="180">
        <v>109.19533236194208</v>
      </c>
      <c r="T61" s="180">
        <v>103.95712804432263</v>
      </c>
      <c r="U61" s="180">
        <v>98.722561011456392</v>
      </c>
      <c r="V61" s="180">
        <v>93.489063964766927</v>
      </c>
      <c r="W61" s="180">
        <v>91.189232991233666</v>
      </c>
      <c r="X61" s="180">
        <v>88.889402017700405</v>
      </c>
      <c r="Y61" s="180">
        <v>86.589571044167144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35.373928528982603</v>
      </c>
      <c r="D62" s="180">
        <v>34.80404846260835</v>
      </c>
      <c r="E62" s="180">
        <v>34.367398360990109</v>
      </c>
      <c r="F62" s="180">
        <v>33.818188001820111</v>
      </c>
      <c r="G62" s="180">
        <v>33.015458830907313</v>
      </c>
      <c r="H62" s="180">
        <v>32.198863701113112</v>
      </c>
      <c r="I62" s="180">
        <v>31.332171852742114</v>
      </c>
      <c r="J62" s="180">
        <v>30.382063323443806</v>
      </c>
      <c r="K62" s="180">
        <v>29.605976701912432</v>
      </c>
      <c r="L62" s="180">
        <v>28.80566442771109</v>
      </c>
      <c r="M62" s="180">
        <v>27.795708431194416</v>
      </c>
      <c r="N62" s="180">
        <v>26.695437360995548</v>
      </c>
      <c r="O62" s="180">
        <v>25.546686729281863</v>
      </c>
      <c r="P62" s="180">
        <v>24.268121280923335</v>
      </c>
      <c r="Q62" s="180">
        <v>22.843361548097967</v>
      </c>
      <c r="R62" s="180">
        <v>20.8194791383028</v>
      </c>
      <c r="S62" s="180">
        <v>19.71471481566385</v>
      </c>
      <c r="T62" s="180">
        <v>17.950515112253186</v>
      </c>
      <c r="U62" s="180">
        <v>16.54478669747148</v>
      </c>
      <c r="V62" s="180">
        <v>15.372196950880495</v>
      </c>
      <c r="W62" s="180">
        <v>14.603587103336469</v>
      </c>
      <c r="X62" s="180">
        <v>13.834977255792444</v>
      </c>
      <c r="Y62" s="180">
        <v>13.066367408248418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598.84242731246763</v>
      </c>
      <c r="D63" s="180">
        <v>582.75635891965692</v>
      </c>
      <c r="E63" s="180">
        <v>574.3763176389815</v>
      </c>
      <c r="F63" s="180">
        <v>567.34669201493034</v>
      </c>
      <c r="G63" s="180">
        <v>559.66093562004789</v>
      </c>
      <c r="H63" s="180">
        <v>549.28738487208443</v>
      </c>
      <c r="I63" s="180">
        <v>538.40774417972932</v>
      </c>
      <c r="J63" s="180">
        <v>526.91732361526817</v>
      </c>
      <c r="K63" s="180">
        <v>515.09694760924162</v>
      </c>
      <c r="L63" s="180">
        <v>502.16186802262843</v>
      </c>
      <c r="M63" s="180">
        <v>484.74468133020497</v>
      </c>
      <c r="N63" s="180">
        <v>474.45263751181852</v>
      </c>
      <c r="O63" s="180">
        <v>459.97608761608325</v>
      </c>
      <c r="P63" s="180">
        <v>443.87745152650359</v>
      </c>
      <c r="Q63" s="180">
        <v>435.92265918855719</v>
      </c>
      <c r="R63" s="180">
        <v>429.32497950626498</v>
      </c>
      <c r="S63" s="180">
        <v>421.09239722976321</v>
      </c>
      <c r="T63" s="180">
        <v>413.17721858199138</v>
      </c>
      <c r="U63" s="180">
        <v>405.7278178718833</v>
      </c>
      <c r="V63" s="180">
        <v>398.37712793973577</v>
      </c>
      <c r="W63" s="180">
        <v>390.40958538094105</v>
      </c>
      <c r="X63" s="180">
        <v>382.44204282214633</v>
      </c>
      <c r="Y63" s="180">
        <v>374.47450026335162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42.544264975182699</v>
      </c>
      <c r="D64" s="55">
        <v>42.328610414397957</v>
      </c>
      <c r="E64" s="55">
        <v>42.096527683146114</v>
      </c>
      <c r="F64" s="55">
        <v>41.828595794137023</v>
      </c>
      <c r="G64" s="55">
        <v>41.511650474016804</v>
      </c>
      <c r="H64" s="55">
        <v>41.141742365698846</v>
      </c>
      <c r="I64" s="55">
        <v>40.810436436084522</v>
      </c>
      <c r="J64" s="55">
        <v>40.458181674340075</v>
      </c>
      <c r="K64" s="55">
        <v>40.035117799192619</v>
      </c>
      <c r="L64" s="55">
        <v>39.572807544130633</v>
      </c>
      <c r="M64" s="55">
        <v>38.762828711665705</v>
      </c>
      <c r="N64" s="55">
        <v>37.893089750996012</v>
      </c>
      <c r="O64" s="55">
        <v>37.061644130062078</v>
      </c>
      <c r="P64" s="55">
        <v>36.280027739553297</v>
      </c>
      <c r="Q64" s="55">
        <v>35.487668646434003</v>
      </c>
      <c r="R64" s="55">
        <v>35.034984792574946</v>
      </c>
      <c r="S64" s="55">
        <v>34.4834648108964</v>
      </c>
      <c r="T64" s="55">
        <v>33.967948862123656</v>
      </c>
      <c r="U64" s="55">
        <v>33.472875822044784</v>
      </c>
      <c r="V64" s="55">
        <v>32.983517339047992</v>
      </c>
      <c r="W64" s="55">
        <v>32.653682165657514</v>
      </c>
      <c r="X64" s="55">
        <v>32.323846992267029</v>
      </c>
      <c r="Y64" s="55">
        <v>31.994011818876551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328.2928717105591</v>
      </c>
      <c r="D65" s="63">
        <v>314.01920362277031</v>
      </c>
      <c r="E65" s="63">
        <v>299.90197963415153</v>
      </c>
      <c r="F65" s="63">
        <v>286.85051868882732</v>
      </c>
      <c r="G65" s="63">
        <v>274.33554831905997</v>
      </c>
      <c r="H65" s="63">
        <v>260.95486035918708</v>
      </c>
      <c r="I65" s="63">
        <v>247.03888610052897</v>
      </c>
      <c r="J65" s="63">
        <v>234.54865710266407</v>
      </c>
      <c r="K65" s="63">
        <v>219.72389122678408</v>
      </c>
      <c r="L65" s="63">
        <v>202.45576401598581</v>
      </c>
      <c r="M65" s="63">
        <v>190.16116568756217</v>
      </c>
      <c r="N65" s="63">
        <v>182.38918701319656</v>
      </c>
      <c r="O65" s="63">
        <v>176.56572866834154</v>
      </c>
      <c r="P65" s="63">
        <v>175.97691820108867</v>
      </c>
      <c r="Q65" s="63">
        <v>175.5314868688933</v>
      </c>
      <c r="R65" s="63">
        <v>175.3848802040813</v>
      </c>
      <c r="S65" s="63">
        <v>175.32708562225059</v>
      </c>
      <c r="T65" s="63">
        <v>171.27798501271423</v>
      </c>
      <c r="U65" s="63">
        <v>166.65523083514842</v>
      </c>
      <c r="V65" s="63">
        <v>162.09261349205335</v>
      </c>
      <c r="W65" s="63">
        <v>159.17494644919637</v>
      </c>
      <c r="X65" s="63">
        <v>156.25727940633942</v>
      </c>
      <c r="Y65" s="63">
        <v>153.33961236348244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514.68171688814652</v>
      </c>
      <c r="C68" s="187">
        <f>1000000*C20/SER_summary!C$8</f>
        <v>530.11018552557448</v>
      </c>
      <c r="D68" s="187">
        <f>1000000*D20/SER_summary!D$8</f>
        <v>543.42145670449486</v>
      </c>
      <c r="E68" s="187">
        <f>1000000*E20/SER_summary!E$8</f>
        <v>556.65736256767389</v>
      </c>
      <c r="F68" s="187">
        <f>1000000*F20/SER_summary!F$8</f>
        <v>568.56965902036347</v>
      </c>
      <c r="G68" s="187">
        <f>1000000*G20/SER_summary!G$8</f>
        <v>579.8838492871032</v>
      </c>
      <c r="H68" s="187">
        <f>1000000*H20/SER_summary!H$8</f>
        <v>592.10087963787407</v>
      </c>
      <c r="I68" s="187">
        <f>1000000*I20/SER_summary!I$8</f>
        <v>606.47087501991803</v>
      </c>
      <c r="J68" s="187">
        <f>1000000*J20/SER_summary!J$8</f>
        <v>622.50878004560445</v>
      </c>
      <c r="K68" s="187">
        <f>1000000*K20/SER_summary!K$8</f>
        <v>637.58727367943948</v>
      </c>
      <c r="L68" s="187">
        <f>1000000*L20/SER_summary!L$8</f>
        <v>650.27859162729101</v>
      </c>
      <c r="M68" s="187">
        <f>1000000*M20/SER_summary!M$8</f>
        <v>661.46501936995503</v>
      </c>
      <c r="N68" s="187">
        <f>1000000*N20/SER_summary!N$8</f>
        <v>672.96503069452046</v>
      </c>
      <c r="O68" s="187">
        <f>1000000*O20/SER_summary!O$8</f>
        <v>685.18944334789489</v>
      </c>
      <c r="P68" s="187">
        <f>1000000*P20/SER_summary!P$8</f>
        <v>698.12986370276656</v>
      </c>
      <c r="Q68" s="187">
        <f>1000000*Q20/SER_summary!Q$8</f>
        <v>711.90496396395281</v>
      </c>
      <c r="R68" s="187">
        <f>1000000*R20/SER_summary!R$8</f>
        <v>717.94382397807078</v>
      </c>
      <c r="S68" s="187">
        <f>1000000*S20/SER_summary!S$8</f>
        <v>724.01447904151405</v>
      </c>
      <c r="T68" s="187">
        <f>1000000*T20/SER_summary!T$8</f>
        <v>729.94877383622315</v>
      </c>
      <c r="U68" s="187">
        <f>1000000*U20/SER_summary!U$8</f>
        <v>735.64471983434112</v>
      </c>
      <c r="V68" s="187">
        <f>1000000*V20/SER_summary!V$8</f>
        <v>740.91247983791482</v>
      </c>
      <c r="W68" s="187">
        <f>1000000*W20/SER_summary!W$8</f>
        <v>745.50181727562267</v>
      </c>
      <c r="X68" s="187">
        <f>1000000*X20/SER_summary!X$8</f>
        <v>747.80713518993912</v>
      </c>
      <c r="Y68" s="187">
        <f>1000000*Y20/SER_summary!Y$8</f>
        <v>748.96246604946487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0.16602434622293202</v>
      </c>
      <c r="C69" s="187">
        <f>1000*C21/SER_summary!C$3</f>
        <v>0.16777252612874177</v>
      </c>
      <c r="D69" s="187">
        <f>1000*D21/SER_summary!D$3</f>
        <v>0.16882086943802929</v>
      </c>
      <c r="E69" s="187">
        <f>1000*E21/SER_summary!E$3</f>
        <v>0.17024618945606121</v>
      </c>
      <c r="F69" s="187">
        <f>1000*F21/SER_summary!F$3</f>
        <v>0.17356762237874782</v>
      </c>
      <c r="G69" s="187">
        <f>1000*G21/SER_summary!G$3</f>
        <v>0.17651862977340568</v>
      </c>
      <c r="H69" s="187">
        <f>1000*H21/SER_summary!H$3</f>
        <v>0.180580263813889</v>
      </c>
      <c r="I69" s="187">
        <f>1000*I21/SER_summary!I$3</f>
        <v>0.18430882582250957</v>
      </c>
      <c r="J69" s="187">
        <f>1000*J21/SER_summary!J$3</f>
        <v>0.18787639183389024</v>
      </c>
      <c r="K69" s="187">
        <f>1000*K21/SER_summary!K$3</f>
        <v>0.19278049497606323</v>
      </c>
      <c r="L69" s="187">
        <f>1000*L21/SER_summary!L$3</f>
        <v>0.19598672180534388</v>
      </c>
      <c r="M69" s="187">
        <f>1000*M21/SER_summary!M$3</f>
        <v>0.20147805204074531</v>
      </c>
      <c r="N69" s="187">
        <f>1000*N21/SER_summary!N$3</f>
        <v>0.2083246618030328</v>
      </c>
      <c r="O69" s="187">
        <f>1000*O21/SER_summary!O$3</f>
        <v>0.21741062234611547</v>
      </c>
      <c r="P69" s="187">
        <f>1000*P21/SER_summary!P$3</f>
        <v>0.22876331128187166</v>
      </c>
      <c r="Q69" s="187">
        <f>1000*Q21/SER_summary!Q$3</f>
        <v>0.24320978599399101</v>
      </c>
      <c r="R69" s="187">
        <f>1000*R21/SER_summary!R$3</f>
        <v>0.24751320443667207</v>
      </c>
      <c r="S69" s="187">
        <f>1000*S21/SER_summary!S$3</f>
        <v>0.25205592241168673</v>
      </c>
      <c r="T69" s="187">
        <f>1000*T21/SER_summary!T$3</f>
        <v>0.25719650240511882</v>
      </c>
      <c r="U69" s="187">
        <f>1000*U21/SER_summary!U$3</f>
        <v>0.26245788127134029</v>
      </c>
      <c r="V69" s="187">
        <f>1000*V21/SER_summary!V$3</f>
        <v>0.26705836163854135</v>
      </c>
      <c r="W69" s="187">
        <f>1000*W21/SER_summary!W$3</f>
        <v>0.27121771032396941</v>
      </c>
      <c r="X69" s="187">
        <f>1000*X21/SER_summary!X$3</f>
        <v>0.27416773908752773</v>
      </c>
      <c r="Y69" s="187">
        <f>1000*Y21/SER_summary!Y$3</f>
        <v>0.27625183052855234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176.73720831271851</v>
      </c>
      <c r="C70" s="187">
        <f>1000000*C22/SER_summary!C$8</f>
        <v>177.55549158230951</v>
      </c>
      <c r="D70" s="187">
        <f>1000000*D22/SER_summary!D$8</f>
        <v>179.00058218115797</v>
      </c>
      <c r="E70" s="187">
        <f>1000000*E22/SER_summary!E$8</f>
        <v>181.31056446472763</v>
      </c>
      <c r="F70" s="187">
        <f>1000000*F22/SER_summary!F$8</f>
        <v>184.21966664417772</v>
      </c>
      <c r="G70" s="187">
        <f>1000000*G22/SER_summary!G$8</f>
        <v>186.86662000620242</v>
      </c>
      <c r="H70" s="187">
        <f>1000000*H22/SER_summary!H$8</f>
        <v>190.45627305172144</v>
      </c>
      <c r="I70" s="187">
        <f>1000000*I22/SER_summary!I$8</f>
        <v>193.82478275387157</v>
      </c>
      <c r="J70" s="187">
        <f>1000000*J22/SER_summary!J$8</f>
        <v>198.32269069058381</v>
      </c>
      <c r="K70" s="187">
        <f>1000000*K22/SER_summary!K$8</f>
        <v>201.55448786830723</v>
      </c>
      <c r="L70" s="187">
        <f>1000000*L22/SER_summary!L$8</f>
        <v>206.94307553608616</v>
      </c>
      <c r="M70" s="187">
        <f>1000000*M22/SER_summary!M$8</f>
        <v>212.31433234104733</v>
      </c>
      <c r="N70" s="187">
        <f>1000000*N22/SER_summary!N$8</f>
        <v>217.81431423280446</v>
      </c>
      <c r="O70" s="187">
        <f>1000000*O22/SER_summary!O$8</f>
        <v>223.35742817663038</v>
      </c>
      <c r="P70" s="187">
        <f>1000000*P22/SER_summary!P$8</f>
        <v>231.14794060478508</v>
      </c>
      <c r="Q70" s="187">
        <f>1000000*Q22/SER_summary!Q$8</f>
        <v>240.57188508599563</v>
      </c>
      <c r="R70" s="187">
        <f>1000000*R22/SER_summary!R$8</f>
        <v>245.86912124948029</v>
      </c>
      <c r="S70" s="187">
        <f>1000000*S22/SER_summary!S$8</f>
        <v>251.23813754456719</v>
      </c>
      <c r="T70" s="187">
        <f>1000000*T22/SER_summary!T$8</f>
        <v>256.38033307693638</v>
      </c>
      <c r="U70" s="187">
        <f>1000000*U22/SER_summary!U$8</f>
        <v>261.11309953018082</v>
      </c>
      <c r="V70" s="187">
        <f>1000000*V22/SER_summary!V$8</f>
        <v>265.09611998528902</v>
      </c>
      <c r="W70" s="187">
        <f>1000000*W22/SER_summary!W$8</f>
        <v>267.89814171067769</v>
      </c>
      <c r="X70" s="187">
        <f>1000000*X22/SER_summary!X$8</f>
        <v>269.31023942332888</v>
      </c>
      <c r="Y70" s="187">
        <f>1000000*Y22/SER_summary!Y$8</f>
        <v>270.01907703310957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2.3504332801631209E-2</v>
      </c>
      <c r="C71" s="187">
        <f>1000*C23/SER_summary!C$3</f>
        <v>2.3766667523714993E-2</v>
      </c>
      <c r="D71" s="187">
        <f>1000*D23/SER_summary!D$3</f>
        <v>2.409344133803094E-2</v>
      </c>
      <c r="E71" s="187">
        <f>1000*E23/SER_summary!E$3</f>
        <v>2.4439066636250555E-2</v>
      </c>
      <c r="F71" s="187">
        <f>1000*F23/SER_summary!F$3</f>
        <v>2.4765659492391019E-2</v>
      </c>
      <c r="G71" s="187">
        <f>1000*G23/SER_summary!G$3</f>
        <v>2.517296848499917E-2</v>
      </c>
      <c r="H71" s="187">
        <f>1000*H23/SER_summary!H$3</f>
        <v>2.5631957435003197E-2</v>
      </c>
      <c r="I71" s="187">
        <f>1000*I23/SER_summary!I$3</f>
        <v>2.6208113405188235E-2</v>
      </c>
      <c r="J71" s="187">
        <f>1000*J23/SER_summary!J$3</f>
        <v>2.6825554308789541E-2</v>
      </c>
      <c r="K71" s="187">
        <f>1000*K23/SER_summary!K$3</f>
        <v>2.7561396163527176E-2</v>
      </c>
      <c r="L71" s="187">
        <f>1000*L23/SER_summary!L$3</f>
        <v>2.8404793003422295E-2</v>
      </c>
      <c r="M71" s="187">
        <f>1000*M23/SER_summary!M$3</f>
        <v>2.8999977164002419E-2</v>
      </c>
      <c r="N71" s="187">
        <f>1000*N23/SER_summary!N$3</f>
        <v>2.9694913768111182E-2</v>
      </c>
      <c r="O71" s="187">
        <f>1000*O23/SER_summary!O$3</f>
        <v>3.0537949827254475E-2</v>
      </c>
      <c r="P71" s="187">
        <f>1000*P23/SER_summary!P$3</f>
        <v>3.1556659960916375E-2</v>
      </c>
      <c r="Q71" s="187">
        <f>1000*Q23/SER_summary!Q$3</f>
        <v>3.280568379925336E-2</v>
      </c>
      <c r="R71" s="187">
        <f>1000*R23/SER_summary!R$3</f>
        <v>3.3969690674118862E-2</v>
      </c>
      <c r="S71" s="187">
        <f>1000*S23/SER_summary!S$3</f>
        <v>3.5172033541792422E-2</v>
      </c>
      <c r="T71" s="187">
        <f>1000*T23/SER_summary!T$3</f>
        <v>3.6437966361903752E-2</v>
      </c>
      <c r="U71" s="187">
        <f>1000*U23/SER_summary!U$3</f>
        <v>3.768706628335889E-2</v>
      </c>
      <c r="V71" s="187">
        <f>1000*V23/SER_summary!V$3</f>
        <v>3.8777145212804238E-2</v>
      </c>
      <c r="W71" s="187">
        <f>1000*W23/SER_summary!W$3</f>
        <v>3.9719131638940024E-2</v>
      </c>
      <c r="X71" s="187">
        <f>1000*X23/SER_summary!X$3</f>
        <v>4.0392104721074844E-2</v>
      </c>
      <c r="Y71" s="187">
        <f>1000*Y23/SER_summary!Y$3</f>
        <v>4.0869958864490075E-2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95.071263013358688</v>
      </c>
      <c r="C72" s="187">
        <f>1000000*C24/SER_summary!C$8</f>
        <v>98.088853551672344</v>
      </c>
      <c r="D72" s="187">
        <f>1000000*D24/SER_summary!D$8</f>
        <v>101.15094879004047</v>
      </c>
      <c r="E72" s="187">
        <f>1000000*E24/SER_summary!E$8</f>
        <v>104.93539416201651</v>
      </c>
      <c r="F72" s="187">
        <f>1000000*F24/SER_summary!F$8</f>
        <v>109.41560493511149</v>
      </c>
      <c r="G72" s="187">
        <f>1000000*G24/SER_summary!G$8</f>
        <v>114.14329094206877</v>
      </c>
      <c r="H72" s="187">
        <f>1000000*H24/SER_summary!H$8</f>
        <v>118.90873779906568</v>
      </c>
      <c r="I72" s="187">
        <f>1000000*I24/SER_summary!I$8</f>
        <v>124.64474599968207</v>
      </c>
      <c r="J72" s="187">
        <f>1000000*J24/SER_summary!J$8</f>
        <v>131.34205364459643</v>
      </c>
      <c r="K72" s="187">
        <f>1000000*K24/SER_summary!K$8</f>
        <v>138.06659088421625</v>
      </c>
      <c r="L72" s="187">
        <f>1000000*L24/SER_summary!L$8</f>
        <v>143.03684642799493</v>
      </c>
      <c r="M72" s="187">
        <f>1000000*M24/SER_summary!M$8</f>
        <v>147.00175046996102</v>
      </c>
      <c r="N72" s="187">
        <f>1000000*N24/SER_summary!N$8</f>
        <v>150.62057458321183</v>
      </c>
      <c r="O72" s="187">
        <f>1000000*O24/SER_summary!O$8</f>
        <v>154.10819038869815</v>
      </c>
      <c r="P72" s="187">
        <f>1000000*P24/SER_summary!P$8</f>
        <v>157.49590502813288</v>
      </c>
      <c r="Q72" s="187">
        <f>1000000*Q24/SER_summary!Q$8</f>
        <v>160.81558053205501</v>
      </c>
      <c r="R72" s="187">
        <f>1000000*R24/SER_summary!R$8</f>
        <v>169.43794683332706</v>
      </c>
      <c r="S72" s="187">
        <f>1000000*S24/SER_summary!S$8</f>
        <v>178.11748390802137</v>
      </c>
      <c r="T72" s="187">
        <f>1000000*T24/SER_summary!T$8</f>
        <v>186.55183117508952</v>
      </c>
      <c r="U72" s="187">
        <f>1000000*U24/SER_summary!U$8</f>
        <v>194.55760275712592</v>
      </c>
      <c r="V72" s="187">
        <f>1000000*V24/SER_summary!V$8</f>
        <v>201.7934518199053</v>
      </c>
      <c r="W72" s="187">
        <f>1000000*W24/SER_summary!W$8</f>
        <v>207.89987938349333</v>
      </c>
      <c r="X72" s="187">
        <f>1000000*X24/SER_summary!X$8</f>
        <v>212.91780083002058</v>
      </c>
      <c r="Y72" s="187">
        <f>1000000*Y24/SER_summary!Y$8</f>
        <v>217.01920058315034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8.8916537154343028E-2</v>
      </c>
      <c r="C73" s="52">
        <f>1000*C25/SER_summary!C$3</f>
        <v>0.10024367518958638</v>
      </c>
      <c r="D73" s="52">
        <f>1000*D25/SER_summary!D$3</f>
        <v>0.11014595441246512</v>
      </c>
      <c r="E73" s="52">
        <f>1000*E25/SER_summary!E$3</f>
        <v>0.12255861197463014</v>
      </c>
      <c r="F73" s="52">
        <f>1000*F25/SER_summary!F$3</f>
        <v>0.13530731062831028</v>
      </c>
      <c r="G73" s="52">
        <f>1000*G25/SER_summary!G$3</f>
        <v>0.15101395513055613</v>
      </c>
      <c r="H73" s="52">
        <f>1000*H25/SER_summary!H$3</f>
        <v>0.16996517127705488</v>
      </c>
      <c r="I73" s="52">
        <f>1000*I25/SER_summary!I$3</f>
        <v>0.18398883392818155</v>
      </c>
      <c r="J73" s="52">
        <f>1000*J25/SER_summary!J$3</f>
        <v>0.19635488034184145</v>
      </c>
      <c r="K73" s="52">
        <f>1000*K25/SER_summary!K$3</f>
        <v>0.20928574721791485</v>
      </c>
      <c r="L73" s="52">
        <f>1000*L25/SER_summary!L$3</f>
        <v>0.22308796719857965</v>
      </c>
      <c r="M73" s="52">
        <f>1000*M25/SER_summary!M$3</f>
        <v>0.24154453616777652</v>
      </c>
      <c r="N73" s="52">
        <f>1000*N25/SER_summary!N$3</f>
        <v>0.2584418654022726</v>
      </c>
      <c r="O73" s="52">
        <f>1000*O25/SER_summary!O$3</f>
        <v>0.27995530466130097</v>
      </c>
      <c r="P73" s="52">
        <f>1000*P25/SER_summary!P$3</f>
        <v>0.30412141337347365</v>
      </c>
      <c r="Q73" s="52">
        <f>1000*Q25/SER_summary!Q$3</f>
        <v>0.33524142248378924</v>
      </c>
      <c r="R73" s="52">
        <f>1000*R25/SER_summary!R$3</f>
        <v>0.35219536534357548</v>
      </c>
      <c r="S73" s="52">
        <f>1000*S25/SER_summary!S$3</f>
        <v>0.36903617536432348</v>
      </c>
      <c r="T73" s="52">
        <f>1000*T25/SER_summary!T$3</f>
        <v>0.38653995106330363</v>
      </c>
      <c r="U73" s="52">
        <f>1000*U25/SER_summary!U$3</f>
        <v>0.40442869754898431</v>
      </c>
      <c r="V73" s="52">
        <f>1000*V25/SER_summary!V$3</f>
        <v>0.42129690017831795</v>
      </c>
      <c r="W73" s="52">
        <f>1000*W25/SER_summary!W$3</f>
        <v>0.43797722039559589</v>
      </c>
      <c r="X73" s="52">
        <f>1000*X25/SER_summary!X$3</f>
        <v>0.45150999481018278</v>
      </c>
      <c r="Y73" s="52">
        <f>1000*Y25/SER_summary!Y$3</f>
        <v>0.46125616107164397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37.447656622869388</v>
      </c>
      <c r="C3" s="198">
        <f>'SER_se-appl'!C4</f>
        <v>38.544311999765831</v>
      </c>
      <c r="D3" s="198">
        <f>'SER_se-appl'!D4</f>
        <v>39.614431336012586</v>
      </c>
      <c r="E3" s="198">
        <f>'SER_se-appl'!E4</f>
        <v>40.562054001446278</v>
      </c>
      <c r="F3" s="198">
        <f>'SER_se-appl'!F4</f>
        <v>41.720566944457701</v>
      </c>
      <c r="G3" s="198">
        <f>'SER_se-appl'!G4</f>
        <v>42.872912076234037</v>
      </c>
      <c r="H3" s="198">
        <f>'SER_se-appl'!H4</f>
        <v>44.311126175192562</v>
      </c>
      <c r="I3" s="198">
        <f>'SER_se-appl'!I4</f>
        <v>45.873214944668021</v>
      </c>
      <c r="J3" s="198">
        <f>'SER_se-appl'!J4</f>
        <v>47.114972933048364</v>
      </c>
      <c r="K3" s="198">
        <f>'SER_se-appl'!K4</f>
        <v>46.983256663295869</v>
      </c>
      <c r="L3" s="198">
        <f>'SER_se-appl'!L4</f>
        <v>47.926144692641259</v>
      </c>
      <c r="M3" s="198">
        <f>'SER_se-appl'!M4</f>
        <v>48.585940783160041</v>
      </c>
      <c r="N3" s="198">
        <f>'SER_se-appl'!N4</f>
        <v>48.981610839985841</v>
      </c>
      <c r="O3" s="198">
        <f>'SER_se-appl'!O4</f>
        <v>49.39537012206506</v>
      </c>
      <c r="P3" s="198">
        <f>'SER_se-appl'!P4</f>
        <v>49.860526146218547</v>
      </c>
      <c r="Q3" s="198">
        <f>'SER_se-appl'!Q4</f>
        <v>50.39416446498003</v>
      </c>
      <c r="R3" s="198">
        <f>'SER_se-appl'!R4</f>
        <v>50.702296625545181</v>
      </c>
      <c r="S3" s="198">
        <f>'SER_se-appl'!S4</f>
        <v>51.01944365404642</v>
      </c>
      <c r="T3" s="198">
        <f>'SER_se-appl'!T4</f>
        <v>51.284748902035211</v>
      </c>
      <c r="U3" s="198">
        <f>'SER_se-appl'!U4</f>
        <v>51.631227319713091</v>
      </c>
      <c r="V3" s="198">
        <f>'SER_se-appl'!V4</f>
        <v>51.924655322393868</v>
      </c>
      <c r="W3" s="198">
        <f>'SER_se-appl'!W4</f>
        <v>52.172432123636355</v>
      </c>
      <c r="X3" s="198">
        <f>'SER_se-appl'!X4</f>
        <v>52.219416518117377</v>
      </c>
      <c r="Y3" s="198">
        <f>'SER_se-appl'!Y4</f>
        <v>52.186673077079078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49.716466498170213</v>
      </c>
      <c r="C5" s="59">
        <f>'SER_se-appl'!C12</f>
        <v>51.172414218867182</v>
      </c>
      <c r="D5" s="59">
        <f>'SER_se-appl'!D12</f>
        <v>52.5931320134505</v>
      </c>
      <c r="E5" s="59">
        <f>'SER_se-appl'!E12</f>
        <v>53.851220095527431</v>
      </c>
      <c r="F5" s="59">
        <f>'SER_se-appl'!F12</f>
        <v>55.389291502744655</v>
      </c>
      <c r="G5" s="59">
        <f>'SER_se-appl'!G12</f>
        <v>56.919174366050477</v>
      </c>
      <c r="H5" s="59">
        <f>'SER_se-appl'!H12</f>
        <v>58.828584180078721</v>
      </c>
      <c r="I5" s="59">
        <f>'SER_se-appl'!I12</f>
        <v>60.902453174256763</v>
      </c>
      <c r="J5" s="59">
        <f>'SER_se-appl'!J12</f>
        <v>62.551042832346177</v>
      </c>
      <c r="K5" s="59">
        <f>'SER_se-appl'!K12</f>
        <v>62.37617294453549</v>
      </c>
      <c r="L5" s="59">
        <f>'SER_se-appl'!L12</f>
        <v>63.627975202673269</v>
      </c>
      <c r="M5" s="59">
        <f>'SER_se-appl'!M12</f>
        <v>64.503937363944218</v>
      </c>
      <c r="N5" s="59">
        <f>'SER_se-appl'!N12</f>
        <v>65.029239048976621</v>
      </c>
      <c r="O5" s="59">
        <f>'SER_se-appl'!O12</f>
        <v>65.578556452011043</v>
      </c>
      <c r="P5" s="59">
        <f>'SER_se-appl'!P12</f>
        <v>66.196109484077837</v>
      </c>
      <c r="Q5" s="59">
        <f>'SER_se-appl'!Q12</f>
        <v>66.904581361611648</v>
      </c>
      <c r="R5" s="59">
        <f>'SER_se-appl'!R12</f>
        <v>67.313665497156478</v>
      </c>
      <c r="S5" s="59">
        <f>'SER_se-appl'!S12</f>
        <v>67.734718001890428</v>
      </c>
      <c r="T5" s="59">
        <f>'SER_se-appl'!T12</f>
        <v>68.086944033181467</v>
      </c>
      <c r="U5" s="59">
        <f>'SER_se-appl'!U12</f>
        <v>68.546937640212718</v>
      </c>
      <c r="V5" s="59">
        <f>'SER_se-appl'!V12</f>
        <v>68.936500159753507</v>
      </c>
      <c r="W5" s="59">
        <f>'SER_se-appl'!W12</f>
        <v>69.265454976928211</v>
      </c>
      <c r="X5" s="59">
        <f>'SER_se-appl'!X12</f>
        <v>69.327832660468644</v>
      </c>
      <c r="Y5" s="59">
        <f>'SER_se-appl'!Y12</f>
        <v>69.28436163087099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514.68171688814652</v>
      </c>
      <c r="C6" s="201">
        <f>'SER_se-appl'!C68</f>
        <v>530.11018552557448</v>
      </c>
      <c r="D6" s="201">
        <f>'SER_se-appl'!D68</f>
        <v>543.42145670449486</v>
      </c>
      <c r="E6" s="201">
        <f>'SER_se-appl'!E68</f>
        <v>556.65736256767389</v>
      </c>
      <c r="F6" s="201">
        <f>'SER_se-appl'!F68</f>
        <v>568.56965902036347</v>
      </c>
      <c r="G6" s="201">
        <f>'SER_se-appl'!G68</f>
        <v>579.8838492871032</v>
      </c>
      <c r="H6" s="201">
        <f>'SER_se-appl'!H68</f>
        <v>592.10087963787407</v>
      </c>
      <c r="I6" s="201">
        <f>'SER_se-appl'!I68</f>
        <v>606.47087501991803</v>
      </c>
      <c r="J6" s="201">
        <f>'SER_se-appl'!J68</f>
        <v>622.50878004560445</v>
      </c>
      <c r="K6" s="201">
        <f>'SER_se-appl'!K68</f>
        <v>637.58727367943948</v>
      </c>
      <c r="L6" s="201">
        <f>'SER_se-appl'!L68</f>
        <v>650.27859162729101</v>
      </c>
      <c r="M6" s="201">
        <f>'SER_se-appl'!M68</f>
        <v>661.46501936995503</v>
      </c>
      <c r="N6" s="201">
        <f>'SER_se-appl'!N68</f>
        <v>672.96503069452046</v>
      </c>
      <c r="O6" s="201">
        <f>'SER_se-appl'!O68</f>
        <v>685.18944334789489</v>
      </c>
      <c r="P6" s="201">
        <f>'SER_se-appl'!P68</f>
        <v>698.12986370276656</v>
      </c>
      <c r="Q6" s="201">
        <f>'SER_se-appl'!Q68</f>
        <v>711.90496396395281</v>
      </c>
      <c r="R6" s="201">
        <f>'SER_se-appl'!R68</f>
        <v>717.94382397807078</v>
      </c>
      <c r="S6" s="201">
        <f>'SER_se-appl'!S68</f>
        <v>724.01447904151405</v>
      </c>
      <c r="T6" s="201">
        <f>'SER_se-appl'!T68</f>
        <v>729.94877383622315</v>
      </c>
      <c r="U6" s="201">
        <f>'SER_se-appl'!U68</f>
        <v>735.64471983434112</v>
      </c>
      <c r="V6" s="201">
        <f>'SER_se-appl'!V68</f>
        <v>740.91247983791482</v>
      </c>
      <c r="W6" s="201">
        <f>'SER_se-appl'!W68</f>
        <v>745.50181727562267</v>
      </c>
      <c r="X6" s="201">
        <f>'SER_se-appl'!X68</f>
        <v>747.80713518993912</v>
      </c>
      <c r="Y6" s="201">
        <f>'SER_se-appl'!Y68</f>
        <v>748.96246604946487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76.763396446302821</v>
      </c>
      <c r="C8" s="34">
        <f>'SER_se-appl'!C20</f>
        <v>79.654973177842493</v>
      </c>
      <c r="D8" s="34">
        <f>'SER_se-appl'!D20</f>
        <v>82.549904019304023</v>
      </c>
      <c r="E8" s="34">
        <f>'SER_se-appl'!E20</f>
        <v>85.220895645127513</v>
      </c>
      <c r="F8" s="34">
        <f>'SER_se-appl'!F20</f>
        <v>88.45797461026568</v>
      </c>
      <c r="G8" s="34">
        <f>'SER_se-appl'!G20</f>
        <v>91.774453030864649</v>
      </c>
      <c r="H8" s="34">
        <f>'SER_se-appl'!H20</f>
        <v>95.87329126414528</v>
      </c>
      <c r="I8" s="34">
        <f>'SER_se-appl'!I20</f>
        <v>100.40176314569109</v>
      </c>
      <c r="J8" s="34">
        <f>'SER_se-appl'!J20</f>
        <v>104.27260317618953</v>
      </c>
      <c r="K8" s="34">
        <f>'SER_se-appl'!K20</f>
        <v>104.84522229908931</v>
      </c>
      <c r="L8" s="34">
        <f>'SER_se-appl'!L20</f>
        <v>108.24101298105289</v>
      </c>
      <c r="M8" s="34">
        <f>'SER_se-appl'!M20</f>
        <v>111.07844770125888</v>
      </c>
      <c r="N8" s="34">
        <f>'SER_se-appl'!N20</f>
        <v>113.39604729192116</v>
      </c>
      <c r="O8" s="34">
        <f>'SER_se-appl'!O20</f>
        <v>115.94711302707378</v>
      </c>
      <c r="P8" s="34">
        <f>'SER_se-appl'!P20</f>
        <v>118.82615295348371</v>
      </c>
      <c r="Q8" s="34">
        <f>'SER_se-appl'!Q20</f>
        <v>122.11387316551387</v>
      </c>
      <c r="R8" s="34">
        <f>'SER_se-appl'!R20</f>
        <v>124.87471379732318</v>
      </c>
      <c r="S8" s="34">
        <f>'SER_se-appl'!S20</f>
        <v>127.79616300489863</v>
      </c>
      <c r="T8" s="34">
        <f>'SER_se-appl'!T20</f>
        <v>130.70497373122561</v>
      </c>
      <c r="U8" s="34">
        <f>'SER_se-appl'!U20</f>
        <v>133.37279456008631</v>
      </c>
      <c r="V8" s="34">
        <f>'SER_se-appl'!V20</f>
        <v>135.92279745240842</v>
      </c>
      <c r="W8" s="34">
        <f>'SER_se-appl'!W20</f>
        <v>138.29784893285861</v>
      </c>
      <c r="X8" s="34">
        <f>'SER_se-appl'!X20</f>
        <v>140.23287026153648</v>
      </c>
      <c r="Y8" s="34">
        <f>'SER_se-appl'!Y20</f>
        <v>141.93281487837433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6.2210606384621059</v>
      </c>
      <c r="D9" s="36">
        <f>'SER_se-appl'!D28</f>
        <v>6.3185911793965204</v>
      </c>
      <c r="E9" s="36">
        <f>'SER_se-appl'!E28</f>
        <v>6.1914922310910896</v>
      </c>
      <c r="F9" s="36">
        <f>'SER_se-appl'!F28</f>
        <v>6.8571590222518353</v>
      </c>
      <c r="G9" s="36">
        <f>'SER_se-appl'!G28</f>
        <v>7.0389545935340294</v>
      </c>
      <c r="H9" s="36">
        <f>'SER_se-appl'!H28</f>
        <v>7.926606857026897</v>
      </c>
      <c r="I9" s="36">
        <f>'SER_se-appl'!I28</f>
        <v>8.4645112156495514</v>
      </c>
      <c r="J9" s="36">
        <f>'SER_se-appl'!J28</f>
        <v>7.9182125763471873</v>
      </c>
      <c r="K9" s="36">
        <f>'SER_se-appl'!K28</f>
        <v>4.7344740065528157</v>
      </c>
      <c r="L9" s="36">
        <f>'SER_se-appl'!L28</f>
        <v>7.6753661043823058</v>
      </c>
      <c r="M9" s="36">
        <f>'SER_se-appl'!M28</f>
        <v>7.2380604767904799</v>
      </c>
      <c r="N9" s="36">
        <f>'SER_se-appl'!N28</f>
        <v>6.8426996620543719</v>
      </c>
      <c r="O9" s="36">
        <f>'SER_se-appl'!O28</f>
        <v>7.2041609513214553</v>
      </c>
      <c r="P9" s="36">
        <f>'SER_se-appl'!P28</f>
        <v>7.6637507060927703</v>
      </c>
      <c r="Q9" s="36">
        <f>'SER_se-appl'!Q28</f>
        <v>8.2077693796598368</v>
      </c>
      <c r="R9" s="36">
        <f>'SER_se-appl'!R28</f>
        <v>7.8200563141202366</v>
      </c>
      <c r="S9" s="36">
        <f>'SER_se-appl'!S28</f>
        <v>8.123767812141736</v>
      </c>
      <c r="T9" s="36">
        <f>'SER_se-appl'!T28</f>
        <v>8.2582800043503966</v>
      </c>
      <c r="U9" s="36">
        <f>'SER_se-appl'!U28</f>
        <v>8.888881467322804</v>
      </c>
      <c r="V9" s="36">
        <f>'SER_se-appl'!V28</f>
        <v>8.8685940717186327</v>
      </c>
      <c r="W9" s="36">
        <f>'SER_se-appl'!W28</f>
        <v>8.5665437115412999</v>
      </c>
      <c r="X9" s="36">
        <f>'SER_se-appl'!X28</f>
        <v>8.7921803509296979</v>
      </c>
      <c r="Y9" s="36">
        <f>'SER_se-appl'!Y28</f>
        <v>8.7388992103718977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3.3294839069224338</v>
      </c>
      <c r="D10" s="38">
        <f>'SER_se-appl'!D36</f>
        <v>3.4236603379349901</v>
      </c>
      <c r="E10" s="38">
        <f>'SER_se-appl'!E36</f>
        <v>3.5205006052675998</v>
      </c>
      <c r="F10" s="38">
        <f>'SER_se-appl'!F36</f>
        <v>3.6200800571136682</v>
      </c>
      <c r="G10" s="38">
        <f>'SER_se-appl'!G36</f>
        <v>3.7224761729350604</v>
      </c>
      <c r="H10" s="38">
        <f>'SER_se-appl'!H36</f>
        <v>3.827768623746266</v>
      </c>
      <c r="I10" s="38">
        <f>'SER_se-appl'!I36</f>
        <v>3.9360393341037394</v>
      </c>
      <c r="J10" s="38">
        <f>'SER_se-appl'!J36</f>
        <v>4.0473725458487451</v>
      </c>
      <c r="K10" s="38">
        <f>'SER_se-appl'!K36</f>
        <v>4.1618548836530351</v>
      </c>
      <c r="L10" s="38">
        <f>'SER_se-appl'!L36</f>
        <v>4.2795754224187306</v>
      </c>
      <c r="M10" s="38">
        <f>'SER_se-appl'!M36</f>
        <v>4.4006257565844891</v>
      </c>
      <c r="N10" s="38">
        <f>'SER_se-appl'!N36</f>
        <v>4.5251000713920888</v>
      </c>
      <c r="O10" s="38">
        <f>'SER_se-appl'!O36</f>
        <v>4.6530952161688361</v>
      </c>
      <c r="P10" s="38">
        <f>'SER_se-appl'!P36</f>
        <v>4.7847107796828396</v>
      </c>
      <c r="Q10" s="38">
        <f>'SER_se-appl'!Q36</f>
        <v>4.9200491676296849</v>
      </c>
      <c r="R10" s="38">
        <f>'SER_se-appl'!R36</f>
        <v>5.0592156823109349</v>
      </c>
      <c r="S10" s="38">
        <f>'SER_se-appl'!S36</f>
        <v>5.202318604566301</v>
      </c>
      <c r="T10" s="38">
        <f>'SER_se-appl'!T36</f>
        <v>5.3494692780234345</v>
      </c>
      <c r="U10" s="38">
        <f>'SER_se-appl'!U36</f>
        <v>6.2210606384620917</v>
      </c>
      <c r="V10" s="38">
        <f>'SER_se-appl'!V36</f>
        <v>6.3185911793965204</v>
      </c>
      <c r="W10" s="38">
        <f>'SER_se-appl'!W36</f>
        <v>6.1914922310911038</v>
      </c>
      <c r="X10" s="38">
        <f>'SER_se-appl'!X36</f>
        <v>6.8571590222518353</v>
      </c>
      <c r="Y10" s="38">
        <f>'SER_se-appl'!Y36</f>
        <v>7.0389545935340436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8759.9999999999982</v>
      </c>
      <c r="C12" s="204">
        <f>'SER_se-appl'!C44</f>
        <v>8760.0000000000018</v>
      </c>
      <c r="D12" s="204">
        <f>'SER_se-appl'!D44</f>
        <v>8760</v>
      </c>
      <c r="E12" s="204">
        <f>'SER_se-appl'!E44</f>
        <v>8759.9999999999982</v>
      </c>
      <c r="F12" s="204">
        <f>'SER_se-appl'!F44</f>
        <v>8759.9999999999982</v>
      </c>
      <c r="G12" s="204">
        <f>'SER_se-appl'!G44</f>
        <v>8759.9999999999945</v>
      </c>
      <c r="H12" s="204">
        <f>'SER_se-appl'!H44</f>
        <v>8759.9999999999982</v>
      </c>
      <c r="I12" s="204">
        <f>'SER_se-appl'!I44</f>
        <v>8759.9999999999982</v>
      </c>
      <c r="J12" s="204">
        <f>'SER_se-appl'!J44</f>
        <v>8760</v>
      </c>
      <c r="K12" s="204">
        <f>'SER_se-appl'!K44</f>
        <v>8760</v>
      </c>
      <c r="L12" s="204">
        <f>'SER_se-appl'!L44</f>
        <v>8760</v>
      </c>
      <c r="M12" s="204">
        <f>'SER_se-appl'!M44</f>
        <v>8759.9999999999982</v>
      </c>
      <c r="N12" s="204">
        <f>'SER_se-appl'!N44</f>
        <v>8760.0000000000018</v>
      </c>
      <c r="O12" s="204">
        <f>'SER_se-appl'!O44</f>
        <v>8759.9999999999982</v>
      </c>
      <c r="P12" s="204">
        <f>'SER_se-appl'!P44</f>
        <v>8759.9999999999982</v>
      </c>
      <c r="Q12" s="204">
        <f>'SER_se-appl'!Q44</f>
        <v>8759.9999999999964</v>
      </c>
      <c r="R12" s="204">
        <f>'SER_se-appl'!R44</f>
        <v>8759.9999999999945</v>
      </c>
      <c r="S12" s="204">
        <f>'SER_se-appl'!S44</f>
        <v>8759.9999999999964</v>
      </c>
      <c r="T12" s="204">
        <f>'SER_se-appl'!T44</f>
        <v>8759.9999999999982</v>
      </c>
      <c r="U12" s="204">
        <f>'SER_se-appl'!U44</f>
        <v>8759.9999999999982</v>
      </c>
      <c r="V12" s="204">
        <f>'SER_se-appl'!V44</f>
        <v>8760</v>
      </c>
      <c r="W12" s="204">
        <f>'SER_se-appl'!W44</f>
        <v>8759.9999999999964</v>
      </c>
      <c r="X12" s="204">
        <f>'SER_se-appl'!X44</f>
        <v>8759.9999999999964</v>
      </c>
      <c r="Y12" s="204">
        <f>'SER_se-appl'!Y44</f>
        <v>8759.9999999999964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0.64765850391921687</v>
      </c>
      <c r="C14" s="59">
        <f>'SER_se-appl'!C52</f>
        <v>0.64242585462450119</v>
      </c>
      <c r="D14" s="59">
        <f>'SER_se-appl'!D52</f>
        <v>0.63710712493562405</v>
      </c>
      <c r="E14" s="59">
        <f>'SER_se-appl'!E52</f>
        <v>0.63190159746468666</v>
      </c>
      <c r="F14" s="59">
        <f>'SER_se-appl'!F52</f>
        <v>0.62616504330765721</v>
      </c>
      <c r="G14" s="59">
        <f>'SER_se-appl'!G52</f>
        <v>0.62020717624879773</v>
      </c>
      <c r="H14" s="59">
        <f>'SER_se-appl'!H52</f>
        <v>0.61360764196565609</v>
      </c>
      <c r="I14" s="59">
        <f>'SER_se-appl'!I52</f>
        <v>0.60658748677433449</v>
      </c>
      <c r="J14" s="59">
        <f>'SER_se-appl'!J52</f>
        <v>0.59987993899657044</v>
      </c>
      <c r="K14" s="59">
        <f>'SER_se-appl'!K52</f>
        <v>0.59493576890510624</v>
      </c>
      <c r="L14" s="59">
        <f>'SER_se-appl'!L52</f>
        <v>0.5878361025114488</v>
      </c>
      <c r="M14" s="59">
        <f>'SER_se-appl'!M52</f>
        <v>0.58070614686140576</v>
      </c>
      <c r="N14" s="59">
        <f>'SER_se-appl'!N52</f>
        <v>0.5734700688602361</v>
      </c>
      <c r="O14" s="59">
        <f>'SER_se-appl'!O52</f>
        <v>0.56559024834622984</v>
      </c>
      <c r="P14" s="59">
        <f>'SER_se-appl'!P52</f>
        <v>0.55708367088170652</v>
      </c>
      <c r="Q14" s="59">
        <f>'SER_se-appl'!Q52</f>
        <v>0.54788681766672642</v>
      </c>
      <c r="R14" s="59">
        <f>'SER_se-appl'!R52</f>
        <v>0.53904960780458189</v>
      </c>
      <c r="S14" s="59">
        <f>'SER_se-appl'!S52</f>
        <v>0.53002153123559781</v>
      </c>
      <c r="T14" s="59">
        <f>'SER_se-appl'!T52</f>
        <v>0.52092083483518881</v>
      </c>
      <c r="U14" s="59">
        <f>'SER_se-appl'!U52</f>
        <v>0.51394992409288809</v>
      </c>
      <c r="V14" s="59">
        <f>'SER_se-appl'!V52</f>
        <v>0.50717393587996684</v>
      </c>
      <c r="W14" s="59">
        <f>'SER_se-appl'!W52</f>
        <v>0.50084260537237624</v>
      </c>
      <c r="X14" s="59">
        <f>'SER_se-appl'!X52</f>
        <v>0.49437647914623123</v>
      </c>
      <c r="Y14" s="59">
        <f>'SER_se-appl'!Y52</f>
        <v>0.48814899986477717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0.58065923105524642</v>
      </c>
      <c r="D15" s="63">
        <f>'SER_se-appl'!D60</f>
        <v>0.5757740014642504</v>
      </c>
      <c r="E15" s="63">
        <f>'SER_se-appl'!E60</f>
        <v>0.57145678377242148</v>
      </c>
      <c r="F15" s="63">
        <f>'SER_se-appl'!F60</f>
        <v>0.56621802534779409</v>
      </c>
      <c r="G15" s="63">
        <f>'SER_se-appl'!G60</f>
        <v>0.55985248377136621</v>
      </c>
      <c r="H15" s="63">
        <f>'SER_se-appl'!H60</f>
        <v>0.55364127342108305</v>
      </c>
      <c r="I15" s="63">
        <f>'SER_se-appl'!I60</f>
        <v>0.54617191978238699</v>
      </c>
      <c r="J15" s="63">
        <f>'SER_se-appl'!J60</f>
        <v>0.53925110809633015</v>
      </c>
      <c r="K15" s="63">
        <f>'SER_se-appl'!K60</f>
        <v>0.53239088781061561</v>
      </c>
      <c r="L15" s="63">
        <f>'SER_se-appl'!L60</f>
        <v>0.52421026162305007</v>
      </c>
      <c r="M15" s="63">
        <f>'SER_se-appl'!M60</f>
        <v>0.51478774832523455</v>
      </c>
      <c r="N15" s="63">
        <f>'SER_se-appl'!N60</f>
        <v>0.50506691774300971</v>
      </c>
      <c r="O15" s="63">
        <f>'SER_se-appl'!O60</f>
        <v>0.49456614217904926</v>
      </c>
      <c r="P15" s="63">
        <f>'SER_se-appl'!P60</f>
        <v>0.48493378762538975</v>
      </c>
      <c r="Q15" s="63">
        <f>'SER_se-appl'!Q60</f>
        <v>0.47454836758720587</v>
      </c>
      <c r="R15" s="63">
        <f>'SER_se-appl'!R60</f>
        <v>0.47131734699913252</v>
      </c>
      <c r="S15" s="63">
        <f>'SER_se-appl'!S60</f>
        <v>0.4665788679254716</v>
      </c>
      <c r="T15" s="63">
        <f>'SER_se-appl'!T60</f>
        <v>0.46218526117385278</v>
      </c>
      <c r="U15" s="63">
        <f>'SER_se-appl'!U60</f>
        <v>0.4581352455513425</v>
      </c>
      <c r="V15" s="63">
        <f>'SER_se-appl'!V60</f>
        <v>0.4541467355420557</v>
      </c>
      <c r="W15" s="63">
        <f>'SER_se-appl'!W60</f>
        <v>0.45142185512880334</v>
      </c>
      <c r="X15" s="63">
        <f>'SER_se-appl'!X60</f>
        <v>0.44869697471555103</v>
      </c>
      <c r="Y15" s="63">
        <f>'SER_se-appl'!Y60</f>
        <v>0.44597209430229867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86.480565165208972</v>
      </c>
      <c r="C3" s="198">
        <f>'SER_se-appl'!C5</f>
        <v>86.740221154906152</v>
      </c>
      <c r="D3" s="198">
        <f>'SER_se-appl'!D5</f>
        <v>86.759118225718709</v>
      </c>
      <c r="E3" s="198">
        <f>'SER_se-appl'!E5</f>
        <v>86.771527388435871</v>
      </c>
      <c r="F3" s="198">
        <f>'SER_se-appl'!F5</f>
        <v>87.518727947215879</v>
      </c>
      <c r="G3" s="198">
        <f>'SER_se-appl'!G5</f>
        <v>87.94433042086807</v>
      </c>
      <c r="H3" s="198">
        <f>'SER_se-appl'!H5</f>
        <v>88.518436580054214</v>
      </c>
      <c r="I3" s="198">
        <f>'SER_se-appl'!I5</f>
        <v>88.3370925480897</v>
      </c>
      <c r="J3" s="198">
        <f>'SER_se-appl'!J5</f>
        <v>88.960256615141688</v>
      </c>
      <c r="K3" s="198">
        <f>'SER_se-appl'!K5</f>
        <v>90.023896981043691</v>
      </c>
      <c r="L3" s="198">
        <f>'SER_se-appl'!L5</f>
        <v>90.048823942750943</v>
      </c>
      <c r="M3" s="198">
        <f>'SER_se-appl'!M5</f>
        <v>90.716995467882143</v>
      </c>
      <c r="N3" s="198">
        <f>'SER_se-appl'!N5</f>
        <v>91.401577478118227</v>
      </c>
      <c r="O3" s="198">
        <f>'SER_se-appl'!O5</f>
        <v>92.35680327822277</v>
      </c>
      <c r="P3" s="198">
        <f>'SER_se-appl'!P5</f>
        <v>93.483781166225953</v>
      </c>
      <c r="Q3" s="198">
        <f>'SER_se-appl'!Q5</f>
        <v>95.46251240097061</v>
      </c>
      <c r="R3" s="198">
        <f>'SER_se-appl'!R5</f>
        <v>92.647791843628013</v>
      </c>
      <c r="S3" s="198">
        <f>'SER_se-appl'!S5</f>
        <v>92.107034657512202</v>
      </c>
      <c r="T3" s="198">
        <f>'SER_se-appl'!T5</f>
        <v>89.582288969275382</v>
      </c>
      <c r="U3" s="198">
        <f>'SER_se-appl'!U5</f>
        <v>86.698452505325321</v>
      </c>
      <c r="V3" s="198">
        <f>'SER_se-appl'!V5</f>
        <v>83.271760857877183</v>
      </c>
      <c r="W3" s="198">
        <f>'SER_se-appl'!W5</f>
        <v>79.91032109650078</v>
      </c>
      <c r="X3" s="198">
        <f>'SER_se-appl'!X5</f>
        <v>77.153481376113888</v>
      </c>
      <c r="Y3" s="198">
        <f>'SER_se-appl'!Y5</f>
        <v>75.770894334614866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252.98719622022759</v>
      </c>
      <c r="C5" s="59">
        <f>'SER_se-appl'!C13</f>
        <v>253.94841156753421</v>
      </c>
      <c r="D5" s="59">
        <f>'SER_se-appl'!D13</f>
        <v>254.16260546783295</v>
      </c>
      <c r="E5" s="59">
        <f>'SER_se-appl'!E13</f>
        <v>254.20773857845032</v>
      </c>
      <c r="F5" s="59">
        <f>'SER_se-appl'!F13</f>
        <v>256.42051251644966</v>
      </c>
      <c r="G5" s="59">
        <f>'SER_se-appl'!G13</f>
        <v>257.72766478199895</v>
      </c>
      <c r="H5" s="59">
        <f>'SER_se-appl'!H13</f>
        <v>259.51618217927</v>
      </c>
      <c r="I5" s="59">
        <f>'SER_se-appl'!I13</f>
        <v>259.38283094674841</v>
      </c>
      <c r="J5" s="59">
        <f>'SER_se-appl'!J13</f>
        <v>261.5191155919249</v>
      </c>
      <c r="K5" s="59">
        <f>'SER_se-appl'!K13</f>
        <v>265.03814852667682</v>
      </c>
      <c r="L5" s="59">
        <f>'SER_se-appl'!L13</f>
        <v>265.60238411973415</v>
      </c>
      <c r="M5" s="59">
        <f>'SER_se-appl'!M13</f>
        <v>268.55517095241635</v>
      </c>
      <c r="N5" s="59">
        <f>'SER_se-appl'!N13</f>
        <v>272.44602648190147</v>
      </c>
      <c r="O5" s="59">
        <f>'SER_se-appl'!O13</f>
        <v>277.34848320712405</v>
      </c>
      <c r="P5" s="59">
        <f>'SER_se-appl'!P13</f>
        <v>283.04074404887137</v>
      </c>
      <c r="Q5" s="59">
        <f>'SER_se-appl'!Q13</f>
        <v>291.70840717760007</v>
      </c>
      <c r="R5" s="59">
        <f>'SER_se-appl'!R13</f>
        <v>289.31192815018125</v>
      </c>
      <c r="S5" s="59">
        <f>'SER_se-appl'!S13</f>
        <v>285.49332407979745</v>
      </c>
      <c r="T5" s="59">
        <f>'SER_se-appl'!T13</f>
        <v>278.80487083256708</v>
      </c>
      <c r="U5" s="59">
        <f>'SER_se-appl'!U13</f>
        <v>270.7816352114632</v>
      </c>
      <c r="V5" s="59">
        <f>'SER_se-appl'!V13</f>
        <v>261.05137542779528</v>
      </c>
      <c r="W5" s="59">
        <f>'SER_se-appl'!W13</f>
        <v>251.55864934310992</v>
      </c>
      <c r="X5" s="59">
        <f>'SER_se-appl'!X13</f>
        <v>243.50225469812369</v>
      </c>
      <c r="Y5" s="59">
        <f>'SER_se-appl'!Y13</f>
        <v>239.75286391841112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0.16602434622293202</v>
      </c>
      <c r="C6" s="201">
        <f>'SER_se-appl'!C69</f>
        <v>0.16777252612874177</v>
      </c>
      <c r="D6" s="201">
        <f>'SER_se-appl'!D69</f>
        <v>0.16882086943802929</v>
      </c>
      <c r="E6" s="201">
        <f>'SER_se-appl'!E69</f>
        <v>0.17024618945606121</v>
      </c>
      <c r="F6" s="201">
        <f>'SER_se-appl'!F69</f>
        <v>0.17356762237874782</v>
      </c>
      <c r="G6" s="201">
        <f>'SER_se-appl'!G69</f>
        <v>0.17651862977340568</v>
      </c>
      <c r="H6" s="201">
        <f>'SER_se-appl'!H69</f>
        <v>0.180580263813889</v>
      </c>
      <c r="I6" s="201">
        <f>'SER_se-appl'!I69</f>
        <v>0.18430882582250957</v>
      </c>
      <c r="J6" s="201">
        <f>'SER_se-appl'!J69</f>
        <v>0.18787639183389024</v>
      </c>
      <c r="K6" s="201">
        <f>'SER_se-appl'!K69</f>
        <v>0.19278049497606323</v>
      </c>
      <c r="L6" s="201">
        <f>'SER_se-appl'!L69</f>
        <v>0.19598672180534388</v>
      </c>
      <c r="M6" s="201">
        <f>'SER_se-appl'!M69</f>
        <v>0.20147805204074531</v>
      </c>
      <c r="N6" s="201">
        <f>'SER_se-appl'!N69</f>
        <v>0.2083246618030328</v>
      </c>
      <c r="O6" s="201">
        <f>'SER_se-appl'!O69</f>
        <v>0.21741062234611547</v>
      </c>
      <c r="P6" s="201">
        <f>'SER_se-appl'!P69</f>
        <v>0.22876331128187166</v>
      </c>
      <c r="Q6" s="201">
        <f>'SER_se-appl'!Q69</f>
        <v>0.24320978599399101</v>
      </c>
      <c r="R6" s="201">
        <f>'SER_se-appl'!R69</f>
        <v>0.24751320443667207</v>
      </c>
      <c r="S6" s="201">
        <f>'SER_se-appl'!S69</f>
        <v>0.25205592241168673</v>
      </c>
      <c r="T6" s="201">
        <f>'SER_se-appl'!T69</f>
        <v>0.25719650240511882</v>
      </c>
      <c r="U6" s="201">
        <f>'SER_se-appl'!U69</f>
        <v>0.26245788127134029</v>
      </c>
      <c r="V6" s="201">
        <f>'SER_se-appl'!V69</f>
        <v>0.26705836163854135</v>
      </c>
      <c r="W6" s="201">
        <f>'SER_se-appl'!W69</f>
        <v>0.27121771032396941</v>
      </c>
      <c r="X6" s="201">
        <f>'SER_se-appl'!X69</f>
        <v>0.27416773908752773</v>
      </c>
      <c r="Y6" s="201">
        <f>'SER_se-appl'!Y69</f>
        <v>0.27625183052855234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1328.5576990042994</v>
      </c>
      <c r="C8" s="34">
        <f>'SER_se-appl'!C21</f>
        <v>1345.6943723622267</v>
      </c>
      <c r="D8" s="34">
        <f>'SER_se-appl'!D21</f>
        <v>1361.3107156352705</v>
      </c>
      <c r="E8" s="34">
        <f>'SER_se-appl'!E21</f>
        <v>1379.0406118038172</v>
      </c>
      <c r="F8" s="34">
        <f>'SER_se-appl'!F21</f>
        <v>1413.2870356553876</v>
      </c>
      <c r="G8" s="34">
        <f>'SER_se-appl'!G21</f>
        <v>1447.6926529597886</v>
      </c>
      <c r="H8" s="34">
        <f>'SER_se-appl'!H21</f>
        <v>1490.5633104384565</v>
      </c>
      <c r="I8" s="34">
        <f>'SER_se-appl'!I21</f>
        <v>1526.6270553466336</v>
      </c>
      <c r="J8" s="34">
        <f>'SER_se-appl'!J21</f>
        <v>1560.87499671565</v>
      </c>
      <c r="K8" s="34">
        <f>'SER_se-appl'!K21</f>
        <v>1606.8260039669719</v>
      </c>
      <c r="L8" s="34">
        <f>'SER_se-appl'!L21</f>
        <v>1636.8111332585477</v>
      </c>
      <c r="M8" s="34">
        <f>'SER_se-appl'!M21</f>
        <v>1687.4117282417765</v>
      </c>
      <c r="N8" s="34">
        <f>'SER_se-appl'!N21</f>
        <v>1751.6189637239779</v>
      </c>
      <c r="O8" s="34">
        <f>'SER_se-appl'!O21</f>
        <v>1837.5241425822396</v>
      </c>
      <c r="P8" s="34">
        <f>'SER_se-appl'!P21</f>
        <v>1946.2692970375497</v>
      </c>
      <c r="Q8" s="34">
        <f>'SER_se-appl'!Q21</f>
        <v>2087.9380152342492</v>
      </c>
      <c r="R8" s="34">
        <f>'SER_se-appl'!R21</f>
        <v>2153.4814573183367</v>
      </c>
      <c r="S8" s="34">
        <f>'SER_se-appl'!S21</f>
        <v>2211.2525797682024</v>
      </c>
      <c r="T8" s="34">
        <f>'SER_se-appl'!T21</f>
        <v>2269.0562156841006</v>
      </c>
      <c r="U8" s="34">
        <f>'SER_se-appl'!U21</f>
        <v>2325.0553171595175</v>
      </c>
      <c r="V8" s="34">
        <f>'SER_se-appl'!V21</f>
        <v>2377.1035686798018</v>
      </c>
      <c r="W8" s="34">
        <f>'SER_se-appl'!W21</f>
        <v>2422.6966771733501</v>
      </c>
      <c r="X8" s="34">
        <f>'SER_se-appl'!X21</f>
        <v>2461.7326633574362</v>
      </c>
      <c r="Y8" s="34">
        <f>'SER_se-appl'!Y21</f>
        <v>2515.2099315451087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183.796836044467</v>
      </c>
      <c r="D9" s="36">
        <f>'SER_se-appl'!D29</f>
        <v>189.45037291496851</v>
      </c>
      <c r="E9" s="36">
        <f>'SER_se-appl'!E29</f>
        <v>199.04659101892389</v>
      </c>
      <c r="F9" s="36">
        <f>'SER_se-appl'!F29</f>
        <v>223.36787434768144</v>
      </c>
      <c r="G9" s="36">
        <f>'SER_se-appl'!G29</f>
        <v>231.6677782282361</v>
      </c>
      <c r="H9" s="36">
        <f>'SER_se-appl'!H29</f>
        <v>248.62394474600092</v>
      </c>
      <c r="I9" s="36">
        <f>'SER_se-appl'!I29</f>
        <v>250.67365804635551</v>
      </c>
      <c r="J9" s="36">
        <f>'SER_se-appl'!J29</f>
        <v>218.04477741348342</v>
      </c>
      <c r="K9" s="36">
        <f>'SER_se-appl'!K29</f>
        <v>235.40138016629044</v>
      </c>
      <c r="L9" s="36">
        <f>'SER_se-appl'!L29</f>
        <v>229.03172031049962</v>
      </c>
      <c r="M9" s="36">
        <f>'SER_se-appl'!M29</f>
        <v>273.96846933091024</v>
      </c>
      <c r="N9" s="36">
        <f>'SER_se-appl'!N29</f>
        <v>295.87501371043754</v>
      </c>
      <c r="O9" s="36">
        <f>'SER_se-appl'!O29</f>
        <v>334.52912360426262</v>
      </c>
      <c r="P9" s="36">
        <f>'SER_se-appl'!P29</f>
        <v>359.41881250166557</v>
      </c>
      <c r="Q9" s="36">
        <f>'SER_se-appl'!Q29</f>
        <v>359.71349561018292</v>
      </c>
      <c r="R9" s="36">
        <f>'SER_se-appl'!R29</f>
        <v>300.94482225037791</v>
      </c>
      <c r="S9" s="36">
        <f>'SER_se-appl'!S29</f>
        <v>286.80284276036537</v>
      </c>
      <c r="T9" s="36">
        <f>'SER_se-appl'!T29</f>
        <v>331.77210524680845</v>
      </c>
      <c r="U9" s="36">
        <f>'SER_se-appl'!U29</f>
        <v>351.87411518585441</v>
      </c>
      <c r="V9" s="36">
        <f>'SER_se-appl'!V29</f>
        <v>386.57737512454696</v>
      </c>
      <c r="W9" s="36">
        <f>'SER_se-appl'!W29</f>
        <v>405.01192099521381</v>
      </c>
      <c r="X9" s="36">
        <f>'SER_se-appl'!X29</f>
        <v>398.74948179426929</v>
      </c>
      <c r="Y9" s="36">
        <f>'SER_se-appl'!Y29</f>
        <v>354.42209043805042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166.66016268653971</v>
      </c>
      <c r="D10" s="38">
        <f>'SER_se-appl'!D37</f>
        <v>173.83402964192464</v>
      </c>
      <c r="E10" s="38">
        <f>'SER_se-appl'!E37</f>
        <v>181.31669485037719</v>
      </c>
      <c r="F10" s="38">
        <f>'SER_se-appl'!F37</f>
        <v>189.12145049611104</v>
      </c>
      <c r="G10" s="38">
        <f>'SER_se-appl'!G37</f>
        <v>197.26216092383515</v>
      </c>
      <c r="H10" s="38">
        <f>'SER_se-appl'!H37</f>
        <v>205.75328726733301</v>
      </c>
      <c r="I10" s="38">
        <f>'SER_se-appl'!I37</f>
        <v>214.6099131381784</v>
      </c>
      <c r="J10" s="38">
        <f>'SER_se-appl'!J37</f>
        <v>183.796836044467</v>
      </c>
      <c r="K10" s="38">
        <f>'SER_se-appl'!K37</f>
        <v>189.45037291496851</v>
      </c>
      <c r="L10" s="38">
        <f>'SER_se-appl'!L37</f>
        <v>199.04659101892389</v>
      </c>
      <c r="M10" s="38">
        <f>'SER_se-appl'!M37</f>
        <v>223.36787434768144</v>
      </c>
      <c r="N10" s="38">
        <f>'SER_se-appl'!N37</f>
        <v>231.6677782282361</v>
      </c>
      <c r="O10" s="38">
        <f>'SER_se-appl'!O37</f>
        <v>248.62394474600114</v>
      </c>
      <c r="P10" s="38">
        <f>'SER_se-appl'!P37</f>
        <v>250.67365804635529</v>
      </c>
      <c r="Q10" s="38">
        <f>'SER_se-appl'!Q37</f>
        <v>218.04477741348364</v>
      </c>
      <c r="R10" s="38">
        <f>'SER_se-appl'!R37</f>
        <v>235.40138016629044</v>
      </c>
      <c r="S10" s="38">
        <f>'SER_se-appl'!S37</f>
        <v>229.03172031049962</v>
      </c>
      <c r="T10" s="38">
        <f>'SER_se-appl'!T37</f>
        <v>273.96846933091001</v>
      </c>
      <c r="U10" s="38">
        <f>'SER_se-appl'!U37</f>
        <v>295.87501371043754</v>
      </c>
      <c r="V10" s="38">
        <f>'SER_se-appl'!V37</f>
        <v>334.52912360426262</v>
      </c>
      <c r="W10" s="38">
        <f>'SER_se-appl'!W37</f>
        <v>359.4188125016658</v>
      </c>
      <c r="X10" s="38">
        <f>'SER_se-appl'!X37</f>
        <v>359.71349561018314</v>
      </c>
      <c r="Y10" s="38">
        <f>'SER_se-appl'!Y37</f>
        <v>300.94482225037791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3975.5726293588768</v>
      </c>
      <c r="C12" s="204">
        <f>'SER_se-appl'!C45</f>
        <v>3972.4161525746918</v>
      </c>
      <c r="D12" s="204">
        <f>'SER_se-appl'!D45</f>
        <v>3969.9331186342033</v>
      </c>
      <c r="E12" s="204">
        <f>'SER_se-appl'!E45</f>
        <v>3969.7959990154959</v>
      </c>
      <c r="F12" s="204">
        <f>'SER_se-appl'!F45</f>
        <v>3969.4281710821592</v>
      </c>
      <c r="G12" s="204">
        <f>'SER_se-appl'!G45</f>
        <v>3968.5012614374673</v>
      </c>
      <c r="H12" s="204">
        <f>'SER_se-appl'!H45</f>
        <v>3966.8794785016066</v>
      </c>
      <c r="I12" s="204">
        <f>'SER_se-appl'!I45</f>
        <v>3960.7879310454491</v>
      </c>
      <c r="J12" s="204">
        <f>'SER_se-appl'!J45</f>
        <v>3956.1459287301295</v>
      </c>
      <c r="K12" s="204">
        <f>'SER_se-appl'!K45</f>
        <v>3950.2914116688262</v>
      </c>
      <c r="L12" s="204">
        <f>'SER_se-appl'!L45</f>
        <v>3942.9910462779685</v>
      </c>
      <c r="M12" s="204">
        <f>'SER_se-appl'!M45</f>
        <v>3928.5732371111385</v>
      </c>
      <c r="N12" s="204">
        <f>'SER_se-appl'!N45</f>
        <v>3901.6915012380623</v>
      </c>
      <c r="O12" s="204">
        <f>'SER_se-appl'!O45</f>
        <v>3872.7798677867113</v>
      </c>
      <c r="P12" s="204">
        <f>'SER_se-appl'!P45</f>
        <v>3841.2009501200405</v>
      </c>
      <c r="Q12" s="204">
        <f>'SER_se-appl'!Q45</f>
        <v>3805.9548230550322</v>
      </c>
      <c r="R12" s="204">
        <f>'SER_se-appl'!R45</f>
        <v>3724.3325086204841</v>
      </c>
      <c r="S12" s="204">
        <f>'SER_se-appl'!S45</f>
        <v>3752.1186056436732</v>
      </c>
      <c r="T12" s="204">
        <f>'SER_se-appl'!T45</f>
        <v>3736.8142730129643</v>
      </c>
      <c r="U12" s="204">
        <f>'SER_se-appl'!U45</f>
        <v>3723.675728043791</v>
      </c>
      <c r="V12" s="204">
        <f>'SER_se-appl'!V45</f>
        <v>3709.808374654503</v>
      </c>
      <c r="W12" s="204">
        <f>'SER_se-appl'!W45</f>
        <v>3694.3950716030458</v>
      </c>
      <c r="X12" s="204">
        <f>'SER_se-appl'!X45</f>
        <v>3684.955564442741</v>
      </c>
      <c r="Y12" s="204">
        <f>'SER_se-appl'!Y45</f>
        <v>3675.5160572824361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190.42243811452926</v>
      </c>
      <c r="C14" s="59">
        <f>'SER_se-appl'!C53</f>
        <v>188.71180320220418</v>
      </c>
      <c r="D14" s="59">
        <f>'SER_se-appl'!D53</f>
        <v>186.70433028158834</v>
      </c>
      <c r="E14" s="59">
        <f>'SER_se-appl'!E53</f>
        <v>184.33665869052302</v>
      </c>
      <c r="F14" s="59">
        <f>'SER_se-appl'!F53</f>
        <v>181.43555134045297</v>
      </c>
      <c r="G14" s="59">
        <f>'SER_se-appl'!G53</f>
        <v>178.02650600946143</v>
      </c>
      <c r="H14" s="59">
        <f>'SER_se-appl'!H53</f>
        <v>174.10611167058181</v>
      </c>
      <c r="I14" s="59">
        <f>'SER_se-appl'!I53</f>
        <v>169.9058260747602</v>
      </c>
      <c r="J14" s="59">
        <f>'SER_se-appl'!J53</f>
        <v>167.54648267299189</v>
      </c>
      <c r="K14" s="59">
        <f>'SER_se-appl'!K53</f>
        <v>164.94514519452886</v>
      </c>
      <c r="L14" s="59">
        <f>'SER_se-appl'!L53</f>
        <v>162.26819253787426</v>
      </c>
      <c r="M14" s="59">
        <f>'SER_se-appl'!M53</f>
        <v>159.15213012786239</v>
      </c>
      <c r="N14" s="59">
        <f>'SER_se-appl'!N53</f>
        <v>155.53955062388434</v>
      </c>
      <c r="O14" s="59">
        <f>'SER_se-appl'!O53</f>
        <v>150.93596692415221</v>
      </c>
      <c r="P14" s="59">
        <f>'SER_se-appl'!P53</f>
        <v>145.4273283145825</v>
      </c>
      <c r="Q14" s="59">
        <f>'SER_se-appl'!Q53</f>
        <v>139.71123905460999</v>
      </c>
      <c r="R14" s="59">
        <f>'SER_se-appl'!R53</f>
        <v>134.34614315669677</v>
      </c>
      <c r="S14" s="59">
        <f>'SER_se-appl'!S53</f>
        <v>129.10932323693419</v>
      </c>
      <c r="T14" s="59">
        <f>'SER_se-appl'!T53</f>
        <v>122.87261501298234</v>
      </c>
      <c r="U14" s="59">
        <f>'SER_se-appl'!U53</f>
        <v>116.46244853316985</v>
      </c>
      <c r="V14" s="59">
        <f>'SER_se-appl'!V53</f>
        <v>109.8191003822262</v>
      </c>
      <c r="W14" s="59">
        <f>'SER_se-appl'!W53</f>
        <v>103.83414965368786</v>
      </c>
      <c r="X14" s="59">
        <f>'SER_se-appl'!X53</f>
        <v>98.914987123753292</v>
      </c>
      <c r="Y14" s="59">
        <f>'SER_se-appl'!Y53</f>
        <v>95.321213912005135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177.89778413122968</v>
      </c>
      <c r="D15" s="63">
        <f>'SER_se-appl'!D61</f>
        <v>175.85657467637057</v>
      </c>
      <c r="E15" s="63">
        <f>'SER_se-appl'!E61</f>
        <v>173.68747707720087</v>
      </c>
      <c r="F15" s="63">
        <f>'SER_se-appl'!F61</f>
        <v>171.13356946632859</v>
      </c>
      <c r="G15" s="63">
        <f>'SER_se-appl'!G61</f>
        <v>167.78463623073227</v>
      </c>
      <c r="H15" s="63">
        <f>'SER_se-appl'!H61</f>
        <v>164.78123235736615</v>
      </c>
      <c r="I15" s="63">
        <f>'SER_se-appl'!I61</f>
        <v>162.49490268843974</v>
      </c>
      <c r="J15" s="63">
        <f>'SER_se-appl'!J61</f>
        <v>159.75312466100837</v>
      </c>
      <c r="K15" s="63">
        <f>'SER_se-appl'!K61</f>
        <v>156.47795506007006</v>
      </c>
      <c r="L15" s="63">
        <f>'SER_se-appl'!L61</f>
        <v>153.41165739102613</v>
      </c>
      <c r="M15" s="63">
        <f>'SER_se-appl'!M61</f>
        <v>150.30389655595809</v>
      </c>
      <c r="N15" s="63">
        <f>'SER_se-appl'!N61</f>
        <v>144.52436821089756</v>
      </c>
      <c r="O15" s="63">
        <f>'SER_se-appl'!O61</f>
        <v>137.12114580577554</v>
      </c>
      <c r="P15" s="63">
        <f>'SER_se-appl'!P61</f>
        <v>129.16812058169589</v>
      </c>
      <c r="Q15" s="63">
        <f>'SER_se-appl'!Q61</f>
        <v>120.93234801423245</v>
      </c>
      <c r="R15" s="63">
        <f>'SER_se-appl'!R61</f>
        <v>114.4350891362683</v>
      </c>
      <c r="S15" s="63">
        <f>'SER_se-appl'!S61</f>
        <v>109.19533236194208</v>
      </c>
      <c r="T15" s="63">
        <f>'SER_se-appl'!T61</f>
        <v>103.95712804432263</v>
      </c>
      <c r="U15" s="63">
        <f>'SER_se-appl'!U61</f>
        <v>98.722561011456392</v>
      </c>
      <c r="V15" s="63">
        <f>'SER_se-appl'!V61</f>
        <v>93.489063964766927</v>
      </c>
      <c r="W15" s="63">
        <f>'SER_se-appl'!W61</f>
        <v>91.189232991233666</v>
      </c>
      <c r="X15" s="63">
        <f>'SER_se-appl'!X61</f>
        <v>88.889402017700405</v>
      </c>
      <c r="Y15" s="63">
        <f>'SER_se-appl'!Y61</f>
        <v>86.589571044167144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202.28380511839984</v>
      </c>
      <c r="C3" s="198">
        <f>'SER_se-appl'!C6</f>
        <v>203.08395409582624</v>
      </c>
      <c r="D3" s="198">
        <f>'SER_se-appl'!D6</f>
        <v>204.70665467651685</v>
      </c>
      <c r="E3" s="198">
        <f>'SER_se-appl'!E6</f>
        <v>205.84802263211893</v>
      </c>
      <c r="F3" s="198">
        <f>'SER_se-appl'!F6</f>
        <v>209.269274114296</v>
      </c>
      <c r="G3" s="198">
        <f>'SER_se-appl'!G6</f>
        <v>211.42888866189773</v>
      </c>
      <c r="H3" s="198">
        <f>'SER_se-appl'!H6</f>
        <v>214.8058930064561</v>
      </c>
      <c r="I3" s="198">
        <f>'SER_se-appl'!I6</f>
        <v>220.12506507172995</v>
      </c>
      <c r="J3" s="198">
        <f>'SER_se-appl'!J6</f>
        <v>223.8129959515139</v>
      </c>
      <c r="K3" s="198">
        <f>'SER_se-appl'!K6</f>
        <v>219.19552162340565</v>
      </c>
      <c r="L3" s="198">
        <f>'SER_se-appl'!L6</f>
        <v>221.80051836540576</v>
      </c>
      <c r="M3" s="198">
        <f>'SER_se-appl'!M6</f>
        <v>223.29227861156139</v>
      </c>
      <c r="N3" s="198">
        <f>'SER_se-appl'!N6</f>
        <v>223.12822835444504</v>
      </c>
      <c r="O3" s="198">
        <f>'SER_se-appl'!O6</f>
        <v>222.30528249603225</v>
      </c>
      <c r="P3" s="198">
        <f>'SER_se-appl'!P6</f>
        <v>223.53679721313912</v>
      </c>
      <c r="Q3" s="198">
        <f>'SER_se-appl'!Q6</f>
        <v>226.34527197738322</v>
      </c>
      <c r="R3" s="198">
        <f>'SER_se-appl'!R6</f>
        <v>217.29901597781119</v>
      </c>
      <c r="S3" s="198">
        <f>'SER_se-appl'!S6</f>
        <v>216.33381337195794</v>
      </c>
      <c r="T3" s="198">
        <f>'SER_se-appl'!T6</f>
        <v>208.41727866560873</v>
      </c>
      <c r="U3" s="198">
        <f>'SER_se-appl'!U6</f>
        <v>200.00699445002638</v>
      </c>
      <c r="V3" s="198">
        <f>'SER_se-appl'!V6</f>
        <v>174.80693761032762</v>
      </c>
      <c r="W3" s="198">
        <f>'SER_se-appl'!W6</f>
        <v>169.14278383961582</v>
      </c>
      <c r="X3" s="198">
        <f>'SER_se-appl'!X6</f>
        <v>166.64501973813006</v>
      </c>
      <c r="Y3" s="198">
        <f>'SER_se-appl'!Y6</f>
        <v>160.32464318508389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1017.2013483946909</v>
      </c>
      <c r="C5" s="59">
        <f>'SER_se-appl'!C14</f>
        <v>1015.279551000869</v>
      </c>
      <c r="D5" s="59">
        <f>'SER_se-appl'!D14</f>
        <v>1017.1091934239058</v>
      </c>
      <c r="E5" s="59">
        <f>'SER_se-appl'!E14</f>
        <v>1018.2678729876466</v>
      </c>
      <c r="F5" s="59">
        <f>'SER_se-appl'!F14</f>
        <v>1027.6063068397054</v>
      </c>
      <c r="G5" s="59">
        <f>'SER_se-appl'!G14</f>
        <v>1032.337122864232</v>
      </c>
      <c r="H5" s="59">
        <f>'SER_se-appl'!H14</f>
        <v>1043.1521486183817</v>
      </c>
      <c r="I5" s="59">
        <f>'SER_se-appl'!I14</f>
        <v>1064.3577686663066</v>
      </c>
      <c r="J5" s="59">
        <f>'SER_se-appl'!J14</f>
        <v>1077.8092989182435</v>
      </c>
      <c r="K5" s="59">
        <f>'SER_se-appl'!K14</f>
        <v>1052.2300897981254</v>
      </c>
      <c r="L5" s="59">
        <f>'SER_se-appl'!L14</f>
        <v>1062.9406319770665</v>
      </c>
      <c r="M5" s="59">
        <f>'SER_se-appl'!M14</f>
        <v>1067.9184432731497</v>
      </c>
      <c r="N5" s="59">
        <f>'SER_se-appl'!N14</f>
        <v>1063.1989365889981</v>
      </c>
      <c r="O5" s="59">
        <f>'SER_se-appl'!O14</f>
        <v>1058.2581518954469</v>
      </c>
      <c r="P5" s="59">
        <f>'SER_se-appl'!P14</f>
        <v>1059.9170159208352</v>
      </c>
      <c r="Q5" s="59">
        <f>'SER_se-appl'!Q14</f>
        <v>1071.221608440618</v>
      </c>
      <c r="R5" s="59">
        <f>'SER_se-appl'!R14</f>
        <v>1049.3165244106647</v>
      </c>
      <c r="S5" s="59">
        <f>'SER_se-appl'!S14</f>
        <v>1026.4950263667949</v>
      </c>
      <c r="T5" s="59">
        <f>'SER_se-appl'!T14</f>
        <v>993.36976448436519</v>
      </c>
      <c r="U5" s="59">
        <f>'SER_se-appl'!U14</f>
        <v>956.03898350150655</v>
      </c>
      <c r="V5" s="59">
        <f>'SER_se-appl'!V14</f>
        <v>909.9594119530841</v>
      </c>
      <c r="W5" s="59">
        <f>'SER_se-appl'!W14</f>
        <v>869.92783145054477</v>
      </c>
      <c r="X5" s="59">
        <f>'SER_se-appl'!X14</f>
        <v>824.13125441944283</v>
      </c>
      <c r="Y5" s="59">
        <f>'SER_se-appl'!Y14</f>
        <v>777.92083345487993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176.73720831271851</v>
      </c>
      <c r="C6" s="201">
        <f>'SER_se-appl'!C70</f>
        <v>177.55549158230951</v>
      </c>
      <c r="D6" s="201">
        <f>'SER_se-appl'!D70</f>
        <v>179.00058218115797</v>
      </c>
      <c r="E6" s="201">
        <f>'SER_se-appl'!E70</f>
        <v>181.31056446472763</v>
      </c>
      <c r="F6" s="201">
        <f>'SER_se-appl'!F70</f>
        <v>184.21966664417772</v>
      </c>
      <c r="G6" s="201">
        <f>'SER_se-appl'!G70</f>
        <v>186.86662000620242</v>
      </c>
      <c r="H6" s="201">
        <f>'SER_se-appl'!H70</f>
        <v>190.45627305172144</v>
      </c>
      <c r="I6" s="201">
        <f>'SER_se-appl'!I70</f>
        <v>193.82478275387157</v>
      </c>
      <c r="J6" s="201">
        <f>'SER_se-appl'!J70</f>
        <v>198.32269069058381</v>
      </c>
      <c r="K6" s="201">
        <f>'SER_se-appl'!K70</f>
        <v>201.55448786830723</v>
      </c>
      <c r="L6" s="201">
        <f>'SER_se-appl'!L70</f>
        <v>206.94307553608616</v>
      </c>
      <c r="M6" s="201">
        <f>'SER_se-appl'!M70</f>
        <v>212.31433234104733</v>
      </c>
      <c r="N6" s="201">
        <f>'SER_se-appl'!N70</f>
        <v>217.81431423280446</v>
      </c>
      <c r="O6" s="201">
        <f>'SER_se-appl'!O70</f>
        <v>223.35742817663038</v>
      </c>
      <c r="P6" s="201">
        <f>'SER_se-appl'!P70</f>
        <v>231.14794060478508</v>
      </c>
      <c r="Q6" s="201">
        <f>'SER_se-appl'!Q70</f>
        <v>240.57188508599563</v>
      </c>
      <c r="R6" s="201">
        <f>'SER_se-appl'!R70</f>
        <v>245.86912124948029</v>
      </c>
      <c r="S6" s="201">
        <f>'SER_se-appl'!S70</f>
        <v>251.23813754456719</v>
      </c>
      <c r="T6" s="201">
        <f>'SER_se-appl'!T70</f>
        <v>256.38033307693638</v>
      </c>
      <c r="U6" s="201">
        <f>'SER_se-appl'!U70</f>
        <v>261.11309953018082</v>
      </c>
      <c r="V6" s="201">
        <f>'SER_se-appl'!V70</f>
        <v>265.09611998528902</v>
      </c>
      <c r="W6" s="201">
        <f>'SER_se-appl'!W70</f>
        <v>267.89814171067769</v>
      </c>
      <c r="X6" s="201">
        <f>'SER_se-appl'!X70</f>
        <v>269.31023942332888</v>
      </c>
      <c r="Y6" s="201">
        <f>'SER_se-appl'!Y70</f>
        <v>270.01907703310957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26.359880180998275</v>
      </c>
      <c r="C8" s="34">
        <f>'SER_se-appl'!C22</f>
        <v>26.679694723362726</v>
      </c>
      <c r="D8" s="34">
        <f>'SER_se-appl'!D22</f>
        <v>27.191566869781106</v>
      </c>
      <c r="E8" s="34">
        <f>'SER_se-appl'!E22</f>
        <v>27.757557400005211</v>
      </c>
      <c r="F8" s="34">
        <f>'SER_se-appl'!F22</f>
        <v>28.660865623395228</v>
      </c>
      <c r="G8" s="34">
        <f>'SER_se-appl'!G22</f>
        <v>29.574167071352289</v>
      </c>
      <c r="H8" s="34">
        <f>'SER_se-appl'!H22</f>
        <v>30.838781645686453</v>
      </c>
      <c r="I8" s="34">
        <f>'SER_se-appl'!I22</f>
        <v>32.087855709773564</v>
      </c>
      <c r="J8" s="34">
        <f>'SER_se-appl'!J22</f>
        <v>33.219809728143034</v>
      </c>
      <c r="K8" s="34">
        <f>'SER_se-appl'!K22</f>
        <v>33.143737270634965</v>
      </c>
      <c r="L8" s="34">
        <f>'SER_se-appl'!L22</f>
        <v>34.44635639839575</v>
      </c>
      <c r="M8" s="34">
        <f>'SER_se-appl'!M22</f>
        <v>35.653505129622779</v>
      </c>
      <c r="N8" s="34">
        <f>'SER_se-appl'!N22</f>
        <v>36.702177900848817</v>
      </c>
      <c r="O8" s="34">
        <f>'SER_se-appl'!O22</f>
        <v>37.79633387767057</v>
      </c>
      <c r="P8" s="34">
        <f>'SER_se-appl'!P22</f>
        <v>39.342852917807527</v>
      </c>
      <c r="Q8" s="34">
        <f>'SER_se-appl'!Q22</f>
        <v>41.265570756811513</v>
      </c>
      <c r="R8" s="34">
        <f>'SER_se-appl'!R22</f>
        <v>42.764956145880859</v>
      </c>
      <c r="S8" s="34">
        <f>'SER_se-appl'!S22</f>
        <v>44.346171116906163</v>
      </c>
      <c r="T8" s="34">
        <f>'SER_se-appl'!T22</f>
        <v>45.907584067731364</v>
      </c>
      <c r="U8" s="34">
        <f>'SER_se-appl'!U22</f>
        <v>47.339949355482979</v>
      </c>
      <c r="V8" s="34">
        <f>'SER_se-appl'!V22</f>
        <v>48.632743006383755</v>
      </c>
      <c r="W8" s="34">
        <f>'SER_se-appl'!W22</f>
        <v>49.697714845407333</v>
      </c>
      <c r="X8" s="34">
        <f>'SER_se-appl'!X22</f>
        <v>50.502524097423326</v>
      </c>
      <c r="Y8" s="34">
        <f>'SER_se-appl'!Y22</f>
        <v>51.170211340922812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4.4363341539734371</v>
      </c>
      <c r="D9" s="36">
        <f>'SER_se-appl'!D30</f>
        <v>4.7353321538631832</v>
      </c>
      <c r="E9" s="36">
        <f>'SER_se-appl'!E30</f>
        <v>4.8991690687598819</v>
      </c>
      <c r="F9" s="36">
        <f>'SER_se-appl'!F30</f>
        <v>5.3490555996477056</v>
      </c>
      <c r="G9" s="36">
        <f>'SER_se-appl'!G30</f>
        <v>5.4745420148368247</v>
      </c>
      <c r="H9" s="36">
        <f>'SER_se-appl'!H30</f>
        <v>5.9443486546054203</v>
      </c>
      <c r="I9" s="36">
        <f>'SER_se-appl'!I30</f>
        <v>5.6854082180605481</v>
      </c>
      <c r="J9" s="36">
        <f>'SER_se-appl'!J30</f>
        <v>5.867286172232653</v>
      </c>
      <c r="K9" s="36">
        <f>'SER_se-appl'!K30</f>
        <v>4.8230966112518132</v>
      </c>
      <c r="L9" s="36">
        <f>'SER_se-appl'!L30</f>
        <v>6.6516747274084906</v>
      </c>
      <c r="M9" s="36">
        <f>'SER_se-appl'!M30</f>
        <v>6.6816907460638539</v>
      </c>
      <c r="N9" s="36">
        <f>'SER_se-appl'!N30</f>
        <v>6.9930214258314578</v>
      </c>
      <c r="O9" s="36">
        <f>'SER_se-appl'!O30</f>
        <v>6.7795641948823011</v>
      </c>
      <c r="P9" s="36">
        <f>'SER_se-appl'!P30</f>
        <v>7.4138052123696099</v>
      </c>
      <c r="Q9" s="36">
        <f>'SER_se-appl'!Q30</f>
        <v>6.7458144502558</v>
      </c>
      <c r="R9" s="36">
        <f>'SER_se-appl'!R30</f>
        <v>8.1510601164778365</v>
      </c>
      <c r="S9" s="36">
        <f>'SER_se-appl'!S30</f>
        <v>8.2629057170891542</v>
      </c>
      <c r="T9" s="36">
        <f>'SER_se-appl'!T30</f>
        <v>8.5544343766566584</v>
      </c>
      <c r="U9" s="36">
        <f>'SER_se-appl'!U30</f>
        <v>8.2119294826339129</v>
      </c>
      <c r="V9" s="36">
        <f>'SER_se-appl'!V30</f>
        <v>8.7065988632703863</v>
      </c>
      <c r="W9" s="36">
        <f>'SER_se-appl'!W30</f>
        <v>7.8107862892793776</v>
      </c>
      <c r="X9" s="36">
        <f>'SER_se-appl'!X30</f>
        <v>8.9558693684938291</v>
      </c>
      <c r="Y9" s="36">
        <f>'SER_se-appl'!Y30</f>
        <v>8.9305929605886405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4.1165196116089859</v>
      </c>
      <c r="D10" s="38">
        <f>'SER_se-appl'!D38</f>
        <v>4.2234600074448032</v>
      </c>
      <c r="E10" s="38">
        <f>'SER_se-appl'!E38</f>
        <v>4.3331785385357762</v>
      </c>
      <c r="F10" s="38">
        <f>'SER_se-appl'!F38</f>
        <v>4.4457473762576889</v>
      </c>
      <c r="G10" s="38">
        <f>'SER_se-appl'!G38</f>
        <v>4.5612405668797642</v>
      </c>
      <c r="H10" s="38">
        <f>'SER_se-appl'!H38</f>
        <v>4.6797340802712597</v>
      </c>
      <c r="I10" s="38">
        <f>'SER_se-appl'!I38</f>
        <v>4.4363341539734336</v>
      </c>
      <c r="J10" s="38">
        <f>'SER_se-appl'!J38</f>
        <v>4.7353321538631832</v>
      </c>
      <c r="K10" s="38">
        <f>'SER_se-appl'!K38</f>
        <v>4.8991690687598819</v>
      </c>
      <c r="L10" s="38">
        <f>'SER_se-appl'!L38</f>
        <v>5.3490555996477056</v>
      </c>
      <c r="M10" s="38">
        <f>'SER_se-appl'!M38</f>
        <v>5.4745420148368211</v>
      </c>
      <c r="N10" s="38">
        <f>'SER_se-appl'!N38</f>
        <v>5.9443486546054203</v>
      </c>
      <c r="O10" s="38">
        <f>'SER_se-appl'!O38</f>
        <v>5.6854082180605516</v>
      </c>
      <c r="P10" s="38">
        <f>'SER_se-appl'!P38</f>
        <v>5.867286172232653</v>
      </c>
      <c r="Q10" s="38">
        <f>'SER_se-appl'!Q38</f>
        <v>4.8230966112518132</v>
      </c>
      <c r="R10" s="38">
        <f>'SER_se-appl'!R38</f>
        <v>6.6516747274084906</v>
      </c>
      <c r="S10" s="38">
        <f>'SER_se-appl'!S38</f>
        <v>6.6816907460638504</v>
      </c>
      <c r="T10" s="38">
        <f>'SER_se-appl'!T38</f>
        <v>6.9930214258314578</v>
      </c>
      <c r="U10" s="38">
        <f>'SER_se-appl'!U38</f>
        <v>6.7795641948822976</v>
      </c>
      <c r="V10" s="38">
        <f>'SER_se-appl'!V38</f>
        <v>7.4138052123696099</v>
      </c>
      <c r="W10" s="38">
        <f>'SER_se-appl'!W38</f>
        <v>6.7458144502558</v>
      </c>
      <c r="X10" s="38">
        <f>'SER_se-appl'!X38</f>
        <v>8.1510601164778365</v>
      </c>
      <c r="Y10" s="38">
        <f>'SER_se-appl'!Y38</f>
        <v>8.2629057170891542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2312.7777575597138</v>
      </c>
      <c r="C12" s="204">
        <f>'SER_se-appl'!C46</f>
        <v>2326.3212420718178</v>
      </c>
      <c r="D12" s="204">
        <f>'SER_se-appl'!D46</f>
        <v>2340.6910578338056</v>
      </c>
      <c r="E12" s="204">
        <f>'SER_se-appl'!E46</f>
        <v>2351.0635724835311</v>
      </c>
      <c r="F12" s="204">
        <f>'SER_se-appl'!F46</f>
        <v>2368.4183736027876</v>
      </c>
      <c r="G12" s="204">
        <f>'SER_se-appl'!G46</f>
        <v>2381.8943644258115</v>
      </c>
      <c r="H12" s="204">
        <f>'SER_se-appl'!H46</f>
        <v>2394.8496285741753</v>
      </c>
      <c r="I12" s="204">
        <f>'SER_se-appl'!I46</f>
        <v>2405.2575009548673</v>
      </c>
      <c r="J12" s="204">
        <f>'SER_se-appl'!J46</f>
        <v>2415.0331097797953</v>
      </c>
      <c r="K12" s="204">
        <f>'SER_se-appl'!K46</f>
        <v>2422.7057762331151</v>
      </c>
      <c r="L12" s="204">
        <f>'SER_se-appl'!L46</f>
        <v>2426.7959573543935</v>
      </c>
      <c r="M12" s="204">
        <f>'SER_se-appl'!M46</f>
        <v>2431.7298915571146</v>
      </c>
      <c r="N12" s="204">
        <f>'SER_se-appl'!N46</f>
        <v>2440.7297698091475</v>
      </c>
      <c r="O12" s="204">
        <f>'SER_se-appl'!O46</f>
        <v>2443.0810486062637</v>
      </c>
      <c r="P12" s="204">
        <f>'SER_se-appl'!P46</f>
        <v>2452.7702759165641</v>
      </c>
      <c r="Q12" s="204">
        <f>'SER_se-appl'!Q46</f>
        <v>2457.3771592686189</v>
      </c>
      <c r="R12" s="204">
        <f>'SER_se-appl'!R46</f>
        <v>2408.4129974426037</v>
      </c>
      <c r="S12" s="204">
        <f>'SER_se-appl'!S46</f>
        <v>2451.0223477856857</v>
      </c>
      <c r="T12" s="204">
        <f>'SER_se-appl'!T46</f>
        <v>2440.071197596008</v>
      </c>
      <c r="U12" s="204">
        <f>'SER_se-appl'!U46</f>
        <v>2433.0402688544145</v>
      </c>
      <c r="V12" s="204">
        <f>'SER_se-appl'!V46</f>
        <v>2234.1707308071982</v>
      </c>
      <c r="W12" s="204">
        <f>'SER_se-appl'!W46</f>
        <v>2261.2572042610445</v>
      </c>
      <c r="X12" s="204">
        <f>'SER_se-appl'!X46</f>
        <v>2351.6661565271288</v>
      </c>
      <c r="Y12" s="204">
        <f>'SER_se-appl'!Y46</f>
        <v>2396.8706326601709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38.588997423742022</v>
      </c>
      <c r="C14" s="59">
        <f>'SER_se-appl'!C54</f>
        <v>38.054391608604675</v>
      </c>
      <c r="D14" s="59">
        <f>'SER_se-appl'!D54</f>
        <v>37.405317549179308</v>
      </c>
      <c r="E14" s="59">
        <f>'SER_se-appl'!E54</f>
        <v>36.684347196466767</v>
      </c>
      <c r="F14" s="59">
        <f>'SER_se-appl'!F54</f>
        <v>35.85398711757307</v>
      </c>
      <c r="G14" s="59">
        <f>'SER_se-appl'!G54</f>
        <v>34.906718433474651</v>
      </c>
      <c r="H14" s="59">
        <f>'SER_se-appl'!H54</f>
        <v>33.82598445695379</v>
      </c>
      <c r="I14" s="59">
        <f>'SER_se-appl'!I54</f>
        <v>33.170112029085082</v>
      </c>
      <c r="J14" s="59">
        <f>'SER_se-appl'!J54</f>
        <v>32.444776407167346</v>
      </c>
      <c r="K14" s="59">
        <f>'SER_se-appl'!K54</f>
        <v>31.747478602251391</v>
      </c>
      <c r="L14" s="59">
        <f>'SER_se-appl'!L54</f>
        <v>30.857853866557864</v>
      </c>
      <c r="M14" s="59">
        <f>'SER_se-appl'!M54</f>
        <v>29.95269159064722</v>
      </c>
      <c r="N14" s="59">
        <f>'SER_se-appl'!N54</f>
        <v>28.968279197524389</v>
      </c>
      <c r="O14" s="59">
        <f>'SER_se-appl'!O54</f>
        <v>27.998962950230677</v>
      </c>
      <c r="P14" s="59">
        <f>'SER_se-appl'!P54</f>
        <v>26.940522542560483</v>
      </c>
      <c r="Q14" s="59">
        <f>'SER_se-appl'!Q54</f>
        <v>25.959209791465117</v>
      </c>
      <c r="R14" s="59">
        <f>'SER_se-appl'!R54</f>
        <v>24.536831531668376</v>
      </c>
      <c r="S14" s="59">
        <f>'SER_se-appl'!S54</f>
        <v>23.147320287488419</v>
      </c>
      <c r="T14" s="59">
        <f>'SER_se-appl'!T54</f>
        <v>21.638467470184498</v>
      </c>
      <c r="U14" s="59">
        <f>'SER_se-appl'!U54</f>
        <v>20.195183909523486</v>
      </c>
      <c r="V14" s="59">
        <f>'SER_se-appl'!V54</f>
        <v>18.710838741578666</v>
      </c>
      <c r="W14" s="59">
        <f>'SER_se-appl'!W54</f>
        <v>17.504382931017936</v>
      </c>
      <c r="X14" s="59">
        <f>'SER_se-appl'!X54</f>
        <v>16.318615141485385</v>
      </c>
      <c r="Y14" s="59">
        <f>'SER_se-appl'!Y54</f>
        <v>15.202611305862368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35.373928528982603</v>
      </c>
      <c r="D15" s="63">
        <f>'SER_se-appl'!D62</f>
        <v>34.80404846260835</v>
      </c>
      <c r="E15" s="63">
        <f>'SER_se-appl'!E62</f>
        <v>34.367398360990109</v>
      </c>
      <c r="F15" s="63">
        <f>'SER_se-appl'!F62</f>
        <v>33.818188001820111</v>
      </c>
      <c r="G15" s="63">
        <f>'SER_se-appl'!G62</f>
        <v>33.015458830907313</v>
      </c>
      <c r="H15" s="63">
        <f>'SER_se-appl'!H62</f>
        <v>32.198863701113112</v>
      </c>
      <c r="I15" s="63">
        <f>'SER_se-appl'!I62</f>
        <v>31.332171852742114</v>
      </c>
      <c r="J15" s="63">
        <f>'SER_se-appl'!J62</f>
        <v>30.382063323443806</v>
      </c>
      <c r="K15" s="63">
        <f>'SER_se-appl'!K62</f>
        <v>29.605976701912432</v>
      </c>
      <c r="L15" s="63">
        <f>'SER_se-appl'!L62</f>
        <v>28.80566442771109</v>
      </c>
      <c r="M15" s="63">
        <f>'SER_se-appl'!M62</f>
        <v>27.795708431194416</v>
      </c>
      <c r="N15" s="63">
        <f>'SER_se-appl'!N62</f>
        <v>26.695437360995548</v>
      </c>
      <c r="O15" s="63">
        <f>'SER_se-appl'!O62</f>
        <v>25.546686729281863</v>
      </c>
      <c r="P15" s="63">
        <f>'SER_se-appl'!P62</f>
        <v>24.268121280923335</v>
      </c>
      <c r="Q15" s="63">
        <f>'SER_se-appl'!Q62</f>
        <v>22.843361548097967</v>
      </c>
      <c r="R15" s="63">
        <f>'SER_se-appl'!R62</f>
        <v>20.8194791383028</v>
      </c>
      <c r="S15" s="63">
        <f>'SER_se-appl'!S62</f>
        <v>19.71471481566385</v>
      </c>
      <c r="T15" s="63">
        <f>'SER_se-appl'!T62</f>
        <v>17.950515112253186</v>
      </c>
      <c r="U15" s="63">
        <f>'SER_se-appl'!U62</f>
        <v>16.54478669747148</v>
      </c>
      <c r="V15" s="63">
        <f>'SER_se-appl'!V62</f>
        <v>15.372196950880495</v>
      </c>
      <c r="W15" s="63">
        <f>'SER_se-appl'!W62</f>
        <v>14.603587103336469</v>
      </c>
      <c r="X15" s="63">
        <f>'SER_se-appl'!X62</f>
        <v>13.834977255792444</v>
      </c>
      <c r="Y15" s="63">
        <f>'SER_se-appl'!Y62</f>
        <v>13.066367408248418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93.176019407284599</v>
      </c>
      <c r="C3" s="198">
        <f>'SER_se-appl'!C7</f>
        <v>93.566295453013538</v>
      </c>
      <c r="D3" s="198">
        <f>'SER_se-appl'!D7</f>
        <v>94.183139393477887</v>
      </c>
      <c r="E3" s="198">
        <f>'SER_se-appl'!E7</f>
        <v>94.657805127665213</v>
      </c>
      <c r="F3" s="198">
        <f>'SER_se-appl'!F7</f>
        <v>94.997681511232088</v>
      </c>
      <c r="G3" s="198">
        <f>'SER_se-appl'!G7</f>
        <v>95.647620173085102</v>
      </c>
      <c r="H3" s="198">
        <f>'SER_se-appl'!H7</f>
        <v>96.217369357157807</v>
      </c>
      <c r="I3" s="198">
        <f>'SER_se-appl'!I7</f>
        <v>96.710439380092311</v>
      </c>
      <c r="J3" s="198">
        <f>'SER_se-appl'!J7</f>
        <v>97.058112243494293</v>
      </c>
      <c r="K3" s="198">
        <f>'SER_se-appl'!K7</f>
        <v>97.549687522683158</v>
      </c>
      <c r="L3" s="198">
        <f>'SER_se-appl'!L7</f>
        <v>97.971601286420764</v>
      </c>
      <c r="M3" s="198">
        <f>'SER_se-appl'!M7</f>
        <v>98.347791631142783</v>
      </c>
      <c r="N3" s="198">
        <f>'SER_se-appl'!N7</f>
        <v>99.055928891362726</v>
      </c>
      <c r="O3" s="198">
        <f>'SER_se-appl'!O7</f>
        <v>100.12160355212299</v>
      </c>
      <c r="P3" s="198">
        <f>'SER_se-appl'!P7</f>
        <v>101.55454375580305</v>
      </c>
      <c r="Q3" s="198">
        <f>'SER_se-appl'!Q7</f>
        <v>103.69586763945183</v>
      </c>
      <c r="R3" s="198">
        <f>'SER_se-appl'!R7</f>
        <v>106.01962276496053</v>
      </c>
      <c r="S3" s="198">
        <f>'SER_se-appl'!S7</f>
        <v>107.94679359997383</v>
      </c>
      <c r="T3" s="198">
        <f>'SER_se-appl'!T7</f>
        <v>109.77318321232846</v>
      </c>
      <c r="U3" s="198">
        <f>'SER_se-appl'!U7</f>
        <v>111.33269956048485</v>
      </c>
      <c r="V3" s="198">
        <f>'SER_se-appl'!V7</f>
        <v>112.52392262592383</v>
      </c>
      <c r="W3" s="198">
        <f>'SER_se-appl'!W7</f>
        <v>113.56153849437801</v>
      </c>
      <c r="X3" s="198">
        <f>'SER_se-appl'!X7</f>
        <v>113.89777176223362</v>
      </c>
      <c r="Y3" s="198">
        <f>'SER_se-appl'!Y7</f>
        <v>114.63129333519959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123.70286594825572</v>
      </c>
      <c r="C5" s="59">
        <f>'SER_se-appl'!C15</f>
        <v>124.22100640622688</v>
      </c>
      <c r="D5" s="59">
        <f>'SER_se-appl'!D15</f>
        <v>125.0399441947657</v>
      </c>
      <c r="E5" s="59">
        <f>'SER_se-appl'!E15</f>
        <v>125.67012256104417</v>
      </c>
      <c r="F5" s="59">
        <f>'SER_se-appl'!F15</f>
        <v>126.12135113877045</v>
      </c>
      <c r="G5" s="59">
        <f>'SER_se-appl'!G15</f>
        <v>126.98422632568264</v>
      </c>
      <c r="H5" s="59">
        <f>'SER_se-appl'!H15</f>
        <v>127.74063991138642</v>
      </c>
      <c r="I5" s="59">
        <f>'SER_se-appl'!I15</f>
        <v>128.39525228201751</v>
      </c>
      <c r="J5" s="59">
        <f>'SER_se-appl'!J15</f>
        <v>128.85683166573503</v>
      </c>
      <c r="K5" s="59">
        <f>'SER_se-appl'!K15</f>
        <v>129.50945957634764</v>
      </c>
      <c r="L5" s="59">
        <f>'SER_se-appl'!L15</f>
        <v>130.06960307774818</v>
      </c>
      <c r="M5" s="59">
        <f>'SER_se-appl'!M15</f>
        <v>130.56904299888021</v>
      </c>
      <c r="N5" s="59">
        <f>'SER_se-appl'!N15</f>
        <v>131.50918413316768</v>
      </c>
      <c r="O5" s="59">
        <f>'SER_se-appl'!O15</f>
        <v>132.92400106292126</v>
      </c>
      <c r="P5" s="59">
        <f>'SER_se-appl'!P15</f>
        <v>134.82640911872025</v>
      </c>
      <c r="Q5" s="59">
        <f>'SER_se-appl'!Q15</f>
        <v>137.66928546196633</v>
      </c>
      <c r="R5" s="59">
        <f>'SER_se-appl'!R15</f>
        <v>140.75436218681403</v>
      </c>
      <c r="S5" s="59">
        <f>'SER_se-appl'!S15</f>
        <v>143.31292346663196</v>
      </c>
      <c r="T5" s="59">
        <f>'SER_se-appl'!T15</f>
        <v>145.73768501819413</v>
      </c>
      <c r="U5" s="59">
        <f>'SER_se-appl'!U15</f>
        <v>147.80813880005016</v>
      </c>
      <c r="V5" s="59">
        <f>'SER_se-appl'!V15</f>
        <v>149.38963700222538</v>
      </c>
      <c r="W5" s="59">
        <f>'SER_se-appl'!W15</f>
        <v>150.76720236182834</v>
      </c>
      <c r="X5" s="59">
        <f>'SER_se-appl'!X15</f>
        <v>151.21359424597912</v>
      </c>
      <c r="Y5" s="59">
        <f>'SER_se-appl'!Y15</f>
        <v>152.18743624296476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2.3504332801631209E-2</v>
      </c>
      <c r="C6" s="201">
        <f>'SER_se-appl'!C71</f>
        <v>2.3766667523714993E-2</v>
      </c>
      <c r="D6" s="201">
        <f>'SER_se-appl'!D71</f>
        <v>2.409344133803094E-2</v>
      </c>
      <c r="E6" s="201">
        <f>'SER_se-appl'!E71</f>
        <v>2.4439066636250555E-2</v>
      </c>
      <c r="F6" s="201">
        <f>'SER_se-appl'!F71</f>
        <v>2.4765659492391019E-2</v>
      </c>
      <c r="G6" s="201">
        <f>'SER_se-appl'!G71</f>
        <v>2.517296848499917E-2</v>
      </c>
      <c r="H6" s="201">
        <f>'SER_se-appl'!H71</f>
        <v>2.5631957435003197E-2</v>
      </c>
      <c r="I6" s="201">
        <f>'SER_se-appl'!I71</f>
        <v>2.6208113405188235E-2</v>
      </c>
      <c r="J6" s="201">
        <f>'SER_se-appl'!J71</f>
        <v>2.6825554308789541E-2</v>
      </c>
      <c r="K6" s="201">
        <f>'SER_se-appl'!K71</f>
        <v>2.7561396163527176E-2</v>
      </c>
      <c r="L6" s="201">
        <f>'SER_se-appl'!L71</f>
        <v>2.8404793003422295E-2</v>
      </c>
      <c r="M6" s="201">
        <f>'SER_se-appl'!M71</f>
        <v>2.8999977164002419E-2</v>
      </c>
      <c r="N6" s="201">
        <f>'SER_se-appl'!N71</f>
        <v>2.9694913768111182E-2</v>
      </c>
      <c r="O6" s="201">
        <f>'SER_se-appl'!O71</f>
        <v>3.0537949827254475E-2</v>
      </c>
      <c r="P6" s="201">
        <f>'SER_se-appl'!P71</f>
        <v>3.1556659960916375E-2</v>
      </c>
      <c r="Q6" s="201">
        <f>'SER_se-appl'!Q71</f>
        <v>3.280568379925336E-2</v>
      </c>
      <c r="R6" s="201">
        <f>'SER_se-appl'!R71</f>
        <v>3.3969690674118862E-2</v>
      </c>
      <c r="S6" s="201">
        <f>'SER_se-appl'!S71</f>
        <v>3.5172033541792422E-2</v>
      </c>
      <c r="T6" s="201">
        <f>'SER_se-appl'!T71</f>
        <v>3.6437966361903752E-2</v>
      </c>
      <c r="U6" s="201">
        <f>'SER_se-appl'!U71</f>
        <v>3.768706628335889E-2</v>
      </c>
      <c r="V6" s="201">
        <f>'SER_se-appl'!V71</f>
        <v>3.8777145212804238E-2</v>
      </c>
      <c r="W6" s="201">
        <f>'SER_se-appl'!W71</f>
        <v>3.9719131638940024E-2</v>
      </c>
      <c r="X6" s="201">
        <f>'SER_se-appl'!X71</f>
        <v>4.0392104721074844E-2</v>
      </c>
      <c r="Y6" s="201">
        <f>'SER_se-appl'!Y71</f>
        <v>4.0869958864490075E-2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188.08604288455405</v>
      </c>
      <c r="C8" s="34">
        <f>'SER_se-appl'!C23</f>
        <v>190.63115680767169</v>
      </c>
      <c r="D8" s="34">
        <f>'SER_se-appl'!D23</f>
        <v>194.2808373109998</v>
      </c>
      <c r="E8" s="34">
        <f>'SER_se-appl'!E23</f>
        <v>197.96311161882119</v>
      </c>
      <c r="F8" s="34">
        <f>'SER_se-appl'!F23</f>
        <v>201.65619030993682</v>
      </c>
      <c r="G8" s="34">
        <f>'SER_se-appl'!G23</f>
        <v>206.45255164116432</v>
      </c>
      <c r="H8" s="34">
        <f>'SER_se-appl'!H23</f>
        <v>211.57381499183202</v>
      </c>
      <c r="I8" s="34">
        <f>'SER_se-appl'!I23</f>
        <v>217.08138400535967</v>
      </c>
      <c r="J8" s="34">
        <f>'SER_se-appl'!J23</f>
        <v>222.86641011632608</v>
      </c>
      <c r="K8" s="34">
        <f>'SER_se-appl'!K23</f>
        <v>229.7243197071875</v>
      </c>
      <c r="L8" s="34">
        <f>'SER_se-appl'!L23</f>
        <v>237.2266906534808</v>
      </c>
      <c r="M8" s="34">
        <f>'SER_se-appl'!M23</f>
        <v>242.87956474477517</v>
      </c>
      <c r="N8" s="34">
        <f>'SER_se-appl'!N23</f>
        <v>249.67842804684474</v>
      </c>
      <c r="O8" s="34">
        <f>'SER_se-appl'!O23</f>
        <v>258.10247662697901</v>
      </c>
      <c r="P8" s="34">
        <f>'SER_se-appl'!P23</f>
        <v>268.47730982224488</v>
      </c>
      <c r="Q8" s="34">
        <f>'SER_se-appl'!Q23</f>
        <v>281.63436779598896</v>
      </c>
      <c r="R8" s="34">
        <f>'SER_se-appl'!R23</f>
        <v>295.5523085891416</v>
      </c>
      <c r="S8" s="34">
        <f>'SER_se-appl'!S23</f>
        <v>308.55950203761682</v>
      </c>
      <c r="T8" s="34">
        <f>'SER_se-appl'!T23</f>
        <v>321.46546818173351</v>
      </c>
      <c r="U8" s="34">
        <f>'SER_se-appl'!U23</f>
        <v>333.86124061436266</v>
      </c>
      <c r="V8" s="34">
        <f>'SER_se-appl'!V23</f>
        <v>345.1578512764641</v>
      </c>
      <c r="W8" s="34">
        <f>'SER_se-appl'!W23</f>
        <v>354.79765730242053</v>
      </c>
      <c r="X8" s="34">
        <f>'SER_se-appl'!X23</f>
        <v>362.67784045109585</v>
      </c>
      <c r="Y8" s="34">
        <f>'SER_se-appl'!Y23</f>
        <v>372.11165711056105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19.638957014984271</v>
      </c>
      <c r="D9" s="36">
        <f>'SER_se-appl'!D31</f>
        <v>21.103591471754697</v>
      </c>
      <c r="E9" s="36">
        <f>'SER_se-appl'!E31</f>
        <v>21.503837689242118</v>
      </c>
      <c r="F9" s="36">
        <f>'SER_se-appl'!F31</f>
        <v>21.890038784044719</v>
      </c>
      <c r="G9" s="36">
        <f>'SER_se-appl'!G31</f>
        <v>23.376625561517301</v>
      </c>
      <c r="H9" s="36">
        <f>'SER_se-appl'!H31</f>
        <v>24.092905707653102</v>
      </c>
      <c r="I9" s="36">
        <f>'SER_se-appl'!I31</f>
        <v>24.878833558550156</v>
      </c>
      <c r="J9" s="36">
        <f>'SER_se-appl'!J31</f>
        <v>25.564330559802357</v>
      </c>
      <c r="K9" s="36">
        <f>'SER_se-appl'!K31</f>
        <v>27.053848971611188</v>
      </c>
      <c r="L9" s="36">
        <f>'SER_se-appl'!L31</f>
        <v>28.123721334320891</v>
      </c>
      <c r="M9" s="36">
        <f>'SER_se-appl'!M31</f>
        <v>25.291831106278636</v>
      </c>
      <c r="N9" s="36">
        <f>'SER_se-appl'!N31</f>
        <v>27.902454773824275</v>
      </c>
      <c r="O9" s="36">
        <f>'SER_se-appl'!O31</f>
        <v>29.927886269376387</v>
      </c>
      <c r="P9" s="36">
        <f>'SER_se-appl'!P31</f>
        <v>32.264871979310584</v>
      </c>
      <c r="Q9" s="36">
        <f>'SER_se-appl'!Q31</f>
        <v>36.533683535261389</v>
      </c>
      <c r="R9" s="36">
        <f>'SER_se-appl'!R31</f>
        <v>38.010846500805769</v>
      </c>
      <c r="S9" s="36">
        <f>'SER_se-appl'!S31</f>
        <v>37.886027007025348</v>
      </c>
      <c r="T9" s="36">
        <f>'SER_se-appl'!T31</f>
        <v>38.470296703919075</v>
      </c>
      <c r="U9" s="36">
        <f>'SER_se-appl'!U31</f>
        <v>39.449621404240304</v>
      </c>
      <c r="V9" s="36">
        <f>'SER_se-appl'!V31</f>
        <v>39.420331996422362</v>
      </c>
      <c r="W9" s="36">
        <f>'SER_se-appl'!W31</f>
        <v>34.931637132235039</v>
      </c>
      <c r="X9" s="36">
        <f>'SER_se-appl'!X31</f>
        <v>35.782637922499589</v>
      </c>
      <c r="Y9" s="36">
        <f>'SER_se-appl'!Y31</f>
        <v>39.361702928841623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17.093843091866631</v>
      </c>
      <c r="D10" s="38">
        <f>'SER_se-appl'!D39</f>
        <v>17.453910968426584</v>
      </c>
      <c r="E10" s="38">
        <f>'SER_se-appl'!E39</f>
        <v>17.821563381420731</v>
      </c>
      <c r="F10" s="38">
        <f>'SER_se-appl'!F39</f>
        <v>18.196960092929089</v>
      </c>
      <c r="G10" s="38">
        <f>'SER_se-appl'!G39</f>
        <v>18.580264230289799</v>
      </c>
      <c r="H10" s="38">
        <f>'SER_se-appl'!H39</f>
        <v>18.971642356985399</v>
      </c>
      <c r="I10" s="38">
        <f>'SER_se-appl'!I39</f>
        <v>19.371264545022512</v>
      </c>
      <c r="J10" s="38">
        <f>'SER_se-appl'!J39</f>
        <v>19.779304448835944</v>
      </c>
      <c r="K10" s="38">
        <f>'SER_se-appl'!K39</f>
        <v>20.195939380749763</v>
      </c>
      <c r="L10" s="38">
        <f>'SER_se-appl'!L39</f>
        <v>20.621350388027594</v>
      </c>
      <c r="M10" s="38">
        <f>'SER_se-appl'!M39</f>
        <v>19.638957014984271</v>
      </c>
      <c r="N10" s="38">
        <f>'SER_se-appl'!N39</f>
        <v>21.103591471754697</v>
      </c>
      <c r="O10" s="38">
        <f>'SER_se-appl'!O39</f>
        <v>21.503837689242118</v>
      </c>
      <c r="P10" s="38">
        <f>'SER_se-appl'!P39</f>
        <v>21.890038784044748</v>
      </c>
      <c r="Q10" s="38">
        <f>'SER_se-appl'!Q39</f>
        <v>23.376625561517301</v>
      </c>
      <c r="R10" s="38">
        <f>'SER_se-appl'!R39</f>
        <v>24.092905707653131</v>
      </c>
      <c r="S10" s="38">
        <f>'SER_se-appl'!S39</f>
        <v>24.878833558550127</v>
      </c>
      <c r="T10" s="38">
        <f>'SER_se-appl'!T39</f>
        <v>25.564330559802386</v>
      </c>
      <c r="U10" s="38">
        <f>'SER_se-appl'!U39</f>
        <v>27.05384897161116</v>
      </c>
      <c r="V10" s="38">
        <f>'SER_se-appl'!V39</f>
        <v>28.123721334320919</v>
      </c>
      <c r="W10" s="38">
        <f>'SER_se-appl'!W39</f>
        <v>25.291831106278607</v>
      </c>
      <c r="X10" s="38">
        <f>'SER_se-appl'!X39</f>
        <v>27.902454773824275</v>
      </c>
      <c r="Y10" s="38">
        <f>'SER_se-appl'!Y39</f>
        <v>29.927886269376415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8759.9999999999982</v>
      </c>
      <c r="C12" s="204">
        <f>'SER_se-appl'!C47</f>
        <v>8760</v>
      </c>
      <c r="D12" s="204">
        <f>'SER_se-appl'!D47</f>
        <v>8760.0000000000036</v>
      </c>
      <c r="E12" s="204">
        <f>'SER_se-appl'!E47</f>
        <v>8759.9999999999964</v>
      </c>
      <c r="F12" s="204">
        <f>'SER_se-appl'!F47</f>
        <v>8760</v>
      </c>
      <c r="G12" s="204">
        <f>'SER_se-appl'!G47</f>
        <v>8759.9999999999982</v>
      </c>
      <c r="H12" s="204">
        <f>'SER_se-appl'!H47</f>
        <v>8760.0000000000018</v>
      </c>
      <c r="I12" s="204">
        <f>'SER_se-appl'!I47</f>
        <v>8760.0000000000018</v>
      </c>
      <c r="J12" s="204">
        <f>'SER_se-appl'!J47</f>
        <v>8759.9999999999982</v>
      </c>
      <c r="K12" s="204">
        <f>'SER_se-appl'!K47</f>
        <v>8759.9999999999982</v>
      </c>
      <c r="L12" s="204">
        <f>'SER_se-appl'!L47</f>
        <v>8759.9999999999964</v>
      </c>
      <c r="M12" s="204">
        <f>'SER_se-appl'!M47</f>
        <v>8760</v>
      </c>
      <c r="N12" s="204">
        <f>'SER_se-appl'!N47</f>
        <v>8759.9999999999982</v>
      </c>
      <c r="O12" s="204">
        <f>'SER_se-appl'!O47</f>
        <v>8760</v>
      </c>
      <c r="P12" s="204">
        <f>'SER_se-appl'!P47</f>
        <v>8760.0000000000018</v>
      </c>
      <c r="Q12" s="204">
        <f>'SER_se-appl'!Q47</f>
        <v>8760</v>
      </c>
      <c r="R12" s="204">
        <f>'SER_se-appl'!R47</f>
        <v>8760</v>
      </c>
      <c r="S12" s="204">
        <f>'SER_se-appl'!S47</f>
        <v>8759.9999999999982</v>
      </c>
      <c r="T12" s="204">
        <f>'SER_se-appl'!T47</f>
        <v>8759.9999999999964</v>
      </c>
      <c r="U12" s="204">
        <f>'SER_se-appl'!U47</f>
        <v>8759.9999999999964</v>
      </c>
      <c r="V12" s="204">
        <f>'SER_se-appl'!V47</f>
        <v>8759.9999999999982</v>
      </c>
      <c r="W12" s="204">
        <f>'SER_se-appl'!W47</f>
        <v>8760</v>
      </c>
      <c r="X12" s="204">
        <f>'SER_se-appl'!X47</f>
        <v>8760</v>
      </c>
      <c r="Y12" s="204">
        <f>'SER_se-appl'!Y47</f>
        <v>8760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657.69295823924438</v>
      </c>
      <c r="C14" s="59">
        <f>'SER_se-appl'!C55</f>
        <v>651.63013479246627</v>
      </c>
      <c r="D14" s="59">
        <f>'SER_se-appl'!D55</f>
        <v>643.6041038602533</v>
      </c>
      <c r="E14" s="59">
        <f>'SER_se-appl'!E55</f>
        <v>634.81585803229098</v>
      </c>
      <c r="F14" s="59">
        <f>'SER_se-appl'!F55</f>
        <v>625.42761987582628</v>
      </c>
      <c r="G14" s="59">
        <f>'SER_se-appl'!G55</f>
        <v>615.07704950236814</v>
      </c>
      <c r="H14" s="59">
        <f>'SER_se-appl'!H55</f>
        <v>603.76393891804594</v>
      </c>
      <c r="I14" s="59">
        <f>'SER_se-appl'!I55</f>
        <v>591.46136768156725</v>
      </c>
      <c r="J14" s="59">
        <f>'SER_se-appl'!J55</f>
        <v>578.17968889290069</v>
      </c>
      <c r="K14" s="59">
        <f>'SER_se-appl'!K55</f>
        <v>563.7603356119356</v>
      </c>
      <c r="L14" s="59">
        <f>'SER_se-appl'!L55</f>
        <v>548.29244854130707</v>
      </c>
      <c r="M14" s="59">
        <f>'SER_se-appl'!M55</f>
        <v>537.58760287670111</v>
      </c>
      <c r="N14" s="59">
        <f>'SER_se-appl'!N55</f>
        <v>526.71424264371717</v>
      </c>
      <c r="O14" s="59">
        <f>'SER_se-appl'!O55</f>
        <v>515.00474850161493</v>
      </c>
      <c r="P14" s="59">
        <f>'SER_se-appl'!P55</f>
        <v>502.18921371041358</v>
      </c>
      <c r="Q14" s="59">
        <f>'SER_se-appl'!Q55</f>
        <v>488.82274751954833</v>
      </c>
      <c r="R14" s="59">
        <f>'SER_se-appl'!R55</f>
        <v>476.24179577119122</v>
      </c>
      <c r="S14" s="59">
        <f>'SER_se-appl'!S55</f>
        <v>464.45798142738948</v>
      </c>
      <c r="T14" s="59">
        <f>'SER_se-appl'!T55</f>
        <v>453.35409069755667</v>
      </c>
      <c r="U14" s="59">
        <f>'SER_se-appl'!U55</f>
        <v>442.72326589351172</v>
      </c>
      <c r="V14" s="59">
        <f>'SER_se-appl'!V55</f>
        <v>432.8154102528801</v>
      </c>
      <c r="W14" s="59">
        <f>'SER_se-appl'!W55</f>
        <v>424.93855091415719</v>
      </c>
      <c r="X14" s="59">
        <f>'SER_se-appl'!X55</f>
        <v>416.93640300135473</v>
      </c>
      <c r="Y14" s="59">
        <f>'SER_se-appl'!Y55</f>
        <v>408.9832536413852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598.84242731246763</v>
      </c>
      <c r="D15" s="63">
        <f>'SER_se-appl'!D63</f>
        <v>582.75635891965692</v>
      </c>
      <c r="E15" s="63">
        <f>'SER_se-appl'!E63</f>
        <v>574.3763176389815</v>
      </c>
      <c r="F15" s="63">
        <f>'SER_se-appl'!F63</f>
        <v>567.34669201493034</v>
      </c>
      <c r="G15" s="63">
        <f>'SER_se-appl'!G63</f>
        <v>559.66093562004789</v>
      </c>
      <c r="H15" s="63">
        <f>'SER_se-appl'!H63</f>
        <v>549.28738487208443</v>
      </c>
      <c r="I15" s="63">
        <f>'SER_se-appl'!I63</f>
        <v>538.40774417972932</v>
      </c>
      <c r="J15" s="63">
        <f>'SER_se-appl'!J63</f>
        <v>526.91732361526817</v>
      </c>
      <c r="K15" s="63">
        <f>'SER_se-appl'!K63</f>
        <v>515.09694760924162</v>
      </c>
      <c r="L15" s="63">
        <f>'SER_se-appl'!L63</f>
        <v>502.16186802262843</v>
      </c>
      <c r="M15" s="63">
        <f>'SER_se-appl'!M63</f>
        <v>484.74468133020497</v>
      </c>
      <c r="N15" s="63">
        <f>'SER_se-appl'!N63</f>
        <v>474.45263751181852</v>
      </c>
      <c r="O15" s="63">
        <f>'SER_se-appl'!O63</f>
        <v>459.97608761608325</v>
      </c>
      <c r="P15" s="63">
        <f>'SER_se-appl'!P63</f>
        <v>443.87745152650359</v>
      </c>
      <c r="Q15" s="63">
        <f>'SER_se-appl'!Q63</f>
        <v>435.92265918855719</v>
      </c>
      <c r="R15" s="63">
        <f>'SER_se-appl'!R63</f>
        <v>429.32497950626498</v>
      </c>
      <c r="S15" s="63">
        <f>'SER_se-appl'!S63</f>
        <v>421.09239722976321</v>
      </c>
      <c r="T15" s="63">
        <f>'SER_se-appl'!T63</f>
        <v>413.17721858199138</v>
      </c>
      <c r="U15" s="63">
        <f>'SER_se-appl'!U63</f>
        <v>405.7278178718833</v>
      </c>
      <c r="V15" s="63">
        <f>'SER_se-appl'!V63</f>
        <v>398.37712793973577</v>
      </c>
      <c r="W15" s="63">
        <f>'SER_se-appl'!W63</f>
        <v>390.40958538094105</v>
      </c>
      <c r="X15" s="63">
        <f>'SER_se-appl'!X63</f>
        <v>382.44204282214633</v>
      </c>
      <c r="Y15" s="63">
        <f>'SER_se-appl'!Y63</f>
        <v>374.47450026335162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43.967471829597237</v>
      </c>
      <c r="C3" s="198">
        <f>'SER_se-appl'!C8</f>
        <v>45.75958382647832</v>
      </c>
      <c r="D3" s="198">
        <f>'SER_se-appl'!D8</f>
        <v>47.723768687387448</v>
      </c>
      <c r="E3" s="198">
        <f>'SER_se-appl'!E8</f>
        <v>49.87329249025607</v>
      </c>
      <c r="F3" s="198">
        <f>'SER_se-appl'!F8</f>
        <v>52.747598047805823</v>
      </c>
      <c r="G3" s="198">
        <f>'SER_se-appl'!G8</f>
        <v>55.824796687421106</v>
      </c>
      <c r="H3" s="198">
        <f>'SER_se-appl'!H8</f>
        <v>59.275097243954527</v>
      </c>
      <c r="I3" s="198">
        <f>'SER_se-appl'!I8</f>
        <v>63.223797309896817</v>
      </c>
      <c r="J3" s="198">
        <f>'SER_se-appl'!J8</f>
        <v>67.057010074299527</v>
      </c>
      <c r="K3" s="198">
        <f>'SER_se-appl'!K8</f>
        <v>68.912941623182093</v>
      </c>
      <c r="L3" s="198">
        <f>'SER_se-appl'!L8</f>
        <v>71.808558646870992</v>
      </c>
      <c r="M3" s="198">
        <f>'SER_se-appl'!M8</f>
        <v>73.837392772364424</v>
      </c>
      <c r="N3" s="198">
        <f>'SER_se-appl'!N8</f>
        <v>75.176827000423032</v>
      </c>
      <c r="O3" s="198">
        <f>'SER_se-appl'!O8</f>
        <v>76.323112728133566</v>
      </c>
      <c r="P3" s="198">
        <f>'SER_se-appl'!P8</f>
        <v>77.325004274536724</v>
      </c>
      <c r="Q3" s="198">
        <f>'SER_se-appl'!Q8</f>
        <v>78.193559246450945</v>
      </c>
      <c r="R3" s="198">
        <f>'SER_se-appl'!R8</f>
        <v>81.038040585702674</v>
      </c>
      <c r="S3" s="198">
        <f>'SER_se-appl'!S8</f>
        <v>85.849824143854775</v>
      </c>
      <c r="T3" s="198">
        <f>'SER_se-appl'!T8</f>
        <v>89.970824580930284</v>
      </c>
      <c r="U3" s="198">
        <f>'SER_se-appl'!U8</f>
        <v>93.253122813294908</v>
      </c>
      <c r="V3" s="198">
        <f>'SER_se-appl'!V8</f>
        <v>88.465942765154395</v>
      </c>
      <c r="W3" s="198">
        <f>'SER_se-appl'!W8</f>
        <v>91.824547640463322</v>
      </c>
      <c r="X3" s="198">
        <f>'SER_se-appl'!X8</f>
        <v>97.505106959621358</v>
      </c>
      <c r="Y3" s="198">
        <f>'SER_se-appl'!Y8</f>
        <v>100.87197235088706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637.35355220395013</v>
      </c>
      <c r="C5" s="59">
        <f>'SER_se-appl'!C16</f>
        <v>660.17845710827703</v>
      </c>
      <c r="D5" s="59">
        <f>'SER_se-appl'!D16</f>
        <v>685.5270345748612</v>
      </c>
      <c r="E5" s="59">
        <f>'SER_se-appl'!E16</f>
        <v>713.54240698414753</v>
      </c>
      <c r="F5" s="59">
        <f>'SER_se-appl'!F16</f>
        <v>751.87423520186189</v>
      </c>
      <c r="G5" s="59">
        <f>'SER_se-appl'!G16</f>
        <v>792.99692586798596</v>
      </c>
      <c r="H5" s="59">
        <f>'SER_se-appl'!H16</f>
        <v>839.29607598450184</v>
      </c>
      <c r="I5" s="59">
        <f>'SER_se-appl'!I16</f>
        <v>892.49757996908738</v>
      </c>
      <c r="J5" s="59">
        <f>'SER_se-appl'!J16</f>
        <v>943.90758646618008</v>
      </c>
      <c r="K5" s="59">
        <f>'SER_se-appl'!K16</f>
        <v>967.41323639722521</v>
      </c>
      <c r="L5" s="59">
        <f>'SER_se-appl'!L16</f>
        <v>1005.4804398070057</v>
      </c>
      <c r="M5" s="59">
        <f>'SER_se-appl'!M16</f>
        <v>1032.2085689097871</v>
      </c>
      <c r="N5" s="59">
        <f>'SER_se-appl'!N16</f>
        <v>1049.3047820726611</v>
      </c>
      <c r="O5" s="59">
        <f>'SER_se-appl'!O16</f>
        <v>1063.7271146149023</v>
      </c>
      <c r="P5" s="59">
        <f>'SER_se-appl'!P16</f>
        <v>1076.1628472388247</v>
      </c>
      <c r="Q5" s="59">
        <f>'SER_se-appl'!Q16</f>
        <v>1086.7710603310138</v>
      </c>
      <c r="R5" s="59">
        <f>'SER_se-appl'!R16</f>
        <v>1145.6179898087994</v>
      </c>
      <c r="S5" s="59">
        <f>'SER_se-appl'!S16</f>
        <v>1205.0615159382457</v>
      </c>
      <c r="T5" s="59">
        <f>'SER_se-appl'!T16</f>
        <v>1262.0417124282208</v>
      </c>
      <c r="U5" s="59">
        <f>'SER_se-appl'!U16</f>
        <v>1311.9632457653181</v>
      </c>
      <c r="V5" s="59">
        <f>'SER_se-appl'!V16</f>
        <v>1355.3995386247975</v>
      </c>
      <c r="W5" s="59">
        <f>'SER_se-appl'!W16</f>
        <v>1390.005169380679</v>
      </c>
      <c r="X5" s="59">
        <f>'SER_se-appl'!X16</f>
        <v>1415.7459809357661</v>
      </c>
      <c r="Y5" s="59">
        <f>'SER_se-appl'!Y16</f>
        <v>1435.3370478594939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95.071263013358688</v>
      </c>
      <c r="C6" s="201">
        <f>'SER_se-appl'!C72</f>
        <v>98.088853551672344</v>
      </c>
      <c r="D6" s="201">
        <f>'SER_se-appl'!D72</f>
        <v>101.15094879004047</v>
      </c>
      <c r="E6" s="201">
        <f>'SER_se-appl'!E72</f>
        <v>104.93539416201651</v>
      </c>
      <c r="F6" s="201">
        <f>'SER_se-appl'!F72</f>
        <v>109.41560493511149</v>
      </c>
      <c r="G6" s="201">
        <f>'SER_se-appl'!G72</f>
        <v>114.14329094206877</v>
      </c>
      <c r="H6" s="201">
        <f>'SER_se-appl'!H72</f>
        <v>118.90873779906568</v>
      </c>
      <c r="I6" s="201">
        <f>'SER_se-appl'!I72</f>
        <v>124.64474599968207</v>
      </c>
      <c r="J6" s="201">
        <f>'SER_se-appl'!J72</f>
        <v>131.34205364459643</v>
      </c>
      <c r="K6" s="201">
        <f>'SER_se-appl'!K72</f>
        <v>138.06659088421625</v>
      </c>
      <c r="L6" s="201">
        <f>'SER_se-appl'!L72</f>
        <v>143.03684642799493</v>
      </c>
      <c r="M6" s="201">
        <f>'SER_se-appl'!M72</f>
        <v>147.00175046996102</v>
      </c>
      <c r="N6" s="201">
        <f>'SER_se-appl'!N72</f>
        <v>150.62057458321183</v>
      </c>
      <c r="O6" s="201">
        <f>'SER_se-appl'!O72</f>
        <v>154.10819038869815</v>
      </c>
      <c r="P6" s="201">
        <f>'SER_se-appl'!P72</f>
        <v>157.49590502813288</v>
      </c>
      <c r="Q6" s="201">
        <f>'SER_se-appl'!Q72</f>
        <v>160.81558053205501</v>
      </c>
      <c r="R6" s="201">
        <f>'SER_se-appl'!R72</f>
        <v>169.43794683332706</v>
      </c>
      <c r="S6" s="201">
        <f>'SER_se-appl'!S72</f>
        <v>178.11748390802137</v>
      </c>
      <c r="T6" s="201">
        <f>'SER_se-appl'!T72</f>
        <v>186.55183117508952</v>
      </c>
      <c r="U6" s="201">
        <f>'SER_se-appl'!U72</f>
        <v>194.55760275712592</v>
      </c>
      <c r="V6" s="201">
        <f>'SER_se-appl'!V72</f>
        <v>201.7934518199053</v>
      </c>
      <c r="W6" s="201">
        <f>'SER_se-appl'!W72</f>
        <v>207.89987938349333</v>
      </c>
      <c r="X6" s="201">
        <f>'SER_se-appl'!X72</f>
        <v>212.91780083002058</v>
      </c>
      <c r="Y6" s="201">
        <f>'SER_se-appl'!Y72</f>
        <v>217.01920058315034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14.179623666195274</v>
      </c>
      <c r="C8" s="34">
        <f>'SER_se-appl'!C24</f>
        <v>14.738945245802755</v>
      </c>
      <c r="D8" s="34">
        <f>'SER_se-appl'!D24</f>
        <v>15.365608058093285</v>
      </c>
      <c r="E8" s="34">
        <f>'SER_se-appl'!E24</f>
        <v>16.064977985940772</v>
      </c>
      <c r="F8" s="34">
        <f>'SER_se-appl'!F24</f>
        <v>17.022861930397713</v>
      </c>
      <c r="G8" s="34">
        <f>'SER_se-appl'!G24</f>
        <v>18.064717798623793</v>
      </c>
      <c r="H8" s="34">
        <f>'SER_se-appl'!H24</f>
        <v>19.253766452490314</v>
      </c>
      <c r="I8" s="34">
        <f>'SER_se-appl'!I24</f>
        <v>20.635042473892746</v>
      </c>
      <c r="J8" s="34">
        <f>'SER_se-appl'!J24</f>
        <v>22.00029666894897</v>
      </c>
      <c r="K8" s="34">
        <f>'SER_se-appl'!K24</f>
        <v>22.703750546644375</v>
      </c>
      <c r="L8" s="34">
        <f>'SER_se-appl'!L24</f>
        <v>23.808954116477018</v>
      </c>
      <c r="M8" s="34">
        <f>'SER_se-appl'!M24</f>
        <v>24.685698825198909</v>
      </c>
      <c r="N8" s="34">
        <f>'SER_se-appl'!N24</f>
        <v>25.379889027736517</v>
      </c>
      <c r="O8" s="34">
        <f>'SER_se-appl'!O24</f>
        <v>26.078043003829197</v>
      </c>
      <c r="P8" s="34">
        <f>'SER_se-appl'!P24</f>
        <v>26.806806975941285</v>
      </c>
      <c r="Q8" s="34">
        <f>'SER_se-appl'!Q24</f>
        <v>27.58488056437292</v>
      </c>
      <c r="R8" s="34">
        <f>'SER_se-appl'!R24</f>
        <v>29.470989805274865</v>
      </c>
      <c r="S8" s="34">
        <f>'SER_se-appl'!S24</f>
        <v>31.439607447721666</v>
      </c>
      <c r="T8" s="34">
        <f>'SER_se-appl'!T24</f>
        <v>33.404059390505836</v>
      </c>
      <c r="U8" s="34">
        <f>'SER_se-appl'!U24</f>
        <v>35.273400981485182</v>
      </c>
      <c r="V8" s="34">
        <f>'SER_se-appl'!V24</f>
        <v>37.01966321979036</v>
      </c>
      <c r="W8" s="34">
        <f>'SER_se-appl'!W24</f>
        <v>38.567452749089441</v>
      </c>
      <c r="X8" s="34">
        <f>'SER_se-appl'!X24</f>
        <v>39.927506619182154</v>
      </c>
      <c r="Y8" s="34">
        <f>'SER_se-appl'!Y24</f>
        <v>41.126421439905315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0.96319206614521136</v>
      </c>
      <c r="D9" s="36">
        <f>'SER_se-appl'!D32</f>
        <v>1.0759814408301569</v>
      </c>
      <c r="E9" s="36">
        <f>'SER_se-appl'!E32</f>
        <v>1.1992510448943285</v>
      </c>
      <c r="F9" s="36">
        <f>'SER_se-appl'!F32</f>
        <v>1.5140174214778241</v>
      </c>
      <c r="G9" s="36">
        <f>'SER_se-appl'!G32</f>
        <v>1.660571866322794</v>
      </c>
      <c r="H9" s="36">
        <f>'SER_se-appl'!H32</f>
        <v>1.8773896765135696</v>
      </c>
      <c r="I9" s="36">
        <f>'SER_se-appl'!I32</f>
        <v>2.1470770753857167</v>
      </c>
      <c r="J9" s="36">
        <f>'SER_se-appl'!J32</f>
        <v>2.2172319720404943</v>
      </c>
      <c r="K9" s="36">
        <f>'SER_se-appl'!K32</f>
        <v>1.6513059715251224</v>
      </c>
      <c r="L9" s="36">
        <f>'SER_se-appl'!L32</f>
        <v>2.1597188589021599</v>
      </c>
      <c r="M9" s="36">
        <f>'SER_se-appl'!M32</f>
        <v>2.0499261598367156</v>
      </c>
      <c r="N9" s="36">
        <f>'SER_se-appl'!N32</f>
        <v>1.9993914940754038</v>
      </c>
      <c r="O9" s="36">
        <f>'SER_se-appl'!O32</f>
        <v>2.1502314955702637</v>
      </c>
      <c r="P9" s="36">
        <f>'SER_se-appl'!P32</f>
        <v>2.3442459182630095</v>
      </c>
      <c r="Q9" s="36">
        <f>'SER_se-appl'!Q32</f>
        <v>2.5753481025901444</v>
      </c>
      <c r="R9" s="36">
        <f>'SER_se-appl'!R32</f>
        <v>2.8493013070471562</v>
      </c>
      <c r="S9" s="36">
        <f>'SER_se-appl'!S32</f>
        <v>3.0445990832769603</v>
      </c>
      <c r="T9" s="36">
        <f>'SER_se-appl'!T32</f>
        <v>3.1637029876784979</v>
      </c>
      <c r="U9" s="36">
        <f>'SER_se-appl'!U32</f>
        <v>3.38335901245717</v>
      </c>
      <c r="V9" s="36">
        <f>'SER_se-appl'!V32</f>
        <v>3.4068341046279755</v>
      </c>
      <c r="W9" s="36">
        <f>'SER_se-appl'!W32</f>
        <v>3.425179205812654</v>
      </c>
      <c r="X9" s="36">
        <f>'SER_se-appl'!X32</f>
        <v>3.5071309454784299</v>
      </c>
      <c r="Y9" s="36">
        <f>'SER_se-appl'!Y32</f>
        <v>3.4161467927636551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0.4038704865377305</v>
      </c>
      <c r="D10" s="38">
        <f>'SER_se-appl'!D40</f>
        <v>0.44931862853962734</v>
      </c>
      <c r="E10" s="38">
        <f>'SER_se-appl'!E40</f>
        <v>0.49988111704684002</v>
      </c>
      <c r="F10" s="38">
        <f>'SER_se-appl'!F40</f>
        <v>0.55613347702088234</v>
      </c>
      <c r="G10" s="38">
        <f>'SER_se-appl'!G40</f>
        <v>0.61871599809671451</v>
      </c>
      <c r="H10" s="38">
        <f>'SER_se-appl'!H40</f>
        <v>0.68834102264704811</v>
      </c>
      <c r="I10" s="38">
        <f>'SER_se-appl'!I40</f>
        <v>0.76580105398328513</v>
      </c>
      <c r="J10" s="38">
        <f>'SER_se-appl'!J40</f>
        <v>0.85197777698427046</v>
      </c>
      <c r="K10" s="38">
        <f>'SER_se-appl'!K40</f>
        <v>0.94785209382971658</v>
      </c>
      <c r="L10" s="38">
        <f>'SER_se-appl'!L40</f>
        <v>1.0545152890695171</v>
      </c>
      <c r="M10" s="38">
        <f>'SER_se-appl'!M40</f>
        <v>1.1731814511148251</v>
      </c>
      <c r="N10" s="38">
        <f>'SER_se-appl'!N40</f>
        <v>1.3052012915377951</v>
      </c>
      <c r="O10" s="38">
        <f>'SER_se-appl'!O40</f>
        <v>1.4520775194775837</v>
      </c>
      <c r="P10" s="38">
        <f>'SER_se-appl'!P40</f>
        <v>1.615481946150922</v>
      </c>
      <c r="Q10" s="38">
        <f>'SER_se-appl'!Q40</f>
        <v>1.7972745141585094</v>
      </c>
      <c r="R10" s="38">
        <f>'SER_se-appl'!R40</f>
        <v>0.96319206614521136</v>
      </c>
      <c r="S10" s="38">
        <f>'SER_se-appl'!S40</f>
        <v>1.0759814408301587</v>
      </c>
      <c r="T10" s="38">
        <f>'SER_se-appl'!T40</f>
        <v>1.199251044894325</v>
      </c>
      <c r="U10" s="38">
        <f>'SER_se-appl'!U40</f>
        <v>1.5140174214778241</v>
      </c>
      <c r="V10" s="38">
        <f>'SER_se-appl'!V40</f>
        <v>1.6605718663227975</v>
      </c>
      <c r="W10" s="38">
        <f>'SER_se-appl'!W40</f>
        <v>1.8773896765135731</v>
      </c>
      <c r="X10" s="38">
        <f>'SER_se-appl'!X40</f>
        <v>2.1470770753857167</v>
      </c>
      <c r="Y10" s="38">
        <f>'SER_se-appl'!Y40</f>
        <v>2.2172319720404943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802.288926781707</v>
      </c>
      <c r="C12" s="204">
        <f>'SER_se-appl'!C48</f>
        <v>806.12136638481445</v>
      </c>
      <c r="D12" s="204">
        <f>'SER_se-appl'!D48</f>
        <v>809.63609287637166</v>
      </c>
      <c r="E12" s="204">
        <f>'SER_se-appl'!E48</f>
        <v>812.88285879631576</v>
      </c>
      <c r="F12" s="204">
        <f>'SER_se-appl'!F48</f>
        <v>815.90050114070266</v>
      </c>
      <c r="G12" s="204">
        <f>'SER_se-appl'!G48</f>
        <v>818.71992727345071</v>
      </c>
      <c r="H12" s="204">
        <f>'SER_se-appl'!H48</f>
        <v>821.36614321537809</v>
      </c>
      <c r="I12" s="204">
        <f>'SER_se-appl'!I48</f>
        <v>823.85967112601872</v>
      </c>
      <c r="J12" s="204">
        <f>'SER_se-appl'!J48</f>
        <v>826.21756445862195</v>
      </c>
      <c r="K12" s="204">
        <f>'SER_se-appl'!K48</f>
        <v>828.45415064025951</v>
      </c>
      <c r="L12" s="204">
        <f>'SER_se-appl'!L48</f>
        <v>830.58158468344448</v>
      </c>
      <c r="M12" s="204">
        <f>'SER_se-appl'!M48</f>
        <v>831.93349077656171</v>
      </c>
      <c r="N12" s="204">
        <f>'SER_se-appl'!N48</f>
        <v>833.22454348099677</v>
      </c>
      <c r="O12" s="204">
        <f>'SER_se-appl'!O48</f>
        <v>834.46006859526381</v>
      </c>
      <c r="P12" s="204">
        <f>'SER_se-appl'!P48</f>
        <v>835.64471865965606</v>
      </c>
      <c r="Q12" s="204">
        <f>'SER_se-appl'!Q48</f>
        <v>836.7825821192165</v>
      </c>
      <c r="R12" s="204">
        <f>'SER_se-appl'!R48</f>
        <v>822.67598832750366</v>
      </c>
      <c r="S12" s="204">
        <f>'SER_se-appl'!S48</f>
        <v>828.5331840637723</v>
      </c>
      <c r="T12" s="204">
        <f>'SER_se-appl'!T48</f>
        <v>829.10151033199816</v>
      </c>
      <c r="U12" s="204">
        <f>'SER_se-appl'!U48</f>
        <v>826.64954358989678</v>
      </c>
      <c r="V12" s="204">
        <f>'SER_se-appl'!V48</f>
        <v>759.08164717440923</v>
      </c>
      <c r="W12" s="204">
        <f>'SER_se-appl'!W48</f>
        <v>768.284544966407</v>
      </c>
      <c r="X12" s="204">
        <f>'SER_se-appl'!X48</f>
        <v>800.98012582092338</v>
      </c>
      <c r="Y12" s="204">
        <f>'SER_se-appl'!Y48</f>
        <v>817.32791624818151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44.948552035511604</v>
      </c>
      <c r="C14" s="59">
        <f>'SER_se-appl'!C56</f>
        <v>44.791431550794151</v>
      </c>
      <c r="D14" s="59">
        <f>'SER_se-appl'!D56</f>
        <v>44.614377249703722</v>
      </c>
      <c r="E14" s="59">
        <f>'SER_se-appl'!E56</f>
        <v>44.416021460384357</v>
      </c>
      <c r="F14" s="59">
        <f>'SER_se-appl'!F56</f>
        <v>44.168497534438707</v>
      </c>
      <c r="G14" s="59">
        <f>'SER_se-appl'!G56</f>
        <v>43.897554044735649</v>
      </c>
      <c r="H14" s="59">
        <f>'SER_se-appl'!H56</f>
        <v>43.591267093402699</v>
      </c>
      <c r="I14" s="59">
        <f>'SER_se-appl'!I56</f>
        <v>43.251550419548039</v>
      </c>
      <c r="J14" s="59">
        <f>'SER_se-appl'!J56</f>
        <v>42.904311731323297</v>
      </c>
      <c r="K14" s="59">
        <f>'SER_se-appl'!K56</f>
        <v>42.610283019525568</v>
      </c>
      <c r="L14" s="59">
        <f>'SER_se-appl'!L56</f>
        <v>42.231188942111558</v>
      </c>
      <c r="M14" s="59">
        <f>'SER_se-appl'!M56</f>
        <v>41.814030715473173</v>
      </c>
      <c r="N14" s="59">
        <f>'SER_se-appl'!N56</f>
        <v>41.343946812609147</v>
      </c>
      <c r="O14" s="59">
        <f>'SER_se-appl'!O56</f>
        <v>40.790143434409892</v>
      </c>
      <c r="P14" s="59">
        <f>'SER_se-appl'!P56</f>
        <v>40.145133592548532</v>
      </c>
      <c r="Q14" s="59">
        <f>'SER_se-appl'!Q56</f>
        <v>39.397345143289336</v>
      </c>
      <c r="R14" s="59">
        <f>'SER_se-appl'!R56</f>
        <v>38.872735438419205</v>
      </c>
      <c r="S14" s="59">
        <f>'SER_se-appl'!S56</f>
        <v>38.329407195749603</v>
      </c>
      <c r="T14" s="59">
        <f>'SER_se-appl'!T56</f>
        <v>37.781088150828779</v>
      </c>
      <c r="U14" s="59">
        <f>'SER_se-appl'!U56</f>
        <v>37.194123879746115</v>
      </c>
      <c r="V14" s="59">
        <f>'SER_se-appl'!V56</f>
        <v>36.612962429658566</v>
      </c>
      <c r="W14" s="59">
        <f>'SER_se-appl'!W56</f>
        <v>36.040886039939373</v>
      </c>
      <c r="X14" s="59">
        <f>'SER_se-appl'!X56</f>
        <v>35.457911119739364</v>
      </c>
      <c r="Y14" s="59">
        <f>'SER_se-appl'!Y56</f>
        <v>34.900606413247864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42.544264975182699</v>
      </c>
      <c r="D15" s="63">
        <f>'SER_se-appl'!D64</f>
        <v>42.328610414397957</v>
      </c>
      <c r="E15" s="63">
        <f>'SER_se-appl'!E64</f>
        <v>42.096527683146114</v>
      </c>
      <c r="F15" s="63">
        <f>'SER_se-appl'!F64</f>
        <v>41.828595794137023</v>
      </c>
      <c r="G15" s="63">
        <f>'SER_se-appl'!G64</f>
        <v>41.511650474016804</v>
      </c>
      <c r="H15" s="63">
        <f>'SER_se-appl'!H64</f>
        <v>41.141742365698846</v>
      </c>
      <c r="I15" s="63">
        <f>'SER_se-appl'!I64</f>
        <v>40.810436436084522</v>
      </c>
      <c r="J15" s="63">
        <f>'SER_se-appl'!J64</f>
        <v>40.458181674340075</v>
      </c>
      <c r="K15" s="63">
        <f>'SER_se-appl'!K64</f>
        <v>40.035117799192619</v>
      </c>
      <c r="L15" s="63">
        <f>'SER_se-appl'!L64</f>
        <v>39.572807544130633</v>
      </c>
      <c r="M15" s="63">
        <f>'SER_se-appl'!M64</f>
        <v>38.762828711665705</v>
      </c>
      <c r="N15" s="63">
        <f>'SER_se-appl'!N64</f>
        <v>37.893089750996012</v>
      </c>
      <c r="O15" s="63">
        <f>'SER_se-appl'!O64</f>
        <v>37.061644130062078</v>
      </c>
      <c r="P15" s="63">
        <f>'SER_se-appl'!P64</f>
        <v>36.280027739553297</v>
      </c>
      <c r="Q15" s="63">
        <f>'SER_se-appl'!Q64</f>
        <v>35.487668646434003</v>
      </c>
      <c r="R15" s="63">
        <f>'SER_se-appl'!R64</f>
        <v>35.034984792574946</v>
      </c>
      <c r="S15" s="63">
        <f>'SER_se-appl'!S64</f>
        <v>34.4834648108964</v>
      </c>
      <c r="T15" s="63">
        <f>'SER_se-appl'!T64</f>
        <v>33.967948862123656</v>
      </c>
      <c r="U15" s="63">
        <f>'SER_se-appl'!U64</f>
        <v>33.472875822044784</v>
      </c>
      <c r="V15" s="63">
        <f>'SER_se-appl'!V64</f>
        <v>32.983517339047992</v>
      </c>
      <c r="W15" s="63">
        <f>'SER_se-appl'!W64</f>
        <v>32.653682165657514</v>
      </c>
      <c r="X15" s="63">
        <f>'SER_se-appl'!X64</f>
        <v>32.323846992267029</v>
      </c>
      <c r="Y15" s="63">
        <f>'SER_se-appl'!Y64</f>
        <v>31.994011818876551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51.182111871481688</v>
      </c>
      <c r="C3" s="198">
        <f>'SER_se-appl'!C9</f>
        <v>58.475140325911561</v>
      </c>
      <c r="D3" s="198">
        <f>'SER_se-appl'!D9</f>
        <v>64.923506803785571</v>
      </c>
      <c r="E3" s="198">
        <f>'SER_se-appl'!E9</f>
        <v>71.758834239531254</v>
      </c>
      <c r="F3" s="198">
        <f>'SER_se-appl'!F9</f>
        <v>78.275614905406954</v>
      </c>
      <c r="G3" s="198">
        <f>'SER_se-appl'!G9</f>
        <v>85.309858436130256</v>
      </c>
      <c r="H3" s="198">
        <f>'SER_se-appl'!H9</f>
        <v>92.384035751957086</v>
      </c>
      <c r="I3" s="198">
        <f>'SER_se-appl'!I9</f>
        <v>97.33778248761449</v>
      </c>
      <c r="J3" s="198">
        <f>'SER_se-appl'!J9</f>
        <v>101.13047437691614</v>
      </c>
      <c r="K3" s="198">
        <f>'SER_se-appl'!K9</f>
        <v>104.4438360352121</v>
      </c>
      <c r="L3" s="198">
        <f>'SER_se-appl'!L9</f>
        <v>107.50106399611605</v>
      </c>
      <c r="M3" s="198">
        <f>'SER_se-appl'!M9</f>
        <v>111.01759062561118</v>
      </c>
      <c r="N3" s="198">
        <f>'SER_se-appl'!N9</f>
        <v>113.20141501062989</v>
      </c>
      <c r="O3" s="198">
        <f>'SER_se-appl'!O9</f>
        <v>116.87650063385493</v>
      </c>
      <c r="P3" s="198">
        <f>'SER_se-appl'!P9</f>
        <v>122.28989882565743</v>
      </c>
      <c r="Q3" s="198">
        <f>'SER_se-appl'!Q9</f>
        <v>130.83430634097138</v>
      </c>
      <c r="R3" s="198">
        <f>'SER_se-appl'!R9</f>
        <v>135.10816354398486</v>
      </c>
      <c r="S3" s="198">
        <f>'SER_se-appl'!S9</f>
        <v>141.93592325835098</v>
      </c>
      <c r="T3" s="198">
        <f>'SER_se-appl'!T9</f>
        <v>147.85610876880273</v>
      </c>
      <c r="U3" s="198">
        <f>'SER_se-appl'!U9</f>
        <v>153.23071798224109</v>
      </c>
      <c r="V3" s="198">
        <f>'SER_se-appl'!V9</f>
        <v>152.79658437457024</v>
      </c>
      <c r="W3" s="198">
        <f>'SER_se-appl'!W9</f>
        <v>156.59515665238462</v>
      </c>
      <c r="X3" s="198">
        <f>'SER_se-appl'!X9</f>
        <v>160.86392349409894</v>
      </c>
      <c r="Y3" s="198">
        <f>'SER_se-appl'!Y9</f>
        <v>164.01245613701519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258.67924086790629</v>
      </c>
      <c r="C5" s="59">
        <f>'SER_se-appl'!C17</f>
        <v>284.03567583219194</v>
      </c>
      <c r="D5" s="59">
        <f>'SER_se-appl'!D17</f>
        <v>303.40431134943663</v>
      </c>
      <c r="E5" s="59">
        <f>'SER_se-appl'!E17</f>
        <v>325.71013092192811</v>
      </c>
      <c r="F5" s="59">
        <f>'SER_se-appl'!F17</f>
        <v>346.05889228081634</v>
      </c>
      <c r="G5" s="59">
        <f>'SER_se-appl'!G17</f>
        <v>370.88333040991807</v>
      </c>
      <c r="H5" s="59">
        <f>'SER_se-appl'!H17</f>
        <v>397.97761028835373</v>
      </c>
      <c r="I5" s="59">
        <f>'SER_se-appl'!I17</f>
        <v>412.71097397372745</v>
      </c>
      <c r="J5" s="59">
        <f>'SER_se-appl'!J17</f>
        <v>421.75203310107315</v>
      </c>
      <c r="K5" s="59">
        <f>'SER_se-appl'!K17</f>
        <v>429.73039691085262</v>
      </c>
      <c r="L5" s="59">
        <f>'SER_se-appl'!L17</f>
        <v>433.71289857609696</v>
      </c>
      <c r="M5" s="59">
        <f>'SER_se-appl'!M17</f>
        <v>435.84075161781362</v>
      </c>
      <c r="N5" s="59">
        <f>'SER_se-appl'!N17</f>
        <v>440.74194762834281</v>
      </c>
      <c r="O5" s="59">
        <f>'SER_se-appl'!O17</f>
        <v>454.30360399918555</v>
      </c>
      <c r="P5" s="59">
        <f>'SER_se-appl'!P17</f>
        <v>477.29918624096479</v>
      </c>
      <c r="Q5" s="59">
        <f>'SER_se-appl'!Q17</f>
        <v>517.60139610781403</v>
      </c>
      <c r="R5" s="59">
        <f>'SER_se-appl'!R17</f>
        <v>542.00450331795719</v>
      </c>
      <c r="S5" s="59">
        <f>'SER_se-appl'!S17</f>
        <v>568.8645776984614</v>
      </c>
      <c r="T5" s="59">
        <f>'SER_se-appl'!T17</f>
        <v>595.54214501637546</v>
      </c>
      <c r="U5" s="59">
        <f>'SER_se-appl'!U17</f>
        <v>618.84507852100228</v>
      </c>
      <c r="V5" s="59">
        <f>'SER_se-appl'!V17</f>
        <v>636.70269857394646</v>
      </c>
      <c r="W5" s="59">
        <f>'SER_se-appl'!W17</f>
        <v>650.45725359191579</v>
      </c>
      <c r="X5" s="59">
        <f>'SER_se-appl'!X17</f>
        <v>659.8193846961575</v>
      </c>
      <c r="Y5" s="59">
        <f>'SER_se-appl'!Y17</f>
        <v>669.22306741974614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8.8916537154343028E-2</v>
      </c>
      <c r="C6" s="201">
        <f>'SER_se-appl'!C73</f>
        <v>0.10024367518958638</v>
      </c>
      <c r="D6" s="201">
        <f>'SER_se-appl'!D73</f>
        <v>0.11014595441246512</v>
      </c>
      <c r="E6" s="201">
        <f>'SER_se-appl'!E73</f>
        <v>0.12255861197463014</v>
      </c>
      <c r="F6" s="201">
        <f>'SER_se-appl'!F73</f>
        <v>0.13530731062831028</v>
      </c>
      <c r="G6" s="201">
        <f>'SER_se-appl'!G73</f>
        <v>0.15101395513055613</v>
      </c>
      <c r="H6" s="201">
        <f>'SER_se-appl'!H73</f>
        <v>0.16996517127705488</v>
      </c>
      <c r="I6" s="201">
        <f>'SER_se-appl'!I73</f>
        <v>0.18398883392818155</v>
      </c>
      <c r="J6" s="201">
        <f>'SER_se-appl'!J73</f>
        <v>0.19635488034184145</v>
      </c>
      <c r="K6" s="201">
        <f>'SER_se-appl'!K73</f>
        <v>0.20928574721791485</v>
      </c>
      <c r="L6" s="201">
        <f>'SER_se-appl'!L73</f>
        <v>0.22308796719857965</v>
      </c>
      <c r="M6" s="201">
        <f>'SER_se-appl'!M73</f>
        <v>0.24154453616777652</v>
      </c>
      <c r="N6" s="201">
        <f>'SER_se-appl'!N73</f>
        <v>0.2584418654022726</v>
      </c>
      <c r="O6" s="201">
        <f>'SER_se-appl'!O73</f>
        <v>0.27995530466130097</v>
      </c>
      <c r="P6" s="201">
        <f>'SER_se-appl'!P73</f>
        <v>0.30412141337347365</v>
      </c>
      <c r="Q6" s="201">
        <f>'SER_se-appl'!Q73</f>
        <v>0.33524142248378924</v>
      </c>
      <c r="R6" s="201">
        <f>'SER_se-appl'!R73</f>
        <v>0.35219536534357548</v>
      </c>
      <c r="S6" s="201">
        <f>'SER_se-appl'!S73</f>
        <v>0.36903617536432348</v>
      </c>
      <c r="T6" s="201">
        <f>'SER_se-appl'!T73</f>
        <v>0.38653995106330363</v>
      </c>
      <c r="U6" s="201">
        <f>'SER_se-appl'!U73</f>
        <v>0.40442869754898431</v>
      </c>
      <c r="V6" s="201">
        <f>'SER_se-appl'!V73</f>
        <v>0.42129690017831795</v>
      </c>
      <c r="W6" s="201">
        <f>'SER_se-appl'!W73</f>
        <v>0.43797722039559589</v>
      </c>
      <c r="X6" s="201">
        <f>'SER_se-appl'!X73</f>
        <v>0.45150999481018278</v>
      </c>
      <c r="Y6" s="201">
        <f>'SER_se-appl'!Y73</f>
        <v>0.46125616107164397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711.5266687849637</v>
      </c>
      <c r="C8" s="34">
        <f>'SER_se-appl'!C25</f>
        <v>804.04910553721209</v>
      </c>
      <c r="D8" s="34">
        <f>'SER_se-appl'!D25</f>
        <v>888.17732383853024</v>
      </c>
      <c r="E8" s="34">
        <f>'SER_se-appl'!E25</f>
        <v>992.75821549557327</v>
      </c>
      <c r="F8" s="34">
        <f>'SER_se-appl'!F25</f>
        <v>1101.7496542246924</v>
      </c>
      <c r="G8" s="34">
        <f>'SER_se-appl'!G25</f>
        <v>1238.5196600355828</v>
      </c>
      <c r="H8" s="34">
        <f>'SER_se-appl'!H25</f>
        <v>1402.9431733418514</v>
      </c>
      <c r="I8" s="34">
        <f>'SER_se-appl'!I25</f>
        <v>1523.9765676057848</v>
      </c>
      <c r="J8" s="34">
        <f>'SER_se-appl'!J25</f>
        <v>1631.314185976335</v>
      </c>
      <c r="K8" s="34">
        <f>'SER_se-appl'!K25</f>
        <v>1744.3973309185619</v>
      </c>
      <c r="L8" s="34">
        <f>'SER_se-appl'!L25</f>
        <v>1863.1510596382473</v>
      </c>
      <c r="M8" s="34">
        <f>'SER_se-appl'!M25</f>
        <v>2022.9751037090598</v>
      </c>
      <c r="N8" s="34">
        <f>'SER_se-appl'!N25</f>
        <v>2173.0104757680219</v>
      </c>
      <c r="O8" s="34">
        <f>'SER_se-appl'!O25</f>
        <v>2366.1430412546633</v>
      </c>
      <c r="P8" s="34">
        <f>'SER_se-appl'!P25</f>
        <v>2587.3999029990518</v>
      </c>
      <c r="Q8" s="34">
        <f>'SER_se-appl'!Q25</f>
        <v>2878.0228041580667</v>
      </c>
      <c r="R8" s="34">
        <f>'SER_se-appl'!R25</f>
        <v>3064.2655625061834</v>
      </c>
      <c r="S8" s="34">
        <f>'SER_se-appl'!S25</f>
        <v>3237.5045465875355</v>
      </c>
      <c r="T8" s="34">
        <f>'SER_se-appl'!T25</f>
        <v>3410.1586544473985</v>
      </c>
      <c r="U8" s="34">
        <f>'SER_se-appl'!U25</f>
        <v>3582.7428351295034</v>
      </c>
      <c r="V8" s="34">
        <f>'SER_se-appl'!V25</f>
        <v>3749.9906714888198</v>
      </c>
      <c r="W8" s="34">
        <f>'SER_se-appl'!W25</f>
        <v>3912.303349447805</v>
      </c>
      <c r="X8" s="34">
        <f>'SER_se-appl'!X25</f>
        <v>4054.0761861909996</v>
      </c>
      <c r="Y8" s="34">
        <f>'SER_se-appl'!Y25</f>
        <v>4199.6321801525937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234.82777050924108</v>
      </c>
      <c r="D9" s="36">
        <f>'SER_se-appl'!D33</f>
        <v>226.43355205831097</v>
      </c>
      <c r="E9" s="36">
        <f>'SER_se-appl'!E33</f>
        <v>246.88622541403583</v>
      </c>
      <c r="F9" s="36">
        <f>'SER_se-appl'!F33</f>
        <v>251.29677248611188</v>
      </c>
      <c r="G9" s="36">
        <f>'SER_se-appl'!G33</f>
        <v>279.07533956788302</v>
      </c>
      <c r="H9" s="36">
        <f>'SER_se-appl'!H33</f>
        <v>399.25128381550974</v>
      </c>
      <c r="I9" s="36">
        <f>'SER_se-appl'!I33</f>
        <v>347.46694632224421</v>
      </c>
      <c r="J9" s="36">
        <f>'SER_se-appl'!J33</f>
        <v>354.22384378458605</v>
      </c>
      <c r="K9" s="36">
        <f>'SER_se-appl'!K33</f>
        <v>364.37991742833879</v>
      </c>
      <c r="L9" s="36">
        <f>'SER_se-appl'!L33</f>
        <v>397.82906828756836</v>
      </c>
      <c r="M9" s="36">
        <f>'SER_se-appl'!M33</f>
        <v>559.07532788632238</v>
      </c>
      <c r="N9" s="36">
        <f>'SER_se-appl'!N33</f>
        <v>497.50231838120635</v>
      </c>
      <c r="O9" s="36">
        <f>'SER_se-appl'!O33</f>
        <v>547.35640927122745</v>
      </c>
      <c r="P9" s="36">
        <f>'SER_se-appl'!P33</f>
        <v>585.6367791727273</v>
      </c>
      <c r="Q9" s="36">
        <f>'SER_se-appl'!Q33</f>
        <v>688.45196944658346</v>
      </c>
      <c r="R9" s="36">
        <f>'SER_se-appl'!R33</f>
        <v>745.31808623443885</v>
      </c>
      <c r="S9" s="36">
        <f>'SER_se-appl'!S33</f>
        <v>670.74130246255845</v>
      </c>
      <c r="T9" s="36">
        <f>'SER_se-appl'!T33</f>
        <v>720.01051713109064</v>
      </c>
      <c r="U9" s="36">
        <f>'SER_se-appl'!U33</f>
        <v>758.22095985483202</v>
      </c>
      <c r="V9" s="36">
        <f>'SER_se-appl'!V33</f>
        <v>855.69980580589981</v>
      </c>
      <c r="W9" s="36">
        <f>'SER_se-appl'!W33</f>
        <v>907.63076419342406</v>
      </c>
      <c r="X9" s="36">
        <f>'SER_se-appl'!X33</f>
        <v>812.51413920575305</v>
      </c>
      <c r="Y9" s="36">
        <f>'SER_se-appl'!Y33</f>
        <v>865.56651109268478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142.3053337569927</v>
      </c>
      <c r="D10" s="38">
        <f>'SER_se-appl'!D41</f>
        <v>142.30533375699281</v>
      </c>
      <c r="E10" s="38">
        <f>'SER_se-appl'!E41</f>
        <v>142.30533375699292</v>
      </c>
      <c r="F10" s="38">
        <f>'SER_se-appl'!F41</f>
        <v>142.3053337569927</v>
      </c>
      <c r="G10" s="38">
        <f>'SER_se-appl'!G41</f>
        <v>142.3053337569927</v>
      </c>
      <c r="H10" s="38">
        <f>'SER_se-appl'!H41</f>
        <v>234.82777050924096</v>
      </c>
      <c r="I10" s="38">
        <f>'SER_se-appl'!I41</f>
        <v>226.43355205831085</v>
      </c>
      <c r="J10" s="38">
        <f>'SER_se-appl'!J41</f>
        <v>246.88622541403583</v>
      </c>
      <c r="K10" s="38">
        <f>'SER_se-appl'!K41</f>
        <v>251.29677248611188</v>
      </c>
      <c r="L10" s="38">
        <f>'SER_se-appl'!L41</f>
        <v>279.07533956788302</v>
      </c>
      <c r="M10" s="38">
        <f>'SER_se-appl'!M41</f>
        <v>399.25128381551008</v>
      </c>
      <c r="N10" s="38">
        <f>'SER_se-appl'!N41</f>
        <v>347.46694632224444</v>
      </c>
      <c r="O10" s="38">
        <f>'SER_se-appl'!O41</f>
        <v>354.22384378458628</v>
      </c>
      <c r="P10" s="38">
        <f>'SER_se-appl'!P41</f>
        <v>364.37991742833856</v>
      </c>
      <c r="Q10" s="38">
        <f>'SER_se-appl'!Q41</f>
        <v>397.82906828756859</v>
      </c>
      <c r="R10" s="38">
        <f>'SER_se-appl'!R41</f>
        <v>559.07532788632216</v>
      </c>
      <c r="S10" s="38">
        <f>'SER_se-appl'!S41</f>
        <v>497.50231838120635</v>
      </c>
      <c r="T10" s="38">
        <f>'SER_se-appl'!T41</f>
        <v>547.35640927122768</v>
      </c>
      <c r="U10" s="38">
        <f>'SER_se-appl'!U41</f>
        <v>585.63677917272662</v>
      </c>
      <c r="V10" s="38">
        <f>'SER_se-appl'!V41</f>
        <v>688.45196944658392</v>
      </c>
      <c r="W10" s="38">
        <f>'SER_se-appl'!W41</f>
        <v>745.31808623443885</v>
      </c>
      <c r="X10" s="38">
        <f>'SER_se-appl'!X41</f>
        <v>670.74130246255845</v>
      </c>
      <c r="Y10" s="38">
        <f>'SER_se-appl'!Y41</f>
        <v>720.01051713109064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2301.1044839477222</v>
      </c>
      <c r="C12" s="204">
        <f>'SER_se-appl'!C49</f>
        <v>2394.2974064713403</v>
      </c>
      <c r="D12" s="204">
        <f>'SER_se-appl'!D49</f>
        <v>2488.6277349513616</v>
      </c>
      <c r="E12" s="204">
        <f>'SER_se-appl'!E49</f>
        <v>2562.2636908576515</v>
      </c>
      <c r="F12" s="204">
        <f>'SER_se-appl'!F49</f>
        <v>2630.608320306259</v>
      </c>
      <c r="G12" s="204">
        <f>'SER_se-appl'!G49</f>
        <v>2675.1098587138413</v>
      </c>
      <c r="H12" s="204">
        <f>'SER_se-appl'!H49</f>
        <v>2699.7155317777497</v>
      </c>
      <c r="I12" s="204">
        <f>'SER_se-appl'!I49</f>
        <v>2742.9326616428193</v>
      </c>
      <c r="J12" s="204">
        <f>'SER_se-appl'!J49</f>
        <v>2788.7178358229044</v>
      </c>
      <c r="K12" s="204">
        <f>'SER_se-appl'!K49</f>
        <v>2826.6136671302352</v>
      </c>
      <c r="L12" s="204">
        <f>'SER_se-appl'!L49</f>
        <v>2882.6382115436895</v>
      </c>
      <c r="M12" s="204">
        <f>'SER_se-appl'!M49</f>
        <v>2962.3998540367029</v>
      </c>
      <c r="N12" s="204">
        <f>'SER_se-appl'!N49</f>
        <v>2987.0822681116711</v>
      </c>
      <c r="O12" s="204">
        <f>'SER_se-appl'!O49</f>
        <v>2991.9940991138815</v>
      </c>
      <c r="P12" s="204">
        <f>'SER_se-appl'!P49</f>
        <v>2979.7484771415079</v>
      </c>
      <c r="Q12" s="204">
        <f>'SER_se-appl'!Q49</f>
        <v>2939.7196263136707</v>
      </c>
      <c r="R12" s="204">
        <f>'SER_se-appl'!R49</f>
        <v>2899.0680564415243</v>
      </c>
      <c r="S12" s="204">
        <f>'SER_se-appl'!S49</f>
        <v>2901.7710931715246</v>
      </c>
      <c r="T12" s="204">
        <f>'SER_se-appl'!T49</f>
        <v>2887.396902756384</v>
      </c>
      <c r="U12" s="204">
        <f>'SER_se-appl'!U49</f>
        <v>2879.6758865603292</v>
      </c>
      <c r="V12" s="204">
        <f>'SER_se-appl'!V49</f>
        <v>2790.9796522872266</v>
      </c>
      <c r="W12" s="204">
        <f>'SER_se-appl'!W49</f>
        <v>2799.8791032159347</v>
      </c>
      <c r="X12" s="204">
        <f>'SER_se-appl'!X49</f>
        <v>2835.3932509847127</v>
      </c>
      <c r="Y12" s="204">
        <f>'SER_se-appl'!Y49</f>
        <v>2850.2676577301809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363.5552288006844</v>
      </c>
      <c r="C14" s="59">
        <f>'SER_se-appl'!C57</f>
        <v>353.25662807922436</v>
      </c>
      <c r="D14" s="59">
        <f>'SER_se-appl'!D57</f>
        <v>341.60330736454972</v>
      </c>
      <c r="E14" s="59">
        <f>'SER_se-appl'!E57</f>
        <v>328.0860594634691</v>
      </c>
      <c r="F14" s="59">
        <f>'SER_se-appl'!F57</f>
        <v>314.09938814488663</v>
      </c>
      <c r="G14" s="59">
        <f>'SER_se-appl'!G57</f>
        <v>299.45695847836811</v>
      </c>
      <c r="H14" s="59">
        <f>'SER_se-appl'!H57</f>
        <v>283.67336457424682</v>
      </c>
      <c r="I14" s="59">
        <f>'SER_se-appl'!I57</f>
        <v>270.81188959624842</v>
      </c>
      <c r="J14" s="59">
        <f>'SER_se-appl'!J57</f>
        <v>258.53513487878871</v>
      </c>
      <c r="K14" s="59">
        <f>'SER_se-appl'!K57</f>
        <v>246.34891907600311</v>
      </c>
      <c r="L14" s="59">
        <f>'SER_se-appl'!L57</f>
        <v>232.78461310609322</v>
      </c>
      <c r="M14" s="59">
        <f>'SER_se-appl'!M57</f>
        <v>215.44543520022248</v>
      </c>
      <c r="N14" s="59">
        <f>'SER_se-appl'!N57</f>
        <v>202.82550523488314</v>
      </c>
      <c r="O14" s="59">
        <f>'SER_se-appl'!O57</f>
        <v>192.00174971597997</v>
      </c>
      <c r="P14" s="59">
        <f>'SER_se-appl'!P57</f>
        <v>184.47058983334117</v>
      </c>
      <c r="Q14" s="59">
        <f>'SER_se-appl'!Q57</f>
        <v>179.84617611785481</v>
      </c>
      <c r="R14" s="59">
        <f>'SER_se-appl'!R57</f>
        <v>176.87908970744223</v>
      </c>
      <c r="S14" s="59">
        <f>'SER_se-appl'!S57</f>
        <v>175.71081971083817</v>
      </c>
      <c r="T14" s="59">
        <f>'SER_se-appl'!T57</f>
        <v>174.63766509505129</v>
      </c>
      <c r="U14" s="59">
        <f>'SER_se-appl'!U57</f>
        <v>172.72941625982855</v>
      </c>
      <c r="V14" s="59">
        <f>'SER_se-appl'!V57</f>
        <v>169.78780865104474</v>
      </c>
      <c r="W14" s="59">
        <f>'SER_se-appl'!W57</f>
        <v>166.25941178199369</v>
      </c>
      <c r="X14" s="59">
        <f>'SER_se-appl'!X57</f>
        <v>162.7545597055219</v>
      </c>
      <c r="Y14" s="59">
        <f>'SER_se-appl'!Y57</f>
        <v>159.35278107984922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328.2928717105591</v>
      </c>
      <c r="D15" s="63">
        <f>'SER_se-appl'!D65</f>
        <v>314.01920362277031</v>
      </c>
      <c r="E15" s="63">
        <f>'SER_se-appl'!E65</f>
        <v>299.90197963415153</v>
      </c>
      <c r="F15" s="63">
        <f>'SER_se-appl'!F65</f>
        <v>286.85051868882732</v>
      </c>
      <c r="G15" s="63">
        <f>'SER_se-appl'!G65</f>
        <v>274.33554831905997</v>
      </c>
      <c r="H15" s="63">
        <f>'SER_se-appl'!H65</f>
        <v>260.95486035918708</v>
      </c>
      <c r="I15" s="63">
        <f>'SER_se-appl'!I65</f>
        <v>247.03888610052897</v>
      </c>
      <c r="J15" s="63">
        <f>'SER_se-appl'!J65</f>
        <v>234.54865710266407</v>
      </c>
      <c r="K15" s="63">
        <f>'SER_se-appl'!K65</f>
        <v>219.72389122678408</v>
      </c>
      <c r="L15" s="63">
        <f>'SER_se-appl'!L65</f>
        <v>202.45576401598581</v>
      </c>
      <c r="M15" s="63">
        <f>'SER_se-appl'!M65</f>
        <v>190.16116568756217</v>
      </c>
      <c r="N15" s="63">
        <f>'SER_se-appl'!N65</f>
        <v>182.38918701319656</v>
      </c>
      <c r="O15" s="63">
        <f>'SER_se-appl'!O65</f>
        <v>176.56572866834154</v>
      </c>
      <c r="P15" s="63">
        <f>'SER_se-appl'!P65</f>
        <v>175.97691820108867</v>
      </c>
      <c r="Q15" s="63">
        <f>'SER_se-appl'!Q65</f>
        <v>175.5314868688933</v>
      </c>
      <c r="R15" s="63">
        <f>'SER_se-appl'!R65</f>
        <v>175.3848802040813</v>
      </c>
      <c r="S15" s="63">
        <f>'SER_se-appl'!S65</f>
        <v>175.32708562225059</v>
      </c>
      <c r="T15" s="63">
        <f>'SER_se-appl'!T65</f>
        <v>171.27798501271423</v>
      </c>
      <c r="U15" s="63">
        <f>'SER_se-appl'!U65</f>
        <v>166.65523083514842</v>
      </c>
      <c r="V15" s="63">
        <f>'SER_se-appl'!V65</f>
        <v>162.09261349205335</v>
      </c>
      <c r="W15" s="63">
        <f>'SER_se-appl'!W65</f>
        <v>159.17494644919637</v>
      </c>
      <c r="X15" s="63">
        <f>'SER_se-appl'!X65</f>
        <v>156.25727940633942</v>
      </c>
      <c r="Y15" s="63">
        <f>'SER_se-appl'!Y65</f>
        <v>153.33961236348244</v>
      </c>
      <c r="DA15" s="105" t="s">
        <v>957</v>
      </c>
    </row>
    <row r="17" spans="1:105" ht="12" customHeight="1" x14ac:dyDescent="0.25">
      <c r="A17" s="197" t="s">
        <v>184</v>
      </c>
      <c r="B17" s="198">
        <v>19.345804345290116</v>
      </c>
      <c r="C17" s="198">
        <v>23.366673198871961</v>
      </c>
      <c r="D17" s="198">
        <v>27.407864040498993</v>
      </c>
      <c r="E17" s="198">
        <v>31.361899434665844</v>
      </c>
      <c r="F17" s="198">
        <v>35.163592829137031</v>
      </c>
      <c r="G17" s="198">
        <v>38.691608690580232</v>
      </c>
      <c r="H17" s="198">
        <v>41.601215702389375</v>
      </c>
      <c r="I17" s="198">
        <v>44.216658620802292</v>
      </c>
      <c r="J17" s="198">
        <v>46.677687200138102</v>
      </c>
      <c r="K17" s="198">
        <v>49.07940154674607</v>
      </c>
      <c r="L17" s="198">
        <v>51.588811587440226</v>
      </c>
      <c r="M17" s="198">
        <v>55.308624143375816</v>
      </c>
      <c r="N17" s="198">
        <v>56.571507884476134</v>
      </c>
      <c r="O17" s="198">
        <v>57.834391625576451</v>
      </c>
      <c r="P17" s="198">
        <v>59.097275366676747</v>
      </c>
      <c r="Q17" s="198">
        <v>60.360159107777122</v>
      </c>
      <c r="R17" s="198">
        <v>61.623042848877411</v>
      </c>
      <c r="S17" s="198">
        <v>62.885926589977785</v>
      </c>
      <c r="T17" s="198">
        <v>64.14881033107811</v>
      </c>
      <c r="U17" s="198">
        <v>65.411694072178392</v>
      </c>
      <c r="V17" s="198">
        <v>66.674577813278745</v>
      </c>
      <c r="W17" s="198">
        <v>67.937461554379055</v>
      </c>
      <c r="X17" s="198">
        <v>69.20034529547948</v>
      </c>
      <c r="Y17" s="198">
        <v>70.084877681385038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5732.3161272350344</v>
      </c>
      <c r="C3" s="219">
        <v>5937.141536291193</v>
      </c>
      <c r="D3" s="219">
        <v>5620.8729309780829</v>
      </c>
      <c r="E3" s="219">
        <v>5310.4201120928556</v>
      </c>
      <c r="F3" s="219">
        <v>5492.4132939964175</v>
      </c>
      <c r="G3" s="219">
        <v>4845.7092129918801</v>
      </c>
      <c r="H3" s="219">
        <v>5175.0582927632358</v>
      </c>
      <c r="I3" s="219">
        <v>5921.0675746307325</v>
      </c>
      <c r="J3" s="219">
        <v>5699.4517068204959</v>
      </c>
      <c r="K3" s="219">
        <v>4659.1620604325481</v>
      </c>
      <c r="L3" s="219">
        <v>5217.9925227367812</v>
      </c>
      <c r="M3" s="219">
        <v>6089.1829799004236</v>
      </c>
      <c r="N3" s="219">
        <v>5947.2919977889742</v>
      </c>
      <c r="O3" s="219">
        <v>5350.488115829874</v>
      </c>
      <c r="P3" s="219">
        <v>5376.5345911563154</v>
      </c>
      <c r="Q3" s="219">
        <v>4876.8311540000004</v>
      </c>
      <c r="R3" s="219">
        <v>5002.6307060948793</v>
      </c>
      <c r="S3" s="219">
        <v>5346.3247411444136</v>
      </c>
      <c r="T3" s="219">
        <v>5064.4661591252316</v>
      </c>
      <c r="U3" s="219">
        <v>4851.4300324812884</v>
      </c>
      <c r="V3" s="219">
        <v>4649.0373879934459</v>
      </c>
      <c r="W3" s="219">
        <v>5524.1445803129254</v>
      </c>
      <c r="X3" s="219">
        <v>6599.1857024978081</v>
      </c>
      <c r="Y3" s="219">
        <v>6137.6</v>
      </c>
      <c r="DA3" s="210" t="s">
        <v>974</v>
      </c>
    </row>
    <row r="5" spans="1:105" x14ac:dyDescent="0.25">
      <c r="A5" s="218" t="s">
        <v>120</v>
      </c>
      <c r="B5" s="219">
        <v>4694.5412848909227</v>
      </c>
      <c r="C5" s="219">
        <v>4950.566450201829</v>
      </c>
      <c r="D5" s="219">
        <v>4636.5757030069644</v>
      </c>
      <c r="E5" s="219">
        <v>4529.5941288279882</v>
      </c>
      <c r="F5" s="219">
        <v>4674.7806308670961</v>
      </c>
      <c r="G5" s="219">
        <v>3919.567626460725</v>
      </c>
      <c r="H5" s="219">
        <v>4018.8558791043752</v>
      </c>
      <c r="I5" s="219">
        <v>4364.4409124793392</v>
      </c>
      <c r="J5" s="219">
        <v>4216.6188808328952</v>
      </c>
      <c r="K5" s="219">
        <v>3721.147900794183</v>
      </c>
      <c r="L5" s="219">
        <v>4152.7485217336443</v>
      </c>
      <c r="M5" s="219">
        <v>4455.2796792736763</v>
      </c>
      <c r="N5" s="219">
        <v>4429.0440205968034</v>
      </c>
      <c r="O5" s="219">
        <v>4644.4670621556197</v>
      </c>
      <c r="P5" s="219">
        <v>4617.0508133515996</v>
      </c>
      <c r="Q5" s="219">
        <v>4576.5184057984679</v>
      </c>
      <c r="R5" s="219">
        <v>4612.2305652995628</v>
      </c>
      <c r="S5" s="219">
        <v>5059.6486886819066</v>
      </c>
      <c r="T5" s="219">
        <v>4606.846914704839</v>
      </c>
      <c r="U5" s="219">
        <v>4560.1249779770214</v>
      </c>
      <c r="V5" s="219">
        <v>4273.2217001505187</v>
      </c>
      <c r="W5" s="219">
        <v>4900.6982314752149</v>
      </c>
      <c r="X5" s="219">
        <v>5547.4662229006108</v>
      </c>
      <c r="Y5" s="219">
        <v>5238.221648022839</v>
      </c>
      <c r="DA5" s="210" t="s">
        <v>975</v>
      </c>
    </row>
    <row r="6" spans="1:105" x14ac:dyDescent="0.25">
      <c r="A6" s="220" t="s">
        <v>119</v>
      </c>
      <c r="B6" s="221">
        <v>5868.1766061136532</v>
      </c>
      <c r="C6" s="221">
        <v>5574.7677758079708</v>
      </c>
      <c r="D6" s="221">
        <v>5281.3589455022884</v>
      </c>
      <c r="E6" s="221">
        <v>5281.3589455022884</v>
      </c>
      <c r="F6" s="221">
        <v>4987.950115196606</v>
      </c>
      <c r="G6" s="221">
        <v>4987.950115196606</v>
      </c>
      <c r="H6" s="221">
        <v>4694.5412848909236</v>
      </c>
      <c r="I6" s="221">
        <v>4694.5412848909236</v>
      </c>
      <c r="J6" s="221">
        <v>4694.5412848909236</v>
      </c>
      <c r="K6" s="221">
        <v>4694.5412848909236</v>
      </c>
      <c r="L6" s="221">
        <v>4401.1324545852412</v>
      </c>
      <c r="M6" s="221">
        <v>4694.5412848909236</v>
      </c>
      <c r="N6" s="221">
        <v>4694.5412848909236</v>
      </c>
      <c r="O6" s="221">
        <v>4987.950115196606</v>
      </c>
      <c r="P6" s="221">
        <v>4987.950115196606</v>
      </c>
      <c r="Q6" s="221">
        <v>4987.950115196606</v>
      </c>
      <c r="R6" s="221">
        <v>4987.950115196606</v>
      </c>
      <c r="S6" s="221">
        <v>5574.7677758079717</v>
      </c>
      <c r="T6" s="221">
        <v>5281.3589455022893</v>
      </c>
      <c r="U6" s="221">
        <v>4987.9501151966069</v>
      </c>
      <c r="V6" s="221">
        <v>4987.9501151966069</v>
      </c>
      <c r="W6" s="221">
        <v>5281.3589455022893</v>
      </c>
      <c r="X6" s="221">
        <v>5868.176606113655</v>
      </c>
      <c r="Y6" s="221">
        <v>5574.7677758079726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293.40883030568273</v>
      </c>
      <c r="J7" s="225">
        <v>293.40883030568273</v>
      </c>
      <c r="K7" s="225">
        <v>0</v>
      </c>
      <c r="L7" s="225">
        <v>0</v>
      </c>
      <c r="M7" s="225">
        <v>293.40883030568273</v>
      </c>
      <c r="N7" s="225">
        <v>293.40883030568273</v>
      </c>
      <c r="O7" s="225">
        <v>586.81766061136534</v>
      </c>
      <c r="P7" s="225">
        <v>0</v>
      </c>
      <c r="Q7" s="225">
        <v>293.40883030568273</v>
      </c>
      <c r="R7" s="225">
        <v>293.40883030568273</v>
      </c>
      <c r="S7" s="225">
        <v>586.81766061136568</v>
      </c>
      <c r="T7" s="225">
        <v>0</v>
      </c>
      <c r="U7" s="225">
        <v>0</v>
      </c>
      <c r="V7" s="225">
        <v>0</v>
      </c>
      <c r="W7" s="225">
        <v>586.81766061136534</v>
      </c>
      <c r="X7" s="225">
        <v>880.22649091704807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293.40883030568239</v>
      </c>
      <c r="D8" s="227">
        <f t="shared" ref="D8" si="1">IF(C6=0,0,C6+D7-D6)</f>
        <v>293.40883030568239</v>
      </c>
      <c r="E8" s="227">
        <f t="shared" ref="E8" si="2">IF(D6=0,0,D6+E7-E6)</f>
        <v>0</v>
      </c>
      <c r="F8" s="227">
        <f t="shared" ref="F8" si="3">IF(E6=0,0,E6+F7-F6)</f>
        <v>293.40883030568239</v>
      </c>
      <c r="G8" s="227">
        <f t="shared" ref="G8" si="4">IF(F6=0,0,F6+G7-G6)</f>
        <v>0</v>
      </c>
      <c r="H8" s="227">
        <f t="shared" ref="H8" si="5">IF(G6=0,0,G6+H7-H6)</f>
        <v>293.40883030568239</v>
      </c>
      <c r="I8" s="227">
        <f t="shared" ref="I8" si="6">IF(H6=0,0,H6+I7-I6)</f>
        <v>293.40883030568239</v>
      </c>
      <c r="J8" s="227">
        <f t="shared" ref="J8" si="7">IF(I6=0,0,I6+J7-J6)</f>
        <v>293.40883030568239</v>
      </c>
      <c r="K8" s="227">
        <f t="shared" ref="K8" si="8">IF(J6=0,0,J6+K7-K6)</f>
        <v>0</v>
      </c>
      <c r="L8" s="227">
        <f t="shared" ref="L8" si="9">IF(K6=0,0,K6+L7-L6)</f>
        <v>293.40883030568239</v>
      </c>
      <c r="M8" s="227">
        <f t="shared" ref="M8" si="10">IF(L6=0,0,L6+M7-M6)</f>
        <v>0</v>
      </c>
      <c r="N8" s="227">
        <f t="shared" ref="N8" si="11">IF(M6=0,0,M6+N7-N6)</f>
        <v>293.40883030568239</v>
      </c>
      <c r="O8" s="227">
        <f t="shared" ref="O8" si="12">IF(N6=0,0,N6+O7-O6)</f>
        <v>293.4088303056833</v>
      </c>
      <c r="P8" s="227">
        <f t="shared" ref="P8" si="13">IF(O6=0,0,O6+P7-P6)</f>
        <v>0</v>
      </c>
      <c r="Q8" s="227">
        <f t="shared" ref="Q8" si="14">IF(P6=0,0,P6+Q7-Q6)</f>
        <v>293.40883030568239</v>
      </c>
      <c r="R8" s="227">
        <f t="shared" ref="R8" si="15">IF(Q6=0,0,Q6+R7-R6)</f>
        <v>293.40883030568239</v>
      </c>
      <c r="S8" s="227">
        <f t="shared" ref="S8" si="16">IF(R6=0,0,R6+S7-S6)</f>
        <v>0</v>
      </c>
      <c r="T8" s="227">
        <f t="shared" ref="T8" si="17">IF(S6=0,0,S6+T7-T6)</f>
        <v>293.40883030568239</v>
      </c>
      <c r="U8" s="227">
        <f t="shared" ref="U8" si="18">IF(T6=0,0,T6+U7-U6)</f>
        <v>293.40883030568239</v>
      </c>
      <c r="V8" s="227">
        <f t="shared" ref="V8" si="19">IF(U6=0,0,U6+V7-V6)</f>
        <v>0</v>
      </c>
      <c r="W8" s="227">
        <f t="shared" ref="W8" si="20">IF(V6=0,0,V6+W7-W6)</f>
        <v>293.4088303056833</v>
      </c>
      <c r="X8" s="227">
        <f t="shared" ref="X8" si="21">IF(W6=0,0,W6+X7-X6)</f>
        <v>293.40883030568239</v>
      </c>
      <c r="Y8" s="227">
        <f t="shared" ref="Y8" si="22">IF(X6=0,0,X6+Y7-Y6)</f>
        <v>293.40883030568239</v>
      </c>
      <c r="DA8" s="213" t="s">
        <v>978</v>
      </c>
    </row>
    <row r="9" spans="1:105" x14ac:dyDescent="0.25">
      <c r="A9" s="222" t="s">
        <v>116</v>
      </c>
      <c r="B9" s="223">
        <f>B6-B5</f>
        <v>1173.6353212227305</v>
      </c>
      <c r="C9" s="223">
        <f t="shared" ref="C9:W9" si="23">C6-C5</f>
        <v>624.20132560614184</v>
      </c>
      <c r="D9" s="223">
        <f t="shared" si="23"/>
        <v>644.78324249532398</v>
      </c>
      <c r="E9" s="223">
        <f t="shared" si="23"/>
        <v>751.76481667430016</v>
      </c>
      <c r="F9" s="223">
        <f t="shared" si="23"/>
        <v>313.16948432950994</v>
      </c>
      <c r="G9" s="223">
        <f t="shared" si="23"/>
        <v>1068.382488735881</v>
      </c>
      <c r="H9" s="223">
        <f t="shared" si="23"/>
        <v>675.68540578654847</v>
      </c>
      <c r="I9" s="223">
        <f t="shared" si="23"/>
        <v>330.10037241158443</v>
      </c>
      <c r="J9" s="223">
        <f t="shared" si="23"/>
        <v>477.92240405802841</v>
      </c>
      <c r="K9" s="223">
        <f t="shared" si="23"/>
        <v>973.39338409674065</v>
      </c>
      <c r="L9" s="223">
        <f t="shared" si="23"/>
        <v>248.38393285159691</v>
      </c>
      <c r="M9" s="223">
        <f t="shared" si="23"/>
        <v>239.26160561724737</v>
      </c>
      <c r="N9" s="223">
        <f t="shared" si="23"/>
        <v>265.49726429412021</v>
      </c>
      <c r="O9" s="223">
        <f t="shared" si="23"/>
        <v>343.48305304098631</v>
      </c>
      <c r="P9" s="223">
        <f t="shared" si="23"/>
        <v>370.89930184500645</v>
      </c>
      <c r="Q9" s="223">
        <f t="shared" si="23"/>
        <v>411.43170939813808</v>
      </c>
      <c r="R9" s="223">
        <f t="shared" si="23"/>
        <v>375.71954989704318</v>
      </c>
      <c r="S9" s="223">
        <f t="shared" si="23"/>
        <v>515.1190871260651</v>
      </c>
      <c r="T9" s="223">
        <f t="shared" si="23"/>
        <v>674.51203079745028</v>
      </c>
      <c r="U9" s="223">
        <f t="shared" si="23"/>
        <v>427.82513721958549</v>
      </c>
      <c r="V9" s="223">
        <f t="shared" si="23"/>
        <v>714.72841504608823</v>
      </c>
      <c r="W9" s="223">
        <f t="shared" si="23"/>
        <v>380.66071402707439</v>
      </c>
      <c r="X9" s="223">
        <f t="shared" ref="X9:Y9" si="24">X6-X5</f>
        <v>320.71038321304422</v>
      </c>
      <c r="Y9" s="223">
        <f t="shared" si="24"/>
        <v>336.54612778513365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528.00309544282027</v>
      </c>
      <c r="C12" s="229">
        <f t="shared" ref="C12:W12" si="25">SUM(C13,C14,C18,C19,C26,C27)</f>
        <v>543.66835769561476</v>
      </c>
      <c r="D12" s="229">
        <f t="shared" si="25"/>
        <v>527.68435081685288</v>
      </c>
      <c r="E12" s="229">
        <f t="shared" si="25"/>
        <v>541.45803955288034</v>
      </c>
      <c r="F12" s="229">
        <f t="shared" si="25"/>
        <v>548.38056749785039</v>
      </c>
      <c r="G12" s="229">
        <f t="shared" si="25"/>
        <v>526.37454858125534</v>
      </c>
      <c r="H12" s="229">
        <f t="shared" si="25"/>
        <v>522.68125537403273</v>
      </c>
      <c r="I12" s="229">
        <f t="shared" si="25"/>
        <v>514.19527085124662</v>
      </c>
      <c r="J12" s="229">
        <f t="shared" si="25"/>
        <v>520.73637145313842</v>
      </c>
      <c r="K12" s="229">
        <f t="shared" si="25"/>
        <v>512.8992261392948</v>
      </c>
      <c r="L12" s="229">
        <f t="shared" si="25"/>
        <v>533.52923473774717</v>
      </c>
      <c r="M12" s="229">
        <f t="shared" si="25"/>
        <v>516.90739466895957</v>
      </c>
      <c r="N12" s="229">
        <f t="shared" si="25"/>
        <v>524.00980223559759</v>
      </c>
      <c r="O12" s="229">
        <f t="shared" si="25"/>
        <v>547.55864144453994</v>
      </c>
      <c r="P12" s="229">
        <f t="shared" si="25"/>
        <v>527.32562338779019</v>
      </c>
      <c r="Q12" s="229">
        <f t="shared" si="25"/>
        <v>533.9757523645743</v>
      </c>
      <c r="R12" s="229">
        <f t="shared" si="25"/>
        <v>546.14574376612211</v>
      </c>
      <c r="S12" s="229">
        <f t="shared" si="25"/>
        <v>552.81650902837487</v>
      </c>
      <c r="T12" s="229">
        <f t="shared" si="25"/>
        <v>529.96947549441097</v>
      </c>
      <c r="U12" s="229">
        <f t="shared" si="25"/>
        <v>521.27033533963868</v>
      </c>
      <c r="V12" s="229">
        <f t="shared" si="25"/>
        <v>517.15717970765263</v>
      </c>
      <c r="W12" s="229">
        <f t="shared" si="25"/>
        <v>566.58409286328458</v>
      </c>
      <c r="X12" s="229">
        <f t="shared" ref="X12:Y12" si="26">SUM(X13,X14,X18,X19,X26,X27)</f>
        <v>548.79148753224422</v>
      </c>
      <c r="Y12" s="229">
        <f t="shared" si="26"/>
        <v>531.0452278589853</v>
      </c>
      <c r="DA12" s="210" t="s">
        <v>980</v>
      </c>
    </row>
    <row r="13" spans="1:105" x14ac:dyDescent="0.25">
      <c r="A13" s="58" t="s">
        <v>29</v>
      </c>
      <c r="B13" s="59">
        <v>4.1217540842648317</v>
      </c>
      <c r="C13" s="59">
        <v>4.1251074806534822</v>
      </c>
      <c r="D13" s="59">
        <v>2.9822871883061053</v>
      </c>
      <c r="E13" s="59">
        <v>2.2941530524505591</v>
      </c>
      <c r="F13" s="59">
        <v>2.293121238177128</v>
      </c>
      <c r="G13" s="59">
        <v>2.9866723989681856</v>
      </c>
      <c r="H13" s="59">
        <v>2.5380911435941531</v>
      </c>
      <c r="I13" s="59">
        <v>3.0977644024075657</v>
      </c>
      <c r="J13" s="59">
        <v>3.238005159071367</v>
      </c>
      <c r="K13" s="59">
        <v>1.2911435941530525</v>
      </c>
      <c r="L13" s="59">
        <v>1.3400687876182287</v>
      </c>
      <c r="M13" s="59">
        <v>0.88005159071367134</v>
      </c>
      <c r="N13" s="59">
        <v>0.9309544282029234</v>
      </c>
      <c r="O13" s="59">
        <v>0.71728288907996562</v>
      </c>
      <c r="P13" s="59">
        <v>0.58856405846947546</v>
      </c>
      <c r="Q13" s="59">
        <v>0.47867583834909722</v>
      </c>
      <c r="R13" s="59">
        <v>0.45932932072226995</v>
      </c>
      <c r="S13" s="59">
        <v>0.65889939810834042</v>
      </c>
      <c r="T13" s="59">
        <v>0.58417884780739471</v>
      </c>
      <c r="U13" s="59">
        <v>0.42252794496990531</v>
      </c>
      <c r="V13" s="59">
        <v>0.41805674978503865</v>
      </c>
      <c r="W13" s="59">
        <v>0.30085984522785897</v>
      </c>
      <c r="X13" s="59">
        <v>0.23121238177128117</v>
      </c>
      <c r="Y13" s="59">
        <v>0.19011177987962166</v>
      </c>
      <c r="DA13" s="9" t="s">
        <v>981</v>
      </c>
    </row>
    <row r="14" spans="1:105" x14ac:dyDescent="0.25">
      <c r="A14" s="60" t="s">
        <v>28</v>
      </c>
      <c r="B14" s="55">
        <f>SUM(B15:B17)</f>
        <v>312.33697334479791</v>
      </c>
      <c r="C14" s="55">
        <f t="shared" ref="C14:W14" si="27">SUM(C15:C17)</f>
        <v>310.68228718830613</v>
      </c>
      <c r="D14" s="55">
        <f t="shared" si="27"/>
        <v>299.19613069647465</v>
      </c>
      <c r="E14" s="55">
        <f t="shared" si="27"/>
        <v>305.04668959587269</v>
      </c>
      <c r="F14" s="55">
        <f t="shared" si="27"/>
        <v>301.93800515907134</v>
      </c>
      <c r="G14" s="55">
        <f t="shared" si="27"/>
        <v>274.21504729148751</v>
      </c>
      <c r="H14" s="55">
        <f t="shared" si="27"/>
        <v>262.81977644024079</v>
      </c>
      <c r="I14" s="55">
        <f t="shared" si="27"/>
        <v>253.73104041272563</v>
      </c>
      <c r="J14" s="55">
        <f t="shared" si="27"/>
        <v>251.8803955288048</v>
      </c>
      <c r="K14" s="55">
        <f t="shared" si="27"/>
        <v>236.01341358555459</v>
      </c>
      <c r="L14" s="55">
        <f t="shared" si="27"/>
        <v>234.01040412725709</v>
      </c>
      <c r="M14" s="55">
        <f t="shared" si="27"/>
        <v>229.35915735167674</v>
      </c>
      <c r="N14" s="55">
        <f t="shared" si="27"/>
        <v>228.31848667239896</v>
      </c>
      <c r="O14" s="55">
        <f t="shared" si="27"/>
        <v>233.77411865864144</v>
      </c>
      <c r="P14" s="55">
        <f t="shared" si="27"/>
        <v>232.57970765262255</v>
      </c>
      <c r="Q14" s="55">
        <f t="shared" si="27"/>
        <v>229.85107480653483</v>
      </c>
      <c r="R14" s="55">
        <f t="shared" si="27"/>
        <v>231.36147893379191</v>
      </c>
      <c r="S14" s="55">
        <f t="shared" si="27"/>
        <v>222.88675838349093</v>
      </c>
      <c r="T14" s="55">
        <f t="shared" si="27"/>
        <v>221.01074806534822</v>
      </c>
      <c r="U14" s="55">
        <f t="shared" si="27"/>
        <v>217.20533104041266</v>
      </c>
      <c r="V14" s="55">
        <f t="shared" si="27"/>
        <v>215.57884780739471</v>
      </c>
      <c r="W14" s="55">
        <f t="shared" si="27"/>
        <v>224.40773860705073</v>
      </c>
      <c r="X14" s="55">
        <f t="shared" ref="X14:Y14" si="28">SUM(X15:X17)</f>
        <v>223.3099742046432</v>
      </c>
      <c r="Y14" s="55">
        <f t="shared" si="28"/>
        <v>217.88417884780742</v>
      </c>
      <c r="DA14" s="10"/>
    </row>
    <row r="15" spans="1:105" x14ac:dyDescent="0.25">
      <c r="A15" s="61" t="s">
        <v>52</v>
      </c>
      <c r="B15" s="55">
        <v>5.4934651762682716</v>
      </c>
      <c r="C15" s="55">
        <v>4.3947549441100593</v>
      </c>
      <c r="D15" s="55">
        <v>3.2960447119518479</v>
      </c>
      <c r="E15" s="55">
        <v>3.2960447119518479</v>
      </c>
      <c r="F15" s="55">
        <v>3.2960447119518479</v>
      </c>
      <c r="G15" s="55">
        <v>4.8484952708512461</v>
      </c>
      <c r="H15" s="55">
        <v>4.7375752364574373</v>
      </c>
      <c r="I15" s="55">
        <v>4.9408426483233017</v>
      </c>
      <c r="J15" s="55">
        <v>5.0990541702493548</v>
      </c>
      <c r="K15" s="55">
        <v>3.5103181427343082</v>
      </c>
      <c r="L15" s="55">
        <v>3.7113499570077382</v>
      </c>
      <c r="M15" s="55">
        <v>2.665434221840068</v>
      </c>
      <c r="N15" s="55">
        <v>2.774806534823731</v>
      </c>
      <c r="O15" s="55">
        <v>3.136801375752365</v>
      </c>
      <c r="P15" s="55">
        <v>2.6800515907136711</v>
      </c>
      <c r="Q15" s="55">
        <v>2.7087704213241621</v>
      </c>
      <c r="R15" s="55">
        <v>2.7098022355975919</v>
      </c>
      <c r="S15" s="55">
        <v>3.2771281169389508</v>
      </c>
      <c r="T15" s="55">
        <v>3.01384350816853</v>
      </c>
      <c r="U15" s="55">
        <v>3.0832330180567489</v>
      </c>
      <c r="V15" s="55">
        <v>3.1438521066208081</v>
      </c>
      <c r="W15" s="55">
        <v>3.3101461736887354</v>
      </c>
      <c r="X15" s="55">
        <v>2.6536543422183998</v>
      </c>
      <c r="Y15" s="55">
        <v>2.5886500429922608</v>
      </c>
      <c r="DA15" s="10" t="s">
        <v>982</v>
      </c>
    </row>
    <row r="16" spans="1:105" x14ac:dyDescent="0.25">
      <c r="A16" s="61" t="s">
        <v>165</v>
      </c>
      <c r="B16" s="55">
        <v>247.38701633705929</v>
      </c>
      <c r="C16" s="55">
        <v>246.36474634565781</v>
      </c>
      <c r="D16" s="55">
        <v>246.36474634565781</v>
      </c>
      <c r="E16" s="55">
        <v>245.34247635425621</v>
      </c>
      <c r="F16" s="55">
        <v>244.32020636285469</v>
      </c>
      <c r="G16" s="55">
        <v>240.92106620808249</v>
      </c>
      <c r="H16" s="55">
        <v>232.3690455717971</v>
      </c>
      <c r="I16" s="55">
        <v>230.83559759243329</v>
      </c>
      <c r="J16" s="55">
        <v>228.45064488392089</v>
      </c>
      <c r="K16" s="55">
        <v>222.27721410146171</v>
      </c>
      <c r="L16" s="55">
        <v>222.63602751504729</v>
      </c>
      <c r="M16" s="55">
        <v>220.44961306964751</v>
      </c>
      <c r="N16" s="55">
        <v>219.37059329320721</v>
      </c>
      <c r="O16" s="55">
        <v>222.16466036113499</v>
      </c>
      <c r="P16" s="55">
        <v>220.32811693895101</v>
      </c>
      <c r="Q16" s="55">
        <v>218.89673258813411</v>
      </c>
      <c r="R16" s="55">
        <v>217.99019776440241</v>
      </c>
      <c r="S16" s="55">
        <v>217.26758383490969</v>
      </c>
      <c r="T16" s="55">
        <v>217.9969045571797</v>
      </c>
      <c r="U16" s="55">
        <v>214.12209802235591</v>
      </c>
      <c r="V16" s="55">
        <v>212.4349957007739</v>
      </c>
      <c r="W16" s="55">
        <v>216.56543422184006</v>
      </c>
      <c r="X16" s="55">
        <v>216.07497850386935</v>
      </c>
      <c r="Y16" s="55">
        <v>211.08383490971627</v>
      </c>
      <c r="DA16" s="10" t="s">
        <v>983</v>
      </c>
    </row>
    <row r="17" spans="1:105" x14ac:dyDescent="0.25">
      <c r="A17" s="61" t="s">
        <v>113</v>
      </c>
      <c r="B17" s="55">
        <v>59.456491831470338</v>
      </c>
      <c r="C17" s="55">
        <v>59.922785898538272</v>
      </c>
      <c r="D17" s="55">
        <v>49.535339638864997</v>
      </c>
      <c r="E17" s="55">
        <v>56.408168529664657</v>
      </c>
      <c r="F17" s="55">
        <v>54.321754084264818</v>
      </c>
      <c r="G17" s="55">
        <v>28.445485812553741</v>
      </c>
      <c r="H17" s="55">
        <v>25.71315563198624</v>
      </c>
      <c r="I17" s="55">
        <v>17.954600171969041</v>
      </c>
      <c r="J17" s="55">
        <v>18.330696474634561</v>
      </c>
      <c r="K17" s="55">
        <v>10.22588134135855</v>
      </c>
      <c r="L17" s="55">
        <v>7.6630266552020627</v>
      </c>
      <c r="M17" s="55">
        <v>6.2441100601891657</v>
      </c>
      <c r="N17" s="55">
        <v>6.1730868443680142</v>
      </c>
      <c r="O17" s="55">
        <v>8.4726569217540835</v>
      </c>
      <c r="P17" s="55">
        <v>9.5715391229578657</v>
      </c>
      <c r="Q17" s="55">
        <v>8.2455717970765257</v>
      </c>
      <c r="R17" s="55">
        <v>10.661478933791919</v>
      </c>
      <c r="S17" s="55">
        <v>2.342046431642304</v>
      </c>
      <c r="T17" s="55">
        <v>0</v>
      </c>
      <c r="U17" s="55">
        <v>0</v>
      </c>
      <c r="V17" s="55">
        <v>0</v>
      </c>
      <c r="W17" s="55">
        <v>4.5321582115219261</v>
      </c>
      <c r="X17" s="55">
        <v>4.5813413585554592</v>
      </c>
      <c r="Y17" s="55">
        <v>4.2116938950988816</v>
      </c>
      <c r="DA17" s="10" t="s">
        <v>984</v>
      </c>
    </row>
    <row r="18" spans="1:105" x14ac:dyDescent="0.25">
      <c r="A18" s="60" t="s">
        <v>149</v>
      </c>
      <c r="B18" s="55">
        <v>12.85468615649183</v>
      </c>
      <c r="C18" s="55">
        <v>14.380911435941529</v>
      </c>
      <c r="D18" s="55">
        <v>13.43508168529665</v>
      </c>
      <c r="E18" s="55">
        <v>14.20894239036973</v>
      </c>
      <c r="F18" s="55">
        <v>13.86500429922614</v>
      </c>
      <c r="G18" s="55">
        <v>18.400171969045569</v>
      </c>
      <c r="H18" s="55">
        <v>17.325709372312978</v>
      </c>
      <c r="I18" s="55">
        <v>17.643594153052451</v>
      </c>
      <c r="J18" s="55">
        <v>17.978159931212382</v>
      </c>
      <c r="K18" s="55">
        <v>17.761994840928629</v>
      </c>
      <c r="L18" s="55">
        <v>20.1323301805675</v>
      </c>
      <c r="M18" s="55">
        <v>17.107394668959589</v>
      </c>
      <c r="N18" s="55">
        <v>10.976612209802241</v>
      </c>
      <c r="O18" s="55">
        <v>12.13198624247635</v>
      </c>
      <c r="P18" s="55">
        <v>13.381513327601031</v>
      </c>
      <c r="Q18" s="55">
        <v>14.778933791917449</v>
      </c>
      <c r="R18" s="55">
        <v>17.701117798796211</v>
      </c>
      <c r="S18" s="55">
        <v>24.202665520206359</v>
      </c>
      <c r="T18" s="55">
        <v>21.59054170249355</v>
      </c>
      <c r="U18" s="55">
        <v>26.121193765663396</v>
      </c>
      <c r="V18" s="55">
        <v>21.732629682911874</v>
      </c>
      <c r="W18" s="55">
        <v>23.342015277996111</v>
      </c>
      <c r="X18" s="55">
        <v>20.24480673975572</v>
      </c>
      <c r="Y18" s="55">
        <v>11.184947667572798</v>
      </c>
      <c r="DA18" s="10" t="s">
        <v>985</v>
      </c>
    </row>
    <row r="19" spans="1:105" x14ac:dyDescent="0.25">
      <c r="A19" s="60" t="s">
        <v>51</v>
      </c>
      <c r="B19" s="55">
        <f>SUM(B20:B25)</f>
        <v>120.42467755803958</v>
      </c>
      <c r="C19" s="55">
        <f t="shared" ref="C19:W19" si="29">SUM(C20:C25)</f>
        <v>136.0000859845228</v>
      </c>
      <c r="D19" s="55">
        <f t="shared" si="29"/>
        <v>130.45245055889936</v>
      </c>
      <c r="E19" s="55">
        <f t="shared" si="29"/>
        <v>137.79785038693029</v>
      </c>
      <c r="F19" s="55">
        <f t="shared" si="29"/>
        <v>148.03542562338774</v>
      </c>
      <c r="G19" s="55">
        <f t="shared" si="29"/>
        <v>143.87437661220983</v>
      </c>
      <c r="H19" s="55">
        <f t="shared" si="29"/>
        <v>149.34703353396387</v>
      </c>
      <c r="I19" s="55">
        <f t="shared" si="29"/>
        <v>144.06680997420463</v>
      </c>
      <c r="J19" s="55">
        <f t="shared" si="29"/>
        <v>147.37575236457437</v>
      </c>
      <c r="K19" s="55">
        <f t="shared" si="29"/>
        <v>152.8214101461736</v>
      </c>
      <c r="L19" s="55">
        <f t="shared" si="29"/>
        <v>169.72218400687873</v>
      </c>
      <c r="M19" s="55">
        <f t="shared" si="29"/>
        <v>163.57558039552879</v>
      </c>
      <c r="N19" s="55">
        <f t="shared" si="29"/>
        <v>175.10507308684441</v>
      </c>
      <c r="O19" s="55">
        <f t="shared" si="29"/>
        <v>190.1650042992261</v>
      </c>
      <c r="P19" s="55">
        <f t="shared" si="29"/>
        <v>176.27807394668955</v>
      </c>
      <c r="Q19" s="55">
        <f t="shared" si="29"/>
        <v>180.75331040412723</v>
      </c>
      <c r="R19" s="55">
        <f t="shared" si="29"/>
        <v>184.05975924333617</v>
      </c>
      <c r="S19" s="55">
        <f t="shared" si="29"/>
        <v>191.28727429062766</v>
      </c>
      <c r="T19" s="55">
        <f t="shared" si="29"/>
        <v>173.9723989681857</v>
      </c>
      <c r="U19" s="55">
        <f t="shared" si="29"/>
        <v>162.05559041318438</v>
      </c>
      <c r="V19" s="55">
        <f t="shared" si="29"/>
        <v>157.48929637039853</v>
      </c>
      <c r="W19" s="55">
        <f t="shared" si="29"/>
        <v>185.4155943522704</v>
      </c>
      <c r="X19" s="55">
        <f t="shared" ref="X19:Y19" si="30">SUM(X20:X25)</f>
        <v>175.42277709515398</v>
      </c>
      <c r="Y19" s="55">
        <f t="shared" si="30"/>
        <v>171.21539627051826</v>
      </c>
      <c r="DA19" s="10"/>
    </row>
    <row r="20" spans="1:105" x14ac:dyDescent="0.25">
      <c r="A20" s="61" t="s">
        <v>164</v>
      </c>
      <c r="B20" s="55">
        <v>118.2287188306105</v>
      </c>
      <c r="C20" s="55">
        <v>133.63430782459159</v>
      </c>
      <c r="D20" s="55">
        <v>127.9736027515047</v>
      </c>
      <c r="E20" s="55">
        <v>135.21066208082539</v>
      </c>
      <c r="F20" s="55">
        <v>143.90464316423041</v>
      </c>
      <c r="G20" s="55">
        <v>137.27558039552881</v>
      </c>
      <c r="H20" s="55">
        <v>135.5011177987962</v>
      </c>
      <c r="I20" s="55">
        <v>129.05064488392091</v>
      </c>
      <c r="J20" s="55">
        <v>132.43086844368011</v>
      </c>
      <c r="K20" s="55">
        <v>134.76981943250209</v>
      </c>
      <c r="L20" s="55">
        <v>152.08865004299221</v>
      </c>
      <c r="M20" s="55">
        <v>146.3748925193465</v>
      </c>
      <c r="N20" s="55">
        <v>158.60877042132421</v>
      </c>
      <c r="O20" s="55">
        <v>173.83938091143591</v>
      </c>
      <c r="P20" s="55">
        <v>160.06182287188301</v>
      </c>
      <c r="Q20" s="55">
        <v>164.24316423043851</v>
      </c>
      <c r="R20" s="55">
        <v>168.3504729148753</v>
      </c>
      <c r="S20" s="55">
        <v>175.94213241616509</v>
      </c>
      <c r="T20" s="55">
        <v>159.61994840928631</v>
      </c>
      <c r="U20" s="55">
        <v>148.11805674978501</v>
      </c>
      <c r="V20" s="55">
        <v>149.44866723989679</v>
      </c>
      <c r="W20" s="55">
        <v>177.16225279449694</v>
      </c>
      <c r="X20" s="55">
        <v>167.33619948409287</v>
      </c>
      <c r="Y20" s="55">
        <v>162.63637145313837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1.031814273430782E-3</v>
      </c>
      <c r="K21" s="55">
        <v>1.9776440240756661E-3</v>
      </c>
      <c r="L21" s="55">
        <v>1.805674978503869E-3</v>
      </c>
      <c r="M21" s="55">
        <v>5.9329320722269988E-3</v>
      </c>
      <c r="N21" s="55">
        <v>7.3946689595872734E-3</v>
      </c>
      <c r="O21" s="55">
        <v>9.2863284608770413E-3</v>
      </c>
      <c r="P21" s="55">
        <v>1.8056749785038691E-2</v>
      </c>
      <c r="Q21" s="55">
        <v>2.7773000859845229E-2</v>
      </c>
      <c r="R21" s="55">
        <v>4.7635425623387788E-2</v>
      </c>
      <c r="S21" s="55">
        <v>0.11573516766981939</v>
      </c>
      <c r="T21" s="55">
        <v>0.12123817712811689</v>
      </c>
      <c r="U21" s="55">
        <v>4.2434781198165655E-2</v>
      </c>
      <c r="V21" s="55">
        <v>3.3492415110477368E-2</v>
      </c>
      <c r="W21" s="55">
        <v>3.3565117532689578E-2</v>
      </c>
      <c r="X21" s="55">
        <v>3.292326884272926E-2</v>
      </c>
      <c r="Y21" s="55">
        <v>2.0985264499421858E-2</v>
      </c>
      <c r="DA21" s="10" t="s">
        <v>987</v>
      </c>
    </row>
    <row r="22" spans="1:105" x14ac:dyDescent="0.25">
      <c r="A22" s="61" t="s">
        <v>49</v>
      </c>
      <c r="B22" s="55">
        <v>1.45554600171969</v>
      </c>
      <c r="C22" s="55">
        <v>1.60146173688736</v>
      </c>
      <c r="D22" s="55">
        <v>1.690627687016337</v>
      </c>
      <c r="E22" s="55">
        <v>1.727343078245916</v>
      </c>
      <c r="F22" s="55">
        <v>3.2231298366294059</v>
      </c>
      <c r="G22" s="55">
        <v>5.5475494411006014</v>
      </c>
      <c r="H22" s="55">
        <v>12.615219260533102</v>
      </c>
      <c r="I22" s="55">
        <v>13.653740326741184</v>
      </c>
      <c r="J22" s="55">
        <v>13.555889939810834</v>
      </c>
      <c r="K22" s="55">
        <v>16.147807394668959</v>
      </c>
      <c r="L22" s="55">
        <v>15.505245055889946</v>
      </c>
      <c r="M22" s="55">
        <v>15.113671539122958</v>
      </c>
      <c r="N22" s="55">
        <v>15.205417024935509</v>
      </c>
      <c r="O22" s="55">
        <v>14.982115219260535</v>
      </c>
      <c r="P22" s="55">
        <v>14.898452278589851</v>
      </c>
      <c r="Q22" s="55">
        <v>14.998366294067065</v>
      </c>
      <c r="R22" s="55">
        <v>14.194840928632845</v>
      </c>
      <c r="S22" s="55">
        <v>13.693637145313843</v>
      </c>
      <c r="T22" s="55">
        <v>12.908512467755799</v>
      </c>
      <c r="U22" s="55">
        <v>12.549871023215816</v>
      </c>
      <c r="V22" s="55">
        <v>6.2875322441960444</v>
      </c>
      <c r="W22" s="55">
        <v>6.6231298366294062</v>
      </c>
      <c r="X22" s="55">
        <v>6.6142734307824593</v>
      </c>
      <c r="Y22" s="55">
        <v>7.264230438521067</v>
      </c>
      <c r="DA22" s="10" t="s">
        <v>988</v>
      </c>
    </row>
    <row r="23" spans="1:105" x14ac:dyDescent="0.25">
      <c r="A23" s="61" t="s">
        <v>26</v>
      </c>
      <c r="B23" s="55">
        <v>0.74041272570937233</v>
      </c>
      <c r="C23" s="55">
        <v>0.76431642304385194</v>
      </c>
      <c r="D23" s="55">
        <v>0.78822012037833178</v>
      </c>
      <c r="E23" s="55">
        <v>0.85984522785898532</v>
      </c>
      <c r="F23" s="55">
        <v>0.90765262252794487</v>
      </c>
      <c r="G23" s="55">
        <v>1.051246775580396</v>
      </c>
      <c r="H23" s="55">
        <v>1.2306964746345661</v>
      </c>
      <c r="I23" s="55">
        <v>1.3624247635425619</v>
      </c>
      <c r="J23" s="55">
        <v>1.387962166809974</v>
      </c>
      <c r="K23" s="55">
        <v>1.9018056749785039</v>
      </c>
      <c r="L23" s="55">
        <v>2.1264832330180572</v>
      </c>
      <c r="M23" s="55">
        <v>2.0810834049871021</v>
      </c>
      <c r="N23" s="55">
        <v>1.2834909716251071</v>
      </c>
      <c r="O23" s="55">
        <v>1.334221840068788</v>
      </c>
      <c r="P23" s="55">
        <v>1.299742046431642</v>
      </c>
      <c r="Q23" s="55">
        <v>1.484006878761823</v>
      </c>
      <c r="R23" s="55">
        <v>1.466809974204643</v>
      </c>
      <c r="S23" s="55">
        <v>1.535769561478934</v>
      </c>
      <c r="T23" s="55">
        <v>1.3226999140154769</v>
      </c>
      <c r="U23" s="55">
        <v>1.345227858985383</v>
      </c>
      <c r="V23" s="55">
        <v>1.719604471195185</v>
      </c>
      <c r="W23" s="55">
        <v>1.59664660361135</v>
      </c>
      <c r="X23" s="55">
        <v>1.439380911435941</v>
      </c>
      <c r="Y23" s="55">
        <v>1.293809114359415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5.3501289767841786</v>
      </c>
      <c r="C26" s="55">
        <v>5.5650902837489236</v>
      </c>
      <c r="D26" s="55">
        <v>5.7800515907136703</v>
      </c>
      <c r="E26" s="55">
        <v>6.1860705073086839</v>
      </c>
      <c r="F26" s="55">
        <v>6.4966466036113486</v>
      </c>
      <c r="G26" s="55">
        <v>6.7650042992261392</v>
      </c>
      <c r="H26" s="55">
        <v>6.178933791917455</v>
      </c>
      <c r="I26" s="55">
        <v>6.8457437661220979</v>
      </c>
      <c r="J26" s="55">
        <v>7.1152192605331033</v>
      </c>
      <c r="K26" s="55">
        <v>7.5239036973344797</v>
      </c>
      <c r="L26" s="55">
        <v>8.4370593293207214</v>
      </c>
      <c r="M26" s="55">
        <v>8.2694754944110063</v>
      </c>
      <c r="N26" s="55">
        <v>9.3163370593293209</v>
      </c>
      <c r="O26" s="55">
        <v>10.612295786758381</v>
      </c>
      <c r="P26" s="55">
        <v>9.6785038693035261</v>
      </c>
      <c r="Q26" s="55">
        <v>10.627515047291491</v>
      </c>
      <c r="R26" s="55">
        <v>11.013241616509029</v>
      </c>
      <c r="S26" s="55">
        <v>11.66500429922614</v>
      </c>
      <c r="T26" s="55">
        <v>10.97454858125537</v>
      </c>
      <c r="U26" s="55">
        <v>10.846431642304379</v>
      </c>
      <c r="V26" s="55">
        <v>11.80877042132416</v>
      </c>
      <c r="W26" s="55">
        <v>12.856491831470336</v>
      </c>
      <c r="X26" s="55">
        <v>10.573344797936368</v>
      </c>
      <c r="Y26" s="55">
        <v>10.381255374032676</v>
      </c>
      <c r="DA26" s="10" t="s">
        <v>992</v>
      </c>
    </row>
    <row r="27" spans="1:105" x14ac:dyDescent="0.25">
      <c r="A27" s="62" t="s">
        <v>24</v>
      </c>
      <c r="B27" s="63">
        <v>72.914875322441958</v>
      </c>
      <c r="C27" s="63">
        <v>72.914875322441958</v>
      </c>
      <c r="D27" s="63">
        <v>75.838349097162506</v>
      </c>
      <c r="E27" s="63">
        <v>75.924333619948399</v>
      </c>
      <c r="F27" s="63">
        <v>75.752364574376614</v>
      </c>
      <c r="G27" s="63">
        <v>80.133276010318141</v>
      </c>
      <c r="H27" s="63">
        <v>84.471711092003432</v>
      </c>
      <c r="I27" s="63">
        <v>88.810318142734303</v>
      </c>
      <c r="J27" s="63">
        <v>93.148839208942377</v>
      </c>
      <c r="K27" s="63">
        <v>97.487360275150465</v>
      </c>
      <c r="L27" s="63">
        <v>99.887188306104903</v>
      </c>
      <c r="M27" s="63">
        <v>97.715735167669806</v>
      </c>
      <c r="N27" s="63">
        <v>99.36233877901978</v>
      </c>
      <c r="O27" s="63">
        <v>100.1579535683577</v>
      </c>
      <c r="P27" s="63">
        <v>94.819260533104043</v>
      </c>
      <c r="Q27" s="63">
        <v>97.486242476354263</v>
      </c>
      <c r="R27" s="63">
        <v>101.55081685296651</v>
      </c>
      <c r="S27" s="63">
        <v>102.11590713671541</v>
      </c>
      <c r="T27" s="63">
        <v>101.8370593293207</v>
      </c>
      <c r="U27" s="63">
        <v>104.619260533104</v>
      </c>
      <c r="V27" s="63">
        <v>110.1295786758383</v>
      </c>
      <c r="W27" s="63">
        <v>120.26139294926909</v>
      </c>
      <c r="X27" s="63">
        <v>119.00937231298367</v>
      </c>
      <c r="Y27" s="63">
        <v>120.18933791917458</v>
      </c>
      <c r="DA27" s="11" t="s">
        <v>993</v>
      </c>
    </row>
    <row r="29" spans="1:105" x14ac:dyDescent="0.25">
      <c r="A29" s="218" t="s">
        <v>84</v>
      </c>
      <c r="B29" s="219">
        <v>1022.3126224557517</v>
      </c>
      <c r="C29" s="219">
        <v>1021.349091651472</v>
      </c>
      <c r="D29" s="219">
        <v>977.77010221827459</v>
      </c>
      <c r="E29" s="219">
        <v>995.65633852238818</v>
      </c>
      <c r="F29" s="219">
        <v>984.91124325293583</v>
      </c>
      <c r="G29" s="219">
        <v>907.80711750294552</v>
      </c>
      <c r="H29" s="219">
        <v>867.90106737628116</v>
      </c>
      <c r="I29" s="219">
        <v>841.33827326527171</v>
      </c>
      <c r="J29" s="219">
        <v>836.95896329929519</v>
      </c>
      <c r="K29" s="219">
        <v>779.14967717102843</v>
      </c>
      <c r="L29" s="219">
        <v>778.29571323154437</v>
      </c>
      <c r="M29" s="219">
        <v>755.10397944243687</v>
      </c>
      <c r="N29" s="219">
        <v>737.61531913348301</v>
      </c>
      <c r="O29" s="219">
        <v>756.46326361563649</v>
      </c>
      <c r="P29" s="219">
        <v>755.54631566944749</v>
      </c>
      <c r="Q29" s="219">
        <v>749.70847942217279</v>
      </c>
      <c r="R29" s="219">
        <v>761.52041591790146</v>
      </c>
      <c r="S29" s="219">
        <v>749.8266903450849</v>
      </c>
      <c r="T29" s="219">
        <v>737.34239915927424</v>
      </c>
      <c r="U29" s="219">
        <v>735.54944429316924</v>
      </c>
      <c r="V29" s="219">
        <v>720.14208885123492</v>
      </c>
      <c r="W29" s="219">
        <v>749.79685118009434</v>
      </c>
      <c r="X29" s="219">
        <v>739.1463459326194</v>
      </c>
      <c r="Y29" s="219">
        <v>700.98703217302966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92.109905267471873</v>
      </c>
      <c r="C31" s="59">
        <f t="shared" si="31"/>
        <v>91.570725469892182</v>
      </c>
      <c r="D31" s="59">
        <f t="shared" si="31"/>
        <v>93.879430703485241</v>
      </c>
      <c r="E31" s="59">
        <f t="shared" si="31"/>
        <v>101.96143207575527</v>
      </c>
      <c r="F31" s="59">
        <f t="shared" si="31"/>
        <v>99.843281658586719</v>
      </c>
      <c r="G31" s="59">
        <f t="shared" si="31"/>
        <v>108.62693683103954</v>
      </c>
      <c r="H31" s="59">
        <f t="shared" si="31"/>
        <v>101.00007107261892</v>
      </c>
      <c r="I31" s="59">
        <f t="shared" si="31"/>
        <v>86.841648802380774</v>
      </c>
      <c r="J31" s="59">
        <f t="shared" si="31"/>
        <v>91.366046812884946</v>
      </c>
      <c r="K31" s="59">
        <f t="shared" si="31"/>
        <v>110.08400641287807</v>
      </c>
      <c r="L31" s="59">
        <f t="shared" si="31"/>
        <v>102.24798759541279</v>
      </c>
      <c r="M31" s="59">
        <f t="shared" si="31"/>
        <v>84.889450091285084</v>
      </c>
      <c r="N31" s="59">
        <f t="shared" si="31"/>
        <v>88.108975047872008</v>
      </c>
      <c r="O31" s="59">
        <f t="shared" si="31"/>
        <v>102.3380726376237</v>
      </c>
      <c r="P31" s="59">
        <f t="shared" si="31"/>
        <v>98.079090620038187</v>
      </c>
      <c r="Q31" s="59">
        <f t="shared" si="31"/>
        <v>109.49235999827569</v>
      </c>
      <c r="R31" s="59">
        <f t="shared" si="31"/>
        <v>109.17170901716446</v>
      </c>
      <c r="S31" s="59">
        <f t="shared" si="31"/>
        <v>103.40122154832689</v>
      </c>
      <c r="T31" s="59">
        <f t="shared" si="31"/>
        <v>104.64468689153031</v>
      </c>
      <c r="U31" s="59">
        <f t="shared" si="31"/>
        <v>107.44673876560728</v>
      </c>
      <c r="V31" s="59">
        <f t="shared" si="31"/>
        <v>111.23962587249937</v>
      </c>
      <c r="W31" s="59">
        <f t="shared" si="31"/>
        <v>102.5650369258057</v>
      </c>
      <c r="X31" s="59">
        <f t="shared" si="31"/>
        <v>83.160485592112579</v>
      </c>
      <c r="Y31" s="59">
        <f t="shared" si="31"/>
        <v>86.523270962425912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112.47171201628667</v>
      </c>
      <c r="C32" s="55">
        <f t="shared" si="32"/>
        <v>109.81942433546166</v>
      </c>
      <c r="D32" s="55">
        <f t="shared" si="32"/>
        <v>113.80906613357637</v>
      </c>
      <c r="E32" s="55">
        <f t="shared" si="32"/>
        <v>119.53787119840253</v>
      </c>
      <c r="F32" s="55">
        <f t="shared" si="32"/>
        <v>117.30616060932354</v>
      </c>
      <c r="G32" s="55">
        <f t="shared" si="32"/>
        <v>134.29403412451359</v>
      </c>
      <c r="H32" s="55">
        <f t="shared" si="32"/>
        <v>130.05722800154635</v>
      </c>
      <c r="I32" s="55">
        <f t="shared" si="32"/>
        <v>117.81469406104162</v>
      </c>
      <c r="J32" s="55">
        <f t="shared" si="32"/>
        <v>123.49619118298854</v>
      </c>
      <c r="K32" s="55">
        <f t="shared" si="32"/>
        <v>137.83360398812144</v>
      </c>
      <c r="L32" s="55">
        <f t="shared" si="32"/>
        <v>128.47617233393541</v>
      </c>
      <c r="M32" s="55">
        <f t="shared" si="32"/>
        <v>116.0213122138336</v>
      </c>
      <c r="N32" s="55">
        <f t="shared" si="32"/>
        <v>118.3121684496124</v>
      </c>
      <c r="O32" s="55">
        <f t="shared" si="32"/>
        <v>117.89482713876832</v>
      </c>
      <c r="P32" s="55">
        <f t="shared" si="32"/>
        <v>114.21265320772918</v>
      </c>
      <c r="Q32" s="55">
        <f t="shared" si="32"/>
        <v>116.67728719019786</v>
      </c>
      <c r="R32" s="55">
        <f t="shared" si="32"/>
        <v>118.41249825520163</v>
      </c>
      <c r="S32" s="55">
        <f t="shared" si="32"/>
        <v>109.25986032686185</v>
      </c>
      <c r="T32" s="55">
        <f t="shared" si="32"/>
        <v>115.03952384499109</v>
      </c>
      <c r="U32" s="55">
        <f t="shared" si="32"/>
        <v>114.31053707016741</v>
      </c>
      <c r="V32" s="55">
        <f t="shared" si="32"/>
        <v>121.02278233994656</v>
      </c>
      <c r="W32" s="55">
        <f t="shared" si="32"/>
        <v>115.61293230102247</v>
      </c>
      <c r="X32" s="55">
        <f t="shared" si="32"/>
        <v>98.926512660278419</v>
      </c>
      <c r="Y32" s="55">
        <f t="shared" si="32"/>
        <v>101.37891512464498</v>
      </c>
      <c r="DA32" s="216"/>
    </row>
    <row r="33" spans="1:105" x14ac:dyDescent="0.25">
      <c r="A33" s="35" t="s">
        <v>111</v>
      </c>
      <c r="B33" s="55">
        <f>IF(AGR_ued!B$5=0,"",AGR_ued!B$5/B$5*1000)</f>
        <v>41.529081667490296</v>
      </c>
      <c r="C33" s="55">
        <f>IF(AGR_ued!C$5=0,"",AGR_ued!C$5/C$5*1000)</f>
        <v>40.274335262351975</v>
      </c>
      <c r="D33" s="55">
        <f>IF(AGR_ued!D$5=0,"",AGR_ued!D$5/D$5*1000)</f>
        <v>42.198999972423103</v>
      </c>
      <c r="E33" s="55">
        <f>IF(AGR_ued!E$5=0,"",AGR_ued!E$5/E$5*1000)</f>
        <v>44.084016444493201</v>
      </c>
      <c r="F33" s="55">
        <f>IF(AGR_ued!F$5=0,"",AGR_ued!F$5/F$5*1000)</f>
        <v>43.114020930658725</v>
      </c>
      <c r="G33" s="55">
        <f>IF(AGR_ued!G$5=0,"",AGR_ued!G$5/G$5*1000)</f>
        <v>50.340594579807053</v>
      </c>
      <c r="H33" s="55">
        <f>IF(AGR_ued!H$5=0,"",AGR_ued!H$5/H$5*1000)</f>
        <v>49.070551638864799</v>
      </c>
      <c r="I33" s="55">
        <f>IF(AGR_ued!I$5=0,"",AGR_ued!I$5/I$5*1000)</f>
        <v>44.992047378262029</v>
      </c>
      <c r="J33" s="55">
        <f>IF(AGR_ued!J$5=0,"",AGR_ued!J$5/J$5*1000)</f>
        <v>47.316750076181783</v>
      </c>
      <c r="K33" s="55">
        <f>IF(AGR_ued!K$5=0,"",AGR_ued!K$5/K$5*1000)</f>
        <v>53.32160327991636</v>
      </c>
      <c r="L33" s="55">
        <f>IF(AGR_ued!L$5=0,"",AGR_ued!L$5/L$5*1000)</f>
        <v>49.47346811698177</v>
      </c>
      <c r="M33" s="55">
        <f>IF(AGR_ued!M$5=0,"",AGR_ued!M$5/M$5*1000)</f>
        <v>44.753620496262954</v>
      </c>
      <c r="N33" s="55">
        <f>IF(AGR_ued!N$5=0,"",AGR_ued!N$5/N$5*1000)</f>
        <v>45.409709311329685</v>
      </c>
      <c r="O33" s="55">
        <f>IF(AGR_ued!O$5=0,"",AGR_ued!O$5/O$5*1000)</f>
        <v>44.911908232882155</v>
      </c>
      <c r="P33" s="55">
        <f>IF(AGR_ued!P$5=0,"",AGR_ued!P$5/P$5*1000)</f>
        <v>43.54388757022798</v>
      </c>
      <c r="Q33" s="55">
        <f>IF(AGR_ued!Q$5=0,"",AGR_ued!Q$5/Q$5*1000)</f>
        <v>44.59983858385705</v>
      </c>
      <c r="R33" s="55">
        <f>IF(AGR_ued!R$5=0,"",AGR_ued!R$5/R$5*1000)</f>
        <v>45.363662930848733</v>
      </c>
      <c r="S33" s="55">
        <f>IF(AGR_ued!S$5=0,"",AGR_ued!S$5/S$5*1000)</f>
        <v>41.935037305162766</v>
      </c>
      <c r="T33" s="55">
        <f>IF(AGR_ued!T$5=0,"",AGR_ued!T$5/T$5*1000)</f>
        <v>44.538877569456844</v>
      </c>
      <c r="U33" s="55">
        <f>IF(AGR_ued!U$5=0,"",AGR_ued!U$5/U$5*1000)</f>
        <v>44.729698435379774</v>
      </c>
      <c r="V33" s="55">
        <f>IF(AGR_ued!V$5=0,"",AGR_ued!V$5/V$5*1000)</f>
        <v>47.696709246852897</v>
      </c>
      <c r="W33" s="55">
        <f>IF(AGR_ued!W$5=0,"",AGR_ued!W$5/W$5*1000)</f>
        <v>45.255516997321415</v>
      </c>
      <c r="X33" s="55">
        <f>IF(AGR_ued!X$5=0,"",AGR_ued!X$5/X$5*1000)</f>
        <v>38.818091983283892</v>
      </c>
      <c r="Y33" s="55">
        <f>IF(AGR_ued!Y$5=0,"",AGR_ued!Y$5/Y$5*1000)</f>
        <v>39.947287826573891</v>
      </c>
      <c r="DA33" s="216"/>
    </row>
    <row r="34" spans="1:105" x14ac:dyDescent="0.25">
      <c r="A34" s="37" t="s">
        <v>110</v>
      </c>
      <c r="B34" s="217">
        <f t="shared" ref="B34:Y34" si="33">IF(B$12=0,"",B$29/B$12)</f>
        <v>1.9361867975383154</v>
      </c>
      <c r="C34" s="217">
        <f t="shared" si="33"/>
        <v>1.8786252265637609</v>
      </c>
      <c r="D34" s="217">
        <f t="shared" si="33"/>
        <v>1.8529450431961665</v>
      </c>
      <c r="E34" s="217">
        <f t="shared" si="33"/>
        <v>1.838843023449372</v>
      </c>
      <c r="F34" s="217">
        <f t="shared" si="33"/>
        <v>1.7960360042422485</v>
      </c>
      <c r="G34" s="217">
        <f t="shared" si="33"/>
        <v>1.7246409803623117</v>
      </c>
      <c r="H34" s="217">
        <f t="shared" si="33"/>
        <v>1.6604786539651355</v>
      </c>
      <c r="I34" s="217">
        <f t="shared" si="33"/>
        <v>1.6362232812301876</v>
      </c>
      <c r="J34" s="217">
        <f t="shared" si="33"/>
        <v>1.6072604280813405</v>
      </c>
      <c r="K34" s="217">
        <f t="shared" si="33"/>
        <v>1.5191087010129831</v>
      </c>
      <c r="L34" s="217">
        <f t="shared" si="33"/>
        <v>1.4587686345137405</v>
      </c>
      <c r="M34" s="217">
        <f t="shared" si="33"/>
        <v>1.4608109445329649</v>
      </c>
      <c r="N34" s="217">
        <f t="shared" si="33"/>
        <v>1.4076364907422996</v>
      </c>
      <c r="O34" s="217">
        <f t="shared" si="33"/>
        <v>1.3815200900125977</v>
      </c>
      <c r="P34" s="217">
        <f t="shared" si="33"/>
        <v>1.4327889299508323</v>
      </c>
      <c r="Q34" s="217">
        <f t="shared" si="33"/>
        <v>1.4040122161021011</v>
      </c>
      <c r="R34" s="217">
        <f t="shared" si="33"/>
        <v>1.3943538416441636</v>
      </c>
      <c r="S34" s="217">
        <f t="shared" si="33"/>
        <v>1.3563753580061733</v>
      </c>
      <c r="T34" s="217">
        <f t="shared" si="33"/>
        <v>1.3912922031432171</v>
      </c>
      <c r="U34" s="217">
        <f t="shared" si="33"/>
        <v>1.4110709826100405</v>
      </c>
      <c r="V34" s="217">
        <f t="shared" si="33"/>
        <v>1.392501384701512</v>
      </c>
      <c r="W34" s="217">
        <f t="shared" si="33"/>
        <v>1.3233637523971549</v>
      </c>
      <c r="X34" s="217">
        <f t="shared" si="33"/>
        <v>1.3468619006033524</v>
      </c>
      <c r="Y34" s="217">
        <f t="shared" si="33"/>
        <v>1.3200138056022057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528.00309544282027</v>
      </c>
      <c r="C5" s="80">
        <f t="shared" ref="C5:W5" si="1">SUM(C6:C9,C16:C17,C25:C27)</f>
        <v>543.66835769561487</v>
      </c>
      <c r="D5" s="80">
        <f t="shared" si="1"/>
        <v>527.68435081685243</v>
      </c>
      <c r="E5" s="80">
        <f t="shared" si="1"/>
        <v>541.45803955288</v>
      </c>
      <c r="F5" s="80">
        <f t="shared" si="1"/>
        <v>548.38056749785017</v>
      </c>
      <c r="G5" s="80">
        <f t="shared" si="1"/>
        <v>526.37454858125511</v>
      </c>
      <c r="H5" s="80">
        <f t="shared" si="1"/>
        <v>522.6812553740325</v>
      </c>
      <c r="I5" s="80">
        <f t="shared" si="1"/>
        <v>514.19527085124651</v>
      </c>
      <c r="J5" s="80">
        <f t="shared" si="1"/>
        <v>520.73637145313808</v>
      </c>
      <c r="K5" s="80">
        <f t="shared" si="1"/>
        <v>512.89922613929457</v>
      </c>
      <c r="L5" s="80">
        <f t="shared" si="1"/>
        <v>533.52923473774717</v>
      </c>
      <c r="M5" s="80">
        <f t="shared" si="1"/>
        <v>516.90739466895957</v>
      </c>
      <c r="N5" s="80">
        <f t="shared" si="1"/>
        <v>524.00980223559748</v>
      </c>
      <c r="O5" s="80">
        <f t="shared" si="1"/>
        <v>547.55864144453983</v>
      </c>
      <c r="P5" s="80">
        <f t="shared" si="1"/>
        <v>527.32562338779007</v>
      </c>
      <c r="Q5" s="80">
        <f t="shared" si="1"/>
        <v>533.97575236457408</v>
      </c>
      <c r="R5" s="80">
        <f t="shared" si="1"/>
        <v>546.14574376612211</v>
      </c>
      <c r="S5" s="80">
        <f t="shared" si="1"/>
        <v>552.81650902837475</v>
      </c>
      <c r="T5" s="80">
        <f t="shared" si="1"/>
        <v>529.96947549441086</v>
      </c>
      <c r="U5" s="80">
        <f t="shared" si="1"/>
        <v>521.27033533963834</v>
      </c>
      <c r="V5" s="80">
        <f t="shared" si="1"/>
        <v>517.15717970765252</v>
      </c>
      <c r="W5" s="80">
        <f t="shared" si="1"/>
        <v>566.58409286328435</v>
      </c>
      <c r="X5" s="80">
        <f t="shared" ref="X5:Y5" si="2">SUM(X6:X9,X16:X17,X25:X27)</f>
        <v>548.79148753224433</v>
      </c>
      <c r="Y5" s="80">
        <f t="shared" si="2"/>
        <v>531.04522785898519</v>
      </c>
      <c r="DA5" s="103"/>
    </row>
    <row r="6" spans="1:105" x14ac:dyDescent="0.25">
      <c r="A6" s="238" t="s">
        <v>125</v>
      </c>
      <c r="B6" s="239">
        <v>11.639768589783669</v>
      </c>
      <c r="C6" s="239">
        <v>11.675598071335861</v>
      </c>
      <c r="D6" s="239">
        <v>11.97756673805376</v>
      </c>
      <c r="E6" s="239">
        <v>12.01670326922882</v>
      </c>
      <c r="F6" s="239">
        <v>12.014285218330571</v>
      </c>
      <c r="G6" s="239">
        <v>12.51315811457806</v>
      </c>
      <c r="H6" s="239">
        <v>12.93855766090488</v>
      </c>
      <c r="I6" s="239">
        <v>13.388562355712059</v>
      </c>
      <c r="J6" s="239">
        <v>13.83082883004097</v>
      </c>
      <c r="K6" s="239">
        <v>14.215854447732109</v>
      </c>
      <c r="L6" s="239">
        <v>14.55985372247452</v>
      </c>
      <c r="M6" s="239">
        <v>14.22532041979907</v>
      </c>
      <c r="N6" s="239">
        <v>14.314355102096419</v>
      </c>
      <c r="O6" s="239">
        <v>14.52853196389213</v>
      </c>
      <c r="P6" s="239">
        <v>13.92727987575331</v>
      </c>
      <c r="Q6" s="239">
        <v>14.23680185904758</v>
      </c>
      <c r="R6" s="239">
        <v>14.69668782824021</v>
      </c>
      <c r="S6" s="239">
        <v>14.868487339064741</v>
      </c>
      <c r="T6" s="239">
        <v>14.72651791634765</v>
      </c>
      <c r="U6" s="239">
        <v>14.98426676556905</v>
      </c>
      <c r="V6" s="239">
        <v>15.35548430818258</v>
      </c>
      <c r="W6" s="239">
        <v>16.54384519327122</v>
      </c>
      <c r="X6" s="239">
        <v>16.251157734491461</v>
      </c>
      <c r="Y6" s="239">
        <v>16.073580820037179</v>
      </c>
      <c r="DA6" s="267" t="s">
        <v>995</v>
      </c>
    </row>
    <row r="7" spans="1:105" x14ac:dyDescent="0.25">
      <c r="A7" s="240" t="s">
        <v>124</v>
      </c>
      <c r="B7" s="241">
        <v>7.5658495833593866</v>
      </c>
      <c r="C7" s="241">
        <v>7.5891387463683078</v>
      </c>
      <c r="D7" s="241">
        <v>7.7854183797349377</v>
      </c>
      <c r="E7" s="241">
        <v>7.8108571249987309</v>
      </c>
      <c r="F7" s="241">
        <v>7.8092853919148704</v>
      </c>
      <c r="G7" s="241">
        <v>8.1335527744757385</v>
      </c>
      <c r="H7" s="241">
        <v>8.4100624795881718</v>
      </c>
      <c r="I7" s="241">
        <v>8.7025655312128372</v>
      </c>
      <c r="J7" s="241">
        <v>8.9900387395266304</v>
      </c>
      <c r="K7" s="241">
        <v>9.2403053910258741</v>
      </c>
      <c r="L7" s="241">
        <v>9.4639049196084333</v>
      </c>
      <c r="M7" s="241">
        <v>9.2464582728693969</v>
      </c>
      <c r="N7" s="241">
        <v>9.3043308163626683</v>
      </c>
      <c r="O7" s="241">
        <v>9.443545776529886</v>
      </c>
      <c r="P7" s="241">
        <v>9.0527319192396529</v>
      </c>
      <c r="Q7" s="241">
        <v>9.2539212083809232</v>
      </c>
      <c r="R7" s="241">
        <v>9.5528470883561383</v>
      </c>
      <c r="S7" s="241">
        <v>9.6645167703920816</v>
      </c>
      <c r="T7" s="241">
        <v>9.5722366456259689</v>
      </c>
      <c r="U7" s="241">
        <v>9.7397733976198761</v>
      </c>
      <c r="V7" s="241">
        <v>9.9810648003186699</v>
      </c>
      <c r="W7" s="241">
        <v>10.753499375626291</v>
      </c>
      <c r="X7" s="241">
        <v>10.563252527419451</v>
      </c>
      <c r="Y7" s="241">
        <v>10.447827533024171</v>
      </c>
      <c r="DA7" s="268" t="s">
        <v>996</v>
      </c>
    </row>
    <row r="8" spans="1:105" x14ac:dyDescent="0.25">
      <c r="A8" s="240" t="s">
        <v>123</v>
      </c>
      <c r="B8" s="241">
        <v>10.475791730805311</v>
      </c>
      <c r="C8" s="241">
        <v>10.50803826420227</v>
      </c>
      <c r="D8" s="241">
        <v>10.77981006424837</v>
      </c>
      <c r="E8" s="241">
        <v>10.81503294230594</v>
      </c>
      <c r="F8" s="241">
        <v>10.81285669649751</v>
      </c>
      <c r="G8" s="241">
        <v>11.261842303120259</v>
      </c>
      <c r="H8" s="241">
        <v>11.644701894814389</v>
      </c>
      <c r="I8" s="241">
        <v>12.049706120140851</v>
      </c>
      <c r="J8" s="241">
        <v>12.44774594703687</v>
      </c>
      <c r="K8" s="241">
        <v>12.794269002958901</v>
      </c>
      <c r="L8" s="241">
        <v>13.103868350227071</v>
      </c>
      <c r="M8" s="241">
        <v>12.80278837781916</v>
      </c>
      <c r="N8" s="241">
        <v>12.882919591886781</v>
      </c>
      <c r="O8" s="241">
        <v>13.07567876750292</v>
      </c>
      <c r="P8" s="241">
        <v>12.53455188817798</v>
      </c>
      <c r="Q8" s="241">
        <v>12.81312167314282</v>
      </c>
      <c r="R8" s="241">
        <v>13.22701904541619</v>
      </c>
      <c r="S8" s="241">
        <v>13.381638605158271</v>
      </c>
      <c r="T8" s="241">
        <v>13.25386612471288</v>
      </c>
      <c r="U8" s="241">
        <v>13.485840089012139</v>
      </c>
      <c r="V8" s="241">
        <v>13.819935877364321</v>
      </c>
      <c r="W8" s="241">
        <v>14.8894606739441</v>
      </c>
      <c r="X8" s="241">
        <v>14.62604196104231</v>
      </c>
      <c r="Y8" s="241">
        <v>14.46622273803346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88.293064644099289</v>
      </c>
      <c r="C9" s="243">
        <f t="shared" ref="C9:W9" si="4">SUM(C10:C15)</f>
        <v>89.698287812952955</v>
      </c>
      <c r="D9" s="243">
        <f t="shared" si="4"/>
        <v>88.881401030005037</v>
      </c>
      <c r="E9" s="243">
        <f t="shared" si="4"/>
        <v>90.092658976876635</v>
      </c>
      <c r="F9" s="243">
        <f t="shared" si="4"/>
        <v>90.685296946036914</v>
      </c>
      <c r="G9" s="243">
        <f t="shared" si="4"/>
        <v>90.713947594936826</v>
      </c>
      <c r="H9" s="243">
        <f t="shared" si="4"/>
        <v>90.454568560263127</v>
      </c>
      <c r="I9" s="243">
        <f t="shared" si="4"/>
        <v>90.83275703398472</v>
      </c>
      <c r="J9" s="243">
        <f t="shared" si="4"/>
        <v>92.018022845364669</v>
      </c>
      <c r="K9" s="243">
        <f t="shared" si="4"/>
        <v>92.069672509763905</v>
      </c>
      <c r="L9" s="243">
        <f t="shared" si="4"/>
        <v>95.00189320670809</v>
      </c>
      <c r="M9" s="243">
        <f t="shared" si="4"/>
        <v>92.379300379157513</v>
      </c>
      <c r="N9" s="243">
        <f t="shared" si="4"/>
        <v>92.339889750981442</v>
      </c>
      <c r="O9" s="243">
        <f t="shared" si="4"/>
        <v>95.271636221343073</v>
      </c>
      <c r="P9" s="243">
        <f t="shared" si="4"/>
        <v>92.33990808887809</v>
      </c>
      <c r="Q9" s="243">
        <f t="shared" si="4"/>
        <v>93.95444455563198</v>
      </c>
      <c r="R9" s="243">
        <f t="shared" si="4"/>
        <v>96.216450405244316</v>
      </c>
      <c r="S9" s="243">
        <f t="shared" si="4"/>
        <v>98.284214059760686</v>
      </c>
      <c r="T9" s="243">
        <f t="shared" si="4"/>
        <v>95.676256393281392</v>
      </c>
      <c r="U9" s="243">
        <f t="shared" si="4"/>
        <v>95.886599149000958</v>
      </c>
      <c r="V9" s="243">
        <f t="shared" si="4"/>
        <v>95.811767133579934</v>
      </c>
      <c r="W9" s="243">
        <f t="shared" si="4"/>
        <v>103.04461918787605</v>
      </c>
      <c r="X9" s="243">
        <f t="shared" ref="X9:Y9" si="5">SUM(X10:X15)</f>
        <v>99.751790482602217</v>
      </c>
      <c r="Y9" s="243">
        <f t="shared" si="5"/>
        <v>96.683439871664504</v>
      </c>
      <c r="DA9" s="269"/>
    </row>
    <row r="10" spans="1:105" x14ac:dyDescent="0.25">
      <c r="A10" s="253" t="s">
        <v>166</v>
      </c>
      <c r="B10" s="254">
        <v>60.901305610369441</v>
      </c>
      <c r="C10" s="254">
        <v>61.195072214987192</v>
      </c>
      <c r="D10" s="254">
        <v>59.607562419663822</v>
      </c>
      <c r="E10" s="254">
        <v>59.855744885558593</v>
      </c>
      <c r="F10" s="254">
        <v>60.355984443747467</v>
      </c>
      <c r="G10" s="254">
        <v>56.476584681050127</v>
      </c>
      <c r="H10" s="254">
        <v>55.220686325699468</v>
      </c>
      <c r="I10" s="254">
        <v>53.058934316613971</v>
      </c>
      <c r="J10" s="254">
        <v>51.687011060645467</v>
      </c>
      <c r="K10" s="254">
        <v>49.115893915161983</v>
      </c>
      <c r="L10" s="254">
        <v>48.97326474086843</v>
      </c>
      <c r="M10" s="254">
        <v>48.582777559141903</v>
      </c>
      <c r="N10" s="254">
        <v>49.355684196265223</v>
      </c>
      <c r="O10" s="254">
        <v>50.456177516699981</v>
      </c>
      <c r="P10" s="254">
        <v>50.289103368352137</v>
      </c>
      <c r="Q10" s="254">
        <v>49.093364079177157</v>
      </c>
      <c r="R10" s="254">
        <v>47.756703478436172</v>
      </c>
      <c r="S10" s="254">
        <v>46.325562788550187</v>
      </c>
      <c r="T10" s="254">
        <v>45.817591940712987</v>
      </c>
      <c r="U10" s="254">
        <v>43.089304821465838</v>
      </c>
      <c r="V10" s="254">
        <v>40.328932625939693</v>
      </c>
      <c r="W10" s="254">
        <v>41.06979901727486</v>
      </c>
      <c r="X10" s="254">
        <v>41.491927160653312</v>
      </c>
      <c r="Y10" s="254">
        <v>40.833796444781278</v>
      </c>
      <c r="DA10" s="270" t="s">
        <v>998</v>
      </c>
    </row>
    <row r="11" spans="1:105" x14ac:dyDescent="0.25">
      <c r="A11" s="253" t="s">
        <v>169</v>
      </c>
      <c r="B11" s="255">
        <v>6.9266328946679243</v>
      </c>
      <c r="C11" s="255">
        <v>7.9772648203414196</v>
      </c>
      <c r="D11" s="255">
        <v>7.1252422021870929</v>
      </c>
      <c r="E11" s="255">
        <v>7.7415511993773416</v>
      </c>
      <c r="F11" s="255">
        <v>7.6508739260845804</v>
      </c>
      <c r="G11" s="255">
        <v>9.369566928486547</v>
      </c>
      <c r="H11" s="255">
        <v>8.6608218180693513</v>
      </c>
      <c r="I11" s="255">
        <v>8.4110757865883485</v>
      </c>
      <c r="J11" s="255">
        <v>8.5602603343201942</v>
      </c>
      <c r="K11" s="255">
        <v>8.1493227600478608</v>
      </c>
      <c r="L11" s="255">
        <v>9.5002705902870392</v>
      </c>
      <c r="M11" s="255">
        <v>7.9688537820958798</v>
      </c>
      <c r="N11" s="255">
        <v>5.2623902461570946</v>
      </c>
      <c r="O11" s="255">
        <v>6.0256967215936914</v>
      </c>
      <c r="P11" s="255">
        <v>6.5537353185275284</v>
      </c>
      <c r="Q11" s="255">
        <v>7.2088254344033267</v>
      </c>
      <c r="R11" s="255">
        <v>8.6631767942298303</v>
      </c>
      <c r="S11" s="255">
        <v>11.7764626207749</v>
      </c>
      <c r="T11" s="255">
        <v>10.066392985485001</v>
      </c>
      <c r="U11" s="255">
        <v>11.65374746362251</v>
      </c>
      <c r="V11" s="255">
        <v>9.5661459018536465</v>
      </c>
      <c r="W11" s="255">
        <v>10.836017566495229</v>
      </c>
      <c r="X11" s="255">
        <v>9.2745933145124546</v>
      </c>
      <c r="Y11" s="255">
        <v>5.0624557030070196</v>
      </c>
      <c r="DA11" s="271" t="s">
        <v>999</v>
      </c>
    </row>
    <row r="12" spans="1:105" x14ac:dyDescent="0.25">
      <c r="A12" s="253" t="s">
        <v>152</v>
      </c>
      <c r="B12" s="255">
        <v>0.39896478833435112</v>
      </c>
      <c r="C12" s="255">
        <v>0.42397552758155371</v>
      </c>
      <c r="D12" s="255">
        <v>0.41802940971167402</v>
      </c>
      <c r="E12" s="255">
        <v>0.46847511040104961</v>
      </c>
      <c r="F12" s="255">
        <v>0.50085348938758945</v>
      </c>
      <c r="G12" s="255">
        <v>0.53530624815497885</v>
      </c>
      <c r="H12" s="255">
        <v>0.61520383667344924</v>
      </c>
      <c r="I12" s="255">
        <v>0.64949679981720976</v>
      </c>
      <c r="J12" s="255">
        <v>0.66083713051581805</v>
      </c>
      <c r="K12" s="255">
        <v>0.87246410032546118</v>
      </c>
      <c r="L12" s="255">
        <v>1.003378851931964</v>
      </c>
      <c r="M12" s="255">
        <v>0.96906047434565312</v>
      </c>
      <c r="N12" s="255">
        <v>0.61491497999426126</v>
      </c>
      <c r="O12" s="255">
        <v>0.66217244696620714</v>
      </c>
      <c r="P12" s="255">
        <v>0.63570437748969821</v>
      </c>
      <c r="Q12" s="255">
        <v>0.72250681276853379</v>
      </c>
      <c r="R12" s="255">
        <v>0.71595080338326433</v>
      </c>
      <c r="S12" s="255">
        <v>0.74371390894538447</v>
      </c>
      <c r="T12" s="255">
        <v>0.61325313770540268</v>
      </c>
      <c r="U12" s="255">
        <v>0.59918851552132124</v>
      </c>
      <c r="V12" s="255">
        <v>0.75576104879185868</v>
      </c>
      <c r="W12" s="255">
        <v>0.74014378900841649</v>
      </c>
      <c r="X12" s="255">
        <v>0.65834156843886882</v>
      </c>
      <c r="Y12" s="255">
        <v>0.58449853031380539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5.350128976788592</v>
      </c>
      <c r="C14" s="254">
        <v>5.5650902837551079</v>
      </c>
      <c r="D14" s="254">
        <v>5.7800515907237866</v>
      </c>
      <c r="E14" s="254">
        <v>6.1860705073145841</v>
      </c>
      <c r="F14" s="254">
        <v>6.4966466036185277</v>
      </c>
      <c r="G14" s="254">
        <v>6.7650042992344384</v>
      </c>
      <c r="H14" s="254">
        <v>6.1789337919235638</v>
      </c>
      <c r="I14" s="254">
        <v>6.8457437661331202</v>
      </c>
      <c r="J14" s="254">
        <v>7.115219260544702</v>
      </c>
      <c r="K14" s="254">
        <v>7.5239036973430826</v>
      </c>
      <c r="L14" s="254">
        <v>8.4370593293346836</v>
      </c>
      <c r="M14" s="254">
        <v>8.26947549442297</v>
      </c>
      <c r="N14" s="254">
        <v>9.3163370593511061</v>
      </c>
      <c r="O14" s="254">
        <v>10.61229578677373</v>
      </c>
      <c r="P14" s="254">
        <v>9.6785038693299335</v>
      </c>
      <c r="Q14" s="254">
        <v>10.627515047321349</v>
      </c>
      <c r="R14" s="254">
        <v>11.013241616542571</v>
      </c>
      <c r="S14" s="254">
        <v>11.66500429925788</v>
      </c>
      <c r="T14" s="254">
        <v>10.97454858127365</v>
      </c>
      <c r="U14" s="254">
        <v>10.84643164233181</v>
      </c>
      <c r="V14" s="254">
        <v>11.80877042135479</v>
      </c>
      <c r="W14" s="254">
        <v>12.85649183150362</v>
      </c>
      <c r="X14" s="254">
        <v>10.573344797957271</v>
      </c>
      <c r="Y14" s="254">
        <v>10.381255374055391</v>
      </c>
      <c r="DA14" s="270" t="s">
        <v>1002</v>
      </c>
    </row>
    <row r="15" spans="1:105" x14ac:dyDescent="0.25">
      <c r="A15" s="253" t="s">
        <v>24</v>
      </c>
      <c r="B15" s="255">
        <v>14.716032373938971</v>
      </c>
      <c r="C15" s="255">
        <v>14.53688496628769</v>
      </c>
      <c r="D15" s="255">
        <v>15.950515407718649</v>
      </c>
      <c r="E15" s="255">
        <v>15.840817274225071</v>
      </c>
      <c r="F15" s="255">
        <v>15.680938483198741</v>
      </c>
      <c r="G15" s="255">
        <v>17.567485438010731</v>
      </c>
      <c r="H15" s="255">
        <v>19.77892278789729</v>
      </c>
      <c r="I15" s="255">
        <v>21.867506364832071</v>
      </c>
      <c r="J15" s="255">
        <v>23.99469505933849</v>
      </c>
      <c r="K15" s="255">
        <v>26.408088036885509</v>
      </c>
      <c r="L15" s="255">
        <v>27.087919694285969</v>
      </c>
      <c r="M15" s="255">
        <v>26.58913306915111</v>
      </c>
      <c r="N15" s="255">
        <v>27.790563269213759</v>
      </c>
      <c r="O15" s="255">
        <v>27.515293749309471</v>
      </c>
      <c r="P15" s="255">
        <v>25.182861155178799</v>
      </c>
      <c r="Q15" s="255">
        <v>26.302233181961611</v>
      </c>
      <c r="R15" s="255">
        <v>28.067377712652469</v>
      </c>
      <c r="S15" s="255">
        <v>27.77347044223232</v>
      </c>
      <c r="T15" s="255">
        <v>28.204469748104358</v>
      </c>
      <c r="U15" s="255">
        <v>29.69792670605948</v>
      </c>
      <c r="V15" s="255">
        <v>33.352157135639942</v>
      </c>
      <c r="W15" s="255">
        <v>37.54216698359393</v>
      </c>
      <c r="X15" s="255">
        <v>37.753583641040308</v>
      </c>
      <c r="Y15" s="255">
        <v>39.821433819507007</v>
      </c>
      <c r="DA15" s="271" t="s">
        <v>1003</v>
      </c>
    </row>
    <row r="16" spans="1:105" x14ac:dyDescent="0.25">
      <c r="A16" s="256" t="s">
        <v>168</v>
      </c>
      <c r="B16" s="257">
        <v>113.92765380296071</v>
      </c>
      <c r="C16" s="257">
        <v>115.4608207054779</v>
      </c>
      <c r="D16" s="257">
        <v>113.7949978237483</v>
      </c>
      <c r="E16" s="257">
        <v>115.09361926006029</v>
      </c>
      <c r="F16" s="257">
        <v>115.89526558093441</v>
      </c>
      <c r="G16" s="257">
        <v>113.7085487902052</v>
      </c>
      <c r="H16" s="257">
        <v>112.8348186449778</v>
      </c>
      <c r="I16" s="257">
        <v>111.72142429959131</v>
      </c>
      <c r="J16" s="257">
        <v>111.9380177949492</v>
      </c>
      <c r="K16" s="257">
        <v>110.1881500996803</v>
      </c>
      <c r="L16" s="257">
        <v>112.6957166092314</v>
      </c>
      <c r="M16" s="257">
        <v>110.0780498574175</v>
      </c>
      <c r="N16" s="257">
        <v>110.3524404681709</v>
      </c>
      <c r="O16" s="257">
        <v>113.644147550106</v>
      </c>
      <c r="P16" s="257">
        <v>111.0649295174066</v>
      </c>
      <c r="Q16" s="257">
        <v>111.61171126431969</v>
      </c>
      <c r="R16" s="257">
        <v>112.6889810199653</v>
      </c>
      <c r="S16" s="257">
        <v>113.49072421550331</v>
      </c>
      <c r="T16" s="257">
        <v>110.79348708899811</v>
      </c>
      <c r="U16" s="257">
        <v>108.989641877029</v>
      </c>
      <c r="V16" s="257">
        <v>106.4967331127651</v>
      </c>
      <c r="W16" s="257">
        <v>112.8980291333496</v>
      </c>
      <c r="X16" s="257">
        <v>110.70037929734769</v>
      </c>
      <c r="Y16" s="257">
        <v>107.33553008146011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245.69138592684263</v>
      </c>
      <c r="C17" s="257">
        <f t="shared" ref="C17:W17" si="7">SUM(C18:C24)</f>
        <v>257.94449990319492</v>
      </c>
      <c r="D17" s="257">
        <f t="shared" si="7"/>
        <v>243.25346110475513</v>
      </c>
      <c r="E17" s="257">
        <f t="shared" si="7"/>
        <v>254.07204687038228</v>
      </c>
      <c r="F17" s="257">
        <f t="shared" si="7"/>
        <v>259.45833775855323</v>
      </c>
      <c r="G17" s="257">
        <f t="shared" si="7"/>
        <v>237.53621635738548</v>
      </c>
      <c r="H17" s="257">
        <f t="shared" si="7"/>
        <v>233.01692912726222</v>
      </c>
      <c r="I17" s="257">
        <f t="shared" si="7"/>
        <v>223.23007500429384</v>
      </c>
      <c r="J17" s="257">
        <f t="shared" si="7"/>
        <v>226.11636368263919</v>
      </c>
      <c r="K17" s="257">
        <f t="shared" si="7"/>
        <v>218.38855997177217</v>
      </c>
      <c r="L17" s="257">
        <f t="shared" si="7"/>
        <v>231.37693518783689</v>
      </c>
      <c r="M17" s="257">
        <f t="shared" si="7"/>
        <v>222.1710276930674</v>
      </c>
      <c r="N17" s="257">
        <f t="shared" si="7"/>
        <v>228.54055542308916</v>
      </c>
      <c r="O17" s="257">
        <f t="shared" si="7"/>
        <v>244.16252782278016</v>
      </c>
      <c r="P17" s="257">
        <f t="shared" si="7"/>
        <v>232.94233461136631</v>
      </c>
      <c r="Q17" s="257">
        <f t="shared" si="7"/>
        <v>235.7784667886138</v>
      </c>
      <c r="R17" s="257">
        <f t="shared" si="7"/>
        <v>242.10274637772326</v>
      </c>
      <c r="S17" s="257">
        <f t="shared" si="7"/>
        <v>244.89094559926892</v>
      </c>
      <c r="T17" s="257">
        <f t="shared" si="7"/>
        <v>228.57725056376583</v>
      </c>
      <c r="U17" s="257">
        <f t="shared" si="7"/>
        <v>220.52949250936615</v>
      </c>
      <c r="V17" s="257">
        <f t="shared" si="7"/>
        <v>217.60702313826749</v>
      </c>
      <c r="W17" s="257">
        <f t="shared" si="7"/>
        <v>246.22792141657823</v>
      </c>
      <c r="X17" s="257">
        <f t="shared" ref="X17:Y17" si="8">SUM(X18:X24)</f>
        <v>235.81152865131031</v>
      </c>
      <c r="Y17" s="257">
        <f t="shared" si="8"/>
        <v>226.03293719570942</v>
      </c>
      <c r="DA17" s="272"/>
    </row>
    <row r="18" spans="1:105" x14ac:dyDescent="0.25">
      <c r="A18" s="61" t="s">
        <v>29</v>
      </c>
      <c r="B18" s="55">
        <v>4.12175408425803</v>
      </c>
      <c r="C18" s="55">
        <v>4.1251074806448766</v>
      </c>
      <c r="D18" s="55">
        <v>2.9822871882961861</v>
      </c>
      <c r="E18" s="55">
        <v>2.294153052446648</v>
      </c>
      <c r="F18" s="55">
        <v>2.293121238172712</v>
      </c>
      <c r="G18" s="55">
        <v>2.986672398961244</v>
      </c>
      <c r="H18" s="55">
        <v>2.538091143589785</v>
      </c>
      <c r="I18" s="55">
        <v>3.097764402399104</v>
      </c>
      <c r="J18" s="55">
        <v>3.2380051590631331</v>
      </c>
      <c r="K18" s="55">
        <v>1.2911435941508509</v>
      </c>
      <c r="L18" s="55">
        <v>1.340068787615063</v>
      </c>
      <c r="M18" s="55">
        <v>0.88005159071183747</v>
      </c>
      <c r="N18" s="55">
        <v>0.93095442820004382</v>
      </c>
      <c r="O18" s="55">
        <v>0.71728288907862892</v>
      </c>
      <c r="P18" s="55">
        <v>0.58856405846725357</v>
      </c>
      <c r="Q18" s="55">
        <v>0.47867583834728422</v>
      </c>
      <c r="R18" s="55">
        <v>0.45932932072045313</v>
      </c>
      <c r="S18" s="55">
        <v>0.65889939810595144</v>
      </c>
      <c r="T18" s="55">
        <v>0.58417884780606466</v>
      </c>
      <c r="U18" s="55">
        <v>0.42252794496843987</v>
      </c>
      <c r="V18" s="55">
        <v>0.4180567497836814</v>
      </c>
      <c r="W18" s="55">
        <v>0.30085984522695458</v>
      </c>
      <c r="X18" s="55">
        <v>0.2312123817707466</v>
      </c>
      <c r="Y18" s="55">
        <v>0.19011177987915451</v>
      </c>
      <c r="DA18" s="101" t="s">
        <v>1005</v>
      </c>
    </row>
    <row r="19" spans="1:105" x14ac:dyDescent="0.25">
      <c r="A19" s="61" t="s">
        <v>27</v>
      </c>
      <c r="B19" s="55">
        <v>5.4934651762592059</v>
      </c>
      <c r="C19" s="55">
        <v>4.3947549441008906</v>
      </c>
      <c r="D19" s="55">
        <v>3.2960447119408851</v>
      </c>
      <c r="E19" s="55">
        <v>3.2960447119462288</v>
      </c>
      <c r="F19" s="55">
        <v>3.296044711945501</v>
      </c>
      <c r="G19" s="55">
        <v>4.8484952708399787</v>
      </c>
      <c r="H19" s="55">
        <v>4.7375752364492856</v>
      </c>
      <c r="I19" s="55">
        <v>4.9408426483098049</v>
      </c>
      <c r="J19" s="55">
        <v>5.0990541702363874</v>
      </c>
      <c r="K19" s="55">
        <v>3.5103181427283232</v>
      </c>
      <c r="L19" s="55">
        <v>3.7113499569989701</v>
      </c>
      <c r="M19" s="55">
        <v>2.6654342218345128</v>
      </c>
      <c r="N19" s="55">
        <v>2.7748065348151481</v>
      </c>
      <c r="O19" s="55">
        <v>3.136801375746519</v>
      </c>
      <c r="P19" s="55">
        <v>2.6800515907035529</v>
      </c>
      <c r="Q19" s="55">
        <v>2.708770421313901</v>
      </c>
      <c r="R19" s="55">
        <v>2.7098022355868729</v>
      </c>
      <c r="S19" s="55">
        <v>3.2771281169270678</v>
      </c>
      <c r="T19" s="55">
        <v>3.0138435081616688</v>
      </c>
      <c r="U19" s="55">
        <v>3.0832330180460561</v>
      </c>
      <c r="V19" s="55">
        <v>3.143852106610602</v>
      </c>
      <c r="W19" s="55">
        <v>3.3101461736787852</v>
      </c>
      <c r="X19" s="55">
        <v>2.6536543422122651</v>
      </c>
      <c r="Y19" s="55">
        <v>2.5886500429858978</v>
      </c>
      <c r="DA19" s="101" t="s">
        <v>1006</v>
      </c>
    </row>
    <row r="20" spans="1:105" x14ac:dyDescent="0.25">
      <c r="A20" s="61" t="s">
        <v>166</v>
      </c>
      <c r="B20" s="55">
        <v>52.121454805343149</v>
      </c>
      <c r="C20" s="55">
        <v>49.123556244665373</v>
      </c>
      <c r="D20" s="55">
        <v>52.786156620971617</v>
      </c>
      <c r="E20" s="55">
        <v>50.004257187379572</v>
      </c>
      <c r="F20" s="55">
        <v>49.021845054043382</v>
      </c>
      <c r="G20" s="55">
        <v>54.433436911912437</v>
      </c>
      <c r="H20" s="55">
        <v>55.246609124520191</v>
      </c>
      <c r="I20" s="55">
        <v>58.240776567919681</v>
      </c>
      <c r="J20" s="55">
        <v>56.871682987959431</v>
      </c>
      <c r="K20" s="55">
        <v>57.947406161729539</v>
      </c>
      <c r="L20" s="55">
        <v>54.81687009907133</v>
      </c>
      <c r="M20" s="55">
        <v>55.750042551734452</v>
      </c>
      <c r="N20" s="55">
        <v>53.662744570662007</v>
      </c>
      <c r="O20" s="55">
        <v>51.208780482661659</v>
      </c>
      <c r="P20" s="55">
        <v>52.530484540203297</v>
      </c>
      <c r="Q20" s="55">
        <v>51.742903077733047</v>
      </c>
      <c r="R20" s="55">
        <v>50.085227372455989</v>
      </c>
      <c r="S20" s="55">
        <v>49.336745517454439</v>
      </c>
      <c r="T20" s="55">
        <v>53.004446128438794</v>
      </c>
      <c r="U20" s="55">
        <v>53.649754370399179</v>
      </c>
      <c r="V20" s="55">
        <v>51.432627423905522</v>
      </c>
      <c r="W20" s="55">
        <v>47.526438748573597</v>
      </c>
      <c r="X20" s="55">
        <v>49.22494504800099</v>
      </c>
      <c r="Y20" s="55">
        <v>49.553322211910938</v>
      </c>
      <c r="DA20" s="101" t="s">
        <v>1007</v>
      </c>
    </row>
    <row r="21" spans="1:105" x14ac:dyDescent="0.25">
      <c r="A21" s="61" t="s">
        <v>129</v>
      </c>
      <c r="B21" s="55">
        <v>59.456491831372198</v>
      </c>
      <c r="C21" s="55">
        <v>59.922785898413267</v>
      </c>
      <c r="D21" s="55">
        <v>49.53533963870025</v>
      </c>
      <c r="E21" s="55">
        <v>56.408168529568499</v>
      </c>
      <c r="F21" s="55">
        <v>54.321754084160197</v>
      </c>
      <c r="G21" s="55">
        <v>28.445485812487629</v>
      </c>
      <c r="H21" s="55">
        <v>25.713155631941991</v>
      </c>
      <c r="I21" s="55">
        <v>17.954600171919999</v>
      </c>
      <c r="J21" s="55">
        <v>18.330696474587949</v>
      </c>
      <c r="K21" s="55">
        <v>10.225881341341109</v>
      </c>
      <c r="L21" s="55">
        <v>7.6630266551839581</v>
      </c>
      <c r="M21" s="55">
        <v>6.2441100601761539</v>
      </c>
      <c r="N21" s="55">
        <v>6.1730868443489166</v>
      </c>
      <c r="O21" s="55">
        <v>8.4726569217382917</v>
      </c>
      <c r="P21" s="55">
        <v>9.571539122921731</v>
      </c>
      <c r="Q21" s="55">
        <v>8.2455717970452937</v>
      </c>
      <c r="R21" s="55">
        <v>10.66147893374975</v>
      </c>
      <c r="S21" s="55">
        <v>2.342046431633813</v>
      </c>
      <c r="T21" s="55">
        <v>0</v>
      </c>
      <c r="U21" s="55">
        <v>0</v>
      </c>
      <c r="V21" s="55">
        <v>0</v>
      </c>
      <c r="W21" s="55">
        <v>4.5321582115083023</v>
      </c>
      <c r="X21" s="55">
        <v>4.5813413585448677</v>
      </c>
      <c r="Y21" s="55">
        <v>4.2116938950885308</v>
      </c>
      <c r="DA21" s="101" t="s">
        <v>1008</v>
      </c>
    </row>
    <row r="22" spans="1:105" x14ac:dyDescent="0.25">
      <c r="A22" s="61" t="s">
        <v>169</v>
      </c>
      <c r="B22" s="55">
        <v>5.9280532618198389</v>
      </c>
      <c r="C22" s="55">
        <v>6.4036466155956173</v>
      </c>
      <c r="D22" s="55">
        <v>6.3098394831010403</v>
      </c>
      <c r="E22" s="55">
        <v>6.4673911909887467</v>
      </c>
      <c r="F22" s="55">
        <v>6.2141303731380484</v>
      </c>
      <c r="G22" s="55">
        <v>9.0306050405495295</v>
      </c>
      <c r="H22" s="55">
        <v>8.6648875542372785</v>
      </c>
      <c r="I22" s="55">
        <v>9.2325183664524264</v>
      </c>
      <c r="J22" s="55">
        <v>9.4189314111556239</v>
      </c>
      <c r="K22" s="55">
        <v>9.6146497248977667</v>
      </c>
      <c r="L22" s="55">
        <v>10.633865265249559</v>
      </c>
      <c r="M22" s="55">
        <v>9.1444738189284056</v>
      </c>
      <c r="N22" s="55">
        <v>5.7216166325993392</v>
      </c>
      <c r="O22" s="55">
        <v>6.1155758493408516</v>
      </c>
      <c r="P22" s="55">
        <v>6.8458347588505788</v>
      </c>
      <c r="Q22" s="55">
        <v>7.5978813583654494</v>
      </c>
      <c r="R22" s="55">
        <v>9.0855764301802164</v>
      </c>
      <c r="S22" s="55">
        <v>12.541938067087839</v>
      </c>
      <c r="T22" s="55">
        <v>11.64538689412691</v>
      </c>
      <c r="U22" s="55">
        <v>14.5098810832182</v>
      </c>
      <c r="V22" s="55">
        <v>12.199976196153919</v>
      </c>
      <c r="W22" s="55">
        <v>12.53956282902393</v>
      </c>
      <c r="X22" s="55">
        <v>11.00313669407889</v>
      </c>
      <c r="Y22" s="55">
        <v>6.1434772290611761</v>
      </c>
      <c r="DA22" s="101" t="s">
        <v>1009</v>
      </c>
    </row>
    <row r="23" spans="1:105" x14ac:dyDescent="0.25">
      <c r="A23" s="61" t="s">
        <v>164</v>
      </c>
      <c r="B23" s="55">
        <v>118.2287188304154</v>
      </c>
      <c r="C23" s="55">
        <v>133.6343078243128</v>
      </c>
      <c r="D23" s="55">
        <v>127.973602751079</v>
      </c>
      <c r="E23" s="55">
        <v>135.21066208059489</v>
      </c>
      <c r="F23" s="55">
        <v>143.9046431639533</v>
      </c>
      <c r="G23" s="55">
        <v>137.2755803952098</v>
      </c>
      <c r="H23" s="55">
        <v>135.501117798563</v>
      </c>
      <c r="I23" s="55">
        <v>129.0506448835684</v>
      </c>
      <c r="J23" s="55">
        <v>132.43086844334329</v>
      </c>
      <c r="K23" s="55">
        <v>134.7698194322723</v>
      </c>
      <c r="L23" s="55">
        <v>152.08865004263291</v>
      </c>
      <c r="M23" s="55">
        <v>146.37489251904151</v>
      </c>
      <c r="N23" s="55">
        <v>158.60877042083351</v>
      </c>
      <c r="O23" s="55">
        <v>173.8393809111119</v>
      </c>
      <c r="P23" s="55">
        <v>160.06182287127871</v>
      </c>
      <c r="Q23" s="55">
        <v>164.24316422981639</v>
      </c>
      <c r="R23" s="55">
        <v>168.3504729142094</v>
      </c>
      <c r="S23" s="55">
        <v>175.94213241552711</v>
      </c>
      <c r="T23" s="55">
        <v>159.61994840892291</v>
      </c>
      <c r="U23" s="55">
        <v>148.11805674927129</v>
      </c>
      <c r="V23" s="55">
        <v>149.44866723941161</v>
      </c>
      <c r="W23" s="55">
        <v>177.1622527939644</v>
      </c>
      <c r="X23" s="55">
        <v>167.336199483706</v>
      </c>
      <c r="Y23" s="55">
        <v>162.63637145273859</v>
      </c>
      <c r="DA23" s="101" t="s">
        <v>1010</v>
      </c>
    </row>
    <row r="24" spans="1:105" x14ac:dyDescent="0.25">
      <c r="A24" s="61" t="s">
        <v>152</v>
      </c>
      <c r="B24" s="55">
        <v>0.3414479373747869</v>
      </c>
      <c r="C24" s="55">
        <v>0.34034089546205942</v>
      </c>
      <c r="D24" s="55">
        <v>0.37019071066615822</v>
      </c>
      <c r="E24" s="55">
        <v>0.39137011745771538</v>
      </c>
      <c r="F24" s="55">
        <v>0.40679913314012522</v>
      </c>
      <c r="G24" s="55">
        <v>0.51594052742487473</v>
      </c>
      <c r="H24" s="55">
        <v>0.61549263796066589</v>
      </c>
      <c r="I24" s="55">
        <v>0.71292796372445066</v>
      </c>
      <c r="J24" s="55">
        <v>0.7271250362933841</v>
      </c>
      <c r="K24" s="55">
        <v>1.0293415746522849</v>
      </c>
      <c r="L24" s="55">
        <v>1.1231043810851</v>
      </c>
      <c r="M24" s="55">
        <v>1.112022930640534</v>
      </c>
      <c r="N24" s="55">
        <v>0.66857599163021542</v>
      </c>
      <c r="O24" s="55">
        <v>0.67204939310228584</v>
      </c>
      <c r="P24" s="55">
        <v>0.66403766894117133</v>
      </c>
      <c r="Q24" s="55">
        <v>0.76150006599243536</v>
      </c>
      <c r="R24" s="55">
        <v>0.75085917082058884</v>
      </c>
      <c r="S24" s="55">
        <v>0.79205565253270072</v>
      </c>
      <c r="T24" s="55">
        <v>0.70944677630948072</v>
      </c>
      <c r="U24" s="55">
        <v>0.7460393434629895</v>
      </c>
      <c r="V24" s="55">
        <v>0.96384342240215781</v>
      </c>
      <c r="W24" s="55">
        <v>0.85650281460227562</v>
      </c>
      <c r="X24" s="55">
        <v>0.78103934299656774</v>
      </c>
      <c r="Y24" s="55">
        <v>0.70931058404514524</v>
      </c>
      <c r="DA24" s="101" t="s">
        <v>1011</v>
      </c>
    </row>
    <row r="25" spans="1:105" x14ac:dyDescent="0.25">
      <c r="A25" s="256" t="s">
        <v>167</v>
      </c>
      <c r="B25" s="257">
        <v>21.892148119999309</v>
      </c>
      <c r="C25" s="257">
        <v>22.18675891730965</v>
      </c>
      <c r="D25" s="257">
        <v>21.866657168075172</v>
      </c>
      <c r="E25" s="257">
        <v>22.116198099416721</v>
      </c>
      <c r="F25" s="257">
        <v>22.270241120672829</v>
      </c>
      <c r="G25" s="257">
        <v>21.85004526583738</v>
      </c>
      <c r="H25" s="257">
        <v>21.682150737004971</v>
      </c>
      <c r="I25" s="257">
        <v>21.46820273481644</v>
      </c>
      <c r="J25" s="257">
        <v>21.50982297998015</v>
      </c>
      <c r="K25" s="257">
        <v>21.17357131941769</v>
      </c>
      <c r="L25" s="257">
        <v>21.65542112159817</v>
      </c>
      <c r="M25" s="257">
        <v>21.152414640321751</v>
      </c>
      <c r="N25" s="257">
        <v>21.20514108287394</v>
      </c>
      <c r="O25" s="257">
        <v>21.83767003085006</v>
      </c>
      <c r="P25" s="257">
        <v>21.34205179137254</v>
      </c>
      <c r="Q25" s="257">
        <v>21.447120460770719</v>
      </c>
      <c r="R25" s="257">
        <v>21.65412682198814</v>
      </c>
      <c r="S25" s="257">
        <v>21.808188458518249</v>
      </c>
      <c r="T25" s="257">
        <v>21.289891866627251</v>
      </c>
      <c r="U25" s="257">
        <v>20.94326797639707</v>
      </c>
      <c r="V25" s="257">
        <v>20.464234782127161</v>
      </c>
      <c r="W25" s="257">
        <v>21.694297159124471</v>
      </c>
      <c r="X25" s="257">
        <v>21.272000428526852</v>
      </c>
      <c r="Y25" s="257">
        <v>20.625416609965331</v>
      </c>
      <c r="DA25" s="272" t="s">
        <v>1012</v>
      </c>
    </row>
    <row r="26" spans="1:105" x14ac:dyDescent="0.25">
      <c r="A26" s="256" t="s">
        <v>170</v>
      </c>
      <c r="B26" s="257">
        <v>11.639768589783669</v>
      </c>
      <c r="C26" s="257">
        <v>11.675598071335861</v>
      </c>
      <c r="D26" s="257">
        <v>11.97756673805376</v>
      </c>
      <c r="E26" s="257">
        <v>12.01670326922882</v>
      </c>
      <c r="F26" s="257">
        <v>12.014285218330571</v>
      </c>
      <c r="G26" s="257">
        <v>12.51315811457806</v>
      </c>
      <c r="H26" s="257">
        <v>12.93855766090488</v>
      </c>
      <c r="I26" s="257">
        <v>13.388562355712059</v>
      </c>
      <c r="J26" s="257">
        <v>13.83082883004097</v>
      </c>
      <c r="K26" s="257">
        <v>14.215854447732109</v>
      </c>
      <c r="L26" s="257">
        <v>14.55985372247452</v>
      </c>
      <c r="M26" s="257">
        <v>14.22532041979907</v>
      </c>
      <c r="N26" s="257">
        <v>14.314355102096419</v>
      </c>
      <c r="O26" s="257">
        <v>14.52853196389213</v>
      </c>
      <c r="P26" s="257">
        <v>13.92727987575331</v>
      </c>
      <c r="Q26" s="257">
        <v>14.23680185904758</v>
      </c>
      <c r="R26" s="257">
        <v>14.69668782824021</v>
      </c>
      <c r="S26" s="257">
        <v>14.868487339064741</v>
      </c>
      <c r="T26" s="257">
        <v>14.72651791634765</v>
      </c>
      <c r="U26" s="257">
        <v>14.98426676556905</v>
      </c>
      <c r="V26" s="257">
        <v>15.35548430818258</v>
      </c>
      <c r="W26" s="257">
        <v>16.54384519327122</v>
      </c>
      <c r="X26" s="257">
        <v>16.251157734491461</v>
      </c>
      <c r="Y26" s="257">
        <v>16.073580820037179</v>
      </c>
      <c r="DA26" s="272" t="s">
        <v>1013</v>
      </c>
    </row>
    <row r="27" spans="1:105" x14ac:dyDescent="0.25">
      <c r="A27" s="128" t="s">
        <v>33</v>
      </c>
      <c r="B27" s="258">
        <v>16.877664455186331</v>
      </c>
      <c r="C27" s="258">
        <v>16.929617203437001</v>
      </c>
      <c r="D27" s="258">
        <v>17.367471770177939</v>
      </c>
      <c r="E27" s="258">
        <v>17.42421974038179</v>
      </c>
      <c r="F27" s="258">
        <v>17.42071356657933</v>
      </c>
      <c r="G27" s="258">
        <v>18.144079266138188</v>
      </c>
      <c r="H27" s="258">
        <v>18.760908608312079</v>
      </c>
      <c r="I27" s="258">
        <v>19.413415415782481</v>
      </c>
      <c r="J27" s="258">
        <v>20.054701803559411</v>
      </c>
      <c r="K27" s="258">
        <v>20.612988949211559</v>
      </c>
      <c r="L27" s="258">
        <v>21.111787897588059</v>
      </c>
      <c r="M27" s="258">
        <v>20.62671460870866</v>
      </c>
      <c r="N27" s="258">
        <v>20.755814898039809</v>
      </c>
      <c r="O27" s="258">
        <v>21.066371347643589</v>
      </c>
      <c r="P27" s="258">
        <v>20.1945558198423</v>
      </c>
      <c r="Q27" s="258">
        <v>20.64336269561899</v>
      </c>
      <c r="R27" s="258">
        <v>21.310197350948311</v>
      </c>
      <c r="S27" s="258">
        <v>21.559306641643872</v>
      </c>
      <c r="T27" s="258">
        <v>21.353450978704089</v>
      </c>
      <c r="U27" s="258">
        <v>21.727186810075111</v>
      </c>
      <c r="V27" s="258">
        <v>22.265452246864729</v>
      </c>
      <c r="W27" s="258">
        <v>23.988575530243271</v>
      </c>
      <c r="X27" s="258">
        <v>23.56417871501262</v>
      </c>
      <c r="Y27" s="258">
        <v>23.306692189053908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0.99999999999999978</v>
      </c>
      <c r="D31" s="235">
        <f t="shared" si="9"/>
        <v>1</v>
      </c>
      <c r="E31" s="235">
        <f t="shared" si="9"/>
        <v>1.0000000000000002</v>
      </c>
      <c r="F31" s="235">
        <f t="shared" si="9"/>
        <v>1.0000000000000002</v>
      </c>
      <c r="G31" s="235">
        <f t="shared" si="9"/>
        <v>1</v>
      </c>
      <c r="H31" s="235">
        <f t="shared" si="9"/>
        <v>0.99999999999999989</v>
      </c>
      <c r="I31" s="235">
        <f t="shared" si="9"/>
        <v>1.0000000000000002</v>
      </c>
      <c r="J31" s="235">
        <f t="shared" si="9"/>
        <v>1</v>
      </c>
      <c r="K31" s="235">
        <f t="shared" si="9"/>
        <v>1</v>
      </c>
      <c r="L31" s="235">
        <f t="shared" si="9"/>
        <v>1</v>
      </c>
      <c r="M31" s="235">
        <f t="shared" si="9"/>
        <v>0.99999999999999989</v>
      </c>
      <c r="N31" s="235">
        <f t="shared" si="9"/>
        <v>1.0000000000000002</v>
      </c>
      <c r="O31" s="235">
        <f t="shared" si="9"/>
        <v>1.0000000000000002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1.0000000000000002</v>
      </c>
      <c r="T31" s="235">
        <f t="shared" si="10"/>
        <v>1</v>
      </c>
      <c r="U31" s="235">
        <f t="shared" si="10"/>
        <v>1</v>
      </c>
      <c r="V31" s="235">
        <f t="shared" si="10"/>
        <v>1</v>
      </c>
      <c r="W31" s="235">
        <f t="shared" si="10"/>
        <v>1.0000000000000002</v>
      </c>
      <c r="X31" s="235">
        <f t="shared" ref="X31:Y31" si="11">SUM(X32:X40)</f>
        <v>1.0000000000000002</v>
      </c>
      <c r="Y31" s="235">
        <f t="shared" si="11"/>
        <v>1.0000000000000002</v>
      </c>
      <c r="DA31" s="274"/>
    </row>
    <row r="32" spans="1:105" x14ac:dyDescent="0.25">
      <c r="A32" s="238" t="s">
        <v>125</v>
      </c>
      <c r="B32" s="244">
        <f t="shared" ref="B32:Y32" si="12">IF(B$6=0,0,B$6/B$5)</f>
        <v>2.2044887028591652E-2</v>
      </c>
      <c r="C32" s="244">
        <f t="shared" si="12"/>
        <v>2.1475588759338301E-2</v>
      </c>
      <c r="D32" s="244">
        <f t="shared" si="12"/>
        <v>2.2698355028934539E-2</v>
      </c>
      <c r="E32" s="244">
        <f t="shared" si="12"/>
        <v>2.2193230853404369E-2</v>
      </c>
      <c r="F32" s="244">
        <f t="shared" si="12"/>
        <v>2.1908663308675084E-2</v>
      </c>
      <c r="G32" s="244">
        <f t="shared" si="12"/>
        <v>2.3772346418163559E-2</v>
      </c>
      <c r="H32" s="244">
        <f t="shared" si="12"/>
        <v>2.4754202542897782E-2</v>
      </c>
      <c r="I32" s="244">
        <f t="shared" si="12"/>
        <v>2.6037894773997809E-2</v>
      </c>
      <c r="J32" s="244">
        <f t="shared" si="12"/>
        <v>2.6560135969464597E-2</v>
      </c>
      <c r="K32" s="244">
        <f t="shared" si="12"/>
        <v>2.7716661915709987E-2</v>
      </c>
      <c r="L32" s="244">
        <f t="shared" si="12"/>
        <v>2.7289701809182623E-2</v>
      </c>
      <c r="M32" s="244">
        <f t="shared" si="12"/>
        <v>2.7520055945242032E-2</v>
      </c>
      <c r="N32" s="244">
        <f t="shared" si="12"/>
        <v>2.7316960562620569E-2</v>
      </c>
      <c r="O32" s="244">
        <f t="shared" si="12"/>
        <v>2.6533289522312598E-2</v>
      </c>
      <c r="P32" s="244">
        <f t="shared" si="12"/>
        <v>2.6411157087868887E-2</v>
      </c>
      <c r="Q32" s="244">
        <f t="shared" si="12"/>
        <v>2.6661888289877526E-2</v>
      </c>
      <c r="R32" s="244">
        <f t="shared" si="12"/>
        <v>2.6909827634826033E-2</v>
      </c>
      <c r="S32" s="244">
        <f t="shared" si="12"/>
        <v>2.689588153797624E-2</v>
      </c>
      <c r="T32" s="244">
        <f t="shared" si="12"/>
        <v>2.7787483236858531E-2</v>
      </c>
      <c r="U32" s="244">
        <f t="shared" si="12"/>
        <v>2.8745673309427663E-2</v>
      </c>
      <c r="V32" s="244">
        <f t="shared" si="12"/>
        <v>2.9692103118171911E-2</v>
      </c>
      <c r="W32" s="244">
        <f t="shared" si="12"/>
        <v>2.9199275803288776E-2</v>
      </c>
      <c r="X32" s="244">
        <f t="shared" si="12"/>
        <v>2.9612627206679516E-2</v>
      </c>
      <c r="Y32" s="244">
        <f t="shared" si="12"/>
        <v>3.0267818966834573E-2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1.4329176568584578E-2</v>
      </c>
      <c r="C33" s="245">
        <f t="shared" si="13"/>
        <v>1.3959132693569892E-2</v>
      </c>
      <c r="D33" s="245">
        <f t="shared" si="13"/>
        <v>1.4753930768807438E-2</v>
      </c>
      <c r="E33" s="245">
        <f t="shared" si="13"/>
        <v>1.4425600054712837E-2</v>
      </c>
      <c r="F33" s="245">
        <f t="shared" si="13"/>
        <v>1.4240631150638804E-2</v>
      </c>
      <c r="G33" s="245">
        <f t="shared" si="13"/>
        <v>1.5452025171806312E-2</v>
      </c>
      <c r="H33" s="245">
        <f t="shared" si="13"/>
        <v>1.6090231652883556E-2</v>
      </c>
      <c r="I33" s="245">
        <f t="shared" si="13"/>
        <v>1.6924631603098574E-2</v>
      </c>
      <c r="J33" s="245">
        <f t="shared" si="13"/>
        <v>1.7264088380151987E-2</v>
      </c>
      <c r="K33" s="245">
        <f t="shared" si="13"/>
        <v>1.8015830245211497E-2</v>
      </c>
      <c r="L33" s="245">
        <f t="shared" si="13"/>
        <v>1.7738306175968697E-2</v>
      </c>
      <c r="M33" s="245">
        <f t="shared" si="13"/>
        <v>1.7888036364407323E-2</v>
      </c>
      <c r="N33" s="245">
        <f t="shared" si="13"/>
        <v>1.7756024365703362E-2</v>
      </c>
      <c r="O33" s="245">
        <f t="shared" si="13"/>
        <v>1.7246638189503193E-2</v>
      </c>
      <c r="P33" s="245">
        <f t="shared" si="13"/>
        <v>1.7167252107114776E-2</v>
      </c>
      <c r="Q33" s="245">
        <f t="shared" si="13"/>
        <v>1.7330227388420386E-2</v>
      </c>
      <c r="R33" s="245">
        <f t="shared" si="13"/>
        <v>1.7491387962636926E-2</v>
      </c>
      <c r="S33" s="245">
        <f t="shared" si="13"/>
        <v>1.7482322999684555E-2</v>
      </c>
      <c r="T33" s="245">
        <f t="shared" si="13"/>
        <v>1.8061864103958037E-2</v>
      </c>
      <c r="U33" s="245">
        <f t="shared" si="13"/>
        <v>1.8684687651127969E-2</v>
      </c>
      <c r="V33" s="245">
        <f t="shared" si="13"/>
        <v>1.9299867026811728E-2</v>
      </c>
      <c r="W33" s="245">
        <f t="shared" si="13"/>
        <v>1.89795292721377E-2</v>
      </c>
      <c r="X33" s="245">
        <f t="shared" si="13"/>
        <v>1.9248207684341687E-2</v>
      </c>
      <c r="Y33" s="245">
        <f t="shared" si="13"/>
        <v>1.9674082328442481E-2</v>
      </c>
      <c r="DA33" s="276"/>
    </row>
    <row r="34" spans="1:105" x14ac:dyDescent="0.25">
      <c r="A34" s="240" t="s">
        <v>123</v>
      </c>
      <c r="B34" s="245">
        <f t="shared" ref="B34:Y34" si="14">IF(B$8=0,0,B$8/B$5)</f>
        <v>1.9840398325732502E-2</v>
      </c>
      <c r="C34" s="245">
        <f t="shared" si="14"/>
        <v>1.9328029883404461E-2</v>
      </c>
      <c r="D34" s="245">
        <f t="shared" si="14"/>
        <v>2.0428519526041057E-2</v>
      </c>
      <c r="E34" s="245">
        <f t="shared" si="14"/>
        <v>1.9973907768063938E-2</v>
      </c>
      <c r="F34" s="245">
        <f t="shared" si="14"/>
        <v>1.971779697780757E-2</v>
      </c>
      <c r="G34" s="245">
        <f t="shared" si="14"/>
        <v>2.1395111776347214E-2</v>
      </c>
      <c r="H34" s="245">
        <f t="shared" si="14"/>
        <v>2.2278782288607999E-2</v>
      </c>
      <c r="I34" s="245">
        <f t="shared" si="14"/>
        <v>2.3434105296598024E-2</v>
      </c>
      <c r="J34" s="245">
        <f t="shared" si="14"/>
        <v>2.3904122372518131E-2</v>
      </c>
      <c r="K34" s="245">
        <f t="shared" si="14"/>
        <v>2.4944995724138993E-2</v>
      </c>
      <c r="L34" s="245">
        <f t="shared" si="14"/>
        <v>2.4560731628264366E-2</v>
      </c>
      <c r="M34" s="245">
        <f t="shared" si="14"/>
        <v>2.4768050350717823E-2</v>
      </c>
      <c r="N34" s="245">
        <f t="shared" si="14"/>
        <v>2.4585264506358517E-2</v>
      </c>
      <c r="O34" s="245">
        <f t="shared" si="14"/>
        <v>2.3879960570081345E-2</v>
      </c>
      <c r="P34" s="245">
        <f t="shared" si="14"/>
        <v>2.3770041379081997E-2</v>
      </c>
      <c r="Q34" s="245">
        <f t="shared" si="14"/>
        <v>2.3995699460889773E-2</v>
      </c>
      <c r="R34" s="245">
        <f t="shared" si="14"/>
        <v>2.4218844871343431E-2</v>
      </c>
      <c r="S34" s="245">
        <f t="shared" si="14"/>
        <v>2.4206293384178623E-2</v>
      </c>
      <c r="T34" s="245">
        <f t="shared" si="14"/>
        <v>2.5008734913172671E-2</v>
      </c>
      <c r="U34" s="245">
        <f t="shared" si="14"/>
        <v>2.5871105978484889E-2</v>
      </c>
      <c r="V34" s="245">
        <f t="shared" si="14"/>
        <v>2.6722892806354717E-2</v>
      </c>
      <c r="W34" s="245">
        <f t="shared" si="14"/>
        <v>2.6279348222959902E-2</v>
      </c>
      <c r="X34" s="245">
        <f t="shared" si="14"/>
        <v>2.6651364486011554E-2</v>
      </c>
      <c r="Y34" s="245">
        <f t="shared" si="14"/>
        <v>2.7241037070151113E-2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0.16722073299598852</v>
      </c>
      <c r="C35" s="246">
        <f t="shared" si="15"/>
        <v>0.16498714067735498</v>
      </c>
      <c r="D35" s="246">
        <f t="shared" si="15"/>
        <v>0.16843668168748444</v>
      </c>
      <c r="E35" s="246">
        <f t="shared" si="15"/>
        <v>0.16638899489103992</v>
      </c>
      <c r="F35" s="246">
        <f t="shared" si="15"/>
        <v>0.16536927513645427</v>
      </c>
      <c r="G35" s="246">
        <f t="shared" si="15"/>
        <v>0.17233726030150856</v>
      </c>
      <c r="H35" s="246">
        <f t="shared" si="15"/>
        <v>0.17305875737888005</v>
      </c>
      <c r="I35" s="246">
        <f t="shared" si="15"/>
        <v>0.17665031590744068</v>
      </c>
      <c r="J35" s="246">
        <f t="shared" si="15"/>
        <v>0.17670750093484783</v>
      </c>
      <c r="K35" s="246">
        <f t="shared" si="15"/>
        <v>0.17950830848935492</v>
      </c>
      <c r="L35" s="246">
        <f t="shared" si="15"/>
        <v>0.17806314447493332</v>
      </c>
      <c r="M35" s="246">
        <f t="shared" si="15"/>
        <v>0.1787153779030759</v>
      </c>
      <c r="N35" s="246">
        <f t="shared" si="15"/>
        <v>0.17621786721742461</v>
      </c>
      <c r="O35" s="246">
        <f t="shared" si="15"/>
        <v>0.17399348491698086</v>
      </c>
      <c r="P35" s="246">
        <f t="shared" si="15"/>
        <v>0.17510984483485306</v>
      </c>
      <c r="Q35" s="246">
        <f t="shared" si="15"/>
        <v>0.1759526423055334</v>
      </c>
      <c r="R35" s="246">
        <f t="shared" si="15"/>
        <v>0.17617357912881113</v>
      </c>
      <c r="S35" s="246">
        <f t="shared" si="15"/>
        <v>0.17778813124178242</v>
      </c>
      <c r="T35" s="246">
        <f t="shared" si="15"/>
        <v>0.18053163590983159</v>
      </c>
      <c r="U35" s="246">
        <f t="shared" si="15"/>
        <v>0.18394792998631926</v>
      </c>
      <c r="V35" s="246">
        <f t="shared" si="15"/>
        <v>0.18526624185657067</v>
      </c>
      <c r="W35" s="246">
        <f t="shared" si="15"/>
        <v>0.1818699474373357</v>
      </c>
      <c r="X35" s="246">
        <f t="shared" si="15"/>
        <v>0.18176628600993247</v>
      </c>
      <c r="Y35" s="246">
        <f t="shared" si="15"/>
        <v>0.18206253403587316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0.21577080662266387</v>
      </c>
      <c r="C36" s="259">
        <f t="shared" si="16"/>
        <v>0.21237362644180457</v>
      </c>
      <c r="D36" s="259">
        <f t="shared" si="16"/>
        <v>0.21564974903575268</v>
      </c>
      <c r="E36" s="259">
        <f t="shared" si="16"/>
        <v>0.21256239791933129</v>
      </c>
      <c r="F36" s="259">
        <f t="shared" si="16"/>
        <v>0.21134094176557186</v>
      </c>
      <c r="G36" s="259">
        <f t="shared" si="16"/>
        <v>0.21602212549350169</v>
      </c>
      <c r="H36" s="259">
        <f t="shared" si="16"/>
        <v>0.21587691826490471</v>
      </c>
      <c r="I36" s="259">
        <f t="shared" si="16"/>
        <v>0.21727431315079446</v>
      </c>
      <c r="J36" s="259">
        <f t="shared" si="16"/>
        <v>0.21496101277231927</v>
      </c>
      <c r="K36" s="259">
        <f t="shared" si="16"/>
        <v>0.21483391762762205</v>
      </c>
      <c r="L36" s="259">
        <f t="shared" si="16"/>
        <v>0.21122688181206462</v>
      </c>
      <c r="M36" s="259">
        <f t="shared" si="16"/>
        <v>0.21295506892083491</v>
      </c>
      <c r="N36" s="259">
        <f t="shared" si="16"/>
        <v>0.21059232097829322</v>
      </c>
      <c r="O36" s="259">
        <f t="shared" si="16"/>
        <v>0.20754698939696414</v>
      </c>
      <c r="P36" s="259">
        <f t="shared" si="16"/>
        <v>0.21061925419795227</v>
      </c>
      <c r="Q36" s="259">
        <f t="shared" si="16"/>
        <v>0.20902018634755601</v>
      </c>
      <c r="R36" s="259">
        <f t="shared" si="16"/>
        <v>0.20633499813233461</v>
      </c>
      <c r="S36" s="259">
        <f t="shared" si="16"/>
        <v>0.20529546849997943</v>
      </c>
      <c r="T36" s="259">
        <f t="shared" si="16"/>
        <v>0.20905635552998289</v>
      </c>
      <c r="U36" s="259">
        <f t="shared" si="16"/>
        <v>0.20908468118757578</v>
      </c>
      <c r="V36" s="259">
        <f t="shared" si="16"/>
        <v>0.20592720606328505</v>
      </c>
      <c r="W36" s="259">
        <f t="shared" si="16"/>
        <v>0.19926085210548203</v>
      </c>
      <c r="X36" s="259">
        <f t="shared" si="16"/>
        <v>0.20171664796612479</v>
      </c>
      <c r="Y36" s="259">
        <f t="shared" si="16"/>
        <v>0.20212125907656625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0.46532186657123414</v>
      </c>
      <c r="C37" s="259">
        <f t="shared" si="17"/>
        <v>0.47445192689991172</v>
      </c>
      <c r="D37" s="259">
        <f t="shared" si="17"/>
        <v>0.46098289768912065</v>
      </c>
      <c r="E37" s="259">
        <f t="shared" si="17"/>
        <v>0.46923681672579365</v>
      </c>
      <c r="F37" s="259">
        <f t="shared" si="17"/>
        <v>0.47313554333701002</v>
      </c>
      <c r="G37" s="259">
        <f t="shared" si="17"/>
        <v>0.45126843043156295</v>
      </c>
      <c r="H37" s="259">
        <f t="shared" si="17"/>
        <v>0.44581076273820935</v>
      </c>
      <c r="I37" s="259">
        <f t="shared" si="17"/>
        <v>0.43413482709543028</v>
      </c>
      <c r="J37" s="259">
        <f t="shared" si="17"/>
        <v>0.43422425641529783</v>
      </c>
      <c r="K37" s="259">
        <f t="shared" si="17"/>
        <v>0.42579233666549071</v>
      </c>
      <c r="L37" s="259">
        <f t="shared" si="17"/>
        <v>0.43367245902011109</v>
      </c>
      <c r="M37" s="259">
        <f t="shared" si="17"/>
        <v>0.42980818224771439</v>
      </c>
      <c r="N37" s="259">
        <f t="shared" si="17"/>
        <v>0.43613793949666646</v>
      </c>
      <c r="O37" s="259">
        <f t="shared" si="17"/>
        <v>0.44591119442228816</v>
      </c>
      <c r="P37" s="259">
        <f t="shared" si="17"/>
        <v>0.4417428705907257</v>
      </c>
      <c r="Q37" s="259">
        <f t="shared" si="17"/>
        <v>0.44155275917404413</v>
      </c>
      <c r="R37" s="259">
        <f t="shared" si="17"/>
        <v>0.44329329513442067</v>
      </c>
      <c r="S37" s="259">
        <f t="shared" si="17"/>
        <v>0.44298775742006513</v>
      </c>
      <c r="T37" s="259">
        <f t="shared" si="17"/>
        <v>0.4313026714425866</v>
      </c>
      <c r="U37" s="259">
        <f t="shared" si="17"/>
        <v>0.42306165833449583</v>
      </c>
      <c r="V37" s="259">
        <f t="shared" si="17"/>
        <v>0.42077540770347638</v>
      </c>
      <c r="W37" s="259">
        <f t="shared" si="17"/>
        <v>0.43458318812348401</v>
      </c>
      <c r="X37" s="259">
        <f t="shared" si="17"/>
        <v>0.42969239503274032</v>
      </c>
      <c r="Y37" s="259">
        <f t="shared" si="17"/>
        <v>0.42563782769879377</v>
      </c>
      <c r="DA37" s="278"/>
    </row>
    <row r="38" spans="1:105" x14ac:dyDescent="0.25">
      <c r="A38" s="127" t="s">
        <v>167</v>
      </c>
      <c r="B38" s="259">
        <f t="shared" ref="B38:Y38" si="18">IF(B$25=0,0,B$25/B$5)</f>
        <v>4.1462158667155205E-2</v>
      </c>
      <c r="C38" s="259">
        <f t="shared" si="18"/>
        <v>4.0809362184236982E-2</v>
      </c>
      <c r="D38" s="259">
        <f t="shared" si="18"/>
        <v>4.1438896442969567E-2</v>
      </c>
      <c r="E38" s="259">
        <f t="shared" si="18"/>
        <v>4.0845636196813369E-2</v>
      </c>
      <c r="F38" s="259">
        <f t="shared" si="18"/>
        <v>4.0610923217588552E-2</v>
      </c>
      <c r="G38" s="259">
        <f t="shared" si="18"/>
        <v>4.1510451682609126E-2</v>
      </c>
      <c r="H38" s="259">
        <f t="shared" si="18"/>
        <v>4.1482548903517019E-2</v>
      </c>
      <c r="I38" s="259">
        <f t="shared" si="18"/>
        <v>4.1751069976345735E-2</v>
      </c>
      <c r="J38" s="259">
        <f t="shared" si="18"/>
        <v>4.130655003021208E-2</v>
      </c>
      <c r="K38" s="259">
        <f t="shared" si="18"/>
        <v>4.1282127638982466E-2</v>
      </c>
      <c r="L38" s="259">
        <f t="shared" si="18"/>
        <v>4.0589005646977809E-2</v>
      </c>
      <c r="M38" s="259">
        <f t="shared" si="18"/>
        <v>4.0921091202164535E-2</v>
      </c>
      <c r="N38" s="259">
        <f t="shared" si="18"/>
        <v>4.0467069494513008E-2</v>
      </c>
      <c r="O38" s="259">
        <f t="shared" si="18"/>
        <v>3.9881883652204062E-2</v>
      </c>
      <c r="P38" s="259">
        <f t="shared" si="18"/>
        <v>4.0472244937124563E-2</v>
      </c>
      <c r="Q38" s="259">
        <f t="shared" si="18"/>
        <v>4.0164970723478868E-2</v>
      </c>
      <c r="R38" s="259">
        <f t="shared" si="18"/>
        <v>3.9648989430303351E-2</v>
      </c>
      <c r="S38" s="259">
        <f t="shared" si="18"/>
        <v>3.944923514829201E-2</v>
      </c>
      <c r="T38" s="259">
        <f t="shared" si="18"/>
        <v>4.0171920933306238E-2</v>
      </c>
      <c r="U38" s="259">
        <f t="shared" si="18"/>
        <v>4.017736394447096E-2</v>
      </c>
      <c r="V38" s="259">
        <f t="shared" si="18"/>
        <v>3.957062878580847E-2</v>
      </c>
      <c r="W38" s="259">
        <f t="shared" si="18"/>
        <v>3.8289633317254573E-2</v>
      </c>
      <c r="X38" s="259">
        <f t="shared" si="18"/>
        <v>3.8761534957804919E-2</v>
      </c>
      <c r="Y38" s="259">
        <f t="shared" si="18"/>
        <v>3.8839284354594078E-2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2.2044887028591652E-2</v>
      </c>
      <c r="C39" s="259">
        <f t="shared" si="19"/>
        <v>2.1475588759338301E-2</v>
      </c>
      <c r="D39" s="259">
        <f t="shared" si="19"/>
        <v>2.2698355028934539E-2</v>
      </c>
      <c r="E39" s="259">
        <f t="shared" si="19"/>
        <v>2.2193230853404369E-2</v>
      </c>
      <c r="F39" s="259">
        <f t="shared" si="19"/>
        <v>2.1908663308675084E-2</v>
      </c>
      <c r="G39" s="259">
        <f t="shared" si="19"/>
        <v>2.3772346418163559E-2</v>
      </c>
      <c r="H39" s="259">
        <f t="shared" si="19"/>
        <v>2.4754202542897782E-2</v>
      </c>
      <c r="I39" s="259">
        <f t="shared" si="19"/>
        <v>2.6037894773997809E-2</v>
      </c>
      <c r="J39" s="259">
        <f t="shared" si="19"/>
        <v>2.6560135969464597E-2</v>
      </c>
      <c r="K39" s="259">
        <f t="shared" si="19"/>
        <v>2.7716661915709987E-2</v>
      </c>
      <c r="L39" s="259">
        <f t="shared" si="19"/>
        <v>2.7289701809182623E-2</v>
      </c>
      <c r="M39" s="259">
        <f t="shared" si="19"/>
        <v>2.7520055945242032E-2</v>
      </c>
      <c r="N39" s="259">
        <f t="shared" si="19"/>
        <v>2.7316960562620569E-2</v>
      </c>
      <c r="O39" s="259">
        <f t="shared" si="19"/>
        <v>2.6533289522312598E-2</v>
      </c>
      <c r="P39" s="259">
        <f t="shared" si="19"/>
        <v>2.6411157087868887E-2</v>
      </c>
      <c r="Q39" s="259">
        <f t="shared" si="19"/>
        <v>2.6661888289877526E-2</v>
      </c>
      <c r="R39" s="259">
        <f t="shared" si="19"/>
        <v>2.6909827634826033E-2</v>
      </c>
      <c r="S39" s="259">
        <f t="shared" si="19"/>
        <v>2.689588153797624E-2</v>
      </c>
      <c r="T39" s="259">
        <f t="shared" si="19"/>
        <v>2.7787483236858531E-2</v>
      </c>
      <c r="U39" s="259">
        <f t="shared" si="19"/>
        <v>2.8745673309427663E-2</v>
      </c>
      <c r="V39" s="259">
        <f t="shared" si="19"/>
        <v>2.9692103118171911E-2</v>
      </c>
      <c r="W39" s="259">
        <f t="shared" si="19"/>
        <v>2.9199275803288776E-2</v>
      </c>
      <c r="X39" s="259">
        <f t="shared" si="19"/>
        <v>2.9612627206679516E-2</v>
      </c>
      <c r="Y39" s="259">
        <f t="shared" si="19"/>
        <v>3.0267818966834573E-2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3.1965086191457916E-2</v>
      </c>
      <c r="C40" s="261">
        <f t="shared" si="20"/>
        <v>3.113960370104054E-2</v>
      </c>
      <c r="D40" s="261">
        <f t="shared" si="20"/>
        <v>3.2912614791955057E-2</v>
      </c>
      <c r="E40" s="261">
        <f t="shared" si="20"/>
        <v>3.2180184737436342E-2</v>
      </c>
      <c r="F40" s="261">
        <f t="shared" si="20"/>
        <v>3.1767561797578878E-2</v>
      </c>
      <c r="G40" s="261">
        <f t="shared" si="20"/>
        <v>3.4469902306337161E-2</v>
      </c>
      <c r="H40" s="261">
        <f t="shared" si="20"/>
        <v>3.589359368720179E-2</v>
      </c>
      <c r="I40" s="261">
        <f t="shared" si="20"/>
        <v>3.7754947422296813E-2</v>
      </c>
      <c r="J40" s="261">
        <f t="shared" si="20"/>
        <v>3.8512197155723675E-2</v>
      </c>
      <c r="K40" s="261">
        <f t="shared" si="20"/>
        <v>4.0189159777779482E-2</v>
      </c>
      <c r="L40" s="261">
        <f t="shared" si="20"/>
        <v>3.9570067623314817E-2</v>
      </c>
      <c r="M40" s="261">
        <f t="shared" si="20"/>
        <v>3.9904081120600961E-2</v>
      </c>
      <c r="N40" s="261">
        <f t="shared" si="20"/>
        <v>3.9609592815799823E-2</v>
      </c>
      <c r="O40" s="261">
        <f t="shared" si="20"/>
        <v>3.8473269807353272E-2</v>
      </c>
      <c r="P40" s="261">
        <f t="shared" si="20"/>
        <v>3.8296177777409887E-2</v>
      </c>
      <c r="Q40" s="261">
        <f t="shared" si="20"/>
        <v>3.8659738020322409E-2</v>
      </c>
      <c r="R40" s="261">
        <f t="shared" si="20"/>
        <v>3.9019250070497759E-2</v>
      </c>
      <c r="S40" s="261">
        <f t="shared" si="20"/>
        <v>3.8999028230065548E-2</v>
      </c>
      <c r="T40" s="261">
        <f t="shared" si="20"/>
        <v>4.0291850693444861E-2</v>
      </c>
      <c r="U40" s="261">
        <f t="shared" si="20"/>
        <v>4.168122629867009E-2</v>
      </c>
      <c r="V40" s="261">
        <f t="shared" si="20"/>
        <v>4.3053549521349245E-2</v>
      </c>
      <c r="W40" s="261">
        <f t="shared" si="20"/>
        <v>4.2338949914768727E-2</v>
      </c>
      <c r="X40" s="261">
        <f t="shared" si="20"/>
        <v>4.2938309449685304E-2</v>
      </c>
      <c r="Y40" s="261">
        <f t="shared" si="20"/>
        <v>4.3888337501910131E-2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112.47171201628669</v>
      </c>
      <c r="C44" s="236">
        <f t="shared" si="21"/>
        <v>109.81942433546165</v>
      </c>
      <c r="D44" s="236">
        <f t="shared" si="21"/>
        <v>113.80906613357625</v>
      </c>
      <c r="E44" s="236">
        <f t="shared" si="21"/>
        <v>119.53787119840246</v>
      </c>
      <c r="F44" s="236">
        <f t="shared" si="21"/>
        <v>117.30616060932351</v>
      </c>
      <c r="G44" s="236">
        <f t="shared" si="21"/>
        <v>134.29403412451356</v>
      </c>
      <c r="H44" s="236">
        <f t="shared" si="21"/>
        <v>130.05722800154629</v>
      </c>
      <c r="I44" s="236">
        <f t="shared" si="21"/>
        <v>117.81469406104158</v>
      </c>
      <c r="J44" s="236">
        <f t="shared" si="21"/>
        <v>123.49619118298845</v>
      </c>
      <c r="K44" s="236">
        <f t="shared" si="21"/>
        <v>137.83360398812138</v>
      </c>
      <c r="L44" s="236">
        <f t="shared" si="21"/>
        <v>128.47617233393541</v>
      </c>
      <c r="M44" s="236">
        <f t="shared" si="21"/>
        <v>116.02131221383358</v>
      </c>
      <c r="N44" s="236">
        <f t="shared" si="21"/>
        <v>118.3121684496124</v>
      </c>
      <c r="O44" s="236">
        <f t="shared" si="21"/>
        <v>117.89482713876833</v>
      </c>
      <c r="P44" s="236">
        <f t="shared" si="21"/>
        <v>114.21265320772915</v>
      </c>
      <c r="Q44" s="236">
        <f t="shared" si="21"/>
        <v>116.6772871901978</v>
      </c>
      <c r="R44" s="236">
        <f t="shared" si="21"/>
        <v>118.41249825520163</v>
      </c>
      <c r="S44" s="236">
        <f t="shared" si="21"/>
        <v>109.25986032686187</v>
      </c>
      <c r="T44" s="236">
        <f t="shared" si="21"/>
        <v>115.03952384499107</v>
      </c>
      <c r="U44" s="236">
        <f t="shared" si="21"/>
        <v>114.31053707016736</v>
      </c>
      <c r="V44" s="236">
        <f t="shared" si="21"/>
        <v>121.02278233994654</v>
      </c>
      <c r="W44" s="236">
        <f t="shared" si="21"/>
        <v>115.61293230102245</v>
      </c>
      <c r="X44" s="236">
        <f t="shared" si="21"/>
        <v>98.926512660278462</v>
      </c>
      <c r="Y44" s="236">
        <f t="shared" si="21"/>
        <v>101.37891512464498</v>
      </c>
      <c r="DA44" s="280"/>
    </row>
    <row r="45" spans="1:105" x14ac:dyDescent="0.25">
      <c r="A45" s="238" t="s">
        <v>125</v>
      </c>
      <c r="B45" s="247">
        <f>IF(B$6=0,0,B$6/AGR!B$5*1000)</f>
        <v>2.479426185311334</v>
      </c>
      <c r="C45" s="247">
        <f>IF(C$6=0,0,C$6/AGR!C$5*1000)</f>
        <v>2.3584367948156437</v>
      </c>
      <c r="D45" s="247">
        <f>IF(D$6=0,0,D$6/AGR!D$5*1000)</f>
        <v>2.583278588611404</v>
      </c>
      <c r="E45" s="247">
        <f>IF(E$6=0,0,E$6/AGR!E$5*1000)</f>
        <v>2.6529315712306629</v>
      </c>
      <c r="F45" s="247">
        <f>IF(F$6=0,0,F$6/AGR!F$5*1000)</f>
        <v>2.5700211768230319</v>
      </c>
      <c r="G45" s="247">
        <f>IF(G$6=0,0,G$6/AGR!G$5*1000)</f>
        <v>3.1924843011006137</v>
      </c>
      <c r="H45" s="247">
        <f>IF(H$6=0,0,H$6/AGR!H$5*1000)</f>
        <v>3.2194629641181143</v>
      </c>
      <c r="I45" s="247">
        <f>IF(I$6=0,0,I$6/AGR!I$5*1000)</f>
        <v>3.0676466067921453</v>
      </c>
      <c r="J45" s="247">
        <f>IF(J$6=0,0,J$6/AGR!J$5*1000)</f>
        <v>3.2800756295311686</v>
      </c>
      <c r="K45" s="247">
        <f>IF(K$6=0,0,K$6/AGR!K$5*1000)</f>
        <v>3.8202874023626157</v>
      </c>
      <c r="L45" s="247">
        <f>IF(L$6=0,0,L$6/AGR!L$5*1000)</f>
        <v>3.5060764325782556</v>
      </c>
      <c r="M45" s="247">
        <f>IF(M$6=0,0,M$6/AGR!M$5*1000)</f>
        <v>3.192913002965093</v>
      </c>
      <c r="N45" s="247">
        <f>IF(N$6=0,0,N$6/AGR!N$5*1000)</f>
        <v>3.2319288396161827</v>
      </c>
      <c r="O45" s="247">
        <f>IF(O$6=0,0,O$6/AGR!O$5*1000)</f>
        <v>3.128137581655936</v>
      </c>
      <c r="P45" s="247">
        <f>IF(P$6=0,0,P$6/AGR!P$5*1000)</f>
        <v>3.0164883252916268</v>
      </c>
      <c r="Q45" s="247">
        <f>IF(Q$6=0,0,Q$6/AGR!Q$5*1000)</f>
        <v>3.1108367970310118</v>
      </c>
      <c r="R45" s="247">
        <f>IF(R$6=0,0,R$6/AGR!R$5*1000)</f>
        <v>3.186459917856614</v>
      </c>
      <c r="S45" s="247">
        <f>IF(S$6=0,0,S$6/AGR!S$5*1000)</f>
        <v>2.938640260207106</v>
      </c>
      <c r="T45" s="247">
        <f>IF(T$6=0,0,T$6/AGR!T$5*1000)</f>
        <v>3.1966588404188765</v>
      </c>
      <c r="U45" s="247">
        <f>IF(U$6=0,0,U$6/AGR!U$5*1000)</f>
        <v>3.2859333544442508</v>
      </c>
      <c r="V45" s="247">
        <f>IF(V$6=0,0,V$6/AGR!V$5*1000)</f>
        <v>3.5934209328857669</v>
      </c>
      <c r="W45" s="247">
        <f>IF(W$6=0,0,W$6/AGR!W$5*1000)</f>
        <v>3.3758138966845075</v>
      </c>
      <c r="X45" s="247">
        <f>IF(X$6=0,0,X$6/AGR!X$5*1000)</f>
        <v>2.9294739402656869</v>
      </c>
      <c r="Y45" s="247">
        <f>IF(Y$6=0,0,Y$6/AGR!Y$5*1000)</f>
        <v>3.0685186500468409</v>
      </c>
      <c r="DA45" s="281"/>
    </row>
    <row r="46" spans="1:105" x14ac:dyDescent="0.25">
      <c r="A46" s="240" t="s">
        <v>124</v>
      </c>
      <c r="B46" s="248">
        <f>IF(B$7=0,0,B$7/AGR!B$5*1000)</f>
        <v>1.6116270204523675</v>
      </c>
      <c r="C46" s="248">
        <f>IF(C$7=0,0,C$7/AGR!C$5*1000)</f>
        <v>1.5329839166301682</v>
      </c>
      <c r="D46" s="248">
        <f>IF(D$7=0,0,D$7/AGR!D$5*1000)</f>
        <v>1.6791310825974113</v>
      </c>
      <c r="E46" s="248">
        <f>IF(E$7=0,0,E$7/AGR!E$5*1000)</f>
        <v>1.7244055212999303</v>
      </c>
      <c r="F46" s="248">
        <f>IF(F$7=0,0,F$7/AGR!F$5*1000)</f>
        <v>1.6705137649349708</v>
      </c>
      <c r="G46" s="248">
        <f>IF(G$7=0,0,G$7/AGR!G$5*1000)</f>
        <v>2.075114795715399</v>
      </c>
      <c r="H46" s="248">
        <f>IF(H$7=0,0,H$7/AGR!H$5*1000)</f>
        <v>2.0926509266767739</v>
      </c>
      <c r="I46" s="248">
        <f>IF(I$7=0,0,I$7/AGR!I$5*1000)</f>
        <v>1.9939702944148943</v>
      </c>
      <c r="J46" s="248">
        <f>IF(J$7=0,0,J$7/AGR!J$5*1000)</f>
        <v>2.1320491591952595</v>
      </c>
      <c r="K46" s="248">
        <f>IF(K$7=0,0,K$7/AGR!K$5*1000)</f>
        <v>2.4831868115357012</v>
      </c>
      <c r="L46" s="248">
        <f>IF(L$7=0,0,L$7/AGR!L$5*1000)</f>
        <v>2.2789496811758649</v>
      </c>
      <c r="M46" s="248">
        <f>IF(M$7=0,0,M$7/AGR!M$5*1000)</f>
        <v>2.0753934519273107</v>
      </c>
      <c r="N46" s="248">
        <f>IF(N$7=0,0,N$7/AGR!N$5*1000)</f>
        <v>2.1007537457505179</v>
      </c>
      <c r="O46" s="248">
        <f>IF(O$7=0,0,O$7/AGR!O$5*1000)</f>
        <v>2.0332894280763587</v>
      </c>
      <c r="P46" s="248">
        <f>IF(P$7=0,0,P$7/AGR!P$5*1000)</f>
        <v>1.9607174114395576</v>
      </c>
      <c r="Q46" s="248">
        <f>IF(Q$7=0,0,Q$7/AGR!Q$5*1000)</f>
        <v>2.0220439180701573</v>
      </c>
      <c r="R46" s="248">
        <f>IF(R$7=0,0,R$7/AGR!R$5*1000)</f>
        <v>2.0711989466067995</v>
      </c>
      <c r="S46" s="248">
        <f>IF(S$7=0,0,S$7/AGR!S$5*1000)</f>
        <v>1.9101161691346189</v>
      </c>
      <c r="T46" s="248">
        <f>IF(T$7=0,0,T$7/AGR!T$5*1000)</f>
        <v>2.077828246272269</v>
      </c>
      <c r="U46" s="248">
        <f>IF(U$7=0,0,U$7/AGR!U$5*1000)</f>
        <v>2.1358566803887618</v>
      </c>
      <c r="V46" s="248">
        <f>IF(V$7=0,0,V$7/AGR!V$5*1000)</f>
        <v>2.3357236063757472</v>
      </c>
      <c r="W46" s="248">
        <f>IF(W$7=0,0,W$7/AGR!W$5*1000)</f>
        <v>2.1942790328449293</v>
      </c>
      <c r="X46" s="248">
        <f>IF(X$7=0,0,X$7/AGR!X$5*1000)</f>
        <v>1.9041580611726969</v>
      </c>
      <c r="Y46" s="248">
        <f>IF(Y$7=0,0,Y$7/AGR!Y$5*1000)</f>
        <v>1.9945371225304473</v>
      </c>
      <c r="DA46" s="282"/>
    </row>
    <row r="47" spans="1:105" x14ac:dyDescent="0.25">
      <c r="A47" s="240" t="s">
        <v>123</v>
      </c>
      <c r="B47" s="248">
        <f>IF(B$8=0,0,B$8/AGR!B$5*1000)</f>
        <v>2.2314835667802027</v>
      </c>
      <c r="C47" s="248">
        <f>IF(C$8=0,0,C$8/AGR!C$5*1000)</f>
        <v>2.1225931153340785</v>
      </c>
      <c r="D47" s="248">
        <f>IF(D$8=0,0,D$8/AGR!D$5*1000)</f>
        <v>2.324950729750261</v>
      </c>
      <c r="E47" s="248">
        <f>IF(E$8=0,0,E$8/AGR!E$5*1000)</f>
        <v>2.387638414107597</v>
      </c>
      <c r="F47" s="248">
        <f>IF(F$8=0,0,F$8/AGR!F$5*1000)</f>
        <v>2.3130190591407285</v>
      </c>
      <c r="G47" s="248">
        <f>IF(G$8=0,0,G$8/AGR!G$5*1000)</f>
        <v>2.8732358709905541</v>
      </c>
      <c r="H47" s="248">
        <f>IF(H$8=0,0,H$8/AGR!H$5*1000)</f>
        <v>2.8975166677063018</v>
      </c>
      <c r="I47" s="248">
        <f>IF(I$8=0,0,I$8/AGR!I$5*1000)</f>
        <v>2.7608819461129301</v>
      </c>
      <c r="J47" s="248">
        <f>IF(J$8=0,0,J$8/AGR!J$5*1000)</f>
        <v>2.9520680665780508</v>
      </c>
      <c r="K47" s="248">
        <f>IF(K$8=0,0,K$8/AGR!K$5*1000)</f>
        <v>3.4382586621263544</v>
      </c>
      <c r="L47" s="248">
        <f>IF(L$8=0,0,L$8/AGR!L$5*1000)</f>
        <v>3.1554687893204303</v>
      </c>
      <c r="M47" s="248">
        <f>IF(M$8=0,0,M$8/AGR!M$5*1000)</f>
        <v>2.8736217026685833</v>
      </c>
      <c r="N47" s="248">
        <f>IF(N$8=0,0,N$8/AGR!N$5*1000)</f>
        <v>2.9087359556545649</v>
      </c>
      <c r="O47" s="248">
        <f>IF(O$8=0,0,O$8/AGR!O$5*1000)</f>
        <v>2.8153238234903428</v>
      </c>
      <c r="P47" s="248">
        <f>IF(P$8=0,0,P$8/AGR!P$5*1000)</f>
        <v>2.7148394927624642</v>
      </c>
      <c r="Q47" s="248">
        <f>IF(Q$8=0,0,Q$8/AGR!Q$5*1000)</f>
        <v>2.7997531173279109</v>
      </c>
      <c r="R47" s="248">
        <f>IF(R$8=0,0,R$8/AGR!R$5*1000)</f>
        <v>2.8678139260709528</v>
      </c>
      <c r="S47" s="248">
        <f>IF(S$8=0,0,S$8/AGR!S$5*1000)</f>
        <v>2.6447762341863963</v>
      </c>
      <c r="T47" s="248">
        <f>IF(T$8=0,0,T$8/AGR!T$5*1000)</f>
        <v>2.8769929563769883</v>
      </c>
      <c r="U47" s="248">
        <f>IF(U$8=0,0,U$8/AGR!U$5*1000)</f>
        <v>2.9573400189998242</v>
      </c>
      <c r="V47" s="248">
        <f>IF(V$8=0,0,V$8/AGR!V$5*1000)</f>
        <v>3.2340788395971898</v>
      </c>
      <c r="W47" s="248">
        <f>IF(W$8=0,0,W$8/AGR!W$5*1000)</f>
        <v>3.0382325070160574</v>
      </c>
      <c r="X47" s="248">
        <f>IF(X$8=0,0,X$8/AGR!X$5*1000)</f>
        <v>2.6365265462391174</v>
      </c>
      <c r="Y47" s="248">
        <f>IF(Y$8=0,0,Y$8/AGR!Y$5*1000)</f>
        <v>2.7616667850421566</v>
      </c>
      <c r="DA47" s="282"/>
    </row>
    <row r="48" spans="1:105" x14ac:dyDescent="0.25">
      <c r="A48" s="242" t="s">
        <v>122</v>
      </c>
      <c r="B48" s="249">
        <f>IF(B$9=0,0,B$9/AGR!B$5*1000)</f>
        <v>18.807602124677189</v>
      </c>
      <c r="C48" s="249">
        <f>IF(C$9=0,0,C$9/AGR!C$5*1000)</f>
        <v>18.118792811940956</v>
      </c>
      <c r="D48" s="249">
        <f>IF(D$9=0,0,D$9/AGR!D$5*1000)</f>
        <v>19.16962144549105</v>
      </c>
      <c r="E48" s="249">
        <f>IF(E$9=0,0,E$9/AGR!E$5*1000)</f>
        <v>19.88978624011677</v>
      </c>
      <c r="F48" s="249">
        <f>IF(F$9=0,0,F$9/AGR!F$5*1000)</f>
        <v>19.398834749004312</v>
      </c>
      <c r="G48" s="249">
        <f>IF(G$9=0,0,G$9/AGR!G$5*1000)</f>
        <v>23.143865915855962</v>
      </c>
      <c r="H48" s="249">
        <f>IF(H$9=0,0,H$9/AGR!H$5*1000)</f>
        <v>22.507542266089285</v>
      </c>
      <c r="I48" s="249">
        <f>IF(I$9=0,0,I$9/AGR!I$5*1000)</f>
        <v>20.812002924421471</v>
      </c>
      <c r="J48" s="249">
        <f>IF(J$9=0,0,J$9/AGR!J$5*1000)</f>
        <v>21.82270331891808</v>
      </c>
      <c r="K48" s="249">
        <f>IF(K$9=0,0,K$9/AGR!K$5*1000)</f>
        <v>24.742277104899273</v>
      </c>
      <c r="L48" s="249">
        <f>IF(L$9=0,0,L$9/AGR!L$5*1000)</f>
        <v>22.876871235883971</v>
      </c>
      <c r="M48" s="249">
        <f>IF(M$9=0,0,M$9/AGR!M$5*1000)</f>
        <v>20.734792657106023</v>
      </c>
      <c r="N48" s="249">
        <f>IF(N$9=0,0,N$9/AGR!N$5*1000)</f>
        <v>20.848717990059367</v>
      </c>
      <c r="O48" s="249">
        <f>IF(O$9=0,0,O$9/AGR!O$5*1000)</f>
        <v>20.512931827559349</v>
      </c>
      <c r="P48" s="249">
        <f>IF(P$9=0,0,P$9/AGR!P$5*1000)</f>
        <v>19.999759981382336</v>
      </c>
      <c r="Q48" s="249">
        <f>IF(Q$9=0,0,Q$9/AGR!Q$5*1000)</f>
        <v>20.529676978156868</v>
      </c>
      <c r="R48" s="249">
        <f>IF(R$9=0,0,R$9/AGR!R$5*1000)</f>
        <v>20.861153631202971</v>
      </c>
      <c r="S48" s="249">
        <f>IF(S$9=0,0,S$9/AGR!S$5*1000)</f>
        <v>19.425106387250928</v>
      </c>
      <c r="T48" s="249">
        <f>IF(T$9=0,0,T$9/AGR!T$5*1000)</f>
        <v>20.768273434024316</v>
      </c>
      <c r="U48" s="249">
        <f>IF(U$9=0,0,U$9/AGR!U$5*1000)</f>
        <v>21.027186669681694</v>
      </c>
      <c r="V48" s="249">
        <f>IF(V$9=0,0,V$9/AGR!V$5*1000)</f>
        <v>22.421436063147645</v>
      </c>
      <c r="W48" s="249">
        <f>IF(W$9=0,0,W$9/AGR!W$5*1000)</f>
        <v>21.026517920663199</v>
      </c>
      <c r="X48" s="249">
        <f>IF(X$9=0,0,X$9/AGR!X$5*1000)</f>
        <v>17.981504794173379</v>
      </c>
      <c r="Y48" s="249">
        <f>IF(Y$9=0,0,Y$9/AGR!Y$5*1000)</f>
        <v>18.457302185400568</v>
      </c>
      <c r="DA48" s="283"/>
    </row>
    <row r="49" spans="1:105" x14ac:dyDescent="0.25">
      <c r="A49" s="127" t="s">
        <v>168</v>
      </c>
      <c r="B49" s="262">
        <f>IF(B$16=0,0,B$16/AGR!B$5*1000)</f>
        <v>24.268112023986131</v>
      </c>
      <c r="C49" s="262">
        <f>IF(C$16=0,0,C$16/AGR!C$5*1000)</f>
        <v>23.322749399873359</v>
      </c>
      <c r="D49" s="262">
        <f>IF(D$16=0,0,D$16/AGR!D$5*1000)</f>
        <v>24.542896549699101</v>
      </c>
      <c r="E49" s="262">
        <f>IF(E$16=0,0,E$16/AGR!E$5*1000)</f>
        <v>25.40925654410459</v>
      </c>
      <c r="F49" s="262">
        <f>IF(F$16=0,0,F$16/AGR!F$5*1000)</f>
        <v>24.791594458077856</v>
      </c>
      <c r="G49" s="262">
        <f>IF(G$16=0,0,G$16/AGR!G$5*1000)</f>
        <v>29.010482692674262</v>
      </c>
      <c r="H49" s="262">
        <f>IF(H$16=0,0,H$16/AGR!H$5*1000)</f>
        <v>28.076353579049886</v>
      </c>
      <c r="I49" s="262">
        <f>IF(I$16=0,0,I$16/AGR!I$5*1000)</f>
        <v>25.598106731183794</v>
      </c>
      <c r="J49" s="262">
        <f>IF(J$16=0,0,J$16/AGR!J$5*1000)</f>
        <v>26.546866330219164</v>
      </c>
      <c r="K49" s="262">
        <f>IF(K$16=0,0,K$16/AGR!K$5*1000)</f>
        <v>29.611333125502345</v>
      </c>
      <c r="L49" s="262">
        <f>IF(L$16=0,0,L$16/AGR!L$5*1000)</f>
        <v>27.137621269246619</v>
      </c>
      <c r="M49" s="262">
        <f>IF(M$16=0,0,M$16/AGR!M$5*1000)</f>
        <v>24.707326538782638</v>
      </c>
      <c r="N49" s="262">
        <f>IF(N$16=0,0,N$16/AGR!N$5*1000)</f>
        <v>24.915634153778665</v>
      </c>
      <c r="O49" s="262">
        <f>IF(O$16=0,0,O$16/AGR!O$5*1000)</f>
        <v>24.468716438126865</v>
      </c>
      <c r="P49" s="262">
        <f>IF(P$16=0,0,P$16/AGR!P$5*1000)</f>
        <v>24.055383838581275</v>
      </c>
      <c r="Q49" s="262">
        <f>IF(Q$16=0,0,Q$16/AGR!Q$5*1000)</f>
        <v>24.387908311022453</v>
      </c>
      <c r="R49" s="262">
        <f>IF(R$16=0,0,R$16/AGR!R$5*1000)</f>
        <v>24.432642606332102</v>
      </c>
      <c r="S49" s="262">
        <f>IF(S$16=0,0,S$16/AGR!S$5*1000)</f>
        <v>22.430554214045415</v>
      </c>
      <c r="T49" s="262">
        <f>IF(T$16=0,0,T$16/AGR!T$5*1000)</f>
        <v>24.049743596938395</v>
      </c>
      <c r="U49" s="262">
        <f>IF(U$16=0,0,U$16/AGR!U$5*1000)</f>
        <v>23.900582199696501</v>
      </c>
      <c r="V49" s="262">
        <f>IF(V$16=0,0,V$16/AGR!V$5*1000)</f>
        <v>24.921883437270267</v>
      </c>
      <c r="W49" s="262">
        <f>IF(W$16=0,0,W$16/AGR!W$5*1000)</f>
        <v>23.037131404715137</v>
      </c>
      <c r="X49" s="262">
        <f>IF(X$16=0,0,X$16/AGR!X$5*1000)</f>
        <v>19.955124528809776</v>
      </c>
      <c r="Y49" s="262">
        <f>IF(Y$16=0,0,Y$16/AGR!Y$5*1000)</f>
        <v>20.490833968809586</v>
      </c>
      <c r="DA49" s="284"/>
    </row>
    <row r="50" spans="1:105" x14ac:dyDescent="0.25">
      <c r="A50" s="127" t="s">
        <v>121</v>
      </c>
      <c r="B50" s="262">
        <f>IF(B$17=0,0,B$17/AGR!B$5*1000)</f>
        <v>52.335546971880824</v>
      </c>
      <c r="C50" s="262">
        <f>IF(C$17=0,0,C$17/AGR!C$5*1000)</f>
        <v>52.104037486998848</v>
      </c>
      <c r="D50" s="262">
        <f>IF(D$17=0,0,D$17/AGR!D$5*1000)</f>
        <v>52.464033089548749</v>
      </c>
      <c r="E50" s="262">
        <f>IF(E$17=0,0,E$17/AGR!E$5*1000)</f>
        <v>56.091570159316298</v>
      </c>
      <c r="F50" s="262">
        <f>IF(F$17=0,0,F$17/AGR!F$5*1000)</f>
        <v>55.501714036670833</v>
      </c>
      <c r="G50" s="262">
        <f>IF(G$17=0,0,G$17/AGR!G$5*1000)</f>
        <v>60.602657995691978</v>
      </c>
      <c r="H50" s="262">
        <f>IF(H$17=0,0,H$17/AGR!H$5*1000)</f>
        <v>57.980912014986558</v>
      </c>
      <c r="I50" s="262">
        <f>IF(I$17=0,0,I$17/AGR!I$5*1000)</f>
        <v>51.147461835491299</v>
      </c>
      <c r="J50" s="262">
        <f>IF(J$17=0,0,J$17/AGR!J$5*1000)</f>
        <v>53.625041786554618</v>
      </c>
      <c r="K50" s="262">
        <f>IF(K$17=0,0,K$17/AGR!K$5*1000)</f>
        <v>58.688492313128101</v>
      </c>
      <c r="L50" s="262">
        <f>IF(L$17=0,0,L$17/AGR!L$5*1000)</f>
        <v>55.71657758154933</v>
      </c>
      <c r="M50" s="262">
        <f>IF(M$17=0,0,M$17/AGR!M$5*1000)</f>
        <v>49.866909304622354</v>
      </c>
      <c r="N50" s="262">
        <f>IF(N$17=0,0,N$17/AGR!N$5*1000)</f>
        <v>51.600425364996447</v>
      </c>
      <c r="O50" s="262">
        <f>IF(O$17=0,0,O$17/AGR!O$5*1000)</f>
        <v>52.570623185657361</v>
      </c>
      <c r="P50" s="262">
        <f>IF(P$17=0,0,P$17/AGR!P$5*1000)</f>
        <v>50.452625285765329</v>
      </c>
      <c r="Q50" s="262">
        <f>IF(Q$17=0,0,Q$17/AGR!Q$5*1000)</f>
        <v>51.519178091774201</v>
      </c>
      <c r="R50" s="262">
        <f>IF(R$17=0,0,R$17/AGR!R$5*1000)</f>
        <v>52.491466536647174</v>
      </c>
      <c r="S50" s="262">
        <f>IF(S$17=0,0,S$17/AGR!S$5*1000)</f>
        <v>48.40078050222607</v>
      </c>
      <c r="T50" s="262">
        <f>IF(T$17=0,0,T$17/AGR!T$5*1000)</f>
        <v>49.616853955827786</v>
      </c>
      <c r="U50" s="262">
        <f>IF(U$17=0,0,U$17/AGR!U$5*1000)</f>
        <v>48.360405378011862</v>
      </c>
      <c r="V50" s="262">
        <f>IF(V$17=0,0,V$17/AGR!V$5*1000)</f>
        <v>50.923410580500089</v>
      </c>
      <c r="W50" s="262">
        <f>IF(W$17=0,0,W$17/AGR!W$5*1000)</f>
        <v>50.243436707682847</v>
      </c>
      <c r="X50" s="262">
        <f>IF(X$17=0,0,X$17/AGR!X$5*1000)</f>
        <v>42.507970157231753</v>
      </c>
      <c r="Y50" s="262">
        <f>IF(Y$17=0,0,Y$17/AGR!Y$5*1000)</f>
        <v>43.15070120811427</v>
      </c>
      <c r="DA50" s="284"/>
    </row>
    <row r="51" spans="1:105" x14ac:dyDescent="0.25">
      <c r="A51" s="127" t="s">
        <v>167</v>
      </c>
      <c r="B51" s="262">
        <f>IF(B$25=0,0,B$25/AGR!B$5*1000)</f>
        <v>4.6633199691858653</v>
      </c>
      <c r="C51" s="262">
        <f>IF(C$25=0,0,C$25/AGR!C$5*1000)</f>
        <v>4.4816606625702642</v>
      </c>
      <c r="D51" s="262">
        <f>IF(D$25=0,0,D$25/AGR!D$5*1000)</f>
        <v>4.7161221057803413</v>
      </c>
      <c r="E51" s="262">
        <f>IF(E$25=0,0,E$25/AGR!E$5*1000)</f>
        <v>4.8826003987114817</v>
      </c>
      <c r="F51" s="262">
        <f>IF(F$25=0,0,F$25/AGR!F$5*1000)</f>
        <v>4.7639114814553469</v>
      </c>
      <c r="G51" s="262">
        <f>IF(G$25=0,0,G$25/AGR!G$5*1000)</f>
        <v>5.5746060147882801</v>
      </c>
      <c r="H51" s="262">
        <f>IF(H$25=0,0,H$25/AGR!H$5*1000)</f>
        <v>5.395105320830007</v>
      </c>
      <c r="I51" s="262">
        <f>IF(I$25=0,0,I$25/AGR!I$5*1000)</f>
        <v>4.9188895359843112</v>
      </c>
      <c r="J51" s="262">
        <f>IF(J$25=0,0,J$25/AGR!J$5*1000)</f>
        <v>5.1012015996407492</v>
      </c>
      <c r="K51" s="262">
        <f>IF(K$25=0,0,K$25/AGR!K$5*1000)</f>
        <v>5.6900644327785885</v>
      </c>
      <c r="L51" s="262">
        <f>IF(L$25=0,0,L$25/AGR!L$5*1000)</f>
        <v>5.214720084364199</v>
      </c>
      <c r="M51" s="262">
        <f>IF(M$25=0,0,M$25/AGR!M$5*1000)</f>
        <v>4.7477186984970894</v>
      </c>
      <c r="N51" s="262">
        <f>IF(N$25=0,0,N$25/AGR!N$5*1000)</f>
        <v>4.7877467426969931</v>
      </c>
      <c r="O51" s="262">
        <f>IF(O$25=0,0,O$25/AGR!O$5*1000)</f>
        <v>4.7018677791450676</v>
      </c>
      <c r="P51" s="262">
        <f>IF(P$25=0,0,P$25/AGR!P$5*1000)</f>
        <v>4.6224424755420799</v>
      </c>
      <c r="Q51" s="262">
        <f>IF(Q$25=0,0,Q$25/AGR!Q$5*1000)</f>
        <v>4.6863398240892309</v>
      </c>
      <c r="R51" s="262">
        <f>IF(R$25=0,0,R$25/AGR!R$5*1000)</f>
        <v>4.6949358917363035</v>
      </c>
      <c r="S51" s="262">
        <f>IF(S$25=0,0,S$25/AGR!S$5*1000)</f>
        <v>4.3102179223039139</v>
      </c>
      <c r="T51" s="262">
        <f>IF(T$25=0,0,T$25/AGR!T$5*1000)</f>
        <v>4.621358656106179</v>
      </c>
      <c r="U51" s="262">
        <f>IF(U$25=0,0,U$25/AGR!U$5*1000)</f>
        <v>4.5926960505560519</v>
      </c>
      <c r="V51" s="262">
        <f>IF(V$25=0,0,V$25/AGR!V$5*1000)</f>
        <v>4.7889475945997217</v>
      </c>
      <c r="W51" s="262">
        <f>IF(W$25=0,0,W$25/AGR!W$5*1000)</f>
        <v>4.4267767845387249</v>
      </c>
      <c r="X51" s="262">
        <f>IF(X$25=0,0,X$25/AGR!X$5*1000)</f>
        <v>3.8345434787351143</v>
      </c>
      <c r="Y51" s="262">
        <f>IF(Y$25=0,0,Y$25/AGR!Y$5*1000)</f>
        <v>3.9374845120863435</v>
      </c>
      <c r="DA51" s="284"/>
    </row>
    <row r="52" spans="1:105" x14ac:dyDescent="0.25">
      <c r="A52" s="127" t="s">
        <v>170</v>
      </c>
      <c r="B52" s="262">
        <f>IF(B$26=0,0,B$26/AGR!B$5*1000)</f>
        <v>2.479426185311334</v>
      </c>
      <c r="C52" s="262">
        <f>IF(C$26=0,0,C$26/AGR!C$5*1000)</f>
        <v>2.3584367948156437</v>
      </c>
      <c r="D52" s="262">
        <f>IF(D$26=0,0,D$26/AGR!D$5*1000)</f>
        <v>2.583278588611404</v>
      </c>
      <c r="E52" s="262">
        <f>IF(E$26=0,0,E$26/AGR!E$5*1000)</f>
        <v>2.6529315712306629</v>
      </c>
      <c r="F52" s="262">
        <f>IF(F$26=0,0,F$26/AGR!F$5*1000)</f>
        <v>2.5700211768230319</v>
      </c>
      <c r="G52" s="262">
        <f>IF(G$26=0,0,G$26/AGR!G$5*1000)</f>
        <v>3.1924843011006137</v>
      </c>
      <c r="H52" s="262">
        <f>IF(H$26=0,0,H$26/AGR!H$5*1000)</f>
        <v>3.2194629641181143</v>
      </c>
      <c r="I52" s="262">
        <f>IF(I$26=0,0,I$26/AGR!I$5*1000)</f>
        <v>3.0676466067921453</v>
      </c>
      <c r="J52" s="262">
        <f>IF(J$26=0,0,J$26/AGR!J$5*1000)</f>
        <v>3.2800756295311686</v>
      </c>
      <c r="K52" s="262">
        <f>IF(K$26=0,0,K$26/AGR!K$5*1000)</f>
        <v>3.8202874023626157</v>
      </c>
      <c r="L52" s="262">
        <f>IF(L$26=0,0,L$26/AGR!L$5*1000)</f>
        <v>3.5060764325782556</v>
      </c>
      <c r="M52" s="262">
        <f>IF(M$26=0,0,M$26/AGR!M$5*1000)</f>
        <v>3.192913002965093</v>
      </c>
      <c r="N52" s="262">
        <f>IF(N$26=0,0,N$26/AGR!N$5*1000)</f>
        <v>3.2319288396161827</v>
      </c>
      <c r="O52" s="262">
        <f>IF(O$26=0,0,O$26/AGR!O$5*1000)</f>
        <v>3.128137581655936</v>
      </c>
      <c r="P52" s="262">
        <f>IF(P$26=0,0,P$26/AGR!P$5*1000)</f>
        <v>3.0164883252916268</v>
      </c>
      <c r="Q52" s="262">
        <f>IF(Q$26=0,0,Q$26/AGR!Q$5*1000)</f>
        <v>3.1108367970310118</v>
      </c>
      <c r="R52" s="262">
        <f>IF(R$26=0,0,R$26/AGR!R$5*1000)</f>
        <v>3.186459917856614</v>
      </c>
      <c r="S52" s="262">
        <f>IF(S$26=0,0,S$26/AGR!S$5*1000)</f>
        <v>2.938640260207106</v>
      </c>
      <c r="T52" s="262">
        <f>IF(T$26=0,0,T$26/AGR!T$5*1000)</f>
        <v>3.1966588404188765</v>
      </c>
      <c r="U52" s="262">
        <f>IF(U$26=0,0,U$26/AGR!U$5*1000)</f>
        <v>3.2859333544442508</v>
      </c>
      <c r="V52" s="262">
        <f>IF(V$26=0,0,V$26/AGR!V$5*1000)</f>
        <v>3.5934209328857669</v>
      </c>
      <c r="W52" s="262">
        <f>IF(W$26=0,0,W$26/AGR!W$5*1000)</f>
        <v>3.3758138966845075</v>
      </c>
      <c r="X52" s="262">
        <f>IF(X$26=0,0,X$26/AGR!X$5*1000)</f>
        <v>2.9294739402656869</v>
      </c>
      <c r="Y52" s="262">
        <f>IF(Y$26=0,0,Y$26/AGR!Y$5*1000)</f>
        <v>3.0685186500468409</v>
      </c>
      <c r="DA52" s="284"/>
    </row>
    <row r="53" spans="1:105" x14ac:dyDescent="0.25">
      <c r="A53" s="260" t="s">
        <v>33</v>
      </c>
      <c r="B53" s="263">
        <f>IF(B$27=0,0,B$27/AGR!B$5*1000)</f>
        <v>3.5951679687014364</v>
      </c>
      <c r="C53" s="263">
        <f>IF(C$27=0,0,C$27/AGR!C$5*1000)</f>
        <v>3.4197333524826838</v>
      </c>
      <c r="D53" s="263">
        <f>IF(D$27=0,0,D$27/AGR!D$5*1000)</f>
        <v>3.7457539534865334</v>
      </c>
      <c r="E53" s="263">
        <f>IF(E$27=0,0,E$27/AGR!E$5*1000)</f>
        <v>3.8467507782844614</v>
      </c>
      <c r="F53" s="263">
        <f>IF(F$27=0,0,F$27/AGR!F$5*1000)</f>
        <v>3.726530706393397</v>
      </c>
      <c r="G53" s="263">
        <f>IF(G$27=0,0,G$27/AGR!G$5*1000)</f>
        <v>4.6291022365958909</v>
      </c>
      <c r="H53" s="263">
        <f>IF(H$27=0,0,H$27/AGR!H$5*1000)</f>
        <v>4.6682212979712663</v>
      </c>
      <c r="I53" s="263">
        <f>IF(I$27=0,0,I$27/AGR!I$5*1000)</f>
        <v>4.4480875798486093</v>
      </c>
      <c r="J53" s="263">
        <f>IF(J$27=0,0,J$27/AGR!J$5*1000)</f>
        <v>4.7561096628201955</v>
      </c>
      <c r="K53" s="263">
        <f>IF(K$27=0,0,K$27/AGR!K$5*1000)</f>
        <v>5.5394167334257922</v>
      </c>
      <c r="L53" s="263">
        <f>IF(L$27=0,0,L$27/AGR!L$5*1000)</f>
        <v>5.0838108272384712</v>
      </c>
      <c r="M53" s="263">
        <f>IF(M$27=0,0,M$27/AGR!M$5*1000)</f>
        <v>4.629723854299387</v>
      </c>
      <c r="N53" s="263">
        <f>IF(N$27=0,0,N$27/AGR!N$5*1000)</f>
        <v>4.6862968174434645</v>
      </c>
      <c r="O53" s="263">
        <f>IF(O$27=0,0,O$27/AGR!O$5*1000)</f>
        <v>4.5357994934011074</v>
      </c>
      <c r="P53" s="263">
        <f>IF(P$27=0,0,P$27/AGR!P$5*1000)</f>
        <v>4.3739080716728589</v>
      </c>
      <c r="Q53" s="263">
        <f>IF(Q$27=0,0,Q$27/AGR!Q$5*1000)</f>
        <v>4.5107133556949677</v>
      </c>
      <c r="R53" s="263">
        <f>IF(R$27=0,0,R$27/AGR!R$5*1000)</f>
        <v>4.6203668808920915</v>
      </c>
      <c r="S53" s="263">
        <f>IF(S$27=0,0,S$27/AGR!S$5*1000)</f>
        <v>4.2610283773003026</v>
      </c>
      <c r="T53" s="263">
        <f>IF(T$27=0,0,T$27/AGR!T$5*1000)</f>
        <v>4.6351553186073708</v>
      </c>
      <c r="U53" s="263">
        <f>IF(U$27=0,0,U$27/AGR!U$5*1000)</f>
        <v>4.7646033639441612</v>
      </c>
      <c r="V53" s="263">
        <f>IF(V$27=0,0,V$27/AGR!V$5*1000)</f>
        <v>5.2104603526843594</v>
      </c>
      <c r="W53" s="263">
        <f>IF(W$27=0,0,W$27/AGR!W$5*1000)</f>
        <v>4.8949301501925362</v>
      </c>
      <c r="X53" s="263">
        <f>IF(X$27=0,0,X$27/AGR!X$5*1000)</f>
        <v>4.2477372133852462</v>
      </c>
      <c r="Y53" s="263">
        <f>IF(Y$27=0,0,Y$27/AGR!Y$5*1000)</f>
        <v>4.4493520425679192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194.95998841163996</v>
      </c>
      <c r="C5" s="80">
        <f t="shared" ref="C5:W5" si="1">SUM(C6:C9,C16:C17,C25:C27)</f>
        <v>199.38077295398017</v>
      </c>
      <c r="D5" s="80">
        <f t="shared" si="1"/>
        <v>195.6588579633285</v>
      </c>
      <c r="E5" s="80">
        <f t="shared" si="1"/>
        <v>199.6827020621329</v>
      </c>
      <c r="F5" s="80">
        <f t="shared" si="1"/>
        <v>201.54858996544198</v>
      </c>
      <c r="G5" s="80">
        <f t="shared" si="1"/>
        <v>197.31336481179596</v>
      </c>
      <c r="H5" s="80">
        <f t="shared" si="1"/>
        <v>197.20747494474662</v>
      </c>
      <c r="I5" s="80">
        <f t="shared" si="1"/>
        <v>196.36513231389557</v>
      </c>
      <c r="J5" s="80">
        <f t="shared" si="1"/>
        <v>199.51670175087943</v>
      </c>
      <c r="K5" s="80">
        <f t="shared" si="1"/>
        <v>198.417572112041</v>
      </c>
      <c r="L5" s="80">
        <f t="shared" si="1"/>
        <v>205.45087158783264</v>
      </c>
      <c r="M5" s="80">
        <f t="shared" si="1"/>
        <v>199.38989597092623</v>
      </c>
      <c r="N5" s="80">
        <f t="shared" si="1"/>
        <v>201.12160150238373</v>
      </c>
      <c r="O5" s="80">
        <f t="shared" si="1"/>
        <v>208.591878486177</v>
      </c>
      <c r="P5" s="80">
        <f t="shared" si="1"/>
        <v>201.04434152261169</v>
      </c>
      <c r="Q5" s="80">
        <f t="shared" si="1"/>
        <v>204.11198217466247</v>
      </c>
      <c r="R5" s="80">
        <f t="shared" si="1"/>
        <v>209.22767272360727</v>
      </c>
      <c r="S5" s="80">
        <f t="shared" si="1"/>
        <v>212.17655651089362</v>
      </c>
      <c r="T5" s="80">
        <f t="shared" si="1"/>
        <v>205.18379071526883</v>
      </c>
      <c r="U5" s="80">
        <f t="shared" si="1"/>
        <v>203.97301509255499</v>
      </c>
      <c r="V5" s="80">
        <f t="shared" si="1"/>
        <v>203.81861297942169</v>
      </c>
      <c r="W5" s="80">
        <f t="shared" si="1"/>
        <v>221.78363211326959</v>
      </c>
      <c r="X5" s="80">
        <f t="shared" ref="X5:Y5" si="2">SUM(X6:X9,X16:X17,X25:X27)</f>
        <v>215.34205411471638</v>
      </c>
      <c r="Y5" s="80">
        <f t="shared" si="2"/>
        <v>209.25274787295859</v>
      </c>
      <c r="DA5" s="103"/>
    </row>
    <row r="6" spans="1:105" x14ac:dyDescent="0.25">
      <c r="A6" s="238" t="s">
        <v>125</v>
      </c>
      <c r="B6" s="239">
        <v>5.5384308697173248</v>
      </c>
      <c r="C6" s="239">
        <v>5.5554792418687091</v>
      </c>
      <c r="D6" s="239">
        <v>5.6991618737472898</v>
      </c>
      <c r="E6" s="239">
        <v>5.7177838051647134</v>
      </c>
      <c r="F6" s="239">
        <v>5.716633248980016</v>
      </c>
      <c r="G6" s="239">
        <v>5.9540067867209192</v>
      </c>
      <c r="H6" s="239">
        <v>6.1564202592196891</v>
      </c>
      <c r="I6" s="239">
        <v>6.37054134539191</v>
      </c>
      <c r="J6" s="239">
        <v>6.5809804340361806</v>
      </c>
      <c r="K6" s="239">
        <v>6.764183197063983</v>
      </c>
      <c r="L6" s="239">
        <v>6.9278648190565324</v>
      </c>
      <c r="M6" s="239">
        <v>6.7686872927857458</v>
      </c>
      <c r="N6" s="239">
        <v>6.8110517460914481</v>
      </c>
      <c r="O6" s="239">
        <v>6.9129613101690124</v>
      </c>
      <c r="P6" s="239">
        <v>6.6268737389476389</v>
      </c>
      <c r="Q6" s="239">
        <v>6.7741503874402662</v>
      </c>
      <c r="R6" s="239">
        <v>6.992973178347115</v>
      </c>
      <c r="S6" s="239">
        <v>7.0747187651956427</v>
      </c>
      <c r="T6" s="239">
        <v>7.007166921078877</v>
      </c>
      <c r="U6" s="239">
        <v>7.1298088939111244</v>
      </c>
      <c r="V6" s="239">
        <v>7.3064415031879042</v>
      </c>
      <c r="W6" s="239">
        <v>7.8718869894595391</v>
      </c>
      <c r="X6" s="239">
        <v>7.7326205388955866</v>
      </c>
      <c r="Y6" s="239">
        <v>7.648125949748346</v>
      </c>
      <c r="DA6" s="267" t="s">
        <v>1016</v>
      </c>
    </row>
    <row r="7" spans="1:105" x14ac:dyDescent="0.25">
      <c r="A7" s="240" t="s">
        <v>124</v>
      </c>
      <c r="B7" s="241">
        <v>3.569840721775968</v>
      </c>
      <c r="C7" s="241">
        <v>3.5808293888872171</v>
      </c>
      <c r="D7" s="241">
        <v>3.6734411994086118</v>
      </c>
      <c r="E7" s="241">
        <v>3.685444116959776</v>
      </c>
      <c r="F7" s="241">
        <v>3.68470251660086</v>
      </c>
      <c r="G7" s="241">
        <v>3.837703563509792</v>
      </c>
      <c r="H7" s="241">
        <v>3.9681708156539108</v>
      </c>
      <c r="I7" s="241">
        <v>4.1061843055374663</v>
      </c>
      <c r="J7" s="241">
        <v>4.24182453392838</v>
      </c>
      <c r="K7" s="241">
        <v>4.3599093668319471</v>
      </c>
      <c r="L7" s="241">
        <v>4.4654116893020559</v>
      </c>
      <c r="M7" s="241">
        <v>4.3628125184105331</v>
      </c>
      <c r="N7" s="241">
        <v>4.39011887180268</v>
      </c>
      <c r="O7" s="241">
        <v>4.4558055112751882</v>
      </c>
      <c r="P7" s="241">
        <v>4.2714054373618042</v>
      </c>
      <c r="Q7" s="241">
        <v>4.3663338005612689</v>
      </c>
      <c r="R7" s="241">
        <v>4.5073778125219741</v>
      </c>
      <c r="S7" s="241">
        <v>4.5600675962570989</v>
      </c>
      <c r="T7" s="241">
        <v>4.5165265049928482</v>
      </c>
      <c r="U7" s="241">
        <v>4.5955763873718709</v>
      </c>
      <c r="V7" s="241">
        <v>4.7094263741682152</v>
      </c>
      <c r="W7" s="241">
        <v>5.0738888673039186</v>
      </c>
      <c r="X7" s="241">
        <v>4.9841235424140233</v>
      </c>
      <c r="Y7" s="241">
        <v>4.9296618668595267</v>
      </c>
      <c r="DA7" s="268" t="s">
        <v>1017</v>
      </c>
    </row>
    <row r="8" spans="1:105" x14ac:dyDescent="0.25">
      <c r="A8" s="240" t="s">
        <v>123</v>
      </c>
      <c r="B8" s="241">
        <v>7.0941025469716879</v>
      </c>
      <c r="C8" s="241">
        <v>7.1159395804466614</v>
      </c>
      <c r="D8" s="241">
        <v>7.2999807554189253</v>
      </c>
      <c r="E8" s="241">
        <v>7.323833340059859</v>
      </c>
      <c r="F8" s="241">
        <v>7.3223596079230342</v>
      </c>
      <c r="G8" s="241">
        <v>7.6264082199367413</v>
      </c>
      <c r="H8" s="241">
        <v>7.8856769486747362</v>
      </c>
      <c r="I8" s="241">
        <v>8.159941804282159</v>
      </c>
      <c r="J8" s="241">
        <v>8.4294904381554066</v>
      </c>
      <c r="K8" s="241">
        <v>8.6641524242630581</v>
      </c>
      <c r="L8" s="241">
        <v>8.8738100400724012</v>
      </c>
      <c r="M8" s="241">
        <v>8.6699216606556693</v>
      </c>
      <c r="N8" s="241">
        <v>8.7241857262668034</v>
      </c>
      <c r="O8" s="241">
        <v>8.8547203334668954</v>
      </c>
      <c r="P8" s="241">
        <v>8.4882745629228484</v>
      </c>
      <c r="Q8" s="241">
        <v>8.6769192660451129</v>
      </c>
      <c r="R8" s="241">
        <v>8.9572064728053515</v>
      </c>
      <c r="S8" s="241">
        <v>9.0619133093638098</v>
      </c>
      <c r="T8" s="241">
        <v>8.9753870493681092</v>
      </c>
      <c r="U8" s="241">
        <v>9.1324775236018834</v>
      </c>
      <c r="V8" s="241">
        <v>9.3587238870258638</v>
      </c>
      <c r="W8" s="241">
        <v>10.08299550089869</v>
      </c>
      <c r="X8" s="241">
        <v>9.9046109539225071</v>
      </c>
      <c r="Y8" s="241">
        <v>9.7963829568282055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58.260765110546551</v>
      </c>
      <c r="C9" s="243">
        <f t="shared" ref="C9:W9" si="4">SUM(C10:C15)</f>
        <v>59.168511893723981</v>
      </c>
      <c r="D9" s="243">
        <f t="shared" si="4"/>
        <v>58.960436070729855</v>
      </c>
      <c r="E9" s="243">
        <f t="shared" si="4"/>
        <v>59.757574724519529</v>
      </c>
      <c r="F9" s="243">
        <f t="shared" si="4"/>
        <v>60.107461319796883</v>
      </c>
      <c r="G9" s="243">
        <f t="shared" si="4"/>
        <v>60.708057309284712</v>
      </c>
      <c r="H9" s="243">
        <f t="shared" si="4"/>
        <v>60.981471625113997</v>
      </c>
      <c r="I9" s="243">
        <f t="shared" si="4"/>
        <v>61.744912507459148</v>
      </c>
      <c r="J9" s="243">
        <f t="shared" si="4"/>
        <v>62.998537426778995</v>
      </c>
      <c r="K9" s="243">
        <f t="shared" si="4"/>
        <v>63.6350570701115</v>
      </c>
      <c r="L9" s="243">
        <f t="shared" si="4"/>
        <v>65.771315106918365</v>
      </c>
      <c r="M9" s="243">
        <f t="shared" si="4"/>
        <v>63.93349748735497</v>
      </c>
      <c r="N9" s="243">
        <f t="shared" si="4"/>
        <v>64.039825719439108</v>
      </c>
      <c r="O9" s="243">
        <f t="shared" si="4"/>
        <v>65.932700947962104</v>
      </c>
      <c r="P9" s="243">
        <f t="shared" si="4"/>
        <v>63.552236776695821</v>
      </c>
      <c r="Q9" s="243">
        <f t="shared" si="4"/>
        <v>64.936744680435552</v>
      </c>
      <c r="R9" s="243">
        <f t="shared" si="4"/>
        <v>66.85664676956209</v>
      </c>
      <c r="S9" s="243">
        <f t="shared" si="4"/>
        <v>68.316990395683391</v>
      </c>
      <c r="T9" s="243">
        <f t="shared" si="4"/>
        <v>66.632586861024805</v>
      </c>
      <c r="U9" s="243">
        <f t="shared" si="4"/>
        <v>67.201790273811241</v>
      </c>
      <c r="V9" s="243">
        <f t="shared" si="4"/>
        <v>67.976721077166843</v>
      </c>
      <c r="W9" s="243">
        <f t="shared" si="4"/>
        <v>73.536110936112067</v>
      </c>
      <c r="X9" s="243">
        <f t="shared" ref="X9:Y9" si="5">SUM(X10:X15)</f>
        <v>71.265085146791421</v>
      </c>
      <c r="Y9" s="243">
        <f t="shared" si="5"/>
        <v>69.566414952523417</v>
      </c>
      <c r="DA9" s="269"/>
    </row>
    <row r="10" spans="1:105" x14ac:dyDescent="0.25">
      <c r="A10" s="253" t="s">
        <v>166</v>
      </c>
      <c r="B10" s="254">
        <v>37.14069880616205</v>
      </c>
      <c r="C10" s="254">
        <v>37.319852551259409</v>
      </c>
      <c r="D10" s="254">
        <v>36.351708722994779</v>
      </c>
      <c r="E10" s="254">
        <v>36.503062952963852</v>
      </c>
      <c r="F10" s="254">
        <v>36.808134356202487</v>
      </c>
      <c r="G10" s="254">
        <v>34.442280017104288</v>
      </c>
      <c r="H10" s="254">
        <v>33.676369630130722</v>
      </c>
      <c r="I10" s="254">
        <v>32.358023833462127</v>
      </c>
      <c r="J10" s="254">
        <v>31.521355589252611</v>
      </c>
      <c r="K10" s="254">
        <v>29.953358211549389</v>
      </c>
      <c r="L10" s="254">
        <v>29.866375721595901</v>
      </c>
      <c r="M10" s="254">
        <v>29.62823687286647</v>
      </c>
      <c r="N10" s="254">
        <v>30.09959446244487</v>
      </c>
      <c r="O10" s="254">
        <v>30.770730992980951</v>
      </c>
      <c r="P10" s="254">
        <v>30.66884072051646</v>
      </c>
      <c r="Q10" s="254">
        <v>29.939618377171819</v>
      </c>
      <c r="R10" s="254">
        <v>29.12445508501192</v>
      </c>
      <c r="S10" s="254">
        <v>28.251673052187201</v>
      </c>
      <c r="T10" s="254">
        <v>27.94188671718587</v>
      </c>
      <c r="U10" s="254">
        <v>26.278039133999791</v>
      </c>
      <c r="V10" s="254">
        <v>24.594624447246581</v>
      </c>
      <c r="W10" s="254">
        <v>25.04644227316037</v>
      </c>
      <c r="X10" s="254">
        <v>25.303877381877552</v>
      </c>
      <c r="Y10" s="254">
        <v>24.90251595869772</v>
      </c>
      <c r="DA10" s="270" t="s">
        <v>1019</v>
      </c>
    </row>
    <row r="11" spans="1:105" x14ac:dyDescent="0.25">
      <c r="A11" s="253" t="s">
        <v>169</v>
      </c>
      <c r="B11" s="255">
        <v>4.6864155122296669</v>
      </c>
      <c r="C11" s="255">
        <v>5.3972511850585576</v>
      </c>
      <c r="D11" s="255">
        <v>4.8207904320189812</v>
      </c>
      <c r="E11" s="255">
        <v>5.2377722597960057</v>
      </c>
      <c r="F11" s="255">
        <v>5.1764219057887919</v>
      </c>
      <c r="G11" s="255">
        <v>6.339253785246048</v>
      </c>
      <c r="H11" s="255">
        <v>5.8597316090047</v>
      </c>
      <c r="I11" s="255">
        <v>5.6907586471271694</v>
      </c>
      <c r="J11" s="255">
        <v>5.7916938041229562</v>
      </c>
      <c r="K11" s="255">
        <v>5.5136620025371714</v>
      </c>
      <c r="L11" s="255">
        <v>6.4276851598376732</v>
      </c>
      <c r="M11" s="255">
        <v>5.3915604518109221</v>
      </c>
      <c r="N11" s="255">
        <v>3.5604236078371012</v>
      </c>
      <c r="O11" s="255">
        <v>4.0768608669597972</v>
      </c>
      <c r="P11" s="255">
        <v>4.4341207808830063</v>
      </c>
      <c r="Q11" s="255">
        <v>4.8773411056257761</v>
      </c>
      <c r="R11" s="255">
        <v>5.8613249368130633</v>
      </c>
      <c r="S11" s="255">
        <v>7.9677092671789698</v>
      </c>
      <c r="T11" s="255">
        <v>6.8107117782569464</v>
      </c>
      <c r="U11" s="255">
        <v>7.884682748405706</v>
      </c>
      <c r="V11" s="255">
        <v>6.4722550232465403</v>
      </c>
      <c r="W11" s="255">
        <v>7.3314237359840639</v>
      </c>
      <c r="X11" s="255">
        <v>6.2749966166406033</v>
      </c>
      <c r="Y11" s="255">
        <v>3.4251520612288848</v>
      </c>
      <c r="DA11" s="271" t="s">
        <v>1020</v>
      </c>
    </row>
    <row r="12" spans="1:105" x14ac:dyDescent="0.25">
      <c r="A12" s="253" t="s">
        <v>152</v>
      </c>
      <c r="B12" s="255">
        <v>0.30906699145293531</v>
      </c>
      <c r="C12" s="255">
        <v>0.32844211968271952</v>
      </c>
      <c r="D12" s="255">
        <v>0.32383582655960769</v>
      </c>
      <c r="E12" s="255">
        <v>0.36291471622526539</v>
      </c>
      <c r="F12" s="255">
        <v>0.38799735127000629</v>
      </c>
      <c r="G12" s="255">
        <v>0.41468695098116448</v>
      </c>
      <c r="H12" s="255">
        <v>0.47658140389978593</v>
      </c>
      <c r="I12" s="255">
        <v>0.50314721435914433</v>
      </c>
      <c r="J12" s="255">
        <v>0.51193225502835482</v>
      </c>
      <c r="K12" s="255">
        <v>0.67587381774730215</v>
      </c>
      <c r="L12" s="255">
        <v>0.77728985645275706</v>
      </c>
      <c r="M12" s="255">
        <v>0.7507043581273809</v>
      </c>
      <c r="N12" s="255">
        <v>0.4763576346163601</v>
      </c>
      <c r="O12" s="255">
        <v>0.51296668776534493</v>
      </c>
      <c r="P12" s="255">
        <v>0.49246260609732478</v>
      </c>
      <c r="Q12" s="255">
        <v>0.55970605290480335</v>
      </c>
      <c r="R12" s="255">
        <v>0.55462729368622188</v>
      </c>
      <c r="S12" s="255">
        <v>0.57613460400625893</v>
      </c>
      <c r="T12" s="255">
        <v>0.47507025133967762</v>
      </c>
      <c r="U12" s="255">
        <v>0.46417477737440788</v>
      </c>
      <c r="V12" s="255">
        <v>0.58546719018136306</v>
      </c>
      <c r="W12" s="255">
        <v>0.57336893079321305</v>
      </c>
      <c r="X12" s="255">
        <v>0.50999901208146015</v>
      </c>
      <c r="Y12" s="255">
        <v>0.45279485196412289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3.7185888915906471</v>
      </c>
      <c r="C14" s="254">
        <v>3.8679970145864599</v>
      </c>
      <c r="D14" s="254">
        <v>4.0174051375837756</v>
      </c>
      <c r="E14" s="254">
        <v>4.299607200293015</v>
      </c>
      <c r="F14" s="254">
        <v>4.5154720563964768</v>
      </c>
      <c r="G14" s="254">
        <v>4.7019931571436926</v>
      </c>
      <c r="H14" s="254">
        <v>4.2946468506097402</v>
      </c>
      <c r="I14" s="254">
        <v>4.7581108481423522</v>
      </c>
      <c r="J14" s="254">
        <v>4.9454088711287616</v>
      </c>
      <c r="K14" s="254">
        <v>5.2294635945639811</v>
      </c>
      <c r="L14" s="254">
        <v>5.8641493010486947</v>
      </c>
      <c r="M14" s="254">
        <v>5.7476707283607293</v>
      </c>
      <c r="N14" s="254">
        <v>6.4752882873511757</v>
      </c>
      <c r="O14" s="254">
        <v>7.3760399792564426</v>
      </c>
      <c r="P14" s="254">
        <v>6.7270110929756619</v>
      </c>
      <c r="Q14" s="254">
        <v>7.3866180743745504</v>
      </c>
      <c r="R14" s="254">
        <v>7.6547160102785838</v>
      </c>
      <c r="S14" s="254">
        <v>8.1077214391969061</v>
      </c>
      <c r="T14" s="254">
        <v>7.6278225481289494</v>
      </c>
      <c r="U14" s="254">
        <v>7.5387753068305354</v>
      </c>
      <c r="V14" s="254">
        <v>8.2076455918549165</v>
      </c>
      <c r="W14" s="254">
        <v>8.9358607833323607</v>
      </c>
      <c r="X14" s="254">
        <v>7.3489672273736844</v>
      </c>
      <c r="Y14" s="254">
        <v>7.2154561286669869</v>
      </c>
      <c r="DA14" s="270" t="s">
        <v>1023</v>
      </c>
    </row>
    <row r="15" spans="1:105" x14ac:dyDescent="0.25">
      <c r="A15" s="253" t="s">
        <v>24</v>
      </c>
      <c r="B15" s="255">
        <v>12.40599490911125</v>
      </c>
      <c r="C15" s="255">
        <v>12.254969023136839</v>
      </c>
      <c r="D15" s="255">
        <v>13.44669595157271</v>
      </c>
      <c r="E15" s="255">
        <v>13.354217595241391</v>
      </c>
      <c r="F15" s="255">
        <v>13.21943565013912</v>
      </c>
      <c r="G15" s="255">
        <v>14.809843398809519</v>
      </c>
      <c r="H15" s="255">
        <v>16.674142131469051</v>
      </c>
      <c r="I15" s="255">
        <v>18.434871964368352</v>
      </c>
      <c r="J15" s="255">
        <v>20.228146907246309</v>
      </c>
      <c r="K15" s="255">
        <v>22.262699443713661</v>
      </c>
      <c r="L15" s="255">
        <v>22.83581506798334</v>
      </c>
      <c r="M15" s="255">
        <v>22.415325076189468</v>
      </c>
      <c r="N15" s="255">
        <v>23.42816172718959</v>
      </c>
      <c r="O15" s="255">
        <v>23.196102420999569</v>
      </c>
      <c r="P15" s="255">
        <v>21.22980157622337</v>
      </c>
      <c r="Q15" s="255">
        <v>22.173461070358609</v>
      </c>
      <c r="R15" s="255">
        <v>23.6615234437723</v>
      </c>
      <c r="S15" s="255">
        <v>23.413752033114061</v>
      </c>
      <c r="T15" s="255">
        <v>23.77709556611336</v>
      </c>
      <c r="U15" s="255">
        <v>25.036118307200791</v>
      </c>
      <c r="V15" s="255">
        <v>28.116728824637441</v>
      </c>
      <c r="W15" s="255">
        <v>31.649015212842059</v>
      </c>
      <c r="X15" s="255">
        <v>31.82724490881813</v>
      </c>
      <c r="Y15" s="255">
        <v>33.570495951965697</v>
      </c>
      <c r="DA15" s="271" t="s">
        <v>1024</v>
      </c>
    </row>
    <row r="16" spans="1:105" x14ac:dyDescent="0.25">
      <c r="A16" s="256" t="s">
        <v>168</v>
      </c>
      <c r="B16" s="257">
        <v>38.790873986306728</v>
      </c>
      <c r="C16" s="257">
        <v>39.312897236415793</v>
      </c>
      <c r="D16" s="257">
        <v>38.745706362807198</v>
      </c>
      <c r="E16" s="257">
        <v>39.187869953562952</v>
      </c>
      <c r="F16" s="257">
        <v>39.46082002649603</v>
      </c>
      <c r="G16" s="257">
        <v>38.716271599126308</v>
      </c>
      <c r="H16" s="257">
        <v>38.418777928097377</v>
      </c>
      <c r="I16" s="257">
        <v>38.039681735844951</v>
      </c>
      <c r="J16" s="257">
        <v>38.113428984245388</v>
      </c>
      <c r="K16" s="257">
        <v>37.517621952378612</v>
      </c>
      <c r="L16" s="257">
        <v>38.371415506773317</v>
      </c>
      <c r="M16" s="257">
        <v>37.480134261893362</v>
      </c>
      <c r="N16" s="257">
        <v>37.573560671105362</v>
      </c>
      <c r="O16" s="257">
        <v>38.694343820348607</v>
      </c>
      <c r="P16" s="257">
        <v>37.816153860756472</v>
      </c>
      <c r="Q16" s="257">
        <v>38.002325884268863</v>
      </c>
      <c r="R16" s="257">
        <v>38.369122126845582</v>
      </c>
      <c r="S16" s="257">
        <v>38.642105184332941</v>
      </c>
      <c r="T16" s="257">
        <v>37.723731269019943</v>
      </c>
      <c r="U16" s="257">
        <v>37.109545599671257</v>
      </c>
      <c r="V16" s="257">
        <v>36.26074281557139</v>
      </c>
      <c r="W16" s="257">
        <v>38.440300271507397</v>
      </c>
      <c r="X16" s="257">
        <v>37.692029285414598</v>
      </c>
      <c r="Y16" s="257">
        <v>36.546342197517909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62.625860651135064</v>
      </c>
      <c r="C17" s="257">
        <f t="shared" ref="C17:W17" si="7">SUM(C18:C24)</f>
        <v>65.454112370625467</v>
      </c>
      <c r="D17" s="257">
        <f t="shared" si="7"/>
        <v>61.803793766832484</v>
      </c>
      <c r="E17" s="257">
        <f t="shared" si="7"/>
        <v>64.427772946497313</v>
      </c>
      <c r="F17" s="257">
        <f t="shared" si="7"/>
        <v>65.640355093545921</v>
      </c>
      <c r="G17" s="257">
        <f t="shared" si="7"/>
        <v>60.360678935367901</v>
      </c>
      <c r="H17" s="257">
        <f t="shared" si="7"/>
        <v>59.220107719546498</v>
      </c>
      <c r="I17" s="257">
        <f t="shared" si="7"/>
        <v>56.882082766176268</v>
      </c>
      <c r="J17" s="257">
        <f t="shared" si="7"/>
        <v>57.55401732841478</v>
      </c>
      <c r="K17" s="257">
        <f t="shared" si="7"/>
        <v>55.499823744180198</v>
      </c>
      <c r="L17" s="257">
        <f t="shared" si="7"/>
        <v>58.539701442632854</v>
      </c>
      <c r="M17" s="257">
        <f t="shared" si="7"/>
        <v>56.191787443020324</v>
      </c>
      <c r="N17" s="257">
        <f t="shared" si="7"/>
        <v>57.481201205905904</v>
      </c>
      <c r="O17" s="257">
        <f t="shared" si="7"/>
        <v>61.23385870834047</v>
      </c>
      <c r="P17" s="257">
        <f t="shared" si="7"/>
        <v>58.616093395144617</v>
      </c>
      <c r="Q17" s="257">
        <f t="shared" si="7"/>
        <v>59.288538658451898</v>
      </c>
      <c r="R17" s="257">
        <f t="shared" si="7"/>
        <v>60.880339999889344</v>
      </c>
      <c r="S17" s="257">
        <f t="shared" si="7"/>
        <v>61.615431985901637</v>
      </c>
      <c r="T17" s="257">
        <f t="shared" si="7"/>
        <v>57.715671820497121</v>
      </c>
      <c r="U17" s="257">
        <f t="shared" si="7"/>
        <v>55.966746102827543</v>
      </c>
      <c r="V17" s="257">
        <f t="shared" si="7"/>
        <v>55.041560583620267</v>
      </c>
      <c r="W17" s="257">
        <f t="shared" si="7"/>
        <v>61.905006517328466</v>
      </c>
      <c r="X17" s="257">
        <f t="shared" ref="X17:Y17" si="8">SUM(X18:X24)</f>
        <v>59.339366774102999</v>
      </c>
      <c r="Y17" s="257">
        <f t="shared" si="8"/>
        <v>56.70719370219004</v>
      </c>
      <c r="DA17" s="272"/>
    </row>
    <row r="18" spans="1:105" x14ac:dyDescent="0.25">
      <c r="A18" s="61" t="s">
        <v>29</v>
      </c>
      <c r="B18" s="55">
        <v>1.0259067395786681</v>
      </c>
      <c r="C18" s="55">
        <v>1.0267414016869401</v>
      </c>
      <c r="D18" s="55">
        <v>0.74229283535311474</v>
      </c>
      <c r="E18" s="55">
        <v>0.57101589032662214</v>
      </c>
      <c r="F18" s="55">
        <v>0.57075907121612068</v>
      </c>
      <c r="G18" s="55">
        <v>0.74338431657295201</v>
      </c>
      <c r="H18" s="55">
        <v>0.63173220833780463</v>
      </c>
      <c r="I18" s="55">
        <v>0.77103517412301203</v>
      </c>
      <c r="J18" s="55">
        <v>0.80594117154161804</v>
      </c>
      <c r="K18" s="55">
        <v>0.32136631344944172</v>
      </c>
      <c r="L18" s="55">
        <v>0.33354381959951102</v>
      </c>
      <c r="M18" s="55">
        <v>0.21904529955739141</v>
      </c>
      <c r="N18" s="55">
        <v>0.2317150423356604</v>
      </c>
      <c r="O18" s="55">
        <v>0.17853208489576569</v>
      </c>
      <c r="P18" s="55">
        <v>0.14649390087619041</v>
      </c>
      <c r="Q18" s="55">
        <v>0.1191426656212918</v>
      </c>
      <c r="R18" s="55">
        <v>0.11432730730174839</v>
      </c>
      <c r="S18" s="55">
        <v>0.16400040356675161</v>
      </c>
      <c r="T18" s="55">
        <v>0.1454024196573161</v>
      </c>
      <c r="U18" s="55">
        <v>0.1051674256984398</v>
      </c>
      <c r="V18" s="55">
        <v>0.1040545428868392</v>
      </c>
      <c r="W18" s="55">
        <v>7.4884172266791005E-2</v>
      </c>
      <c r="X18" s="55">
        <v>5.7548882316530658E-2</v>
      </c>
      <c r="Y18" s="55">
        <v>4.7318921086586377E-2</v>
      </c>
      <c r="DA18" s="101" t="s">
        <v>1026</v>
      </c>
    </row>
    <row r="19" spans="1:105" x14ac:dyDescent="0.25">
      <c r="A19" s="61" t="s">
        <v>27</v>
      </c>
      <c r="B19" s="55">
        <v>1.586989251388724</v>
      </c>
      <c r="C19" s="55">
        <v>1.2695864331527129</v>
      </c>
      <c r="D19" s="55">
        <v>0.95218361491621373</v>
      </c>
      <c r="E19" s="55">
        <v>0.95218361491775749</v>
      </c>
      <c r="F19" s="55">
        <v>0.95218361491754711</v>
      </c>
      <c r="G19" s="55">
        <v>1.400665997389958</v>
      </c>
      <c r="H19" s="55">
        <v>1.3686226701468129</v>
      </c>
      <c r="I19" s="55">
        <v>1.4273439303041251</v>
      </c>
      <c r="J19" s="55">
        <v>1.473049141257025</v>
      </c>
      <c r="K19" s="55">
        <v>1.014084368012351</v>
      </c>
      <c r="L19" s="55">
        <v>1.07215979366781</v>
      </c>
      <c r="M19" s="55">
        <v>0.77000860560938034</v>
      </c>
      <c r="N19" s="55">
        <v>0.80160481665844807</v>
      </c>
      <c r="O19" s="55">
        <v>0.90618032650220959</v>
      </c>
      <c r="P19" s="55">
        <v>0.77423136966347894</v>
      </c>
      <c r="Q19" s="55">
        <v>0.78252785904290423</v>
      </c>
      <c r="R19" s="55">
        <v>0.78282593650550669</v>
      </c>
      <c r="S19" s="55">
        <v>0.94671886143246753</v>
      </c>
      <c r="T19" s="55">
        <v>0.87065942885929226</v>
      </c>
      <c r="U19" s="55">
        <v>0.89070513822713426</v>
      </c>
      <c r="V19" s="55">
        <v>0.90821718916297445</v>
      </c>
      <c r="W19" s="55">
        <v>0.95625734024055542</v>
      </c>
      <c r="X19" s="55">
        <v>0.76660555457631785</v>
      </c>
      <c r="Y19" s="55">
        <v>0.74782667442392758</v>
      </c>
      <c r="DA19" s="101" t="s">
        <v>1027</v>
      </c>
    </row>
    <row r="20" spans="1:105" x14ac:dyDescent="0.25">
      <c r="A20" s="61" t="s">
        <v>166</v>
      </c>
      <c r="B20" s="55">
        <v>14.393455121687101</v>
      </c>
      <c r="C20" s="55">
        <v>13.56557879794215</v>
      </c>
      <c r="D20" s="55">
        <v>14.577013999471371</v>
      </c>
      <c r="E20" s="55">
        <v>13.808786312811529</v>
      </c>
      <c r="F20" s="55">
        <v>13.537491027501771</v>
      </c>
      <c r="G20" s="55">
        <v>15.03191409827034</v>
      </c>
      <c r="H20" s="55">
        <v>15.256473404837751</v>
      </c>
      <c r="I20" s="55">
        <v>16.083319372287011</v>
      </c>
      <c r="J20" s="55">
        <v>15.70524114952552</v>
      </c>
      <c r="K20" s="55">
        <v>16.002304485206459</v>
      </c>
      <c r="L20" s="55">
        <v>15.13780002168035</v>
      </c>
      <c r="M20" s="55">
        <v>15.3954976601742</v>
      </c>
      <c r="N20" s="55">
        <v>14.81908570221262</v>
      </c>
      <c r="O20" s="55">
        <v>14.14141808716278</v>
      </c>
      <c r="P20" s="55">
        <v>14.506409588405891</v>
      </c>
      <c r="Q20" s="55">
        <v>14.28891722413719</v>
      </c>
      <c r="R20" s="55">
        <v>13.83114640865776</v>
      </c>
      <c r="S20" s="55">
        <v>13.624451487543279</v>
      </c>
      <c r="T20" s="55">
        <v>14.637295130168861</v>
      </c>
      <c r="U20" s="55">
        <v>14.815498429654641</v>
      </c>
      <c r="V20" s="55">
        <v>14.20323391549975</v>
      </c>
      <c r="W20" s="55">
        <v>13.12453126598221</v>
      </c>
      <c r="X20" s="55">
        <v>13.59357754041975</v>
      </c>
      <c r="Y20" s="55">
        <v>13.68425962113635</v>
      </c>
      <c r="DA20" s="101" t="s">
        <v>1028</v>
      </c>
    </row>
    <row r="21" spans="1:105" x14ac:dyDescent="0.25">
      <c r="A21" s="61" t="s">
        <v>129</v>
      </c>
      <c r="B21" s="55">
        <v>15.30565167426038</v>
      </c>
      <c r="C21" s="55">
        <v>15.425687928470371</v>
      </c>
      <c r="D21" s="55">
        <v>12.75168834761423</v>
      </c>
      <c r="E21" s="55">
        <v>14.520933753461019</v>
      </c>
      <c r="F21" s="55">
        <v>13.983836259714939</v>
      </c>
      <c r="G21" s="55">
        <v>7.3226099310710584</v>
      </c>
      <c r="H21" s="55">
        <v>6.6192368810581366</v>
      </c>
      <c r="I21" s="55">
        <v>4.6219823557941799</v>
      </c>
      <c r="J21" s="55">
        <v>4.7187993530186194</v>
      </c>
      <c r="K21" s="55">
        <v>2.6324085571140481</v>
      </c>
      <c r="L21" s="55">
        <v>1.9726629194245791</v>
      </c>
      <c r="M21" s="55">
        <v>1.6073967812943459</v>
      </c>
      <c r="N21" s="55">
        <v>1.589113553193358</v>
      </c>
      <c r="O21" s="55">
        <v>2.1810828658950938</v>
      </c>
      <c r="P21" s="55">
        <v>2.4639638042804219</v>
      </c>
      <c r="Q21" s="55">
        <v>2.1226252322221448</v>
      </c>
      <c r="R21" s="55">
        <v>2.7445427381629721</v>
      </c>
      <c r="S21" s="55">
        <v>0.60290383410440629</v>
      </c>
      <c r="T21" s="55">
        <v>0</v>
      </c>
      <c r="U21" s="55">
        <v>0</v>
      </c>
      <c r="V21" s="55">
        <v>0</v>
      </c>
      <c r="W21" s="55">
        <v>1.1666957262584929</v>
      </c>
      <c r="X21" s="55">
        <v>1.17935675104483</v>
      </c>
      <c r="Y21" s="55">
        <v>1.084199853224779</v>
      </c>
      <c r="DA21" s="101" t="s">
        <v>1029</v>
      </c>
    </row>
    <row r="22" spans="1:105" x14ac:dyDescent="0.25">
      <c r="A22" s="61" t="s">
        <v>169</v>
      </c>
      <c r="B22" s="55">
        <v>1.7726786823855161</v>
      </c>
      <c r="C22" s="55">
        <v>1.914896399144651</v>
      </c>
      <c r="D22" s="55">
        <v>1.886845047936345</v>
      </c>
      <c r="E22" s="55">
        <v>1.9339580784053441</v>
      </c>
      <c r="F22" s="55">
        <v>1.8582249442618031</v>
      </c>
      <c r="G22" s="55">
        <v>2.7004415003368201</v>
      </c>
      <c r="H22" s="55">
        <v>2.5910802036128548</v>
      </c>
      <c r="I22" s="55">
        <v>2.7608200820919619</v>
      </c>
      <c r="J22" s="55">
        <v>2.8165635809893539</v>
      </c>
      <c r="K22" s="55">
        <v>2.8750896547609361</v>
      </c>
      <c r="L22" s="55">
        <v>3.179867898366497</v>
      </c>
      <c r="M22" s="55">
        <v>2.734491929222397</v>
      </c>
      <c r="N22" s="55">
        <v>1.71094748738435</v>
      </c>
      <c r="O22" s="55">
        <v>1.8287539702890909</v>
      </c>
      <c r="P22" s="55">
        <v>2.047124883021509</v>
      </c>
      <c r="Q22" s="55">
        <v>2.272011016165203</v>
      </c>
      <c r="R22" s="55">
        <v>2.716879714744751</v>
      </c>
      <c r="S22" s="55">
        <v>3.7504430654357548</v>
      </c>
      <c r="T22" s="55">
        <v>3.482345414861058</v>
      </c>
      <c r="U22" s="55">
        <v>4.3389213531245554</v>
      </c>
      <c r="V22" s="55">
        <v>3.648185462134947</v>
      </c>
      <c r="W22" s="55">
        <v>3.7497327928225501</v>
      </c>
      <c r="X22" s="55">
        <v>3.2902919382643478</v>
      </c>
      <c r="Y22" s="55">
        <v>1.837097380655849</v>
      </c>
      <c r="DA22" s="101" t="s">
        <v>1030</v>
      </c>
    </row>
    <row r="23" spans="1:105" x14ac:dyDescent="0.25">
      <c r="A23" s="61" t="s">
        <v>164</v>
      </c>
      <c r="B23" s="55">
        <v>28.477030046589331</v>
      </c>
      <c r="C23" s="55">
        <v>32.187680259198792</v>
      </c>
      <c r="D23" s="55">
        <v>30.82422077109775</v>
      </c>
      <c r="E23" s="55">
        <v>32.567367089643099</v>
      </c>
      <c r="F23" s="55">
        <v>34.661433260574043</v>
      </c>
      <c r="G23" s="55">
        <v>33.064731363490857</v>
      </c>
      <c r="H23" s="55">
        <v>32.637327386004323</v>
      </c>
      <c r="I23" s="55">
        <v>31.083641337198411</v>
      </c>
      <c r="J23" s="55">
        <v>31.897815159161009</v>
      </c>
      <c r="K23" s="55">
        <v>32.461184011062109</v>
      </c>
      <c r="L23" s="55">
        <v>36.63266505680064</v>
      </c>
      <c r="M23" s="55">
        <v>35.256427148719887</v>
      </c>
      <c r="N23" s="55">
        <v>38.203126665064588</v>
      </c>
      <c r="O23" s="55">
        <v>41.871630873265303</v>
      </c>
      <c r="P23" s="55">
        <v>38.553114541952198</v>
      </c>
      <c r="Q23" s="55">
        <v>39.560248719502738</v>
      </c>
      <c r="R23" s="55">
        <v>40.549551098595977</v>
      </c>
      <c r="S23" s="55">
        <v>42.378107796673667</v>
      </c>
      <c r="T23" s="55">
        <v>38.446682936621357</v>
      </c>
      <c r="U23" s="55">
        <v>35.676292479677237</v>
      </c>
      <c r="V23" s="55">
        <v>35.996788508754427</v>
      </c>
      <c r="W23" s="55">
        <v>42.671990746780331</v>
      </c>
      <c r="X23" s="55">
        <v>40.305249246714013</v>
      </c>
      <c r="Y23" s="55">
        <v>39.173230348297018</v>
      </c>
      <c r="DA23" s="101" t="s">
        <v>1031</v>
      </c>
    </row>
    <row r="24" spans="1:105" x14ac:dyDescent="0.25">
      <c r="A24" s="61" t="s">
        <v>152</v>
      </c>
      <c r="B24" s="55">
        <v>6.4149135245333735E-2</v>
      </c>
      <c r="C24" s="55">
        <v>6.3941151029854759E-2</v>
      </c>
      <c r="D24" s="55">
        <v>6.9549150443464186E-2</v>
      </c>
      <c r="E24" s="55">
        <v>7.3528206931939163E-2</v>
      </c>
      <c r="F24" s="55">
        <v>7.6426915359710065E-2</v>
      </c>
      <c r="G24" s="55">
        <v>9.69317282359166E-2</v>
      </c>
      <c r="H24" s="55">
        <v>0.11563496554881079</v>
      </c>
      <c r="I24" s="55">
        <v>0.13394051437757271</v>
      </c>
      <c r="J24" s="55">
        <v>0.1366077729216261</v>
      </c>
      <c r="K24" s="55">
        <v>0.19338635457485739</v>
      </c>
      <c r="L24" s="55">
        <v>0.2110019330934608</v>
      </c>
      <c r="M24" s="55">
        <v>0.2089200184427282</v>
      </c>
      <c r="N24" s="55">
        <v>0.12560793905688061</v>
      </c>
      <c r="O24" s="55">
        <v>0.12626050033022229</v>
      </c>
      <c r="P24" s="55">
        <v>0.1247553069449258</v>
      </c>
      <c r="Q24" s="55">
        <v>0.14306594176042731</v>
      </c>
      <c r="R24" s="55">
        <v>0.14106679592063001</v>
      </c>
      <c r="S24" s="55">
        <v>0.1488065371453117</v>
      </c>
      <c r="T24" s="55">
        <v>0.13328649032923831</v>
      </c>
      <c r="U24" s="55">
        <v>0.14016127644554111</v>
      </c>
      <c r="V24" s="55">
        <v>0.18108096518133179</v>
      </c>
      <c r="W24" s="55">
        <v>0.1609144729775355</v>
      </c>
      <c r="X24" s="55">
        <v>0.14673686076720499</v>
      </c>
      <c r="Y24" s="55">
        <v>0.13326090336552321</v>
      </c>
      <c r="DA24" s="101" t="s">
        <v>1032</v>
      </c>
    </row>
    <row r="25" spans="1:105" x14ac:dyDescent="0.25">
      <c r="A25" s="256" t="s">
        <v>167</v>
      </c>
      <c r="B25" s="257">
        <v>5.2177927962672568</v>
      </c>
      <c r="C25" s="257">
        <v>5.2880105788019982</v>
      </c>
      <c r="D25" s="257">
        <v>5.2117172615782588</v>
      </c>
      <c r="E25" s="257">
        <v>5.2711930547617643</v>
      </c>
      <c r="F25" s="257">
        <v>5.3079077966052619</v>
      </c>
      <c r="G25" s="257">
        <v>5.2077579669784999</v>
      </c>
      <c r="H25" s="257">
        <v>5.1677418452953958</v>
      </c>
      <c r="I25" s="257">
        <v>5.1167493004580393</v>
      </c>
      <c r="J25" s="257">
        <v>5.1266691043166528</v>
      </c>
      <c r="K25" s="257">
        <v>5.046526603790956</v>
      </c>
      <c r="L25" s="257">
        <v>5.1613710865214228</v>
      </c>
      <c r="M25" s="257">
        <v>5.0414841032937607</v>
      </c>
      <c r="N25" s="257">
        <v>5.0540509674778331</v>
      </c>
      <c r="O25" s="257">
        <v>5.2048084431759456</v>
      </c>
      <c r="P25" s="257">
        <v>5.0866823796453406</v>
      </c>
      <c r="Q25" s="257">
        <v>5.1117245337224171</v>
      </c>
      <c r="R25" s="257">
        <v>5.1610626020755639</v>
      </c>
      <c r="S25" s="257">
        <v>5.1977817806989544</v>
      </c>
      <c r="T25" s="257">
        <v>5.0742505397866848</v>
      </c>
      <c r="U25" s="257">
        <v>4.9916359134127237</v>
      </c>
      <c r="V25" s="257">
        <v>4.8774627433549584</v>
      </c>
      <c r="W25" s="257">
        <v>5.1706368336486701</v>
      </c>
      <c r="X25" s="257">
        <v>5.0699862795449118</v>
      </c>
      <c r="Y25" s="257">
        <v>4.9158789542984112</v>
      </c>
      <c r="DA25" s="272" t="s">
        <v>1033</v>
      </c>
    </row>
    <row r="26" spans="1:105" x14ac:dyDescent="0.25">
      <c r="A26" s="256" t="s">
        <v>170</v>
      </c>
      <c r="B26" s="257">
        <v>5.4920626488861064</v>
      </c>
      <c r="C26" s="257">
        <v>5.508968290595722</v>
      </c>
      <c r="D26" s="257">
        <v>5.6514479990901743</v>
      </c>
      <c r="E26" s="257">
        <v>5.6699140260919654</v>
      </c>
      <c r="F26" s="257">
        <v>5.6687731024628611</v>
      </c>
      <c r="G26" s="257">
        <v>5.9041593284766032</v>
      </c>
      <c r="H26" s="257">
        <v>6.1048781779290966</v>
      </c>
      <c r="I26" s="257">
        <v>6.3172066239037941</v>
      </c>
      <c r="J26" s="257">
        <v>6.5258838983513554</v>
      </c>
      <c r="K26" s="257">
        <v>6.7075528720491473</v>
      </c>
      <c r="L26" s="257">
        <v>6.8698641373877818</v>
      </c>
      <c r="M26" s="257">
        <v>6.7120192590931298</v>
      </c>
      <c r="N26" s="257">
        <v>6.7540290335425874</v>
      </c>
      <c r="O26" s="257">
        <v>6.8550854019618281</v>
      </c>
      <c r="P26" s="257">
        <v>6.571392980556622</v>
      </c>
      <c r="Q26" s="257">
        <v>6.7174366162481096</v>
      </c>
      <c r="R26" s="257">
        <v>6.9344274038799609</v>
      </c>
      <c r="S26" s="257">
        <v>7.0154886096263054</v>
      </c>
      <c r="T26" s="257">
        <v>6.9485023153736156</v>
      </c>
      <c r="U26" s="257">
        <v>7.0701175190336496</v>
      </c>
      <c r="V26" s="257">
        <v>7.2452713448741832</v>
      </c>
      <c r="W26" s="257">
        <v>7.8059828727752594</v>
      </c>
      <c r="X26" s="257">
        <v>7.6678823729446508</v>
      </c>
      <c r="Y26" s="257">
        <v>7.5840951797838896</v>
      </c>
      <c r="DA26" s="272" t="s">
        <v>1034</v>
      </c>
    </row>
    <row r="27" spans="1:105" x14ac:dyDescent="0.25">
      <c r="A27" s="128" t="s">
        <v>33</v>
      </c>
      <c r="B27" s="258">
        <v>8.3702590800332697</v>
      </c>
      <c r="C27" s="258">
        <v>8.3960243726146313</v>
      </c>
      <c r="D27" s="258">
        <v>8.6131726737156864</v>
      </c>
      <c r="E27" s="258">
        <v>8.6413160945150178</v>
      </c>
      <c r="F27" s="258">
        <v>8.6395772530311064</v>
      </c>
      <c r="G27" s="258">
        <v>8.9983211023944918</v>
      </c>
      <c r="H27" s="258">
        <v>9.3042296252159318</v>
      </c>
      <c r="I27" s="258">
        <v>9.6278319248418374</v>
      </c>
      <c r="J27" s="258">
        <v>9.9458696026522926</v>
      </c>
      <c r="K27" s="258">
        <v>10.222744881371611</v>
      </c>
      <c r="L27" s="258">
        <v>10.470117759167881</v>
      </c>
      <c r="M27" s="258">
        <v>10.22955194441875</v>
      </c>
      <c r="N27" s="258">
        <v>10.293577560752</v>
      </c>
      <c r="O27" s="258">
        <v>10.447594009476941</v>
      </c>
      <c r="P27" s="258">
        <v>10.01522839058052</v>
      </c>
      <c r="Q27" s="258">
        <v>10.237808347489</v>
      </c>
      <c r="R27" s="258">
        <v>10.5685163576803</v>
      </c>
      <c r="S27" s="258">
        <v>10.69205888383382</v>
      </c>
      <c r="T27" s="258">
        <v>10.589967434126841</v>
      </c>
      <c r="U27" s="258">
        <v>10.77531687891366</v>
      </c>
      <c r="V27" s="258">
        <v>11.042262650452081</v>
      </c>
      <c r="W27" s="258">
        <v>11.896823324235591</v>
      </c>
      <c r="X27" s="258">
        <v>11.686349220685679</v>
      </c>
      <c r="Y27" s="258">
        <v>11.558652113208829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1.0000000000000002</v>
      </c>
      <c r="D31" s="235">
        <f t="shared" si="9"/>
        <v>1</v>
      </c>
      <c r="E31" s="235">
        <f t="shared" si="9"/>
        <v>1</v>
      </c>
      <c r="F31" s="235">
        <f t="shared" si="9"/>
        <v>0.99999999999999989</v>
      </c>
      <c r="G31" s="235">
        <f t="shared" si="9"/>
        <v>0.99999999999999989</v>
      </c>
      <c r="H31" s="235">
        <f t="shared" si="9"/>
        <v>1</v>
      </c>
      <c r="I31" s="235">
        <f t="shared" si="9"/>
        <v>1</v>
      </c>
      <c r="J31" s="235">
        <f t="shared" si="9"/>
        <v>0.99999999999999989</v>
      </c>
      <c r="K31" s="235">
        <f t="shared" si="9"/>
        <v>1.0000000000000002</v>
      </c>
      <c r="L31" s="235">
        <f t="shared" si="9"/>
        <v>0.99999999999999989</v>
      </c>
      <c r="M31" s="235">
        <f t="shared" si="9"/>
        <v>1</v>
      </c>
      <c r="N31" s="235">
        <f t="shared" si="9"/>
        <v>0.99999999999999989</v>
      </c>
      <c r="O31" s="235">
        <f t="shared" si="9"/>
        <v>1</v>
      </c>
      <c r="P31" s="235">
        <f t="shared" si="9"/>
        <v>0.99999999999999989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0.99999999999999989</v>
      </c>
      <c r="T31" s="235">
        <f t="shared" si="10"/>
        <v>1.0000000000000002</v>
      </c>
      <c r="U31" s="235">
        <f t="shared" si="10"/>
        <v>1</v>
      </c>
      <c r="V31" s="235">
        <f t="shared" si="10"/>
        <v>1.0000000000000002</v>
      </c>
      <c r="W31" s="235">
        <f t="shared" si="10"/>
        <v>1</v>
      </c>
      <c r="X31" s="235">
        <f t="shared" ref="X31:Y31" si="11">SUM(X32:X40)</f>
        <v>1</v>
      </c>
      <c r="Y31" s="235">
        <f t="shared" si="11"/>
        <v>0.99999999999999978</v>
      </c>
      <c r="DA31" s="274"/>
    </row>
    <row r="32" spans="1:105" x14ac:dyDescent="0.25">
      <c r="A32" s="238" t="s">
        <v>125</v>
      </c>
      <c r="B32" s="244">
        <f t="shared" ref="B32:Y32" si="12">IF(B$6=0,0,B$6/B$5)</f>
        <v>2.840803856647468E-2</v>
      </c>
      <c r="C32" s="244">
        <f t="shared" si="12"/>
        <v>2.7863665886935798E-2</v>
      </c>
      <c r="D32" s="244">
        <f t="shared" si="12"/>
        <v>2.9128054477428562E-2</v>
      </c>
      <c r="E32" s="244">
        <f t="shared" si="12"/>
        <v>2.863434712229394E-2</v>
      </c>
      <c r="F32" s="244">
        <f t="shared" si="12"/>
        <v>2.836354871031449E-2</v>
      </c>
      <c r="G32" s="244">
        <f t="shared" si="12"/>
        <v>3.0175385191976472E-2</v>
      </c>
      <c r="H32" s="244">
        <f t="shared" si="12"/>
        <v>3.1217986341261092E-2</v>
      </c>
      <c r="I32" s="244">
        <f t="shared" si="12"/>
        <v>3.244232451211556E-2</v>
      </c>
      <c r="J32" s="244">
        <f t="shared" si="12"/>
        <v>3.2984609189527024E-2</v>
      </c>
      <c r="K32" s="244">
        <f t="shared" si="12"/>
        <v>3.4090645929506856E-2</v>
      </c>
      <c r="L32" s="244">
        <f t="shared" si="12"/>
        <v>3.3720298996613357E-2</v>
      </c>
      <c r="M32" s="244">
        <f t="shared" si="12"/>
        <v>3.3946992448266849E-2</v>
      </c>
      <c r="N32" s="244">
        <f t="shared" si="12"/>
        <v>3.386534164014561E-2</v>
      </c>
      <c r="O32" s="244">
        <f t="shared" si="12"/>
        <v>3.3141085646952076E-2</v>
      </c>
      <c r="P32" s="244">
        <f t="shared" si="12"/>
        <v>3.2962249465759305E-2</v>
      </c>
      <c r="Q32" s="244">
        <f t="shared" si="12"/>
        <v>3.3188401363147303E-2</v>
      </c>
      <c r="R32" s="244">
        <f t="shared" si="12"/>
        <v>3.342279291891246E-2</v>
      </c>
      <c r="S32" s="244">
        <f t="shared" si="12"/>
        <v>3.3343545967258692E-2</v>
      </c>
      <c r="T32" s="244">
        <f t="shared" si="12"/>
        <v>3.4150684596731332E-2</v>
      </c>
      <c r="U32" s="244">
        <f t="shared" si="12"/>
        <v>3.4954667364582005E-2</v>
      </c>
      <c r="V32" s="244">
        <f t="shared" si="12"/>
        <v>3.5847763834628739E-2</v>
      </c>
      <c r="W32" s="244">
        <f t="shared" si="12"/>
        <v>3.5493543479526025E-2</v>
      </c>
      <c r="X32" s="244">
        <f t="shared" si="12"/>
        <v>3.5908548242863367E-2</v>
      </c>
      <c r="Y32" s="244">
        <f t="shared" si="12"/>
        <v>3.6549703779238642E-2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1.8310632611644295E-2</v>
      </c>
      <c r="C33" s="245">
        <f t="shared" si="13"/>
        <v>1.7959752767704045E-2</v>
      </c>
      <c r="D33" s="245">
        <f t="shared" si="13"/>
        <v>1.877472473082261E-2</v>
      </c>
      <c r="E33" s="245">
        <f t="shared" si="13"/>
        <v>1.8456501634342967E-2</v>
      </c>
      <c r="F33" s="245">
        <f t="shared" si="13"/>
        <v>1.8281956312533112E-2</v>
      </c>
      <c r="G33" s="245">
        <f t="shared" si="13"/>
        <v>1.944979027229261E-2</v>
      </c>
      <c r="H33" s="245">
        <f t="shared" si="13"/>
        <v>2.0121807333954803E-2</v>
      </c>
      <c r="I33" s="245">
        <f t="shared" si="13"/>
        <v>2.0910964472926931E-2</v>
      </c>
      <c r="J33" s="245">
        <f t="shared" si="13"/>
        <v>2.1260498478091361E-2</v>
      </c>
      <c r="K33" s="245">
        <f t="shared" si="13"/>
        <v>2.197340346635239E-2</v>
      </c>
      <c r="L33" s="245">
        <f t="shared" si="13"/>
        <v>2.173469333466926E-2</v>
      </c>
      <c r="M33" s="245">
        <f t="shared" si="13"/>
        <v>2.1880810445112479E-2</v>
      </c>
      <c r="N33" s="245">
        <f t="shared" si="13"/>
        <v>2.1828181751777906E-2</v>
      </c>
      <c r="O33" s="245">
        <f t="shared" si="13"/>
        <v>2.1361356653060999E-2</v>
      </c>
      <c r="P33" s="245">
        <f t="shared" si="13"/>
        <v>2.1246086336040422E-2</v>
      </c>
      <c r="Q33" s="245">
        <f t="shared" si="13"/>
        <v>2.1391854383271406E-2</v>
      </c>
      <c r="R33" s="245">
        <f t="shared" si="13"/>
        <v>2.1542933369412775E-2</v>
      </c>
      <c r="S33" s="245">
        <f t="shared" si="13"/>
        <v>2.1491854101341187E-2</v>
      </c>
      <c r="T33" s="245">
        <f t="shared" si="13"/>
        <v>2.2012101878263766E-2</v>
      </c>
      <c r="U33" s="245">
        <f t="shared" si="13"/>
        <v>2.2530315518876739E-2</v>
      </c>
      <c r="V33" s="245">
        <f t="shared" si="13"/>
        <v>2.3105968121977637E-2</v>
      </c>
      <c r="W33" s="245">
        <f t="shared" si="13"/>
        <v>2.2877652507343627E-2</v>
      </c>
      <c r="X33" s="245">
        <f t="shared" si="13"/>
        <v>2.3145147207330418E-2</v>
      </c>
      <c r="Y33" s="245">
        <f t="shared" si="13"/>
        <v>2.3558409229839219E-2</v>
      </c>
      <c r="DA33" s="276"/>
    </row>
    <row r="34" spans="1:105" x14ac:dyDescent="0.25">
      <c r="A34" s="240" t="s">
        <v>123</v>
      </c>
      <c r="B34" s="245">
        <f t="shared" ref="B34:Y34" si="14">IF(B$8=0,0,B$8/B$5)</f>
        <v>3.6387479322132231E-2</v>
      </c>
      <c r="C34" s="245">
        <f t="shared" si="14"/>
        <v>3.5690199586542473E-2</v>
      </c>
      <c r="D34" s="245">
        <f t="shared" si="14"/>
        <v>3.7309738140182382E-2</v>
      </c>
      <c r="E34" s="245">
        <f t="shared" si="14"/>
        <v>3.6677354945752833E-2</v>
      </c>
      <c r="F34" s="245">
        <f t="shared" si="14"/>
        <v>3.6330492856231564E-2</v>
      </c>
      <c r="G34" s="245">
        <f t="shared" si="14"/>
        <v>3.865125014319766E-2</v>
      </c>
      <c r="H34" s="245">
        <f t="shared" si="14"/>
        <v>3.9986704108878918E-2</v>
      </c>
      <c r="I34" s="245">
        <f t="shared" si="14"/>
        <v>4.1554942611900396E-2</v>
      </c>
      <c r="J34" s="245">
        <f t="shared" si="14"/>
        <v>4.2249547853295197E-2</v>
      </c>
      <c r="K34" s="245">
        <f t="shared" si="14"/>
        <v>4.3666255624631105E-2</v>
      </c>
      <c r="L34" s="245">
        <f t="shared" si="14"/>
        <v>4.3191883156741655E-2</v>
      </c>
      <c r="M34" s="245">
        <f t="shared" si="14"/>
        <v>4.3482251788324627E-2</v>
      </c>
      <c r="N34" s="245">
        <f t="shared" si="14"/>
        <v>4.3377666352579253E-2</v>
      </c>
      <c r="O34" s="245">
        <f t="shared" si="14"/>
        <v>4.2449976469499419E-2</v>
      </c>
      <c r="P34" s="245">
        <f t="shared" si="14"/>
        <v>4.2220907580073137E-2</v>
      </c>
      <c r="Q34" s="245">
        <f t="shared" si="14"/>
        <v>4.2510582541989667E-2</v>
      </c>
      <c r="R34" s="245">
        <f t="shared" si="14"/>
        <v>4.2810811572893362E-2</v>
      </c>
      <c r="S34" s="245">
        <f t="shared" si="14"/>
        <v>4.2709305204972306E-2</v>
      </c>
      <c r="T34" s="245">
        <f t="shared" si="14"/>
        <v>4.374315835612546E-2</v>
      </c>
      <c r="U34" s="245">
        <f t="shared" si="14"/>
        <v>4.4772969206038953E-2</v>
      </c>
      <c r="V34" s="245">
        <f t="shared" si="14"/>
        <v>4.5916924613606101E-2</v>
      </c>
      <c r="W34" s="245">
        <f t="shared" si="14"/>
        <v>4.546320846503718E-2</v>
      </c>
      <c r="X34" s="245">
        <f t="shared" si="14"/>
        <v>4.5994782554856437E-2</v>
      </c>
      <c r="Y34" s="245">
        <f t="shared" si="14"/>
        <v>4.6816030166427158E-2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0.29883447155082071</v>
      </c>
      <c r="C35" s="246">
        <f t="shared" si="15"/>
        <v>0.29676137280990927</v>
      </c>
      <c r="D35" s="246">
        <f t="shared" si="15"/>
        <v>0.30134304515761079</v>
      </c>
      <c r="E35" s="246">
        <f t="shared" si="15"/>
        <v>0.29926265073238778</v>
      </c>
      <c r="F35" s="246">
        <f t="shared" si="15"/>
        <v>0.29822814106565099</v>
      </c>
      <c r="G35" s="246">
        <f t="shared" si="15"/>
        <v>0.30767331633713746</v>
      </c>
      <c r="H35" s="246">
        <f t="shared" si="15"/>
        <v>0.30922495023172786</v>
      </c>
      <c r="I35" s="246">
        <f t="shared" si="15"/>
        <v>0.31443928858387166</v>
      </c>
      <c r="J35" s="246">
        <f t="shared" si="15"/>
        <v>0.3157557080381182</v>
      </c>
      <c r="K35" s="246">
        <f t="shared" si="15"/>
        <v>0.32071280982199762</v>
      </c>
      <c r="L35" s="246">
        <f t="shared" si="15"/>
        <v>0.32013159447123768</v>
      </c>
      <c r="M35" s="246">
        <f t="shared" si="15"/>
        <v>0.3206456233703906</v>
      </c>
      <c r="N35" s="246">
        <f t="shared" si="15"/>
        <v>0.31841346350198041</v>
      </c>
      <c r="O35" s="246">
        <f t="shared" si="15"/>
        <v>0.31608469815056267</v>
      </c>
      <c r="P35" s="246">
        <f t="shared" si="15"/>
        <v>0.31611054703346636</v>
      </c>
      <c r="Q35" s="246">
        <f t="shared" si="15"/>
        <v>0.31814273708276447</v>
      </c>
      <c r="R35" s="246">
        <f t="shared" si="15"/>
        <v>0.31954017314851402</v>
      </c>
      <c r="S35" s="246">
        <f t="shared" si="15"/>
        <v>0.32198180382937758</v>
      </c>
      <c r="T35" s="246">
        <f t="shared" si="15"/>
        <v>0.32474586139940304</v>
      </c>
      <c r="U35" s="246">
        <f t="shared" si="15"/>
        <v>0.32946412172863992</v>
      </c>
      <c r="V35" s="246">
        <f t="shared" si="15"/>
        <v>0.33351576719850429</v>
      </c>
      <c r="W35" s="246">
        <f t="shared" si="15"/>
        <v>0.33156689804122075</v>
      </c>
      <c r="X35" s="246">
        <f t="shared" si="15"/>
        <v>0.33093900510871554</v>
      </c>
      <c r="Y35" s="246">
        <f t="shared" si="15"/>
        <v>0.33245161967841175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0.19896838475597051</v>
      </c>
      <c r="C36" s="259">
        <f t="shared" si="16"/>
        <v>0.19717496654248479</v>
      </c>
      <c r="D36" s="259">
        <f t="shared" si="16"/>
        <v>0.19802684512279603</v>
      </c>
      <c r="E36" s="259">
        <f t="shared" si="16"/>
        <v>0.19625069947906318</v>
      </c>
      <c r="F36" s="259">
        <f t="shared" si="16"/>
        <v>0.19578812252302077</v>
      </c>
      <c r="G36" s="259">
        <f t="shared" si="16"/>
        <v>0.19621717786859078</v>
      </c>
      <c r="H36" s="259">
        <f t="shared" si="16"/>
        <v>0.19481400458507725</v>
      </c>
      <c r="I36" s="259">
        <f t="shared" si="16"/>
        <v>0.19371912562886864</v>
      </c>
      <c r="J36" s="259">
        <f t="shared" si="16"/>
        <v>0.19102876425771403</v>
      </c>
      <c r="K36" s="259">
        <f t="shared" si="16"/>
        <v>0.1890841700814353</v>
      </c>
      <c r="L36" s="259">
        <f t="shared" si="16"/>
        <v>0.18676686650301744</v>
      </c>
      <c r="M36" s="259">
        <f t="shared" si="16"/>
        <v>0.18797409005799609</v>
      </c>
      <c r="N36" s="259">
        <f t="shared" si="16"/>
        <v>0.18682011474863894</v>
      </c>
      <c r="O36" s="259">
        <f t="shared" si="16"/>
        <v>0.18550263845920928</v>
      </c>
      <c r="P36" s="259">
        <f t="shared" si="16"/>
        <v>0.18809857355026949</v>
      </c>
      <c r="Q36" s="259">
        <f t="shared" si="16"/>
        <v>0.18618370895908284</v>
      </c>
      <c r="R36" s="259">
        <f t="shared" si="16"/>
        <v>0.18338454769093446</v>
      </c>
      <c r="S36" s="259">
        <f t="shared" si="16"/>
        <v>0.18212240701695509</v>
      </c>
      <c r="T36" s="259">
        <f t="shared" si="16"/>
        <v>0.18385336939879782</v>
      </c>
      <c r="U36" s="259">
        <f t="shared" si="16"/>
        <v>0.18193360324076396</v>
      </c>
      <c r="V36" s="259">
        <f t="shared" si="16"/>
        <v>0.17790692560169868</v>
      </c>
      <c r="W36" s="259">
        <f t="shared" si="16"/>
        <v>0.17332343196487612</v>
      </c>
      <c r="X36" s="259">
        <f t="shared" si="16"/>
        <v>0.17503329500765055</v>
      </c>
      <c r="Y36" s="259">
        <f t="shared" si="16"/>
        <v>0.17465167157425288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0.32122417097659217</v>
      </c>
      <c r="C37" s="259">
        <f t="shared" si="17"/>
        <v>0.32828698274599016</v>
      </c>
      <c r="D37" s="259">
        <f t="shared" si="17"/>
        <v>0.31587526580787928</v>
      </c>
      <c r="E37" s="259">
        <f t="shared" si="17"/>
        <v>0.32265074681556588</v>
      </c>
      <c r="F37" s="259">
        <f t="shared" si="17"/>
        <v>0.32568005117178334</v>
      </c>
      <c r="G37" s="259">
        <f t="shared" si="17"/>
        <v>0.30591277480337897</v>
      </c>
      <c r="H37" s="259">
        <f t="shared" si="17"/>
        <v>0.30029342313793495</v>
      </c>
      <c r="I37" s="259">
        <f t="shared" si="17"/>
        <v>0.28967506652478681</v>
      </c>
      <c r="J37" s="259">
        <f t="shared" si="17"/>
        <v>0.28846716502099101</v>
      </c>
      <c r="K37" s="259">
        <f t="shared" si="17"/>
        <v>0.27971224097450886</v>
      </c>
      <c r="L37" s="259">
        <f t="shared" si="17"/>
        <v>0.28493284545452247</v>
      </c>
      <c r="M37" s="259">
        <f t="shared" si="17"/>
        <v>0.28181863062516394</v>
      </c>
      <c r="N37" s="259">
        <f t="shared" si="17"/>
        <v>0.28580321942804648</v>
      </c>
      <c r="O37" s="259">
        <f t="shared" si="17"/>
        <v>0.29355821114769975</v>
      </c>
      <c r="P37" s="259">
        <f t="shared" si="17"/>
        <v>0.29155803615866499</v>
      </c>
      <c r="Q37" s="259">
        <f t="shared" si="17"/>
        <v>0.2904706427656833</v>
      </c>
      <c r="R37" s="259">
        <f t="shared" si="17"/>
        <v>0.29097651953674952</v>
      </c>
      <c r="S37" s="259">
        <f t="shared" si="17"/>
        <v>0.29039698352696264</v>
      </c>
      <c r="T37" s="259">
        <f t="shared" si="17"/>
        <v>0.28128767686424361</v>
      </c>
      <c r="U37" s="259">
        <f t="shared" si="17"/>
        <v>0.27438308973092357</v>
      </c>
      <c r="V37" s="259">
        <f t="shared" si="17"/>
        <v>0.27005168850392225</v>
      </c>
      <c r="W37" s="259">
        <f t="shared" si="17"/>
        <v>0.2791234228038626</v>
      </c>
      <c r="X37" s="259">
        <f t="shared" si="17"/>
        <v>0.27555865489465381</v>
      </c>
      <c r="Y37" s="259">
        <f t="shared" si="17"/>
        <v>0.27099856168492503</v>
      </c>
      <c r="DA37" s="278"/>
    </row>
    <row r="38" spans="1:105" x14ac:dyDescent="0.25">
      <c r="A38" s="127" t="s">
        <v>167</v>
      </c>
      <c r="B38" s="259">
        <f t="shared" ref="B38:Y38" si="18">IF(B$25=0,0,B$25/B$5)</f>
        <v>2.6763403295092379E-2</v>
      </c>
      <c r="C38" s="259">
        <f t="shared" si="18"/>
        <v>2.6522169116189272E-2</v>
      </c>
      <c r="D38" s="259">
        <f t="shared" si="18"/>
        <v>2.6636756014159442E-2</v>
      </c>
      <c r="E38" s="259">
        <f t="shared" si="18"/>
        <v>2.6397845183012345E-2</v>
      </c>
      <c r="F38" s="259">
        <f t="shared" si="18"/>
        <v>2.6335623571047403E-2</v>
      </c>
      <c r="G38" s="259">
        <f t="shared" si="18"/>
        <v>2.6393336163243845E-2</v>
      </c>
      <c r="H38" s="259">
        <f t="shared" si="18"/>
        <v>2.6204594155182444E-2</v>
      </c>
      <c r="I38" s="259">
        <f t="shared" si="18"/>
        <v>2.6057321074083366E-2</v>
      </c>
      <c r="J38" s="259">
        <f t="shared" si="18"/>
        <v>2.5695438323343551E-2</v>
      </c>
      <c r="K38" s="259">
        <f t="shared" si="18"/>
        <v>2.5433869339663726E-2</v>
      </c>
      <c r="L38" s="259">
        <f t="shared" si="18"/>
        <v>2.5122166903608762E-2</v>
      </c>
      <c r="M38" s="259">
        <f t="shared" si="18"/>
        <v>2.5284551550339731E-2</v>
      </c>
      <c r="N38" s="259">
        <f t="shared" si="18"/>
        <v>2.5129329369515445E-2</v>
      </c>
      <c r="O38" s="259">
        <f t="shared" si="18"/>
        <v>2.4952114535565961E-2</v>
      </c>
      <c r="P38" s="259">
        <f t="shared" si="18"/>
        <v>2.5301295928655796E-2</v>
      </c>
      <c r="Q38" s="259">
        <f t="shared" si="18"/>
        <v>2.5043725896249529E-2</v>
      </c>
      <c r="R38" s="259">
        <f t="shared" si="18"/>
        <v>2.4667208380668656E-2</v>
      </c>
      <c r="S38" s="259">
        <f t="shared" si="18"/>
        <v>2.4497436786481586E-2</v>
      </c>
      <c r="T38" s="259">
        <f t="shared" si="18"/>
        <v>2.4730269979406725E-2</v>
      </c>
      <c r="U38" s="259">
        <f t="shared" si="18"/>
        <v>2.4472040633157843E-2</v>
      </c>
      <c r="V38" s="259">
        <f t="shared" si="18"/>
        <v>2.3930408867257898E-2</v>
      </c>
      <c r="W38" s="259">
        <f t="shared" si="18"/>
        <v>2.3313879317333554E-2</v>
      </c>
      <c r="X38" s="259">
        <f t="shared" si="18"/>
        <v>2.3543874420572045E-2</v>
      </c>
      <c r="Y38" s="259">
        <f t="shared" si="18"/>
        <v>2.3492541934421511E-2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2.8170204017914306E-2</v>
      </c>
      <c r="C39" s="259">
        <f t="shared" si="19"/>
        <v>2.7630388873390855E-2</v>
      </c>
      <c r="D39" s="259">
        <f t="shared" si="19"/>
        <v>2.8884191893573257E-2</v>
      </c>
      <c r="E39" s="259">
        <f t="shared" si="19"/>
        <v>2.8394617898989193E-2</v>
      </c>
      <c r="F39" s="259">
        <f t="shared" si="19"/>
        <v>2.8126086634666324E-2</v>
      </c>
      <c r="G39" s="259">
        <f t="shared" si="19"/>
        <v>2.9922754265065552E-2</v>
      </c>
      <c r="H39" s="259">
        <f t="shared" si="19"/>
        <v>3.0956626667622791E-2</v>
      </c>
      <c r="I39" s="259">
        <f t="shared" si="19"/>
        <v>3.2170714573733737E-2</v>
      </c>
      <c r="J39" s="259">
        <f t="shared" si="19"/>
        <v>3.2708459197063638E-2</v>
      </c>
      <c r="K39" s="259">
        <f t="shared" si="19"/>
        <v>3.3805236102080589E-2</v>
      </c>
      <c r="L39" s="259">
        <f t="shared" si="19"/>
        <v>3.3437989745645033E-2</v>
      </c>
      <c r="M39" s="259">
        <f t="shared" si="19"/>
        <v>3.3662785300173054E-2</v>
      </c>
      <c r="N39" s="259">
        <f t="shared" si="19"/>
        <v>3.3581818079658328E-2</v>
      </c>
      <c r="O39" s="259">
        <f t="shared" si="19"/>
        <v>3.2863625620093845E-2</v>
      </c>
      <c r="P39" s="259">
        <f t="shared" si="19"/>
        <v>3.268628667083142E-2</v>
      </c>
      <c r="Q39" s="259">
        <f t="shared" si="19"/>
        <v>3.2910545205032955E-2</v>
      </c>
      <c r="R39" s="259">
        <f t="shared" si="19"/>
        <v>3.3142974414481198E-2</v>
      </c>
      <c r="S39" s="259">
        <f t="shared" si="19"/>
        <v>3.3064390925140283E-2</v>
      </c>
      <c r="T39" s="259">
        <f t="shared" si="19"/>
        <v>3.3864772120405805E-2</v>
      </c>
      <c r="U39" s="259">
        <f t="shared" si="19"/>
        <v>3.4662023875194993E-2</v>
      </c>
      <c r="V39" s="259">
        <f t="shared" si="19"/>
        <v>3.5547643264581014E-2</v>
      </c>
      <c r="W39" s="259">
        <f t="shared" si="19"/>
        <v>3.5196388472836349E-2</v>
      </c>
      <c r="X39" s="259">
        <f t="shared" si="19"/>
        <v>3.5607918780508334E-2</v>
      </c>
      <c r="Y39" s="259">
        <f t="shared" si="19"/>
        <v>3.6243706507444962E-2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4.2933214903358753E-2</v>
      </c>
      <c r="C40" s="261">
        <f t="shared" si="20"/>
        <v>4.2110501670853437E-2</v>
      </c>
      <c r="D40" s="261">
        <f t="shared" si="20"/>
        <v>4.4021378655547588E-2</v>
      </c>
      <c r="E40" s="261">
        <f t="shared" si="20"/>
        <v>4.3275236188591845E-2</v>
      </c>
      <c r="F40" s="261">
        <f t="shared" si="20"/>
        <v>4.2865977154751961E-2</v>
      </c>
      <c r="G40" s="261">
        <f t="shared" si="20"/>
        <v>4.5604214955116643E-2</v>
      </c>
      <c r="H40" s="261">
        <f t="shared" si="20"/>
        <v>4.7179903438359934E-2</v>
      </c>
      <c r="I40" s="261">
        <f t="shared" si="20"/>
        <v>4.903025201771289E-2</v>
      </c>
      <c r="J40" s="261">
        <f t="shared" si="20"/>
        <v>4.9849809641855973E-2</v>
      </c>
      <c r="K40" s="261">
        <f t="shared" si="20"/>
        <v>5.1521368659823666E-2</v>
      </c>
      <c r="L40" s="261">
        <f t="shared" si="20"/>
        <v>5.096166143394424E-2</v>
      </c>
      <c r="M40" s="261">
        <f t="shared" si="20"/>
        <v>5.1304264414232699E-2</v>
      </c>
      <c r="N40" s="261">
        <f t="shared" si="20"/>
        <v>5.1180865127657606E-2</v>
      </c>
      <c r="O40" s="261">
        <f t="shared" si="20"/>
        <v>5.0086293317355993E-2</v>
      </c>
      <c r="P40" s="261">
        <f t="shared" si="20"/>
        <v>4.9816017276239008E-2</v>
      </c>
      <c r="Q40" s="261">
        <f t="shared" si="20"/>
        <v>5.0157801802778609E-2</v>
      </c>
      <c r="R40" s="261">
        <f t="shared" si="20"/>
        <v>5.0512038967433628E-2</v>
      </c>
      <c r="S40" s="261">
        <f t="shared" si="20"/>
        <v>5.0392272641510541E-2</v>
      </c>
      <c r="T40" s="261">
        <f t="shared" si="20"/>
        <v>5.1612105406622574E-2</v>
      </c>
      <c r="U40" s="261">
        <f t="shared" si="20"/>
        <v>5.2827168701821865E-2</v>
      </c>
      <c r="V40" s="261">
        <f t="shared" si="20"/>
        <v>5.4176909993823526E-2</v>
      </c>
      <c r="W40" s="261">
        <f t="shared" si="20"/>
        <v>5.3641574947963844E-2</v>
      </c>
      <c r="X40" s="261">
        <f t="shared" si="20"/>
        <v>5.4268773782849507E-2</v>
      </c>
      <c r="Y40" s="261">
        <f t="shared" si="20"/>
        <v>5.52377554450387E-2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0.36924023759393476</v>
      </c>
      <c r="C44" s="237">
        <f>IF(C$5=0,0,C$5/AGR_fec!C$5)</f>
        <v>0.36673234726970821</v>
      </c>
      <c r="D44" s="237">
        <f>IF(D$5=0,0,D$5/AGR_fec!D$5)</f>
        <v>0.37078768331948764</v>
      </c>
      <c r="E44" s="237">
        <f>IF(E$5=0,0,E$5/AGR_fec!E$5)</f>
        <v>0.3687870296044084</v>
      </c>
      <c r="F44" s="237">
        <f>IF(F$5=0,0,F$5/AGR_fec!F$5)</f>
        <v>0.36753415768371867</v>
      </c>
      <c r="G44" s="237">
        <f>IF(G$5=0,0,G$5/AGR_fec!G$5)</f>
        <v>0.37485354362899481</v>
      </c>
      <c r="H44" s="237">
        <f>IF(H$5=0,0,H$5/AGR_fec!H$5)</f>
        <v>0.37729968870535502</v>
      </c>
      <c r="I44" s="237">
        <f>IF(I$5=0,0,I$5/AGR_fec!I$5)</f>
        <v>0.38188825033107465</v>
      </c>
      <c r="J44" s="237">
        <f>IF(J$5=0,0,J$5/AGR_fec!J$5)</f>
        <v>0.38314339594547464</v>
      </c>
      <c r="K44" s="237">
        <f>IF(K$5=0,0,K$5/AGR_fec!K$5)</f>
        <v>0.38685488688601416</v>
      </c>
      <c r="L44" s="237">
        <f>IF(L$5=0,0,L$5/AGR_fec!L$5)</f>
        <v>0.38507893890542039</v>
      </c>
      <c r="M44" s="237">
        <f>IF(M$5=0,0,M$5/AGR_fec!M$5)</f>
        <v>0.38573620348112936</v>
      </c>
      <c r="N44" s="237">
        <f>IF(N$5=0,0,N$5/AGR_fec!N$5)</f>
        <v>0.38381267038199113</v>
      </c>
      <c r="O44" s="237">
        <f>IF(O$5=0,0,O$5/AGR_fec!O$5)</f>
        <v>0.38094892984590856</v>
      </c>
      <c r="P44" s="237">
        <f>IF(P$5=0,0,P$5/AGR_fec!P$5)</f>
        <v>0.38125274518428942</v>
      </c>
      <c r="Q44" s="237">
        <f>IF(Q$5=0,0,Q$5/AGR_fec!Q$5)</f>
        <v>0.38224953337451212</v>
      </c>
      <c r="R44" s="237">
        <f>IF(R$5=0,0,R$5/AGR_fec!R$5)</f>
        <v>0.38309860529317896</v>
      </c>
      <c r="S44" s="237">
        <f>IF(S$5=0,0,S$5/AGR_fec!S$5)</f>
        <v>0.38381009439065633</v>
      </c>
      <c r="T44" s="237">
        <f>IF(T$5=0,0,T$5/AGR_fec!T$5)</f>
        <v>0.38716152571589518</v>
      </c>
      <c r="U44" s="237">
        <f>IF(U$5=0,0,U$5/AGR_fec!U$5)</f>
        <v>0.39129987122642335</v>
      </c>
      <c r="V44" s="237">
        <f>IF(V$5=0,0,V$5/AGR_fec!V$5)</f>
        <v>0.39411347454296153</v>
      </c>
      <c r="W44" s="237">
        <f>IF(W$5=0,0,W$5/AGR_fec!W$5)</f>
        <v>0.39143992022872687</v>
      </c>
      <c r="X44" s="237">
        <f>IF(X$5=0,0,X$5/AGR_fec!X$5)</f>
        <v>0.39239321127783333</v>
      </c>
      <c r="Y44" s="237">
        <f>IF(Y$5=0,0,Y$5/AGR_fec!Y$5)</f>
        <v>0.39403940925446745</v>
      </c>
      <c r="DA44" s="286"/>
    </row>
    <row r="45" spans="1:105" x14ac:dyDescent="0.25">
      <c r="A45" s="238" t="s">
        <v>125</v>
      </c>
      <c r="B45" s="250">
        <f>IF(B$6=0,0,B$6/AGR_fec!B$6)</f>
        <v>0.47581967175691586</v>
      </c>
      <c r="C45" s="250">
        <f>IF(C$6=0,0,C$6/AGR_fec!C$6)</f>
        <v>0.47581967175691586</v>
      </c>
      <c r="D45" s="250">
        <f>IF(D$6=0,0,D$6/AGR_fec!D$6)</f>
        <v>0.47581967175691553</v>
      </c>
      <c r="E45" s="250">
        <f>IF(E$6=0,0,E$6/AGR_fec!E$6)</f>
        <v>0.47581967175691575</v>
      </c>
      <c r="F45" s="250">
        <f>IF(F$6=0,0,F$6/AGR_fec!F$6)</f>
        <v>0.4758196717569157</v>
      </c>
      <c r="G45" s="250">
        <f>IF(G$6=0,0,G$6/AGR_fec!G$6)</f>
        <v>0.47581967175691575</v>
      </c>
      <c r="H45" s="250">
        <f>IF(H$6=0,0,H$6/AGR_fec!H$6)</f>
        <v>0.47581967175691586</v>
      </c>
      <c r="I45" s="250">
        <f>IF(I$6=0,0,I$6/AGR_fec!I$6)</f>
        <v>0.4758196717569157</v>
      </c>
      <c r="J45" s="250">
        <f>IF(J$6=0,0,J$6/AGR_fec!J$6)</f>
        <v>0.4758196717569157</v>
      </c>
      <c r="K45" s="250">
        <f>IF(K$6=0,0,K$6/AGR_fec!K$6)</f>
        <v>0.47581967175691575</v>
      </c>
      <c r="L45" s="250">
        <f>IF(L$6=0,0,L$6/AGR_fec!L$6)</f>
        <v>0.47581967175691564</v>
      </c>
      <c r="M45" s="250">
        <f>IF(M$6=0,0,M$6/AGR_fec!M$6)</f>
        <v>0.47581967175691586</v>
      </c>
      <c r="N45" s="250">
        <f>IF(N$6=0,0,N$6/AGR_fec!N$6)</f>
        <v>0.47581967175691559</v>
      </c>
      <c r="O45" s="250">
        <f>IF(O$6=0,0,O$6/AGR_fec!O$6)</f>
        <v>0.47581967175691581</v>
      </c>
      <c r="P45" s="250">
        <f>IF(P$6=0,0,P$6/AGR_fec!P$6)</f>
        <v>0.47581967175691575</v>
      </c>
      <c r="Q45" s="250">
        <f>IF(Q$6=0,0,Q$6/AGR_fec!Q$6)</f>
        <v>0.4758196717569157</v>
      </c>
      <c r="R45" s="250">
        <f>IF(R$6=0,0,R$6/AGR_fec!R$6)</f>
        <v>0.4758196717569157</v>
      </c>
      <c r="S45" s="250">
        <f>IF(S$6=0,0,S$6/AGR_fec!S$6)</f>
        <v>0.47581967175691575</v>
      </c>
      <c r="T45" s="250">
        <f>IF(T$6=0,0,T$6/AGR_fec!T$6)</f>
        <v>0.4758196717569157</v>
      </c>
      <c r="U45" s="250">
        <f>IF(U$6=0,0,U$6/AGR_fec!U$6)</f>
        <v>0.47581967175691559</v>
      </c>
      <c r="V45" s="250">
        <f>IF(V$6=0,0,V$6/AGR_fec!V$6)</f>
        <v>0.47581967175691564</v>
      </c>
      <c r="W45" s="250">
        <f>IF(W$6=0,0,W$6/AGR_fec!W$6)</f>
        <v>0.47581967175691564</v>
      </c>
      <c r="X45" s="250">
        <f>IF(X$6=0,0,X$6/AGR_fec!X$6)</f>
        <v>0.47581967175691559</v>
      </c>
      <c r="Y45" s="250">
        <f>IF(Y$6=0,0,Y$6/AGR_fec!Y$6)</f>
        <v>0.4758196717569157</v>
      </c>
      <c r="DA45" s="287"/>
    </row>
    <row r="46" spans="1:105" x14ac:dyDescent="0.25">
      <c r="A46" s="240" t="s">
        <v>124</v>
      </c>
      <c r="B46" s="251">
        <f>IF(B$7=0,0,B$7/AGR_fec!B$7)</f>
        <v>0.47183606843408699</v>
      </c>
      <c r="C46" s="251">
        <f>IF(C$7=0,0,C$7/AGR_fec!C$7)</f>
        <v>0.47183606843408687</v>
      </c>
      <c r="D46" s="251">
        <f>IF(D$7=0,0,D$7/AGR_fec!D$7)</f>
        <v>0.47183606843408687</v>
      </c>
      <c r="E46" s="251">
        <f>IF(E$7=0,0,E$7/AGR_fec!E$7)</f>
        <v>0.47183606843408687</v>
      </c>
      <c r="F46" s="251">
        <f>IF(F$7=0,0,F$7/AGR_fec!F$7)</f>
        <v>0.47183606843408693</v>
      </c>
      <c r="G46" s="251">
        <f>IF(G$7=0,0,G$7/AGR_fec!G$7)</f>
        <v>0.47183606843408693</v>
      </c>
      <c r="H46" s="251">
        <f>IF(H$7=0,0,H$7/AGR_fec!H$7)</f>
        <v>0.47183606843408687</v>
      </c>
      <c r="I46" s="251">
        <f>IF(I$7=0,0,I$7/AGR_fec!I$7)</f>
        <v>0.47183606843408693</v>
      </c>
      <c r="J46" s="251">
        <f>IF(J$7=0,0,J$7/AGR_fec!J$7)</f>
        <v>0.47183606843408693</v>
      </c>
      <c r="K46" s="251">
        <f>IF(K$7=0,0,K$7/AGR_fec!K$7)</f>
        <v>0.47183606843408699</v>
      </c>
      <c r="L46" s="251">
        <f>IF(L$7=0,0,L$7/AGR_fec!L$7)</f>
        <v>0.47183606843408682</v>
      </c>
      <c r="M46" s="251">
        <f>IF(M$7=0,0,M$7/AGR_fec!M$7)</f>
        <v>0.47183606843408682</v>
      </c>
      <c r="N46" s="251">
        <f>IF(N$7=0,0,N$7/AGR_fec!N$7)</f>
        <v>0.47183606843408693</v>
      </c>
      <c r="O46" s="251">
        <f>IF(O$7=0,0,O$7/AGR_fec!O$7)</f>
        <v>0.47183606843408699</v>
      </c>
      <c r="P46" s="251">
        <f>IF(P$7=0,0,P$7/AGR_fec!P$7)</f>
        <v>0.47183606843408693</v>
      </c>
      <c r="Q46" s="251">
        <f>IF(Q$7=0,0,Q$7/AGR_fec!Q$7)</f>
        <v>0.47183606843408682</v>
      </c>
      <c r="R46" s="251">
        <f>IF(R$7=0,0,R$7/AGR_fec!R$7)</f>
        <v>0.47183606843408682</v>
      </c>
      <c r="S46" s="251">
        <f>IF(S$7=0,0,S$7/AGR_fec!S$7)</f>
        <v>0.47183606843408693</v>
      </c>
      <c r="T46" s="251">
        <f>IF(T$7=0,0,T$7/AGR_fec!T$7)</f>
        <v>0.47183606843408682</v>
      </c>
      <c r="U46" s="251">
        <f>IF(U$7=0,0,U$7/AGR_fec!U$7)</f>
        <v>0.47183606843408687</v>
      </c>
      <c r="V46" s="251">
        <f>IF(V$7=0,0,V$7/AGR_fec!V$7)</f>
        <v>0.47183606843408682</v>
      </c>
      <c r="W46" s="251">
        <f>IF(W$7=0,0,W$7/AGR_fec!W$7)</f>
        <v>0.47183606843408704</v>
      </c>
      <c r="X46" s="251">
        <f>IF(X$7=0,0,X$7/AGR_fec!X$7)</f>
        <v>0.47183606843408671</v>
      </c>
      <c r="Y46" s="251">
        <f>IF(Y$7=0,0,Y$7/AGR_fec!Y$7)</f>
        <v>0.4718360684340866</v>
      </c>
      <c r="DA46" s="288"/>
    </row>
    <row r="47" spans="1:105" x14ac:dyDescent="0.25">
      <c r="A47" s="240" t="s">
        <v>123</v>
      </c>
      <c r="B47" s="251">
        <f>IF(B$8=0,0,B$8/AGR_fec!B$8)</f>
        <v>0.6771901092793432</v>
      </c>
      <c r="C47" s="251">
        <f>IF(C$8=0,0,C$8/AGR_fec!C$8)</f>
        <v>0.67719010927934387</v>
      </c>
      <c r="D47" s="251">
        <f>IF(D$8=0,0,D$8/AGR_fec!D$8)</f>
        <v>0.67719010927934398</v>
      </c>
      <c r="E47" s="251">
        <f>IF(E$8=0,0,E$8/AGR_fec!E$8)</f>
        <v>0.67719010927934342</v>
      </c>
      <c r="F47" s="251">
        <f>IF(F$8=0,0,F$8/AGR_fec!F$8)</f>
        <v>0.67719010927934387</v>
      </c>
      <c r="G47" s="251">
        <f>IF(G$8=0,0,G$8/AGR_fec!G$8)</f>
        <v>0.67719010927934342</v>
      </c>
      <c r="H47" s="251">
        <f>IF(H$8=0,0,H$8/AGR_fec!H$8)</f>
        <v>0.67719010927934364</v>
      </c>
      <c r="I47" s="251">
        <f>IF(I$8=0,0,I$8/AGR_fec!I$8)</f>
        <v>0.67719010927934364</v>
      </c>
      <c r="J47" s="251">
        <f>IF(J$8=0,0,J$8/AGR_fec!J$8)</f>
        <v>0.67719010927934375</v>
      </c>
      <c r="K47" s="251">
        <f>IF(K$8=0,0,K$8/AGR_fec!K$8)</f>
        <v>0.67719010927934375</v>
      </c>
      <c r="L47" s="251">
        <f>IF(L$8=0,0,L$8/AGR_fec!L$8)</f>
        <v>0.67719010927934353</v>
      </c>
      <c r="M47" s="251">
        <f>IF(M$8=0,0,M$8/AGR_fec!M$8)</f>
        <v>0.67719010927934375</v>
      </c>
      <c r="N47" s="251">
        <f>IF(N$8=0,0,N$8/AGR_fec!N$8)</f>
        <v>0.67719010927934342</v>
      </c>
      <c r="O47" s="251">
        <f>IF(O$8=0,0,O$8/AGR_fec!O$8)</f>
        <v>0.67719010927934364</v>
      </c>
      <c r="P47" s="251">
        <f>IF(P$8=0,0,P$8/AGR_fec!P$8)</f>
        <v>0.67719010927934353</v>
      </c>
      <c r="Q47" s="251">
        <f>IF(Q$8=0,0,Q$8/AGR_fec!Q$8)</f>
        <v>0.67719010927934364</v>
      </c>
      <c r="R47" s="251">
        <f>IF(R$8=0,0,R$8/AGR_fec!R$8)</f>
        <v>0.67719010927934375</v>
      </c>
      <c r="S47" s="251">
        <f>IF(S$8=0,0,S$8/AGR_fec!S$8)</f>
        <v>0.67719010927934342</v>
      </c>
      <c r="T47" s="251">
        <f>IF(T$8=0,0,T$8/AGR_fec!T$8)</f>
        <v>0.67719010927934387</v>
      </c>
      <c r="U47" s="251">
        <f>IF(U$8=0,0,U$8/AGR_fec!U$8)</f>
        <v>0.67719010927934353</v>
      </c>
      <c r="V47" s="251">
        <f>IF(V$8=0,0,V$8/AGR_fec!V$8)</f>
        <v>0.67719010927934342</v>
      </c>
      <c r="W47" s="251">
        <f>IF(W$8=0,0,W$8/AGR_fec!W$8)</f>
        <v>0.67719010927934331</v>
      </c>
      <c r="X47" s="251">
        <f>IF(X$8=0,0,X$8/AGR_fec!X$8)</f>
        <v>0.67719010927934364</v>
      </c>
      <c r="Y47" s="251">
        <f>IF(Y$8=0,0,Y$8/AGR_fec!Y$8)</f>
        <v>0.67719010927934364</v>
      </c>
      <c r="DA47" s="288"/>
    </row>
    <row r="48" spans="1:105" x14ac:dyDescent="0.25">
      <c r="A48" s="242" t="s">
        <v>122</v>
      </c>
      <c r="B48" s="252">
        <f>IF(B$9=0,0,B$9/AGR_fec!B$9)</f>
        <v>0.65985664157643642</v>
      </c>
      <c r="C48" s="252">
        <f>IF(C$9=0,0,C$9/AGR_fec!C$9)</f>
        <v>0.65963925662781386</v>
      </c>
      <c r="D48" s="252">
        <f>IF(D$9=0,0,D$9/AGR_fec!D$9)</f>
        <v>0.66336078625522221</v>
      </c>
      <c r="E48" s="252">
        <f>IF(E$9=0,0,E$9/AGR_fec!E$9)</f>
        <v>0.66329016595965973</v>
      </c>
      <c r="F48" s="252">
        <f>IF(F$9=0,0,F$9/AGR_fec!F$9)</f>
        <v>0.66281374538106608</v>
      </c>
      <c r="G48" s="252">
        <f>IF(G$9=0,0,G$9/AGR_fec!G$9)</f>
        <v>0.66922517340291687</v>
      </c>
      <c r="H48" s="252">
        <f>IF(H$9=0,0,H$9/AGR_fec!H$9)</f>
        <v>0.6741668507819657</v>
      </c>
      <c r="I48" s="252">
        <f>IF(I$9=0,0,I$9/AGR_fec!I$9)</f>
        <v>0.67976481749153039</v>
      </c>
      <c r="J48" s="252">
        <f>IF(J$9=0,0,J$9/AGR_fec!J$9)</f>
        <v>0.68463259129841747</v>
      </c>
      <c r="K48" s="252">
        <f>IF(K$9=0,0,K$9/AGR_fec!K$9)</f>
        <v>0.69116197913447619</v>
      </c>
      <c r="L48" s="252">
        <f>IF(L$9=0,0,L$9/AGR_fec!L$9)</f>
        <v>0.69231583589403933</v>
      </c>
      <c r="M48" s="252">
        <f>IF(M$9=0,0,M$9/AGR_fec!M$9)</f>
        <v>0.69207600863991336</v>
      </c>
      <c r="N48" s="252">
        <f>IF(N$9=0,0,N$9/AGR_fec!N$9)</f>
        <v>0.6935228739403867</v>
      </c>
      <c r="O48" s="252">
        <f>IF(O$9=0,0,O$9/AGR_fec!O$9)</f>
        <v>0.69204963368931449</v>
      </c>
      <c r="P48" s="252">
        <f>IF(P$9=0,0,P$9/AGR_fec!P$9)</f>
        <v>0.68824236553848583</v>
      </c>
      <c r="Q48" s="252">
        <f>IF(Q$9=0,0,Q$9/AGR_fec!Q$9)</f>
        <v>0.6911513871170345</v>
      </c>
      <c r="R48" s="252">
        <f>IF(R$9=0,0,R$9/AGR_fec!R$9)</f>
        <v>0.69485671616418354</v>
      </c>
      <c r="S48" s="252">
        <f>IF(S$9=0,0,S$9/AGR_fec!S$9)</f>
        <v>0.69509626799420665</v>
      </c>
      <c r="T48" s="252">
        <f>IF(T$9=0,0,T$9/AGR_fec!T$9)</f>
        <v>0.6964380649168449</v>
      </c>
      <c r="U48" s="252">
        <f>IF(U$9=0,0,U$9/AGR_fec!U$9)</f>
        <v>0.70084652986163831</v>
      </c>
      <c r="V48" s="252">
        <f>IF(V$9=0,0,V$9/AGR_fec!V$9)</f>
        <v>0.70948196772526162</v>
      </c>
      <c r="W48" s="252">
        <f>IF(W$9=0,0,W$9/AGR_fec!W$9)</f>
        <v>0.7136336813670725</v>
      </c>
      <c r="X48" s="252">
        <f>IF(X$9=0,0,X$9/AGR_fec!X$9)</f>
        <v>0.71442412012865886</v>
      </c>
      <c r="Y48" s="252">
        <f>IF(Y$9=0,0,Y$9/AGR_fec!Y$9)</f>
        <v>0.71952771896474066</v>
      </c>
      <c r="DA48" s="289"/>
    </row>
    <row r="49" spans="1:105" x14ac:dyDescent="0.25">
      <c r="A49" s="127" t="s">
        <v>168</v>
      </c>
      <c r="B49" s="264">
        <f>IF(B$16=0,0,B$16/AGR_fec!B$16)</f>
        <v>0.34048690279706828</v>
      </c>
      <c r="C49" s="264">
        <f>IF(C$16=0,0,C$16/AGR_fec!C$16)</f>
        <v>0.34048690279706839</v>
      </c>
      <c r="D49" s="264">
        <f>IF(D$16=0,0,D$16/AGR_fec!D$16)</f>
        <v>0.34048690279706839</v>
      </c>
      <c r="E49" s="264">
        <f>IF(E$16=0,0,E$16/AGR_fec!E$16)</f>
        <v>0.34048690279706845</v>
      </c>
      <c r="F49" s="264">
        <f>IF(F$16=0,0,F$16/AGR_fec!F$16)</f>
        <v>0.34048690279706834</v>
      </c>
      <c r="G49" s="264">
        <f>IF(G$16=0,0,G$16/AGR_fec!G$16)</f>
        <v>0.34048690279706839</v>
      </c>
      <c r="H49" s="264">
        <f>IF(H$16=0,0,H$16/AGR_fec!H$16)</f>
        <v>0.34048690279706822</v>
      </c>
      <c r="I49" s="264">
        <f>IF(I$16=0,0,I$16/AGR_fec!I$16)</f>
        <v>0.34048690279706811</v>
      </c>
      <c r="J49" s="264">
        <f>IF(J$16=0,0,J$16/AGR_fec!J$16)</f>
        <v>0.34048690279706845</v>
      </c>
      <c r="K49" s="264">
        <f>IF(K$16=0,0,K$16/AGR_fec!K$16)</f>
        <v>0.34048690279706822</v>
      </c>
      <c r="L49" s="264">
        <f>IF(L$16=0,0,L$16/AGR_fec!L$16)</f>
        <v>0.34048690279706822</v>
      </c>
      <c r="M49" s="264">
        <f>IF(M$16=0,0,M$16/AGR_fec!M$16)</f>
        <v>0.34048690279706839</v>
      </c>
      <c r="N49" s="264">
        <f>IF(N$16=0,0,N$16/AGR_fec!N$16)</f>
        <v>0.34048690279706822</v>
      </c>
      <c r="O49" s="264">
        <f>IF(O$16=0,0,O$16/AGR_fec!O$16)</f>
        <v>0.34048690279706811</v>
      </c>
      <c r="P49" s="264">
        <f>IF(P$16=0,0,P$16/AGR_fec!P$16)</f>
        <v>0.34048690279706839</v>
      </c>
      <c r="Q49" s="264">
        <f>IF(Q$16=0,0,Q$16/AGR_fec!Q$16)</f>
        <v>0.34048690279706822</v>
      </c>
      <c r="R49" s="264">
        <f>IF(R$16=0,0,R$16/AGR_fec!R$16)</f>
        <v>0.34048690279706817</v>
      </c>
      <c r="S49" s="264">
        <f>IF(S$16=0,0,S$16/AGR_fec!S$16)</f>
        <v>0.34048690279706811</v>
      </c>
      <c r="T49" s="264">
        <f>IF(T$16=0,0,T$16/AGR_fec!T$16)</f>
        <v>0.34048690279706834</v>
      </c>
      <c r="U49" s="264">
        <f>IF(U$16=0,0,U$16/AGR_fec!U$16)</f>
        <v>0.34048690279706828</v>
      </c>
      <c r="V49" s="264">
        <f>IF(V$16=0,0,V$16/AGR_fec!V$16)</f>
        <v>0.34048690279706845</v>
      </c>
      <c r="W49" s="264">
        <f>IF(W$16=0,0,W$16/AGR_fec!W$16)</f>
        <v>0.34048690279706839</v>
      </c>
      <c r="X49" s="264">
        <f>IF(X$16=0,0,X$16/AGR_fec!X$16)</f>
        <v>0.34048690279706811</v>
      </c>
      <c r="Y49" s="264">
        <f>IF(Y$16=0,0,Y$16/AGR_fec!Y$16)</f>
        <v>0.34048690279706834</v>
      </c>
      <c r="DA49" s="290"/>
    </row>
    <row r="50" spans="1:105" x14ac:dyDescent="0.25">
      <c r="A50" s="127" t="s">
        <v>121</v>
      </c>
      <c r="B50" s="264">
        <f>IF(B$17=0,0,B$17/AGR_fec!B$17)</f>
        <v>0.25489644423179986</v>
      </c>
      <c r="C50" s="264">
        <f>IF(C$17=0,0,C$17/AGR_fec!C$17)</f>
        <v>0.25375269639472836</v>
      </c>
      <c r="D50" s="264">
        <f>IF(D$17=0,0,D$17/AGR_fec!D$17)</f>
        <v>0.25407159053830353</v>
      </c>
      <c r="E50" s="264">
        <f>IF(E$17=0,0,E$17/AGR_fec!E$17)</f>
        <v>0.25358072145325716</v>
      </c>
      <c r="F50" s="264">
        <f>IF(F$17=0,0,F$17/AGR_fec!F$17)</f>
        <v>0.25298996232154053</v>
      </c>
      <c r="G50" s="264">
        <f>IF(G$17=0,0,G$17/AGR_fec!G$17)</f>
        <v>0.25411147765590469</v>
      </c>
      <c r="H50" s="264">
        <f>IF(H$17=0,0,H$17/AGR_fec!H$17)</f>
        <v>0.25414508697436067</v>
      </c>
      <c r="I50" s="264">
        <f>IF(I$17=0,0,I$17/AGR_fec!I$17)</f>
        <v>0.25481370628524019</v>
      </c>
      <c r="J50" s="264">
        <f>IF(J$17=0,0,J$17/AGR_fec!J$17)</f>
        <v>0.25453273876805083</v>
      </c>
      <c r="K50" s="264">
        <f>IF(K$17=0,0,K$17/AGR_fec!K$17)</f>
        <v>0.25413338387026241</v>
      </c>
      <c r="L50" s="264">
        <f>IF(L$17=0,0,L$17/AGR_fec!L$17)</f>
        <v>0.25300577775874261</v>
      </c>
      <c r="M50" s="264">
        <f>IF(M$17=0,0,M$17/AGR_fec!M$17)</f>
        <v>0.2529213103368731</v>
      </c>
      <c r="N50" s="264">
        <f>IF(N$17=0,0,N$17/AGR_fec!N$17)</f>
        <v>0.25151422730855344</v>
      </c>
      <c r="O50" s="264">
        <f>IF(O$17=0,0,O$17/AGR_fec!O$17)</f>
        <v>0.25079138578048177</v>
      </c>
      <c r="P50" s="264">
        <f>IF(P$17=0,0,P$17/AGR_fec!P$17)</f>
        <v>0.2516334932975488</v>
      </c>
      <c r="Q50" s="264">
        <f>IF(Q$17=0,0,Q$17/AGR_fec!Q$17)</f>
        <v>0.25145866569573883</v>
      </c>
      <c r="R50" s="264">
        <f>IF(R$17=0,0,R$17/AGR_fec!R$17)</f>
        <v>0.25146488798976779</v>
      </c>
      <c r="S50" s="264">
        <f>IF(S$17=0,0,S$17/AGR_fec!S$17)</f>
        <v>0.25160355290034692</v>
      </c>
      <c r="T50" s="264">
        <f>IF(T$17=0,0,T$17/AGR_fec!T$17)</f>
        <v>0.25249963274186937</v>
      </c>
      <c r="U50" s="264">
        <f>IF(U$17=0,0,U$17/AGR_fec!U$17)</f>
        <v>0.25378349837018088</v>
      </c>
      <c r="V50" s="264">
        <f>IF(V$17=0,0,V$17/AGR_fec!V$17)</f>
        <v>0.25294018451163158</v>
      </c>
      <c r="W50" s="264">
        <f>IF(W$17=0,0,W$17/AGR_fec!W$17)</f>
        <v>0.25141343094309399</v>
      </c>
      <c r="X50" s="264">
        <f>IF(X$17=0,0,X$17/AGR_fec!X$17)</f>
        <v>0.25163895553998511</v>
      </c>
      <c r="Y50" s="264">
        <f>IF(Y$17=0,0,Y$17/AGR_fec!Y$17)</f>
        <v>0.25088022305833424</v>
      </c>
      <c r="DA50" s="290"/>
    </row>
    <row r="51" spans="1:105" x14ac:dyDescent="0.25">
      <c r="A51" s="127" t="s">
        <v>167</v>
      </c>
      <c r="B51" s="264">
        <f>IF(B$25=0,0,B$25/AGR_fec!B$25)</f>
        <v>0.23834083195794775</v>
      </c>
      <c r="C51" s="264">
        <f>IF(C$25=0,0,C$25/AGR_fec!C$25)</f>
        <v>0.23834083195794775</v>
      </c>
      <c r="D51" s="264">
        <f>IF(D$25=0,0,D$25/AGR_fec!D$25)</f>
        <v>0.23834083195794778</v>
      </c>
      <c r="E51" s="264">
        <f>IF(E$25=0,0,E$25/AGR_fec!E$25)</f>
        <v>0.23834083195794775</v>
      </c>
      <c r="F51" s="264">
        <f>IF(F$25=0,0,F$25/AGR_fec!F$25)</f>
        <v>0.23834083195794781</v>
      </c>
      <c r="G51" s="264">
        <f>IF(G$25=0,0,G$25/AGR_fec!G$25)</f>
        <v>0.23834083195794781</v>
      </c>
      <c r="H51" s="264">
        <f>IF(H$25=0,0,H$25/AGR_fec!H$25)</f>
        <v>0.23834083195794781</v>
      </c>
      <c r="I51" s="264">
        <f>IF(I$25=0,0,I$25/AGR_fec!I$25)</f>
        <v>0.23834083195794775</v>
      </c>
      <c r="J51" s="264">
        <f>IF(J$25=0,0,J$25/AGR_fec!J$25)</f>
        <v>0.23834083195794778</v>
      </c>
      <c r="K51" s="264">
        <f>IF(K$25=0,0,K$25/AGR_fec!K$25)</f>
        <v>0.23834083195794786</v>
      </c>
      <c r="L51" s="264">
        <f>IF(L$25=0,0,L$25/AGR_fec!L$25)</f>
        <v>0.23834083195794781</v>
      </c>
      <c r="M51" s="264">
        <f>IF(M$25=0,0,M$25/AGR_fec!M$25)</f>
        <v>0.23834083195794778</v>
      </c>
      <c r="N51" s="264">
        <f>IF(N$25=0,0,N$25/AGR_fec!N$25)</f>
        <v>0.23834083195794781</v>
      </c>
      <c r="O51" s="264">
        <f>IF(O$25=0,0,O$25/AGR_fec!O$25)</f>
        <v>0.23834083195794775</v>
      </c>
      <c r="P51" s="264">
        <f>IF(P$25=0,0,P$25/AGR_fec!P$25)</f>
        <v>0.23834083195794775</v>
      </c>
      <c r="Q51" s="264">
        <f>IF(Q$25=0,0,Q$25/AGR_fec!Q$25)</f>
        <v>0.23834083195794775</v>
      </c>
      <c r="R51" s="264">
        <f>IF(R$25=0,0,R$25/AGR_fec!R$25)</f>
        <v>0.23834083195794772</v>
      </c>
      <c r="S51" s="264">
        <f>IF(S$25=0,0,S$25/AGR_fec!S$25)</f>
        <v>0.23834083195794778</v>
      </c>
      <c r="T51" s="264">
        <f>IF(T$25=0,0,T$25/AGR_fec!T$25)</f>
        <v>0.23834083195794778</v>
      </c>
      <c r="U51" s="264">
        <f>IF(U$25=0,0,U$25/AGR_fec!U$25)</f>
        <v>0.23834083195794781</v>
      </c>
      <c r="V51" s="264">
        <f>IF(V$25=0,0,V$25/AGR_fec!V$25)</f>
        <v>0.23834083195794772</v>
      </c>
      <c r="W51" s="264">
        <f>IF(W$25=0,0,W$25/AGR_fec!W$25)</f>
        <v>0.23834083195794781</v>
      </c>
      <c r="X51" s="264">
        <f>IF(X$25=0,0,X$25/AGR_fec!X$25)</f>
        <v>0.23834083195794778</v>
      </c>
      <c r="Y51" s="264">
        <f>IF(Y$25=0,0,Y$25/AGR_fec!Y$25)</f>
        <v>0.23834083195794775</v>
      </c>
      <c r="DA51" s="290"/>
    </row>
    <row r="52" spans="1:105" x14ac:dyDescent="0.25">
      <c r="A52" s="127" t="s">
        <v>170</v>
      </c>
      <c r="B52" s="264">
        <f>IF(B$26=0,0,B$26/AGR_fec!B$26)</f>
        <v>0.47183606843408726</v>
      </c>
      <c r="C52" s="264">
        <f>IF(C$26=0,0,C$26/AGR_fec!C$26)</f>
        <v>0.47183606843408704</v>
      </c>
      <c r="D52" s="264">
        <f>IF(D$26=0,0,D$26/AGR_fec!D$26)</f>
        <v>0.47183606843408671</v>
      </c>
      <c r="E52" s="264">
        <f>IF(E$26=0,0,E$26/AGR_fec!E$26)</f>
        <v>0.47183606843408687</v>
      </c>
      <c r="F52" s="264">
        <f>IF(F$26=0,0,F$26/AGR_fec!F$26)</f>
        <v>0.47183606843408682</v>
      </c>
      <c r="G52" s="264">
        <f>IF(G$26=0,0,G$26/AGR_fec!G$26)</f>
        <v>0.47183606843408687</v>
      </c>
      <c r="H52" s="264">
        <f>IF(H$26=0,0,H$26/AGR_fec!H$26)</f>
        <v>0.47183606843408704</v>
      </c>
      <c r="I52" s="264">
        <f>IF(I$26=0,0,I$26/AGR_fec!I$26)</f>
        <v>0.47183606843408682</v>
      </c>
      <c r="J52" s="264">
        <f>IF(J$26=0,0,J$26/AGR_fec!J$26)</f>
        <v>0.4718360684340871</v>
      </c>
      <c r="K52" s="264">
        <f>IF(K$26=0,0,K$26/AGR_fec!K$26)</f>
        <v>0.47183606843408699</v>
      </c>
      <c r="L52" s="264">
        <f>IF(L$26=0,0,L$26/AGR_fec!L$26)</f>
        <v>0.47183606843408687</v>
      </c>
      <c r="M52" s="264">
        <f>IF(M$26=0,0,M$26/AGR_fec!M$26)</f>
        <v>0.47183606843408704</v>
      </c>
      <c r="N52" s="264">
        <f>IF(N$26=0,0,N$26/AGR_fec!N$26)</f>
        <v>0.47183606843408693</v>
      </c>
      <c r="O52" s="264">
        <f>IF(O$26=0,0,O$26/AGR_fec!O$26)</f>
        <v>0.47183606843408704</v>
      </c>
      <c r="P52" s="264">
        <f>IF(P$26=0,0,P$26/AGR_fec!P$26)</f>
        <v>0.47183606843408704</v>
      </c>
      <c r="Q52" s="264">
        <f>IF(Q$26=0,0,Q$26/AGR_fec!Q$26)</f>
        <v>0.47183606843408693</v>
      </c>
      <c r="R52" s="264">
        <f>IF(R$26=0,0,R$26/AGR_fec!R$26)</f>
        <v>0.47183606843408699</v>
      </c>
      <c r="S52" s="264">
        <f>IF(S$26=0,0,S$26/AGR_fec!S$26)</f>
        <v>0.47183606843408687</v>
      </c>
      <c r="T52" s="264">
        <f>IF(T$26=0,0,T$26/AGR_fec!T$26)</f>
        <v>0.47183606843408682</v>
      </c>
      <c r="U52" s="264">
        <f>IF(U$26=0,0,U$26/AGR_fec!U$26)</f>
        <v>0.47183606843408671</v>
      </c>
      <c r="V52" s="264">
        <f>IF(V$26=0,0,V$26/AGR_fec!V$26)</f>
        <v>0.47183606843408687</v>
      </c>
      <c r="W52" s="264">
        <f>IF(W$26=0,0,W$26/AGR_fec!W$26)</f>
        <v>0.47183606843408693</v>
      </c>
      <c r="X52" s="264">
        <f>IF(X$26=0,0,X$26/AGR_fec!X$26)</f>
        <v>0.47183606843408676</v>
      </c>
      <c r="Y52" s="264">
        <f>IF(Y$26=0,0,Y$26/AGR_fec!Y$26)</f>
        <v>0.47183606843408693</v>
      </c>
      <c r="DA52" s="290"/>
    </row>
    <row r="53" spans="1:105" x14ac:dyDescent="0.25">
      <c r="A53" s="260" t="s">
        <v>33</v>
      </c>
      <c r="B53" s="265">
        <f>IF(B$27=0,0,B$27/AGR_fec!B$27)</f>
        <v>0.49593704758487339</v>
      </c>
      <c r="C53" s="265">
        <f>IF(C$27=0,0,C$27/AGR_fec!C$27)</f>
        <v>0.49593704758487361</v>
      </c>
      <c r="D53" s="265">
        <f>IF(D$27=0,0,D$27/AGR_fec!D$27)</f>
        <v>0.49593704758487367</v>
      </c>
      <c r="E53" s="265">
        <f>IF(E$27=0,0,E$27/AGR_fec!E$27)</f>
        <v>0.49593704758487361</v>
      </c>
      <c r="F53" s="265">
        <f>IF(F$27=0,0,F$27/AGR_fec!F$27)</f>
        <v>0.49593704758487361</v>
      </c>
      <c r="G53" s="265">
        <f>IF(G$27=0,0,G$27/AGR_fec!G$27)</f>
        <v>0.4959370475848735</v>
      </c>
      <c r="H53" s="265">
        <f>IF(H$27=0,0,H$27/AGR_fec!H$27)</f>
        <v>0.49593704758487356</v>
      </c>
      <c r="I53" s="265">
        <f>IF(I$27=0,0,I$27/AGR_fec!I$27)</f>
        <v>0.49593704758487372</v>
      </c>
      <c r="J53" s="265">
        <f>IF(J$27=0,0,J$27/AGR_fec!J$27)</f>
        <v>0.49593704758487356</v>
      </c>
      <c r="K53" s="265">
        <f>IF(K$27=0,0,K$27/AGR_fec!K$27)</f>
        <v>0.49593704758487384</v>
      </c>
      <c r="L53" s="265">
        <f>IF(L$27=0,0,L$27/AGR_fec!L$27)</f>
        <v>0.49593704758487328</v>
      </c>
      <c r="M53" s="265">
        <f>IF(M$27=0,0,M$27/AGR_fec!M$27)</f>
        <v>0.49593704758487339</v>
      </c>
      <c r="N53" s="265">
        <f>IF(N$27=0,0,N$27/AGR_fec!N$27)</f>
        <v>0.49593704758487378</v>
      </c>
      <c r="O53" s="265">
        <f>IF(O$27=0,0,O$27/AGR_fec!O$27)</f>
        <v>0.49593704758487378</v>
      </c>
      <c r="P53" s="265">
        <f>IF(P$27=0,0,P$27/AGR_fec!P$27)</f>
        <v>0.49593704758487372</v>
      </c>
      <c r="Q53" s="265">
        <f>IF(Q$27=0,0,Q$27/AGR_fec!Q$27)</f>
        <v>0.49593704758487367</v>
      </c>
      <c r="R53" s="265">
        <f>IF(R$27=0,0,R$27/AGR_fec!R$27)</f>
        <v>0.49593704758487361</v>
      </c>
      <c r="S53" s="265">
        <f>IF(S$27=0,0,S$27/AGR_fec!S$27)</f>
        <v>0.49593704758487367</v>
      </c>
      <c r="T53" s="265">
        <f>IF(T$27=0,0,T$27/AGR_fec!T$27)</f>
        <v>0.49593704758487384</v>
      </c>
      <c r="U53" s="265">
        <f>IF(U$27=0,0,U$27/AGR_fec!U$27)</f>
        <v>0.49593704758487367</v>
      </c>
      <c r="V53" s="265">
        <f>IF(V$27=0,0,V$27/AGR_fec!V$27)</f>
        <v>0.49593704758487345</v>
      </c>
      <c r="W53" s="265">
        <f>IF(W$27=0,0,W$27/AGR_fec!W$27)</f>
        <v>0.49593704758487356</v>
      </c>
      <c r="X53" s="265">
        <f>IF(X$27=0,0,X$27/AGR_fec!X$27)</f>
        <v>0.49593704758487361</v>
      </c>
      <c r="Y53" s="265">
        <f>IF(Y$27=0,0,Y$27/AGR_fec!Y$27)</f>
        <v>0.49593704758487356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1022.3126224550432</v>
      </c>
      <c r="C5" s="80">
        <f t="shared" ref="C5:W5" si="0">SUM(C6:C9,C16:C17,C25:C27)</f>
        <v>1021.3490916506719</v>
      </c>
      <c r="D5" s="80">
        <f t="shared" si="0"/>
        <v>977.77010221698674</v>
      </c>
      <c r="E5" s="80">
        <f t="shared" si="0"/>
        <v>995.65633852176893</v>
      </c>
      <c r="F5" s="80">
        <f t="shared" si="0"/>
        <v>984.91124325228998</v>
      </c>
      <c r="G5" s="80">
        <f t="shared" si="0"/>
        <v>907.8071175021114</v>
      </c>
      <c r="H5" s="80">
        <f t="shared" si="0"/>
        <v>867.90106737570716</v>
      </c>
      <c r="I5" s="80">
        <f t="shared" si="0"/>
        <v>841.33827326433288</v>
      </c>
      <c r="J5" s="80">
        <f t="shared" si="0"/>
        <v>836.95896329847483</v>
      </c>
      <c r="K5" s="80">
        <f t="shared" si="0"/>
        <v>779.14967717052195</v>
      </c>
      <c r="L5" s="80">
        <f t="shared" si="0"/>
        <v>778.29571323094012</v>
      </c>
      <c r="M5" s="80">
        <f t="shared" si="0"/>
        <v>755.10397944190493</v>
      </c>
      <c r="N5" s="80">
        <f t="shared" si="0"/>
        <v>737.61531913287854</v>
      </c>
      <c r="O5" s="80">
        <f t="shared" si="0"/>
        <v>756.46326361533147</v>
      </c>
      <c r="P5" s="80">
        <f t="shared" si="0"/>
        <v>755.54631566867613</v>
      </c>
      <c r="Q5" s="80">
        <f t="shared" si="0"/>
        <v>749.70847942143462</v>
      </c>
      <c r="R5" s="80">
        <f t="shared" si="0"/>
        <v>761.52041591715385</v>
      </c>
      <c r="S5" s="80">
        <f t="shared" si="0"/>
        <v>749.8266903444088</v>
      </c>
      <c r="T5" s="80">
        <f t="shared" si="0"/>
        <v>737.34239915876435</v>
      </c>
      <c r="U5" s="80">
        <f t="shared" si="0"/>
        <v>735.54944429226373</v>
      </c>
      <c r="V5" s="80">
        <f t="shared" si="0"/>
        <v>720.14208885046719</v>
      </c>
      <c r="W5" s="80">
        <f t="shared" si="0"/>
        <v>749.79685117956001</v>
      </c>
      <c r="X5" s="80">
        <f t="shared" ref="X5:Y5" si="1">SUM(X6:X9,X16:X17,X25:X27)</f>
        <v>739.14634593218318</v>
      </c>
      <c r="Y5" s="80">
        <f t="shared" si="1"/>
        <v>700.98703217261254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204.10542680438857</v>
      </c>
      <c r="C9" s="243">
        <f t="shared" ref="C9:W9" si="2">SUM(C10:C15)</f>
        <v>207.36355814959268</v>
      </c>
      <c r="D9" s="243">
        <f t="shared" si="2"/>
        <v>200.40297521082698</v>
      </c>
      <c r="E9" s="243">
        <f t="shared" si="2"/>
        <v>202.58263298006926</v>
      </c>
      <c r="F9" s="243">
        <f t="shared" si="2"/>
        <v>202.78179725927174</v>
      </c>
      <c r="G9" s="243">
        <f t="shared" si="2"/>
        <v>193.27746697851379</v>
      </c>
      <c r="H9" s="243">
        <f t="shared" si="2"/>
        <v>182.83835557912644</v>
      </c>
      <c r="I9" s="243">
        <f t="shared" si="2"/>
        <v>175.17406608947661</v>
      </c>
      <c r="J9" s="243">
        <f t="shared" si="2"/>
        <v>171.47769461899162</v>
      </c>
      <c r="K9" s="243">
        <f t="shared" si="2"/>
        <v>161.19692147924786</v>
      </c>
      <c r="L9" s="243">
        <f t="shared" si="2"/>
        <v>164.3553217534382</v>
      </c>
      <c r="M9" s="243">
        <f t="shared" si="2"/>
        <v>159.76442013534205</v>
      </c>
      <c r="N9" s="243">
        <f t="shared" si="2"/>
        <v>155.54845740084801</v>
      </c>
      <c r="O9" s="243">
        <f t="shared" si="2"/>
        <v>160.78907699279722</v>
      </c>
      <c r="P9" s="243">
        <f t="shared" si="2"/>
        <v>161.50885409045759</v>
      </c>
      <c r="Q9" s="243">
        <f t="shared" si="2"/>
        <v>159.44180826930724</v>
      </c>
      <c r="R9" s="243">
        <f t="shared" si="2"/>
        <v>159.39673390453902</v>
      </c>
      <c r="S9" s="243">
        <f t="shared" si="2"/>
        <v>162.72894804428364</v>
      </c>
      <c r="T9" s="243">
        <f t="shared" si="2"/>
        <v>157.71074367962416</v>
      </c>
      <c r="U9" s="243">
        <f t="shared" si="2"/>
        <v>153.60757867636849</v>
      </c>
      <c r="V9" s="243">
        <f t="shared" si="2"/>
        <v>143.95488162469718</v>
      </c>
      <c r="W9" s="243">
        <f t="shared" si="2"/>
        <v>149.04968559692679</v>
      </c>
      <c r="X9" s="243">
        <f t="shared" ref="X9:Y9" si="3">SUM(X10:X15)</f>
        <v>146.65070716071298</v>
      </c>
      <c r="Y9" s="243">
        <f t="shared" si="3"/>
        <v>134.33730019246462</v>
      </c>
      <c r="DA9" s="269"/>
    </row>
    <row r="10" spans="1:105" x14ac:dyDescent="0.25">
      <c r="A10" s="253" t="s">
        <v>166</v>
      </c>
      <c r="B10" s="254">
        <v>187.83618747988359</v>
      </c>
      <c r="C10" s="254">
        <v>188.62660002135181</v>
      </c>
      <c r="D10" s="254">
        <v>183.66724337758939</v>
      </c>
      <c r="E10" s="254">
        <v>184.399317779038</v>
      </c>
      <c r="F10" s="254">
        <v>184.81146436622871</v>
      </c>
      <c r="G10" s="254">
        <v>171.2702768986326</v>
      </c>
      <c r="H10" s="254">
        <v>162.49586232911861</v>
      </c>
      <c r="I10" s="254">
        <v>155.41817501953199</v>
      </c>
      <c r="J10" s="254">
        <v>151.37255354645561</v>
      </c>
      <c r="K10" s="254">
        <v>142.05796551362471</v>
      </c>
      <c r="L10" s="254">
        <v>142.04313677921451</v>
      </c>
      <c r="M10" s="254">
        <v>141.05370678119721</v>
      </c>
      <c r="N10" s="254">
        <v>143.19650375716961</v>
      </c>
      <c r="O10" s="254">
        <v>146.64677697324441</v>
      </c>
      <c r="P10" s="254">
        <v>146.13621818498859</v>
      </c>
      <c r="Q10" s="254">
        <v>142.5415160939105</v>
      </c>
      <c r="R10" s="254">
        <v>139.10332084249131</v>
      </c>
      <c r="S10" s="254">
        <v>135.20009460455981</v>
      </c>
      <c r="T10" s="254">
        <v>134.1988792332229</v>
      </c>
      <c r="U10" s="254">
        <v>126.2797122958244</v>
      </c>
      <c r="V10" s="254">
        <v>121.5205417035197</v>
      </c>
      <c r="W10" s="254">
        <v>123.6346499426616</v>
      </c>
      <c r="X10" s="254">
        <v>124.90195967523481</v>
      </c>
      <c r="Y10" s="254">
        <v>122.4688981276646</v>
      </c>
      <c r="DA10" s="270" t="s">
        <v>1040</v>
      </c>
    </row>
    <row r="11" spans="1:105" x14ac:dyDescent="0.25">
      <c r="A11" s="253" t="s">
        <v>169</v>
      </c>
      <c r="B11" s="255">
        <v>16.269239324504969</v>
      </c>
      <c r="C11" s="255">
        <v>18.736958128240861</v>
      </c>
      <c r="D11" s="255">
        <v>16.73573183323759</v>
      </c>
      <c r="E11" s="255">
        <v>18.18331520103127</v>
      </c>
      <c r="F11" s="255">
        <v>17.97033289304305</v>
      </c>
      <c r="G11" s="255">
        <v>22.00719007988118</v>
      </c>
      <c r="H11" s="255">
        <v>20.342493250007841</v>
      </c>
      <c r="I11" s="255">
        <v>19.755891069944621</v>
      </c>
      <c r="J11" s="255">
        <v>20.105141072536021</v>
      </c>
      <c r="K11" s="255">
        <v>19.13895596562314</v>
      </c>
      <c r="L11" s="255">
        <v>22.312184974223712</v>
      </c>
      <c r="M11" s="255">
        <v>18.71071335414485</v>
      </c>
      <c r="N11" s="255">
        <v>12.351953643678391</v>
      </c>
      <c r="O11" s="255">
        <v>14.14230001955281</v>
      </c>
      <c r="P11" s="255">
        <v>15.372635905468989</v>
      </c>
      <c r="Q11" s="255">
        <v>16.900292175396739</v>
      </c>
      <c r="R11" s="255">
        <v>20.293413062047701</v>
      </c>
      <c r="S11" s="255">
        <v>27.528853439723829</v>
      </c>
      <c r="T11" s="255">
        <v>23.511864446401251</v>
      </c>
      <c r="U11" s="255">
        <v>27.327866380544091</v>
      </c>
      <c r="V11" s="255">
        <v>22.434339921177472</v>
      </c>
      <c r="W11" s="255">
        <v>25.415035654265189</v>
      </c>
      <c r="X11" s="255">
        <v>21.74874748547818</v>
      </c>
      <c r="Y11" s="255">
        <v>11.86840206480003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351.38386483511692</v>
      </c>
      <c r="C16" s="257">
        <v>355.89437608368962</v>
      </c>
      <c r="D16" s="257">
        <v>350.6335892969152</v>
      </c>
      <c r="E16" s="257">
        <v>354.57222882871508</v>
      </c>
      <c r="F16" s="257">
        <v>354.87406828875498</v>
      </c>
      <c r="G16" s="257">
        <v>344.83130924123742</v>
      </c>
      <c r="H16" s="257">
        <v>332.03482927252668</v>
      </c>
      <c r="I16" s="257">
        <v>327.25006822815789</v>
      </c>
      <c r="J16" s="257">
        <v>327.82595172061502</v>
      </c>
      <c r="K16" s="257">
        <v>318.69733357410001</v>
      </c>
      <c r="L16" s="257">
        <v>326.86514108172543</v>
      </c>
      <c r="M16" s="257">
        <v>319.59714424998862</v>
      </c>
      <c r="N16" s="257">
        <v>320.16745210694552</v>
      </c>
      <c r="O16" s="257">
        <v>330.29747357652889</v>
      </c>
      <c r="P16" s="257">
        <v>322.74603612977393</v>
      </c>
      <c r="Q16" s="257">
        <v>324.06217899008891</v>
      </c>
      <c r="R16" s="257">
        <v>328.23478884616992</v>
      </c>
      <c r="S16" s="257">
        <v>331.22008081612461</v>
      </c>
      <c r="T16" s="257">
        <v>324.51207415971248</v>
      </c>
      <c r="U16" s="257">
        <v>319.41059797743009</v>
      </c>
      <c r="V16" s="257">
        <v>320.89965825662199</v>
      </c>
      <c r="W16" s="257">
        <v>339.86307810386432</v>
      </c>
      <c r="X16" s="257">
        <v>333.23818046567709</v>
      </c>
      <c r="Y16" s="257">
        <v>321.92118400749968</v>
      </c>
      <c r="DA16" s="272" t="s">
        <v>1046</v>
      </c>
    </row>
    <row r="17" spans="1:105" x14ac:dyDescent="0.25">
      <c r="A17" s="256" t="s">
        <v>121</v>
      </c>
      <c r="B17" s="257">
        <f>SUM(B18:B24)</f>
        <v>399.30199285089788</v>
      </c>
      <c r="C17" s="257">
        <f t="shared" ref="C17:W17" si="4">SUM(C18:C24)</f>
        <v>389.70308712697522</v>
      </c>
      <c r="D17" s="257">
        <f t="shared" si="4"/>
        <v>359.35637144186035</v>
      </c>
      <c r="E17" s="257">
        <f t="shared" si="4"/>
        <v>370.36746803602557</v>
      </c>
      <c r="F17" s="257">
        <f t="shared" si="4"/>
        <v>359.06336805961035</v>
      </c>
      <c r="G17" s="257">
        <f t="shared" si="4"/>
        <v>303.43613148228201</v>
      </c>
      <c r="H17" s="257">
        <f t="shared" si="4"/>
        <v>289.22462299231131</v>
      </c>
      <c r="I17" s="257">
        <f t="shared" si="4"/>
        <v>276.03031112451492</v>
      </c>
      <c r="J17" s="257">
        <f t="shared" si="4"/>
        <v>274.66082832435427</v>
      </c>
      <c r="K17" s="257">
        <f t="shared" si="4"/>
        <v>238.01507353490814</v>
      </c>
      <c r="L17" s="257">
        <f t="shared" si="4"/>
        <v>224.26538953265705</v>
      </c>
      <c r="M17" s="257">
        <f t="shared" si="4"/>
        <v>214.32916035416144</v>
      </c>
      <c r="N17" s="257">
        <f t="shared" si="4"/>
        <v>200.37656551516895</v>
      </c>
      <c r="O17" s="257">
        <f t="shared" si="4"/>
        <v>201.90730088989369</v>
      </c>
      <c r="P17" s="257">
        <f t="shared" si="4"/>
        <v>209.27308492933147</v>
      </c>
      <c r="Q17" s="257">
        <f t="shared" si="4"/>
        <v>203.93324382394283</v>
      </c>
      <c r="R17" s="257">
        <f t="shared" si="4"/>
        <v>210.81584307111936</v>
      </c>
      <c r="S17" s="257">
        <f t="shared" si="4"/>
        <v>192.2309626580452</v>
      </c>
      <c r="T17" s="257">
        <f t="shared" si="4"/>
        <v>192.76188187518611</v>
      </c>
      <c r="U17" s="257">
        <f t="shared" si="4"/>
        <v>201.15385935694974</v>
      </c>
      <c r="V17" s="257">
        <f t="shared" si="4"/>
        <v>193.62400534556673</v>
      </c>
      <c r="W17" s="257">
        <f t="shared" si="4"/>
        <v>195.57656469560993</v>
      </c>
      <c r="X17" s="257">
        <f t="shared" ref="X17:Y17" si="5">SUM(X18:X24)</f>
        <v>195.22296481388832</v>
      </c>
      <c r="Y17" s="257">
        <f t="shared" si="5"/>
        <v>182.86870966292102</v>
      </c>
      <c r="DA17" s="272"/>
    </row>
    <row r="18" spans="1:105" x14ac:dyDescent="0.25">
      <c r="A18" s="61" t="s">
        <v>29</v>
      </c>
      <c r="B18" s="55">
        <v>17.434738295722941</v>
      </c>
      <c r="C18" s="55">
        <v>17.44951289143529</v>
      </c>
      <c r="D18" s="55">
        <v>12.65611777823243</v>
      </c>
      <c r="E18" s="55">
        <v>9.6242498823717444</v>
      </c>
      <c r="F18" s="55">
        <v>9.619703852917322</v>
      </c>
      <c r="G18" s="55">
        <v>12.16178262291724</v>
      </c>
      <c r="H18" s="55">
        <v>10.45875393626298</v>
      </c>
      <c r="I18" s="55">
        <v>12.51194978523772</v>
      </c>
      <c r="J18" s="55">
        <v>13.10918981926177</v>
      </c>
      <c r="K18" s="55">
        <v>5.4217619310192013</v>
      </c>
      <c r="L18" s="55">
        <v>5.6612209515309448</v>
      </c>
      <c r="M18" s="55">
        <v>3.7189047624289251</v>
      </c>
      <c r="N18" s="55">
        <v>3.9189747734708589</v>
      </c>
      <c r="O18" s="55">
        <v>2.9765247756308009</v>
      </c>
      <c r="P18" s="55">
        <v>2.4680756694379808</v>
      </c>
      <c r="Q18" s="55">
        <v>2.0097752221652372</v>
      </c>
      <c r="R18" s="55">
        <v>1.938877797893765</v>
      </c>
      <c r="S18" s="55">
        <v>2.677213305075155</v>
      </c>
      <c r="T18" s="55">
        <v>2.350766879268936</v>
      </c>
      <c r="U18" s="55">
        <v>1.754194526580785</v>
      </c>
      <c r="V18" s="55">
        <v>1.728625741680087</v>
      </c>
      <c r="W18" s="55">
        <v>1.1997526736129269</v>
      </c>
      <c r="X18" s="55">
        <v>0.93721781527383363</v>
      </c>
      <c r="Y18" s="55">
        <v>0.7865191331605107</v>
      </c>
      <c r="DA18" s="101" t="s">
        <v>1047</v>
      </c>
    </row>
    <row r="19" spans="1:105" x14ac:dyDescent="0.25">
      <c r="A19" s="61" t="s">
        <v>27</v>
      </c>
      <c r="B19" s="55">
        <v>14.51302523997605</v>
      </c>
      <c r="C19" s="55">
        <v>11.61037475997578</v>
      </c>
      <c r="D19" s="55">
        <v>8.7077242799710355</v>
      </c>
      <c r="E19" s="55">
        <v>8.707724279985154</v>
      </c>
      <c r="F19" s="55">
        <v>8.7077242799832302</v>
      </c>
      <c r="G19" s="55">
        <v>12.80909807997023</v>
      </c>
      <c r="H19" s="55">
        <v>12.516061679978471</v>
      </c>
      <c r="I19" s="55">
        <v>13.05306791996435</v>
      </c>
      <c r="J19" s="55">
        <v>13.47104231996574</v>
      </c>
      <c r="K19" s="55">
        <v>9.2738069999841919</v>
      </c>
      <c r="L19" s="55">
        <v>9.8049070799768359</v>
      </c>
      <c r="M19" s="55">
        <v>7.0417328399853254</v>
      </c>
      <c r="N19" s="55">
        <v>7.3306803599773227</v>
      </c>
      <c r="O19" s="55">
        <v>8.2870239599845572</v>
      </c>
      <c r="P19" s="55">
        <v>7.0803500399732702</v>
      </c>
      <c r="Q19" s="55">
        <v>7.1562214799728947</v>
      </c>
      <c r="R19" s="55">
        <v>7.1589473999716819</v>
      </c>
      <c r="S19" s="55">
        <v>8.6577490799686068</v>
      </c>
      <c r="T19" s="55">
        <v>7.9621851599818756</v>
      </c>
      <c r="U19" s="55">
        <v>8.1455032799717468</v>
      </c>
      <c r="V19" s="55">
        <v>8.3056510799730372</v>
      </c>
      <c r="W19" s="55">
        <v>8.74497851997371</v>
      </c>
      <c r="X19" s="55">
        <v>7.0106119199837904</v>
      </c>
      <c r="Y19" s="55">
        <v>6.8388789599831892</v>
      </c>
      <c r="DA19" s="101" t="s">
        <v>1048</v>
      </c>
    </row>
    <row r="20" spans="1:105" x14ac:dyDescent="0.25">
      <c r="A20" s="61" t="s">
        <v>166</v>
      </c>
      <c r="B20" s="55">
        <v>160.75674008003139</v>
      </c>
      <c r="C20" s="55">
        <v>151.4175743242206</v>
      </c>
      <c r="D20" s="55">
        <v>162.6486217774484</v>
      </c>
      <c r="E20" s="55">
        <v>154.0495557950201</v>
      </c>
      <c r="F20" s="55">
        <v>150.10605914010009</v>
      </c>
      <c r="G20" s="55">
        <v>165.07424917951221</v>
      </c>
      <c r="H20" s="55">
        <v>162.572144386236</v>
      </c>
      <c r="I20" s="55">
        <v>170.5966266094438</v>
      </c>
      <c r="J20" s="55">
        <v>166.55658165783731</v>
      </c>
      <c r="K20" s="55">
        <v>167.60136016960101</v>
      </c>
      <c r="L20" s="55">
        <v>158.9920585954537</v>
      </c>
      <c r="M20" s="55">
        <v>161.86291830595189</v>
      </c>
      <c r="N20" s="55">
        <v>155.69265282547369</v>
      </c>
      <c r="O20" s="55">
        <v>148.83415629388861</v>
      </c>
      <c r="P20" s="55">
        <v>152.649497325525</v>
      </c>
      <c r="Q20" s="55">
        <v>150.23439501732261</v>
      </c>
      <c r="R20" s="55">
        <v>145.88572797546061</v>
      </c>
      <c r="S20" s="55">
        <v>143.98816247278421</v>
      </c>
      <c r="T20" s="55">
        <v>155.24904220235931</v>
      </c>
      <c r="U20" s="55">
        <v>157.22870384440759</v>
      </c>
      <c r="V20" s="55">
        <v>154.97858085557669</v>
      </c>
      <c r="W20" s="55">
        <v>143.07142372987281</v>
      </c>
      <c r="X20" s="55">
        <v>148.1804418868131</v>
      </c>
      <c r="Y20" s="55">
        <v>148.6205373547497</v>
      </c>
      <c r="DA20" s="101" t="s">
        <v>1049</v>
      </c>
    </row>
    <row r="21" spans="1:105" x14ac:dyDescent="0.25">
      <c r="A21" s="61" t="s">
        <v>129</v>
      </c>
      <c r="B21" s="55">
        <v>192.67370855968201</v>
      </c>
      <c r="C21" s="55">
        <v>194.18477327959499</v>
      </c>
      <c r="D21" s="55">
        <v>160.52338943946609</v>
      </c>
      <c r="E21" s="55">
        <v>182.79536327968839</v>
      </c>
      <c r="F21" s="55">
        <v>176.03416367966099</v>
      </c>
      <c r="G21" s="55">
        <v>92.179963439785794</v>
      </c>
      <c r="H21" s="55">
        <v>83.325620159856612</v>
      </c>
      <c r="I21" s="55">
        <v>58.18337567984107</v>
      </c>
      <c r="J21" s="55">
        <v>59.402147039848941</v>
      </c>
      <c r="K21" s="55">
        <v>33.137819279943493</v>
      </c>
      <c r="L21" s="55">
        <v>24.83267543994133</v>
      </c>
      <c r="M21" s="55">
        <v>20.234558159957839</v>
      </c>
      <c r="N21" s="55">
        <v>20.004401519938121</v>
      </c>
      <c r="O21" s="55">
        <v>27.456349679948829</v>
      </c>
      <c r="P21" s="55">
        <v>31.017368879882898</v>
      </c>
      <c r="Q21" s="55">
        <v>26.720461439898791</v>
      </c>
      <c r="R21" s="55">
        <v>34.549409519863353</v>
      </c>
      <c r="S21" s="55">
        <v>7.5895963199724834</v>
      </c>
      <c r="T21" s="55">
        <v>0</v>
      </c>
      <c r="U21" s="55">
        <v>0</v>
      </c>
      <c r="V21" s="55">
        <v>0</v>
      </c>
      <c r="W21" s="55">
        <v>13.149841319960469</v>
      </c>
      <c r="X21" s="55">
        <v>13.292543879969269</v>
      </c>
      <c r="Y21" s="55">
        <v>12.220029359969971</v>
      </c>
      <c r="DA21" s="101" t="s">
        <v>1050</v>
      </c>
    </row>
    <row r="22" spans="1:105" x14ac:dyDescent="0.25">
      <c r="A22" s="61" t="s">
        <v>169</v>
      </c>
      <c r="B22" s="55">
        <v>13.92378067548548</v>
      </c>
      <c r="C22" s="55">
        <v>15.04085187174859</v>
      </c>
      <c r="D22" s="55">
        <v>14.82051816674241</v>
      </c>
      <c r="E22" s="55">
        <v>15.19057479896018</v>
      </c>
      <c r="F22" s="55">
        <v>14.59571710694871</v>
      </c>
      <c r="G22" s="55">
        <v>21.211038160096528</v>
      </c>
      <c r="H22" s="55">
        <v>20.35204282997724</v>
      </c>
      <c r="I22" s="55">
        <v>21.685291130027959</v>
      </c>
      <c r="J22" s="55">
        <v>22.121867487440511</v>
      </c>
      <c r="K22" s="55">
        <v>22.580325154360231</v>
      </c>
      <c r="L22" s="55">
        <v>24.974527465754221</v>
      </c>
      <c r="M22" s="55">
        <v>21.471046285837481</v>
      </c>
      <c r="N22" s="55">
        <v>13.42985603630896</v>
      </c>
      <c r="O22" s="55">
        <v>14.35324618044088</v>
      </c>
      <c r="P22" s="55">
        <v>16.057793014512331</v>
      </c>
      <c r="Q22" s="55">
        <v>17.81239066458328</v>
      </c>
      <c r="R22" s="55">
        <v>21.282880377929921</v>
      </c>
      <c r="S22" s="55">
        <v>29.31824148024474</v>
      </c>
      <c r="T22" s="55">
        <v>27.19988763357599</v>
      </c>
      <c r="U22" s="55">
        <v>34.025457705989623</v>
      </c>
      <c r="V22" s="55">
        <v>28.611147668336908</v>
      </c>
      <c r="W22" s="55">
        <v>29.41056845219002</v>
      </c>
      <c r="X22" s="55">
        <v>25.80214931184835</v>
      </c>
      <c r="Y22" s="55">
        <v>14.40274485505766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67.521337964639841</v>
      </c>
      <c r="C25" s="257">
        <v>68.388070290414362</v>
      </c>
      <c r="D25" s="257">
        <v>67.377166267384212</v>
      </c>
      <c r="E25" s="257">
        <v>68.134008676959112</v>
      </c>
      <c r="F25" s="257">
        <v>68.192009644652913</v>
      </c>
      <c r="G25" s="257">
        <v>66.262209800078168</v>
      </c>
      <c r="H25" s="257">
        <v>63.80325953174269</v>
      </c>
      <c r="I25" s="257">
        <v>62.883827822183477</v>
      </c>
      <c r="J25" s="257">
        <v>62.994488634513928</v>
      </c>
      <c r="K25" s="257">
        <v>61.240348582265902</v>
      </c>
      <c r="L25" s="257">
        <v>62.809860863119447</v>
      </c>
      <c r="M25" s="257">
        <v>61.413254702412829</v>
      </c>
      <c r="N25" s="257">
        <v>61.522844109916029</v>
      </c>
      <c r="O25" s="257">
        <v>63.469412156111773</v>
      </c>
      <c r="P25" s="257">
        <v>62.018340519113167</v>
      </c>
      <c r="Q25" s="257">
        <v>62.271248338095653</v>
      </c>
      <c r="R25" s="257">
        <v>63.073050095325563</v>
      </c>
      <c r="S25" s="257">
        <v>63.646698825955312</v>
      </c>
      <c r="T25" s="257">
        <v>62.357699444241547</v>
      </c>
      <c r="U25" s="257">
        <v>61.377408281515343</v>
      </c>
      <c r="V25" s="257">
        <v>61.663543623581248</v>
      </c>
      <c r="W25" s="257">
        <v>65.307522783158859</v>
      </c>
      <c r="X25" s="257">
        <v>64.034493491904712</v>
      </c>
      <c r="Y25" s="257">
        <v>61.859838309727259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1</v>
      </c>
      <c r="D31" s="235">
        <f t="shared" si="6"/>
        <v>1</v>
      </c>
      <c r="E31" s="235">
        <f t="shared" si="6"/>
        <v>1</v>
      </c>
      <c r="F31" s="235">
        <f t="shared" si="6"/>
        <v>1.0000000000000002</v>
      </c>
      <c r="G31" s="235">
        <f t="shared" si="6"/>
        <v>1</v>
      </c>
      <c r="H31" s="235">
        <f t="shared" si="6"/>
        <v>0.99999999999999989</v>
      </c>
      <c r="I31" s="235">
        <f t="shared" si="6"/>
        <v>1</v>
      </c>
      <c r="J31" s="235">
        <f t="shared" si="6"/>
        <v>1</v>
      </c>
      <c r="K31" s="235">
        <f t="shared" si="6"/>
        <v>0.99999999999999989</v>
      </c>
      <c r="L31" s="235">
        <f t="shared" si="6"/>
        <v>1</v>
      </c>
      <c r="M31" s="235">
        <f t="shared" si="6"/>
        <v>1</v>
      </c>
      <c r="N31" s="235">
        <f t="shared" si="6"/>
        <v>0.99999999999999989</v>
      </c>
      <c r="O31" s="235">
        <f t="shared" si="6"/>
        <v>1.0000000000000002</v>
      </c>
      <c r="P31" s="235">
        <f t="shared" si="6"/>
        <v>1.0000000000000002</v>
      </c>
      <c r="Q31" s="235">
        <f t="shared" si="6"/>
        <v>1</v>
      </c>
      <c r="R31" s="235">
        <f t="shared" ref="R31:W31" si="7">SUM(R32:R40)</f>
        <v>1</v>
      </c>
      <c r="S31" s="235">
        <f t="shared" si="7"/>
        <v>0.99999999999999989</v>
      </c>
      <c r="T31" s="235">
        <f t="shared" si="7"/>
        <v>1</v>
      </c>
      <c r="U31" s="235">
        <f t="shared" si="7"/>
        <v>0.99999999999999989</v>
      </c>
      <c r="V31" s="235">
        <f t="shared" si="7"/>
        <v>0.99999999999999989</v>
      </c>
      <c r="W31" s="235">
        <f t="shared" si="7"/>
        <v>0.99999999999999989</v>
      </c>
      <c r="X31" s="235">
        <f t="shared" ref="X31:Y31" si="8">SUM(X32:X40)</f>
        <v>0.99999999999999978</v>
      </c>
      <c r="Y31" s="235">
        <f t="shared" si="8"/>
        <v>1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0.19965069619725273</v>
      </c>
      <c r="C35" s="246">
        <f t="shared" si="12"/>
        <v>0.20302907188614452</v>
      </c>
      <c r="D35" s="246">
        <f t="shared" si="12"/>
        <v>0.20495919721459591</v>
      </c>
      <c r="E35" s="246">
        <f t="shared" si="12"/>
        <v>0.20346642224046868</v>
      </c>
      <c r="F35" s="246">
        <f t="shared" si="12"/>
        <v>0.205888397201826</v>
      </c>
      <c r="G35" s="246">
        <f t="shared" si="12"/>
        <v>0.21290587312239734</v>
      </c>
      <c r="H35" s="246">
        <f t="shared" si="12"/>
        <v>0.21066727816337302</v>
      </c>
      <c r="I35" s="246">
        <f t="shared" si="12"/>
        <v>0.20820884019671856</v>
      </c>
      <c r="J35" s="246">
        <f t="shared" si="12"/>
        <v>0.20488184264518061</v>
      </c>
      <c r="K35" s="246">
        <f t="shared" si="12"/>
        <v>0.20688826062873267</v>
      </c>
      <c r="L35" s="246">
        <f t="shared" si="12"/>
        <v>0.21117336117804084</v>
      </c>
      <c r="M35" s="246">
        <f t="shared" si="12"/>
        <v>0.21157936454450083</v>
      </c>
      <c r="N35" s="246">
        <f t="shared" si="12"/>
        <v>0.21088018831239397</v>
      </c>
      <c r="O35" s="246">
        <f t="shared" si="12"/>
        <v>0.21255371506653883</v>
      </c>
      <c r="P35" s="246">
        <f t="shared" si="12"/>
        <v>0.21376433282917737</v>
      </c>
      <c r="Q35" s="246">
        <f t="shared" si="12"/>
        <v>0.2126717419447513</v>
      </c>
      <c r="R35" s="246">
        <f t="shared" si="12"/>
        <v>0.20931380245737216</v>
      </c>
      <c r="S35" s="246">
        <f t="shared" si="12"/>
        <v>0.21702208008831925</v>
      </c>
      <c r="T35" s="246">
        <f t="shared" si="12"/>
        <v>0.21389078379265414</v>
      </c>
      <c r="U35" s="246">
        <f t="shared" si="12"/>
        <v>0.20883379066946034</v>
      </c>
      <c r="V35" s="246">
        <f t="shared" si="12"/>
        <v>0.19989788661635699</v>
      </c>
      <c r="W35" s="246">
        <f t="shared" si="12"/>
        <v>0.19878675852325317</v>
      </c>
      <c r="X35" s="246">
        <f t="shared" si="12"/>
        <v>0.19840550923073658</v>
      </c>
      <c r="Y35" s="246">
        <f t="shared" si="12"/>
        <v>0.19164020734606846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0.34371468875272471</v>
      </c>
      <c r="C36" s="259">
        <f t="shared" si="13"/>
        <v>0.34845517462448072</v>
      </c>
      <c r="D36" s="259">
        <f t="shared" si="13"/>
        <v>0.35860534956212292</v>
      </c>
      <c r="E36" s="259">
        <f t="shared" si="13"/>
        <v>0.35611908959987276</v>
      </c>
      <c r="F36" s="259">
        <f t="shared" si="13"/>
        <v>0.36031070892938544</v>
      </c>
      <c r="G36" s="259">
        <f t="shared" si="13"/>
        <v>0.37985085443046818</v>
      </c>
      <c r="H36" s="259">
        <f t="shared" si="13"/>
        <v>0.38257220984473289</v>
      </c>
      <c r="I36" s="259">
        <f t="shared" si="13"/>
        <v>0.3889637243750374</v>
      </c>
      <c r="J36" s="259">
        <f t="shared" si="13"/>
        <v>0.39168700748319285</v>
      </c>
      <c r="K36" s="259">
        <f t="shared" si="13"/>
        <v>0.40903223464257565</v>
      </c>
      <c r="L36" s="259">
        <f t="shared" si="13"/>
        <v>0.41997551255268989</v>
      </c>
      <c r="M36" s="259">
        <f t="shared" si="13"/>
        <v>0.42324918547800783</v>
      </c>
      <c r="N36" s="259">
        <f t="shared" si="13"/>
        <v>0.43405748742220551</v>
      </c>
      <c r="O36" s="259">
        <f t="shared" si="13"/>
        <v>0.4366338584612196</v>
      </c>
      <c r="P36" s="259">
        <f t="shared" si="13"/>
        <v>0.42716909531103486</v>
      </c>
      <c r="Q36" s="259">
        <f t="shared" si="13"/>
        <v>0.43225091870399324</v>
      </c>
      <c r="R36" s="259">
        <f t="shared" si="13"/>
        <v>0.43102559299195298</v>
      </c>
      <c r="S36" s="259">
        <f t="shared" si="13"/>
        <v>0.44172884892106107</v>
      </c>
      <c r="T36" s="259">
        <f t="shared" si="13"/>
        <v>0.44011042160324576</v>
      </c>
      <c r="U36" s="259">
        <f t="shared" si="13"/>
        <v>0.43424762326448751</v>
      </c>
      <c r="V36" s="259">
        <f t="shared" si="13"/>
        <v>0.44560603139980437</v>
      </c>
      <c r="W36" s="259">
        <f t="shared" si="13"/>
        <v>0.45327354678697435</v>
      </c>
      <c r="X36" s="259">
        <f t="shared" si="13"/>
        <v>0.4508419507173641</v>
      </c>
      <c r="Y36" s="259">
        <f t="shared" si="13"/>
        <v>0.45923985642038112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0.39058697318242047</v>
      </c>
      <c r="C37" s="259">
        <f t="shared" si="14"/>
        <v>0.3815571877556081</v>
      </c>
      <c r="D37" s="259">
        <f t="shared" si="14"/>
        <v>0.36752644678647783</v>
      </c>
      <c r="E37" s="259">
        <f t="shared" si="14"/>
        <v>0.37198323729440896</v>
      </c>
      <c r="F37" s="259">
        <f t="shared" si="14"/>
        <v>0.36456418841756938</v>
      </c>
      <c r="G37" s="259">
        <f t="shared" si="14"/>
        <v>0.33425176519567912</v>
      </c>
      <c r="H37" s="259">
        <f t="shared" si="14"/>
        <v>0.33324607361855951</v>
      </c>
      <c r="I37" s="259">
        <f t="shared" si="14"/>
        <v>0.32808481427278574</v>
      </c>
      <c r="J37" s="259">
        <f t="shared" si="14"/>
        <v>0.3281652271718431</v>
      </c>
      <c r="K37" s="259">
        <f t="shared" si="14"/>
        <v>0.3054805520798759</v>
      </c>
      <c r="L37" s="259">
        <f t="shared" si="14"/>
        <v>0.28814933157175415</v>
      </c>
      <c r="M37" s="259">
        <f t="shared" si="14"/>
        <v>0.28384059174548582</v>
      </c>
      <c r="N37" s="259">
        <f t="shared" si="14"/>
        <v>0.27165456074139899</v>
      </c>
      <c r="O37" s="259">
        <f t="shared" si="14"/>
        <v>0.26690959178232537</v>
      </c>
      <c r="P37" s="259">
        <f t="shared" si="14"/>
        <v>0.27698247028591477</v>
      </c>
      <c r="Q37" s="259">
        <f t="shared" si="14"/>
        <v>0.27201672306190572</v>
      </c>
      <c r="R37" s="259">
        <f t="shared" si="14"/>
        <v>0.27683544480842143</v>
      </c>
      <c r="S37" s="259">
        <f t="shared" si="14"/>
        <v>0.25636719142359427</v>
      </c>
      <c r="T37" s="259">
        <f t="shared" si="14"/>
        <v>0.26142790933372145</v>
      </c>
      <c r="U37" s="259">
        <f t="shared" si="14"/>
        <v>0.27347428635541615</v>
      </c>
      <c r="V37" s="259">
        <f t="shared" si="14"/>
        <v>0.26886916949214934</v>
      </c>
      <c r="W37" s="259">
        <f t="shared" si="14"/>
        <v>0.26083940521747218</v>
      </c>
      <c r="X37" s="259">
        <f t="shared" si="14"/>
        <v>0.26411950202862811</v>
      </c>
      <c r="Y37" s="259">
        <f t="shared" si="14"/>
        <v>0.26087317064360621</v>
      </c>
      <c r="DA37" s="278"/>
    </row>
    <row r="38" spans="1:105" x14ac:dyDescent="0.25">
      <c r="A38" s="127" t="s">
        <v>167</v>
      </c>
      <c r="B38" s="259">
        <f t="shared" ref="B38:Y38" si="15">IF(B$25=0,0,B$25/B$5)</f>
        <v>6.6047641867602133E-2</v>
      </c>
      <c r="C38" s="259">
        <f t="shared" si="15"/>
        <v>6.6958565733766642E-2</v>
      </c>
      <c r="D38" s="259">
        <f t="shared" si="15"/>
        <v>6.8909006436803352E-2</v>
      </c>
      <c r="E38" s="259">
        <f t="shared" si="15"/>
        <v>6.8431250865249663E-2</v>
      </c>
      <c r="F38" s="259">
        <f t="shared" si="15"/>
        <v>6.923670545121921E-2</v>
      </c>
      <c r="G38" s="259">
        <f t="shared" si="15"/>
        <v>7.2991507251455381E-2</v>
      </c>
      <c r="H38" s="259">
        <f t="shared" si="15"/>
        <v>7.3514438373334531E-2</v>
      </c>
      <c r="I38" s="259">
        <f t="shared" si="15"/>
        <v>7.4742621155458294E-2</v>
      </c>
      <c r="J38" s="259">
        <f t="shared" si="15"/>
        <v>7.526592269978348E-2</v>
      </c>
      <c r="K38" s="259">
        <f t="shared" si="15"/>
        <v>7.8598952648815709E-2</v>
      </c>
      <c r="L38" s="259">
        <f t="shared" si="15"/>
        <v>8.0701794697515136E-2</v>
      </c>
      <c r="M38" s="259">
        <f t="shared" si="15"/>
        <v>8.1330858232005587E-2</v>
      </c>
      <c r="N38" s="259">
        <f t="shared" si="15"/>
        <v>8.3407763524001491E-2</v>
      </c>
      <c r="O38" s="259">
        <f t="shared" si="15"/>
        <v>8.3902834689916356E-2</v>
      </c>
      <c r="P38" s="259">
        <f t="shared" si="15"/>
        <v>8.2084101573873053E-2</v>
      </c>
      <c r="Q38" s="259">
        <f t="shared" si="15"/>
        <v>8.3060616289349756E-2</v>
      </c>
      <c r="R38" s="259">
        <f t="shared" si="15"/>
        <v>8.2825159742253462E-2</v>
      </c>
      <c r="S38" s="259">
        <f t="shared" si="15"/>
        <v>8.4881879567025337E-2</v>
      </c>
      <c r="T38" s="259">
        <f t="shared" si="15"/>
        <v>8.4570885270378579E-2</v>
      </c>
      <c r="U38" s="259">
        <f t="shared" si="15"/>
        <v>8.3444299710635911E-2</v>
      </c>
      <c r="V38" s="259">
        <f t="shared" si="15"/>
        <v>8.562691249168923E-2</v>
      </c>
      <c r="W38" s="259">
        <f t="shared" si="15"/>
        <v>8.7100289472300182E-2</v>
      </c>
      <c r="X38" s="259">
        <f t="shared" si="15"/>
        <v>8.6633038023271089E-2</v>
      </c>
      <c r="Y38" s="259">
        <f t="shared" si="15"/>
        <v>8.8246765589944265E-2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1.9361867975369735</v>
      </c>
      <c r="C44" s="237">
        <f>IF(C$5=0,0,C$5/AGR_fec!C$5)</f>
        <v>1.8786252265622887</v>
      </c>
      <c r="D44" s="237">
        <f>IF(D$5=0,0,D$5/AGR_fec!D$5)</f>
        <v>1.8529450431937275</v>
      </c>
      <c r="E44" s="237">
        <f>IF(E$5=0,0,E$5/AGR_fec!E$5)</f>
        <v>1.8388430234482296</v>
      </c>
      <c r="F44" s="237">
        <f>IF(F$5=0,0,F$5/AGR_fec!F$5)</f>
        <v>1.7960360042410715</v>
      </c>
      <c r="G44" s="237">
        <f>IF(G$5=0,0,G$5/AGR_fec!G$5)</f>
        <v>1.7246409803607279</v>
      </c>
      <c r="H44" s="237">
        <f>IF(H$5=0,0,H$5/AGR_fec!H$5)</f>
        <v>1.6604786539640382</v>
      </c>
      <c r="I44" s="237">
        <f>IF(I$5=0,0,I$5/AGR_fec!I$5)</f>
        <v>1.6362232812283619</v>
      </c>
      <c r="J44" s="237">
        <f>IF(J$5=0,0,J$5/AGR_fec!J$5)</f>
        <v>1.6072604280797662</v>
      </c>
      <c r="K44" s="237">
        <f>IF(K$5=0,0,K$5/AGR_fec!K$5)</f>
        <v>1.5191087010119964</v>
      </c>
      <c r="L44" s="237">
        <f>IF(L$5=0,0,L$5/AGR_fec!L$5)</f>
        <v>1.4587686345126079</v>
      </c>
      <c r="M44" s="237">
        <f>IF(M$5=0,0,M$5/AGR_fec!M$5)</f>
        <v>1.4608109445319357</v>
      </c>
      <c r="N44" s="237">
        <f>IF(N$5=0,0,N$5/AGR_fec!N$5)</f>
        <v>1.4076364907411463</v>
      </c>
      <c r="O44" s="237">
        <f>IF(O$5=0,0,O$5/AGR_fec!O$5)</f>
        <v>1.3815200900120408</v>
      </c>
      <c r="P44" s="237">
        <f>IF(P$5=0,0,P$5/AGR_fec!P$5)</f>
        <v>1.4327889299493699</v>
      </c>
      <c r="Q44" s="237">
        <f>IF(Q$5=0,0,Q$5/AGR_fec!Q$5)</f>
        <v>1.4040122161007194</v>
      </c>
      <c r="R44" s="237">
        <f>IF(R$5=0,0,R$5/AGR_fec!R$5)</f>
        <v>1.394353841642795</v>
      </c>
      <c r="S44" s="237">
        <f>IF(S$5=0,0,S$5/AGR_fec!S$5)</f>
        <v>1.3563753580049507</v>
      </c>
      <c r="T44" s="237">
        <f>IF(T$5=0,0,T$5/AGR_fec!T$5)</f>
        <v>1.3912922031422552</v>
      </c>
      <c r="U44" s="237">
        <f>IF(U$5=0,0,U$5/AGR_fec!U$5)</f>
        <v>1.4110709826083043</v>
      </c>
      <c r="V44" s="237">
        <f>IF(V$5=0,0,V$5/AGR_fec!V$5)</f>
        <v>1.3925013847000276</v>
      </c>
      <c r="W44" s="237">
        <f>IF(W$5=0,0,W$5/AGR_fec!W$5)</f>
        <v>1.3233637523962123</v>
      </c>
      <c r="X44" s="237">
        <f>IF(X$5=0,0,X$5/AGR_fec!X$5)</f>
        <v>1.3468619006025573</v>
      </c>
      <c r="Y44" s="237">
        <f>IF(Y$5=0,0,Y$5/AGR_fec!Y$5)</f>
        <v>1.3200138056014206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2.3116813039293356</v>
      </c>
      <c r="C48" s="252">
        <f>IF(C$9=0,0,C$9/AGR_fec!C$9)</f>
        <v>2.3117894801069792</v>
      </c>
      <c r="D48" s="252">
        <f>IF(D$9=0,0,D$9/AGR_fec!D$9)</f>
        <v>2.2547234054419767</v>
      </c>
      <c r="E48" s="252">
        <f>IF(E$9=0,0,E$9/AGR_fec!E$9)</f>
        <v>2.2486031079631532</v>
      </c>
      <c r="F48" s="252">
        <f>IF(F$9=0,0,F$9/AGR_fec!F$9)</f>
        <v>2.2361044633281493</v>
      </c>
      <c r="G48" s="252">
        <f>IF(G$9=0,0,G$9/AGR_fec!G$9)</f>
        <v>2.130625687700769</v>
      </c>
      <c r="H48" s="252">
        <f>IF(H$9=0,0,H$9/AGR_fec!H$9)</f>
        <v>2.0213280378128706</v>
      </c>
      <c r="I48" s="252">
        <f>IF(I$9=0,0,I$9/AGR_fec!I$9)</f>
        <v>1.9285340642466233</v>
      </c>
      <c r="J48" s="252">
        <f>IF(J$9=0,0,J$9/AGR_fec!J$9)</f>
        <v>1.8635229199301326</v>
      </c>
      <c r="K48" s="252">
        <f>IF(K$9=0,0,K$9/AGR_fec!K$9)</f>
        <v>1.7508145416956173</v>
      </c>
      <c r="L48" s="252">
        <f>IF(L$9=0,0,L$9/AGR_fec!L$9)</f>
        <v>1.730021541737371</v>
      </c>
      <c r="M48" s="252">
        <f>IF(M$9=0,0,M$9/AGR_fec!M$9)</f>
        <v>1.7294395982607795</v>
      </c>
      <c r="N48" s="252">
        <f>IF(N$9=0,0,N$9/AGR_fec!N$9)</f>
        <v>1.6845207181893429</v>
      </c>
      <c r="O48" s="252">
        <f>IF(O$9=0,0,O$9/AGR_fec!O$9)</f>
        <v>1.6876909368832349</v>
      </c>
      <c r="P48" s="252">
        <f>IF(P$9=0,0,P$9/AGR_fec!P$9)</f>
        <v>1.7490688201140907</v>
      </c>
      <c r="Q48" s="252">
        <f>IF(Q$9=0,0,Q$9/AGR_fec!Q$9)</f>
        <v>1.6970118765898203</v>
      </c>
      <c r="R48" s="252">
        <f>IF(R$9=0,0,R$9/AGR_fec!R$9)</f>
        <v>1.656647415625832</v>
      </c>
      <c r="S48" s="252">
        <f>IF(S$9=0,0,S$9/AGR_fec!S$9)</f>
        <v>1.6556977089457927</v>
      </c>
      <c r="T48" s="252">
        <f>IF(T$9=0,0,T$9/AGR_fec!T$9)</f>
        <v>1.648379123774945</v>
      </c>
      <c r="U48" s="252">
        <f>IF(U$9=0,0,U$9/AGR_fec!U$9)</f>
        <v>1.6019712873294549</v>
      </c>
      <c r="V48" s="252">
        <f>IF(V$9=0,0,V$9/AGR_fec!V$9)</f>
        <v>1.5024760103213266</v>
      </c>
      <c r="W48" s="252">
        <f>IF(W$9=0,0,W$9/AGR_fec!W$9)</f>
        <v>1.4464577264842138</v>
      </c>
      <c r="X48" s="252">
        <f>IF(X$9=0,0,X$9/AGR_fec!X$9)</f>
        <v>1.4701561390648967</v>
      </c>
      <c r="Y48" s="252">
        <f>IF(Y$9=0,0,Y$9/AGR_fec!Y$9)</f>
        <v>1.3894551163134146</v>
      </c>
      <c r="DA48" s="289"/>
    </row>
    <row r="49" spans="1:105" x14ac:dyDescent="0.25">
      <c r="A49" s="127" t="s">
        <v>168</v>
      </c>
      <c r="B49" s="264">
        <f>IF(B$16=0,0,B$16/AGR_fec!B$16)</f>
        <v>3.0842719314034124</v>
      </c>
      <c r="C49" s="264">
        <f>IF(C$16=0,0,C$16/AGR_fec!C$16)</f>
        <v>3.0823821787264034</v>
      </c>
      <c r="D49" s="264">
        <f>IF(D$16=0,0,D$16/AGR_fec!D$16)</f>
        <v>3.0812741860586437</v>
      </c>
      <c r="E49" s="264">
        <f>IF(E$16=0,0,E$16/AGR_fec!E$16)</f>
        <v>3.0807288111041138</v>
      </c>
      <c r="F49" s="264">
        <f>IF(F$16=0,0,F$16/AGR_fec!F$16)</f>
        <v>3.0620238584373571</v>
      </c>
      <c r="G49" s="264">
        <f>IF(G$16=0,0,G$16/AGR_fec!G$16)</f>
        <v>3.0325891316884084</v>
      </c>
      <c r="H49" s="264">
        <f>IF(H$16=0,0,H$16/AGR_fec!H$16)</f>
        <v>2.9426628522994958</v>
      </c>
      <c r="I49" s="264">
        <f>IF(I$16=0,0,I$16/AGR_fec!I$16)</f>
        <v>2.9291612623072782</v>
      </c>
      <c r="J49" s="264">
        <f>IF(J$16=0,0,J$16/AGR_fec!J$16)</f>
        <v>2.9286381711808995</v>
      </c>
      <c r="K49" s="264">
        <f>IF(K$16=0,0,K$16/AGR_fec!K$16)</f>
        <v>2.8923013344519766</v>
      </c>
      <c r="L49" s="264">
        <f>IF(L$16=0,0,L$16/AGR_fec!L$16)</f>
        <v>2.9004220472293487</v>
      </c>
      <c r="M49" s="264">
        <f>IF(M$16=0,0,M$16/AGR_fec!M$16)</f>
        <v>2.9033685159208233</v>
      </c>
      <c r="N49" s="264">
        <f>IF(N$16=0,0,N$16/AGR_fec!N$16)</f>
        <v>2.9013173677775783</v>
      </c>
      <c r="O49" s="264">
        <f>IF(O$16=0,0,O$16/AGR_fec!O$16)</f>
        <v>2.9064186823250169</v>
      </c>
      <c r="P49" s="264">
        <f>IF(P$16=0,0,P$16/AGR_fec!P$16)</f>
        <v>2.9059221262026886</v>
      </c>
      <c r="Q49" s="264">
        <f>IF(Q$16=0,0,Q$16/AGR_fec!Q$16)</f>
        <v>2.9034782758830961</v>
      </c>
      <c r="R49" s="264">
        <f>IF(R$16=0,0,R$16/AGR_fec!R$16)</f>
        <v>2.9127496395412078</v>
      </c>
      <c r="S49" s="264">
        <f>IF(S$16=0,0,S$16/AGR_fec!S$16)</f>
        <v>2.9184771099634816</v>
      </c>
      <c r="T49" s="264">
        <f>IF(T$16=0,0,T$16/AGR_fec!T$16)</f>
        <v>2.9289815014039471</v>
      </c>
      <c r="U49" s="264">
        <f>IF(U$16=0,0,U$16/AGR_fec!U$16)</f>
        <v>2.9306509543155959</v>
      </c>
      <c r="V49" s="264">
        <f>IF(V$16=0,0,V$16/AGR_fec!V$16)</f>
        <v>3.0132347620169182</v>
      </c>
      <c r="W49" s="264">
        <f>IF(W$16=0,0,W$16/AGR_fec!W$16)</f>
        <v>3.0103543942510704</v>
      </c>
      <c r="X49" s="264">
        <f>IF(X$16=0,0,X$16/AGR_fec!X$16)</f>
        <v>3.0102713521024156</v>
      </c>
      <c r="Y49" s="264">
        <f>IF(Y$16=0,0,Y$16/AGR_fec!Y$16)</f>
        <v>2.999204306003652</v>
      </c>
      <c r="DA49" s="290"/>
    </row>
    <row r="50" spans="1:105" x14ac:dyDescent="0.25">
      <c r="A50" s="127" t="s">
        <v>121</v>
      </c>
      <c r="B50" s="264">
        <f>IF(B$17=0,0,B$17/AGR_fec!B$17)</f>
        <v>1.6252177150801475</v>
      </c>
      <c r="C50" s="264">
        <f>IF(C$17=0,0,C$17/AGR_fec!C$17)</f>
        <v>1.5108020805763587</v>
      </c>
      <c r="D50" s="264">
        <f>IF(D$17=0,0,D$17/AGR_fec!D$17)</f>
        <v>1.4772919152303714</v>
      </c>
      <c r="E50" s="264">
        <f>IF(E$17=0,0,E$17/AGR_fec!E$17)</f>
        <v>1.4577261552309715</v>
      </c>
      <c r="F50" s="264">
        <f>IF(F$17=0,0,F$17/AGR_fec!F$17)</f>
        <v>1.3838960472865882</v>
      </c>
      <c r="G50" s="264">
        <f>IF(G$17=0,0,G$17/AGR_fec!G$17)</f>
        <v>1.2774310214057916</v>
      </c>
      <c r="H50" s="264">
        <f>IF(H$17=0,0,H$17/AGR_fec!H$17)</f>
        <v>1.2412172114514104</v>
      </c>
      <c r="I50" s="264">
        <f>IF(I$17=0,0,I$17/AGR_fec!I$17)</f>
        <v>1.2365283267463199</v>
      </c>
      <c r="J50" s="264">
        <f>IF(J$17=0,0,J$17/AGR_fec!J$17)</f>
        <v>1.2146879768058212</v>
      </c>
      <c r="K50" s="264">
        <f>IF(K$17=0,0,K$17/AGR_fec!K$17)</f>
        <v>1.0898696963140964</v>
      </c>
      <c r="L50" s="264">
        <f>IF(L$17=0,0,L$17/AGR_fec!L$17)</f>
        <v>0.96926424127190325</v>
      </c>
      <c r="M50" s="264">
        <f>IF(M$17=0,0,M$17/AGR_fec!M$17)</f>
        <v>0.96470346552233799</v>
      </c>
      <c r="N50" s="264">
        <f>IF(N$17=0,0,N$17/AGR_fec!N$17)</f>
        <v>0.87676589891986045</v>
      </c>
      <c r="O50" s="264">
        <f>IF(O$17=0,0,O$17/AGR_fec!O$17)</f>
        <v>0.82693811655015104</v>
      </c>
      <c r="P50" s="264">
        <f>IF(P$17=0,0,P$17/AGR_fec!P$17)</f>
        <v>0.89839008988416014</v>
      </c>
      <c r="Q50" s="264">
        <f>IF(Q$17=0,0,Q$17/AGR_fec!Q$17)</f>
        <v>0.86493582981340844</v>
      </c>
      <c r="R50" s="264">
        <f>IF(R$17=0,0,R$17/AGR_fec!R$17)</f>
        <v>0.87077014294670252</v>
      </c>
      <c r="S50" s="264">
        <f>IF(S$17=0,0,S$17/AGR_fec!S$17)</f>
        <v>0.78496557799488964</v>
      </c>
      <c r="T50" s="264">
        <f>IF(T$17=0,0,T$17/AGR_fec!T$17)</f>
        <v>0.84331175302772154</v>
      </c>
      <c r="U50" s="264">
        <f>IF(U$17=0,0,U$17/AGR_fec!U$17)</f>
        <v>0.91214039930920576</v>
      </c>
      <c r="V50" s="264">
        <f>IF(V$17=0,0,V$17/AGR_fec!V$17)</f>
        <v>0.88978748274378094</v>
      </c>
      <c r="W50" s="264">
        <f>IF(W$17=0,0,W$17/AGR_fec!W$17)</f>
        <v>0.79429076755566519</v>
      </c>
      <c r="X50" s="264">
        <f>IF(X$17=0,0,X$17/AGR_fec!X$17)</f>
        <v>0.8278771013887134</v>
      </c>
      <c r="Y50" s="264">
        <f>IF(Y$17=0,0,Y$17/AGR_fec!Y$17)</f>
        <v>0.80903567387873709</v>
      </c>
      <c r="DA50" s="290"/>
    </row>
    <row r="51" spans="1:105" x14ac:dyDescent="0.25">
      <c r="A51" s="127" t="s">
        <v>167</v>
      </c>
      <c r="B51" s="264">
        <f>IF(B$25=0,0,B$25/AGR_fec!B$25)</f>
        <v>3.0842719314034119</v>
      </c>
      <c r="C51" s="264">
        <f>IF(C$25=0,0,C$25/AGR_fec!C$25)</f>
        <v>3.0823821787264025</v>
      </c>
      <c r="D51" s="264">
        <f>IF(D$25=0,0,D$25/AGR_fec!D$25)</f>
        <v>3.0812741860586428</v>
      </c>
      <c r="E51" s="264">
        <f>IF(E$25=0,0,E$25/AGR_fec!E$25)</f>
        <v>3.0807288111041129</v>
      </c>
      <c r="F51" s="264">
        <f>IF(F$25=0,0,F$25/AGR_fec!F$25)</f>
        <v>3.0620238584373576</v>
      </c>
      <c r="G51" s="264">
        <f>IF(G$25=0,0,G$25/AGR_fec!G$25)</f>
        <v>3.032589131688407</v>
      </c>
      <c r="H51" s="264">
        <f>IF(H$25=0,0,H$25/AGR_fec!H$25)</f>
        <v>2.9426628522994971</v>
      </c>
      <c r="I51" s="264">
        <f>IF(I$25=0,0,I$25/AGR_fec!I$25)</f>
        <v>2.9291612623072778</v>
      </c>
      <c r="J51" s="264">
        <f>IF(J$25=0,0,J$25/AGR_fec!J$25)</f>
        <v>2.9286381711808982</v>
      </c>
      <c r="K51" s="264">
        <f>IF(K$25=0,0,K$25/AGR_fec!K$25)</f>
        <v>2.8923013344519775</v>
      </c>
      <c r="L51" s="264">
        <f>IF(L$25=0,0,L$25/AGR_fec!L$25)</f>
        <v>2.9004220472293487</v>
      </c>
      <c r="M51" s="264">
        <f>IF(M$25=0,0,M$25/AGR_fec!M$25)</f>
        <v>2.903368515920822</v>
      </c>
      <c r="N51" s="264">
        <f>IF(N$25=0,0,N$25/AGR_fec!N$25)</f>
        <v>2.9013173677775792</v>
      </c>
      <c r="O51" s="264">
        <f>IF(O$25=0,0,O$25/AGR_fec!O$25)</f>
        <v>2.9064186823250182</v>
      </c>
      <c r="P51" s="264">
        <f>IF(P$25=0,0,P$25/AGR_fec!P$25)</f>
        <v>2.9059221262026873</v>
      </c>
      <c r="Q51" s="264">
        <f>IF(Q$25=0,0,Q$25/AGR_fec!Q$25)</f>
        <v>2.9034782758830966</v>
      </c>
      <c r="R51" s="264">
        <f>IF(R$25=0,0,R$25/AGR_fec!R$25)</f>
        <v>2.9127496395412082</v>
      </c>
      <c r="S51" s="264">
        <f>IF(S$25=0,0,S$25/AGR_fec!S$25)</f>
        <v>2.9184771099634825</v>
      </c>
      <c r="T51" s="264">
        <f>IF(T$25=0,0,T$25/AGR_fec!T$25)</f>
        <v>2.9289815014039462</v>
      </c>
      <c r="U51" s="264">
        <f>IF(U$25=0,0,U$25/AGR_fec!U$25)</f>
        <v>2.9306509543155963</v>
      </c>
      <c r="V51" s="264">
        <f>IF(V$25=0,0,V$25/AGR_fec!V$25)</f>
        <v>3.0132347620169169</v>
      </c>
      <c r="W51" s="264">
        <f>IF(W$25=0,0,W$25/AGR_fec!W$25)</f>
        <v>3.0103543942510704</v>
      </c>
      <c r="X51" s="264">
        <f>IF(X$25=0,0,X$25/AGR_fec!X$25)</f>
        <v>3.0102713521024165</v>
      </c>
      <c r="Y51" s="264">
        <f>IF(Y$25=0,0,Y$25/AGR_fec!Y$25)</f>
        <v>2.9992043060036515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2025-11-06T10:18:52Z</dcterms:created>
  <dcterms:modified xsi:type="dcterms:W3CDTF">2025-11-06T10:18:52Z</dcterms:modified>
</cp:coreProperties>
</file>